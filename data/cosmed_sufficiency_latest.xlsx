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gone.sharepoint.com/sites/dmcteam/Shared Documents/C&amp;C Tracking/"/>
    </mc:Choice>
  </mc:AlternateContent>
  <xr:revisionPtr revIDLastSave="206" documentId="13_ncr:1_{058D51DD-808B-4106-A074-188F94D8A577}" xr6:coauthVersionLast="47" xr6:coauthVersionMax="47" xr10:uidLastSave="{F668AEAD-61CE-4948-B084-9D17C43028BB}"/>
  <bookViews>
    <workbookView xWindow="28665" yWindow="-135" windowWidth="29070" windowHeight="17550" activeTab="1" xr2:uid="{00000000-000D-0000-FFFF-FFFF00000000}"/>
  </bookViews>
  <sheets>
    <sheet name="Summary" sheetId="9" r:id="rId1"/>
    <sheet name="Hair" sheetId="1" r:id="rId2"/>
    <sheet name="Fabric" sheetId="3" r:id="rId3"/>
    <sheet name="Oral" sheetId="5" r:id="rId4"/>
    <sheet name="Fem" sheetId="6" r:id="rId5"/>
    <sheet name="Home" sheetId="4" r:id="rId6"/>
    <sheet name="Shave" sheetId="7" r:id="rId7"/>
    <sheet name="Skin" sheetId="2" r:id="rId8"/>
    <sheet name="Offtake Raw" sheetId="8" r:id="rId9"/>
  </sheets>
  <externalReferences>
    <externalReference r:id="rId10"/>
  </externalReferences>
  <definedNames>
    <definedName name="_xlnm._FilterDatabase" localSheetId="2" hidden="1">Fabric!$A$2:$AW$50</definedName>
    <definedName name="_xlnm._FilterDatabase" localSheetId="4" hidden="1">Fem!$A$2:$AX$2</definedName>
    <definedName name="_xlnm._FilterDatabase" localSheetId="1" hidden="1">Hair!$A$2:$AW$133</definedName>
    <definedName name="_xlnm._FilterDatabase" localSheetId="8" hidden="1">'Offtake Raw'!$A$3:$DW$582</definedName>
    <definedName name="_xlnm._FilterDatabase" localSheetId="3" hidden="1">Oral!$A$2:$AW$77</definedName>
    <definedName name="_xlnm._FilterDatabase" localSheetId="7" hidden="1">Skin!$A$2:$AW$57</definedName>
    <definedName name="_xlnm._FilterDatabase" localSheetId="0" hidden="1">Summary!$A$1:$AV$100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3" i="4" l="1"/>
  <c r="AG69" i="1" l="1"/>
  <c r="AG29" i="1"/>
  <c r="AP30" i="2"/>
  <c r="AO30" i="2"/>
  <c r="AN30" i="2"/>
  <c r="AP9" i="2"/>
  <c r="AO9" i="2"/>
  <c r="AN9" i="2"/>
  <c r="AP38" i="6"/>
  <c r="AO38" i="6"/>
  <c r="AN38" i="6"/>
  <c r="AP37" i="6"/>
  <c r="AO37" i="6"/>
  <c r="AN37" i="6"/>
  <c r="AP36" i="6"/>
  <c r="AO36" i="6"/>
  <c r="AN36" i="6"/>
  <c r="AN35" i="6"/>
  <c r="AP34" i="6"/>
  <c r="AO34" i="6"/>
  <c r="AN34" i="6"/>
  <c r="AP32" i="6"/>
  <c r="AO32" i="6"/>
  <c r="AN32" i="6"/>
  <c r="AP31" i="6"/>
  <c r="AO31" i="6"/>
  <c r="AN31" i="6"/>
  <c r="AP30" i="6"/>
  <c r="AO30" i="6"/>
  <c r="AN30" i="6"/>
  <c r="AP29" i="6"/>
  <c r="AO29" i="6"/>
  <c r="AN29" i="6"/>
  <c r="AP28" i="6"/>
  <c r="AO28" i="6"/>
  <c r="AN28" i="6"/>
  <c r="AH9" i="2" l="1"/>
  <c r="AI9" i="2"/>
  <c r="AL9" i="2" l="1"/>
  <c r="AI17" i="6"/>
  <c r="AH17" i="6"/>
  <c r="AH35" i="6"/>
  <c r="AI35" i="6"/>
  <c r="AI36" i="4" l="1"/>
  <c r="AI34" i="4"/>
  <c r="AH34" i="4"/>
  <c r="AJ18" i="4"/>
  <c r="AI18" i="4"/>
  <c r="AH16" i="4"/>
  <c r="AU117" i="1" l="1"/>
  <c r="AS117" i="1"/>
  <c r="AR117" i="1"/>
  <c r="AQ117" i="1"/>
  <c r="AU116" i="1"/>
  <c r="AS116" i="1"/>
  <c r="AR116" i="1"/>
  <c r="AQ116" i="1"/>
  <c r="AU51" i="2"/>
  <c r="AS51" i="2"/>
  <c r="AR51" i="2"/>
  <c r="AQ51" i="2"/>
  <c r="AP51" i="2"/>
  <c r="AO51" i="2"/>
  <c r="AN51" i="2"/>
  <c r="AW9" i="2"/>
  <c r="AV9" i="2"/>
  <c r="AU9" i="2"/>
  <c r="AT9" i="2"/>
  <c r="AS9" i="2"/>
  <c r="AR9" i="2"/>
  <c r="AQ9" i="2"/>
  <c r="AQ99" i="9"/>
  <c r="AO99" i="9"/>
  <c r="AN99" i="9"/>
  <c r="AM99" i="9"/>
  <c r="AQ66" i="9"/>
  <c r="AO66" i="9"/>
  <c r="AN66" i="9"/>
  <c r="AM66" i="9"/>
  <c r="AQ33" i="9"/>
  <c r="AO33" i="9"/>
  <c r="AN33" i="9"/>
  <c r="AM33" i="9"/>
  <c r="AE66" i="9"/>
  <c r="AG33" i="9"/>
  <c r="AF33" i="9"/>
  <c r="AS33" i="9" s="1"/>
  <c r="AE33" i="9"/>
  <c r="AG30" i="2"/>
  <c r="AL30" i="2" s="1"/>
  <c r="AI3" i="2"/>
  <c r="AH3" i="2"/>
  <c r="AI17" i="2"/>
  <c r="AH17" i="2"/>
  <c r="AG17" i="2"/>
  <c r="AI10" i="2"/>
  <c r="AH10" i="2"/>
  <c r="AG10" i="2"/>
  <c r="AU30" i="2"/>
  <c r="AS30" i="2"/>
  <c r="AR30" i="2"/>
  <c r="AQ30" i="2"/>
  <c r="AG17" i="6"/>
  <c r="AL33" i="9" l="1"/>
  <c r="AK33" i="9"/>
  <c r="AJ33" i="9"/>
  <c r="AL66" i="9"/>
  <c r="AK66" i="9"/>
  <c r="AJ66" i="9"/>
  <c r="AG51" i="2"/>
  <c r="AP33" i="9"/>
  <c r="AR33" i="9"/>
  <c r="AI30" i="2"/>
  <c r="AG66" i="9" s="1"/>
  <c r="AH30" i="2"/>
  <c r="AF66" i="9" s="1"/>
  <c r="AL51" i="2" l="1"/>
  <c r="AE99" i="9"/>
  <c r="AS66" i="9"/>
  <c r="AR66" i="9"/>
  <c r="AP66" i="9"/>
  <c r="AT30" i="2"/>
  <c r="AV30" i="2"/>
  <c r="AI51" i="2"/>
  <c r="AI24" i="2"/>
  <c r="AH51" i="2"/>
  <c r="AW30" i="2"/>
  <c r="AH24" i="2"/>
  <c r="AD22" i="7"/>
  <c r="AG48" i="3"/>
  <c r="AI31" i="1"/>
  <c r="AH31" i="1"/>
  <c r="AL99" i="9" l="1"/>
  <c r="AK99" i="9"/>
  <c r="AJ99" i="9"/>
  <c r="AH45" i="2"/>
  <c r="AW51" i="2"/>
  <c r="AV51" i="2"/>
  <c r="AF99" i="9"/>
  <c r="AT51" i="2"/>
  <c r="AI45" i="2"/>
  <c r="AG99" i="9"/>
  <c r="AG31" i="4"/>
  <c r="AS99" i="9" l="1"/>
  <c r="AR99" i="9"/>
  <c r="AP99" i="9"/>
  <c r="AG19" i="4"/>
  <c r="AG17" i="4" s="1"/>
  <c r="AF39" i="4"/>
  <c r="AF23" i="4"/>
  <c r="AF21" i="4" s="1"/>
  <c r="AE23" i="4"/>
  <c r="AD23" i="4"/>
  <c r="AJ57" i="5"/>
  <c r="AF22" i="3"/>
  <c r="AI58" i="1" l="1"/>
  <c r="AI57" i="1"/>
  <c r="AG57" i="1"/>
  <c r="AI97" i="1"/>
  <c r="DV39" i="8" l="1"/>
  <c r="AJ39" i="8" s="1"/>
  <c r="DW39" i="8"/>
  <c r="AK39" i="8" s="1"/>
  <c r="DV40" i="8"/>
  <c r="AJ40" i="8" s="1"/>
  <c r="DW40" i="8"/>
  <c r="AK40" i="8" s="1"/>
  <c r="AF69" i="1"/>
  <c r="AF29" i="1"/>
  <c r="CP582" i="8"/>
  <c r="CQ582" i="8" s="1"/>
  <c r="CP581" i="8"/>
  <c r="CQ581" i="8" s="1"/>
  <c r="CP580" i="8"/>
  <c r="CQ580" i="8" s="1"/>
  <c r="CP579" i="8"/>
  <c r="CQ579" i="8" s="1"/>
  <c r="CP578" i="8"/>
  <c r="CQ578" i="8" s="1"/>
  <c r="CP577" i="8"/>
  <c r="CQ577" i="8" s="1"/>
  <c r="CP576" i="8"/>
  <c r="CQ576" i="8" s="1"/>
  <c r="CP575" i="8"/>
  <c r="CQ575" i="8" s="1"/>
  <c r="CP574" i="8"/>
  <c r="CQ574" i="8" s="1"/>
  <c r="CP573" i="8"/>
  <c r="CQ573" i="8" s="1"/>
  <c r="CP572" i="8"/>
  <c r="CQ572" i="8" s="1"/>
  <c r="CP571" i="8"/>
  <c r="CQ571" i="8" s="1"/>
  <c r="CP570" i="8"/>
  <c r="CQ570" i="8" s="1"/>
  <c r="CP569" i="8"/>
  <c r="CQ569" i="8" s="1"/>
  <c r="CP568" i="8"/>
  <c r="CQ568" i="8" s="1"/>
  <c r="CP567" i="8"/>
  <c r="CQ567" i="8" s="1"/>
  <c r="CP566" i="8"/>
  <c r="CQ566" i="8" s="1"/>
  <c r="CP565" i="8"/>
  <c r="CQ565" i="8" s="1"/>
  <c r="CP564" i="8"/>
  <c r="CQ564" i="8" s="1"/>
  <c r="CP563" i="8"/>
  <c r="CQ563" i="8" s="1"/>
  <c r="CP562" i="8"/>
  <c r="CQ562" i="8" s="1"/>
  <c r="CP561" i="8"/>
  <c r="CQ561" i="8" s="1"/>
  <c r="CP560" i="8"/>
  <c r="CQ560" i="8" s="1"/>
  <c r="CP559" i="8"/>
  <c r="CQ559" i="8" s="1"/>
  <c r="CP558" i="8"/>
  <c r="CQ558" i="8" s="1"/>
  <c r="CP557" i="8"/>
  <c r="CQ557" i="8" s="1"/>
  <c r="CP556" i="8"/>
  <c r="CQ556" i="8" s="1"/>
  <c r="CP555" i="8"/>
  <c r="CQ555" i="8" s="1"/>
  <c r="CP554" i="8"/>
  <c r="CQ554" i="8" s="1"/>
  <c r="CP553" i="8"/>
  <c r="CQ553" i="8" s="1"/>
  <c r="CP552" i="8"/>
  <c r="CQ552" i="8" s="1"/>
  <c r="CP551" i="8"/>
  <c r="CQ551" i="8" s="1"/>
  <c r="CP550" i="8"/>
  <c r="CQ550" i="8" s="1"/>
  <c r="CP549" i="8"/>
  <c r="CQ549" i="8" s="1"/>
  <c r="CP548" i="8"/>
  <c r="CQ548" i="8" s="1"/>
  <c r="CP547" i="8"/>
  <c r="CQ547" i="8" s="1"/>
  <c r="CP546" i="8"/>
  <c r="CQ546" i="8" s="1"/>
  <c r="CP545" i="8"/>
  <c r="CQ545" i="8" s="1"/>
  <c r="CP544" i="8"/>
  <c r="CQ544" i="8" s="1"/>
  <c r="CP543" i="8"/>
  <c r="CQ543" i="8" s="1"/>
  <c r="CP542" i="8"/>
  <c r="CQ542" i="8" s="1"/>
  <c r="CP541" i="8"/>
  <c r="CQ541" i="8" s="1"/>
  <c r="CP540" i="8"/>
  <c r="CQ540" i="8" s="1"/>
  <c r="CP539" i="8"/>
  <c r="CQ539" i="8" s="1"/>
  <c r="CP538" i="8"/>
  <c r="CQ538" i="8" s="1"/>
  <c r="CP537" i="8"/>
  <c r="CQ537" i="8" s="1"/>
  <c r="CP536" i="8"/>
  <c r="CQ536" i="8" s="1"/>
  <c r="CP535" i="8"/>
  <c r="CQ535" i="8" s="1"/>
  <c r="CP534" i="8"/>
  <c r="CQ534" i="8" s="1"/>
  <c r="CP533" i="8"/>
  <c r="CQ533" i="8" s="1"/>
  <c r="CP532" i="8"/>
  <c r="CQ532" i="8" s="1"/>
  <c r="CP531" i="8"/>
  <c r="CQ531" i="8" s="1"/>
  <c r="CP530" i="8"/>
  <c r="CQ530" i="8" s="1"/>
  <c r="CP529" i="8"/>
  <c r="CQ529" i="8" s="1"/>
  <c r="CP528" i="8"/>
  <c r="CQ528" i="8" s="1"/>
  <c r="CP527" i="8"/>
  <c r="CQ527" i="8" s="1"/>
  <c r="CP526" i="8"/>
  <c r="CQ526" i="8" s="1"/>
  <c r="CP525" i="8"/>
  <c r="CQ525" i="8" s="1"/>
  <c r="CP524" i="8"/>
  <c r="CQ524" i="8" s="1"/>
  <c r="CP523" i="8"/>
  <c r="CQ523" i="8" s="1"/>
  <c r="CP522" i="8"/>
  <c r="CQ522" i="8" s="1"/>
  <c r="CP521" i="8"/>
  <c r="CQ521" i="8" s="1"/>
  <c r="CP520" i="8"/>
  <c r="CQ520" i="8" s="1"/>
  <c r="CP519" i="8"/>
  <c r="CQ519" i="8" s="1"/>
  <c r="CP518" i="8"/>
  <c r="CQ518" i="8" s="1"/>
  <c r="CP517" i="8"/>
  <c r="CQ517" i="8" s="1"/>
  <c r="CP516" i="8"/>
  <c r="CQ516" i="8" s="1"/>
  <c r="CP515" i="8"/>
  <c r="CQ515" i="8" s="1"/>
  <c r="CP514" i="8"/>
  <c r="CQ514" i="8" s="1"/>
  <c r="CP513" i="8"/>
  <c r="CQ513" i="8" s="1"/>
  <c r="CP512" i="8"/>
  <c r="CQ512" i="8" s="1"/>
  <c r="CP511" i="8"/>
  <c r="CQ511" i="8" s="1"/>
  <c r="CP510" i="8"/>
  <c r="CQ510" i="8" s="1"/>
  <c r="CP509" i="8"/>
  <c r="CQ509" i="8" s="1"/>
  <c r="CP508" i="8"/>
  <c r="CQ508" i="8" s="1"/>
  <c r="CP507" i="8"/>
  <c r="CQ507" i="8" s="1"/>
  <c r="CP506" i="8"/>
  <c r="CQ506" i="8" s="1"/>
  <c r="CP505" i="8"/>
  <c r="CQ505" i="8" s="1"/>
  <c r="CP504" i="8"/>
  <c r="CQ504" i="8" s="1"/>
  <c r="CP503" i="8"/>
  <c r="CQ503" i="8" s="1"/>
  <c r="CP502" i="8"/>
  <c r="CQ502" i="8" s="1"/>
  <c r="CP501" i="8"/>
  <c r="CQ501" i="8" s="1"/>
  <c r="CP500" i="8"/>
  <c r="CQ500" i="8" s="1"/>
  <c r="CP499" i="8"/>
  <c r="CQ499" i="8" s="1"/>
  <c r="CP498" i="8"/>
  <c r="CQ498" i="8" s="1"/>
  <c r="CP497" i="8"/>
  <c r="CQ497" i="8" s="1"/>
  <c r="CP496" i="8"/>
  <c r="CQ496" i="8" s="1"/>
  <c r="CP495" i="8"/>
  <c r="CQ495" i="8" s="1"/>
  <c r="CP494" i="8"/>
  <c r="CQ494" i="8" s="1"/>
  <c r="CP493" i="8"/>
  <c r="CQ493" i="8" s="1"/>
  <c r="CP492" i="8"/>
  <c r="CQ492" i="8" s="1"/>
  <c r="CP491" i="8"/>
  <c r="CQ491" i="8" s="1"/>
  <c r="CP490" i="8"/>
  <c r="CQ490" i="8" s="1"/>
  <c r="CP489" i="8"/>
  <c r="CQ489" i="8" s="1"/>
  <c r="CP488" i="8"/>
  <c r="CQ488" i="8" s="1"/>
  <c r="CP487" i="8"/>
  <c r="CQ487" i="8" s="1"/>
  <c r="CP486" i="8"/>
  <c r="CQ486" i="8" s="1"/>
  <c r="CP485" i="8"/>
  <c r="CQ485" i="8" s="1"/>
  <c r="CP484" i="8"/>
  <c r="CQ484" i="8" s="1"/>
  <c r="CP483" i="8"/>
  <c r="CQ483" i="8" s="1"/>
  <c r="CP482" i="8"/>
  <c r="CQ482" i="8" s="1"/>
  <c r="CP481" i="8"/>
  <c r="CQ481" i="8" s="1"/>
  <c r="CP480" i="8"/>
  <c r="CQ480" i="8" s="1"/>
  <c r="CP479" i="8"/>
  <c r="CQ479" i="8" s="1"/>
  <c r="CP478" i="8"/>
  <c r="CQ478" i="8" s="1"/>
  <c r="CP477" i="8"/>
  <c r="CQ477" i="8" s="1"/>
  <c r="CP476" i="8"/>
  <c r="CQ476" i="8" s="1"/>
  <c r="CP475" i="8"/>
  <c r="CQ475" i="8" s="1"/>
  <c r="CP474" i="8"/>
  <c r="CQ474" i="8" s="1"/>
  <c r="CP473" i="8"/>
  <c r="CQ473" i="8" s="1"/>
  <c r="CP472" i="8"/>
  <c r="CQ472" i="8" s="1"/>
  <c r="CP471" i="8"/>
  <c r="CQ471" i="8" s="1"/>
  <c r="CP470" i="8"/>
  <c r="CQ470" i="8" s="1"/>
  <c r="CP469" i="8"/>
  <c r="CQ469" i="8" s="1"/>
  <c r="CP468" i="8"/>
  <c r="CQ468" i="8" s="1"/>
  <c r="CP467" i="8"/>
  <c r="CQ467" i="8" s="1"/>
  <c r="CP466" i="8"/>
  <c r="CQ466" i="8" s="1"/>
  <c r="CP465" i="8"/>
  <c r="CQ465" i="8" s="1"/>
  <c r="CP464" i="8"/>
  <c r="CQ464" i="8" s="1"/>
  <c r="CP463" i="8"/>
  <c r="CQ463" i="8" s="1"/>
  <c r="CP462" i="8"/>
  <c r="CQ462" i="8" s="1"/>
  <c r="CP461" i="8"/>
  <c r="CQ461" i="8" s="1"/>
  <c r="CP460" i="8"/>
  <c r="CQ460" i="8" s="1"/>
  <c r="CP459" i="8"/>
  <c r="CQ459" i="8" s="1"/>
  <c r="CP458" i="8"/>
  <c r="CQ458" i="8" s="1"/>
  <c r="CP457" i="8"/>
  <c r="CQ457" i="8" s="1"/>
  <c r="CP456" i="8"/>
  <c r="CQ456" i="8" s="1"/>
  <c r="CP455" i="8"/>
  <c r="CQ455" i="8" s="1"/>
  <c r="CP454" i="8"/>
  <c r="CQ454" i="8" s="1"/>
  <c r="CP453" i="8"/>
  <c r="CQ453" i="8" s="1"/>
  <c r="CP452" i="8"/>
  <c r="CQ452" i="8" s="1"/>
  <c r="CP451" i="8"/>
  <c r="CQ451" i="8" s="1"/>
  <c r="CP450" i="8"/>
  <c r="CQ450" i="8" s="1"/>
  <c r="CP449" i="8"/>
  <c r="CQ449" i="8" s="1"/>
  <c r="CP448" i="8"/>
  <c r="CQ448" i="8" s="1"/>
  <c r="CP447" i="8"/>
  <c r="CQ447" i="8" s="1"/>
  <c r="CP446" i="8"/>
  <c r="CQ446" i="8" s="1"/>
  <c r="CP445" i="8"/>
  <c r="CQ445" i="8" s="1"/>
  <c r="CP444" i="8"/>
  <c r="CQ444" i="8" s="1"/>
  <c r="CP443" i="8"/>
  <c r="CQ443" i="8" s="1"/>
  <c r="CP442" i="8"/>
  <c r="CQ442" i="8" s="1"/>
  <c r="CP441" i="8"/>
  <c r="CQ441" i="8" s="1"/>
  <c r="CP440" i="8"/>
  <c r="CQ440" i="8" s="1"/>
  <c r="CP439" i="8"/>
  <c r="CQ439" i="8" s="1"/>
  <c r="CP438" i="8"/>
  <c r="CQ438" i="8" s="1"/>
  <c r="CP437" i="8"/>
  <c r="CQ437" i="8" s="1"/>
  <c r="CP436" i="8"/>
  <c r="CQ436" i="8" s="1"/>
  <c r="CP435" i="8"/>
  <c r="CQ435" i="8" s="1"/>
  <c r="CP434" i="8"/>
  <c r="CQ434" i="8" s="1"/>
  <c r="CP433" i="8"/>
  <c r="CQ433" i="8" s="1"/>
  <c r="CP432" i="8"/>
  <c r="CQ432" i="8" s="1"/>
  <c r="CP431" i="8"/>
  <c r="CQ431" i="8" s="1"/>
  <c r="CP430" i="8"/>
  <c r="CQ430" i="8" s="1"/>
  <c r="CP429" i="8"/>
  <c r="CQ429" i="8" s="1"/>
  <c r="CP428" i="8"/>
  <c r="CQ428" i="8" s="1"/>
  <c r="CP427" i="8"/>
  <c r="CQ427" i="8" s="1"/>
  <c r="CP426" i="8"/>
  <c r="CQ426" i="8" s="1"/>
  <c r="CP425" i="8"/>
  <c r="CQ425" i="8" s="1"/>
  <c r="CP424" i="8"/>
  <c r="CQ424" i="8" s="1"/>
  <c r="CP423" i="8"/>
  <c r="CQ423" i="8" s="1"/>
  <c r="CP422" i="8"/>
  <c r="CQ422" i="8" s="1"/>
  <c r="CP421" i="8"/>
  <c r="CQ421" i="8" s="1"/>
  <c r="CP420" i="8"/>
  <c r="CQ420" i="8" s="1"/>
  <c r="CP419" i="8"/>
  <c r="CQ419" i="8" s="1"/>
  <c r="CP418" i="8"/>
  <c r="CQ418" i="8" s="1"/>
  <c r="CP417" i="8"/>
  <c r="CQ417" i="8" s="1"/>
  <c r="CP416" i="8"/>
  <c r="CQ416" i="8" s="1"/>
  <c r="CP415" i="8"/>
  <c r="CQ415" i="8" s="1"/>
  <c r="CP414" i="8"/>
  <c r="CQ414" i="8" s="1"/>
  <c r="CP413" i="8"/>
  <c r="CQ413" i="8" s="1"/>
  <c r="CP412" i="8"/>
  <c r="CQ412" i="8" s="1"/>
  <c r="CP411" i="8"/>
  <c r="CQ411" i="8" s="1"/>
  <c r="CP410" i="8"/>
  <c r="CQ410" i="8" s="1"/>
  <c r="CP409" i="8"/>
  <c r="CQ409" i="8" s="1"/>
  <c r="CP408" i="8"/>
  <c r="CQ408" i="8" s="1"/>
  <c r="CP407" i="8"/>
  <c r="CQ407" i="8" s="1"/>
  <c r="CP406" i="8"/>
  <c r="CQ406" i="8" s="1"/>
  <c r="CP405" i="8"/>
  <c r="CQ405" i="8" s="1"/>
  <c r="CP404" i="8"/>
  <c r="CQ404" i="8" s="1"/>
  <c r="CP403" i="8"/>
  <c r="CQ403" i="8" s="1"/>
  <c r="CP402" i="8"/>
  <c r="CQ402" i="8" s="1"/>
  <c r="CP401" i="8"/>
  <c r="CQ401" i="8" s="1"/>
  <c r="CP400" i="8"/>
  <c r="CQ400" i="8" s="1"/>
  <c r="CP399" i="8"/>
  <c r="CQ399" i="8" s="1"/>
  <c r="CP398" i="8"/>
  <c r="CQ398" i="8" s="1"/>
  <c r="CP397" i="8"/>
  <c r="CQ397" i="8" s="1"/>
  <c r="CP396" i="8"/>
  <c r="CQ396" i="8" s="1"/>
  <c r="CP395" i="8"/>
  <c r="CQ395" i="8" s="1"/>
  <c r="CP394" i="8"/>
  <c r="CQ394" i="8" s="1"/>
  <c r="CP393" i="8"/>
  <c r="CQ393" i="8" s="1"/>
  <c r="CP392" i="8"/>
  <c r="CQ392" i="8" s="1"/>
  <c r="CP391" i="8"/>
  <c r="CQ391" i="8" s="1"/>
  <c r="CP390" i="8"/>
  <c r="CQ390" i="8" s="1"/>
  <c r="CP389" i="8"/>
  <c r="CQ389" i="8" s="1"/>
  <c r="CP388" i="8"/>
  <c r="CQ388" i="8" s="1"/>
  <c r="CP387" i="8"/>
  <c r="CQ387" i="8" s="1"/>
  <c r="CP386" i="8"/>
  <c r="CQ386" i="8" s="1"/>
  <c r="CP385" i="8"/>
  <c r="CQ385" i="8" s="1"/>
  <c r="CP384" i="8"/>
  <c r="CQ384" i="8" s="1"/>
  <c r="CP383" i="8"/>
  <c r="CQ383" i="8" s="1"/>
  <c r="CP382" i="8"/>
  <c r="CQ382" i="8" s="1"/>
  <c r="CP381" i="8"/>
  <c r="CQ381" i="8" s="1"/>
  <c r="CP380" i="8"/>
  <c r="CQ380" i="8" s="1"/>
  <c r="CP379" i="8"/>
  <c r="CQ379" i="8" s="1"/>
  <c r="CP378" i="8"/>
  <c r="CQ378" i="8" s="1"/>
  <c r="CP377" i="8"/>
  <c r="CQ377" i="8" s="1"/>
  <c r="CP376" i="8"/>
  <c r="CQ376" i="8" s="1"/>
  <c r="CP375" i="8"/>
  <c r="CQ375" i="8" s="1"/>
  <c r="CP374" i="8"/>
  <c r="CQ374" i="8" s="1"/>
  <c r="CP373" i="8"/>
  <c r="CQ373" i="8" s="1"/>
  <c r="CP372" i="8"/>
  <c r="CQ372" i="8" s="1"/>
  <c r="CP371" i="8"/>
  <c r="CQ371" i="8" s="1"/>
  <c r="CP370" i="8"/>
  <c r="CQ370" i="8" s="1"/>
  <c r="CP369" i="8"/>
  <c r="CQ369" i="8" s="1"/>
  <c r="CP368" i="8"/>
  <c r="CQ368" i="8" s="1"/>
  <c r="CP367" i="8"/>
  <c r="CQ367" i="8" s="1"/>
  <c r="CP366" i="8"/>
  <c r="CQ366" i="8" s="1"/>
  <c r="CP365" i="8"/>
  <c r="CQ365" i="8" s="1"/>
  <c r="CP364" i="8"/>
  <c r="CQ364" i="8" s="1"/>
  <c r="CP363" i="8"/>
  <c r="CQ363" i="8" s="1"/>
  <c r="CP362" i="8"/>
  <c r="CQ362" i="8" s="1"/>
  <c r="CP361" i="8"/>
  <c r="CQ361" i="8" s="1"/>
  <c r="CP360" i="8"/>
  <c r="CQ360" i="8" s="1"/>
  <c r="CP359" i="8"/>
  <c r="CQ359" i="8" s="1"/>
  <c r="CP358" i="8"/>
  <c r="CQ358" i="8" s="1"/>
  <c r="CP357" i="8"/>
  <c r="CQ357" i="8" s="1"/>
  <c r="CP356" i="8"/>
  <c r="CQ356" i="8" s="1"/>
  <c r="CP355" i="8"/>
  <c r="CQ355" i="8" s="1"/>
  <c r="CP354" i="8"/>
  <c r="CQ354" i="8" s="1"/>
  <c r="CP353" i="8"/>
  <c r="CQ353" i="8" s="1"/>
  <c r="CP352" i="8"/>
  <c r="CQ352" i="8" s="1"/>
  <c r="CP351" i="8"/>
  <c r="CQ351" i="8" s="1"/>
  <c r="CP350" i="8"/>
  <c r="CP349" i="8"/>
  <c r="CQ349" i="8" s="1"/>
  <c r="CP348" i="8"/>
  <c r="CQ348" i="8" s="1"/>
  <c r="CP347" i="8"/>
  <c r="CQ347" i="8" s="1"/>
  <c r="CP346" i="8"/>
  <c r="CQ346" i="8" s="1"/>
  <c r="CP345" i="8"/>
  <c r="CQ345" i="8" s="1"/>
  <c r="CP344" i="8"/>
  <c r="CQ344" i="8" s="1"/>
  <c r="CP343" i="8"/>
  <c r="CQ343" i="8" s="1"/>
  <c r="CP342" i="8"/>
  <c r="CQ342" i="8" s="1"/>
  <c r="CP341" i="8"/>
  <c r="CQ341" i="8" s="1"/>
  <c r="CP340" i="8"/>
  <c r="CQ340" i="8" s="1"/>
  <c r="CP339" i="8"/>
  <c r="CQ339" i="8" s="1"/>
  <c r="CP338" i="8"/>
  <c r="CQ338" i="8" s="1"/>
  <c r="CP337" i="8"/>
  <c r="CQ337" i="8" s="1"/>
  <c r="CP336" i="8"/>
  <c r="CQ336" i="8" s="1"/>
  <c r="CP335" i="8"/>
  <c r="CQ335" i="8" s="1"/>
  <c r="CP334" i="8"/>
  <c r="CQ334" i="8" s="1"/>
  <c r="CP333" i="8"/>
  <c r="CQ333" i="8" s="1"/>
  <c r="CP332" i="8"/>
  <c r="CQ332" i="8" s="1"/>
  <c r="CP331" i="8"/>
  <c r="CQ331" i="8" s="1"/>
  <c r="CP330" i="8"/>
  <c r="CQ330" i="8" s="1"/>
  <c r="CP329" i="8"/>
  <c r="CQ329" i="8" s="1"/>
  <c r="CP328" i="8"/>
  <c r="CQ328" i="8" s="1"/>
  <c r="CP327" i="8"/>
  <c r="CQ327" i="8" s="1"/>
  <c r="CP326" i="8"/>
  <c r="CQ326" i="8" s="1"/>
  <c r="CP325" i="8"/>
  <c r="CQ325" i="8" s="1"/>
  <c r="CP324" i="8"/>
  <c r="CQ324" i="8" s="1"/>
  <c r="CP323" i="8"/>
  <c r="CQ323" i="8" s="1"/>
  <c r="CP322" i="8"/>
  <c r="CQ322" i="8" s="1"/>
  <c r="CP321" i="8"/>
  <c r="CQ321" i="8" s="1"/>
  <c r="CP320" i="8"/>
  <c r="CQ320" i="8" s="1"/>
  <c r="CP319" i="8"/>
  <c r="CQ319" i="8" s="1"/>
  <c r="CP318" i="8"/>
  <c r="CQ318" i="8" s="1"/>
  <c r="CP317" i="8"/>
  <c r="CQ317" i="8" s="1"/>
  <c r="CP316" i="8"/>
  <c r="CQ316" i="8" s="1"/>
  <c r="CP315" i="8"/>
  <c r="CQ315" i="8" s="1"/>
  <c r="CP314" i="8"/>
  <c r="CQ314" i="8" s="1"/>
  <c r="CP313" i="8"/>
  <c r="CQ313" i="8" s="1"/>
  <c r="CP312" i="8"/>
  <c r="CQ312" i="8" s="1"/>
  <c r="CP311" i="8"/>
  <c r="CQ311" i="8" s="1"/>
  <c r="CP310" i="8"/>
  <c r="CQ310" i="8" s="1"/>
  <c r="CP309" i="8"/>
  <c r="CQ309" i="8" s="1"/>
  <c r="CP308" i="8"/>
  <c r="CQ308" i="8" s="1"/>
  <c r="CP307" i="8"/>
  <c r="CQ307" i="8" s="1"/>
  <c r="CP306" i="8"/>
  <c r="CQ306" i="8" s="1"/>
  <c r="CP305" i="8"/>
  <c r="CQ305" i="8" s="1"/>
  <c r="CP304" i="8"/>
  <c r="CQ304" i="8" s="1"/>
  <c r="CP303" i="8"/>
  <c r="CQ303" i="8" s="1"/>
  <c r="CP302" i="8"/>
  <c r="CQ302" i="8" s="1"/>
  <c r="CP301" i="8"/>
  <c r="CQ301" i="8" s="1"/>
  <c r="CP300" i="8"/>
  <c r="CQ300" i="8" s="1"/>
  <c r="CP299" i="8"/>
  <c r="CQ299" i="8" s="1"/>
  <c r="CP298" i="8"/>
  <c r="CQ298" i="8" s="1"/>
  <c r="CP297" i="8"/>
  <c r="CQ297" i="8" s="1"/>
  <c r="CP296" i="8"/>
  <c r="CQ296" i="8" s="1"/>
  <c r="CP295" i="8"/>
  <c r="CQ295" i="8" s="1"/>
  <c r="CP294" i="8"/>
  <c r="CQ294" i="8" s="1"/>
  <c r="CP293" i="8"/>
  <c r="CQ293" i="8" s="1"/>
  <c r="CP292" i="8"/>
  <c r="CQ292" i="8" s="1"/>
  <c r="CP291" i="8"/>
  <c r="CQ291" i="8" s="1"/>
  <c r="CP290" i="8"/>
  <c r="CQ290" i="8" s="1"/>
  <c r="CP289" i="8"/>
  <c r="CQ289" i="8" s="1"/>
  <c r="CP288" i="8"/>
  <c r="CQ288" i="8" s="1"/>
  <c r="CP287" i="8"/>
  <c r="CQ287" i="8" s="1"/>
  <c r="CP286" i="8"/>
  <c r="CQ286" i="8" s="1"/>
  <c r="CP285" i="8"/>
  <c r="CQ285" i="8" s="1"/>
  <c r="CP284" i="8"/>
  <c r="CQ284" i="8" s="1"/>
  <c r="CP283" i="8"/>
  <c r="CQ283" i="8" s="1"/>
  <c r="CP282" i="8"/>
  <c r="CQ282" i="8" s="1"/>
  <c r="CP281" i="8"/>
  <c r="CQ281" i="8" s="1"/>
  <c r="CP280" i="8"/>
  <c r="CQ280" i="8" s="1"/>
  <c r="CP279" i="8"/>
  <c r="CQ279" i="8" s="1"/>
  <c r="CP278" i="8"/>
  <c r="CQ278" i="8" s="1"/>
  <c r="CP277" i="8"/>
  <c r="CQ277" i="8" s="1"/>
  <c r="CP276" i="8"/>
  <c r="CQ276" i="8" s="1"/>
  <c r="CP275" i="8"/>
  <c r="CQ275" i="8" s="1"/>
  <c r="CP274" i="8"/>
  <c r="CQ274" i="8" s="1"/>
  <c r="CP273" i="8"/>
  <c r="CQ273" i="8" s="1"/>
  <c r="CP272" i="8"/>
  <c r="CQ272" i="8" s="1"/>
  <c r="CP271" i="8"/>
  <c r="CQ271" i="8" s="1"/>
  <c r="CP270" i="8"/>
  <c r="CQ270" i="8" s="1"/>
  <c r="CP269" i="8"/>
  <c r="CQ269" i="8" s="1"/>
  <c r="CP268" i="8"/>
  <c r="CQ268" i="8" s="1"/>
  <c r="CP267" i="8"/>
  <c r="CQ267" i="8" s="1"/>
  <c r="CP266" i="8"/>
  <c r="CQ266" i="8" s="1"/>
  <c r="CP265" i="8"/>
  <c r="CQ265" i="8" s="1"/>
  <c r="CP264" i="8"/>
  <c r="CQ264" i="8" s="1"/>
  <c r="CP263" i="8"/>
  <c r="CQ263" i="8" s="1"/>
  <c r="CP262" i="8"/>
  <c r="CQ262" i="8" s="1"/>
  <c r="CP261" i="8"/>
  <c r="CQ261" i="8" s="1"/>
  <c r="CP260" i="8"/>
  <c r="CQ260" i="8" s="1"/>
  <c r="CP259" i="8"/>
  <c r="CQ259" i="8" s="1"/>
  <c r="CP258" i="8"/>
  <c r="CQ258" i="8" s="1"/>
  <c r="CP257" i="8"/>
  <c r="CQ257" i="8" s="1"/>
  <c r="CP256" i="8"/>
  <c r="CQ256" i="8" s="1"/>
  <c r="CP255" i="8"/>
  <c r="CQ255" i="8" s="1"/>
  <c r="CP254" i="8"/>
  <c r="CQ254" i="8" s="1"/>
  <c r="CP253" i="8"/>
  <c r="CQ253" i="8" s="1"/>
  <c r="CP252" i="8"/>
  <c r="CQ252" i="8" s="1"/>
  <c r="CP251" i="8"/>
  <c r="CQ251" i="8" s="1"/>
  <c r="CP250" i="8"/>
  <c r="CQ250" i="8" s="1"/>
  <c r="CP249" i="8"/>
  <c r="CQ249" i="8" s="1"/>
  <c r="CP248" i="8"/>
  <c r="CQ248" i="8" s="1"/>
  <c r="CP247" i="8"/>
  <c r="CQ247" i="8" s="1"/>
  <c r="CP246" i="8"/>
  <c r="CQ246" i="8" s="1"/>
  <c r="CP245" i="8"/>
  <c r="CQ245" i="8" s="1"/>
  <c r="CP244" i="8"/>
  <c r="CQ244" i="8" s="1"/>
  <c r="CP243" i="8"/>
  <c r="CQ243" i="8" s="1"/>
  <c r="CP242" i="8"/>
  <c r="CQ242" i="8" s="1"/>
  <c r="CP241" i="8"/>
  <c r="CQ241" i="8" s="1"/>
  <c r="CP240" i="8"/>
  <c r="CQ240" i="8" s="1"/>
  <c r="CP239" i="8"/>
  <c r="CQ239" i="8" s="1"/>
  <c r="CP238" i="8"/>
  <c r="CQ238" i="8" s="1"/>
  <c r="CP237" i="8"/>
  <c r="CQ237" i="8" s="1"/>
  <c r="CP236" i="8"/>
  <c r="CQ236" i="8" s="1"/>
  <c r="CP235" i="8"/>
  <c r="CQ235" i="8" s="1"/>
  <c r="CP234" i="8"/>
  <c r="CQ234" i="8" s="1"/>
  <c r="CP233" i="8"/>
  <c r="CQ233" i="8" s="1"/>
  <c r="CP232" i="8"/>
  <c r="CQ232" i="8" s="1"/>
  <c r="CP231" i="8"/>
  <c r="CQ231" i="8" s="1"/>
  <c r="CP230" i="8"/>
  <c r="CQ230" i="8" s="1"/>
  <c r="CP229" i="8"/>
  <c r="CQ229" i="8" s="1"/>
  <c r="CP228" i="8"/>
  <c r="CQ228" i="8" s="1"/>
  <c r="CP227" i="8"/>
  <c r="CQ227" i="8" s="1"/>
  <c r="CP226" i="8"/>
  <c r="CQ226" i="8" s="1"/>
  <c r="CP225" i="8"/>
  <c r="CQ225" i="8" s="1"/>
  <c r="CP224" i="8"/>
  <c r="CQ224" i="8" s="1"/>
  <c r="CP223" i="8"/>
  <c r="CQ223" i="8" s="1"/>
  <c r="CP222" i="8"/>
  <c r="CQ222" i="8" s="1"/>
  <c r="CP221" i="8"/>
  <c r="CQ221" i="8" s="1"/>
  <c r="CP220" i="8"/>
  <c r="CQ220" i="8" s="1"/>
  <c r="CP219" i="8"/>
  <c r="CQ219" i="8" s="1"/>
  <c r="CP218" i="8"/>
  <c r="CQ218" i="8" s="1"/>
  <c r="CP217" i="8"/>
  <c r="CQ217" i="8" s="1"/>
  <c r="CP216" i="8"/>
  <c r="CQ216" i="8" s="1"/>
  <c r="CP215" i="8"/>
  <c r="CQ215" i="8" s="1"/>
  <c r="CP214" i="8"/>
  <c r="CQ214" i="8" s="1"/>
  <c r="CP213" i="8"/>
  <c r="CQ213" i="8" s="1"/>
  <c r="CP212" i="8"/>
  <c r="CQ212" i="8" s="1"/>
  <c r="CP211" i="8"/>
  <c r="CQ211" i="8" s="1"/>
  <c r="CP210" i="8"/>
  <c r="CQ210" i="8" s="1"/>
  <c r="CP209" i="8"/>
  <c r="CQ209" i="8" s="1"/>
  <c r="CP208" i="8"/>
  <c r="CQ208" i="8" s="1"/>
  <c r="CP207" i="8"/>
  <c r="CQ207" i="8" s="1"/>
  <c r="CP206" i="8"/>
  <c r="CQ206" i="8" s="1"/>
  <c r="CP205" i="8"/>
  <c r="CQ205" i="8" s="1"/>
  <c r="CP204" i="8"/>
  <c r="CQ204" i="8" s="1"/>
  <c r="CP203" i="8"/>
  <c r="CQ203" i="8" s="1"/>
  <c r="CP202" i="8"/>
  <c r="CQ202" i="8" s="1"/>
  <c r="CP201" i="8"/>
  <c r="CQ201" i="8" s="1"/>
  <c r="CP200" i="8"/>
  <c r="CQ200" i="8" s="1"/>
  <c r="CP199" i="8"/>
  <c r="CQ199" i="8" s="1"/>
  <c r="CP198" i="8"/>
  <c r="CQ198" i="8" s="1"/>
  <c r="CP197" i="8"/>
  <c r="CQ197" i="8" s="1"/>
  <c r="CP196" i="8"/>
  <c r="CQ196" i="8" s="1"/>
  <c r="CP195" i="8"/>
  <c r="CQ195" i="8" s="1"/>
  <c r="CP194" i="8"/>
  <c r="CQ194" i="8" s="1"/>
  <c r="CP193" i="8"/>
  <c r="CQ193" i="8" s="1"/>
  <c r="CP192" i="8"/>
  <c r="CQ192" i="8" s="1"/>
  <c r="CP191" i="8"/>
  <c r="CQ191" i="8" s="1"/>
  <c r="CP190" i="8"/>
  <c r="CQ190" i="8" s="1"/>
  <c r="CP189" i="8"/>
  <c r="CQ189" i="8" s="1"/>
  <c r="CP188" i="8"/>
  <c r="CQ188" i="8" s="1"/>
  <c r="CP187" i="8"/>
  <c r="CQ187" i="8" s="1"/>
  <c r="CP186" i="8"/>
  <c r="CP185" i="8"/>
  <c r="CQ185" i="8" s="1"/>
  <c r="CP184" i="8"/>
  <c r="CQ184" i="8" s="1"/>
  <c r="CP183" i="8"/>
  <c r="CQ183" i="8" s="1"/>
  <c r="CP182" i="8"/>
  <c r="CQ182" i="8" s="1"/>
  <c r="CP181" i="8"/>
  <c r="CQ181" i="8" s="1"/>
  <c r="CP180" i="8"/>
  <c r="CQ180" i="8" s="1"/>
  <c r="CP179" i="8"/>
  <c r="CQ179" i="8" s="1"/>
  <c r="CP178" i="8"/>
  <c r="CQ178" i="8" s="1"/>
  <c r="CP177" i="8"/>
  <c r="CQ177" i="8" s="1"/>
  <c r="CP176" i="8"/>
  <c r="CQ176" i="8" s="1"/>
  <c r="CP175" i="8"/>
  <c r="CQ175" i="8" s="1"/>
  <c r="CP174" i="8"/>
  <c r="CQ174" i="8" s="1"/>
  <c r="CP173" i="8"/>
  <c r="CQ173" i="8" s="1"/>
  <c r="CP172" i="8"/>
  <c r="CQ172" i="8" s="1"/>
  <c r="CP171" i="8"/>
  <c r="CQ171" i="8" s="1"/>
  <c r="CP170" i="8"/>
  <c r="CQ170" i="8" s="1"/>
  <c r="CP169" i="8"/>
  <c r="CQ169" i="8" s="1"/>
  <c r="CP168" i="8"/>
  <c r="CQ168" i="8" s="1"/>
  <c r="CP167" i="8"/>
  <c r="CQ167" i="8" s="1"/>
  <c r="CP166" i="8"/>
  <c r="CQ166" i="8" s="1"/>
  <c r="CP165" i="8"/>
  <c r="CQ165" i="8" s="1"/>
  <c r="CP164" i="8"/>
  <c r="CQ164" i="8" s="1"/>
  <c r="CP163" i="8"/>
  <c r="CQ163" i="8" s="1"/>
  <c r="CP162" i="8"/>
  <c r="CQ162" i="8" s="1"/>
  <c r="CP161" i="8"/>
  <c r="CQ161" i="8" s="1"/>
  <c r="CP160" i="8"/>
  <c r="CQ160" i="8" s="1"/>
  <c r="CP159" i="8"/>
  <c r="CQ159" i="8" s="1"/>
  <c r="CP158" i="8"/>
  <c r="CQ158" i="8" s="1"/>
  <c r="CP157" i="8"/>
  <c r="CQ157" i="8" s="1"/>
  <c r="CP156" i="8"/>
  <c r="CQ156" i="8" s="1"/>
  <c r="CP155" i="8"/>
  <c r="CQ155" i="8" s="1"/>
  <c r="CP154" i="8"/>
  <c r="CQ154" i="8" s="1"/>
  <c r="CP153" i="8"/>
  <c r="CQ153" i="8" s="1"/>
  <c r="CP152" i="8"/>
  <c r="CQ152" i="8" s="1"/>
  <c r="CP151" i="8"/>
  <c r="CQ151" i="8" s="1"/>
  <c r="CP150" i="8"/>
  <c r="CQ150" i="8" s="1"/>
  <c r="CP149" i="8"/>
  <c r="CQ149" i="8" s="1"/>
  <c r="CP148" i="8"/>
  <c r="CQ148" i="8" s="1"/>
  <c r="CP147" i="8"/>
  <c r="CQ147" i="8" s="1"/>
  <c r="CP146" i="8"/>
  <c r="CQ146" i="8" s="1"/>
  <c r="CP145" i="8"/>
  <c r="CQ145" i="8" s="1"/>
  <c r="CP144" i="8"/>
  <c r="CQ144" i="8" s="1"/>
  <c r="CP143" i="8"/>
  <c r="CQ143" i="8" s="1"/>
  <c r="CP142" i="8"/>
  <c r="CQ142" i="8" s="1"/>
  <c r="CP141" i="8"/>
  <c r="CQ141" i="8" s="1"/>
  <c r="CP140" i="8"/>
  <c r="CQ140" i="8" s="1"/>
  <c r="CP139" i="8"/>
  <c r="CQ139" i="8" s="1"/>
  <c r="CP138" i="8"/>
  <c r="CQ138" i="8" s="1"/>
  <c r="CP137" i="8"/>
  <c r="CQ137" i="8" s="1"/>
  <c r="CP136" i="8"/>
  <c r="CQ136" i="8" s="1"/>
  <c r="CP135" i="8"/>
  <c r="CQ135" i="8" s="1"/>
  <c r="CP134" i="8"/>
  <c r="CQ134" i="8" s="1"/>
  <c r="CP133" i="8"/>
  <c r="CQ133" i="8" s="1"/>
  <c r="CP132" i="8"/>
  <c r="CQ132" i="8" s="1"/>
  <c r="CP131" i="8"/>
  <c r="CQ131" i="8" s="1"/>
  <c r="CP130" i="8"/>
  <c r="CQ130" i="8" s="1"/>
  <c r="CP129" i="8"/>
  <c r="CQ129" i="8" s="1"/>
  <c r="CP128" i="8"/>
  <c r="CQ128" i="8" s="1"/>
  <c r="CP127" i="8"/>
  <c r="CQ127" i="8" s="1"/>
  <c r="CP126" i="8"/>
  <c r="CQ126" i="8" s="1"/>
  <c r="CP125" i="8"/>
  <c r="CQ125" i="8" s="1"/>
  <c r="CP124" i="8"/>
  <c r="CQ124" i="8" s="1"/>
  <c r="CP123" i="8"/>
  <c r="CQ123" i="8" s="1"/>
  <c r="CP122" i="8"/>
  <c r="CQ122" i="8" s="1"/>
  <c r="CP121" i="8"/>
  <c r="CQ121" i="8" s="1"/>
  <c r="CP120" i="8"/>
  <c r="CQ120" i="8" s="1"/>
  <c r="CP119" i="8"/>
  <c r="CQ119" i="8" s="1"/>
  <c r="CP118" i="8"/>
  <c r="CQ118" i="8" s="1"/>
  <c r="CP117" i="8"/>
  <c r="CQ117" i="8" s="1"/>
  <c r="CP116" i="8"/>
  <c r="CQ116" i="8" s="1"/>
  <c r="CP115" i="8"/>
  <c r="CQ115" i="8" s="1"/>
  <c r="CP114" i="8"/>
  <c r="CQ114" i="8" s="1"/>
  <c r="CP113" i="8"/>
  <c r="CQ113" i="8" s="1"/>
  <c r="CP112" i="8"/>
  <c r="CQ112" i="8" s="1"/>
  <c r="CP111" i="8"/>
  <c r="CQ111" i="8" s="1"/>
  <c r="CP110" i="8"/>
  <c r="CQ110" i="8" s="1"/>
  <c r="CP109" i="8"/>
  <c r="CQ109" i="8" s="1"/>
  <c r="CP108" i="8"/>
  <c r="CQ108" i="8" s="1"/>
  <c r="CP107" i="8"/>
  <c r="CQ107" i="8" s="1"/>
  <c r="CP106" i="8"/>
  <c r="CQ106" i="8" s="1"/>
  <c r="CP105" i="8"/>
  <c r="CQ105" i="8" s="1"/>
  <c r="CP104" i="8"/>
  <c r="CQ104" i="8" s="1"/>
  <c r="CP103" i="8"/>
  <c r="CQ103" i="8" s="1"/>
  <c r="CP102" i="8"/>
  <c r="CQ102" i="8" s="1"/>
  <c r="CP101" i="8"/>
  <c r="CQ101" i="8" s="1"/>
  <c r="CP100" i="8"/>
  <c r="CQ100" i="8" s="1"/>
  <c r="CP99" i="8"/>
  <c r="CQ99" i="8" s="1"/>
  <c r="CP98" i="8"/>
  <c r="CQ98" i="8" s="1"/>
  <c r="CP97" i="8"/>
  <c r="CQ97" i="8" s="1"/>
  <c r="CP96" i="8"/>
  <c r="CQ96" i="8" s="1"/>
  <c r="CP95" i="8"/>
  <c r="CQ95" i="8" s="1"/>
  <c r="CP94" i="8"/>
  <c r="CQ94" i="8" s="1"/>
  <c r="CP93" i="8"/>
  <c r="CQ93" i="8" s="1"/>
  <c r="CP92" i="8"/>
  <c r="CQ92" i="8" s="1"/>
  <c r="CP91" i="8"/>
  <c r="CQ91" i="8" s="1"/>
  <c r="CP90" i="8"/>
  <c r="CP89" i="8"/>
  <c r="CP88" i="8"/>
  <c r="CP87" i="8"/>
  <c r="CQ87" i="8" s="1"/>
  <c r="CP86" i="8"/>
  <c r="CQ86" i="8" s="1"/>
  <c r="CP85" i="8"/>
  <c r="CQ85" i="8" s="1"/>
  <c r="CP84" i="8"/>
  <c r="CQ84" i="8" s="1"/>
  <c r="CP83" i="8"/>
  <c r="CQ83" i="8" s="1"/>
  <c r="CP82" i="8"/>
  <c r="CQ82" i="8" s="1"/>
  <c r="CP81" i="8"/>
  <c r="CQ81" i="8" s="1"/>
  <c r="CP80" i="8"/>
  <c r="CQ80" i="8" s="1"/>
  <c r="CP79" i="8"/>
  <c r="CQ79" i="8" s="1"/>
  <c r="CP78" i="8"/>
  <c r="CQ78" i="8" s="1"/>
  <c r="CP77" i="8"/>
  <c r="CQ77" i="8" s="1"/>
  <c r="CP76" i="8"/>
  <c r="CQ76" i="8" s="1"/>
  <c r="CP75" i="8"/>
  <c r="CQ75" i="8" s="1"/>
  <c r="CP74" i="8"/>
  <c r="CQ74" i="8" s="1"/>
  <c r="CP73" i="8"/>
  <c r="CQ73" i="8" s="1"/>
  <c r="CP72" i="8"/>
  <c r="CQ72" i="8" s="1"/>
  <c r="CP71" i="8"/>
  <c r="CQ71" i="8" s="1"/>
  <c r="CP70" i="8"/>
  <c r="CQ70" i="8" s="1"/>
  <c r="CP69" i="8"/>
  <c r="CQ69" i="8" s="1"/>
  <c r="CP68" i="8"/>
  <c r="CQ68" i="8" s="1"/>
  <c r="CP67" i="8"/>
  <c r="CQ67" i="8" s="1"/>
  <c r="CP66" i="8"/>
  <c r="CQ66" i="8" s="1"/>
  <c r="CP65" i="8"/>
  <c r="CQ65" i="8" s="1"/>
  <c r="CP64" i="8"/>
  <c r="CQ64" i="8" s="1"/>
  <c r="CP63" i="8"/>
  <c r="CQ63" i="8" s="1"/>
  <c r="CP62" i="8"/>
  <c r="CQ62" i="8" s="1"/>
  <c r="CP61" i="8"/>
  <c r="CQ61" i="8" s="1"/>
  <c r="CP60" i="8"/>
  <c r="CQ60" i="8" s="1"/>
  <c r="CP59" i="8"/>
  <c r="CQ59" i="8" s="1"/>
  <c r="CP58" i="8"/>
  <c r="CQ58" i="8" s="1"/>
  <c r="CP57" i="8"/>
  <c r="CQ57" i="8" s="1"/>
  <c r="CP56" i="8"/>
  <c r="CQ56" i="8" s="1"/>
  <c r="CP55" i="8"/>
  <c r="CQ55" i="8" s="1"/>
  <c r="CP54" i="8"/>
  <c r="CQ54" i="8" s="1"/>
  <c r="CP53" i="8"/>
  <c r="CQ53" i="8" s="1"/>
  <c r="CP52" i="8"/>
  <c r="CQ52" i="8" s="1"/>
  <c r="CP51" i="8"/>
  <c r="CQ51" i="8" s="1"/>
  <c r="CP50" i="8"/>
  <c r="CQ50" i="8" s="1"/>
  <c r="CP49" i="8"/>
  <c r="CQ49" i="8" s="1"/>
  <c r="CP48" i="8"/>
  <c r="CQ48" i="8" s="1"/>
  <c r="CP47" i="8"/>
  <c r="CQ47" i="8" s="1"/>
  <c r="CP46" i="8"/>
  <c r="CQ46" i="8" s="1"/>
  <c r="CP45" i="8"/>
  <c r="CQ45" i="8" s="1"/>
  <c r="CP44" i="8"/>
  <c r="CQ44" i="8" s="1"/>
  <c r="CP43" i="8"/>
  <c r="CQ43" i="8" s="1"/>
  <c r="CP42" i="8"/>
  <c r="CQ42" i="8" s="1"/>
  <c r="CP41" i="8"/>
  <c r="CQ41" i="8" s="1"/>
  <c r="CP40" i="8"/>
  <c r="CP39" i="8"/>
  <c r="CP38" i="8"/>
  <c r="CQ38" i="8" s="1"/>
  <c r="CP37" i="8"/>
  <c r="CQ37" i="8" s="1"/>
  <c r="CP36" i="8"/>
  <c r="CQ36" i="8" s="1"/>
  <c r="CP35" i="8"/>
  <c r="CQ35" i="8" s="1"/>
  <c r="CP34" i="8"/>
  <c r="CQ34" i="8" s="1"/>
  <c r="CP33" i="8"/>
  <c r="CQ33" i="8" s="1"/>
  <c r="CP32" i="8"/>
  <c r="CQ32" i="8" s="1"/>
  <c r="CP31" i="8"/>
  <c r="CQ31" i="8" s="1"/>
  <c r="CP30" i="8"/>
  <c r="CQ30" i="8" s="1"/>
  <c r="CP29" i="8"/>
  <c r="CQ29" i="8" s="1"/>
  <c r="CP28" i="8"/>
  <c r="CQ28" i="8" s="1"/>
  <c r="CP27" i="8"/>
  <c r="CQ27" i="8" s="1"/>
  <c r="CP26" i="8"/>
  <c r="CQ26" i="8" s="1"/>
  <c r="CP25" i="8"/>
  <c r="CQ25" i="8" s="1"/>
  <c r="CP24" i="8"/>
  <c r="CQ24" i="8" s="1"/>
  <c r="CP23" i="8"/>
  <c r="CQ23" i="8" s="1"/>
  <c r="CP22" i="8"/>
  <c r="CQ22" i="8" s="1"/>
  <c r="CP21" i="8"/>
  <c r="CQ21" i="8" s="1"/>
  <c r="CP20" i="8"/>
  <c r="CQ20" i="8" s="1"/>
  <c r="CP19" i="8"/>
  <c r="CQ19" i="8" s="1"/>
  <c r="CP18" i="8"/>
  <c r="CQ18" i="8" s="1"/>
  <c r="CP17" i="8"/>
  <c r="CQ17" i="8" s="1"/>
  <c r="CP16" i="8"/>
  <c r="CQ16" i="8" s="1"/>
  <c r="CP15" i="8"/>
  <c r="CQ15" i="8" s="1"/>
  <c r="CP14" i="8"/>
  <c r="CQ14" i="8" s="1"/>
  <c r="CP13" i="8"/>
  <c r="CQ13" i="8" s="1"/>
  <c r="CP12" i="8"/>
  <c r="CQ12" i="8" s="1"/>
  <c r="CP11" i="8"/>
  <c r="CQ11" i="8" s="1"/>
  <c r="CP10" i="8"/>
  <c r="CQ10" i="8" s="1"/>
  <c r="CP9" i="8"/>
  <c r="CQ9" i="8" s="1"/>
  <c r="CP8" i="8"/>
  <c r="CQ8" i="8" s="1"/>
  <c r="CP7" i="8"/>
  <c r="CQ7" i="8" s="1"/>
  <c r="CP6" i="8"/>
  <c r="CQ6" i="8" s="1"/>
  <c r="CP5" i="8"/>
  <c r="CQ5" i="8" s="1"/>
  <c r="DU5" i="8" s="1"/>
  <c r="CP4" i="8"/>
  <c r="CQ4" i="8" s="1"/>
  <c r="DU4" i="8" s="1"/>
  <c r="DW186" i="8"/>
  <c r="AK186" i="8" s="1"/>
  <c r="DV186" i="8"/>
  <c r="AJ186" i="8" s="1"/>
  <c r="DS186" i="8"/>
  <c r="AG186" i="8" s="1"/>
  <c r="DR186" i="8"/>
  <c r="AF186" i="8" s="1"/>
  <c r="DQ186" i="8"/>
  <c r="AE186" i="8" s="1"/>
  <c r="DP186" i="8"/>
  <c r="AD186" i="8" s="1"/>
  <c r="DO186" i="8"/>
  <c r="AC186" i="8" s="1"/>
  <c r="DN186" i="8"/>
  <c r="AB186" i="8" s="1"/>
  <c r="DM186" i="8"/>
  <c r="AA186" i="8" s="1"/>
  <c r="DL186" i="8"/>
  <c r="Z186" i="8" s="1"/>
  <c r="DK186" i="8"/>
  <c r="Y186" i="8" s="1"/>
  <c r="DJ186" i="8"/>
  <c r="X186" i="8" s="1"/>
  <c r="DI186" i="8"/>
  <c r="W186" i="8" s="1"/>
  <c r="DH186" i="8"/>
  <c r="V186" i="8" s="1"/>
  <c r="DG186" i="8"/>
  <c r="U186" i="8" s="1"/>
  <c r="DF186" i="8"/>
  <c r="T186" i="8" s="1"/>
  <c r="DE186" i="8"/>
  <c r="S186" i="8" s="1"/>
  <c r="DD186" i="8"/>
  <c r="R186" i="8" s="1"/>
  <c r="DC186" i="8"/>
  <c r="Q186" i="8" s="1"/>
  <c r="DB186" i="8"/>
  <c r="P186" i="8" s="1"/>
  <c r="DA186" i="8"/>
  <c r="O186" i="8" s="1"/>
  <c r="CZ186" i="8"/>
  <c r="N186" i="8" s="1"/>
  <c r="CY186" i="8"/>
  <c r="M186" i="8" s="1"/>
  <c r="CX186" i="8"/>
  <c r="L186" i="8" s="1"/>
  <c r="CW186" i="8"/>
  <c r="K186" i="8" s="1"/>
  <c r="CV186" i="8"/>
  <c r="J186" i="8" s="1"/>
  <c r="CU186" i="8"/>
  <c r="I186" i="8" s="1"/>
  <c r="CT186" i="8"/>
  <c r="H186" i="8" s="1"/>
  <c r="DW90" i="8"/>
  <c r="AK90" i="8" s="1"/>
  <c r="DV90" i="8"/>
  <c r="AJ90" i="8" s="1"/>
  <c r="DS90" i="8"/>
  <c r="AG90" i="8" s="1"/>
  <c r="DR90" i="8"/>
  <c r="AF90" i="8" s="1"/>
  <c r="DQ90" i="8"/>
  <c r="AE90" i="8" s="1"/>
  <c r="DP90" i="8"/>
  <c r="AD90" i="8" s="1"/>
  <c r="DO90" i="8"/>
  <c r="AC90" i="8" s="1"/>
  <c r="DN90" i="8"/>
  <c r="AB90" i="8" s="1"/>
  <c r="DM90" i="8"/>
  <c r="AA90" i="8" s="1"/>
  <c r="DL90" i="8"/>
  <c r="Z90" i="8" s="1"/>
  <c r="DK90" i="8"/>
  <c r="Y90" i="8" s="1"/>
  <c r="DJ90" i="8"/>
  <c r="X90" i="8" s="1"/>
  <c r="DI90" i="8"/>
  <c r="W90" i="8" s="1"/>
  <c r="DH90" i="8"/>
  <c r="V90" i="8" s="1"/>
  <c r="DG90" i="8"/>
  <c r="U90" i="8" s="1"/>
  <c r="DF90" i="8"/>
  <c r="T90" i="8" s="1"/>
  <c r="DE90" i="8"/>
  <c r="S90" i="8" s="1"/>
  <c r="DD90" i="8"/>
  <c r="R90" i="8" s="1"/>
  <c r="DC90" i="8"/>
  <c r="Q90" i="8" s="1"/>
  <c r="DB90" i="8"/>
  <c r="P90" i="8" s="1"/>
  <c r="DA90" i="8"/>
  <c r="O90" i="8" s="1"/>
  <c r="CZ90" i="8"/>
  <c r="N90" i="8" s="1"/>
  <c r="CY90" i="8"/>
  <c r="M90" i="8" s="1"/>
  <c r="CX90" i="8"/>
  <c r="L90" i="8" s="1"/>
  <c r="CW90" i="8"/>
  <c r="K90" i="8" s="1"/>
  <c r="CV90" i="8"/>
  <c r="J90" i="8" s="1"/>
  <c r="CU90" i="8"/>
  <c r="I90" i="8" s="1"/>
  <c r="CT90" i="8"/>
  <c r="H90" i="8" s="1"/>
  <c r="DW89" i="8"/>
  <c r="AK89" i="8" s="1"/>
  <c r="DV89" i="8"/>
  <c r="AJ89" i="8" s="1"/>
  <c r="DS89" i="8"/>
  <c r="AG89" i="8" s="1"/>
  <c r="DR89" i="8"/>
  <c r="AF89" i="8" s="1"/>
  <c r="DQ89" i="8"/>
  <c r="AE89" i="8" s="1"/>
  <c r="DP89" i="8"/>
  <c r="AD89" i="8" s="1"/>
  <c r="DO89" i="8"/>
  <c r="AC89" i="8" s="1"/>
  <c r="DN89" i="8"/>
  <c r="AB89" i="8" s="1"/>
  <c r="DM89" i="8"/>
  <c r="AA89" i="8" s="1"/>
  <c r="DL89" i="8"/>
  <c r="Z89" i="8" s="1"/>
  <c r="DK89" i="8"/>
  <c r="Y89" i="8" s="1"/>
  <c r="DJ89" i="8"/>
  <c r="X89" i="8" s="1"/>
  <c r="DI89" i="8"/>
  <c r="W89" i="8" s="1"/>
  <c r="DH89" i="8"/>
  <c r="V89" i="8" s="1"/>
  <c r="DG89" i="8"/>
  <c r="U89" i="8" s="1"/>
  <c r="DF89" i="8"/>
  <c r="T89" i="8" s="1"/>
  <c r="DE89" i="8"/>
  <c r="S89" i="8" s="1"/>
  <c r="DD89" i="8"/>
  <c r="R89" i="8" s="1"/>
  <c r="DC89" i="8"/>
  <c r="Q89" i="8" s="1"/>
  <c r="DB89" i="8"/>
  <c r="P89" i="8" s="1"/>
  <c r="DA89" i="8"/>
  <c r="O89" i="8" s="1"/>
  <c r="CZ89" i="8"/>
  <c r="N89" i="8" s="1"/>
  <c r="CY89" i="8"/>
  <c r="M89" i="8" s="1"/>
  <c r="CX89" i="8"/>
  <c r="L89" i="8" s="1"/>
  <c r="CW89" i="8"/>
  <c r="K89" i="8" s="1"/>
  <c r="CV89" i="8"/>
  <c r="J89" i="8" s="1"/>
  <c r="CU89" i="8"/>
  <c r="I89" i="8" s="1"/>
  <c r="CT89" i="8"/>
  <c r="H89" i="8" s="1"/>
  <c r="DW88" i="8"/>
  <c r="AK88" i="8" s="1"/>
  <c r="DV88" i="8"/>
  <c r="AJ88" i="8" s="1"/>
  <c r="DS88" i="8"/>
  <c r="AG88" i="8" s="1"/>
  <c r="DR88" i="8"/>
  <c r="AF88" i="8" s="1"/>
  <c r="DQ88" i="8"/>
  <c r="AE88" i="8" s="1"/>
  <c r="DP88" i="8"/>
  <c r="AD88" i="8" s="1"/>
  <c r="DO88" i="8"/>
  <c r="AC88" i="8" s="1"/>
  <c r="DN88" i="8"/>
  <c r="AB88" i="8" s="1"/>
  <c r="DM88" i="8"/>
  <c r="AA88" i="8" s="1"/>
  <c r="DL88" i="8"/>
  <c r="Z88" i="8" s="1"/>
  <c r="DK88" i="8"/>
  <c r="Y88" i="8" s="1"/>
  <c r="DJ88" i="8"/>
  <c r="X88" i="8" s="1"/>
  <c r="DI88" i="8"/>
  <c r="W88" i="8" s="1"/>
  <c r="DH88" i="8"/>
  <c r="V88" i="8" s="1"/>
  <c r="DG88" i="8"/>
  <c r="U88" i="8" s="1"/>
  <c r="DF88" i="8"/>
  <c r="T88" i="8" s="1"/>
  <c r="DE88" i="8"/>
  <c r="S88" i="8" s="1"/>
  <c r="DD88" i="8"/>
  <c r="R88" i="8" s="1"/>
  <c r="DC88" i="8"/>
  <c r="Q88" i="8" s="1"/>
  <c r="DB88" i="8"/>
  <c r="P88" i="8" s="1"/>
  <c r="DA88" i="8"/>
  <c r="O88" i="8" s="1"/>
  <c r="CZ88" i="8"/>
  <c r="N88" i="8" s="1"/>
  <c r="CY88" i="8"/>
  <c r="M88" i="8" s="1"/>
  <c r="CX88" i="8"/>
  <c r="L88" i="8" s="1"/>
  <c r="CW88" i="8"/>
  <c r="K88" i="8" s="1"/>
  <c r="CV88" i="8"/>
  <c r="J88" i="8" s="1"/>
  <c r="CU88" i="8"/>
  <c r="I88" i="8" s="1"/>
  <c r="CT88" i="8"/>
  <c r="H88" i="8" s="1"/>
  <c r="DT186" i="8" l="1"/>
  <c r="AH186" i="8" s="1"/>
  <c r="CQ186" i="8"/>
  <c r="DU186" i="8" s="1"/>
  <c r="AI186" i="8" s="1"/>
  <c r="DT39" i="8"/>
  <c r="AH39" i="8" s="1"/>
  <c r="CQ39" i="8"/>
  <c r="DU39" i="8" s="1"/>
  <c r="AI39" i="8" s="1"/>
  <c r="AG9" i="1" s="1"/>
  <c r="AN9" i="1" s="1"/>
  <c r="DT89" i="8"/>
  <c r="AH89" i="8" s="1"/>
  <c r="CQ89" i="8"/>
  <c r="DU89" i="8" s="1"/>
  <c r="AI89" i="8" s="1"/>
  <c r="DT40" i="8"/>
  <c r="AH40" i="8" s="1"/>
  <c r="CQ40" i="8"/>
  <c r="DU40" i="8" s="1"/>
  <c r="AI40" i="8" s="1"/>
  <c r="DT88" i="8"/>
  <c r="AH88" i="8" s="1"/>
  <c r="CQ88" i="8"/>
  <c r="DU88" i="8" s="1"/>
  <c r="AI88" i="8" s="1"/>
  <c r="DT90" i="8"/>
  <c r="AH90" i="8" s="1"/>
  <c r="CQ90" i="8"/>
  <c r="DU90" i="8" s="1"/>
  <c r="AI90" i="8" s="1"/>
  <c r="DT350" i="8"/>
  <c r="CQ350" i="8"/>
  <c r="AF9" i="1"/>
  <c r="AU29" i="2"/>
  <c r="AR29" i="2"/>
  <c r="AQ29" i="2"/>
  <c r="AU28" i="2"/>
  <c r="AR28" i="2"/>
  <c r="AQ28" i="2"/>
  <c r="AU27" i="2"/>
  <c r="AR27" i="2"/>
  <c r="AQ27" i="2"/>
  <c r="AU26" i="2"/>
  <c r="AR26" i="2"/>
  <c r="AQ26" i="2"/>
  <c r="AU25" i="2"/>
  <c r="AR25" i="2"/>
  <c r="AQ25" i="2"/>
  <c r="AU50" i="2"/>
  <c r="AR50" i="2"/>
  <c r="AQ50" i="2"/>
  <c r="AU49" i="2"/>
  <c r="AR49" i="2"/>
  <c r="AQ49" i="2"/>
  <c r="AU48" i="2"/>
  <c r="AR48" i="2"/>
  <c r="AQ48" i="2"/>
  <c r="AU47" i="2"/>
  <c r="AR47" i="2"/>
  <c r="AQ47" i="2"/>
  <c r="AU46" i="2"/>
  <c r="AR46" i="2"/>
  <c r="AQ46" i="2"/>
  <c r="AU57" i="7"/>
  <c r="AR57" i="7"/>
  <c r="AQ57" i="7"/>
  <c r="AU38" i="7"/>
  <c r="AR38" i="7"/>
  <c r="AQ38" i="7"/>
  <c r="AU37" i="7"/>
  <c r="AR37" i="7"/>
  <c r="AQ37" i="7"/>
  <c r="AU36" i="7"/>
  <c r="AR36" i="7"/>
  <c r="AQ36" i="7"/>
  <c r="AU35" i="7"/>
  <c r="AR35" i="7"/>
  <c r="AQ35" i="7"/>
  <c r="AU34" i="7"/>
  <c r="AR34" i="7"/>
  <c r="AQ34" i="7"/>
  <c r="AU33" i="7"/>
  <c r="AR33" i="7"/>
  <c r="AQ33" i="7"/>
  <c r="AU32" i="7"/>
  <c r="AR32" i="7"/>
  <c r="AQ32" i="7"/>
  <c r="AU31" i="7"/>
  <c r="AR31" i="7"/>
  <c r="AQ31" i="7"/>
  <c r="AU41" i="4"/>
  <c r="AR41" i="4"/>
  <c r="AQ41" i="4"/>
  <c r="AU40" i="4"/>
  <c r="AR40" i="4"/>
  <c r="AQ40" i="4"/>
  <c r="AU26" i="4"/>
  <c r="AR26" i="4"/>
  <c r="AQ26" i="4"/>
  <c r="AU25" i="4"/>
  <c r="AR25" i="4"/>
  <c r="AQ25" i="4"/>
  <c r="AU24" i="4"/>
  <c r="AR24" i="4"/>
  <c r="AQ24" i="4"/>
  <c r="AU22" i="4"/>
  <c r="AR22" i="4"/>
  <c r="AQ22" i="4"/>
  <c r="AU44" i="6"/>
  <c r="AR44" i="6"/>
  <c r="AQ44" i="6"/>
  <c r="AU43" i="6"/>
  <c r="AR43" i="6"/>
  <c r="AQ43" i="6"/>
  <c r="AU42" i="6"/>
  <c r="AR42" i="6"/>
  <c r="AQ42" i="6"/>
  <c r="AU41" i="6"/>
  <c r="AR41" i="6"/>
  <c r="AQ41" i="6"/>
  <c r="AU40" i="6"/>
  <c r="AR40" i="6"/>
  <c r="AQ40" i="6"/>
  <c r="AU26" i="6"/>
  <c r="AR26" i="6"/>
  <c r="AQ26" i="6"/>
  <c r="AU25" i="6"/>
  <c r="AR25" i="6"/>
  <c r="AQ25" i="6"/>
  <c r="AU24" i="6"/>
  <c r="AR24" i="6"/>
  <c r="AQ24" i="6"/>
  <c r="AU23" i="6"/>
  <c r="AR23" i="6"/>
  <c r="AQ23" i="6"/>
  <c r="AU22" i="6"/>
  <c r="AR22" i="6"/>
  <c r="AQ22" i="6"/>
  <c r="AU76" i="5"/>
  <c r="AR76" i="5"/>
  <c r="AQ76" i="5"/>
  <c r="AU74" i="5"/>
  <c r="AR74" i="5"/>
  <c r="AQ74" i="5"/>
  <c r="AU72" i="5"/>
  <c r="AR72" i="5"/>
  <c r="AQ72" i="5"/>
  <c r="AU63" i="5"/>
  <c r="AR63" i="5"/>
  <c r="AQ63" i="5"/>
  <c r="AU62" i="5"/>
  <c r="AR62" i="5"/>
  <c r="AQ62" i="5"/>
  <c r="AU61" i="5"/>
  <c r="AR61" i="5"/>
  <c r="AQ61" i="5"/>
  <c r="AU41" i="5"/>
  <c r="AR41" i="5"/>
  <c r="AQ41" i="5"/>
  <c r="AU40" i="5"/>
  <c r="AR40" i="5"/>
  <c r="AQ40" i="5"/>
  <c r="AU21" i="5"/>
  <c r="AR21" i="5"/>
  <c r="AQ21" i="5"/>
  <c r="AU20" i="5"/>
  <c r="AR20" i="5"/>
  <c r="AQ20" i="5"/>
  <c r="AU19" i="5"/>
  <c r="AR19" i="5"/>
  <c r="AQ19" i="5"/>
  <c r="AU44" i="3"/>
  <c r="AR44" i="3"/>
  <c r="AQ44" i="3"/>
  <c r="AU43" i="3"/>
  <c r="AR43" i="3"/>
  <c r="AQ43" i="3"/>
  <c r="AU42" i="3"/>
  <c r="AR42" i="3"/>
  <c r="AQ42" i="3"/>
  <c r="AU41" i="3"/>
  <c r="AR41" i="3"/>
  <c r="AQ41" i="3"/>
  <c r="AU26" i="3"/>
  <c r="AR26" i="3"/>
  <c r="AQ26" i="3"/>
  <c r="AU25" i="3"/>
  <c r="AR25" i="3"/>
  <c r="AQ25" i="3"/>
  <c r="AU24" i="3"/>
  <c r="AR24" i="3"/>
  <c r="AQ24" i="3"/>
  <c r="AU23" i="3"/>
  <c r="AR23" i="3"/>
  <c r="AQ23" i="3"/>
  <c r="AU132" i="1"/>
  <c r="AR132" i="1"/>
  <c r="AQ132" i="1"/>
  <c r="AU130" i="1"/>
  <c r="AR130" i="1"/>
  <c r="AQ130" i="1"/>
  <c r="AU128" i="1"/>
  <c r="AR128" i="1"/>
  <c r="AQ128" i="1"/>
  <c r="AU126" i="1"/>
  <c r="AR126" i="1"/>
  <c r="AQ126" i="1"/>
  <c r="AU115" i="1"/>
  <c r="AR115" i="1"/>
  <c r="AQ115" i="1"/>
  <c r="AU95" i="1"/>
  <c r="AR95" i="1"/>
  <c r="AQ95" i="1"/>
  <c r="AU94" i="1"/>
  <c r="AR94" i="1"/>
  <c r="AQ94" i="1"/>
  <c r="AU68" i="1"/>
  <c r="AR68" i="1"/>
  <c r="AQ68" i="1"/>
  <c r="AU67" i="1"/>
  <c r="AR67" i="1"/>
  <c r="AQ67" i="1"/>
  <c r="AU66" i="1"/>
  <c r="AR66" i="1"/>
  <c r="AQ66" i="1"/>
  <c r="AU65" i="1"/>
  <c r="AR65" i="1"/>
  <c r="AQ65" i="1"/>
  <c r="AU64" i="1"/>
  <c r="AR64" i="1"/>
  <c r="AQ64" i="1"/>
  <c r="AU28" i="1"/>
  <c r="AR28" i="1"/>
  <c r="AQ28" i="1"/>
  <c r="AU27" i="1"/>
  <c r="AR27" i="1"/>
  <c r="AQ27" i="1"/>
  <c r="AU26" i="1"/>
  <c r="AR26" i="1"/>
  <c r="AQ26" i="1"/>
  <c r="AU25" i="1"/>
  <c r="AR25" i="1"/>
  <c r="AQ25" i="1"/>
  <c r="AU9" i="1"/>
  <c r="AR9" i="1"/>
  <c r="AQ9" i="1"/>
  <c r="AE40" i="7"/>
  <c r="AF48" i="3" l="1"/>
  <c r="AF56" i="2"/>
  <c r="AF55" i="2"/>
  <c r="AF36" i="3"/>
  <c r="AE36" i="3"/>
  <c r="AE18" i="3"/>
  <c r="AG18" i="3"/>
  <c r="AF35" i="2"/>
  <c r="AF40" i="7" l="1"/>
  <c r="AF41" i="1"/>
  <c r="AF33" i="1"/>
  <c r="AE24" i="2"/>
  <c r="AE45" i="2"/>
  <c r="AE30" i="7"/>
  <c r="AE39" i="4"/>
  <c r="AE39" i="6"/>
  <c r="AE21" i="6"/>
  <c r="AE60" i="5"/>
  <c r="AE39" i="5"/>
  <c r="AE18" i="5"/>
  <c r="AE39" i="3"/>
  <c r="AE40" i="3"/>
  <c r="AE21" i="3"/>
  <c r="AE22" i="3"/>
  <c r="AE114" i="1"/>
  <c r="AE93" i="1"/>
  <c r="AE69" i="1"/>
  <c r="AE63" i="1" s="1"/>
  <c r="AE29" i="1"/>
  <c r="AE24" i="1" s="1"/>
  <c r="DE565" i="8"/>
  <c r="AE17" i="6"/>
  <c r="AD17" i="6"/>
  <c r="DR350" i="8" l="1"/>
  <c r="AF350" i="8" s="1"/>
  <c r="DR319" i="8"/>
  <c r="AF319" i="8" s="1"/>
  <c r="DR132" i="8"/>
  <c r="AF132" i="8" s="1"/>
  <c r="DR131" i="8"/>
  <c r="AF131" i="8" s="1"/>
  <c r="DR40" i="8"/>
  <c r="AF40" i="8" s="1"/>
  <c r="DR39" i="8"/>
  <c r="AF39" i="8" s="1"/>
  <c r="DS350" i="8"/>
  <c r="AG350" i="8" s="1"/>
  <c r="DS319" i="8"/>
  <c r="AG319" i="8" s="1"/>
  <c r="DS132" i="8"/>
  <c r="AG132" i="8" s="1"/>
  <c r="DS131" i="8"/>
  <c r="AG131" i="8" s="1"/>
  <c r="DS40" i="8"/>
  <c r="AG40" i="8" s="1"/>
  <c r="DS39" i="8"/>
  <c r="AG39" i="8" s="1"/>
  <c r="AE9" i="1" s="1"/>
  <c r="AE350" i="8"/>
  <c r="AD350" i="8"/>
  <c r="AC350" i="8"/>
  <c r="AB350" i="8"/>
  <c r="AA350" i="8"/>
  <c r="Z350" i="8"/>
  <c r="Y350" i="8"/>
  <c r="X350" i="8"/>
  <c r="W350" i="8"/>
  <c r="V350" i="8"/>
  <c r="U350" i="8"/>
  <c r="T350" i="8"/>
  <c r="S350" i="8"/>
  <c r="R350" i="8"/>
  <c r="Q350" i="8"/>
  <c r="P350" i="8"/>
  <c r="O350" i="8"/>
  <c r="N350" i="8"/>
  <c r="M350" i="8"/>
  <c r="L350" i="8"/>
  <c r="K350" i="8"/>
  <c r="J350" i="8"/>
  <c r="I350" i="8"/>
  <c r="H350" i="8"/>
  <c r="AE319" i="8"/>
  <c r="AD319" i="8"/>
  <c r="AC319" i="8"/>
  <c r="AB319" i="8"/>
  <c r="AA319" i="8"/>
  <c r="Z319" i="8"/>
  <c r="Y319" i="8"/>
  <c r="X319" i="8"/>
  <c r="W319" i="8"/>
  <c r="V319" i="8"/>
  <c r="U319" i="8"/>
  <c r="T319" i="8"/>
  <c r="S319" i="8"/>
  <c r="R319" i="8"/>
  <c r="Q319" i="8"/>
  <c r="P319" i="8"/>
  <c r="O319" i="8"/>
  <c r="N319" i="8"/>
  <c r="M319" i="8"/>
  <c r="L319" i="8"/>
  <c r="K319" i="8"/>
  <c r="J319" i="8"/>
  <c r="I319" i="8"/>
  <c r="H319" i="8"/>
  <c r="AE132" i="8"/>
  <c r="AD132" i="8"/>
  <c r="AC132" i="8"/>
  <c r="AB132" i="8"/>
  <c r="AA132" i="8"/>
  <c r="Z132" i="8"/>
  <c r="Y132" i="8"/>
  <c r="X132" i="8"/>
  <c r="W132" i="8"/>
  <c r="V132" i="8"/>
  <c r="U132" i="8"/>
  <c r="T132" i="8"/>
  <c r="S132" i="8"/>
  <c r="R132" i="8"/>
  <c r="Q132" i="8"/>
  <c r="P132" i="8"/>
  <c r="O132" i="8"/>
  <c r="N132" i="8"/>
  <c r="M132" i="8"/>
  <c r="L132" i="8"/>
  <c r="K132" i="8"/>
  <c r="J132" i="8"/>
  <c r="I132" i="8"/>
  <c r="H132" i="8"/>
  <c r="AE131" i="8"/>
  <c r="AD131" i="8"/>
  <c r="AC131" i="8"/>
  <c r="AB131" i="8"/>
  <c r="AA131" i="8"/>
  <c r="Z131" i="8"/>
  <c r="Y131" i="8"/>
  <c r="X131" i="8"/>
  <c r="W131" i="8"/>
  <c r="V131" i="8"/>
  <c r="U131" i="8"/>
  <c r="T131" i="8"/>
  <c r="S131" i="8"/>
  <c r="R131" i="8"/>
  <c r="Q131" i="8"/>
  <c r="P131" i="8"/>
  <c r="O131" i="8"/>
  <c r="N131" i="8"/>
  <c r="M131" i="8"/>
  <c r="L131" i="8"/>
  <c r="K131" i="8"/>
  <c r="J131" i="8"/>
  <c r="I131" i="8"/>
  <c r="H131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AP9" i="1" l="1"/>
  <c r="AO9" i="1"/>
  <c r="AS9" i="1"/>
  <c r="AF34" i="2" l="1"/>
  <c r="AE34" i="2"/>
  <c r="AE57" i="2" l="1"/>
  <c r="AE53" i="2"/>
  <c r="AF65" i="5" l="1"/>
  <c r="AI57" i="5"/>
  <c r="AG78" i="1" l="1"/>
  <c r="AF57" i="1"/>
  <c r="AH57" i="1"/>
  <c r="AE58" i="1"/>
  <c r="AF18" i="3" l="1"/>
  <c r="AH18" i="3"/>
  <c r="AI18" i="3"/>
  <c r="AH37" i="3"/>
  <c r="AI37" i="3"/>
  <c r="AE37" i="3"/>
  <c r="DS384" i="8" l="1"/>
  <c r="DR384" i="8"/>
  <c r="AF384" i="8" s="1"/>
  <c r="DR201" i="8"/>
  <c r="AF201" i="8" s="1"/>
  <c r="DS201" i="8"/>
  <c r="DR383" i="8"/>
  <c r="AF383" i="8" s="1"/>
  <c r="DS383" i="8"/>
  <c r="DS214" i="8"/>
  <c r="DR214" i="8"/>
  <c r="AF214" i="8" s="1"/>
  <c r="DS541" i="8"/>
  <c r="DR541" i="8"/>
  <c r="AF541" i="8" s="1"/>
  <c r="DS213" i="8"/>
  <c r="DR213" i="8"/>
  <c r="AF213" i="8" s="1"/>
  <c r="DS582" i="8"/>
  <c r="DR582" i="8"/>
  <c r="AF582" i="8" s="1"/>
  <c r="DR395" i="8"/>
  <c r="AF395" i="8" s="1"/>
  <c r="DS395" i="8"/>
  <c r="DR212" i="8"/>
  <c r="AF212" i="8" s="1"/>
  <c r="DS212" i="8"/>
  <c r="DR553" i="8"/>
  <c r="AF553" i="8" s="1"/>
  <c r="DS553" i="8"/>
  <c r="DR511" i="8"/>
  <c r="AF511" i="8" s="1"/>
  <c r="DS511" i="8"/>
  <c r="DS438" i="8"/>
  <c r="DR438" i="8"/>
  <c r="AF438" i="8" s="1"/>
  <c r="DR331" i="8"/>
  <c r="AF331" i="8" s="1"/>
  <c r="DS331" i="8"/>
  <c r="DR259" i="8"/>
  <c r="AF259" i="8" s="1"/>
  <c r="DS259" i="8"/>
  <c r="DS190" i="8"/>
  <c r="DR190" i="8"/>
  <c r="AF190" i="8" s="1"/>
  <c r="DR95" i="8"/>
  <c r="AF95" i="8" s="1"/>
  <c r="DS95" i="8"/>
  <c r="DS552" i="8"/>
  <c r="DR552" i="8"/>
  <c r="AF552" i="8" s="1"/>
  <c r="DR538" i="8"/>
  <c r="AF538" i="8" s="1"/>
  <c r="DS538" i="8"/>
  <c r="DR524" i="8"/>
  <c r="AF524" i="8" s="1"/>
  <c r="DS524" i="8"/>
  <c r="DR510" i="8"/>
  <c r="AF510" i="8" s="1"/>
  <c r="DS510" i="8"/>
  <c r="DR466" i="8"/>
  <c r="AF466" i="8" s="1"/>
  <c r="DS466" i="8"/>
  <c r="DR451" i="8"/>
  <c r="AF451" i="8" s="1"/>
  <c r="DS451" i="8"/>
  <c r="DR435" i="8"/>
  <c r="AF435" i="8" s="1"/>
  <c r="DS435" i="8"/>
  <c r="DS393" i="8"/>
  <c r="DR393" i="8"/>
  <c r="AF393" i="8" s="1"/>
  <c r="DS378" i="8"/>
  <c r="DR378" i="8"/>
  <c r="AF378" i="8" s="1"/>
  <c r="DR364" i="8"/>
  <c r="AF364" i="8" s="1"/>
  <c r="DS364" i="8"/>
  <c r="DR327" i="8"/>
  <c r="AF327" i="8" s="1"/>
  <c r="DS327" i="8"/>
  <c r="DR304" i="8"/>
  <c r="AF304" i="8" s="1"/>
  <c r="DS304" i="8"/>
  <c r="DS273" i="8"/>
  <c r="DR273" i="8"/>
  <c r="AF273" i="8" s="1"/>
  <c r="DR258" i="8"/>
  <c r="AF258" i="8" s="1"/>
  <c r="DS258" i="8"/>
  <c r="DS210" i="8"/>
  <c r="DR210" i="8"/>
  <c r="AF210" i="8" s="1"/>
  <c r="DS189" i="8"/>
  <c r="DR189" i="8"/>
  <c r="AF189" i="8" s="1"/>
  <c r="DS147" i="8"/>
  <c r="DR147" i="8"/>
  <c r="AF147" i="8" s="1"/>
  <c r="DS94" i="8"/>
  <c r="DR94" i="8"/>
  <c r="AF94" i="8" s="1"/>
  <c r="DS18" i="8"/>
  <c r="DR18" i="8"/>
  <c r="AF18" i="8" s="1"/>
  <c r="DR571" i="8"/>
  <c r="AF571" i="8" s="1"/>
  <c r="DS571" i="8"/>
  <c r="DR400" i="8"/>
  <c r="AF400" i="8" s="1"/>
  <c r="DS400" i="8"/>
  <c r="DR315" i="8"/>
  <c r="AF315" i="8" s="1"/>
  <c r="DS315" i="8"/>
  <c r="DS441" i="8"/>
  <c r="DR441" i="8"/>
  <c r="AF441" i="8" s="1"/>
  <c r="DR98" i="8"/>
  <c r="AF98" i="8" s="1"/>
  <c r="DS98" i="8"/>
  <c r="DR396" i="8"/>
  <c r="AF396" i="8" s="1"/>
  <c r="DS396" i="8"/>
  <c r="DR196" i="8"/>
  <c r="AF196" i="8" s="1"/>
  <c r="DS196" i="8"/>
  <c r="DR554" i="8"/>
  <c r="AF554" i="8" s="1"/>
  <c r="DS554" i="8"/>
  <c r="DR366" i="8"/>
  <c r="AF366" i="8" s="1"/>
  <c r="DS366" i="8"/>
  <c r="DR260" i="8"/>
  <c r="AF260" i="8" s="1"/>
  <c r="DS260" i="8"/>
  <c r="DS539" i="8"/>
  <c r="DR539" i="8"/>
  <c r="AF539" i="8" s="1"/>
  <c r="DR467" i="8"/>
  <c r="AF467" i="8" s="1"/>
  <c r="DS467" i="8"/>
  <c r="DS379" i="8"/>
  <c r="DR379" i="8"/>
  <c r="AF379" i="8" s="1"/>
  <c r="DS307" i="8"/>
  <c r="DR307" i="8"/>
  <c r="AF307" i="8" s="1"/>
  <c r="DR211" i="8"/>
  <c r="AF211" i="8" s="1"/>
  <c r="DS211" i="8"/>
  <c r="DR20" i="8"/>
  <c r="AF20" i="8" s="1"/>
  <c r="DS20" i="8"/>
  <c r="DS580" i="8"/>
  <c r="DR580" i="8"/>
  <c r="AF580" i="8" s="1"/>
  <c r="DR579" i="8"/>
  <c r="AF579" i="8" s="1"/>
  <c r="DS579" i="8"/>
  <c r="DR565" i="8"/>
  <c r="AF565" i="8" s="1"/>
  <c r="DS565" i="8"/>
  <c r="DR551" i="8"/>
  <c r="AF551" i="8" s="1"/>
  <c r="DS551" i="8"/>
  <c r="DR537" i="8"/>
  <c r="AF537" i="8" s="1"/>
  <c r="DS537" i="8"/>
  <c r="DR523" i="8"/>
  <c r="AF523" i="8" s="1"/>
  <c r="DS523" i="8"/>
  <c r="DR509" i="8"/>
  <c r="AF509" i="8" s="1"/>
  <c r="DS509" i="8"/>
  <c r="DR465" i="8"/>
  <c r="AF465" i="8" s="1"/>
  <c r="DS465" i="8"/>
  <c r="DR450" i="8"/>
  <c r="AF450" i="8" s="1"/>
  <c r="DS450" i="8"/>
  <c r="DR434" i="8"/>
  <c r="AF434" i="8" s="1"/>
  <c r="DS434" i="8"/>
  <c r="DR392" i="8"/>
  <c r="AF392" i="8" s="1"/>
  <c r="DS392" i="8"/>
  <c r="DS377" i="8"/>
  <c r="DR377" i="8"/>
  <c r="AF377" i="8" s="1"/>
  <c r="DR363" i="8"/>
  <c r="AF363" i="8" s="1"/>
  <c r="DS363" i="8"/>
  <c r="DR326" i="8"/>
  <c r="AF326" i="8" s="1"/>
  <c r="DS326" i="8"/>
  <c r="DR303" i="8"/>
  <c r="AF303" i="8" s="1"/>
  <c r="DS303" i="8"/>
  <c r="DR272" i="8"/>
  <c r="AF272" i="8" s="1"/>
  <c r="DS272" i="8"/>
  <c r="DR254" i="8"/>
  <c r="AF254" i="8" s="1"/>
  <c r="DS254" i="8"/>
  <c r="DR209" i="8"/>
  <c r="AF209" i="8" s="1"/>
  <c r="DS209" i="8"/>
  <c r="DR172" i="8"/>
  <c r="AF172" i="8" s="1"/>
  <c r="DS172" i="8"/>
  <c r="DS145" i="8"/>
  <c r="DR145" i="8"/>
  <c r="AF145" i="8" s="1"/>
  <c r="DS93" i="8"/>
  <c r="DR93" i="8"/>
  <c r="AF93" i="8" s="1"/>
  <c r="DS17" i="8"/>
  <c r="DR17" i="8"/>
  <c r="AF17" i="8" s="1"/>
  <c r="DR529" i="8"/>
  <c r="AF529" i="8" s="1"/>
  <c r="DS529" i="8"/>
  <c r="DR369" i="8"/>
  <c r="AF369" i="8" s="1"/>
  <c r="DS369" i="8"/>
  <c r="DR7" i="8"/>
  <c r="AF7" i="8" s="1"/>
  <c r="DS7" i="8"/>
  <c r="DR514" i="8"/>
  <c r="AF514" i="8" s="1"/>
  <c r="DS514" i="8"/>
  <c r="DS335" i="8"/>
  <c r="DR335" i="8"/>
  <c r="AF335" i="8" s="1"/>
  <c r="DR50" i="8"/>
  <c r="AF50" i="8" s="1"/>
  <c r="DS50" i="8"/>
  <c r="DS527" i="8"/>
  <c r="DR527" i="8"/>
  <c r="AF527" i="8" s="1"/>
  <c r="DR381" i="8"/>
  <c r="AF381" i="8" s="1"/>
  <c r="DS381" i="8"/>
  <c r="DR334" i="8"/>
  <c r="AF334" i="8" s="1"/>
  <c r="DS334" i="8"/>
  <c r="DR5" i="8"/>
  <c r="AF5" i="8" s="1"/>
  <c r="DS5" i="8"/>
  <c r="DS568" i="8"/>
  <c r="DR568" i="8"/>
  <c r="AF568" i="8" s="1"/>
  <c r="DR468" i="8"/>
  <c r="AF468" i="8" s="1"/>
  <c r="DS468" i="8"/>
  <c r="DR380" i="8"/>
  <c r="AF380" i="8" s="1"/>
  <c r="DS380" i="8"/>
  <c r="DR333" i="8"/>
  <c r="AF333" i="8" s="1"/>
  <c r="DS333" i="8"/>
  <c r="DS159" i="8"/>
  <c r="DR159" i="8"/>
  <c r="AF159" i="8" s="1"/>
  <c r="DR567" i="8"/>
  <c r="AF567" i="8" s="1"/>
  <c r="DS567" i="8"/>
  <c r="DS525" i="8"/>
  <c r="DR525" i="8"/>
  <c r="AF525" i="8" s="1"/>
  <c r="DR453" i="8"/>
  <c r="AF453" i="8" s="1"/>
  <c r="DS453" i="8"/>
  <c r="DS394" i="8"/>
  <c r="DR394" i="8"/>
  <c r="AF394" i="8" s="1"/>
  <c r="DS365" i="8"/>
  <c r="DR365" i="8"/>
  <c r="AF365" i="8" s="1"/>
  <c r="DR275" i="8"/>
  <c r="AF275" i="8" s="1"/>
  <c r="DS275" i="8"/>
  <c r="DR156" i="8"/>
  <c r="AF156" i="8" s="1"/>
  <c r="DS156" i="8"/>
  <c r="DR566" i="8"/>
  <c r="AF566" i="8" s="1"/>
  <c r="DS566" i="8"/>
  <c r="DR578" i="8"/>
  <c r="AF578" i="8" s="1"/>
  <c r="DS578" i="8"/>
  <c r="DR564" i="8"/>
  <c r="AF564" i="8" s="1"/>
  <c r="DS564" i="8"/>
  <c r="DS550" i="8"/>
  <c r="DR550" i="8"/>
  <c r="AF550" i="8" s="1"/>
  <c r="DR536" i="8"/>
  <c r="AF536" i="8" s="1"/>
  <c r="DS536" i="8"/>
  <c r="DR522" i="8"/>
  <c r="AF522" i="8" s="1"/>
  <c r="DS522" i="8"/>
  <c r="DR506" i="8"/>
  <c r="AF506" i="8" s="1"/>
  <c r="DS506" i="8"/>
  <c r="DR464" i="8"/>
  <c r="AF464" i="8" s="1"/>
  <c r="DS464" i="8"/>
  <c r="DS449" i="8"/>
  <c r="DR449" i="8"/>
  <c r="AF449" i="8" s="1"/>
  <c r="DR433" i="8"/>
  <c r="AF433" i="8" s="1"/>
  <c r="DS433" i="8"/>
  <c r="DR391" i="8"/>
  <c r="AF391" i="8" s="1"/>
  <c r="DS391" i="8"/>
  <c r="DR376" i="8"/>
  <c r="AF376" i="8" s="1"/>
  <c r="DS376" i="8"/>
  <c r="DR352" i="8"/>
  <c r="AF352" i="8" s="1"/>
  <c r="DS352" i="8"/>
  <c r="DR325" i="8"/>
  <c r="AF325" i="8" s="1"/>
  <c r="DS325" i="8"/>
  <c r="DS302" i="8"/>
  <c r="DR302" i="8"/>
  <c r="AF302" i="8" s="1"/>
  <c r="DR271" i="8"/>
  <c r="AF271" i="8" s="1"/>
  <c r="DS271" i="8"/>
  <c r="DS253" i="8"/>
  <c r="DR253" i="8"/>
  <c r="AF253" i="8" s="1"/>
  <c r="DR208" i="8"/>
  <c r="AF208" i="8" s="1"/>
  <c r="DS208" i="8"/>
  <c r="DR171" i="8"/>
  <c r="AF171" i="8" s="1"/>
  <c r="DS171" i="8"/>
  <c r="DR126" i="8"/>
  <c r="AF126" i="8" s="1"/>
  <c r="DS126" i="8"/>
  <c r="DR92" i="8"/>
  <c r="AF92" i="8" s="1"/>
  <c r="DS92" i="8"/>
  <c r="DR16" i="8"/>
  <c r="AF16" i="8" s="1"/>
  <c r="DS16" i="8"/>
  <c r="DS442" i="8"/>
  <c r="DR442" i="8"/>
  <c r="AF442" i="8" s="1"/>
  <c r="DR215" i="8"/>
  <c r="AF215" i="8" s="1"/>
  <c r="DS215" i="8"/>
  <c r="DR556" i="8"/>
  <c r="AF556" i="8" s="1"/>
  <c r="DS556" i="8"/>
  <c r="DR314" i="8"/>
  <c r="AF314" i="8" s="1"/>
  <c r="DS314" i="8"/>
  <c r="DR555" i="8"/>
  <c r="AF555" i="8" s="1"/>
  <c r="DS555" i="8"/>
  <c r="DR49" i="8"/>
  <c r="AF49" i="8" s="1"/>
  <c r="DS49" i="8"/>
  <c r="DR454" i="8"/>
  <c r="AF454" i="8" s="1"/>
  <c r="DS454" i="8"/>
  <c r="DS308" i="8"/>
  <c r="DR308" i="8"/>
  <c r="AF308" i="8" s="1"/>
  <c r="DS535" i="8"/>
  <c r="DR535" i="8"/>
  <c r="AF535" i="8" s="1"/>
  <c r="DS463" i="8"/>
  <c r="DR463" i="8"/>
  <c r="AF463" i="8" s="1"/>
  <c r="DR448" i="8"/>
  <c r="AF448" i="8" s="1"/>
  <c r="DS448" i="8"/>
  <c r="DR432" i="8"/>
  <c r="AF432" i="8" s="1"/>
  <c r="DS432" i="8"/>
  <c r="DR390" i="8"/>
  <c r="AF390" i="8" s="1"/>
  <c r="DS390" i="8"/>
  <c r="DS375" i="8"/>
  <c r="DR375" i="8"/>
  <c r="AF375" i="8" s="1"/>
  <c r="DS351" i="8"/>
  <c r="DR351" i="8"/>
  <c r="AF351" i="8" s="1"/>
  <c r="DS324" i="8"/>
  <c r="DR324" i="8"/>
  <c r="AF324" i="8" s="1"/>
  <c r="DR299" i="8"/>
  <c r="AF299" i="8" s="1"/>
  <c r="DS299" i="8"/>
  <c r="DR270" i="8"/>
  <c r="AF270" i="8" s="1"/>
  <c r="DS270" i="8"/>
  <c r="DR252" i="8"/>
  <c r="AF252" i="8" s="1"/>
  <c r="DS252" i="8"/>
  <c r="DS207" i="8"/>
  <c r="DR207" i="8"/>
  <c r="AF207" i="8" s="1"/>
  <c r="DS170" i="8"/>
  <c r="DR170" i="8"/>
  <c r="AF170" i="8" s="1"/>
  <c r="DR123" i="8"/>
  <c r="AF123" i="8" s="1"/>
  <c r="DS123" i="8"/>
  <c r="DS91" i="8"/>
  <c r="DR91" i="8"/>
  <c r="AF91" i="8" s="1"/>
  <c r="DS13" i="8"/>
  <c r="DR13" i="8"/>
  <c r="AF13" i="8" s="1"/>
  <c r="DS477" i="8"/>
  <c r="DR477" i="8"/>
  <c r="AF477" i="8" s="1"/>
  <c r="DS281" i="8"/>
  <c r="DR281" i="8"/>
  <c r="AF281" i="8" s="1"/>
  <c r="DR542" i="8"/>
  <c r="AF542" i="8" s="1"/>
  <c r="DS542" i="8"/>
  <c r="DR162" i="8"/>
  <c r="AF162" i="8" s="1"/>
  <c r="DS162" i="8"/>
  <c r="DS569" i="8"/>
  <c r="DR569" i="8"/>
  <c r="AF569" i="8" s="1"/>
  <c r="DR278" i="8"/>
  <c r="AF278" i="8" s="1"/>
  <c r="DS278" i="8"/>
  <c r="DR540" i="8"/>
  <c r="AF540" i="8" s="1"/>
  <c r="DS540" i="8"/>
  <c r="DR21" i="8"/>
  <c r="AF21" i="8" s="1"/>
  <c r="DS21" i="8"/>
  <c r="DS520" i="8"/>
  <c r="DR520" i="8"/>
  <c r="AF520" i="8" s="1"/>
  <c r="DR447" i="8"/>
  <c r="AF447" i="8" s="1"/>
  <c r="DS447" i="8"/>
  <c r="DR389" i="8"/>
  <c r="AF389" i="8" s="1"/>
  <c r="DS389" i="8"/>
  <c r="DR342" i="8"/>
  <c r="AF342" i="8" s="1"/>
  <c r="DS342" i="8"/>
  <c r="DS322" i="8"/>
  <c r="DR322" i="8"/>
  <c r="AF322" i="8" s="1"/>
  <c r="DS298" i="8"/>
  <c r="DR298" i="8"/>
  <c r="AF298" i="8" s="1"/>
  <c r="DR269" i="8"/>
  <c r="AF269" i="8" s="1"/>
  <c r="DS269" i="8"/>
  <c r="DR249" i="8"/>
  <c r="AF249" i="8" s="1"/>
  <c r="DS249" i="8"/>
  <c r="DR206" i="8"/>
  <c r="AF206" i="8" s="1"/>
  <c r="DS206" i="8"/>
  <c r="DS169" i="8"/>
  <c r="DR169" i="8"/>
  <c r="AF169" i="8" s="1"/>
  <c r="DR104" i="8"/>
  <c r="AF104" i="8" s="1"/>
  <c r="DS104" i="8"/>
  <c r="DR78" i="8"/>
  <c r="AF78" i="8" s="1"/>
  <c r="DS78" i="8"/>
  <c r="DR12" i="8"/>
  <c r="AF12" i="8" s="1"/>
  <c r="DS12" i="8"/>
  <c r="DR543" i="8"/>
  <c r="AF543" i="8" s="1"/>
  <c r="DS543" i="8"/>
  <c r="DS263" i="8"/>
  <c r="DR263" i="8"/>
  <c r="AF263" i="8" s="1"/>
  <c r="DR528" i="8"/>
  <c r="AF528" i="8" s="1"/>
  <c r="DS528" i="8"/>
  <c r="DR200" i="8"/>
  <c r="AF200" i="8" s="1"/>
  <c r="DS200" i="8"/>
  <c r="DR513" i="8"/>
  <c r="AF513" i="8" s="1"/>
  <c r="DS513" i="8"/>
  <c r="DS309" i="8"/>
  <c r="DR309" i="8"/>
  <c r="AF309" i="8" s="1"/>
  <c r="DR521" i="8"/>
  <c r="AF521" i="8" s="1"/>
  <c r="DS521" i="8"/>
  <c r="DR576" i="8"/>
  <c r="AF576" i="8" s="1"/>
  <c r="DS576" i="8"/>
  <c r="DR548" i="8"/>
  <c r="AF548" i="8" s="1"/>
  <c r="DS548" i="8"/>
  <c r="DS534" i="8"/>
  <c r="DR534" i="8"/>
  <c r="AF534" i="8" s="1"/>
  <c r="DR500" i="8"/>
  <c r="AF500" i="8" s="1"/>
  <c r="DS500" i="8"/>
  <c r="DR462" i="8"/>
  <c r="AF462" i="8" s="1"/>
  <c r="DS462" i="8"/>
  <c r="DS412" i="8"/>
  <c r="DR412" i="8"/>
  <c r="AF412" i="8" s="1"/>
  <c r="DS374" i="8"/>
  <c r="DR374" i="8"/>
  <c r="AF374" i="8" s="1"/>
  <c r="DS575" i="8"/>
  <c r="DR575" i="8"/>
  <c r="AF575" i="8" s="1"/>
  <c r="DS561" i="8"/>
  <c r="DR561" i="8"/>
  <c r="AF561" i="8" s="1"/>
  <c r="DS547" i="8"/>
  <c r="DR547" i="8"/>
  <c r="AF547" i="8" s="1"/>
  <c r="DR533" i="8"/>
  <c r="AF533" i="8" s="1"/>
  <c r="DS533" i="8"/>
  <c r="DS519" i="8"/>
  <c r="DR519" i="8"/>
  <c r="AF519" i="8" s="1"/>
  <c r="DR482" i="8"/>
  <c r="AF482" i="8" s="1"/>
  <c r="DS482" i="8"/>
  <c r="DS461" i="8"/>
  <c r="DR461" i="8"/>
  <c r="AF461" i="8" s="1"/>
  <c r="DR446" i="8"/>
  <c r="AF446" i="8" s="1"/>
  <c r="DS446" i="8"/>
  <c r="DR410" i="8"/>
  <c r="AF410" i="8" s="1"/>
  <c r="DS410" i="8"/>
  <c r="DR388" i="8"/>
  <c r="AF388" i="8" s="1"/>
  <c r="DS388" i="8"/>
  <c r="DR373" i="8"/>
  <c r="AF373" i="8" s="1"/>
  <c r="DS373" i="8"/>
  <c r="DR341" i="8"/>
  <c r="AF341" i="8" s="1"/>
  <c r="DS341" i="8"/>
  <c r="DS321" i="8"/>
  <c r="DR321" i="8"/>
  <c r="AF321" i="8" s="1"/>
  <c r="DS290" i="8"/>
  <c r="DR290" i="8"/>
  <c r="AF290" i="8" s="1"/>
  <c r="DR268" i="8"/>
  <c r="AF268" i="8" s="1"/>
  <c r="DS268" i="8"/>
  <c r="DR222" i="8"/>
  <c r="AF222" i="8" s="1"/>
  <c r="DS222" i="8"/>
  <c r="DR205" i="8"/>
  <c r="AF205" i="8" s="1"/>
  <c r="DS205" i="8"/>
  <c r="DR168" i="8"/>
  <c r="AF168" i="8" s="1"/>
  <c r="DS168" i="8"/>
  <c r="DR103" i="8"/>
  <c r="AF103" i="8" s="1"/>
  <c r="DS103" i="8"/>
  <c r="DR77" i="8"/>
  <c r="AF77" i="8" s="1"/>
  <c r="DS77" i="8"/>
  <c r="DR11" i="8"/>
  <c r="AF11" i="8" s="1"/>
  <c r="DS11" i="8"/>
  <c r="DR515" i="8"/>
  <c r="AF515" i="8" s="1"/>
  <c r="DS515" i="8"/>
  <c r="DS163" i="8"/>
  <c r="DR163" i="8"/>
  <c r="AF163" i="8" s="1"/>
  <c r="DR456" i="8"/>
  <c r="AF456" i="8" s="1"/>
  <c r="DS456" i="8"/>
  <c r="DS280" i="8"/>
  <c r="DR280" i="8"/>
  <c r="AF280" i="8" s="1"/>
  <c r="DR440" i="8"/>
  <c r="AF440" i="8" s="1"/>
  <c r="DS440" i="8"/>
  <c r="DS97" i="8"/>
  <c r="DR97" i="8"/>
  <c r="AF97" i="8" s="1"/>
  <c r="DR439" i="8"/>
  <c r="AF439" i="8" s="1"/>
  <c r="DS439" i="8"/>
  <c r="DR276" i="8"/>
  <c r="AF276" i="8" s="1"/>
  <c r="DS276" i="8"/>
  <c r="DR581" i="8"/>
  <c r="AF581" i="8" s="1"/>
  <c r="DS581" i="8"/>
  <c r="DS518" i="8"/>
  <c r="DR518" i="8"/>
  <c r="AF518" i="8" s="1"/>
  <c r="DR460" i="8"/>
  <c r="AF460" i="8" s="1"/>
  <c r="DS460" i="8"/>
  <c r="DR445" i="8"/>
  <c r="AF445" i="8" s="1"/>
  <c r="DS445" i="8"/>
  <c r="DS407" i="8"/>
  <c r="DR407" i="8"/>
  <c r="AF407" i="8" s="1"/>
  <c r="DR387" i="8"/>
  <c r="AF387" i="8" s="1"/>
  <c r="DS387" i="8"/>
  <c r="DR372" i="8"/>
  <c r="AF372" i="8" s="1"/>
  <c r="DS372" i="8"/>
  <c r="DR340" i="8"/>
  <c r="AF340" i="8" s="1"/>
  <c r="DS340" i="8"/>
  <c r="DR320" i="8"/>
  <c r="AF320" i="8" s="1"/>
  <c r="DS320" i="8"/>
  <c r="DR289" i="8"/>
  <c r="AF289" i="8" s="1"/>
  <c r="DS289" i="8"/>
  <c r="DR266" i="8"/>
  <c r="AF266" i="8" s="1"/>
  <c r="DS266" i="8"/>
  <c r="DS218" i="8"/>
  <c r="DR218" i="8"/>
  <c r="AF218" i="8" s="1"/>
  <c r="DS204" i="8"/>
  <c r="DR204" i="8"/>
  <c r="AF204" i="8" s="1"/>
  <c r="DR166" i="8"/>
  <c r="AF166" i="8" s="1"/>
  <c r="DS166" i="8"/>
  <c r="DR102" i="8"/>
  <c r="AF102" i="8" s="1"/>
  <c r="DS102" i="8"/>
  <c r="DR76" i="8"/>
  <c r="AF76" i="8" s="1"/>
  <c r="DS76" i="8"/>
  <c r="DR10" i="8"/>
  <c r="AF10" i="8" s="1"/>
  <c r="DS10" i="8"/>
  <c r="DR457" i="8"/>
  <c r="AF457" i="8" s="1"/>
  <c r="DS457" i="8"/>
  <c r="DS99" i="8"/>
  <c r="DR99" i="8"/>
  <c r="AF99" i="8" s="1"/>
  <c r="DR397" i="8"/>
  <c r="AF397" i="8" s="1"/>
  <c r="DS397" i="8"/>
  <c r="DS262" i="8"/>
  <c r="DR262" i="8"/>
  <c r="AF262" i="8" s="1"/>
  <c r="DR455" i="8"/>
  <c r="AF455" i="8" s="1"/>
  <c r="DS455" i="8"/>
  <c r="DR261" i="8"/>
  <c r="AF261" i="8" s="1"/>
  <c r="DS261" i="8"/>
  <c r="DR512" i="8"/>
  <c r="AF512" i="8" s="1"/>
  <c r="DS512" i="8"/>
  <c r="DR195" i="8"/>
  <c r="AF195" i="8" s="1"/>
  <c r="DS195" i="8"/>
  <c r="DS563" i="8"/>
  <c r="DR563" i="8"/>
  <c r="AF563" i="8" s="1"/>
  <c r="DS459" i="8"/>
  <c r="DR459" i="8"/>
  <c r="AF459" i="8" s="1"/>
  <c r="DR402" i="8"/>
  <c r="AF402" i="8" s="1"/>
  <c r="DS402" i="8"/>
  <c r="DR386" i="8"/>
  <c r="AF386" i="8" s="1"/>
  <c r="DS386" i="8"/>
  <c r="DR371" i="8"/>
  <c r="AF371" i="8" s="1"/>
  <c r="DS371" i="8"/>
  <c r="DS339" i="8"/>
  <c r="DR339" i="8"/>
  <c r="AF339" i="8" s="1"/>
  <c r="DS317" i="8"/>
  <c r="DR317" i="8"/>
  <c r="AF317" i="8" s="1"/>
  <c r="DR288" i="8"/>
  <c r="AF288" i="8" s="1"/>
  <c r="DS288" i="8"/>
  <c r="DR265" i="8"/>
  <c r="AF265" i="8" s="1"/>
  <c r="DS265" i="8"/>
  <c r="DS217" i="8"/>
  <c r="DR217" i="8"/>
  <c r="AF217" i="8" s="1"/>
  <c r="DS203" i="8"/>
  <c r="DR203" i="8"/>
  <c r="AF203" i="8" s="1"/>
  <c r="DR165" i="8"/>
  <c r="AF165" i="8" s="1"/>
  <c r="DS165" i="8"/>
  <c r="DR101" i="8"/>
  <c r="AF101" i="8" s="1"/>
  <c r="DS101" i="8"/>
  <c r="DS73" i="8"/>
  <c r="DR73" i="8"/>
  <c r="AF73" i="8" s="1"/>
  <c r="DR9" i="8"/>
  <c r="AF9" i="8" s="1"/>
  <c r="DS9" i="8"/>
  <c r="DR557" i="8"/>
  <c r="AF557" i="8" s="1"/>
  <c r="DS557" i="8"/>
  <c r="DR337" i="8"/>
  <c r="AF337" i="8" s="1"/>
  <c r="DS337" i="8"/>
  <c r="DR55" i="8"/>
  <c r="AF55" i="8" s="1"/>
  <c r="DS55" i="8"/>
  <c r="DR570" i="8"/>
  <c r="AF570" i="8" s="1"/>
  <c r="DS570" i="8"/>
  <c r="DR476" i="8"/>
  <c r="AF476" i="8" s="1"/>
  <c r="DS476" i="8"/>
  <c r="DR368" i="8"/>
  <c r="AF368" i="8" s="1"/>
  <c r="DS368" i="8"/>
  <c r="DR6" i="8"/>
  <c r="AF6" i="8" s="1"/>
  <c r="DS6" i="8"/>
  <c r="DR469" i="8"/>
  <c r="AF469" i="8" s="1"/>
  <c r="DS469" i="8"/>
  <c r="DS367" i="8"/>
  <c r="DR367" i="8"/>
  <c r="AF367" i="8" s="1"/>
  <c r="DR161" i="8"/>
  <c r="AF161" i="8" s="1"/>
  <c r="DS161" i="8"/>
  <c r="DR526" i="8"/>
  <c r="AF526" i="8" s="1"/>
  <c r="DS526" i="8"/>
  <c r="DR96" i="8"/>
  <c r="AF96" i="8" s="1"/>
  <c r="DS96" i="8"/>
  <c r="DS577" i="8"/>
  <c r="DR577" i="8"/>
  <c r="AF577" i="8" s="1"/>
  <c r="DS549" i="8"/>
  <c r="DR549" i="8"/>
  <c r="AF549" i="8" s="1"/>
  <c r="DS504" i="8"/>
  <c r="DR504" i="8"/>
  <c r="AF504" i="8" s="1"/>
  <c r="DR562" i="8"/>
  <c r="AF562" i="8" s="1"/>
  <c r="DS562" i="8"/>
  <c r="DR574" i="8"/>
  <c r="AF574" i="8" s="1"/>
  <c r="DS574" i="8"/>
  <c r="DR560" i="8"/>
  <c r="AF560" i="8" s="1"/>
  <c r="DS560" i="8"/>
  <c r="DR546" i="8"/>
  <c r="AF546" i="8" s="1"/>
  <c r="DS546" i="8"/>
  <c r="DR532" i="8"/>
  <c r="AF532" i="8" s="1"/>
  <c r="DS532" i="8"/>
  <c r="DR480" i="8"/>
  <c r="AF480" i="8" s="1"/>
  <c r="DS480" i="8"/>
  <c r="DS573" i="8"/>
  <c r="DR573" i="8"/>
  <c r="AF573" i="8" s="1"/>
  <c r="DS559" i="8"/>
  <c r="DR559" i="8"/>
  <c r="AF559" i="8" s="1"/>
  <c r="DR545" i="8"/>
  <c r="AF545" i="8" s="1"/>
  <c r="DS545" i="8"/>
  <c r="DR531" i="8"/>
  <c r="AF531" i="8" s="1"/>
  <c r="DS531" i="8"/>
  <c r="DS517" i="8"/>
  <c r="DR517" i="8"/>
  <c r="AF517" i="8" s="1"/>
  <c r="DR479" i="8"/>
  <c r="AF479" i="8" s="1"/>
  <c r="DS479" i="8"/>
  <c r="DR444" i="8"/>
  <c r="AF444" i="8" s="1"/>
  <c r="DS444" i="8"/>
  <c r="DR572" i="8"/>
  <c r="AF572" i="8" s="1"/>
  <c r="DS572" i="8"/>
  <c r="DR558" i="8"/>
  <c r="AF558" i="8" s="1"/>
  <c r="DS558" i="8"/>
  <c r="DR544" i="8"/>
  <c r="AF544" i="8" s="1"/>
  <c r="DS544" i="8"/>
  <c r="DR530" i="8"/>
  <c r="AF530" i="8" s="1"/>
  <c r="DS530" i="8"/>
  <c r="DR516" i="8"/>
  <c r="AF516" i="8" s="1"/>
  <c r="DS516" i="8"/>
  <c r="DR478" i="8"/>
  <c r="AF478" i="8" s="1"/>
  <c r="DS478" i="8"/>
  <c r="DS458" i="8"/>
  <c r="DR458" i="8"/>
  <c r="AF458" i="8" s="1"/>
  <c r="DS443" i="8"/>
  <c r="DR443" i="8"/>
  <c r="AF443" i="8" s="1"/>
  <c r="DR401" i="8"/>
  <c r="AF401" i="8" s="1"/>
  <c r="DS401" i="8"/>
  <c r="DR385" i="8"/>
  <c r="AF385" i="8" s="1"/>
  <c r="DS385" i="8"/>
  <c r="DR370" i="8"/>
  <c r="AF370" i="8" s="1"/>
  <c r="DS370" i="8"/>
  <c r="DS338" i="8"/>
  <c r="DR338" i="8"/>
  <c r="AF338" i="8" s="1"/>
  <c r="DR316" i="8"/>
  <c r="AF316" i="8" s="1"/>
  <c r="DS316" i="8"/>
  <c r="DR283" i="8"/>
  <c r="AF283" i="8" s="1"/>
  <c r="DS283" i="8"/>
  <c r="DR264" i="8"/>
  <c r="AF264" i="8" s="1"/>
  <c r="DS264" i="8"/>
  <c r="DS216" i="8"/>
  <c r="DR216" i="8"/>
  <c r="AF216" i="8" s="1"/>
  <c r="DS202" i="8"/>
  <c r="DR202" i="8"/>
  <c r="AF202" i="8" s="1"/>
  <c r="DR164" i="8"/>
  <c r="AF164" i="8" s="1"/>
  <c r="DS164" i="8"/>
  <c r="DS100" i="8"/>
  <c r="DR100" i="8"/>
  <c r="AF100" i="8" s="1"/>
  <c r="DR56" i="8"/>
  <c r="AF56" i="8" s="1"/>
  <c r="DS56" i="8"/>
  <c r="DR8" i="8"/>
  <c r="AF8" i="8" s="1"/>
  <c r="DS8" i="8"/>
  <c r="AH58" i="1" l="1"/>
  <c r="AD39" i="3" l="1"/>
  <c r="AD40" i="3"/>
  <c r="AD39" i="6"/>
  <c r="AD39" i="4"/>
  <c r="AD30" i="7"/>
  <c r="AD21" i="4"/>
  <c r="AD21" i="6"/>
  <c r="AD60" i="5"/>
  <c r="AD39" i="5"/>
  <c r="AD18" i="5"/>
  <c r="AD21" i="3"/>
  <c r="AD22" i="3"/>
  <c r="AD116" i="1"/>
  <c r="AD115" i="1"/>
  <c r="AD114" i="1" s="1"/>
  <c r="AD117" i="1"/>
  <c r="AD93" i="1"/>
  <c r="AD29" i="1"/>
  <c r="AD24" i="1" s="1"/>
  <c r="AD69" i="1"/>
  <c r="AD63" i="1" s="1"/>
  <c r="AD17" i="1" l="1"/>
  <c r="AD12" i="1" s="1"/>
  <c r="AH350" i="8" l="1"/>
  <c r="AI350" i="8"/>
  <c r="AJ350" i="8"/>
  <c r="AK350" i="8"/>
  <c r="L5" i="1" l="1"/>
  <c r="BI2" i="8"/>
  <c r="AE35" i="6"/>
  <c r="AD35" i="6"/>
  <c r="AP35" i="6" l="1"/>
  <c r="AO35" i="6"/>
  <c r="BO42" i="8"/>
  <c r="BO43" i="8"/>
  <c r="BO44" i="8"/>
  <c r="BO45" i="8"/>
  <c r="BO46" i="8"/>
  <c r="BO47" i="8"/>
  <c r="BO48" i="8"/>
  <c r="BO49" i="8"/>
  <c r="BO50" i="8"/>
  <c r="BO51" i="8"/>
  <c r="BO52" i="8"/>
  <c r="BO53" i="8"/>
  <c r="BO54" i="8"/>
  <c r="BO55" i="8"/>
  <c r="BO56" i="8"/>
  <c r="BO57" i="8"/>
  <c r="BO58" i="8"/>
  <c r="BO41" i="8"/>
  <c r="DT58" i="8"/>
  <c r="DT59" i="8"/>
  <c r="DT60" i="8"/>
  <c r="DT61" i="8"/>
  <c r="DT62" i="8"/>
  <c r="DT63" i="8"/>
  <c r="DT64" i="8"/>
  <c r="DT65" i="8"/>
  <c r="DT66" i="8"/>
  <c r="DT67" i="8"/>
  <c r="DT68" i="8"/>
  <c r="DT69" i="8"/>
  <c r="BJ2" i="8" l="1"/>
  <c r="DU42" i="8"/>
  <c r="AA100" i="9" l="1"/>
  <c r="Z100" i="9"/>
  <c r="Y100" i="9"/>
  <c r="X100" i="9"/>
  <c r="W100" i="9"/>
  <c r="V100" i="9"/>
  <c r="U100" i="9"/>
  <c r="T100" i="9"/>
  <c r="S100" i="9"/>
  <c r="R100" i="9"/>
  <c r="Q100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AA98" i="9"/>
  <c r="Z98" i="9"/>
  <c r="Y98" i="9"/>
  <c r="AN98" i="9" s="1"/>
  <c r="X98" i="9"/>
  <c r="W98" i="9"/>
  <c r="V98" i="9"/>
  <c r="U98" i="9"/>
  <c r="T98" i="9"/>
  <c r="S98" i="9"/>
  <c r="R98" i="9"/>
  <c r="Q98" i="9"/>
  <c r="P98" i="9"/>
  <c r="O98" i="9"/>
  <c r="N98" i="9"/>
  <c r="M98" i="9"/>
  <c r="L98" i="9"/>
  <c r="K98" i="9"/>
  <c r="J98" i="9"/>
  <c r="I98" i="9"/>
  <c r="H98" i="9"/>
  <c r="G98" i="9"/>
  <c r="F98" i="9"/>
  <c r="E98" i="9"/>
  <c r="AA97" i="9"/>
  <c r="Z97" i="9"/>
  <c r="Y97" i="9"/>
  <c r="X97" i="9"/>
  <c r="W97" i="9"/>
  <c r="V97" i="9"/>
  <c r="U97" i="9"/>
  <c r="T97" i="9"/>
  <c r="S97" i="9"/>
  <c r="R97" i="9"/>
  <c r="Q97" i="9"/>
  <c r="P97" i="9"/>
  <c r="O97" i="9"/>
  <c r="N97" i="9"/>
  <c r="M97" i="9"/>
  <c r="L97" i="9"/>
  <c r="K97" i="9"/>
  <c r="J97" i="9"/>
  <c r="I97" i="9"/>
  <c r="H97" i="9"/>
  <c r="G97" i="9"/>
  <c r="F97" i="9"/>
  <c r="E97" i="9"/>
  <c r="AA96" i="9"/>
  <c r="Z96" i="9"/>
  <c r="Y96" i="9"/>
  <c r="X96" i="9"/>
  <c r="W96" i="9"/>
  <c r="V96" i="9"/>
  <c r="U96" i="9"/>
  <c r="T96" i="9"/>
  <c r="S96" i="9"/>
  <c r="R96" i="9"/>
  <c r="Q96" i="9"/>
  <c r="P96" i="9"/>
  <c r="O96" i="9"/>
  <c r="N96" i="9"/>
  <c r="M96" i="9"/>
  <c r="L96" i="9"/>
  <c r="K96" i="9"/>
  <c r="J96" i="9"/>
  <c r="I96" i="9"/>
  <c r="H96" i="9"/>
  <c r="G96" i="9"/>
  <c r="F96" i="9"/>
  <c r="E96" i="9"/>
  <c r="AA95" i="9"/>
  <c r="Z95" i="9"/>
  <c r="Y95" i="9"/>
  <c r="X95" i="9"/>
  <c r="W95" i="9"/>
  <c r="V95" i="9"/>
  <c r="U95" i="9"/>
  <c r="T95" i="9"/>
  <c r="S95" i="9"/>
  <c r="R95" i="9"/>
  <c r="Q95" i="9"/>
  <c r="P95" i="9"/>
  <c r="O95" i="9"/>
  <c r="N95" i="9"/>
  <c r="M95" i="9"/>
  <c r="L95" i="9"/>
  <c r="K95" i="9"/>
  <c r="J95" i="9"/>
  <c r="I95" i="9"/>
  <c r="H95" i="9"/>
  <c r="G95" i="9"/>
  <c r="F95" i="9"/>
  <c r="E95" i="9"/>
  <c r="AA94" i="9"/>
  <c r="Z94" i="9"/>
  <c r="Y94" i="9"/>
  <c r="X94" i="9"/>
  <c r="W94" i="9"/>
  <c r="V94" i="9"/>
  <c r="U94" i="9"/>
  <c r="T94" i="9"/>
  <c r="S94" i="9"/>
  <c r="R94" i="9"/>
  <c r="Q94" i="9"/>
  <c r="P94" i="9"/>
  <c r="O94" i="9"/>
  <c r="N94" i="9"/>
  <c r="M94" i="9"/>
  <c r="L94" i="9"/>
  <c r="K94" i="9"/>
  <c r="J94" i="9"/>
  <c r="I94" i="9"/>
  <c r="H94" i="9"/>
  <c r="G94" i="9"/>
  <c r="F94" i="9"/>
  <c r="E94" i="9"/>
  <c r="AA92" i="9"/>
  <c r="Z92" i="9"/>
  <c r="Y92" i="9"/>
  <c r="X92" i="9"/>
  <c r="W92" i="9"/>
  <c r="V92" i="9"/>
  <c r="U92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G92" i="9"/>
  <c r="F92" i="9"/>
  <c r="E92" i="9"/>
  <c r="AA91" i="9"/>
  <c r="Z91" i="9"/>
  <c r="Y91" i="9"/>
  <c r="X91" i="9"/>
  <c r="W91" i="9"/>
  <c r="V91" i="9"/>
  <c r="U91" i="9"/>
  <c r="T91" i="9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AA89" i="9"/>
  <c r="Z89" i="9"/>
  <c r="Y89" i="9"/>
  <c r="AN89" i="9" s="1"/>
  <c r="X89" i="9"/>
  <c r="W89" i="9"/>
  <c r="V89" i="9"/>
  <c r="U89" i="9"/>
  <c r="T89" i="9"/>
  <c r="S89" i="9"/>
  <c r="R89" i="9"/>
  <c r="Q89" i="9"/>
  <c r="P89" i="9"/>
  <c r="O89" i="9"/>
  <c r="N89" i="9"/>
  <c r="M89" i="9"/>
  <c r="L89" i="9"/>
  <c r="K89" i="9"/>
  <c r="J89" i="9"/>
  <c r="I89" i="9"/>
  <c r="H89" i="9"/>
  <c r="G89" i="9"/>
  <c r="F89" i="9"/>
  <c r="E89" i="9"/>
  <c r="AA88" i="9"/>
  <c r="Z88" i="9"/>
  <c r="Y88" i="9"/>
  <c r="X88" i="9"/>
  <c r="W88" i="9"/>
  <c r="V88" i="9"/>
  <c r="U88" i="9"/>
  <c r="T88" i="9"/>
  <c r="S88" i="9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AA87" i="9"/>
  <c r="Z87" i="9"/>
  <c r="Y87" i="9"/>
  <c r="X87" i="9"/>
  <c r="W87" i="9"/>
  <c r="V87" i="9"/>
  <c r="U87" i="9"/>
  <c r="T87" i="9"/>
  <c r="S87" i="9"/>
  <c r="R87" i="9"/>
  <c r="Q87" i="9"/>
  <c r="P87" i="9"/>
  <c r="O87" i="9"/>
  <c r="N87" i="9"/>
  <c r="M87" i="9"/>
  <c r="L87" i="9"/>
  <c r="K87" i="9"/>
  <c r="J87" i="9"/>
  <c r="I87" i="9"/>
  <c r="H87" i="9"/>
  <c r="G87" i="9"/>
  <c r="F87" i="9"/>
  <c r="E87" i="9"/>
  <c r="AA86" i="9"/>
  <c r="Z86" i="9"/>
  <c r="Y86" i="9"/>
  <c r="X86" i="9"/>
  <c r="W86" i="9"/>
  <c r="V86" i="9"/>
  <c r="U86" i="9"/>
  <c r="T86" i="9"/>
  <c r="S86" i="9"/>
  <c r="R86" i="9"/>
  <c r="Q86" i="9"/>
  <c r="P86" i="9"/>
  <c r="O86" i="9"/>
  <c r="N86" i="9"/>
  <c r="M86" i="9"/>
  <c r="L86" i="9"/>
  <c r="K86" i="9"/>
  <c r="J86" i="9"/>
  <c r="I86" i="9"/>
  <c r="H86" i="9"/>
  <c r="G86" i="9"/>
  <c r="F86" i="9"/>
  <c r="E86" i="9"/>
  <c r="AA85" i="9"/>
  <c r="Z85" i="9"/>
  <c r="Y85" i="9"/>
  <c r="X85" i="9"/>
  <c r="W85" i="9"/>
  <c r="V85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AA83" i="9"/>
  <c r="Z83" i="9"/>
  <c r="Y83" i="9"/>
  <c r="X83" i="9"/>
  <c r="W83" i="9"/>
  <c r="V83" i="9"/>
  <c r="U83" i="9"/>
  <c r="T83" i="9"/>
  <c r="S83" i="9"/>
  <c r="R83" i="9"/>
  <c r="Q83" i="9"/>
  <c r="P83" i="9"/>
  <c r="O83" i="9"/>
  <c r="N83" i="9"/>
  <c r="M83" i="9"/>
  <c r="L83" i="9"/>
  <c r="K83" i="9"/>
  <c r="J83" i="9"/>
  <c r="I83" i="9"/>
  <c r="H83" i="9"/>
  <c r="G83" i="9"/>
  <c r="F83" i="9"/>
  <c r="E83" i="9"/>
  <c r="AA82" i="9"/>
  <c r="Z82" i="9"/>
  <c r="Y82" i="9"/>
  <c r="X82" i="9"/>
  <c r="W82" i="9"/>
  <c r="V82" i="9"/>
  <c r="U82" i="9"/>
  <c r="T82" i="9"/>
  <c r="S82" i="9"/>
  <c r="R82" i="9"/>
  <c r="Q82" i="9"/>
  <c r="P82" i="9"/>
  <c r="O82" i="9"/>
  <c r="N82" i="9"/>
  <c r="M82" i="9"/>
  <c r="L82" i="9"/>
  <c r="K82" i="9"/>
  <c r="J82" i="9"/>
  <c r="I82" i="9"/>
  <c r="H82" i="9"/>
  <c r="G82" i="9"/>
  <c r="F82" i="9"/>
  <c r="E82" i="9"/>
  <c r="AA81" i="9"/>
  <c r="Z81" i="9"/>
  <c r="Y81" i="9"/>
  <c r="X81" i="9"/>
  <c r="W81" i="9"/>
  <c r="V81" i="9"/>
  <c r="U81" i="9"/>
  <c r="T81" i="9"/>
  <c r="S81" i="9"/>
  <c r="R81" i="9"/>
  <c r="Q81" i="9"/>
  <c r="P81" i="9"/>
  <c r="O81" i="9"/>
  <c r="N81" i="9"/>
  <c r="M81" i="9"/>
  <c r="L81" i="9"/>
  <c r="K81" i="9"/>
  <c r="J81" i="9"/>
  <c r="I81" i="9"/>
  <c r="H81" i="9"/>
  <c r="G81" i="9"/>
  <c r="F81" i="9"/>
  <c r="E81" i="9"/>
  <c r="AA79" i="9"/>
  <c r="Z79" i="9"/>
  <c r="Y79" i="9"/>
  <c r="X79" i="9"/>
  <c r="W79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AA78" i="9"/>
  <c r="Z78" i="9"/>
  <c r="Y78" i="9"/>
  <c r="X78" i="9"/>
  <c r="W78" i="9"/>
  <c r="V78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AA77" i="9"/>
  <c r="Z77" i="9"/>
  <c r="Y77" i="9"/>
  <c r="X77" i="9"/>
  <c r="W77" i="9"/>
  <c r="V77" i="9"/>
  <c r="U77" i="9"/>
  <c r="T77" i="9"/>
  <c r="S77" i="9"/>
  <c r="R77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AA76" i="9"/>
  <c r="Z76" i="9"/>
  <c r="Y76" i="9"/>
  <c r="X76" i="9"/>
  <c r="W76" i="9"/>
  <c r="V76" i="9"/>
  <c r="U76" i="9"/>
  <c r="T76" i="9"/>
  <c r="S76" i="9"/>
  <c r="R76" i="9"/>
  <c r="Q76" i="9"/>
  <c r="P76" i="9"/>
  <c r="O76" i="9"/>
  <c r="N76" i="9"/>
  <c r="M76" i="9"/>
  <c r="L76" i="9"/>
  <c r="K76" i="9"/>
  <c r="J76" i="9"/>
  <c r="I76" i="9"/>
  <c r="H76" i="9"/>
  <c r="G76" i="9"/>
  <c r="F76" i="9"/>
  <c r="E76" i="9"/>
  <c r="AA73" i="9"/>
  <c r="Z73" i="9"/>
  <c r="Y73" i="9"/>
  <c r="X73" i="9"/>
  <c r="W73" i="9"/>
  <c r="V73" i="9"/>
  <c r="U73" i="9"/>
  <c r="T73" i="9"/>
  <c r="S73" i="9"/>
  <c r="R73" i="9"/>
  <c r="Q73" i="9"/>
  <c r="P73" i="9"/>
  <c r="O73" i="9"/>
  <c r="N73" i="9"/>
  <c r="M73" i="9"/>
  <c r="L73" i="9"/>
  <c r="K73" i="9"/>
  <c r="J73" i="9"/>
  <c r="I73" i="9"/>
  <c r="H73" i="9"/>
  <c r="G73" i="9"/>
  <c r="F73" i="9"/>
  <c r="E73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100" i="9"/>
  <c r="D98" i="9"/>
  <c r="D97" i="9"/>
  <c r="D96" i="9"/>
  <c r="D95" i="9"/>
  <c r="D94" i="9"/>
  <c r="D92" i="9"/>
  <c r="D91" i="9"/>
  <c r="D89" i="9"/>
  <c r="D88" i="9"/>
  <c r="D87" i="9"/>
  <c r="D86" i="9"/>
  <c r="D85" i="9"/>
  <c r="D83" i="9"/>
  <c r="D82" i="9"/>
  <c r="D81" i="9"/>
  <c r="AC5" i="5"/>
  <c r="AA80" i="9" s="1"/>
  <c r="AB5" i="5"/>
  <c r="AA5" i="5"/>
  <c r="Z5" i="5"/>
  <c r="X80" i="9" s="1"/>
  <c r="Y5" i="5"/>
  <c r="X5" i="5"/>
  <c r="W5" i="5"/>
  <c r="U80" i="9" s="1"/>
  <c r="V5" i="5"/>
  <c r="T80" i="9" s="1"/>
  <c r="U5" i="5"/>
  <c r="S80" i="9" s="1"/>
  <c r="T5" i="5"/>
  <c r="R80" i="9" s="1"/>
  <c r="S5" i="5"/>
  <c r="Q80" i="9" s="1"/>
  <c r="R5" i="5"/>
  <c r="P80" i="9" s="1"/>
  <c r="Q5" i="5"/>
  <c r="O80" i="9" s="1"/>
  <c r="P5" i="5"/>
  <c r="N80" i="9" s="1"/>
  <c r="O5" i="5"/>
  <c r="M80" i="9" s="1"/>
  <c r="N5" i="5"/>
  <c r="L80" i="9" s="1"/>
  <c r="M5" i="5"/>
  <c r="K80" i="9" s="1"/>
  <c r="L5" i="5"/>
  <c r="J80" i="9" s="1"/>
  <c r="K5" i="5"/>
  <c r="I80" i="9" s="1"/>
  <c r="J5" i="5"/>
  <c r="H80" i="9" s="1"/>
  <c r="I5" i="5"/>
  <c r="G80" i="9" s="1"/>
  <c r="H5" i="5"/>
  <c r="F80" i="9" s="1"/>
  <c r="G5" i="5"/>
  <c r="E80" i="9" s="1"/>
  <c r="F5" i="5"/>
  <c r="D80" i="9" s="1"/>
  <c r="D79" i="9"/>
  <c r="D78" i="9"/>
  <c r="D77" i="9"/>
  <c r="D76" i="9"/>
  <c r="D73" i="9"/>
  <c r="D72" i="9"/>
  <c r="D71" i="9"/>
  <c r="D70" i="9"/>
  <c r="AN95" i="9" l="1"/>
  <c r="AN79" i="9"/>
  <c r="AN88" i="9"/>
  <c r="AN85" i="9"/>
  <c r="AN91" i="9"/>
  <c r="AN94" i="9"/>
  <c r="AN81" i="9"/>
  <c r="AR5" i="5"/>
  <c r="AN72" i="9"/>
  <c r="AN97" i="9"/>
  <c r="AN76" i="9"/>
  <c r="AQ95" i="9"/>
  <c r="AM95" i="9"/>
  <c r="AQ97" i="9"/>
  <c r="AM97" i="9"/>
  <c r="AM94" i="9"/>
  <c r="AQ94" i="9"/>
  <c r="AQ96" i="9"/>
  <c r="AM96" i="9"/>
  <c r="AN96" i="9"/>
  <c r="AQ98" i="9"/>
  <c r="AM98" i="9"/>
  <c r="AN100" i="9"/>
  <c r="AQ100" i="9"/>
  <c r="AM100" i="9"/>
  <c r="AQ91" i="9"/>
  <c r="AM91" i="9"/>
  <c r="AQ92" i="9"/>
  <c r="AM92" i="9"/>
  <c r="AN92" i="9"/>
  <c r="AN87" i="9"/>
  <c r="AQ86" i="9"/>
  <c r="AM86" i="9"/>
  <c r="AQ87" i="9"/>
  <c r="AM87" i="9"/>
  <c r="AQ89" i="9"/>
  <c r="AM89" i="9"/>
  <c r="AN86" i="9"/>
  <c r="AM88" i="9"/>
  <c r="AQ88" i="9"/>
  <c r="AQ85" i="9"/>
  <c r="AM85" i="9"/>
  <c r="AN71" i="9"/>
  <c r="AN70" i="9"/>
  <c r="AQ71" i="9"/>
  <c r="AM71" i="9"/>
  <c r="AQ73" i="9"/>
  <c r="AM73" i="9"/>
  <c r="AQ72" i="9"/>
  <c r="AM72" i="9"/>
  <c r="AM70" i="9"/>
  <c r="AQ70" i="9"/>
  <c r="AN73" i="9"/>
  <c r="AN82" i="9"/>
  <c r="AM83" i="9"/>
  <c r="AQ83" i="9"/>
  <c r="AN83" i="9"/>
  <c r="AM82" i="9"/>
  <c r="AQ82" i="9"/>
  <c r="AU5" i="5"/>
  <c r="AQ5" i="5"/>
  <c r="AQ81" i="9"/>
  <c r="AM81" i="9"/>
  <c r="AN77" i="9"/>
  <c r="AQ77" i="9"/>
  <c r="AM77" i="9"/>
  <c r="AM79" i="9"/>
  <c r="AQ79" i="9"/>
  <c r="AQ78" i="9"/>
  <c r="AM78" i="9"/>
  <c r="AQ76" i="9"/>
  <c r="AM76" i="9"/>
  <c r="AN78" i="9"/>
  <c r="V80" i="9"/>
  <c r="Y80" i="9"/>
  <c r="Z80" i="9"/>
  <c r="W80" i="9"/>
  <c r="AN80" i="9" l="1"/>
  <c r="AQ80" i="9"/>
  <c r="AM80" i="9"/>
  <c r="AI52" i="2"/>
  <c r="AH52" i="2"/>
  <c r="AG52" i="2"/>
  <c r="AF52" i="2"/>
  <c r="AE52" i="2"/>
  <c r="AD52" i="2"/>
  <c r="AC45" i="2"/>
  <c r="AB45" i="2"/>
  <c r="Z93" i="9" s="1"/>
  <c r="AA45" i="2"/>
  <c r="Z45" i="2"/>
  <c r="X93" i="9" s="1"/>
  <c r="Y45" i="2"/>
  <c r="W93" i="9" s="1"/>
  <c r="X45" i="2"/>
  <c r="W45" i="2"/>
  <c r="U93" i="9" s="1"/>
  <c r="V45" i="2"/>
  <c r="T93" i="9" s="1"/>
  <c r="U45" i="2"/>
  <c r="S93" i="9" s="1"/>
  <c r="T45" i="2"/>
  <c r="R93" i="9" s="1"/>
  <c r="S45" i="2"/>
  <c r="Q93" i="9" s="1"/>
  <c r="R45" i="2"/>
  <c r="P93" i="9" s="1"/>
  <c r="Q45" i="2"/>
  <c r="O93" i="9" s="1"/>
  <c r="P45" i="2"/>
  <c r="N93" i="9" s="1"/>
  <c r="O45" i="2"/>
  <c r="M93" i="9" s="1"/>
  <c r="N45" i="2"/>
  <c r="L93" i="9" s="1"/>
  <c r="M45" i="2"/>
  <c r="K93" i="9" s="1"/>
  <c r="L45" i="2"/>
  <c r="J93" i="9" s="1"/>
  <c r="K45" i="2"/>
  <c r="I93" i="9" s="1"/>
  <c r="J45" i="2"/>
  <c r="H93" i="9" s="1"/>
  <c r="I45" i="2"/>
  <c r="G93" i="9" s="1"/>
  <c r="H45" i="2"/>
  <c r="F93" i="9" s="1"/>
  <c r="G45" i="2"/>
  <c r="E93" i="9" s="1"/>
  <c r="F45" i="2"/>
  <c r="D93" i="9" s="1"/>
  <c r="AC39" i="4"/>
  <c r="AA90" i="9" s="1"/>
  <c r="AB39" i="4"/>
  <c r="Z90" i="9" s="1"/>
  <c r="AA39" i="4"/>
  <c r="AR39" i="4" s="1"/>
  <c r="Z39" i="4"/>
  <c r="X90" i="9" s="1"/>
  <c r="Y39" i="4"/>
  <c r="W90" i="9" s="1"/>
  <c r="X39" i="4"/>
  <c r="W39" i="4"/>
  <c r="U90" i="9" s="1"/>
  <c r="V39" i="4"/>
  <c r="T90" i="9" s="1"/>
  <c r="U39" i="4"/>
  <c r="S90" i="9" s="1"/>
  <c r="T39" i="4"/>
  <c r="R90" i="9" s="1"/>
  <c r="S39" i="4"/>
  <c r="Q90" i="9" s="1"/>
  <c r="R39" i="4"/>
  <c r="P90" i="9" s="1"/>
  <c r="Q39" i="4"/>
  <c r="O90" i="9" s="1"/>
  <c r="P39" i="4"/>
  <c r="N90" i="9" s="1"/>
  <c r="O39" i="4"/>
  <c r="M90" i="9" s="1"/>
  <c r="N39" i="4"/>
  <c r="L90" i="9" s="1"/>
  <c r="M39" i="4"/>
  <c r="K90" i="9" s="1"/>
  <c r="L39" i="4"/>
  <c r="J90" i="9" s="1"/>
  <c r="K39" i="4"/>
  <c r="I90" i="9" s="1"/>
  <c r="J39" i="4"/>
  <c r="H90" i="9" s="1"/>
  <c r="I39" i="4"/>
  <c r="G90" i="9" s="1"/>
  <c r="H39" i="4"/>
  <c r="F90" i="9" s="1"/>
  <c r="G39" i="4"/>
  <c r="E90" i="9" s="1"/>
  <c r="F39" i="4"/>
  <c r="D90" i="9" s="1"/>
  <c r="AI45" i="6"/>
  <c r="AH45" i="6"/>
  <c r="AG45" i="6"/>
  <c r="AF45" i="6"/>
  <c r="AE45" i="6"/>
  <c r="AD45" i="6"/>
  <c r="AC39" i="6"/>
  <c r="AB39" i="6"/>
  <c r="Z84" i="9" s="1"/>
  <c r="AA39" i="6"/>
  <c r="Z39" i="6"/>
  <c r="X84" i="9" s="1"/>
  <c r="Y39" i="6"/>
  <c r="W84" i="9" s="1"/>
  <c r="X39" i="6"/>
  <c r="W39" i="6"/>
  <c r="U84" i="9" s="1"/>
  <c r="V39" i="6"/>
  <c r="T84" i="9" s="1"/>
  <c r="U39" i="6"/>
  <c r="T39" i="6"/>
  <c r="R84" i="9" s="1"/>
  <c r="S39" i="6"/>
  <c r="Q84" i="9" s="1"/>
  <c r="R39" i="6"/>
  <c r="P84" i="9" s="1"/>
  <c r="Q39" i="6"/>
  <c r="O84" i="9" s="1"/>
  <c r="P39" i="6"/>
  <c r="N84" i="9" s="1"/>
  <c r="O39" i="6"/>
  <c r="M84" i="9" s="1"/>
  <c r="N39" i="6"/>
  <c r="L84" i="9" s="1"/>
  <c r="M39" i="6"/>
  <c r="K84" i="9" s="1"/>
  <c r="L39" i="6"/>
  <c r="J84" i="9" s="1"/>
  <c r="K39" i="6"/>
  <c r="I84" i="9" s="1"/>
  <c r="J39" i="6"/>
  <c r="H84" i="9" s="1"/>
  <c r="I39" i="6"/>
  <c r="G84" i="9" s="1"/>
  <c r="H39" i="6"/>
  <c r="F84" i="9" s="1"/>
  <c r="G39" i="6"/>
  <c r="E84" i="9" s="1"/>
  <c r="F39" i="6"/>
  <c r="D84" i="9" s="1"/>
  <c r="AI46" i="3"/>
  <c r="AI45" i="3" s="1"/>
  <c r="AH46" i="3"/>
  <c r="AH45" i="3" s="1"/>
  <c r="AG46" i="3"/>
  <c r="AG45" i="3" s="1"/>
  <c r="AF46" i="3"/>
  <c r="AF45" i="3" s="1"/>
  <c r="AE46" i="3"/>
  <c r="AE45" i="3" s="1"/>
  <c r="AD46" i="3"/>
  <c r="AD45" i="3" s="1"/>
  <c r="F39" i="3"/>
  <c r="D74" i="9" s="1"/>
  <c r="AB39" i="3"/>
  <c r="Z74" i="9" s="1"/>
  <c r="AC39" i="3"/>
  <c r="AA74" i="9" s="1"/>
  <c r="AC40" i="3"/>
  <c r="AA75" i="9" s="1"/>
  <c r="AB40" i="3"/>
  <c r="Z75" i="9" s="1"/>
  <c r="AA40" i="3"/>
  <c r="Z40" i="3"/>
  <c r="X75" i="9" s="1"/>
  <c r="Y40" i="3"/>
  <c r="W75" i="9" s="1"/>
  <c r="X40" i="3"/>
  <c r="W40" i="3"/>
  <c r="U75" i="9" s="1"/>
  <c r="V40" i="3"/>
  <c r="T75" i="9" s="1"/>
  <c r="U40" i="3"/>
  <c r="S75" i="9" s="1"/>
  <c r="T40" i="3"/>
  <c r="R75" i="9" s="1"/>
  <c r="S40" i="3"/>
  <c r="Q75" i="9" s="1"/>
  <c r="R40" i="3"/>
  <c r="P75" i="9" s="1"/>
  <c r="Q40" i="3"/>
  <c r="O75" i="9" s="1"/>
  <c r="P40" i="3"/>
  <c r="N75" i="9" s="1"/>
  <c r="O40" i="3"/>
  <c r="M75" i="9" s="1"/>
  <c r="N40" i="3"/>
  <c r="L75" i="9" s="1"/>
  <c r="M40" i="3"/>
  <c r="K75" i="9" s="1"/>
  <c r="L40" i="3"/>
  <c r="J75" i="9" s="1"/>
  <c r="K40" i="3"/>
  <c r="I75" i="9" s="1"/>
  <c r="J40" i="3"/>
  <c r="H75" i="9" s="1"/>
  <c r="I40" i="3"/>
  <c r="G75" i="9" s="1"/>
  <c r="H40" i="3"/>
  <c r="F75" i="9" s="1"/>
  <c r="G40" i="3"/>
  <c r="E75" i="9" s="1"/>
  <c r="F40" i="3"/>
  <c r="D75" i="9" s="1"/>
  <c r="AA39" i="3"/>
  <c r="Z39" i="3"/>
  <c r="X74" i="9" s="1"/>
  <c r="Y39" i="3"/>
  <c r="W74" i="9" s="1"/>
  <c r="X39" i="3"/>
  <c r="W39" i="3"/>
  <c r="U74" i="9" s="1"/>
  <c r="V39" i="3"/>
  <c r="T74" i="9" s="1"/>
  <c r="U39" i="3"/>
  <c r="S74" i="9" s="1"/>
  <c r="T39" i="3"/>
  <c r="R74" i="9" s="1"/>
  <c r="S39" i="3"/>
  <c r="Q74" i="9" s="1"/>
  <c r="R39" i="3"/>
  <c r="P74" i="9" s="1"/>
  <c r="Q39" i="3"/>
  <c r="O74" i="9" s="1"/>
  <c r="P39" i="3"/>
  <c r="N74" i="9" s="1"/>
  <c r="O39" i="3"/>
  <c r="M74" i="9" s="1"/>
  <c r="N39" i="3"/>
  <c r="L74" i="9" s="1"/>
  <c r="M39" i="3"/>
  <c r="K74" i="9" s="1"/>
  <c r="L39" i="3"/>
  <c r="J74" i="9" s="1"/>
  <c r="K39" i="3"/>
  <c r="I74" i="9" s="1"/>
  <c r="J39" i="3"/>
  <c r="H74" i="9" s="1"/>
  <c r="I39" i="3"/>
  <c r="G74" i="9" s="1"/>
  <c r="H39" i="3"/>
  <c r="F74" i="9" s="1"/>
  <c r="G39" i="3"/>
  <c r="E74" i="9" s="1"/>
  <c r="AC5" i="1"/>
  <c r="AB5" i="1"/>
  <c r="Z69" i="9" s="1"/>
  <c r="AA5" i="1"/>
  <c r="Z5" i="1"/>
  <c r="X69" i="9" s="1"/>
  <c r="Y5" i="1"/>
  <c r="W69" i="9" s="1"/>
  <c r="X5" i="1"/>
  <c r="W5" i="1"/>
  <c r="U69" i="9" s="1"/>
  <c r="V5" i="1"/>
  <c r="T69" i="9" s="1"/>
  <c r="U5" i="1"/>
  <c r="S69" i="9" s="1"/>
  <c r="T5" i="1"/>
  <c r="R69" i="9" s="1"/>
  <c r="S5" i="1"/>
  <c r="Q69" i="9" s="1"/>
  <c r="R5" i="1"/>
  <c r="P69" i="9" s="1"/>
  <c r="Q5" i="1"/>
  <c r="O69" i="9" s="1"/>
  <c r="P5" i="1"/>
  <c r="N69" i="9" s="1"/>
  <c r="O5" i="1"/>
  <c r="M69" i="9" s="1"/>
  <c r="N5" i="1"/>
  <c r="L69" i="9" s="1"/>
  <c r="M5" i="1"/>
  <c r="K69" i="9" s="1"/>
  <c r="J69" i="9"/>
  <c r="K5" i="1"/>
  <c r="I69" i="9" s="1"/>
  <c r="J5" i="1"/>
  <c r="H69" i="9" s="1"/>
  <c r="I5" i="1"/>
  <c r="G69" i="9" s="1"/>
  <c r="H5" i="1"/>
  <c r="F69" i="9" s="1"/>
  <c r="G5" i="1"/>
  <c r="E69" i="9" s="1"/>
  <c r="F5" i="1"/>
  <c r="D69" i="9" s="1"/>
  <c r="AR45" i="2" l="1"/>
  <c r="AU45" i="2"/>
  <c r="AQ45" i="2"/>
  <c r="AU39" i="4"/>
  <c r="AQ39" i="4"/>
  <c r="AR39" i="6"/>
  <c r="AQ39" i="6"/>
  <c r="AU39" i="6"/>
  <c r="AU5" i="1"/>
  <c r="AQ5" i="1"/>
  <c r="AR5" i="1"/>
  <c r="AR40" i="3"/>
  <c r="AU40" i="3"/>
  <c r="AQ40" i="3"/>
  <c r="AQ39" i="3"/>
  <c r="AU39" i="3"/>
  <c r="AR39" i="3"/>
  <c r="V93" i="9"/>
  <c r="Y93" i="9"/>
  <c r="V90" i="9"/>
  <c r="Y90" i="9"/>
  <c r="AN90" i="9" s="1"/>
  <c r="V74" i="9"/>
  <c r="Y74" i="9"/>
  <c r="AN74" i="9" s="1"/>
  <c r="Y75" i="9"/>
  <c r="AN75" i="9" s="1"/>
  <c r="V75" i="9"/>
  <c r="V69" i="9"/>
  <c r="Y69" i="9"/>
  <c r="I68" i="9"/>
  <c r="Q68" i="9"/>
  <c r="J68" i="9"/>
  <c r="R68" i="9"/>
  <c r="K68" i="9"/>
  <c r="D68" i="9"/>
  <c r="L68" i="9"/>
  <c r="T68" i="9"/>
  <c r="H68" i="9"/>
  <c r="P68" i="9"/>
  <c r="X68" i="9"/>
  <c r="Z68" i="9"/>
  <c r="E68" i="9"/>
  <c r="M68" i="9"/>
  <c r="U68" i="9"/>
  <c r="F68" i="9"/>
  <c r="N68" i="9"/>
  <c r="G68" i="9"/>
  <c r="O68" i="9"/>
  <c r="W68" i="9"/>
  <c r="AA93" i="9"/>
  <c r="AA69" i="9"/>
  <c r="S84" i="9"/>
  <c r="S68" i="9" s="1"/>
  <c r="V84" i="9"/>
  <c r="Y84" i="9"/>
  <c r="AA84" i="9"/>
  <c r="CT222" i="8"/>
  <c r="H222" i="8" s="1"/>
  <c r="CU222" i="8"/>
  <c r="I222" i="8" s="1"/>
  <c r="CV222" i="8"/>
  <c r="J222" i="8" s="1"/>
  <c r="CW222" i="8"/>
  <c r="K222" i="8" s="1"/>
  <c r="CX222" i="8"/>
  <c r="L222" i="8" s="1"/>
  <c r="CY222" i="8"/>
  <c r="M222" i="8" s="1"/>
  <c r="CZ222" i="8"/>
  <c r="N222" i="8" s="1"/>
  <c r="DA222" i="8"/>
  <c r="O222" i="8" s="1"/>
  <c r="DB222" i="8"/>
  <c r="P222" i="8" s="1"/>
  <c r="DC222" i="8"/>
  <c r="Q222" i="8" s="1"/>
  <c r="DD222" i="8"/>
  <c r="R222" i="8" s="1"/>
  <c r="DE222" i="8"/>
  <c r="S222" i="8" s="1"/>
  <c r="DF222" i="8"/>
  <c r="T222" i="8" s="1"/>
  <c r="DG222" i="8"/>
  <c r="U222" i="8" s="1"/>
  <c r="DH222" i="8"/>
  <c r="V222" i="8" s="1"/>
  <c r="DI222" i="8"/>
  <c r="W222" i="8" s="1"/>
  <c r="DJ222" i="8"/>
  <c r="X222" i="8" s="1"/>
  <c r="DK222" i="8"/>
  <c r="Y222" i="8" s="1"/>
  <c r="DL222" i="8"/>
  <c r="Z222" i="8" s="1"/>
  <c r="DM222" i="8"/>
  <c r="AA222" i="8" s="1"/>
  <c r="DN222" i="8"/>
  <c r="AB222" i="8" s="1"/>
  <c r="DO222" i="8"/>
  <c r="AC222" i="8" s="1"/>
  <c r="DP222" i="8"/>
  <c r="AD222" i="8" s="1"/>
  <c r="DQ222" i="8"/>
  <c r="AE222" i="8" s="1"/>
  <c r="AG222" i="8"/>
  <c r="DT222" i="8"/>
  <c r="AH222" i="8" s="1"/>
  <c r="DU222" i="8"/>
  <c r="AI222" i="8" s="1"/>
  <c r="DV222" i="8"/>
  <c r="AJ222" i="8" s="1"/>
  <c r="DW222" i="8"/>
  <c r="AK222" i="8" s="1"/>
  <c r="CT223" i="8"/>
  <c r="H223" i="8" s="1"/>
  <c r="CU223" i="8"/>
  <c r="I223" i="8" s="1"/>
  <c r="CV223" i="8"/>
  <c r="J223" i="8" s="1"/>
  <c r="CW223" i="8"/>
  <c r="K223" i="8" s="1"/>
  <c r="CX223" i="8"/>
  <c r="L223" i="8" s="1"/>
  <c r="CY223" i="8"/>
  <c r="M223" i="8" s="1"/>
  <c r="CZ223" i="8"/>
  <c r="N223" i="8" s="1"/>
  <c r="DA223" i="8"/>
  <c r="O223" i="8" s="1"/>
  <c r="DB223" i="8"/>
  <c r="P223" i="8" s="1"/>
  <c r="DC223" i="8"/>
  <c r="Q223" i="8" s="1"/>
  <c r="DD223" i="8"/>
  <c r="R223" i="8" s="1"/>
  <c r="DE223" i="8"/>
  <c r="S223" i="8" s="1"/>
  <c r="DF223" i="8"/>
  <c r="T223" i="8" s="1"/>
  <c r="DG223" i="8"/>
  <c r="U223" i="8" s="1"/>
  <c r="DH223" i="8"/>
  <c r="V223" i="8" s="1"/>
  <c r="DI223" i="8"/>
  <c r="W223" i="8" s="1"/>
  <c r="DJ223" i="8"/>
  <c r="X223" i="8" s="1"/>
  <c r="DK223" i="8"/>
  <c r="Y223" i="8" s="1"/>
  <c r="DL223" i="8"/>
  <c r="Z223" i="8" s="1"/>
  <c r="DM223" i="8"/>
  <c r="AA223" i="8" s="1"/>
  <c r="DN223" i="8"/>
  <c r="AB223" i="8" s="1"/>
  <c r="DO223" i="8"/>
  <c r="AC223" i="8" s="1"/>
  <c r="DT223" i="8"/>
  <c r="AH223" i="8" s="1"/>
  <c r="DU223" i="8"/>
  <c r="AI223" i="8" s="1"/>
  <c r="DV223" i="8"/>
  <c r="AJ223" i="8" s="1"/>
  <c r="DW223" i="8"/>
  <c r="AK223" i="8" s="1"/>
  <c r="CT224" i="8"/>
  <c r="H224" i="8" s="1"/>
  <c r="CU224" i="8"/>
  <c r="I224" i="8" s="1"/>
  <c r="CV224" i="8"/>
  <c r="J224" i="8" s="1"/>
  <c r="CW224" i="8"/>
  <c r="K224" i="8" s="1"/>
  <c r="CX224" i="8"/>
  <c r="L224" i="8" s="1"/>
  <c r="CY224" i="8"/>
  <c r="M224" i="8" s="1"/>
  <c r="CZ224" i="8"/>
  <c r="N224" i="8" s="1"/>
  <c r="DA224" i="8"/>
  <c r="O224" i="8" s="1"/>
  <c r="DB224" i="8"/>
  <c r="P224" i="8" s="1"/>
  <c r="DC224" i="8"/>
  <c r="Q224" i="8" s="1"/>
  <c r="DD224" i="8"/>
  <c r="R224" i="8" s="1"/>
  <c r="DE224" i="8"/>
  <c r="S224" i="8" s="1"/>
  <c r="DF224" i="8"/>
  <c r="T224" i="8" s="1"/>
  <c r="DG224" i="8"/>
  <c r="U224" i="8" s="1"/>
  <c r="DH224" i="8"/>
  <c r="V224" i="8" s="1"/>
  <c r="DI224" i="8"/>
  <c r="W224" i="8" s="1"/>
  <c r="DJ224" i="8"/>
  <c r="X224" i="8" s="1"/>
  <c r="DK224" i="8"/>
  <c r="Y224" i="8" s="1"/>
  <c r="DL224" i="8"/>
  <c r="Z224" i="8" s="1"/>
  <c r="DM224" i="8"/>
  <c r="AA224" i="8" s="1"/>
  <c r="DN224" i="8"/>
  <c r="AB224" i="8" s="1"/>
  <c r="DO224" i="8"/>
  <c r="AC224" i="8" s="1"/>
  <c r="DT224" i="8"/>
  <c r="AH224" i="8" s="1"/>
  <c r="DU224" i="8"/>
  <c r="AI224" i="8" s="1"/>
  <c r="DV224" i="8"/>
  <c r="AJ224" i="8" s="1"/>
  <c r="DW224" i="8"/>
  <c r="AK224" i="8" s="1"/>
  <c r="CT225" i="8"/>
  <c r="H225" i="8" s="1"/>
  <c r="CU225" i="8"/>
  <c r="I225" i="8" s="1"/>
  <c r="CV225" i="8"/>
  <c r="J225" i="8" s="1"/>
  <c r="CW225" i="8"/>
  <c r="K225" i="8" s="1"/>
  <c r="CX225" i="8"/>
  <c r="L225" i="8" s="1"/>
  <c r="CY225" i="8"/>
  <c r="M225" i="8" s="1"/>
  <c r="CZ225" i="8"/>
  <c r="N225" i="8" s="1"/>
  <c r="DA225" i="8"/>
  <c r="O225" i="8" s="1"/>
  <c r="DB225" i="8"/>
  <c r="P225" i="8" s="1"/>
  <c r="DC225" i="8"/>
  <c r="Q225" i="8" s="1"/>
  <c r="DD225" i="8"/>
  <c r="R225" i="8" s="1"/>
  <c r="DE225" i="8"/>
  <c r="S225" i="8" s="1"/>
  <c r="DF225" i="8"/>
  <c r="T225" i="8" s="1"/>
  <c r="DG225" i="8"/>
  <c r="U225" i="8" s="1"/>
  <c r="DH225" i="8"/>
  <c r="V225" i="8" s="1"/>
  <c r="DI225" i="8"/>
  <c r="W225" i="8" s="1"/>
  <c r="DJ225" i="8"/>
  <c r="X225" i="8" s="1"/>
  <c r="DK225" i="8"/>
  <c r="Y225" i="8" s="1"/>
  <c r="DL225" i="8"/>
  <c r="Z225" i="8" s="1"/>
  <c r="DM225" i="8"/>
  <c r="AA225" i="8" s="1"/>
  <c r="DN225" i="8"/>
  <c r="AB225" i="8" s="1"/>
  <c r="DO225" i="8"/>
  <c r="AC225" i="8" s="1"/>
  <c r="DT225" i="8"/>
  <c r="AH225" i="8" s="1"/>
  <c r="DU225" i="8"/>
  <c r="AI225" i="8" s="1"/>
  <c r="DV225" i="8"/>
  <c r="AJ225" i="8" s="1"/>
  <c r="DW225" i="8"/>
  <c r="AK225" i="8" s="1"/>
  <c r="CT226" i="8"/>
  <c r="H226" i="8" s="1"/>
  <c r="CU226" i="8"/>
  <c r="I226" i="8" s="1"/>
  <c r="CV226" i="8"/>
  <c r="J226" i="8" s="1"/>
  <c r="CW226" i="8"/>
  <c r="K226" i="8" s="1"/>
  <c r="CX226" i="8"/>
  <c r="L226" i="8" s="1"/>
  <c r="CY226" i="8"/>
  <c r="M226" i="8" s="1"/>
  <c r="CZ226" i="8"/>
  <c r="N226" i="8" s="1"/>
  <c r="DA226" i="8"/>
  <c r="O226" i="8" s="1"/>
  <c r="DB226" i="8"/>
  <c r="P226" i="8" s="1"/>
  <c r="DC226" i="8"/>
  <c r="Q226" i="8" s="1"/>
  <c r="DD226" i="8"/>
  <c r="R226" i="8" s="1"/>
  <c r="DE226" i="8"/>
  <c r="S226" i="8" s="1"/>
  <c r="DF226" i="8"/>
  <c r="T226" i="8" s="1"/>
  <c r="DG226" i="8"/>
  <c r="U226" i="8" s="1"/>
  <c r="DH226" i="8"/>
  <c r="V226" i="8" s="1"/>
  <c r="DI226" i="8"/>
  <c r="W226" i="8" s="1"/>
  <c r="DJ226" i="8"/>
  <c r="X226" i="8" s="1"/>
  <c r="DK226" i="8"/>
  <c r="Y226" i="8" s="1"/>
  <c r="DL226" i="8"/>
  <c r="Z226" i="8" s="1"/>
  <c r="DM226" i="8"/>
  <c r="AA226" i="8" s="1"/>
  <c r="DN226" i="8"/>
  <c r="AB226" i="8" s="1"/>
  <c r="DO226" i="8"/>
  <c r="AC226" i="8" s="1"/>
  <c r="DP226" i="8"/>
  <c r="AD226" i="8" s="1"/>
  <c r="DT226" i="8"/>
  <c r="AH226" i="8" s="1"/>
  <c r="DU226" i="8"/>
  <c r="AI226" i="8" s="1"/>
  <c r="DV226" i="8"/>
  <c r="AJ226" i="8" s="1"/>
  <c r="DW226" i="8"/>
  <c r="AK226" i="8" s="1"/>
  <c r="CT227" i="8"/>
  <c r="H227" i="8" s="1"/>
  <c r="CU227" i="8"/>
  <c r="I227" i="8" s="1"/>
  <c r="CV227" i="8"/>
  <c r="J227" i="8" s="1"/>
  <c r="CW227" i="8"/>
  <c r="K227" i="8" s="1"/>
  <c r="CX227" i="8"/>
  <c r="L227" i="8" s="1"/>
  <c r="CY227" i="8"/>
  <c r="M227" i="8" s="1"/>
  <c r="CZ227" i="8"/>
  <c r="N227" i="8" s="1"/>
  <c r="DA227" i="8"/>
  <c r="O227" i="8" s="1"/>
  <c r="DB227" i="8"/>
  <c r="P227" i="8" s="1"/>
  <c r="DC227" i="8"/>
  <c r="Q227" i="8" s="1"/>
  <c r="DD227" i="8"/>
  <c r="R227" i="8" s="1"/>
  <c r="DE227" i="8"/>
  <c r="S227" i="8" s="1"/>
  <c r="DF227" i="8"/>
  <c r="T227" i="8" s="1"/>
  <c r="DG227" i="8"/>
  <c r="U227" i="8" s="1"/>
  <c r="DH227" i="8"/>
  <c r="V227" i="8" s="1"/>
  <c r="DI227" i="8"/>
  <c r="W227" i="8" s="1"/>
  <c r="DJ227" i="8"/>
  <c r="X227" i="8" s="1"/>
  <c r="DK227" i="8"/>
  <c r="Y227" i="8" s="1"/>
  <c r="DL227" i="8"/>
  <c r="Z227" i="8" s="1"/>
  <c r="DM227" i="8"/>
  <c r="AA227" i="8" s="1"/>
  <c r="DN227" i="8"/>
  <c r="AB227" i="8" s="1"/>
  <c r="DO227" i="8"/>
  <c r="AC227" i="8" s="1"/>
  <c r="DP227" i="8"/>
  <c r="AD227" i="8" s="1"/>
  <c r="DT227" i="8"/>
  <c r="AH227" i="8" s="1"/>
  <c r="DU227" i="8"/>
  <c r="AI227" i="8" s="1"/>
  <c r="DV227" i="8"/>
  <c r="AJ227" i="8" s="1"/>
  <c r="DW227" i="8"/>
  <c r="AK227" i="8" s="1"/>
  <c r="CT228" i="8"/>
  <c r="H228" i="8" s="1"/>
  <c r="CU228" i="8"/>
  <c r="I228" i="8" s="1"/>
  <c r="CV228" i="8"/>
  <c r="J228" i="8" s="1"/>
  <c r="CW228" i="8"/>
  <c r="K228" i="8" s="1"/>
  <c r="CX228" i="8"/>
  <c r="L228" i="8" s="1"/>
  <c r="CY228" i="8"/>
  <c r="M228" i="8" s="1"/>
  <c r="CZ228" i="8"/>
  <c r="N228" i="8" s="1"/>
  <c r="DA228" i="8"/>
  <c r="O228" i="8" s="1"/>
  <c r="DB228" i="8"/>
  <c r="P228" i="8" s="1"/>
  <c r="DC228" i="8"/>
  <c r="Q228" i="8" s="1"/>
  <c r="DD228" i="8"/>
  <c r="R228" i="8" s="1"/>
  <c r="DE228" i="8"/>
  <c r="S228" i="8" s="1"/>
  <c r="DF228" i="8"/>
  <c r="T228" i="8" s="1"/>
  <c r="DG228" i="8"/>
  <c r="U228" i="8" s="1"/>
  <c r="DH228" i="8"/>
  <c r="V228" i="8" s="1"/>
  <c r="DI228" i="8"/>
  <c r="W228" i="8" s="1"/>
  <c r="DJ228" i="8"/>
  <c r="X228" i="8" s="1"/>
  <c r="DK228" i="8"/>
  <c r="Y228" i="8" s="1"/>
  <c r="DL228" i="8"/>
  <c r="Z228" i="8" s="1"/>
  <c r="DM228" i="8"/>
  <c r="AA228" i="8" s="1"/>
  <c r="DN228" i="8"/>
  <c r="AB228" i="8" s="1"/>
  <c r="DO228" i="8"/>
  <c r="AC228" i="8" s="1"/>
  <c r="DP228" i="8"/>
  <c r="AD228" i="8" s="1"/>
  <c r="DT228" i="8"/>
  <c r="AH228" i="8" s="1"/>
  <c r="DU228" i="8"/>
  <c r="AI228" i="8" s="1"/>
  <c r="DV228" i="8"/>
  <c r="AJ228" i="8" s="1"/>
  <c r="DW228" i="8"/>
  <c r="AK228" i="8" s="1"/>
  <c r="CT229" i="8"/>
  <c r="H229" i="8" s="1"/>
  <c r="CU229" i="8"/>
  <c r="I229" i="8" s="1"/>
  <c r="CV229" i="8"/>
  <c r="J229" i="8" s="1"/>
  <c r="CW229" i="8"/>
  <c r="K229" i="8" s="1"/>
  <c r="CX229" i="8"/>
  <c r="L229" i="8" s="1"/>
  <c r="CY229" i="8"/>
  <c r="M229" i="8" s="1"/>
  <c r="CZ229" i="8"/>
  <c r="N229" i="8" s="1"/>
  <c r="DA229" i="8"/>
  <c r="O229" i="8" s="1"/>
  <c r="DB229" i="8"/>
  <c r="P229" i="8" s="1"/>
  <c r="DC229" i="8"/>
  <c r="Q229" i="8" s="1"/>
  <c r="DD229" i="8"/>
  <c r="R229" i="8" s="1"/>
  <c r="DE229" i="8"/>
  <c r="S229" i="8" s="1"/>
  <c r="DF229" i="8"/>
  <c r="T229" i="8" s="1"/>
  <c r="DG229" i="8"/>
  <c r="U229" i="8" s="1"/>
  <c r="DH229" i="8"/>
  <c r="V229" i="8" s="1"/>
  <c r="DI229" i="8"/>
  <c r="W229" i="8" s="1"/>
  <c r="DJ229" i="8"/>
  <c r="X229" i="8" s="1"/>
  <c r="DK229" i="8"/>
  <c r="Y229" i="8" s="1"/>
  <c r="DL229" i="8"/>
  <c r="Z229" i="8" s="1"/>
  <c r="DM229" i="8"/>
  <c r="AA229" i="8" s="1"/>
  <c r="DN229" i="8"/>
  <c r="AB229" i="8" s="1"/>
  <c r="DO229" i="8"/>
  <c r="AC229" i="8" s="1"/>
  <c r="DP229" i="8"/>
  <c r="AD229" i="8" s="1"/>
  <c r="DT229" i="8"/>
  <c r="AH229" i="8" s="1"/>
  <c r="DU229" i="8"/>
  <c r="AI229" i="8" s="1"/>
  <c r="DV229" i="8"/>
  <c r="AJ229" i="8" s="1"/>
  <c r="DW229" i="8"/>
  <c r="AK229" i="8" s="1"/>
  <c r="CT230" i="8"/>
  <c r="H230" i="8" s="1"/>
  <c r="CU230" i="8"/>
  <c r="I230" i="8" s="1"/>
  <c r="CV230" i="8"/>
  <c r="J230" i="8" s="1"/>
  <c r="CW230" i="8"/>
  <c r="K230" i="8" s="1"/>
  <c r="CX230" i="8"/>
  <c r="L230" i="8" s="1"/>
  <c r="CY230" i="8"/>
  <c r="M230" i="8" s="1"/>
  <c r="CZ230" i="8"/>
  <c r="N230" i="8" s="1"/>
  <c r="DA230" i="8"/>
  <c r="O230" i="8" s="1"/>
  <c r="DB230" i="8"/>
  <c r="P230" i="8" s="1"/>
  <c r="DC230" i="8"/>
  <c r="Q230" i="8" s="1"/>
  <c r="DD230" i="8"/>
  <c r="R230" i="8" s="1"/>
  <c r="DE230" i="8"/>
  <c r="S230" i="8" s="1"/>
  <c r="DF230" i="8"/>
  <c r="T230" i="8" s="1"/>
  <c r="DG230" i="8"/>
  <c r="U230" i="8" s="1"/>
  <c r="DH230" i="8"/>
  <c r="V230" i="8" s="1"/>
  <c r="DI230" i="8"/>
  <c r="W230" i="8" s="1"/>
  <c r="DJ230" i="8"/>
  <c r="X230" i="8" s="1"/>
  <c r="DK230" i="8"/>
  <c r="Y230" i="8" s="1"/>
  <c r="DL230" i="8"/>
  <c r="Z230" i="8" s="1"/>
  <c r="DM230" i="8"/>
  <c r="AA230" i="8" s="1"/>
  <c r="DN230" i="8"/>
  <c r="AB230" i="8" s="1"/>
  <c r="DO230" i="8"/>
  <c r="AC230" i="8" s="1"/>
  <c r="DP230" i="8"/>
  <c r="AD230" i="8" s="1"/>
  <c r="DT230" i="8"/>
  <c r="AH230" i="8" s="1"/>
  <c r="DU230" i="8"/>
  <c r="AI230" i="8" s="1"/>
  <c r="DV230" i="8"/>
  <c r="AJ230" i="8" s="1"/>
  <c r="DW230" i="8"/>
  <c r="AK230" i="8" s="1"/>
  <c r="CT231" i="8"/>
  <c r="H231" i="8" s="1"/>
  <c r="CU231" i="8"/>
  <c r="I231" i="8" s="1"/>
  <c r="CV231" i="8"/>
  <c r="J231" i="8" s="1"/>
  <c r="CW231" i="8"/>
  <c r="K231" i="8" s="1"/>
  <c r="CX231" i="8"/>
  <c r="L231" i="8" s="1"/>
  <c r="CY231" i="8"/>
  <c r="M231" i="8" s="1"/>
  <c r="CZ231" i="8"/>
  <c r="N231" i="8" s="1"/>
  <c r="DA231" i="8"/>
  <c r="O231" i="8" s="1"/>
  <c r="DB231" i="8"/>
  <c r="P231" i="8" s="1"/>
  <c r="DC231" i="8"/>
  <c r="Q231" i="8" s="1"/>
  <c r="DD231" i="8"/>
  <c r="R231" i="8" s="1"/>
  <c r="DE231" i="8"/>
  <c r="S231" i="8" s="1"/>
  <c r="DF231" i="8"/>
  <c r="T231" i="8" s="1"/>
  <c r="DG231" i="8"/>
  <c r="U231" i="8" s="1"/>
  <c r="DH231" i="8"/>
  <c r="V231" i="8" s="1"/>
  <c r="DI231" i="8"/>
  <c r="W231" i="8" s="1"/>
  <c r="DJ231" i="8"/>
  <c r="X231" i="8" s="1"/>
  <c r="DK231" i="8"/>
  <c r="Y231" i="8" s="1"/>
  <c r="DL231" i="8"/>
  <c r="Z231" i="8" s="1"/>
  <c r="DM231" i="8"/>
  <c r="AA231" i="8" s="1"/>
  <c r="DN231" i="8"/>
  <c r="AB231" i="8" s="1"/>
  <c r="DO231" i="8"/>
  <c r="AC231" i="8" s="1"/>
  <c r="DP231" i="8"/>
  <c r="AD231" i="8" s="1"/>
  <c r="DT231" i="8"/>
  <c r="AH231" i="8" s="1"/>
  <c r="DU231" i="8"/>
  <c r="AI231" i="8" s="1"/>
  <c r="DV231" i="8"/>
  <c r="AJ231" i="8" s="1"/>
  <c r="DW231" i="8"/>
  <c r="AK231" i="8" s="1"/>
  <c r="CT232" i="8"/>
  <c r="H232" i="8" s="1"/>
  <c r="CU232" i="8"/>
  <c r="I232" i="8" s="1"/>
  <c r="CV232" i="8"/>
  <c r="J232" i="8" s="1"/>
  <c r="CW232" i="8"/>
  <c r="K232" i="8" s="1"/>
  <c r="CX232" i="8"/>
  <c r="L232" i="8" s="1"/>
  <c r="CY232" i="8"/>
  <c r="M232" i="8" s="1"/>
  <c r="CZ232" i="8"/>
  <c r="N232" i="8" s="1"/>
  <c r="DA232" i="8"/>
  <c r="O232" i="8" s="1"/>
  <c r="DB232" i="8"/>
  <c r="P232" i="8" s="1"/>
  <c r="DC232" i="8"/>
  <c r="Q232" i="8" s="1"/>
  <c r="DD232" i="8"/>
  <c r="R232" i="8" s="1"/>
  <c r="DE232" i="8"/>
  <c r="S232" i="8" s="1"/>
  <c r="DF232" i="8"/>
  <c r="T232" i="8" s="1"/>
  <c r="DG232" i="8"/>
  <c r="U232" i="8" s="1"/>
  <c r="DH232" i="8"/>
  <c r="V232" i="8" s="1"/>
  <c r="DI232" i="8"/>
  <c r="W232" i="8" s="1"/>
  <c r="DJ232" i="8"/>
  <c r="X232" i="8" s="1"/>
  <c r="DK232" i="8"/>
  <c r="Y232" i="8" s="1"/>
  <c r="DL232" i="8"/>
  <c r="Z232" i="8" s="1"/>
  <c r="DM232" i="8"/>
  <c r="AA232" i="8" s="1"/>
  <c r="DN232" i="8"/>
  <c r="AB232" i="8" s="1"/>
  <c r="DO232" i="8"/>
  <c r="AC232" i="8" s="1"/>
  <c r="DT232" i="8"/>
  <c r="AH232" i="8" s="1"/>
  <c r="DU232" i="8"/>
  <c r="AI232" i="8" s="1"/>
  <c r="DV232" i="8"/>
  <c r="AJ232" i="8" s="1"/>
  <c r="DW232" i="8"/>
  <c r="AK232" i="8" s="1"/>
  <c r="CT233" i="8"/>
  <c r="H233" i="8" s="1"/>
  <c r="CU233" i="8"/>
  <c r="I233" i="8" s="1"/>
  <c r="CV233" i="8"/>
  <c r="J233" i="8" s="1"/>
  <c r="CW233" i="8"/>
  <c r="K233" i="8" s="1"/>
  <c r="CX233" i="8"/>
  <c r="L233" i="8" s="1"/>
  <c r="CY233" i="8"/>
  <c r="M233" i="8" s="1"/>
  <c r="CZ233" i="8"/>
  <c r="N233" i="8" s="1"/>
  <c r="DA233" i="8"/>
  <c r="O233" i="8" s="1"/>
  <c r="DB233" i="8"/>
  <c r="P233" i="8" s="1"/>
  <c r="DC233" i="8"/>
  <c r="Q233" i="8" s="1"/>
  <c r="DD233" i="8"/>
  <c r="R233" i="8" s="1"/>
  <c r="DE233" i="8"/>
  <c r="S233" i="8" s="1"/>
  <c r="DF233" i="8"/>
  <c r="T233" i="8" s="1"/>
  <c r="DG233" i="8"/>
  <c r="U233" i="8" s="1"/>
  <c r="DH233" i="8"/>
  <c r="V233" i="8" s="1"/>
  <c r="DI233" i="8"/>
  <c r="W233" i="8" s="1"/>
  <c r="DJ233" i="8"/>
  <c r="X233" i="8" s="1"/>
  <c r="DK233" i="8"/>
  <c r="Y233" i="8" s="1"/>
  <c r="DL233" i="8"/>
  <c r="Z233" i="8" s="1"/>
  <c r="DM233" i="8"/>
  <c r="AA233" i="8" s="1"/>
  <c r="DN233" i="8"/>
  <c r="AB233" i="8" s="1"/>
  <c r="DO233" i="8"/>
  <c r="AC233" i="8" s="1"/>
  <c r="DT233" i="8"/>
  <c r="AH233" i="8" s="1"/>
  <c r="DU233" i="8"/>
  <c r="AI233" i="8" s="1"/>
  <c r="DV233" i="8"/>
  <c r="AJ233" i="8" s="1"/>
  <c r="DW233" i="8"/>
  <c r="AK233" i="8" s="1"/>
  <c r="DQ223" i="8"/>
  <c r="AE223" i="8" s="1"/>
  <c r="DQ224" i="8"/>
  <c r="AE224" i="8" s="1"/>
  <c r="DQ225" i="8"/>
  <c r="AE225" i="8" s="1"/>
  <c r="DQ232" i="8"/>
  <c r="AE232" i="8" s="1"/>
  <c r="DQ233" i="8"/>
  <c r="AE233" i="8" s="1"/>
  <c r="AG40" i="7"/>
  <c r="AE22" i="7"/>
  <c r="AG22" i="7"/>
  <c r="AF22" i="7"/>
  <c r="AD49" i="7"/>
  <c r="AE19" i="4"/>
  <c r="AE37" i="4" s="1"/>
  <c r="AF17" i="6"/>
  <c r="AD28" i="6"/>
  <c r="AN93" i="9" l="1"/>
  <c r="AM93" i="9"/>
  <c r="AQ93" i="9"/>
  <c r="AM90" i="9"/>
  <c r="AQ90" i="9"/>
  <c r="AN84" i="9"/>
  <c r="AQ84" i="9"/>
  <c r="AM84" i="9"/>
  <c r="AN69" i="9"/>
  <c r="AQ69" i="9"/>
  <c r="AM69" i="9"/>
  <c r="AQ75" i="9"/>
  <c r="AM75" i="9"/>
  <c r="AQ74" i="9"/>
  <c r="AM74" i="9"/>
  <c r="DS491" i="8"/>
  <c r="DR491" i="8"/>
  <c r="AF491" i="8" s="1"/>
  <c r="DS231" i="8"/>
  <c r="AG231" i="8" s="1"/>
  <c r="DR231" i="8"/>
  <c r="AF231" i="8" s="1"/>
  <c r="DS230" i="8"/>
  <c r="AG230" i="8" s="1"/>
  <c r="DR230" i="8"/>
  <c r="AF230" i="8" s="1"/>
  <c r="DR229" i="8"/>
  <c r="AF229" i="8" s="1"/>
  <c r="DS229" i="8"/>
  <c r="AG229" i="8" s="1"/>
  <c r="DR226" i="8"/>
  <c r="AF226" i="8" s="1"/>
  <c r="DS226" i="8"/>
  <c r="AG226" i="8" s="1"/>
  <c r="DR228" i="8"/>
  <c r="AF228" i="8" s="1"/>
  <c r="DS228" i="8"/>
  <c r="AG228" i="8" s="1"/>
  <c r="DS227" i="8"/>
  <c r="AG227" i="8" s="1"/>
  <c r="DR227" i="8"/>
  <c r="AF227" i="8" s="1"/>
  <c r="Y68" i="9"/>
  <c r="DQ228" i="8"/>
  <c r="AE228" i="8" s="1"/>
  <c r="DQ227" i="8"/>
  <c r="AE227" i="8" s="1"/>
  <c r="DQ226" i="8"/>
  <c r="AE226" i="8" s="1"/>
  <c r="DP224" i="8"/>
  <c r="AD224" i="8" s="1"/>
  <c r="DP233" i="8"/>
  <c r="AD233" i="8" s="1"/>
  <c r="DP232" i="8"/>
  <c r="AD232" i="8" s="1"/>
  <c r="DP225" i="8"/>
  <c r="AD225" i="8" s="1"/>
  <c r="DP223" i="8"/>
  <c r="AD223" i="8" s="1"/>
  <c r="DQ231" i="8"/>
  <c r="AE231" i="8" s="1"/>
  <c r="DQ230" i="8"/>
  <c r="AE230" i="8" s="1"/>
  <c r="DQ229" i="8"/>
  <c r="AE229" i="8" s="1"/>
  <c r="V68" i="9"/>
  <c r="AA68" i="9"/>
  <c r="CL2" i="8"/>
  <c r="AN68" i="9" l="1"/>
  <c r="AM68" i="9"/>
  <c r="AQ68" i="9"/>
  <c r="DS30" i="8"/>
  <c r="DR30" i="8"/>
  <c r="AF30" i="8" s="1"/>
  <c r="DR220" i="8"/>
  <c r="AF220" i="8" s="1"/>
  <c r="DS220" i="8"/>
  <c r="DR404" i="8"/>
  <c r="AF404" i="8" s="1"/>
  <c r="DS404" i="8"/>
  <c r="DR428" i="8"/>
  <c r="AF428" i="8" s="1"/>
  <c r="DS428" i="8"/>
  <c r="DR417" i="8"/>
  <c r="AF417" i="8" s="1"/>
  <c r="DS417" i="8"/>
  <c r="DR115" i="8"/>
  <c r="AF115" i="8" s="1"/>
  <c r="DS115" i="8"/>
  <c r="DR430" i="8"/>
  <c r="AF430" i="8" s="1"/>
  <c r="DS430" i="8"/>
  <c r="DR481" i="8"/>
  <c r="AF481" i="8" s="1"/>
  <c r="DS481" i="8"/>
  <c r="DS71" i="8"/>
  <c r="DR71" i="8"/>
  <c r="AF71" i="8" s="1"/>
  <c r="DR66" i="8"/>
  <c r="AF66" i="8" s="1"/>
  <c r="DS66" i="8"/>
  <c r="DR418" i="8"/>
  <c r="AF418" i="8" s="1"/>
  <c r="DS418" i="8"/>
  <c r="DR356" i="8"/>
  <c r="AF356" i="8" s="1"/>
  <c r="DS356" i="8"/>
  <c r="DR494" i="8"/>
  <c r="AF494" i="8" s="1"/>
  <c r="DS494" i="8"/>
  <c r="DR241" i="8"/>
  <c r="AF241" i="8" s="1"/>
  <c r="DS241" i="8"/>
  <c r="DR293" i="8"/>
  <c r="AF293" i="8" s="1"/>
  <c r="DS293" i="8"/>
  <c r="DS507" i="8"/>
  <c r="DR507" i="8"/>
  <c r="AF507" i="8" s="1"/>
  <c r="DR31" i="8"/>
  <c r="AF31" i="8" s="1"/>
  <c r="DS31" i="8"/>
  <c r="DS295" i="8"/>
  <c r="DR295" i="8"/>
  <c r="AF295" i="8" s="1"/>
  <c r="DR405" i="8"/>
  <c r="AF405" i="8" s="1"/>
  <c r="DS405" i="8"/>
  <c r="DR301" i="8"/>
  <c r="AF301" i="8" s="1"/>
  <c r="DS301" i="8"/>
  <c r="DR124" i="8"/>
  <c r="AF124" i="8" s="1"/>
  <c r="DS124" i="8"/>
  <c r="DS183" i="8"/>
  <c r="DR183" i="8"/>
  <c r="AF183" i="8" s="1"/>
  <c r="DR424" i="8"/>
  <c r="AF424" i="8" s="1"/>
  <c r="DS424" i="8"/>
  <c r="DS130" i="8"/>
  <c r="DR130" i="8"/>
  <c r="AF130" i="8" s="1"/>
  <c r="DR44" i="8"/>
  <c r="AF44" i="8" s="1"/>
  <c r="DS44" i="8"/>
  <c r="DS452" i="8"/>
  <c r="DR452" i="8"/>
  <c r="AF452" i="8" s="1"/>
  <c r="DR179" i="8"/>
  <c r="AF179" i="8" s="1"/>
  <c r="DS179" i="8"/>
  <c r="DR194" i="8"/>
  <c r="AF194" i="8" s="1"/>
  <c r="DS194" i="8"/>
  <c r="DS361" i="8"/>
  <c r="DR361" i="8"/>
  <c r="AF361" i="8" s="1"/>
  <c r="DR493" i="8"/>
  <c r="AF493" i="8" s="1"/>
  <c r="DS493" i="8"/>
  <c r="DS193" i="8"/>
  <c r="DR193" i="8"/>
  <c r="AF193" i="8" s="1"/>
  <c r="DR68" i="8"/>
  <c r="AF68" i="8" s="1"/>
  <c r="DS68" i="8"/>
  <c r="DR139" i="8"/>
  <c r="AF139" i="8" s="1"/>
  <c r="DS139" i="8"/>
  <c r="DR349" i="8"/>
  <c r="AF349" i="8" s="1"/>
  <c r="DS349" i="8"/>
  <c r="DS45" i="8"/>
  <c r="DR45" i="8"/>
  <c r="AF45" i="8" s="1"/>
  <c r="DR42" i="8"/>
  <c r="AF42" i="8" s="1"/>
  <c r="DS42" i="8"/>
  <c r="DR19" i="8"/>
  <c r="AF19" i="8" s="1"/>
  <c r="DS19" i="8"/>
  <c r="DS47" i="8"/>
  <c r="DR47" i="8"/>
  <c r="AF47" i="8" s="1"/>
  <c r="DS155" i="8"/>
  <c r="DR155" i="8"/>
  <c r="AF155" i="8" s="1"/>
  <c r="DR471" i="8"/>
  <c r="AF471" i="8" s="1"/>
  <c r="DS471" i="8"/>
  <c r="DR148" i="8"/>
  <c r="AF148" i="8" s="1"/>
  <c r="DS148" i="8"/>
  <c r="DR328" i="8"/>
  <c r="AF328" i="8" s="1"/>
  <c r="DS328" i="8"/>
  <c r="DR329" i="8"/>
  <c r="AF329" i="8" s="1"/>
  <c r="DS329" i="8"/>
  <c r="DS192" i="8"/>
  <c r="DR192" i="8"/>
  <c r="AF192" i="8" s="1"/>
  <c r="DR257" i="8"/>
  <c r="AF257" i="8" s="1"/>
  <c r="DS257" i="8"/>
  <c r="DS498" i="8"/>
  <c r="DR498" i="8"/>
  <c r="AF498" i="8" s="1"/>
  <c r="DR84" i="8"/>
  <c r="AF84" i="8" s="1"/>
  <c r="DS84" i="8"/>
  <c r="DS245" i="8"/>
  <c r="DR245" i="8"/>
  <c r="AF245" i="8" s="1"/>
  <c r="DR85" i="8"/>
  <c r="AF85" i="8" s="1"/>
  <c r="DS85" i="8"/>
  <c r="DR128" i="8"/>
  <c r="AF128" i="8" s="1"/>
  <c r="DS128" i="8"/>
  <c r="DR23" i="8"/>
  <c r="AF23" i="8" s="1"/>
  <c r="DS23" i="8"/>
  <c r="DR138" i="8"/>
  <c r="AF138" i="8" s="1"/>
  <c r="DS138" i="8"/>
  <c r="DS472" i="8"/>
  <c r="DR472" i="8"/>
  <c r="AF472" i="8" s="1"/>
  <c r="DR502" i="8"/>
  <c r="AF502" i="8" s="1"/>
  <c r="DS502" i="8"/>
  <c r="DR274" i="8"/>
  <c r="AF274" i="8" s="1"/>
  <c r="DS274" i="8"/>
  <c r="DS277" i="8"/>
  <c r="DR277" i="8"/>
  <c r="AF277" i="8" s="1"/>
  <c r="DR54" i="8"/>
  <c r="AF54" i="8" s="1"/>
  <c r="DS54" i="8"/>
  <c r="DR81" i="8"/>
  <c r="AF81" i="8" s="1"/>
  <c r="DS81" i="8"/>
  <c r="DR237" i="8"/>
  <c r="AF237" i="8" s="1"/>
  <c r="DS237" i="8"/>
  <c r="DS34" i="8"/>
  <c r="DR34" i="8"/>
  <c r="AF34" i="8" s="1"/>
  <c r="DS107" i="8"/>
  <c r="DR107" i="8"/>
  <c r="AF107" i="8" s="1"/>
  <c r="DR52" i="8"/>
  <c r="AF52" i="8" s="1"/>
  <c r="DS52" i="8"/>
  <c r="DR284" i="8"/>
  <c r="AF284" i="8" s="1"/>
  <c r="DS284" i="8"/>
  <c r="DS86" i="8"/>
  <c r="DR86" i="8"/>
  <c r="AF86" i="8" s="1"/>
  <c r="DR36" i="8"/>
  <c r="AF36" i="8" s="1"/>
  <c r="DS36" i="8"/>
  <c r="DS323" i="8"/>
  <c r="DR323" i="8"/>
  <c r="AF323" i="8" s="1"/>
  <c r="DR106" i="8"/>
  <c r="AF106" i="8" s="1"/>
  <c r="DS106" i="8"/>
  <c r="DR57" i="8"/>
  <c r="AF57" i="8" s="1"/>
  <c r="DS57" i="8"/>
  <c r="DR255" i="8"/>
  <c r="AF255" i="8" s="1"/>
  <c r="DS255" i="8"/>
  <c r="DS318" i="8"/>
  <c r="DR318" i="8"/>
  <c r="AF318" i="8" s="1"/>
  <c r="DS225" i="8"/>
  <c r="AG225" i="8" s="1"/>
  <c r="DR225" i="8"/>
  <c r="AF225" i="8" s="1"/>
  <c r="DR176" i="8"/>
  <c r="AF176" i="8" s="1"/>
  <c r="DS176" i="8"/>
  <c r="DR109" i="8"/>
  <c r="AF109" i="8" s="1"/>
  <c r="DS109" i="8"/>
  <c r="DR120" i="8"/>
  <c r="AF120" i="8" s="1"/>
  <c r="DS120" i="8"/>
  <c r="DR129" i="8"/>
  <c r="AF129" i="8" s="1"/>
  <c r="DS129" i="8"/>
  <c r="DR313" i="8"/>
  <c r="AF313" i="8" s="1"/>
  <c r="DS313" i="8"/>
  <c r="DR286" i="8"/>
  <c r="AF286" i="8" s="1"/>
  <c r="DS286" i="8"/>
  <c r="DS118" i="8"/>
  <c r="DR118" i="8"/>
  <c r="AF118" i="8" s="1"/>
  <c r="DR243" i="8"/>
  <c r="AF243" i="8" s="1"/>
  <c r="DS243" i="8"/>
  <c r="DR474" i="8"/>
  <c r="AF474" i="8" s="1"/>
  <c r="DS474" i="8"/>
  <c r="DR33" i="8"/>
  <c r="AF33" i="8" s="1"/>
  <c r="DS33" i="8"/>
  <c r="DR173" i="8"/>
  <c r="AF173" i="8" s="1"/>
  <c r="DS173" i="8"/>
  <c r="DS150" i="8"/>
  <c r="DR150" i="8"/>
  <c r="AF150" i="8" s="1"/>
  <c r="DR144" i="8"/>
  <c r="AF144" i="8" s="1"/>
  <c r="DS144" i="8"/>
  <c r="DS37" i="8"/>
  <c r="DR37" i="8"/>
  <c r="AF37" i="8" s="1"/>
  <c r="DR79" i="8"/>
  <c r="AF79" i="8" s="1"/>
  <c r="DS79" i="8"/>
  <c r="DS353" i="8"/>
  <c r="DR353" i="8"/>
  <c r="AF353" i="8" s="1"/>
  <c r="DR422" i="8"/>
  <c r="AF422" i="8" s="1"/>
  <c r="DS422" i="8"/>
  <c r="DR223" i="8"/>
  <c r="AF223" i="8" s="1"/>
  <c r="DS223" i="8"/>
  <c r="AG223" i="8" s="1"/>
  <c r="DS175" i="8"/>
  <c r="DR175" i="8"/>
  <c r="AF175" i="8" s="1"/>
  <c r="DR359" i="8"/>
  <c r="AF359" i="8" s="1"/>
  <c r="DS359" i="8"/>
  <c r="DR236" i="8"/>
  <c r="AF236" i="8" s="1"/>
  <c r="DS236" i="8"/>
  <c r="DR345" i="8"/>
  <c r="AF345" i="8" s="1"/>
  <c r="DS345" i="8"/>
  <c r="DR360" i="8"/>
  <c r="AF360" i="8" s="1"/>
  <c r="DS360" i="8"/>
  <c r="DS414" i="8"/>
  <c r="DR414" i="8"/>
  <c r="AF414" i="8" s="1"/>
  <c r="DS347" i="8"/>
  <c r="DR347" i="8"/>
  <c r="AF347" i="8" s="1"/>
  <c r="DS135" i="8"/>
  <c r="DR135" i="8"/>
  <c r="AF135" i="8" s="1"/>
  <c r="DR26" i="8"/>
  <c r="AF26" i="8" s="1"/>
  <c r="DS26" i="8"/>
  <c r="DR475" i="8"/>
  <c r="AF475" i="8" s="1"/>
  <c r="DS475" i="8"/>
  <c r="DS382" i="8"/>
  <c r="DR382" i="8"/>
  <c r="AF382" i="8" s="1"/>
  <c r="DR406" i="8"/>
  <c r="AF406" i="8" s="1"/>
  <c r="DS406" i="8"/>
  <c r="DR219" i="8"/>
  <c r="AF219" i="8" s="1"/>
  <c r="DS219" i="8"/>
  <c r="DR133" i="8"/>
  <c r="AF133" i="8" s="1"/>
  <c r="DS133" i="8"/>
  <c r="DR63" i="8"/>
  <c r="AF63" i="8" s="1"/>
  <c r="DS63" i="8"/>
  <c r="DR285" i="8"/>
  <c r="AF285" i="8" s="1"/>
  <c r="DS285" i="8"/>
  <c r="DR240" i="8"/>
  <c r="AF240" i="8" s="1"/>
  <c r="DS240" i="8"/>
  <c r="DR346" i="8"/>
  <c r="AF346" i="8" s="1"/>
  <c r="DS346" i="8"/>
  <c r="DR221" i="8"/>
  <c r="AF221" i="8" s="1"/>
  <c r="DS221" i="8"/>
  <c r="DR403" i="8"/>
  <c r="AF403" i="8" s="1"/>
  <c r="DS403" i="8"/>
  <c r="DR431" i="8"/>
  <c r="AF431" i="8" s="1"/>
  <c r="DS431" i="8"/>
  <c r="DR188" i="8"/>
  <c r="AF188" i="8" s="1"/>
  <c r="DS188" i="8"/>
  <c r="DR486" i="8"/>
  <c r="AF486" i="8" s="1"/>
  <c r="DS486" i="8"/>
  <c r="DS110" i="8"/>
  <c r="DR110" i="8"/>
  <c r="AF110" i="8" s="1"/>
  <c r="DS14" i="8"/>
  <c r="DR14" i="8"/>
  <c r="AF14" i="8" s="1"/>
  <c r="DS70" i="8"/>
  <c r="DR70" i="8"/>
  <c r="AF70" i="8" s="1"/>
  <c r="DR38" i="8"/>
  <c r="AF38" i="8" s="1"/>
  <c r="DS38" i="8"/>
  <c r="DS408" i="8"/>
  <c r="DR408" i="8"/>
  <c r="AF408" i="8" s="1"/>
  <c r="DR177" i="8"/>
  <c r="AF177" i="8" s="1"/>
  <c r="DS177" i="8"/>
  <c r="DS167" i="8"/>
  <c r="DR167" i="8"/>
  <c r="AF167" i="8" s="1"/>
  <c r="DS80" i="8"/>
  <c r="DR80" i="8"/>
  <c r="AF80" i="8" s="1"/>
  <c r="DS15" i="8"/>
  <c r="DR15" i="8"/>
  <c r="AF15" i="8" s="1"/>
  <c r="DS291" i="8"/>
  <c r="DR291" i="8"/>
  <c r="AF291" i="8" s="1"/>
  <c r="DS429" i="8"/>
  <c r="DR429" i="8"/>
  <c r="AF429" i="8" s="1"/>
  <c r="DR24" i="8"/>
  <c r="AF24" i="8" s="1"/>
  <c r="DS24" i="8"/>
  <c r="DR149" i="8"/>
  <c r="AF149" i="8" s="1"/>
  <c r="DS149" i="8"/>
  <c r="DS119" i="8"/>
  <c r="DR119" i="8"/>
  <c r="AF119" i="8" s="1"/>
  <c r="DS82" i="8"/>
  <c r="DR82" i="8"/>
  <c r="AF82" i="8" s="1"/>
  <c r="DS59" i="8"/>
  <c r="DR59" i="8"/>
  <c r="AF59" i="8" s="1"/>
  <c r="DR344" i="8"/>
  <c r="AF344" i="8" s="1"/>
  <c r="DS344" i="8"/>
  <c r="DR35" i="8"/>
  <c r="AF35" i="8" s="1"/>
  <c r="DS35" i="8"/>
  <c r="DR239" i="8"/>
  <c r="AF239" i="8" s="1"/>
  <c r="DS239" i="8"/>
  <c r="DS191" i="8"/>
  <c r="DR191" i="8"/>
  <c r="AF191" i="8" s="1"/>
  <c r="DR483" i="8"/>
  <c r="AF483" i="8" s="1"/>
  <c r="DS483" i="8"/>
  <c r="DR185" i="8"/>
  <c r="AF185" i="8" s="1"/>
  <c r="DS185" i="8"/>
  <c r="DR348" i="8"/>
  <c r="AF348" i="8" s="1"/>
  <c r="DS348" i="8"/>
  <c r="DR22" i="8"/>
  <c r="AF22" i="8" s="1"/>
  <c r="DS22" i="8"/>
  <c r="DR142" i="8"/>
  <c r="AF142" i="8" s="1"/>
  <c r="DS142" i="8"/>
  <c r="DR300" i="8"/>
  <c r="AF300" i="8" s="1"/>
  <c r="DS300" i="8"/>
  <c r="DR62" i="8"/>
  <c r="AF62" i="8" s="1"/>
  <c r="DS62" i="8"/>
  <c r="DS153" i="8"/>
  <c r="DR153" i="8"/>
  <c r="AF153" i="8" s="1"/>
  <c r="DS426" i="8"/>
  <c r="DR426" i="8"/>
  <c r="AF426" i="8" s="1"/>
  <c r="DR25" i="8"/>
  <c r="AF25" i="8" s="1"/>
  <c r="DS25" i="8"/>
  <c r="DR180" i="8"/>
  <c r="AF180" i="8" s="1"/>
  <c r="DS180" i="8"/>
  <c r="DR160" i="8"/>
  <c r="AF160" i="8" s="1"/>
  <c r="DS160" i="8"/>
  <c r="DS113" i="8"/>
  <c r="DR113" i="8"/>
  <c r="AF113" i="8" s="1"/>
  <c r="DR154" i="8"/>
  <c r="AF154" i="8" s="1"/>
  <c r="DS154" i="8"/>
  <c r="DR470" i="8"/>
  <c r="AF470" i="8" s="1"/>
  <c r="DS470" i="8"/>
  <c r="DR292" i="8"/>
  <c r="AF292" i="8" s="1"/>
  <c r="DS292" i="8"/>
  <c r="DS32" i="8"/>
  <c r="DR32" i="8"/>
  <c r="AF32" i="8" s="1"/>
  <c r="DS247" i="8"/>
  <c r="DR247" i="8"/>
  <c r="AF247" i="8" s="1"/>
  <c r="DS121" i="8"/>
  <c r="DR121" i="8"/>
  <c r="AF121" i="8" s="1"/>
  <c r="DS421" i="8"/>
  <c r="DR421" i="8"/>
  <c r="AF421" i="8" s="1"/>
  <c r="DR409" i="8"/>
  <c r="AF409" i="8" s="1"/>
  <c r="DS409" i="8"/>
  <c r="DR490" i="8"/>
  <c r="AF490" i="8" s="1"/>
  <c r="DS490" i="8"/>
  <c r="DR488" i="8"/>
  <c r="AF488" i="8" s="1"/>
  <c r="DS488" i="8"/>
  <c r="DR420" i="8"/>
  <c r="AF420" i="8" s="1"/>
  <c r="DS420" i="8"/>
  <c r="DR279" i="8"/>
  <c r="AF279" i="8" s="1"/>
  <c r="DS279" i="8"/>
  <c r="DR336" i="8"/>
  <c r="AF336" i="8" s="1"/>
  <c r="DS336" i="8"/>
  <c r="DR489" i="8"/>
  <c r="AF489" i="8" s="1"/>
  <c r="DS489" i="8"/>
  <c r="DR181" i="8"/>
  <c r="AF181" i="8" s="1"/>
  <c r="DS181" i="8"/>
  <c r="DR137" i="8"/>
  <c r="AF137" i="8" s="1"/>
  <c r="DS137" i="8"/>
  <c r="DR497" i="8"/>
  <c r="AF497" i="8" s="1"/>
  <c r="DS497" i="8"/>
  <c r="DS146" i="8"/>
  <c r="DR146" i="8"/>
  <c r="AF146" i="8" s="1"/>
  <c r="DR294" i="8"/>
  <c r="AF294" i="8" s="1"/>
  <c r="DS294" i="8"/>
  <c r="DS508" i="8"/>
  <c r="DR508" i="8"/>
  <c r="AF508" i="8" s="1"/>
  <c r="DR108" i="8"/>
  <c r="AF108" i="8" s="1"/>
  <c r="DS108" i="8"/>
  <c r="DS296" i="8"/>
  <c r="DR296" i="8"/>
  <c r="AF296" i="8" s="1"/>
  <c r="DS234" i="8"/>
  <c r="DR234" i="8"/>
  <c r="AF234" i="8" s="1"/>
  <c r="DR357" i="8"/>
  <c r="AF357" i="8" s="1"/>
  <c r="DS357" i="8"/>
  <c r="DS105" i="8"/>
  <c r="DR105" i="8"/>
  <c r="AF105" i="8" s="1"/>
  <c r="DS127" i="8"/>
  <c r="DR127" i="8"/>
  <c r="AF127" i="8" s="1"/>
  <c r="DR157" i="8"/>
  <c r="AF157" i="8" s="1"/>
  <c r="DS157" i="8"/>
  <c r="DR28" i="8"/>
  <c r="AF28" i="8" s="1"/>
  <c r="DS28" i="8"/>
  <c r="DR235" i="8"/>
  <c r="AF235" i="8" s="1"/>
  <c r="DS235" i="8"/>
  <c r="DR496" i="8"/>
  <c r="AF496" i="8" s="1"/>
  <c r="DS496" i="8"/>
  <c r="DS399" i="8"/>
  <c r="DR399" i="8"/>
  <c r="AF399" i="8" s="1"/>
  <c r="DR492" i="8"/>
  <c r="AF492" i="8" s="1"/>
  <c r="DS492" i="8"/>
  <c r="DR425" i="8"/>
  <c r="AF425" i="8" s="1"/>
  <c r="DS425" i="8"/>
  <c r="DS53" i="8"/>
  <c r="DR53" i="8"/>
  <c r="AF53" i="8" s="1"/>
  <c r="DR330" i="8"/>
  <c r="AF330" i="8" s="1"/>
  <c r="DS330" i="8"/>
  <c r="DS87" i="8"/>
  <c r="DR87" i="8"/>
  <c r="AF87" i="8" s="1"/>
  <c r="DS287" i="8"/>
  <c r="DR287" i="8"/>
  <c r="AF287" i="8" s="1"/>
  <c r="DS267" i="8"/>
  <c r="DR267" i="8"/>
  <c r="AF267" i="8" s="1"/>
  <c r="DR358" i="8"/>
  <c r="AF358" i="8" s="1"/>
  <c r="DS358" i="8"/>
  <c r="DR343" i="8"/>
  <c r="AF343" i="8" s="1"/>
  <c r="DS343" i="8"/>
  <c r="DR251" i="8"/>
  <c r="AF251" i="8" s="1"/>
  <c r="DS251" i="8"/>
  <c r="DS332" i="8"/>
  <c r="DR332" i="8"/>
  <c r="AF332" i="8" s="1"/>
  <c r="DR419" i="8"/>
  <c r="AF419" i="8" s="1"/>
  <c r="DS419" i="8"/>
  <c r="DR158" i="8"/>
  <c r="AF158" i="8" s="1"/>
  <c r="DS158" i="8"/>
  <c r="DR117" i="8"/>
  <c r="AF117" i="8" s="1"/>
  <c r="DS117" i="8"/>
  <c r="DS473" i="8"/>
  <c r="DR473" i="8"/>
  <c r="AF473" i="8" s="1"/>
  <c r="DR140" i="8"/>
  <c r="AF140" i="8" s="1"/>
  <c r="DS140" i="8"/>
  <c r="DR244" i="8"/>
  <c r="AF244" i="8" s="1"/>
  <c r="DS244" i="8"/>
  <c r="DR485" i="8"/>
  <c r="AF485" i="8" s="1"/>
  <c r="DS485" i="8"/>
  <c r="DR122" i="8"/>
  <c r="AF122" i="8" s="1"/>
  <c r="DS122" i="8"/>
  <c r="DR250" i="8"/>
  <c r="AF250" i="8" s="1"/>
  <c r="DS250" i="8"/>
  <c r="DR248" i="8"/>
  <c r="AF248" i="8" s="1"/>
  <c r="DS248" i="8"/>
  <c r="DR182" i="8"/>
  <c r="AF182" i="8" s="1"/>
  <c r="DS182" i="8"/>
  <c r="DS29" i="8"/>
  <c r="DR29" i="8"/>
  <c r="AF29" i="8" s="1"/>
  <c r="DR143" i="8"/>
  <c r="AF143" i="8" s="1"/>
  <c r="DS143" i="8"/>
  <c r="DR152" i="8"/>
  <c r="AF152" i="8" s="1"/>
  <c r="DS152" i="8"/>
  <c r="DR436" i="8"/>
  <c r="AF436" i="8" s="1"/>
  <c r="DS436" i="8"/>
  <c r="DR199" i="8"/>
  <c r="AF199" i="8" s="1"/>
  <c r="DS199" i="8"/>
  <c r="DR305" i="8"/>
  <c r="AF305" i="8" s="1"/>
  <c r="DS305" i="8"/>
  <c r="DR184" i="8"/>
  <c r="AF184" i="8" s="1"/>
  <c r="DS184" i="8"/>
  <c r="DR238" i="8"/>
  <c r="AF238" i="8" s="1"/>
  <c r="DS238" i="8"/>
  <c r="DR75" i="8"/>
  <c r="AF75" i="8" s="1"/>
  <c r="DS75" i="8"/>
  <c r="DR311" i="8"/>
  <c r="AF311" i="8" s="1"/>
  <c r="DS311" i="8"/>
  <c r="DR46" i="8"/>
  <c r="AF46" i="8" s="1"/>
  <c r="DS46" i="8"/>
  <c r="DR197" i="8"/>
  <c r="AF197" i="8" s="1"/>
  <c r="DS197" i="8"/>
  <c r="DR416" i="8"/>
  <c r="AF416" i="8" s="1"/>
  <c r="DS416" i="8"/>
  <c r="DR111" i="8"/>
  <c r="AF111" i="8" s="1"/>
  <c r="DS111" i="8"/>
  <c r="DR306" i="8"/>
  <c r="AF306" i="8" s="1"/>
  <c r="DS306" i="8"/>
  <c r="DS354" i="8"/>
  <c r="DR354" i="8"/>
  <c r="AF354" i="8" s="1"/>
  <c r="DR282" i="8"/>
  <c r="AF282" i="8" s="1"/>
  <c r="DS282" i="8"/>
  <c r="DR65" i="8"/>
  <c r="AF65" i="8" s="1"/>
  <c r="DS65" i="8"/>
  <c r="DR437" i="8"/>
  <c r="AF437" i="8" s="1"/>
  <c r="DS437" i="8"/>
  <c r="DR411" i="8"/>
  <c r="AF411" i="8" s="1"/>
  <c r="DS411" i="8"/>
  <c r="DS136" i="8"/>
  <c r="DR136" i="8"/>
  <c r="AF136" i="8" s="1"/>
  <c r="DR69" i="8"/>
  <c r="AF69" i="8" s="1"/>
  <c r="DS69" i="8"/>
  <c r="DR413" i="8"/>
  <c r="AF413" i="8" s="1"/>
  <c r="DS413" i="8"/>
  <c r="DS58" i="8"/>
  <c r="DR58" i="8"/>
  <c r="AF58" i="8" s="1"/>
  <c r="DR187" i="8"/>
  <c r="AF187" i="8" s="1"/>
  <c r="DS187" i="8"/>
  <c r="DR499" i="8"/>
  <c r="AF499" i="8" s="1"/>
  <c r="DS499" i="8"/>
  <c r="DR83" i="8"/>
  <c r="AF83" i="8" s="1"/>
  <c r="DS83" i="8"/>
  <c r="DS232" i="8"/>
  <c r="AG232" i="8" s="1"/>
  <c r="DR232" i="8"/>
  <c r="AF232" i="8" s="1"/>
  <c r="DS198" i="8"/>
  <c r="DR198" i="8"/>
  <c r="AF198" i="8" s="1"/>
  <c r="DR27" i="8"/>
  <c r="AF27" i="8" s="1"/>
  <c r="DS27" i="8"/>
  <c r="DR41" i="8"/>
  <c r="AF41" i="8" s="1"/>
  <c r="DS41" i="8"/>
  <c r="DR61" i="8"/>
  <c r="AF61" i="8" s="1"/>
  <c r="DS61" i="8"/>
  <c r="DS74" i="8"/>
  <c r="DR74" i="8"/>
  <c r="AF74" i="8" s="1"/>
  <c r="DS398" i="8"/>
  <c r="DR398" i="8"/>
  <c r="AF398" i="8" s="1"/>
  <c r="DR64" i="8"/>
  <c r="AF64" i="8" s="1"/>
  <c r="DS64" i="8"/>
  <c r="DR256" i="8"/>
  <c r="AF256" i="8" s="1"/>
  <c r="DS256" i="8"/>
  <c r="DR362" i="8"/>
  <c r="AF362" i="8" s="1"/>
  <c r="DS362" i="8"/>
  <c r="DR178" i="8"/>
  <c r="AF178" i="8" s="1"/>
  <c r="DS178" i="8"/>
  <c r="DR174" i="8"/>
  <c r="AF174" i="8" s="1"/>
  <c r="DS174" i="8"/>
  <c r="DR423" i="8"/>
  <c r="AF423" i="8" s="1"/>
  <c r="DS423" i="8"/>
  <c r="DS48" i="8"/>
  <c r="DR48" i="8"/>
  <c r="AF48" i="8" s="1"/>
  <c r="DR151" i="8"/>
  <c r="AF151" i="8" s="1"/>
  <c r="DS151" i="8"/>
  <c r="DR134" i="8"/>
  <c r="AF134" i="8" s="1"/>
  <c r="DS134" i="8"/>
  <c r="DS487" i="8"/>
  <c r="DR487" i="8"/>
  <c r="AF487" i="8" s="1"/>
  <c r="DR125" i="8"/>
  <c r="AF125" i="8" s="1"/>
  <c r="DS125" i="8"/>
  <c r="DR355" i="8"/>
  <c r="AF355" i="8" s="1"/>
  <c r="DS355" i="8"/>
  <c r="DR51" i="8"/>
  <c r="AF51" i="8" s="1"/>
  <c r="DS51" i="8"/>
  <c r="DS484" i="8"/>
  <c r="DR484" i="8"/>
  <c r="AF484" i="8" s="1"/>
  <c r="DS114" i="8"/>
  <c r="DR114" i="8"/>
  <c r="AF114" i="8" s="1"/>
  <c r="DS505" i="8"/>
  <c r="DR505" i="8"/>
  <c r="AF505" i="8" s="1"/>
  <c r="DR503" i="8"/>
  <c r="AF503" i="8" s="1"/>
  <c r="DS503" i="8"/>
  <c r="DS116" i="8"/>
  <c r="DR116" i="8"/>
  <c r="AF116" i="8" s="1"/>
  <c r="DR495" i="8"/>
  <c r="AF495" i="8" s="1"/>
  <c r="DS495" i="8"/>
  <c r="DS427" i="8"/>
  <c r="DR427" i="8"/>
  <c r="AF427" i="8" s="1"/>
  <c r="DS72" i="8"/>
  <c r="DR72" i="8"/>
  <c r="AF72" i="8" s="1"/>
  <c r="DR141" i="8"/>
  <c r="AF141" i="8" s="1"/>
  <c r="DS141" i="8"/>
  <c r="DS415" i="8"/>
  <c r="DR415" i="8"/>
  <c r="AF415" i="8" s="1"/>
  <c r="DR60" i="8"/>
  <c r="AF60" i="8" s="1"/>
  <c r="DS60" i="8"/>
  <c r="DS246" i="8"/>
  <c r="DR246" i="8"/>
  <c r="AF246" i="8" s="1"/>
  <c r="DR112" i="8"/>
  <c r="AF112" i="8" s="1"/>
  <c r="DS112" i="8"/>
  <c r="DR43" i="8"/>
  <c r="AF43" i="8" s="1"/>
  <c r="DS43" i="8"/>
  <c r="DR297" i="8"/>
  <c r="AF297" i="8" s="1"/>
  <c r="DS297" i="8"/>
  <c r="DS233" i="8"/>
  <c r="AG233" i="8" s="1"/>
  <c r="DR233" i="8"/>
  <c r="AF233" i="8" s="1"/>
  <c r="DR67" i="8"/>
  <c r="AF67" i="8" s="1"/>
  <c r="DS67" i="8"/>
  <c r="DR312" i="8"/>
  <c r="AF312" i="8" s="1"/>
  <c r="DS312" i="8"/>
  <c r="DR310" i="8"/>
  <c r="AF310" i="8" s="1"/>
  <c r="DS310" i="8"/>
  <c r="DS242" i="8"/>
  <c r="DR242" i="8"/>
  <c r="AF242" i="8" s="1"/>
  <c r="DR501" i="8"/>
  <c r="AF501" i="8" s="1"/>
  <c r="DS501" i="8"/>
  <c r="DR224" i="8"/>
  <c r="AF224" i="8" s="1"/>
  <c r="DS224" i="8"/>
  <c r="AG224" i="8" s="1"/>
  <c r="AE71" i="1" l="1"/>
  <c r="AA65" i="9" l="1"/>
  <c r="Z65" i="9"/>
  <c r="Y65" i="9"/>
  <c r="X65" i="9"/>
  <c r="W65" i="9"/>
  <c r="V65" i="9"/>
  <c r="U65" i="9"/>
  <c r="T65" i="9"/>
  <c r="S65" i="9"/>
  <c r="R65" i="9"/>
  <c r="Q65" i="9"/>
  <c r="P65" i="9"/>
  <c r="O65" i="9"/>
  <c r="N65" i="9"/>
  <c r="M65" i="9"/>
  <c r="L65" i="9"/>
  <c r="K65" i="9"/>
  <c r="J65" i="9"/>
  <c r="I65" i="9"/>
  <c r="H65" i="9"/>
  <c r="G65" i="9"/>
  <c r="F65" i="9"/>
  <c r="E65" i="9"/>
  <c r="AA64" i="9"/>
  <c r="Z64" i="9"/>
  <c r="Y64" i="9"/>
  <c r="AN64" i="9" s="1"/>
  <c r="X64" i="9"/>
  <c r="W64" i="9"/>
  <c r="V64" i="9"/>
  <c r="U64" i="9"/>
  <c r="T64" i="9"/>
  <c r="S64" i="9"/>
  <c r="R64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AA63" i="9"/>
  <c r="Z63" i="9"/>
  <c r="Y63" i="9"/>
  <c r="X63" i="9"/>
  <c r="W63" i="9"/>
  <c r="V63" i="9"/>
  <c r="U63" i="9"/>
  <c r="T63" i="9"/>
  <c r="S63" i="9"/>
  <c r="R63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AA62" i="9"/>
  <c r="Z62" i="9"/>
  <c r="Y62" i="9"/>
  <c r="X62" i="9"/>
  <c r="W62" i="9"/>
  <c r="V62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AA61" i="9"/>
  <c r="Z61" i="9"/>
  <c r="Y61" i="9"/>
  <c r="AN61" i="9" s="1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AA58" i="9"/>
  <c r="Z58" i="9"/>
  <c r="Y58" i="9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AA55" i="9"/>
  <c r="Z55" i="9"/>
  <c r="Y55" i="9"/>
  <c r="AN55" i="9" s="1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AA54" i="9"/>
  <c r="Z54" i="9"/>
  <c r="Y54" i="9"/>
  <c r="X54" i="9"/>
  <c r="W54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AA53" i="9"/>
  <c r="Z53" i="9"/>
  <c r="Y53" i="9"/>
  <c r="X53" i="9"/>
  <c r="W53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AA52" i="9"/>
  <c r="Z52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AA45" i="9"/>
  <c r="Z45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AA43" i="9"/>
  <c r="Z43" i="9"/>
  <c r="Y43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61" i="9"/>
  <c r="D62" i="9"/>
  <c r="D63" i="9"/>
  <c r="D64" i="9"/>
  <c r="D65" i="9"/>
  <c r="D58" i="9"/>
  <c r="D53" i="9"/>
  <c r="D54" i="9"/>
  <c r="D55" i="9"/>
  <c r="D56" i="9"/>
  <c r="D52" i="9"/>
  <c r="D43" i="9"/>
  <c r="D44" i="9"/>
  <c r="D45" i="9"/>
  <c r="D46" i="9"/>
  <c r="AN52" i="9" l="1"/>
  <c r="AN53" i="9"/>
  <c r="AN54" i="9"/>
  <c r="AN63" i="9"/>
  <c r="AQ65" i="9"/>
  <c r="AM65" i="9"/>
  <c r="AQ62" i="9"/>
  <c r="AM62" i="9"/>
  <c r="AN65" i="9"/>
  <c r="AQ61" i="9"/>
  <c r="AM61" i="9"/>
  <c r="AN62" i="9"/>
  <c r="AQ63" i="9"/>
  <c r="AM63" i="9"/>
  <c r="AQ64" i="9"/>
  <c r="AM64" i="9"/>
  <c r="AN58" i="9"/>
  <c r="AM58" i="9"/>
  <c r="AQ58" i="9"/>
  <c r="AM54" i="9"/>
  <c r="AQ54" i="9"/>
  <c r="AQ56" i="9"/>
  <c r="AM56" i="9"/>
  <c r="AQ55" i="9"/>
  <c r="AM55" i="9"/>
  <c r="AM52" i="9"/>
  <c r="AQ52" i="9"/>
  <c r="AQ53" i="9"/>
  <c r="AM53" i="9"/>
  <c r="AN56" i="9"/>
  <c r="AN44" i="9"/>
  <c r="AQ45" i="9"/>
  <c r="AM45" i="9"/>
  <c r="AN45" i="9"/>
  <c r="AQ44" i="9"/>
  <c r="AM44" i="9"/>
  <c r="AQ46" i="9"/>
  <c r="AM46" i="9"/>
  <c r="AM43" i="9"/>
  <c r="AQ43" i="9"/>
  <c r="AN46" i="9"/>
  <c r="AN43" i="9"/>
  <c r="AI33" i="6"/>
  <c r="AH33" i="6"/>
  <c r="AG33" i="6"/>
  <c r="AF33" i="6"/>
  <c r="AI27" i="6"/>
  <c r="AH27" i="6"/>
  <c r="AG27" i="6"/>
  <c r="AF27" i="6"/>
  <c r="AE27" i="6"/>
  <c r="AD27" i="6"/>
  <c r="AI15" i="6"/>
  <c r="AH15" i="6"/>
  <c r="AG15" i="6"/>
  <c r="AF15" i="6"/>
  <c r="AE15" i="6"/>
  <c r="AD15" i="6"/>
  <c r="AI8" i="6"/>
  <c r="AG23" i="9" s="1"/>
  <c r="AH8" i="6"/>
  <c r="AF23" i="9" s="1"/>
  <c r="AI7" i="6"/>
  <c r="AG22" i="9" s="1"/>
  <c r="AH7" i="6"/>
  <c r="AF22" i="9" s="1"/>
  <c r="AI6" i="6"/>
  <c r="AG21" i="9" s="1"/>
  <c r="AH6" i="6"/>
  <c r="AF21" i="9" s="1"/>
  <c r="AI5" i="6"/>
  <c r="AG20" i="9" s="1"/>
  <c r="AH5" i="6"/>
  <c r="AI4" i="6"/>
  <c r="AH4" i="6"/>
  <c r="AF19" i="9" s="1"/>
  <c r="AI9" i="6"/>
  <c r="AH9" i="6"/>
  <c r="AG9" i="6"/>
  <c r="AF9" i="6"/>
  <c r="AE9" i="6"/>
  <c r="AD9" i="6"/>
  <c r="AF39" i="7"/>
  <c r="AI48" i="7"/>
  <c r="AH48" i="7"/>
  <c r="AG48" i="7"/>
  <c r="AF48" i="7"/>
  <c r="AE48" i="7"/>
  <c r="AD48" i="7"/>
  <c r="AI39" i="7"/>
  <c r="AH39" i="7"/>
  <c r="AG39" i="7"/>
  <c r="AE39" i="7"/>
  <c r="AD39" i="7"/>
  <c r="AI21" i="7"/>
  <c r="AH21" i="7"/>
  <c r="AG21" i="7"/>
  <c r="AF21" i="7"/>
  <c r="AE21" i="7"/>
  <c r="AD21" i="7"/>
  <c r="AI11" i="7"/>
  <c r="AI38" i="7" s="1"/>
  <c r="AH11" i="7"/>
  <c r="AH38" i="7" s="1"/>
  <c r="AI10" i="7"/>
  <c r="AI37" i="7" s="1"/>
  <c r="AH10" i="7"/>
  <c r="AH37" i="7" s="1"/>
  <c r="AI9" i="7"/>
  <c r="AI36" i="7" s="1"/>
  <c r="AH9" i="7"/>
  <c r="AH36" i="7" s="1"/>
  <c r="AI8" i="7"/>
  <c r="AI35" i="7" s="1"/>
  <c r="AH8" i="7"/>
  <c r="AH35" i="7" s="1"/>
  <c r="AI7" i="7"/>
  <c r="AI34" i="7" s="1"/>
  <c r="AH7" i="7"/>
  <c r="AH34" i="7" s="1"/>
  <c r="AI6" i="7"/>
  <c r="AI33" i="7" s="1"/>
  <c r="AH6" i="7"/>
  <c r="AH33" i="7" s="1"/>
  <c r="AI5" i="7"/>
  <c r="AI32" i="7" s="1"/>
  <c r="AH5" i="7"/>
  <c r="AH32" i="7" s="1"/>
  <c r="AI4" i="7"/>
  <c r="AH4" i="7"/>
  <c r="AI12" i="7"/>
  <c r="AH12" i="7"/>
  <c r="AG12" i="7"/>
  <c r="AF12" i="7"/>
  <c r="AE12" i="7"/>
  <c r="AD12" i="7"/>
  <c r="AD28" i="4"/>
  <c r="AI16" i="4"/>
  <c r="AH19" i="4"/>
  <c r="AH37" i="4" s="1"/>
  <c r="AH35" i="4" s="1"/>
  <c r="AG15" i="4"/>
  <c r="AD19" i="4"/>
  <c r="AE17" i="4"/>
  <c r="AE15" i="4" s="1"/>
  <c r="AI8" i="4"/>
  <c r="AI26" i="4" s="1"/>
  <c r="AH8" i="4"/>
  <c r="AH26" i="4" s="1"/>
  <c r="AI7" i="4"/>
  <c r="AI25" i="4" s="1"/>
  <c r="AI6" i="4"/>
  <c r="AI24" i="4" s="1"/>
  <c r="AH6" i="4"/>
  <c r="AH24" i="4" s="1"/>
  <c r="AI35" i="4"/>
  <c r="AF35" i="4"/>
  <c r="AF33" i="4" s="1"/>
  <c r="AE35" i="4"/>
  <c r="AE33" i="4" s="1"/>
  <c r="AI29" i="4"/>
  <c r="AI27" i="4" s="1"/>
  <c r="AH29" i="4"/>
  <c r="AH27" i="4" s="1"/>
  <c r="AG29" i="4"/>
  <c r="AG27" i="4" s="1"/>
  <c r="AF29" i="4"/>
  <c r="AF27" i="4" s="1"/>
  <c r="AE29" i="4"/>
  <c r="AE27" i="4" s="1"/>
  <c r="AD29" i="4"/>
  <c r="AI17" i="4"/>
  <c r="AF17" i="4"/>
  <c r="AI11" i="4"/>
  <c r="AI9" i="4" s="1"/>
  <c r="AH11" i="4"/>
  <c r="AH9" i="4" s="1"/>
  <c r="AG11" i="4"/>
  <c r="AG9" i="4" s="1"/>
  <c r="AF11" i="4"/>
  <c r="AF9" i="4" s="1"/>
  <c r="AE11" i="4"/>
  <c r="AE9" i="4" s="1"/>
  <c r="AD11" i="4"/>
  <c r="AD9" i="4" s="1"/>
  <c r="AN27" i="6" l="1"/>
  <c r="AO27" i="6"/>
  <c r="AP27" i="6"/>
  <c r="AN33" i="6"/>
  <c r="AH31" i="7"/>
  <c r="AH30" i="7" s="1"/>
  <c r="AH57" i="7" s="1"/>
  <c r="AF100" i="9" s="1"/>
  <c r="AH3" i="7"/>
  <c r="AI31" i="7"/>
  <c r="AI30" i="7" s="1"/>
  <c r="AI57" i="7" s="1"/>
  <c r="AG100" i="9" s="1"/>
  <c r="AI3" i="7"/>
  <c r="AG19" i="9"/>
  <c r="AI3" i="6"/>
  <c r="AG18" i="9" s="1"/>
  <c r="AF20" i="9"/>
  <c r="AH3" i="6"/>
  <c r="AH33" i="4"/>
  <c r="AI33" i="4"/>
  <c r="AI15" i="4"/>
  <c r="AH7" i="4"/>
  <c r="AH25" i="4" s="1"/>
  <c r="AI4" i="4"/>
  <c r="AI25" i="6"/>
  <c r="AG55" i="9" s="1"/>
  <c r="AH25" i="6"/>
  <c r="AH43" i="6" s="1"/>
  <c r="AF88" i="9" s="1"/>
  <c r="AH17" i="4"/>
  <c r="AH15" i="4" s="1"/>
  <c r="AH22" i="6"/>
  <c r="AI26" i="6"/>
  <c r="AH24" i="6"/>
  <c r="AH26" i="6"/>
  <c r="AI24" i="6"/>
  <c r="AI22" i="6"/>
  <c r="AH4" i="4"/>
  <c r="AF25" i="9" s="1"/>
  <c r="AD17" i="4"/>
  <c r="AD15" i="4" s="1"/>
  <c r="AD37" i="4"/>
  <c r="AD35" i="4" s="1"/>
  <c r="AD33" i="4" s="1"/>
  <c r="AG37" i="4"/>
  <c r="AG35" i="4" s="1"/>
  <c r="AG33" i="4" s="1"/>
  <c r="AD27" i="4"/>
  <c r="AI5" i="4"/>
  <c r="AG26" i="9" s="1"/>
  <c r="AF15" i="4"/>
  <c r="AI23" i="6"/>
  <c r="AH23" i="6"/>
  <c r="AI23" i="4" l="1"/>
  <c r="AI41" i="4" s="1"/>
  <c r="AG25" i="9"/>
  <c r="AI3" i="4"/>
  <c r="AG24" i="9" s="1"/>
  <c r="AH22" i="4"/>
  <c r="AH40" i="4" s="1"/>
  <c r="AF91" i="9" s="1"/>
  <c r="AI43" i="6"/>
  <c r="AG88" i="9" s="1"/>
  <c r="AI21" i="6"/>
  <c r="AG51" i="9" s="1"/>
  <c r="AH21" i="6"/>
  <c r="AH5" i="4"/>
  <c r="AH3" i="4" s="1"/>
  <c r="AF24" i="9" s="1"/>
  <c r="AI22" i="4"/>
  <c r="AI40" i="4" s="1"/>
  <c r="AG91" i="9" s="1"/>
  <c r="AF18" i="9"/>
  <c r="AF55" i="9"/>
  <c r="AH42" i="6"/>
  <c r="AF87" i="9" s="1"/>
  <c r="AF54" i="9"/>
  <c r="AI44" i="6"/>
  <c r="AG89" i="9" s="1"/>
  <c r="AG56" i="9"/>
  <c r="AI42" i="6"/>
  <c r="AG87" i="9" s="1"/>
  <c r="AG54" i="9"/>
  <c r="AH44" i="6"/>
  <c r="AF89" i="9" s="1"/>
  <c r="AF56" i="9"/>
  <c r="AI40" i="6"/>
  <c r="AG52" i="9"/>
  <c r="AG53" i="9"/>
  <c r="AI41" i="6"/>
  <c r="AG86" i="9" s="1"/>
  <c r="AH40" i="6"/>
  <c r="AF52" i="9"/>
  <c r="AF53" i="9"/>
  <c r="AH41" i="6"/>
  <c r="AI34" i="3"/>
  <c r="AI33" i="3" s="1"/>
  <c r="AH34" i="3"/>
  <c r="AH33" i="3" s="1"/>
  <c r="AG34" i="3"/>
  <c r="AG33" i="3" s="1"/>
  <c r="AF34" i="3"/>
  <c r="AF33" i="3" s="1"/>
  <c r="AE34" i="3"/>
  <c r="AE33" i="3" s="1"/>
  <c r="AD34" i="3"/>
  <c r="AD33" i="3" s="1"/>
  <c r="AI28" i="3"/>
  <c r="AI27" i="3" s="1"/>
  <c r="AH28" i="3"/>
  <c r="AH27" i="3" s="1"/>
  <c r="AG28" i="3"/>
  <c r="AG27" i="3" s="1"/>
  <c r="AF28" i="3"/>
  <c r="AF27" i="3" s="1"/>
  <c r="AE28" i="3"/>
  <c r="AE27" i="3" s="1"/>
  <c r="AD28" i="3"/>
  <c r="AD27" i="3" s="1"/>
  <c r="AI8" i="3"/>
  <c r="AG13" i="9" s="1"/>
  <c r="AH8" i="3"/>
  <c r="AF13" i="9" s="1"/>
  <c r="AI7" i="3"/>
  <c r="AG12" i="9" s="1"/>
  <c r="AH7" i="3"/>
  <c r="AF12" i="9" s="1"/>
  <c r="AI6" i="3"/>
  <c r="AG11" i="9" s="1"/>
  <c r="AH6" i="3"/>
  <c r="AF11" i="9" s="1"/>
  <c r="AI5" i="3"/>
  <c r="AH5" i="3"/>
  <c r="AI16" i="3"/>
  <c r="AI15" i="3" s="1"/>
  <c r="AH16" i="3"/>
  <c r="AH15" i="3" s="1"/>
  <c r="AG16" i="3"/>
  <c r="AG15" i="3" s="1"/>
  <c r="AF16" i="3"/>
  <c r="AF15" i="3" s="1"/>
  <c r="AE16" i="3"/>
  <c r="AE15" i="3" s="1"/>
  <c r="AD16" i="3"/>
  <c r="AI10" i="3"/>
  <c r="AI9" i="3" s="1"/>
  <c r="AH10" i="3"/>
  <c r="AH9" i="3" s="1"/>
  <c r="AG10" i="3"/>
  <c r="AG9" i="3" s="1"/>
  <c r="AF10" i="3"/>
  <c r="AF9" i="3" s="1"/>
  <c r="AE10" i="3"/>
  <c r="AE9" i="3" s="1"/>
  <c r="AD10" i="3"/>
  <c r="AD9" i="3" s="1"/>
  <c r="AG56" i="5"/>
  <c r="AI68" i="5"/>
  <c r="AH68" i="5"/>
  <c r="AG68" i="5"/>
  <c r="AF68" i="5"/>
  <c r="AE68" i="5"/>
  <c r="AD68" i="5"/>
  <c r="AI64" i="5"/>
  <c r="AH64" i="5"/>
  <c r="AE64" i="5"/>
  <c r="AD65" i="5"/>
  <c r="AI51" i="5"/>
  <c r="AI63" i="5" s="1"/>
  <c r="AH51" i="5"/>
  <c r="AI50" i="5"/>
  <c r="AH50" i="5"/>
  <c r="AI49" i="5"/>
  <c r="AI61" i="5" s="1"/>
  <c r="AH49" i="5"/>
  <c r="AI56" i="5"/>
  <c r="AH56" i="5"/>
  <c r="AD56" i="5"/>
  <c r="AF58" i="5"/>
  <c r="AE58" i="5"/>
  <c r="AI52" i="5"/>
  <c r="AH52" i="5"/>
  <c r="AG52" i="5"/>
  <c r="AF52" i="5"/>
  <c r="AE52" i="5"/>
  <c r="AD52" i="5"/>
  <c r="AI26" i="5"/>
  <c r="AH26" i="5"/>
  <c r="AG26" i="5"/>
  <c r="AF26" i="5"/>
  <c r="AE26" i="5"/>
  <c r="AD26" i="5"/>
  <c r="AI22" i="5"/>
  <c r="AH22" i="5"/>
  <c r="AG22" i="5"/>
  <c r="AF22" i="5"/>
  <c r="AE22" i="5"/>
  <c r="AD22" i="5"/>
  <c r="AI14" i="5"/>
  <c r="AH14" i="5"/>
  <c r="AG14" i="5"/>
  <c r="AF14" i="5"/>
  <c r="AE14" i="5"/>
  <c r="AD14" i="5"/>
  <c r="AI36" i="5"/>
  <c r="AH36" i="5"/>
  <c r="AG36" i="5"/>
  <c r="AF36" i="5"/>
  <c r="AE36" i="5"/>
  <c r="AD36" i="5"/>
  <c r="AI42" i="5"/>
  <c r="AH42" i="5"/>
  <c r="AG42" i="5"/>
  <c r="AF42" i="5"/>
  <c r="AE42" i="5"/>
  <c r="AD42" i="5"/>
  <c r="AI45" i="5"/>
  <c r="AH45" i="5"/>
  <c r="AG45" i="5"/>
  <c r="AF45" i="5"/>
  <c r="AE45" i="5"/>
  <c r="AD45" i="5"/>
  <c r="AI32" i="5"/>
  <c r="AI41" i="5" s="1"/>
  <c r="AH32" i="5"/>
  <c r="AI31" i="5"/>
  <c r="AH31" i="5"/>
  <c r="AH30" i="5" s="1"/>
  <c r="AI33" i="5"/>
  <c r="AH33" i="5"/>
  <c r="AG33" i="5"/>
  <c r="AF33" i="5"/>
  <c r="AE33" i="5"/>
  <c r="AD33" i="5"/>
  <c r="AI9" i="5"/>
  <c r="AI21" i="5" s="1"/>
  <c r="AH9" i="5"/>
  <c r="AI8" i="5"/>
  <c r="AI20" i="5" s="1"/>
  <c r="AH8" i="5"/>
  <c r="AI7" i="5"/>
  <c r="AH7" i="5"/>
  <c r="AI10" i="5"/>
  <c r="AH10" i="5"/>
  <c r="AG10" i="5"/>
  <c r="AF10" i="5"/>
  <c r="AE10" i="5"/>
  <c r="AD10" i="5"/>
  <c r="AG59" i="9" l="1"/>
  <c r="AH6" i="5"/>
  <c r="AF26" i="9"/>
  <c r="AI21" i="4"/>
  <c r="AG57" i="9" s="1"/>
  <c r="AH23" i="4"/>
  <c r="AF59" i="9" s="1"/>
  <c r="AF58" i="9"/>
  <c r="AI39" i="4"/>
  <c r="AG90" i="9" s="1"/>
  <c r="AI40" i="5"/>
  <c r="AI39" i="5" s="1"/>
  <c r="AI30" i="5"/>
  <c r="AG92" i="9"/>
  <c r="AF86" i="9"/>
  <c r="AF51" i="9"/>
  <c r="AI62" i="5"/>
  <c r="AI60" i="5" s="1"/>
  <c r="AI48" i="5"/>
  <c r="AG17" i="9" s="1"/>
  <c r="AH48" i="5"/>
  <c r="AI19" i="5"/>
  <c r="AI18" i="5" s="1"/>
  <c r="AI6" i="5"/>
  <c r="AG15" i="9" s="1"/>
  <c r="AF10" i="9"/>
  <c r="AH3" i="3"/>
  <c r="AF8" i="9" s="1"/>
  <c r="AG10" i="9"/>
  <c r="AI3" i="3"/>
  <c r="AG8" i="9" s="1"/>
  <c r="AG58" i="9"/>
  <c r="AG64" i="5"/>
  <c r="AH20" i="5"/>
  <c r="AH61" i="5"/>
  <c r="AH63" i="5"/>
  <c r="AH21" i="5"/>
  <c r="AH62" i="5"/>
  <c r="AH19" i="5"/>
  <c r="AH40" i="5"/>
  <c r="AH41" i="5"/>
  <c r="AG85" i="9"/>
  <c r="AI39" i="6"/>
  <c r="AG84" i="9" s="1"/>
  <c r="AF85" i="9"/>
  <c r="AH39" i="6"/>
  <c r="AE56" i="5"/>
  <c r="AD64" i="5"/>
  <c r="AI24" i="3"/>
  <c r="AI42" i="3" s="1"/>
  <c r="AG77" i="9" s="1"/>
  <c r="AH26" i="3"/>
  <c r="AH44" i="3" s="1"/>
  <c r="AF79" i="9" s="1"/>
  <c r="AI25" i="3"/>
  <c r="AH25" i="3"/>
  <c r="AH23" i="3"/>
  <c r="AH4" i="3"/>
  <c r="AI23" i="3"/>
  <c r="AI26" i="3"/>
  <c r="AI4" i="3"/>
  <c r="AH24" i="3"/>
  <c r="AD15" i="3"/>
  <c r="AF64" i="5"/>
  <c r="AF56" i="5"/>
  <c r="AH21" i="4" l="1"/>
  <c r="AF57" i="9" s="1"/>
  <c r="AH41" i="4"/>
  <c r="AH39" i="4" s="1"/>
  <c r="AF90" i="9" s="1"/>
  <c r="AH22" i="3"/>
  <c r="AF42" i="9" s="1"/>
  <c r="AI22" i="3"/>
  <c r="AG42" i="9" s="1"/>
  <c r="AH18" i="5"/>
  <c r="AH39" i="5"/>
  <c r="AF92" i="9"/>
  <c r="AF84" i="9"/>
  <c r="AH60" i="5"/>
  <c r="AI21" i="3"/>
  <c r="AG41" i="9" s="1"/>
  <c r="AH21" i="3"/>
  <c r="AF41" i="9" s="1"/>
  <c r="AF17" i="9"/>
  <c r="AF16" i="9"/>
  <c r="AI72" i="5"/>
  <c r="AG49" i="9"/>
  <c r="AI74" i="5"/>
  <c r="AG82" i="9" s="1"/>
  <c r="AG16" i="9"/>
  <c r="AG44" i="9"/>
  <c r="AF15" i="9"/>
  <c r="AI3" i="5"/>
  <c r="AG14" i="9" s="1"/>
  <c r="AH3" i="5"/>
  <c r="AF46" i="9"/>
  <c r="AI41" i="3"/>
  <c r="AG76" i="9" s="1"/>
  <c r="AG43" i="9"/>
  <c r="AF45" i="9"/>
  <c r="AH43" i="3"/>
  <c r="AF78" i="9" s="1"/>
  <c r="AF9" i="9"/>
  <c r="AH41" i="3"/>
  <c r="AF76" i="9" s="1"/>
  <c r="AF43" i="9"/>
  <c r="AI44" i="3"/>
  <c r="AG79" i="9" s="1"/>
  <c r="AG46" i="9"/>
  <c r="AI43" i="3"/>
  <c r="AG78" i="9" s="1"/>
  <c r="AG45" i="9"/>
  <c r="AH42" i="3"/>
  <c r="AF77" i="9" s="1"/>
  <c r="AF44" i="9"/>
  <c r="AG9" i="9"/>
  <c r="AH39" i="3" l="1"/>
  <c r="AF74" i="9" s="1"/>
  <c r="AI39" i="3"/>
  <c r="AG74" i="9" s="1"/>
  <c r="AG48" i="9"/>
  <c r="AF14" i="9"/>
  <c r="AH72" i="5"/>
  <c r="AF48" i="9"/>
  <c r="AH4" i="5"/>
  <c r="AH74" i="5"/>
  <c r="AG81" i="9"/>
  <c r="AF50" i="9"/>
  <c r="AH76" i="5"/>
  <c r="AG50" i="9"/>
  <c r="AI76" i="5"/>
  <c r="AG83" i="9" s="1"/>
  <c r="AF49" i="9"/>
  <c r="AI4" i="5"/>
  <c r="AG47" i="9" s="1"/>
  <c r="AH40" i="3"/>
  <c r="AF75" i="9" s="1"/>
  <c r="AI40" i="3"/>
  <c r="AG75" i="9" s="1"/>
  <c r="AG67" i="9"/>
  <c r="AF67" i="9"/>
  <c r="AG34" i="9"/>
  <c r="AF34" i="9"/>
  <c r="AC30" i="7"/>
  <c r="AB30" i="7"/>
  <c r="Z67" i="9" s="1"/>
  <c r="AA30" i="7"/>
  <c r="Z30" i="7"/>
  <c r="X67" i="9" s="1"/>
  <c r="Y30" i="7"/>
  <c r="W67" i="9" s="1"/>
  <c r="X30" i="7"/>
  <c r="W30" i="7"/>
  <c r="U67" i="9" s="1"/>
  <c r="V30" i="7"/>
  <c r="T67" i="9" s="1"/>
  <c r="U30" i="7"/>
  <c r="T30" i="7"/>
  <c r="R67" i="9" s="1"/>
  <c r="S30" i="7"/>
  <c r="Q67" i="9" s="1"/>
  <c r="R30" i="7"/>
  <c r="Q30" i="7"/>
  <c r="O67" i="9" s="1"/>
  <c r="P30" i="7"/>
  <c r="N67" i="9" s="1"/>
  <c r="O30" i="7"/>
  <c r="M67" i="9" s="1"/>
  <c r="N30" i="7"/>
  <c r="L67" i="9" s="1"/>
  <c r="M30" i="7"/>
  <c r="K67" i="9" s="1"/>
  <c r="L30" i="7"/>
  <c r="J67" i="9" s="1"/>
  <c r="K30" i="7"/>
  <c r="I67" i="9" s="1"/>
  <c r="J30" i="7"/>
  <c r="H67" i="9" s="1"/>
  <c r="I30" i="7"/>
  <c r="G67" i="9" s="1"/>
  <c r="H30" i="7"/>
  <c r="F67" i="9" s="1"/>
  <c r="G30" i="7"/>
  <c r="E67" i="9" s="1"/>
  <c r="F30" i="7"/>
  <c r="D67" i="9" s="1"/>
  <c r="AC21" i="6"/>
  <c r="AA51" i="9" s="1"/>
  <c r="AB21" i="6"/>
  <c r="Z51" i="9" s="1"/>
  <c r="AA21" i="6"/>
  <c r="Z21" i="6"/>
  <c r="X51" i="9" s="1"/>
  <c r="Y21" i="6"/>
  <c r="W51" i="9" s="1"/>
  <c r="X21" i="6"/>
  <c r="W21" i="6"/>
  <c r="U51" i="9" s="1"/>
  <c r="V21" i="6"/>
  <c r="T51" i="9" s="1"/>
  <c r="U21" i="6"/>
  <c r="T21" i="6"/>
  <c r="R51" i="9" s="1"/>
  <c r="S21" i="6"/>
  <c r="Q51" i="9" s="1"/>
  <c r="R21" i="6"/>
  <c r="P51" i="9" s="1"/>
  <c r="Q21" i="6"/>
  <c r="O51" i="9" s="1"/>
  <c r="P21" i="6"/>
  <c r="N51" i="9" s="1"/>
  <c r="O21" i="6"/>
  <c r="M51" i="9" s="1"/>
  <c r="N21" i="6"/>
  <c r="L51" i="9" s="1"/>
  <c r="M21" i="6"/>
  <c r="K51" i="9" s="1"/>
  <c r="L21" i="6"/>
  <c r="J51" i="9" s="1"/>
  <c r="K21" i="6"/>
  <c r="I51" i="9" s="1"/>
  <c r="J21" i="6"/>
  <c r="H51" i="9" s="1"/>
  <c r="I21" i="6"/>
  <c r="G51" i="9" s="1"/>
  <c r="H21" i="6"/>
  <c r="F51" i="9" s="1"/>
  <c r="G21" i="6"/>
  <c r="E51" i="9" s="1"/>
  <c r="F21" i="6"/>
  <c r="D51" i="9" s="1"/>
  <c r="AC23" i="4"/>
  <c r="AA59" i="9" s="1"/>
  <c r="AB23" i="4"/>
  <c r="Z59" i="9" s="1"/>
  <c r="AA23" i="4"/>
  <c r="Z23" i="4"/>
  <c r="X59" i="9" s="1"/>
  <c r="Y23" i="4"/>
  <c r="W59" i="9" s="1"/>
  <c r="X23" i="4"/>
  <c r="W23" i="4"/>
  <c r="V23" i="4"/>
  <c r="T59" i="9" s="1"/>
  <c r="U23" i="4"/>
  <c r="T23" i="4"/>
  <c r="S23" i="4"/>
  <c r="R23" i="4"/>
  <c r="Q23" i="4"/>
  <c r="P23" i="4"/>
  <c r="O23" i="4"/>
  <c r="M59" i="9" s="1"/>
  <c r="N23" i="4"/>
  <c r="L59" i="9" s="1"/>
  <c r="M23" i="4"/>
  <c r="L23" i="4"/>
  <c r="J59" i="9" s="1"/>
  <c r="K23" i="4"/>
  <c r="I59" i="9" s="1"/>
  <c r="J23" i="4"/>
  <c r="H59" i="9" s="1"/>
  <c r="I23" i="4"/>
  <c r="H23" i="4"/>
  <c r="F59" i="9" s="1"/>
  <c r="G23" i="4"/>
  <c r="E59" i="9" s="1"/>
  <c r="F23" i="4"/>
  <c r="AC22" i="3"/>
  <c r="AA42" i="9" s="1"/>
  <c r="AB22" i="3"/>
  <c r="Z42" i="9" s="1"/>
  <c r="AA22" i="3"/>
  <c r="Z22" i="3"/>
  <c r="X42" i="9" s="1"/>
  <c r="Y22" i="3"/>
  <c r="W42" i="9" s="1"/>
  <c r="X22" i="3"/>
  <c r="W22" i="3"/>
  <c r="U42" i="9" s="1"/>
  <c r="V22" i="3"/>
  <c r="T42" i="9" s="1"/>
  <c r="U22" i="3"/>
  <c r="S42" i="9" s="1"/>
  <c r="T22" i="3"/>
  <c r="R42" i="9" s="1"/>
  <c r="S22" i="3"/>
  <c r="Q42" i="9" s="1"/>
  <c r="R22" i="3"/>
  <c r="P42" i="9" s="1"/>
  <c r="Q22" i="3"/>
  <c r="O42" i="9" s="1"/>
  <c r="P22" i="3"/>
  <c r="N42" i="9" s="1"/>
  <c r="O22" i="3"/>
  <c r="M42" i="9" s="1"/>
  <c r="N22" i="3"/>
  <c r="L42" i="9" s="1"/>
  <c r="M22" i="3"/>
  <c r="K42" i="9" s="1"/>
  <c r="L22" i="3"/>
  <c r="J42" i="9" s="1"/>
  <c r="K22" i="3"/>
  <c r="I42" i="9" s="1"/>
  <c r="J22" i="3"/>
  <c r="H42" i="9" s="1"/>
  <c r="I22" i="3"/>
  <c r="G42" i="9" s="1"/>
  <c r="H22" i="3"/>
  <c r="F42" i="9" s="1"/>
  <c r="G22" i="3"/>
  <c r="E42" i="9" s="1"/>
  <c r="F22" i="3"/>
  <c r="D42" i="9" s="1"/>
  <c r="AC21" i="3"/>
  <c r="AA41" i="9" s="1"/>
  <c r="AB21" i="3"/>
  <c r="Z41" i="9" s="1"/>
  <c r="AA21" i="3"/>
  <c r="Z21" i="3"/>
  <c r="X41" i="9" s="1"/>
  <c r="Y21" i="3"/>
  <c r="W41" i="9" s="1"/>
  <c r="X21" i="3"/>
  <c r="W21" i="3"/>
  <c r="U41" i="9" s="1"/>
  <c r="V21" i="3"/>
  <c r="T41" i="9" s="1"/>
  <c r="U21" i="3"/>
  <c r="S41" i="9" s="1"/>
  <c r="T21" i="3"/>
  <c r="R41" i="9" s="1"/>
  <c r="S21" i="3"/>
  <c r="Q41" i="9" s="1"/>
  <c r="R21" i="3"/>
  <c r="P41" i="9" s="1"/>
  <c r="Q21" i="3"/>
  <c r="O41" i="9" s="1"/>
  <c r="P21" i="3"/>
  <c r="N41" i="9" s="1"/>
  <c r="O21" i="3"/>
  <c r="M41" i="9" s="1"/>
  <c r="N21" i="3"/>
  <c r="L41" i="9" s="1"/>
  <c r="M21" i="3"/>
  <c r="K41" i="9" s="1"/>
  <c r="L21" i="3"/>
  <c r="J41" i="9" s="1"/>
  <c r="K21" i="3"/>
  <c r="I41" i="9" s="1"/>
  <c r="J21" i="3"/>
  <c r="H41" i="9" s="1"/>
  <c r="I21" i="3"/>
  <c r="G41" i="9" s="1"/>
  <c r="H21" i="3"/>
  <c r="F41" i="9" s="1"/>
  <c r="G21" i="3"/>
  <c r="F21" i="3"/>
  <c r="D41" i="9" s="1"/>
  <c r="AC60" i="5"/>
  <c r="AA50" i="9" s="1"/>
  <c r="AB60" i="5"/>
  <c r="AA60" i="5"/>
  <c r="Z60" i="5"/>
  <c r="X50" i="9" s="1"/>
  <c r="Y60" i="5"/>
  <c r="X60" i="5"/>
  <c r="W60" i="5"/>
  <c r="U50" i="9" s="1"/>
  <c r="V60" i="5"/>
  <c r="T50" i="9" s="1"/>
  <c r="U60" i="5"/>
  <c r="S50" i="9" s="1"/>
  <c r="T60" i="5"/>
  <c r="R50" i="9" s="1"/>
  <c r="S60" i="5"/>
  <c r="Q50" i="9" s="1"/>
  <c r="R60" i="5"/>
  <c r="P50" i="9" s="1"/>
  <c r="Q60" i="5"/>
  <c r="O50" i="9" s="1"/>
  <c r="P60" i="5"/>
  <c r="N50" i="9" s="1"/>
  <c r="O60" i="5"/>
  <c r="M50" i="9" s="1"/>
  <c r="N60" i="5"/>
  <c r="L50" i="9" s="1"/>
  <c r="M60" i="5"/>
  <c r="K50" i="9" s="1"/>
  <c r="L60" i="5"/>
  <c r="J50" i="9" s="1"/>
  <c r="K60" i="5"/>
  <c r="I50" i="9" s="1"/>
  <c r="J60" i="5"/>
  <c r="H50" i="9" s="1"/>
  <c r="I60" i="5"/>
  <c r="G50" i="9" s="1"/>
  <c r="H60" i="5"/>
  <c r="F50" i="9" s="1"/>
  <c r="G60" i="5"/>
  <c r="E50" i="9" s="1"/>
  <c r="F60" i="5"/>
  <c r="D50" i="9" s="1"/>
  <c r="AC39" i="5"/>
  <c r="AA49" i="9" s="1"/>
  <c r="AB39" i="5"/>
  <c r="AA39" i="5"/>
  <c r="Z39" i="5"/>
  <c r="X49" i="9" s="1"/>
  <c r="Y39" i="5"/>
  <c r="X39" i="5"/>
  <c r="W39" i="5"/>
  <c r="U49" i="9" s="1"/>
  <c r="V39" i="5"/>
  <c r="T49" i="9" s="1"/>
  <c r="U39" i="5"/>
  <c r="S49" i="9" s="1"/>
  <c r="T39" i="5"/>
  <c r="R49" i="9" s="1"/>
  <c r="S39" i="5"/>
  <c r="Q49" i="9" s="1"/>
  <c r="R39" i="5"/>
  <c r="P49" i="9" s="1"/>
  <c r="Q39" i="5"/>
  <c r="O49" i="9" s="1"/>
  <c r="P39" i="5"/>
  <c r="N49" i="9" s="1"/>
  <c r="O39" i="5"/>
  <c r="M49" i="9" s="1"/>
  <c r="N39" i="5"/>
  <c r="L49" i="9" s="1"/>
  <c r="M39" i="5"/>
  <c r="K49" i="9" s="1"/>
  <c r="L39" i="5"/>
  <c r="J49" i="9" s="1"/>
  <c r="K39" i="5"/>
  <c r="I49" i="9" s="1"/>
  <c r="J39" i="5"/>
  <c r="H49" i="9" s="1"/>
  <c r="I39" i="5"/>
  <c r="G49" i="9" s="1"/>
  <c r="H39" i="5"/>
  <c r="F49" i="9" s="1"/>
  <c r="G39" i="5"/>
  <c r="E49" i="9" s="1"/>
  <c r="F39" i="5"/>
  <c r="D49" i="9" s="1"/>
  <c r="AC18" i="5"/>
  <c r="AA48" i="9" s="1"/>
  <c r="AB18" i="5"/>
  <c r="AA18" i="5"/>
  <c r="Z18" i="5"/>
  <c r="X48" i="9" s="1"/>
  <c r="Y18" i="5"/>
  <c r="X18" i="5"/>
  <c r="W18" i="5"/>
  <c r="U48" i="9" s="1"/>
  <c r="V18" i="5"/>
  <c r="T48" i="9" s="1"/>
  <c r="U18" i="5"/>
  <c r="S48" i="9" s="1"/>
  <c r="T18" i="5"/>
  <c r="R48" i="9" s="1"/>
  <c r="S18" i="5"/>
  <c r="Q48" i="9" s="1"/>
  <c r="R18" i="5"/>
  <c r="P48" i="9" s="1"/>
  <c r="Q18" i="5"/>
  <c r="O48" i="9" s="1"/>
  <c r="P18" i="5"/>
  <c r="N48" i="9" s="1"/>
  <c r="O18" i="5"/>
  <c r="M48" i="9" s="1"/>
  <c r="N18" i="5"/>
  <c r="L48" i="9" s="1"/>
  <c r="M18" i="5"/>
  <c r="K48" i="9" s="1"/>
  <c r="L18" i="5"/>
  <c r="J48" i="9" s="1"/>
  <c r="K18" i="5"/>
  <c r="I48" i="9" s="1"/>
  <c r="J18" i="5"/>
  <c r="H48" i="9" s="1"/>
  <c r="I18" i="5"/>
  <c r="G48" i="9" s="1"/>
  <c r="H18" i="5"/>
  <c r="F48" i="9" s="1"/>
  <c r="G18" i="5"/>
  <c r="E48" i="9" s="1"/>
  <c r="F18" i="5"/>
  <c r="D48" i="9" s="1"/>
  <c r="W24" i="2"/>
  <c r="U60" i="9" s="1"/>
  <c r="V24" i="2"/>
  <c r="T60" i="9" s="1"/>
  <c r="U24" i="2"/>
  <c r="S60" i="9" s="1"/>
  <c r="T24" i="2"/>
  <c r="R60" i="9" s="1"/>
  <c r="S24" i="2"/>
  <c r="Q60" i="9" s="1"/>
  <c r="R24" i="2"/>
  <c r="P60" i="9" s="1"/>
  <c r="Q24" i="2"/>
  <c r="O60" i="9" s="1"/>
  <c r="P24" i="2"/>
  <c r="N60" i="9" s="1"/>
  <c r="O24" i="2"/>
  <c r="M60" i="9" s="1"/>
  <c r="N24" i="2"/>
  <c r="L60" i="9" s="1"/>
  <c r="M24" i="2"/>
  <c r="K60" i="9" s="1"/>
  <c r="L24" i="2"/>
  <c r="J60" i="9" s="1"/>
  <c r="K24" i="2"/>
  <c r="I60" i="9" s="1"/>
  <c r="J24" i="2"/>
  <c r="H60" i="9" s="1"/>
  <c r="I24" i="2"/>
  <c r="G60" i="9" s="1"/>
  <c r="H24" i="2"/>
  <c r="F60" i="9" s="1"/>
  <c r="G24" i="2"/>
  <c r="E60" i="9" s="1"/>
  <c r="F24" i="2"/>
  <c r="D60" i="9" s="1"/>
  <c r="AC93" i="1"/>
  <c r="AA39" i="9" s="1"/>
  <c r="AB93" i="1"/>
  <c r="Z39" i="9" s="1"/>
  <c r="AA93" i="1"/>
  <c r="Z93" i="1"/>
  <c r="X39" i="9" s="1"/>
  <c r="Y93" i="1"/>
  <c r="W39" i="9" s="1"/>
  <c r="X93" i="1"/>
  <c r="W93" i="1"/>
  <c r="U39" i="9" s="1"/>
  <c r="V93" i="1"/>
  <c r="T39" i="9" s="1"/>
  <c r="U93" i="1"/>
  <c r="S39" i="9" s="1"/>
  <c r="T93" i="1"/>
  <c r="R39" i="9" s="1"/>
  <c r="S93" i="1"/>
  <c r="Q39" i="9" s="1"/>
  <c r="R93" i="1"/>
  <c r="P39" i="9" s="1"/>
  <c r="Q93" i="1"/>
  <c r="O39" i="9" s="1"/>
  <c r="P93" i="1"/>
  <c r="N39" i="9" s="1"/>
  <c r="O93" i="1"/>
  <c r="M39" i="9" s="1"/>
  <c r="N93" i="1"/>
  <c r="L39" i="9" s="1"/>
  <c r="M93" i="1"/>
  <c r="K39" i="9" s="1"/>
  <c r="L93" i="1"/>
  <c r="J39" i="9" s="1"/>
  <c r="K93" i="1"/>
  <c r="I39" i="9" s="1"/>
  <c r="J93" i="1"/>
  <c r="H39" i="9" s="1"/>
  <c r="I93" i="1"/>
  <c r="G39" i="9" s="1"/>
  <c r="H93" i="1"/>
  <c r="F39" i="9" s="1"/>
  <c r="G93" i="1"/>
  <c r="E39" i="9" s="1"/>
  <c r="F93" i="1"/>
  <c r="D39" i="9" s="1"/>
  <c r="AC69" i="1"/>
  <c r="AC63" i="1" s="1"/>
  <c r="AA38" i="9" s="1"/>
  <c r="AB69" i="1"/>
  <c r="AB63" i="1" s="1"/>
  <c r="Z38" i="9" s="1"/>
  <c r="AA69" i="1"/>
  <c r="Z69" i="1"/>
  <c r="Z63" i="1" s="1"/>
  <c r="X38" i="9" s="1"/>
  <c r="Y69" i="1"/>
  <c r="Y63" i="1" s="1"/>
  <c r="W38" i="9" s="1"/>
  <c r="X69" i="1"/>
  <c r="W69" i="1"/>
  <c r="W63" i="1" s="1"/>
  <c r="U38" i="9" s="1"/>
  <c r="V69" i="1"/>
  <c r="V63" i="1" s="1"/>
  <c r="T38" i="9" s="1"/>
  <c r="U69" i="1"/>
  <c r="U63" i="1" s="1"/>
  <c r="S38" i="9" s="1"/>
  <c r="T69" i="1"/>
  <c r="T63" i="1" s="1"/>
  <c r="R38" i="9" s="1"/>
  <c r="S69" i="1"/>
  <c r="S63" i="1" s="1"/>
  <c r="Q38" i="9" s="1"/>
  <c r="R69" i="1"/>
  <c r="R63" i="1" s="1"/>
  <c r="P38" i="9" s="1"/>
  <c r="Q69" i="1"/>
  <c r="Q63" i="1" s="1"/>
  <c r="O38" i="9" s="1"/>
  <c r="P69" i="1"/>
  <c r="P63" i="1" s="1"/>
  <c r="N38" i="9" s="1"/>
  <c r="O69" i="1"/>
  <c r="O63" i="1" s="1"/>
  <c r="M38" i="9" s="1"/>
  <c r="N69" i="1"/>
  <c r="N63" i="1" s="1"/>
  <c r="L38" i="9" s="1"/>
  <c r="M69" i="1"/>
  <c r="M63" i="1" s="1"/>
  <c r="K38" i="9" s="1"/>
  <c r="L69" i="1"/>
  <c r="L63" i="1" s="1"/>
  <c r="J38" i="9" s="1"/>
  <c r="K69" i="1"/>
  <c r="K63" i="1" s="1"/>
  <c r="I38" i="9" s="1"/>
  <c r="J69" i="1"/>
  <c r="J63" i="1" s="1"/>
  <c r="H38" i="9" s="1"/>
  <c r="I69" i="1"/>
  <c r="I63" i="1" s="1"/>
  <c r="G38" i="9" s="1"/>
  <c r="H69" i="1"/>
  <c r="H63" i="1" s="1"/>
  <c r="F38" i="9" s="1"/>
  <c r="G69" i="1"/>
  <c r="G63" i="1" s="1"/>
  <c r="E38" i="9" s="1"/>
  <c r="F69" i="1"/>
  <c r="F63" i="1" s="1"/>
  <c r="D38" i="9" s="1"/>
  <c r="AC114" i="1"/>
  <c r="AA40" i="9" s="1"/>
  <c r="AB114" i="1"/>
  <c r="Z40" i="9" s="1"/>
  <c r="AA114" i="1"/>
  <c r="Z114" i="1"/>
  <c r="X40" i="9" s="1"/>
  <c r="Y114" i="1"/>
  <c r="W40" i="9" s="1"/>
  <c r="X114" i="1"/>
  <c r="W114" i="1"/>
  <c r="U40" i="9" s="1"/>
  <c r="V114" i="1"/>
  <c r="T40" i="9" s="1"/>
  <c r="U114" i="1"/>
  <c r="S40" i="9" s="1"/>
  <c r="T114" i="1"/>
  <c r="R40" i="9" s="1"/>
  <c r="S114" i="1"/>
  <c r="Q40" i="9" s="1"/>
  <c r="R114" i="1"/>
  <c r="P40" i="9" s="1"/>
  <c r="Q114" i="1"/>
  <c r="O40" i="9" s="1"/>
  <c r="P114" i="1"/>
  <c r="N40" i="9" s="1"/>
  <c r="O114" i="1"/>
  <c r="M40" i="9" s="1"/>
  <c r="N114" i="1"/>
  <c r="L40" i="9" s="1"/>
  <c r="M114" i="1"/>
  <c r="K40" i="9" s="1"/>
  <c r="L114" i="1"/>
  <c r="J40" i="9" s="1"/>
  <c r="K114" i="1"/>
  <c r="I40" i="9" s="1"/>
  <c r="J114" i="1"/>
  <c r="H40" i="9" s="1"/>
  <c r="I114" i="1"/>
  <c r="G40" i="9" s="1"/>
  <c r="H114" i="1"/>
  <c r="F40" i="9" s="1"/>
  <c r="G114" i="1"/>
  <c r="E40" i="9" s="1"/>
  <c r="F114" i="1"/>
  <c r="D40" i="9" s="1"/>
  <c r="AC29" i="1"/>
  <c r="AC24" i="1" s="1"/>
  <c r="AA37" i="9" s="1"/>
  <c r="AB29" i="1"/>
  <c r="AB24" i="1" s="1"/>
  <c r="Z37" i="9" s="1"/>
  <c r="AA29" i="1"/>
  <c r="Z29" i="1"/>
  <c r="Z24" i="1" s="1"/>
  <c r="X37" i="9" s="1"/>
  <c r="Y29" i="1"/>
  <c r="Y24" i="1" s="1"/>
  <c r="W37" i="9" s="1"/>
  <c r="X29" i="1"/>
  <c r="W29" i="1"/>
  <c r="W24" i="1" s="1"/>
  <c r="U37" i="9" s="1"/>
  <c r="V29" i="1"/>
  <c r="V24" i="1" s="1"/>
  <c r="T37" i="9" s="1"/>
  <c r="U29" i="1"/>
  <c r="U24" i="1" s="1"/>
  <c r="S37" i="9" s="1"/>
  <c r="T29" i="1"/>
  <c r="T24" i="1" s="1"/>
  <c r="R37" i="9" s="1"/>
  <c r="S29" i="1"/>
  <c r="S24" i="1" s="1"/>
  <c r="Q37" i="9" s="1"/>
  <c r="R29" i="1"/>
  <c r="Q29" i="1"/>
  <c r="Q24" i="1" s="1"/>
  <c r="O37" i="9" s="1"/>
  <c r="P29" i="1"/>
  <c r="P24" i="1" s="1"/>
  <c r="N37" i="9" s="1"/>
  <c r="O29" i="1"/>
  <c r="O24" i="1" s="1"/>
  <c r="M37" i="9" s="1"/>
  <c r="N29" i="1"/>
  <c r="N24" i="1" s="1"/>
  <c r="L37" i="9" s="1"/>
  <c r="M29" i="1"/>
  <c r="M24" i="1" s="1"/>
  <c r="K37" i="9" s="1"/>
  <c r="L29" i="1"/>
  <c r="L24" i="1" s="1"/>
  <c r="J37" i="9" s="1"/>
  <c r="K29" i="1"/>
  <c r="K24" i="1" s="1"/>
  <c r="I37" i="9" s="1"/>
  <c r="J29" i="1"/>
  <c r="J24" i="1" s="1"/>
  <c r="H37" i="9" s="1"/>
  <c r="I29" i="1"/>
  <c r="I24" i="1" s="1"/>
  <c r="G37" i="9" s="1"/>
  <c r="H29" i="1"/>
  <c r="H24" i="1" s="1"/>
  <c r="F37" i="9" s="1"/>
  <c r="G29" i="1"/>
  <c r="G24" i="1" s="1"/>
  <c r="E37" i="9" s="1"/>
  <c r="F29" i="1"/>
  <c r="F24" i="1" s="1"/>
  <c r="D37" i="9" s="1"/>
  <c r="AI38" i="2"/>
  <c r="AH38" i="2"/>
  <c r="AG38" i="2"/>
  <c r="AF38" i="2"/>
  <c r="AE38" i="2"/>
  <c r="AD38" i="2"/>
  <c r="AI31" i="2"/>
  <c r="AH31" i="2"/>
  <c r="AG31" i="2"/>
  <c r="AD31" i="2"/>
  <c r="AE31" i="2"/>
  <c r="AF31" i="2"/>
  <c r="AE33" i="1"/>
  <c r="AD119" i="1"/>
  <c r="AC24" i="2"/>
  <c r="AB24" i="2"/>
  <c r="Z60" i="9" s="1"/>
  <c r="AA24" i="2"/>
  <c r="Z24" i="2"/>
  <c r="X60" i="9" s="1"/>
  <c r="Y24" i="2"/>
  <c r="W60" i="9" s="1"/>
  <c r="X24" i="2"/>
  <c r="AB21" i="4" l="1"/>
  <c r="Z57" i="9" s="1"/>
  <c r="AR23" i="4"/>
  <c r="AR21" i="6"/>
  <c r="AR60" i="5"/>
  <c r="AU24" i="2"/>
  <c r="AQ24" i="2"/>
  <c r="AR24" i="2"/>
  <c r="S67" i="9"/>
  <c r="AQ30" i="7"/>
  <c r="AU30" i="7"/>
  <c r="Y67" i="9"/>
  <c r="AR30" i="7"/>
  <c r="AU23" i="4"/>
  <c r="AQ23" i="4"/>
  <c r="AU21" i="6"/>
  <c r="AQ21" i="6"/>
  <c r="X63" i="1"/>
  <c r="V38" i="9" s="1"/>
  <c r="AU69" i="1"/>
  <c r="AQ69" i="1"/>
  <c r="AA63" i="1"/>
  <c r="AR69" i="1"/>
  <c r="V40" i="9"/>
  <c r="AQ114" i="1"/>
  <c r="AU114" i="1"/>
  <c r="Y40" i="9"/>
  <c r="AN40" i="9" s="1"/>
  <c r="AR114" i="1"/>
  <c r="AQ29" i="1"/>
  <c r="AU29" i="1"/>
  <c r="AU93" i="1"/>
  <c r="AQ93" i="1"/>
  <c r="AA24" i="1"/>
  <c r="AR29" i="1"/>
  <c r="Y39" i="9"/>
  <c r="AN39" i="9" s="1"/>
  <c r="AR93" i="1"/>
  <c r="AR39" i="5"/>
  <c r="AQ18" i="5"/>
  <c r="AU18" i="5"/>
  <c r="AQ39" i="5"/>
  <c r="AU39" i="5"/>
  <c r="AR18" i="5"/>
  <c r="AU60" i="5"/>
  <c r="AQ60" i="5"/>
  <c r="AR21" i="3"/>
  <c r="AR22" i="3"/>
  <c r="AU21" i="3"/>
  <c r="AQ21" i="3"/>
  <c r="AU22" i="3"/>
  <c r="AQ22" i="3"/>
  <c r="X24" i="1"/>
  <c r="V60" i="9"/>
  <c r="AA67" i="9"/>
  <c r="P67" i="9"/>
  <c r="L21" i="4"/>
  <c r="J57" i="9" s="1"/>
  <c r="N21" i="4"/>
  <c r="L57" i="9" s="1"/>
  <c r="V59" i="9"/>
  <c r="Y59" i="9"/>
  <c r="S51" i="9"/>
  <c r="V51" i="9"/>
  <c r="Y51" i="9"/>
  <c r="AN51" i="9" s="1"/>
  <c r="Y42" i="9"/>
  <c r="AN42" i="9" s="1"/>
  <c r="V41" i="9"/>
  <c r="V42" i="9"/>
  <c r="Y41" i="9"/>
  <c r="AN41" i="9" s="1"/>
  <c r="Y48" i="9"/>
  <c r="Y49" i="9"/>
  <c r="Y50" i="9"/>
  <c r="V48" i="9"/>
  <c r="V49" i="9"/>
  <c r="V50" i="9"/>
  <c r="W48" i="9"/>
  <c r="AF83" i="9"/>
  <c r="Z50" i="9"/>
  <c r="Z49" i="9"/>
  <c r="AF82" i="9"/>
  <c r="AF47" i="9"/>
  <c r="Z48" i="9"/>
  <c r="W49" i="9"/>
  <c r="W50" i="9"/>
  <c r="AF81" i="9"/>
  <c r="AA60" i="9"/>
  <c r="Y60" i="9"/>
  <c r="AH5" i="5"/>
  <c r="AF80" i="9" s="1"/>
  <c r="AI5" i="5"/>
  <c r="AG80" i="9" s="1"/>
  <c r="K21" i="4"/>
  <c r="I57" i="9" s="1"/>
  <c r="V67" i="9"/>
  <c r="O21" i="4"/>
  <c r="M57" i="9" s="1"/>
  <c r="AC21" i="4"/>
  <c r="J21" i="4"/>
  <c r="H57" i="9" s="1"/>
  <c r="S21" i="4"/>
  <c r="Q57" i="9" s="1"/>
  <c r="Q59" i="9"/>
  <c r="V21" i="4"/>
  <c r="T57" i="9" s="1"/>
  <c r="T21" i="4"/>
  <c r="R57" i="9" s="1"/>
  <c r="R59" i="9"/>
  <c r="G21" i="4"/>
  <c r="E57" i="9" s="1"/>
  <c r="H21" i="4"/>
  <c r="F57" i="9" s="1"/>
  <c r="M21" i="4"/>
  <c r="K57" i="9" s="1"/>
  <c r="K59" i="9"/>
  <c r="X21" i="4"/>
  <c r="U21" i="4"/>
  <c r="S59" i="9"/>
  <c r="I21" i="4"/>
  <c r="G57" i="9" s="1"/>
  <c r="G59" i="9"/>
  <c r="Y21" i="4"/>
  <c r="W57" i="9" s="1"/>
  <c r="P21" i="4"/>
  <c r="N57" i="9" s="1"/>
  <c r="N59" i="9"/>
  <c r="W21" i="4"/>
  <c r="U57" i="9" s="1"/>
  <c r="U59" i="9"/>
  <c r="Z21" i="4"/>
  <c r="X57" i="9" s="1"/>
  <c r="Q21" i="4"/>
  <c r="O57" i="9" s="1"/>
  <c r="O59" i="9"/>
  <c r="F21" i="4"/>
  <c r="D57" i="9" s="1"/>
  <c r="D59" i="9"/>
  <c r="AA21" i="4"/>
  <c r="R21" i="4"/>
  <c r="P59" i="9"/>
  <c r="P4" i="5"/>
  <c r="N47" i="9" s="1"/>
  <c r="Q4" i="5"/>
  <c r="O47" i="9" s="1"/>
  <c r="T4" i="5"/>
  <c r="R47" i="9" s="1"/>
  <c r="U4" i="5"/>
  <c r="F4" i="5"/>
  <c r="D47" i="9" s="1"/>
  <c r="G4" i="5"/>
  <c r="E47" i="9" s="1"/>
  <c r="H4" i="5"/>
  <c r="F47" i="9" s="1"/>
  <c r="V4" i="5"/>
  <c r="T47" i="9" s="1"/>
  <c r="J4" i="5"/>
  <c r="H47" i="9" s="1"/>
  <c r="X4" i="5"/>
  <c r="K4" i="5"/>
  <c r="I47" i="9" s="1"/>
  <c r="Y4" i="5"/>
  <c r="L4" i="5"/>
  <c r="J47" i="9" s="1"/>
  <c r="Z4" i="5"/>
  <c r="X47" i="9" s="1"/>
  <c r="I4" i="5"/>
  <c r="G47" i="9" s="1"/>
  <c r="W4" i="5"/>
  <c r="U47" i="9" s="1"/>
  <c r="M4" i="5"/>
  <c r="K47" i="9" s="1"/>
  <c r="AA4" i="5"/>
  <c r="S4" i="5"/>
  <c r="Q47" i="9" s="1"/>
  <c r="N4" i="5"/>
  <c r="L47" i="9" s="1"/>
  <c r="AB4" i="5"/>
  <c r="R4" i="5"/>
  <c r="O4" i="5"/>
  <c r="M47" i="9" s="1"/>
  <c r="AC4" i="5"/>
  <c r="E41" i="9"/>
  <c r="V39" i="9"/>
  <c r="K4" i="1"/>
  <c r="I36" i="9" s="1"/>
  <c r="J4" i="1"/>
  <c r="H36" i="9" s="1"/>
  <c r="Y4" i="1"/>
  <c r="W36" i="9" s="1"/>
  <c r="R24" i="1"/>
  <c r="N4" i="1"/>
  <c r="L36" i="9" s="1"/>
  <c r="H4" i="1"/>
  <c r="F36" i="9" s="1"/>
  <c r="V4" i="1"/>
  <c r="T36" i="9" s="1"/>
  <c r="L4" i="1"/>
  <c r="J36" i="9" s="1"/>
  <c r="I4" i="1"/>
  <c r="G36" i="9" s="1"/>
  <c r="W4" i="1"/>
  <c r="U36" i="9" s="1"/>
  <c r="M4" i="1"/>
  <c r="K36" i="9" s="1"/>
  <c r="Z4" i="1"/>
  <c r="X36" i="9" s="1"/>
  <c r="AC4" i="1"/>
  <c r="AA36" i="9" s="1"/>
  <c r="AB4" i="1"/>
  <c r="Z36" i="9" s="1"/>
  <c r="O4" i="1"/>
  <c r="M36" i="9" s="1"/>
  <c r="F4" i="1"/>
  <c r="D36" i="9" s="1"/>
  <c r="T4" i="1"/>
  <c r="R36" i="9" s="1"/>
  <c r="G4" i="1"/>
  <c r="E36" i="9" s="1"/>
  <c r="U4" i="1"/>
  <c r="S36" i="9" s="1"/>
  <c r="S4" i="1"/>
  <c r="Q36" i="9" s="1"/>
  <c r="Q4" i="1"/>
  <c r="O36" i="9" s="1"/>
  <c r="P4" i="1"/>
  <c r="N36" i="9" s="1"/>
  <c r="AN59" i="9" l="1"/>
  <c r="AN60" i="9"/>
  <c r="AN49" i="9"/>
  <c r="AQ59" i="9"/>
  <c r="AN50" i="9"/>
  <c r="AR4" i="5"/>
  <c r="AM60" i="9"/>
  <c r="AQ60" i="9"/>
  <c r="AN67" i="9"/>
  <c r="AM67" i="9"/>
  <c r="AQ67" i="9"/>
  <c r="AM59" i="9"/>
  <c r="AQ21" i="4"/>
  <c r="AQ51" i="9"/>
  <c r="AM51" i="9"/>
  <c r="AQ40" i="9"/>
  <c r="AM40" i="9"/>
  <c r="AU24" i="1"/>
  <c r="AQ24" i="1"/>
  <c r="Y38" i="9"/>
  <c r="AN38" i="9" s="1"/>
  <c r="AR63" i="1"/>
  <c r="AA4" i="1"/>
  <c r="AR4" i="1" s="1"/>
  <c r="X4" i="1"/>
  <c r="V36" i="9" s="1"/>
  <c r="Y37" i="9"/>
  <c r="AN37" i="9" s="1"/>
  <c r="AR24" i="1"/>
  <c r="AU63" i="1"/>
  <c r="AQ63" i="1"/>
  <c r="AQ39" i="9"/>
  <c r="AM39" i="9"/>
  <c r="AM38" i="9"/>
  <c r="AM50" i="9"/>
  <c r="AQ50" i="9"/>
  <c r="AM49" i="9"/>
  <c r="AQ49" i="9"/>
  <c r="AQ48" i="9"/>
  <c r="AM48" i="9"/>
  <c r="AN48" i="9"/>
  <c r="AU4" i="5"/>
  <c r="AQ4" i="5"/>
  <c r="AA57" i="9"/>
  <c r="AR21" i="4"/>
  <c r="AU21" i="4"/>
  <c r="AQ41" i="9"/>
  <c r="AM41" i="9"/>
  <c r="AQ42" i="9"/>
  <c r="AM42" i="9"/>
  <c r="V37" i="9"/>
  <c r="Z47" i="9"/>
  <c r="Z35" i="9" s="1"/>
  <c r="W47" i="9"/>
  <c r="W35" i="9" s="1"/>
  <c r="H35" i="9"/>
  <c r="F35" i="9"/>
  <c r="T35" i="9"/>
  <c r="N35" i="9"/>
  <c r="G35" i="9"/>
  <c r="L35" i="9"/>
  <c r="M35" i="9"/>
  <c r="Q35" i="9"/>
  <c r="K35" i="9"/>
  <c r="J35" i="9"/>
  <c r="O35" i="9"/>
  <c r="U35" i="9"/>
  <c r="E35" i="9"/>
  <c r="D35" i="9"/>
  <c r="I35" i="9"/>
  <c r="R35" i="9"/>
  <c r="X35" i="9"/>
  <c r="P57" i="9"/>
  <c r="S57" i="9"/>
  <c r="Y57" i="9"/>
  <c r="V57" i="9"/>
  <c r="AM57" i="9" s="1"/>
  <c r="Y47" i="9"/>
  <c r="V47" i="9"/>
  <c r="S47" i="9"/>
  <c r="P47" i="9"/>
  <c r="AA47" i="9"/>
  <c r="P37" i="9"/>
  <c r="R4" i="1"/>
  <c r="AI8" i="2"/>
  <c r="AH8" i="2"/>
  <c r="AI6" i="2"/>
  <c r="AH6" i="2"/>
  <c r="AI5" i="2"/>
  <c r="AH5" i="2"/>
  <c r="AI4" i="2"/>
  <c r="AH4" i="2"/>
  <c r="AF17" i="2"/>
  <c r="AE17" i="2"/>
  <c r="AH7" i="2"/>
  <c r="AD21" i="2"/>
  <c r="AF10" i="2"/>
  <c r="AE10" i="2"/>
  <c r="AD10" i="2"/>
  <c r="Y36" i="9" l="1"/>
  <c r="AN36" i="9" s="1"/>
  <c r="AQ38" i="9"/>
  <c r="AU4" i="1"/>
  <c r="AQ4" i="1"/>
  <c r="AM36" i="9"/>
  <c r="AQ37" i="9"/>
  <c r="AM37" i="9"/>
  <c r="AQ47" i="9"/>
  <c r="AM47" i="9"/>
  <c r="AN47" i="9"/>
  <c r="AN57" i="9"/>
  <c r="AQ57" i="9"/>
  <c r="V35" i="9"/>
  <c r="AA35" i="9"/>
  <c r="S35" i="9"/>
  <c r="AI27" i="2"/>
  <c r="AG30" i="9"/>
  <c r="AH25" i="2"/>
  <c r="AF28" i="9"/>
  <c r="AI29" i="2"/>
  <c r="AG32" i="9"/>
  <c r="AH27" i="2"/>
  <c r="AF30" i="9"/>
  <c r="AH26" i="2"/>
  <c r="AF29" i="9"/>
  <c r="AH29" i="2"/>
  <c r="AF32" i="9"/>
  <c r="AI25" i="2"/>
  <c r="AG28" i="9"/>
  <c r="AH28" i="2"/>
  <c r="AF31" i="9"/>
  <c r="AI26" i="2"/>
  <c r="AG29" i="9"/>
  <c r="P36" i="9"/>
  <c r="P35" i="9" s="1"/>
  <c r="AI7" i="2"/>
  <c r="AG27" i="9" s="1"/>
  <c r="AD17" i="2"/>
  <c r="AF27" i="9"/>
  <c r="AI122" i="1"/>
  <c r="AH122" i="1"/>
  <c r="AG122" i="1"/>
  <c r="AF122" i="1"/>
  <c r="AE122" i="1"/>
  <c r="AD122" i="1"/>
  <c r="AI118" i="1"/>
  <c r="AH118" i="1"/>
  <c r="AG118" i="1"/>
  <c r="AF118" i="1"/>
  <c r="AE118" i="1"/>
  <c r="AD118" i="1"/>
  <c r="AI105" i="1"/>
  <c r="AI117" i="1" s="1"/>
  <c r="AH105" i="1"/>
  <c r="AH117" i="1" s="1"/>
  <c r="AI104" i="1"/>
  <c r="AI116" i="1" s="1"/>
  <c r="AH104" i="1"/>
  <c r="AH116" i="1" s="1"/>
  <c r="AI103" i="1"/>
  <c r="AH103" i="1"/>
  <c r="AI110" i="1"/>
  <c r="AH110" i="1"/>
  <c r="AG110" i="1"/>
  <c r="AF110" i="1"/>
  <c r="AE110" i="1"/>
  <c r="AD110" i="1"/>
  <c r="AI106" i="1"/>
  <c r="AH106" i="1"/>
  <c r="AG106" i="1"/>
  <c r="AF106" i="1"/>
  <c r="AE106" i="1"/>
  <c r="AD106" i="1"/>
  <c r="AI99" i="1"/>
  <c r="AH99" i="1"/>
  <c r="AG99" i="1"/>
  <c r="AF99" i="1"/>
  <c r="AE99" i="1"/>
  <c r="AD99" i="1"/>
  <c r="AH96" i="1"/>
  <c r="AG96" i="1"/>
  <c r="AF96" i="1"/>
  <c r="AE96" i="1"/>
  <c r="AD96" i="1"/>
  <c r="AI90" i="1"/>
  <c r="AH90" i="1"/>
  <c r="AG90" i="1"/>
  <c r="AF90" i="1"/>
  <c r="AE90" i="1"/>
  <c r="AD90" i="1"/>
  <c r="AI86" i="1"/>
  <c r="AI95" i="1" s="1"/>
  <c r="AH86" i="1"/>
  <c r="AH95" i="1" s="1"/>
  <c r="AI85" i="1"/>
  <c r="AH85" i="1"/>
  <c r="AI96" i="1"/>
  <c r="AI87" i="1"/>
  <c r="AH87" i="1"/>
  <c r="AG87" i="1"/>
  <c r="AF87" i="1"/>
  <c r="AE87" i="1"/>
  <c r="AD87" i="1"/>
  <c r="AI83" i="1"/>
  <c r="AI77" i="1" s="1"/>
  <c r="AH83" i="1"/>
  <c r="AH77" i="1" s="1"/>
  <c r="AG83" i="1"/>
  <c r="AG77" i="1" s="1"/>
  <c r="AF83" i="1"/>
  <c r="AF77" i="1" s="1"/>
  <c r="AI76" i="1"/>
  <c r="AI70" i="1" s="1"/>
  <c r="AH76" i="1"/>
  <c r="AH70" i="1" s="1"/>
  <c r="AG76" i="1"/>
  <c r="AG70" i="1" s="1"/>
  <c r="AF76" i="1"/>
  <c r="AF70" i="1" s="1"/>
  <c r="AD76" i="1"/>
  <c r="AD70" i="1" s="1"/>
  <c r="AD58" i="1"/>
  <c r="AD79" i="1" s="1"/>
  <c r="AE76" i="1"/>
  <c r="AE70" i="1" s="1"/>
  <c r="AI47" i="1"/>
  <c r="AI68" i="1" s="1"/>
  <c r="AH47" i="1"/>
  <c r="AH68" i="1" s="1"/>
  <c r="AI46" i="1"/>
  <c r="AI67" i="1" s="1"/>
  <c r="AH46" i="1"/>
  <c r="AH67" i="1" s="1"/>
  <c r="AI45" i="1"/>
  <c r="AI66" i="1" s="1"/>
  <c r="AH45" i="1"/>
  <c r="AH66" i="1" s="1"/>
  <c r="AI44" i="1"/>
  <c r="AI65" i="1" s="1"/>
  <c r="AH43" i="1"/>
  <c r="AH64" i="1" s="1"/>
  <c r="AG62" i="1"/>
  <c r="AG56" i="1" s="1"/>
  <c r="AI43" i="1"/>
  <c r="AI64" i="1" s="1"/>
  <c r="AF62" i="1"/>
  <c r="AF56" i="1" s="1"/>
  <c r="AE57" i="1"/>
  <c r="AQ36" i="9" l="1"/>
  <c r="Y35" i="9"/>
  <c r="AN35" i="9" s="1"/>
  <c r="AM35" i="9"/>
  <c r="AI84" i="1"/>
  <c r="AH115" i="1"/>
  <c r="AH114" i="1" s="1"/>
  <c r="AH102" i="1"/>
  <c r="AI115" i="1"/>
  <c r="AI114" i="1" s="1"/>
  <c r="AI102" i="1"/>
  <c r="AH94" i="1"/>
  <c r="AH93" i="1" s="1"/>
  <c r="AH84" i="1"/>
  <c r="AI46" i="2"/>
  <c r="AG61" i="9"/>
  <c r="AH48" i="2"/>
  <c r="AF63" i="9"/>
  <c r="AI47" i="2"/>
  <c r="AG95" i="9" s="1"/>
  <c r="AG62" i="9"/>
  <c r="AF60" i="9"/>
  <c r="AI50" i="2"/>
  <c r="AG98" i="9" s="1"/>
  <c r="AG65" i="9"/>
  <c r="AI28" i="2"/>
  <c r="AG31" i="9"/>
  <c r="AH46" i="2"/>
  <c r="AF61" i="9"/>
  <c r="AH49" i="2"/>
  <c r="AF64" i="9"/>
  <c r="AH50" i="2"/>
  <c r="AF98" i="9" s="1"/>
  <c r="AF65" i="9"/>
  <c r="AI48" i="2"/>
  <c r="AG96" i="9" s="1"/>
  <c r="AG63" i="9"/>
  <c r="AH47" i="2"/>
  <c r="AF95" i="9" s="1"/>
  <c r="AF62" i="9"/>
  <c r="AI94" i="1"/>
  <c r="AH62" i="1"/>
  <c r="AH56" i="1" s="1"/>
  <c r="AI62" i="1"/>
  <c r="AI56" i="1" s="1"/>
  <c r="AD83" i="1"/>
  <c r="AD77" i="1" s="1"/>
  <c r="AE62" i="1"/>
  <c r="AE56" i="1" s="1"/>
  <c r="AH44" i="1"/>
  <c r="AH65" i="1" s="1"/>
  <c r="AE79" i="1"/>
  <c r="AD62" i="1"/>
  <c r="AD56" i="1" s="1"/>
  <c r="AQ35" i="9" l="1"/>
  <c r="AF97" i="9"/>
  <c r="AI93" i="1"/>
  <c r="AF96" i="9"/>
  <c r="AF94" i="9"/>
  <c r="AG94" i="9"/>
  <c r="AG60" i="9"/>
  <c r="AI49" i="2"/>
  <c r="AG64" i="9"/>
  <c r="AF7" i="9"/>
  <c r="AG7" i="9"/>
  <c r="AF6" i="9"/>
  <c r="AG6" i="9"/>
  <c r="AE83" i="1"/>
  <c r="AE77" i="1" s="1"/>
  <c r="AG97" i="9" l="1"/>
  <c r="AF93" i="9"/>
  <c r="AG39" i="9"/>
  <c r="AI130" i="1"/>
  <c r="AG40" i="9"/>
  <c r="AI132" i="1"/>
  <c r="AG73" i="9" s="1"/>
  <c r="AF40" i="9"/>
  <c r="AH132" i="1"/>
  <c r="AF73" i="9" s="1"/>
  <c r="AF39" i="9"/>
  <c r="AH130" i="1"/>
  <c r="AI55" i="1"/>
  <c r="AI48" i="1" s="1"/>
  <c r="AH55" i="1"/>
  <c r="AG55" i="1"/>
  <c r="AF55" i="1"/>
  <c r="AE55" i="1"/>
  <c r="AD55" i="1"/>
  <c r="AE35" i="1"/>
  <c r="AE30" i="1" s="1"/>
  <c r="AF35" i="1"/>
  <c r="AF30" i="1" s="1"/>
  <c r="AH41" i="1"/>
  <c r="AH36" i="1" s="1"/>
  <c r="AG41" i="1"/>
  <c r="AG36" i="1" s="1"/>
  <c r="AF36" i="1"/>
  <c r="AE41" i="1"/>
  <c r="AE36" i="1" s="1"/>
  <c r="AD41" i="1"/>
  <c r="AD36" i="1" s="1"/>
  <c r="AI35" i="1"/>
  <c r="AI30" i="1" s="1"/>
  <c r="AH35" i="1"/>
  <c r="AH30" i="1" s="1"/>
  <c r="AG35" i="1"/>
  <c r="AG30" i="1" s="1"/>
  <c r="AD35" i="1"/>
  <c r="AD30" i="1" s="1"/>
  <c r="AI17" i="1"/>
  <c r="AI12" i="1" s="1"/>
  <c r="AH17" i="1"/>
  <c r="AH12" i="1" s="1"/>
  <c r="AG17" i="1"/>
  <c r="AG12" i="1" s="1"/>
  <c r="AF17" i="1"/>
  <c r="AF12" i="1" s="1"/>
  <c r="AE17" i="1"/>
  <c r="AE12" i="1" s="1"/>
  <c r="AC17" i="1"/>
  <c r="AC12" i="1" s="1"/>
  <c r="AB17" i="1"/>
  <c r="AB12" i="1" s="1"/>
  <c r="AA17" i="1"/>
  <c r="AA12" i="1" s="1"/>
  <c r="Z17" i="1"/>
  <c r="Z12" i="1" s="1"/>
  <c r="Y17" i="1"/>
  <c r="Y12" i="1" s="1"/>
  <c r="X17" i="1"/>
  <c r="X12" i="1" s="1"/>
  <c r="W17" i="1"/>
  <c r="W12" i="1" s="1"/>
  <c r="V17" i="1"/>
  <c r="V12" i="1" s="1"/>
  <c r="U17" i="1"/>
  <c r="U12" i="1" s="1"/>
  <c r="T17" i="1"/>
  <c r="T12" i="1" s="1"/>
  <c r="S17" i="1"/>
  <c r="S12" i="1" s="1"/>
  <c r="R17" i="1"/>
  <c r="R12" i="1" s="1"/>
  <c r="Q17" i="1"/>
  <c r="Q12" i="1" s="1"/>
  <c r="P17" i="1"/>
  <c r="P12" i="1" s="1"/>
  <c r="O17" i="1"/>
  <c r="O12" i="1" s="1"/>
  <c r="N17" i="1"/>
  <c r="N12" i="1" s="1"/>
  <c r="M17" i="1"/>
  <c r="M12" i="1" s="1"/>
  <c r="L17" i="1"/>
  <c r="L12" i="1" s="1"/>
  <c r="K17" i="1"/>
  <c r="K12" i="1" s="1"/>
  <c r="J17" i="1"/>
  <c r="J12" i="1" s="1"/>
  <c r="I17" i="1"/>
  <c r="I12" i="1" s="1"/>
  <c r="H17" i="1"/>
  <c r="H12" i="1" s="1"/>
  <c r="G17" i="1"/>
  <c r="G12" i="1" s="1"/>
  <c r="F17" i="1"/>
  <c r="F12" i="1" s="1"/>
  <c r="AI23" i="1"/>
  <c r="AH23" i="1"/>
  <c r="AH18" i="1" s="1"/>
  <c r="AG23" i="1"/>
  <c r="AG18" i="1" s="1"/>
  <c r="AF23" i="1"/>
  <c r="AF18" i="1" s="1"/>
  <c r="AE23" i="1"/>
  <c r="AE18" i="1" s="1"/>
  <c r="AD23" i="1"/>
  <c r="AD18" i="1" s="1"/>
  <c r="AI10" i="1"/>
  <c r="AH10" i="1"/>
  <c r="AI9" i="1"/>
  <c r="AI27" i="1" s="1"/>
  <c r="AH9" i="1"/>
  <c r="AH27" i="1" s="1"/>
  <c r="AL9" i="1"/>
  <c r="AI8" i="1"/>
  <c r="AH8" i="1"/>
  <c r="AI7" i="1"/>
  <c r="AH7" i="1"/>
  <c r="AG93" i="9" l="1"/>
  <c r="AG72" i="9"/>
  <c r="AT9" i="1"/>
  <c r="AW9" i="1"/>
  <c r="AV9" i="1"/>
  <c r="AI69" i="1"/>
  <c r="AI63" i="1" s="1"/>
  <c r="AI42" i="1"/>
  <c r="AH28" i="1"/>
  <c r="AI28" i="1"/>
  <c r="AF72" i="9"/>
  <c r="AI26" i="1"/>
  <c r="AH25" i="1"/>
  <c r="AI25" i="1"/>
  <c r="AH26" i="1"/>
  <c r="AE49" i="1"/>
  <c r="AI49" i="1"/>
  <c r="AH49" i="1"/>
  <c r="AH48" i="1"/>
  <c r="AG49" i="1"/>
  <c r="AD49" i="1"/>
  <c r="AF49" i="1"/>
  <c r="AI11" i="1"/>
  <c r="AI29" i="1" s="1"/>
  <c r="AH11" i="1"/>
  <c r="AH29" i="1" s="1"/>
  <c r="AI18" i="1"/>
  <c r="AN27" i="1" l="1"/>
  <c r="AP27" i="1"/>
  <c r="AO27" i="1"/>
  <c r="AT27" i="1"/>
  <c r="AL27" i="1"/>
  <c r="AV27" i="1"/>
  <c r="AS27" i="1"/>
  <c r="AW27" i="1"/>
  <c r="AH69" i="1"/>
  <c r="AH63" i="1" s="1"/>
  <c r="AH42" i="1"/>
  <c r="AF5" i="9" s="1"/>
  <c r="AI6" i="1"/>
  <c r="AI3" i="1" s="1"/>
  <c r="AG3" i="9" s="1"/>
  <c r="AI24" i="1"/>
  <c r="AH6" i="1"/>
  <c r="AF4" i="9" s="1"/>
  <c r="AH24" i="1"/>
  <c r="AH126" i="1" s="1"/>
  <c r="AF70" i="9" s="1"/>
  <c r="AG5" i="9"/>
  <c r="AL2" i="8"/>
  <c r="AM2" i="8"/>
  <c r="AN2" i="8"/>
  <c r="AO2" i="8"/>
  <c r="AP2" i="8"/>
  <c r="AQ2" i="8"/>
  <c r="AR2" i="8"/>
  <c r="AS2" i="8"/>
  <c r="AT2" i="8"/>
  <c r="AU2" i="8"/>
  <c r="AV2" i="8"/>
  <c r="AW2" i="8"/>
  <c r="AX2" i="8"/>
  <c r="AY2" i="8"/>
  <c r="AZ2" i="8"/>
  <c r="BA2" i="8"/>
  <c r="BB2" i="8"/>
  <c r="BC2" i="8"/>
  <c r="BD2" i="8"/>
  <c r="BE2" i="8"/>
  <c r="BF2" i="8"/>
  <c r="BH2" i="8"/>
  <c r="BK2" i="8"/>
  <c r="BL2" i="8"/>
  <c r="BM2" i="8"/>
  <c r="BN2" i="8"/>
  <c r="BO2" i="8"/>
  <c r="BP2" i="8"/>
  <c r="BQ2" i="8"/>
  <c r="BR2" i="8"/>
  <c r="BS2" i="8"/>
  <c r="BT2" i="8"/>
  <c r="BU2" i="8"/>
  <c r="BV2" i="8"/>
  <c r="BW2" i="8"/>
  <c r="BX2" i="8"/>
  <c r="BY2" i="8"/>
  <c r="BZ2" i="8"/>
  <c r="CA2" i="8"/>
  <c r="CB2" i="8"/>
  <c r="CC2" i="8"/>
  <c r="CD2" i="8"/>
  <c r="CE2" i="8"/>
  <c r="CF2" i="8"/>
  <c r="CG2" i="8"/>
  <c r="CH2" i="8"/>
  <c r="CI2" i="8"/>
  <c r="CJ2" i="8"/>
  <c r="CK2" i="8"/>
  <c r="CM2" i="8"/>
  <c r="CN2" i="8"/>
  <c r="CO2" i="8"/>
  <c r="CP2" i="8"/>
  <c r="CQ2" i="8"/>
  <c r="CR2" i="8"/>
  <c r="CS2" i="8"/>
  <c r="CT4" i="8"/>
  <c r="H4" i="8" s="1"/>
  <c r="CU4" i="8"/>
  <c r="I4" i="8" s="1"/>
  <c r="CV4" i="8"/>
  <c r="J4" i="8" s="1"/>
  <c r="CW4" i="8"/>
  <c r="K4" i="8" s="1"/>
  <c r="CX4" i="8"/>
  <c r="L4" i="8" s="1"/>
  <c r="CY4" i="8"/>
  <c r="M4" i="8" s="1"/>
  <c r="CZ4" i="8"/>
  <c r="N4" i="8" s="1"/>
  <c r="DA4" i="8"/>
  <c r="O4" i="8" s="1"/>
  <c r="DB4" i="8"/>
  <c r="P4" i="8" s="1"/>
  <c r="DC4" i="8"/>
  <c r="Q4" i="8" s="1"/>
  <c r="DD4" i="8"/>
  <c r="R4" i="8" s="1"/>
  <c r="DE4" i="8"/>
  <c r="S4" i="8" s="1"/>
  <c r="DF4" i="8"/>
  <c r="T4" i="8" s="1"/>
  <c r="DG4" i="8"/>
  <c r="U4" i="8" s="1"/>
  <c r="DH4" i="8"/>
  <c r="V4" i="8" s="1"/>
  <c r="DI4" i="8"/>
  <c r="W4" i="8" s="1"/>
  <c r="DJ4" i="8"/>
  <c r="X4" i="8" s="1"/>
  <c r="DK4" i="8"/>
  <c r="Y4" i="8" s="1"/>
  <c r="DL4" i="8"/>
  <c r="Z4" i="8" s="1"/>
  <c r="DM4" i="8"/>
  <c r="AA4" i="8" s="1"/>
  <c r="DN4" i="8"/>
  <c r="AB4" i="8" s="1"/>
  <c r="DO4" i="8"/>
  <c r="AC4" i="8" s="1"/>
  <c r="DP4" i="8"/>
  <c r="AD4" i="8" s="1"/>
  <c r="DQ4" i="8"/>
  <c r="AE4" i="8" s="1"/>
  <c r="DR4" i="8"/>
  <c r="AF4" i="8" s="1"/>
  <c r="DS4" i="8"/>
  <c r="AG4" i="8" s="1"/>
  <c r="DT4" i="8"/>
  <c r="AH4" i="8" s="1"/>
  <c r="AI4" i="8"/>
  <c r="DV4" i="8"/>
  <c r="AJ4" i="8" s="1"/>
  <c r="DW4" i="8"/>
  <c r="AK4" i="8" s="1"/>
  <c r="CT5" i="8"/>
  <c r="H5" i="8" s="1"/>
  <c r="CU5" i="8"/>
  <c r="I5" i="8" s="1"/>
  <c r="CV5" i="8"/>
  <c r="J5" i="8" s="1"/>
  <c r="CW5" i="8"/>
  <c r="K5" i="8" s="1"/>
  <c r="CX5" i="8"/>
  <c r="L5" i="8" s="1"/>
  <c r="CY5" i="8"/>
  <c r="M5" i="8" s="1"/>
  <c r="CZ5" i="8"/>
  <c r="N5" i="8" s="1"/>
  <c r="DA5" i="8"/>
  <c r="O5" i="8" s="1"/>
  <c r="DB5" i="8"/>
  <c r="P5" i="8" s="1"/>
  <c r="DC5" i="8"/>
  <c r="Q5" i="8" s="1"/>
  <c r="DD5" i="8"/>
  <c r="R5" i="8" s="1"/>
  <c r="DE5" i="8"/>
  <c r="S5" i="8" s="1"/>
  <c r="DF5" i="8"/>
  <c r="T5" i="8" s="1"/>
  <c r="DG5" i="8"/>
  <c r="U5" i="8" s="1"/>
  <c r="DH5" i="8"/>
  <c r="V5" i="8" s="1"/>
  <c r="DI5" i="8"/>
  <c r="W5" i="8" s="1"/>
  <c r="DJ5" i="8"/>
  <c r="X5" i="8" s="1"/>
  <c r="DK5" i="8"/>
  <c r="Y5" i="8" s="1"/>
  <c r="DL5" i="8"/>
  <c r="Z5" i="8" s="1"/>
  <c r="DM5" i="8"/>
  <c r="AA5" i="8" s="1"/>
  <c r="DN5" i="8"/>
  <c r="AB5" i="8" s="1"/>
  <c r="DO5" i="8"/>
  <c r="AC5" i="8" s="1"/>
  <c r="DP5" i="8"/>
  <c r="AD5" i="8" s="1"/>
  <c r="DQ5" i="8"/>
  <c r="AE5" i="8" s="1"/>
  <c r="AG5" i="8"/>
  <c r="DT5" i="8"/>
  <c r="AH5" i="8" s="1"/>
  <c r="AI5" i="8"/>
  <c r="DV5" i="8"/>
  <c r="AJ5" i="8" s="1"/>
  <c r="DW5" i="8"/>
  <c r="AK5" i="8" s="1"/>
  <c r="CT6" i="8"/>
  <c r="H6" i="8" s="1"/>
  <c r="CU6" i="8"/>
  <c r="I6" i="8" s="1"/>
  <c r="CV6" i="8"/>
  <c r="J6" i="8" s="1"/>
  <c r="CW6" i="8"/>
  <c r="K6" i="8" s="1"/>
  <c r="CX6" i="8"/>
  <c r="L6" i="8" s="1"/>
  <c r="CY6" i="8"/>
  <c r="M6" i="8" s="1"/>
  <c r="CZ6" i="8"/>
  <c r="N6" i="8" s="1"/>
  <c r="DA6" i="8"/>
  <c r="O6" i="8" s="1"/>
  <c r="DB6" i="8"/>
  <c r="P6" i="8" s="1"/>
  <c r="DC6" i="8"/>
  <c r="Q6" i="8" s="1"/>
  <c r="DD6" i="8"/>
  <c r="R6" i="8" s="1"/>
  <c r="DE6" i="8"/>
  <c r="S6" i="8" s="1"/>
  <c r="DF6" i="8"/>
  <c r="T6" i="8" s="1"/>
  <c r="DG6" i="8"/>
  <c r="U6" i="8" s="1"/>
  <c r="DH6" i="8"/>
  <c r="V6" i="8" s="1"/>
  <c r="DI6" i="8"/>
  <c r="W6" i="8" s="1"/>
  <c r="DJ6" i="8"/>
  <c r="X6" i="8" s="1"/>
  <c r="DK6" i="8"/>
  <c r="Y6" i="8" s="1"/>
  <c r="DL6" i="8"/>
  <c r="Z6" i="8" s="1"/>
  <c r="DM6" i="8"/>
  <c r="AA6" i="8" s="1"/>
  <c r="DN6" i="8"/>
  <c r="AB6" i="8" s="1"/>
  <c r="DO6" i="8"/>
  <c r="AC6" i="8" s="1"/>
  <c r="DP6" i="8"/>
  <c r="AD6" i="8" s="1"/>
  <c r="DQ6" i="8"/>
  <c r="AE6" i="8" s="1"/>
  <c r="AG6" i="8"/>
  <c r="DT6" i="8"/>
  <c r="AH6" i="8" s="1"/>
  <c r="DU6" i="8"/>
  <c r="AI6" i="8" s="1"/>
  <c r="DV6" i="8"/>
  <c r="AJ6" i="8" s="1"/>
  <c r="DW6" i="8"/>
  <c r="AK6" i="8" s="1"/>
  <c r="CT7" i="8"/>
  <c r="H7" i="8" s="1"/>
  <c r="CU7" i="8"/>
  <c r="I7" i="8" s="1"/>
  <c r="CV7" i="8"/>
  <c r="J7" i="8" s="1"/>
  <c r="CW7" i="8"/>
  <c r="K7" i="8" s="1"/>
  <c r="CX7" i="8"/>
  <c r="L7" i="8" s="1"/>
  <c r="CY7" i="8"/>
  <c r="M7" i="8" s="1"/>
  <c r="CZ7" i="8"/>
  <c r="N7" i="8" s="1"/>
  <c r="DA7" i="8"/>
  <c r="O7" i="8" s="1"/>
  <c r="DB7" i="8"/>
  <c r="P7" i="8" s="1"/>
  <c r="DC7" i="8"/>
  <c r="Q7" i="8" s="1"/>
  <c r="DD7" i="8"/>
  <c r="R7" i="8" s="1"/>
  <c r="DE7" i="8"/>
  <c r="S7" i="8" s="1"/>
  <c r="DF7" i="8"/>
  <c r="T7" i="8" s="1"/>
  <c r="DG7" i="8"/>
  <c r="U7" i="8" s="1"/>
  <c r="DH7" i="8"/>
  <c r="V7" i="8" s="1"/>
  <c r="DI7" i="8"/>
  <c r="W7" i="8" s="1"/>
  <c r="DJ7" i="8"/>
  <c r="X7" i="8" s="1"/>
  <c r="DK7" i="8"/>
  <c r="Y7" i="8" s="1"/>
  <c r="DL7" i="8"/>
  <c r="Z7" i="8" s="1"/>
  <c r="DM7" i="8"/>
  <c r="AA7" i="8" s="1"/>
  <c r="DN7" i="8"/>
  <c r="AB7" i="8" s="1"/>
  <c r="DO7" i="8"/>
  <c r="AC7" i="8" s="1"/>
  <c r="DP7" i="8"/>
  <c r="AD7" i="8" s="1"/>
  <c r="DQ7" i="8"/>
  <c r="AE7" i="8" s="1"/>
  <c r="AG7" i="8"/>
  <c r="DT7" i="8"/>
  <c r="AH7" i="8" s="1"/>
  <c r="DU7" i="8"/>
  <c r="AI7" i="8" s="1"/>
  <c r="DV7" i="8"/>
  <c r="AJ7" i="8" s="1"/>
  <c r="DW7" i="8"/>
  <c r="AK7" i="8" s="1"/>
  <c r="CT8" i="8"/>
  <c r="H8" i="8" s="1"/>
  <c r="CU8" i="8"/>
  <c r="I8" i="8" s="1"/>
  <c r="CV8" i="8"/>
  <c r="J8" i="8" s="1"/>
  <c r="CW8" i="8"/>
  <c r="K8" i="8" s="1"/>
  <c r="CX8" i="8"/>
  <c r="L8" i="8" s="1"/>
  <c r="CY8" i="8"/>
  <c r="M8" i="8" s="1"/>
  <c r="CZ8" i="8"/>
  <c r="N8" i="8" s="1"/>
  <c r="DA8" i="8"/>
  <c r="O8" i="8" s="1"/>
  <c r="DB8" i="8"/>
  <c r="P8" i="8" s="1"/>
  <c r="DC8" i="8"/>
  <c r="Q8" i="8" s="1"/>
  <c r="DD8" i="8"/>
  <c r="R8" i="8" s="1"/>
  <c r="DE8" i="8"/>
  <c r="S8" i="8" s="1"/>
  <c r="DF8" i="8"/>
  <c r="T8" i="8" s="1"/>
  <c r="DG8" i="8"/>
  <c r="U8" i="8" s="1"/>
  <c r="DH8" i="8"/>
  <c r="V8" i="8" s="1"/>
  <c r="DI8" i="8"/>
  <c r="W8" i="8" s="1"/>
  <c r="DJ8" i="8"/>
  <c r="X8" i="8" s="1"/>
  <c r="DK8" i="8"/>
  <c r="Y8" i="8" s="1"/>
  <c r="DL8" i="8"/>
  <c r="Z8" i="8" s="1"/>
  <c r="DM8" i="8"/>
  <c r="AA8" i="8" s="1"/>
  <c r="DN8" i="8"/>
  <c r="AB8" i="8" s="1"/>
  <c r="DO8" i="8"/>
  <c r="AC8" i="8" s="1"/>
  <c r="DP8" i="8"/>
  <c r="AD8" i="8" s="1"/>
  <c r="DQ8" i="8"/>
  <c r="AE8" i="8" s="1"/>
  <c r="AG8" i="8"/>
  <c r="DT8" i="8"/>
  <c r="AH8" i="8" s="1"/>
  <c r="DU8" i="8"/>
  <c r="AI8" i="8" s="1"/>
  <c r="DV8" i="8"/>
  <c r="AJ8" i="8" s="1"/>
  <c r="DW8" i="8"/>
  <c r="AK8" i="8" s="1"/>
  <c r="CT9" i="8"/>
  <c r="H9" i="8" s="1"/>
  <c r="CU9" i="8"/>
  <c r="I9" i="8" s="1"/>
  <c r="CV9" i="8"/>
  <c r="J9" i="8" s="1"/>
  <c r="CW9" i="8"/>
  <c r="K9" i="8" s="1"/>
  <c r="CX9" i="8"/>
  <c r="L9" i="8" s="1"/>
  <c r="CY9" i="8"/>
  <c r="M9" i="8" s="1"/>
  <c r="CZ9" i="8"/>
  <c r="N9" i="8" s="1"/>
  <c r="DA9" i="8"/>
  <c r="O9" i="8" s="1"/>
  <c r="DB9" i="8"/>
  <c r="P9" i="8" s="1"/>
  <c r="DC9" i="8"/>
  <c r="Q9" i="8" s="1"/>
  <c r="DD9" i="8"/>
  <c r="R9" i="8" s="1"/>
  <c r="DE9" i="8"/>
  <c r="S9" i="8" s="1"/>
  <c r="DF9" i="8"/>
  <c r="T9" i="8" s="1"/>
  <c r="DG9" i="8"/>
  <c r="U9" i="8" s="1"/>
  <c r="DH9" i="8"/>
  <c r="V9" i="8" s="1"/>
  <c r="DI9" i="8"/>
  <c r="W9" i="8" s="1"/>
  <c r="DJ9" i="8"/>
  <c r="X9" i="8" s="1"/>
  <c r="DK9" i="8"/>
  <c r="Y9" i="8" s="1"/>
  <c r="DL9" i="8"/>
  <c r="Z9" i="8" s="1"/>
  <c r="DM9" i="8"/>
  <c r="AA9" i="8" s="1"/>
  <c r="DN9" i="8"/>
  <c r="AB9" i="8" s="1"/>
  <c r="DO9" i="8"/>
  <c r="AC9" i="8" s="1"/>
  <c r="DP9" i="8"/>
  <c r="AD9" i="8" s="1"/>
  <c r="DQ9" i="8"/>
  <c r="AE9" i="8" s="1"/>
  <c r="AG9" i="8"/>
  <c r="DT9" i="8"/>
  <c r="AH9" i="8" s="1"/>
  <c r="DU9" i="8"/>
  <c r="AI9" i="8" s="1"/>
  <c r="DV9" i="8"/>
  <c r="AJ9" i="8" s="1"/>
  <c r="DW9" i="8"/>
  <c r="AK9" i="8" s="1"/>
  <c r="CT10" i="8"/>
  <c r="H10" i="8" s="1"/>
  <c r="CU10" i="8"/>
  <c r="I10" i="8" s="1"/>
  <c r="CV10" i="8"/>
  <c r="J10" i="8" s="1"/>
  <c r="CW10" i="8"/>
  <c r="K10" i="8" s="1"/>
  <c r="CX10" i="8"/>
  <c r="L10" i="8" s="1"/>
  <c r="CY10" i="8"/>
  <c r="M10" i="8" s="1"/>
  <c r="CZ10" i="8"/>
  <c r="N10" i="8" s="1"/>
  <c r="DA10" i="8"/>
  <c r="O10" i="8" s="1"/>
  <c r="DB10" i="8"/>
  <c r="P10" i="8" s="1"/>
  <c r="DC10" i="8"/>
  <c r="Q10" i="8" s="1"/>
  <c r="DD10" i="8"/>
  <c r="R10" i="8" s="1"/>
  <c r="DE10" i="8"/>
  <c r="S10" i="8" s="1"/>
  <c r="DF10" i="8"/>
  <c r="T10" i="8" s="1"/>
  <c r="DG10" i="8"/>
  <c r="U10" i="8" s="1"/>
  <c r="DH10" i="8"/>
  <c r="V10" i="8" s="1"/>
  <c r="DI10" i="8"/>
  <c r="W10" i="8" s="1"/>
  <c r="DJ10" i="8"/>
  <c r="X10" i="8" s="1"/>
  <c r="DK10" i="8"/>
  <c r="Y10" i="8" s="1"/>
  <c r="DL10" i="8"/>
  <c r="Z10" i="8" s="1"/>
  <c r="DM10" i="8"/>
  <c r="AA10" i="8" s="1"/>
  <c r="DN10" i="8"/>
  <c r="AB10" i="8" s="1"/>
  <c r="DO10" i="8"/>
  <c r="AC10" i="8" s="1"/>
  <c r="DP10" i="8"/>
  <c r="AD10" i="8" s="1"/>
  <c r="DQ10" i="8"/>
  <c r="AE10" i="8" s="1"/>
  <c r="AG10" i="8"/>
  <c r="DT10" i="8"/>
  <c r="AH10" i="8" s="1"/>
  <c r="DU10" i="8"/>
  <c r="AI10" i="8" s="1"/>
  <c r="DV10" i="8"/>
  <c r="AJ10" i="8" s="1"/>
  <c r="DW10" i="8"/>
  <c r="AK10" i="8" s="1"/>
  <c r="CT11" i="8"/>
  <c r="H11" i="8" s="1"/>
  <c r="CU11" i="8"/>
  <c r="I11" i="8" s="1"/>
  <c r="CV11" i="8"/>
  <c r="J11" i="8" s="1"/>
  <c r="CW11" i="8"/>
  <c r="K11" i="8" s="1"/>
  <c r="CX11" i="8"/>
  <c r="L11" i="8" s="1"/>
  <c r="CY11" i="8"/>
  <c r="M11" i="8" s="1"/>
  <c r="CZ11" i="8"/>
  <c r="N11" i="8" s="1"/>
  <c r="DA11" i="8"/>
  <c r="O11" i="8" s="1"/>
  <c r="DB11" i="8"/>
  <c r="P11" i="8" s="1"/>
  <c r="DC11" i="8"/>
  <c r="Q11" i="8" s="1"/>
  <c r="DD11" i="8"/>
  <c r="R11" i="8" s="1"/>
  <c r="DE11" i="8"/>
  <c r="S11" i="8" s="1"/>
  <c r="DF11" i="8"/>
  <c r="T11" i="8" s="1"/>
  <c r="DG11" i="8"/>
  <c r="U11" i="8" s="1"/>
  <c r="DH11" i="8"/>
  <c r="V11" i="8" s="1"/>
  <c r="DI11" i="8"/>
  <c r="W11" i="8" s="1"/>
  <c r="DJ11" i="8"/>
  <c r="X11" i="8" s="1"/>
  <c r="DK11" i="8"/>
  <c r="Y11" i="8" s="1"/>
  <c r="DL11" i="8"/>
  <c r="Z11" i="8" s="1"/>
  <c r="DM11" i="8"/>
  <c r="AA11" i="8" s="1"/>
  <c r="DN11" i="8"/>
  <c r="AB11" i="8" s="1"/>
  <c r="DO11" i="8"/>
  <c r="AC11" i="8" s="1"/>
  <c r="DP11" i="8"/>
  <c r="AD11" i="8" s="1"/>
  <c r="DQ11" i="8"/>
  <c r="AE11" i="8" s="1"/>
  <c r="AG11" i="8"/>
  <c r="DT11" i="8"/>
  <c r="AH11" i="8" s="1"/>
  <c r="DU11" i="8"/>
  <c r="AI11" i="8" s="1"/>
  <c r="DV11" i="8"/>
  <c r="AJ11" i="8" s="1"/>
  <c r="DW11" i="8"/>
  <c r="AK11" i="8" s="1"/>
  <c r="CT12" i="8"/>
  <c r="H12" i="8" s="1"/>
  <c r="CU12" i="8"/>
  <c r="I12" i="8" s="1"/>
  <c r="CV12" i="8"/>
  <c r="J12" i="8" s="1"/>
  <c r="CW12" i="8"/>
  <c r="K12" i="8" s="1"/>
  <c r="CX12" i="8"/>
  <c r="L12" i="8" s="1"/>
  <c r="CY12" i="8"/>
  <c r="M12" i="8" s="1"/>
  <c r="CZ12" i="8"/>
  <c r="N12" i="8" s="1"/>
  <c r="DA12" i="8"/>
  <c r="O12" i="8" s="1"/>
  <c r="DB12" i="8"/>
  <c r="P12" i="8" s="1"/>
  <c r="DC12" i="8"/>
  <c r="Q12" i="8" s="1"/>
  <c r="DD12" i="8"/>
  <c r="R12" i="8" s="1"/>
  <c r="DE12" i="8"/>
  <c r="S12" i="8" s="1"/>
  <c r="DF12" i="8"/>
  <c r="T12" i="8" s="1"/>
  <c r="DG12" i="8"/>
  <c r="U12" i="8" s="1"/>
  <c r="DH12" i="8"/>
  <c r="V12" i="8" s="1"/>
  <c r="DI12" i="8"/>
  <c r="W12" i="8" s="1"/>
  <c r="DJ12" i="8"/>
  <c r="X12" i="8" s="1"/>
  <c r="DK12" i="8"/>
  <c r="Y12" i="8" s="1"/>
  <c r="DL12" i="8"/>
  <c r="Z12" i="8" s="1"/>
  <c r="DM12" i="8"/>
  <c r="AA12" i="8" s="1"/>
  <c r="DN12" i="8"/>
  <c r="AB12" i="8" s="1"/>
  <c r="DO12" i="8"/>
  <c r="AC12" i="8" s="1"/>
  <c r="DP12" i="8"/>
  <c r="AD12" i="8" s="1"/>
  <c r="DQ12" i="8"/>
  <c r="AE12" i="8" s="1"/>
  <c r="AG12" i="8"/>
  <c r="DT12" i="8"/>
  <c r="AH12" i="8" s="1"/>
  <c r="DU12" i="8"/>
  <c r="AI12" i="8" s="1"/>
  <c r="DV12" i="8"/>
  <c r="AJ12" i="8" s="1"/>
  <c r="DW12" i="8"/>
  <c r="AK12" i="8" s="1"/>
  <c r="CT13" i="8"/>
  <c r="H13" i="8" s="1"/>
  <c r="CU13" i="8"/>
  <c r="I13" i="8" s="1"/>
  <c r="CV13" i="8"/>
  <c r="J13" i="8" s="1"/>
  <c r="CW13" i="8"/>
  <c r="K13" i="8" s="1"/>
  <c r="CX13" i="8"/>
  <c r="L13" i="8" s="1"/>
  <c r="CY13" i="8"/>
  <c r="M13" i="8" s="1"/>
  <c r="CZ13" i="8"/>
  <c r="N13" i="8" s="1"/>
  <c r="DA13" i="8"/>
  <c r="O13" i="8" s="1"/>
  <c r="DB13" i="8"/>
  <c r="P13" i="8" s="1"/>
  <c r="DC13" i="8"/>
  <c r="Q13" i="8" s="1"/>
  <c r="DD13" i="8"/>
  <c r="R13" i="8" s="1"/>
  <c r="DE13" i="8"/>
  <c r="S13" i="8" s="1"/>
  <c r="DF13" i="8"/>
  <c r="T13" i="8" s="1"/>
  <c r="DG13" i="8"/>
  <c r="U13" i="8" s="1"/>
  <c r="DH13" i="8"/>
  <c r="V13" i="8" s="1"/>
  <c r="DI13" i="8"/>
  <c r="W13" i="8" s="1"/>
  <c r="DJ13" i="8"/>
  <c r="X13" i="8" s="1"/>
  <c r="DK13" i="8"/>
  <c r="Y13" i="8" s="1"/>
  <c r="DL13" i="8"/>
  <c r="Z13" i="8" s="1"/>
  <c r="DM13" i="8"/>
  <c r="AA13" i="8" s="1"/>
  <c r="DN13" i="8"/>
  <c r="AB13" i="8" s="1"/>
  <c r="DO13" i="8"/>
  <c r="AC13" i="8" s="1"/>
  <c r="DP13" i="8"/>
  <c r="AD13" i="8" s="1"/>
  <c r="DQ13" i="8"/>
  <c r="AE13" i="8" s="1"/>
  <c r="AG13" i="8"/>
  <c r="DT13" i="8"/>
  <c r="AH13" i="8" s="1"/>
  <c r="DU13" i="8"/>
  <c r="AI13" i="8" s="1"/>
  <c r="DV13" i="8"/>
  <c r="AJ13" i="8" s="1"/>
  <c r="DW13" i="8"/>
  <c r="AK13" i="8" s="1"/>
  <c r="CT14" i="8"/>
  <c r="H14" i="8" s="1"/>
  <c r="CU14" i="8"/>
  <c r="I14" i="8" s="1"/>
  <c r="CV14" i="8"/>
  <c r="J14" i="8" s="1"/>
  <c r="CW14" i="8"/>
  <c r="K14" i="8" s="1"/>
  <c r="CX14" i="8"/>
  <c r="L14" i="8" s="1"/>
  <c r="CY14" i="8"/>
  <c r="M14" i="8" s="1"/>
  <c r="CZ14" i="8"/>
  <c r="N14" i="8" s="1"/>
  <c r="DA14" i="8"/>
  <c r="O14" i="8" s="1"/>
  <c r="DB14" i="8"/>
  <c r="P14" i="8" s="1"/>
  <c r="DC14" i="8"/>
  <c r="Q14" i="8" s="1"/>
  <c r="DD14" i="8"/>
  <c r="R14" i="8" s="1"/>
  <c r="DE14" i="8"/>
  <c r="S14" i="8" s="1"/>
  <c r="DF14" i="8"/>
  <c r="T14" i="8" s="1"/>
  <c r="DG14" i="8"/>
  <c r="U14" i="8" s="1"/>
  <c r="DH14" i="8"/>
  <c r="V14" i="8" s="1"/>
  <c r="DI14" i="8"/>
  <c r="W14" i="8" s="1"/>
  <c r="DJ14" i="8"/>
  <c r="X14" i="8" s="1"/>
  <c r="DK14" i="8"/>
  <c r="Y14" i="8" s="1"/>
  <c r="DL14" i="8"/>
  <c r="Z14" i="8" s="1"/>
  <c r="DM14" i="8"/>
  <c r="AA14" i="8" s="1"/>
  <c r="DN14" i="8"/>
  <c r="AB14" i="8" s="1"/>
  <c r="DO14" i="8"/>
  <c r="AC14" i="8" s="1"/>
  <c r="DP14" i="8"/>
  <c r="AD14" i="8" s="1"/>
  <c r="DQ14" i="8"/>
  <c r="AE14" i="8" s="1"/>
  <c r="AG14" i="8"/>
  <c r="DT14" i="8"/>
  <c r="AH14" i="8" s="1"/>
  <c r="DU14" i="8"/>
  <c r="AI14" i="8" s="1"/>
  <c r="DV14" i="8"/>
  <c r="AJ14" i="8" s="1"/>
  <c r="DW14" i="8"/>
  <c r="AK14" i="8" s="1"/>
  <c r="CT15" i="8"/>
  <c r="H15" i="8" s="1"/>
  <c r="CU15" i="8"/>
  <c r="I15" i="8" s="1"/>
  <c r="CV15" i="8"/>
  <c r="J15" i="8" s="1"/>
  <c r="CW15" i="8"/>
  <c r="K15" i="8" s="1"/>
  <c r="CX15" i="8"/>
  <c r="L15" i="8" s="1"/>
  <c r="CY15" i="8"/>
  <c r="M15" i="8" s="1"/>
  <c r="CZ15" i="8"/>
  <c r="N15" i="8" s="1"/>
  <c r="DA15" i="8"/>
  <c r="O15" i="8" s="1"/>
  <c r="DB15" i="8"/>
  <c r="P15" i="8" s="1"/>
  <c r="DC15" i="8"/>
  <c r="Q15" i="8" s="1"/>
  <c r="DD15" i="8"/>
  <c r="R15" i="8" s="1"/>
  <c r="DE15" i="8"/>
  <c r="S15" i="8" s="1"/>
  <c r="DF15" i="8"/>
  <c r="T15" i="8" s="1"/>
  <c r="DG15" i="8"/>
  <c r="U15" i="8" s="1"/>
  <c r="DH15" i="8"/>
  <c r="V15" i="8" s="1"/>
  <c r="DI15" i="8"/>
  <c r="W15" i="8" s="1"/>
  <c r="DJ15" i="8"/>
  <c r="X15" i="8" s="1"/>
  <c r="DK15" i="8"/>
  <c r="Y15" i="8" s="1"/>
  <c r="DL15" i="8"/>
  <c r="Z15" i="8" s="1"/>
  <c r="DM15" i="8"/>
  <c r="AA15" i="8" s="1"/>
  <c r="DN15" i="8"/>
  <c r="AB15" i="8" s="1"/>
  <c r="DO15" i="8"/>
  <c r="AC15" i="8" s="1"/>
  <c r="DP15" i="8"/>
  <c r="AD15" i="8" s="1"/>
  <c r="DQ15" i="8"/>
  <c r="AE15" i="8" s="1"/>
  <c r="AG15" i="8"/>
  <c r="DT15" i="8"/>
  <c r="AH15" i="8" s="1"/>
  <c r="DU15" i="8"/>
  <c r="AI15" i="8" s="1"/>
  <c r="DV15" i="8"/>
  <c r="AJ15" i="8" s="1"/>
  <c r="DW15" i="8"/>
  <c r="AK15" i="8" s="1"/>
  <c r="CT16" i="8"/>
  <c r="H16" i="8" s="1"/>
  <c r="CU16" i="8"/>
  <c r="I16" i="8" s="1"/>
  <c r="CV16" i="8"/>
  <c r="J16" i="8" s="1"/>
  <c r="CW16" i="8"/>
  <c r="K16" i="8" s="1"/>
  <c r="CX16" i="8"/>
  <c r="L16" i="8" s="1"/>
  <c r="CY16" i="8"/>
  <c r="M16" i="8" s="1"/>
  <c r="CZ16" i="8"/>
  <c r="N16" i="8" s="1"/>
  <c r="DA16" i="8"/>
  <c r="O16" i="8" s="1"/>
  <c r="DB16" i="8"/>
  <c r="P16" i="8" s="1"/>
  <c r="DC16" i="8"/>
  <c r="Q16" i="8" s="1"/>
  <c r="DD16" i="8"/>
  <c r="R16" i="8" s="1"/>
  <c r="DE16" i="8"/>
  <c r="S16" i="8" s="1"/>
  <c r="DF16" i="8"/>
  <c r="T16" i="8" s="1"/>
  <c r="DG16" i="8"/>
  <c r="U16" i="8" s="1"/>
  <c r="DH16" i="8"/>
  <c r="V16" i="8" s="1"/>
  <c r="DI16" i="8"/>
  <c r="W16" i="8" s="1"/>
  <c r="DJ16" i="8"/>
  <c r="X16" i="8" s="1"/>
  <c r="DK16" i="8"/>
  <c r="Y16" i="8" s="1"/>
  <c r="DL16" i="8"/>
  <c r="Z16" i="8" s="1"/>
  <c r="DM16" i="8"/>
  <c r="AA16" i="8" s="1"/>
  <c r="DN16" i="8"/>
  <c r="AB16" i="8" s="1"/>
  <c r="DO16" i="8"/>
  <c r="AC16" i="8" s="1"/>
  <c r="DP16" i="8"/>
  <c r="AD16" i="8" s="1"/>
  <c r="DQ16" i="8"/>
  <c r="AE16" i="8" s="1"/>
  <c r="AG16" i="8"/>
  <c r="DT16" i="8"/>
  <c r="AH16" i="8" s="1"/>
  <c r="DU16" i="8"/>
  <c r="AI16" i="8" s="1"/>
  <c r="DV16" i="8"/>
  <c r="AJ16" i="8" s="1"/>
  <c r="DW16" i="8"/>
  <c r="AK16" i="8" s="1"/>
  <c r="CT17" i="8"/>
  <c r="H17" i="8" s="1"/>
  <c r="CU17" i="8"/>
  <c r="I17" i="8" s="1"/>
  <c r="CV17" i="8"/>
  <c r="J17" i="8" s="1"/>
  <c r="CW17" i="8"/>
  <c r="K17" i="8" s="1"/>
  <c r="CX17" i="8"/>
  <c r="L17" i="8" s="1"/>
  <c r="CY17" i="8"/>
  <c r="M17" i="8" s="1"/>
  <c r="CZ17" i="8"/>
  <c r="N17" i="8" s="1"/>
  <c r="DA17" i="8"/>
  <c r="O17" i="8" s="1"/>
  <c r="DB17" i="8"/>
  <c r="P17" i="8" s="1"/>
  <c r="DC17" i="8"/>
  <c r="Q17" i="8" s="1"/>
  <c r="DD17" i="8"/>
  <c r="R17" i="8" s="1"/>
  <c r="DE17" i="8"/>
  <c r="S17" i="8" s="1"/>
  <c r="DF17" i="8"/>
  <c r="T17" i="8" s="1"/>
  <c r="DG17" i="8"/>
  <c r="U17" i="8" s="1"/>
  <c r="DH17" i="8"/>
  <c r="V17" i="8" s="1"/>
  <c r="DI17" i="8"/>
  <c r="W17" i="8" s="1"/>
  <c r="DJ17" i="8"/>
  <c r="X17" i="8" s="1"/>
  <c r="DK17" i="8"/>
  <c r="Y17" i="8" s="1"/>
  <c r="DL17" i="8"/>
  <c r="Z17" i="8" s="1"/>
  <c r="DM17" i="8"/>
  <c r="AA17" i="8" s="1"/>
  <c r="DN17" i="8"/>
  <c r="AB17" i="8" s="1"/>
  <c r="DO17" i="8"/>
  <c r="AC17" i="8" s="1"/>
  <c r="DP17" i="8"/>
  <c r="AD17" i="8" s="1"/>
  <c r="DQ17" i="8"/>
  <c r="AE17" i="8" s="1"/>
  <c r="AG17" i="8"/>
  <c r="DT17" i="8"/>
  <c r="AH17" i="8" s="1"/>
  <c r="DU17" i="8"/>
  <c r="AI17" i="8" s="1"/>
  <c r="DV17" i="8"/>
  <c r="AJ17" i="8" s="1"/>
  <c r="DW17" i="8"/>
  <c r="AK17" i="8" s="1"/>
  <c r="CT18" i="8"/>
  <c r="H18" i="8" s="1"/>
  <c r="CU18" i="8"/>
  <c r="I18" i="8" s="1"/>
  <c r="CV18" i="8"/>
  <c r="J18" i="8" s="1"/>
  <c r="CW18" i="8"/>
  <c r="K18" i="8" s="1"/>
  <c r="CX18" i="8"/>
  <c r="L18" i="8" s="1"/>
  <c r="CY18" i="8"/>
  <c r="M18" i="8" s="1"/>
  <c r="CZ18" i="8"/>
  <c r="N18" i="8" s="1"/>
  <c r="DA18" i="8"/>
  <c r="O18" i="8" s="1"/>
  <c r="DB18" i="8"/>
  <c r="P18" i="8" s="1"/>
  <c r="DC18" i="8"/>
  <c r="Q18" i="8" s="1"/>
  <c r="DD18" i="8"/>
  <c r="R18" i="8" s="1"/>
  <c r="DE18" i="8"/>
  <c r="S18" i="8" s="1"/>
  <c r="DF18" i="8"/>
  <c r="T18" i="8" s="1"/>
  <c r="DG18" i="8"/>
  <c r="U18" i="8" s="1"/>
  <c r="DH18" i="8"/>
  <c r="V18" i="8" s="1"/>
  <c r="DI18" i="8"/>
  <c r="W18" i="8" s="1"/>
  <c r="DJ18" i="8"/>
  <c r="X18" i="8" s="1"/>
  <c r="DK18" i="8"/>
  <c r="Y18" i="8" s="1"/>
  <c r="DL18" i="8"/>
  <c r="Z18" i="8" s="1"/>
  <c r="DM18" i="8"/>
  <c r="AA18" i="8" s="1"/>
  <c r="DN18" i="8"/>
  <c r="AB18" i="8" s="1"/>
  <c r="DO18" i="8"/>
  <c r="AC18" i="8" s="1"/>
  <c r="DP18" i="8"/>
  <c r="AD18" i="8" s="1"/>
  <c r="DQ18" i="8"/>
  <c r="AE18" i="8" s="1"/>
  <c r="AG18" i="8"/>
  <c r="DT18" i="8"/>
  <c r="AH18" i="8" s="1"/>
  <c r="DU18" i="8"/>
  <c r="AI18" i="8" s="1"/>
  <c r="DV18" i="8"/>
  <c r="AJ18" i="8" s="1"/>
  <c r="DW18" i="8"/>
  <c r="AK18" i="8" s="1"/>
  <c r="CT19" i="8"/>
  <c r="H19" i="8" s="1"/>
  <c r="CU19" i="8"/>
  <c r="I19" i="8" s="1"/>
  <c r="CV19" i="8"/>
  <c r="J19" i="8" s="1"/>
  <c r="CW19" i="8"/>
  <c r="K19" i="8" s="1"/>
  <c r="CX19" i="8"/>
  <c r="L19" i="8" s="1"/>
  <c r="CY19" i="8"/>
  <c r="M19" i="8" s="1"/>
  <c r="CZ19" i="8"/>
  <c r="N19" i="8" s="1"/>
  <c r="DA19" i="8"/>
  <c r="O19" i="8" s="1"/>
  <c r="DB19" i="8"/>
  <c r="P19" i="8" s="1"/>
  <c r="DC19" i="8"/>
  <c r="Q19" i="8" s="1"/>
  <c r="DD19" i="8"/>
  <c r="R19" i="8" s="1"/>
  <c r="DE19" i="8"/>
  <c r="S19" i="8" s="1"/>
  <c r="DF19" i="8"/>
  <c r="T19" i="8" s="1"/>
  <c r="DG19" i="8"/>
  <c r="U19" i="8" s="1"/>
  <c r="DH19" i="8"/>
  <c r="V19" i="8" s="1"/>
  <c r="DI19" i="8"/>
  <c r="W19" i="8" s="1"/>
  <c r="DJ19" i="8"/>
  <c r="X19" i="8" s="1"/>
  <c r="DK19" i="8"/>
  <c r="Y19" i="8" s="1"/>
  <c r="DL19" i="8"/>
  <c r="Z19" i="8" s="1"/>
  <c r="DM19" i="8"/>
  <c r="AA19" i="8" s="1"/>
  <c r="DN19" i="8"/>
  <c r="AB19" i="8" s="1"/>
  <c r="DO19" i="8"/>
  <c r="AC19" i="8" s="1"/>
  <c r="DP19" i="8"/>
  <c r="AD19" i="8" s="1"/>
  <c r="DQ19" i="8"/>
  <c r="AE19" i="8" s="1"/>
  <c r="AG19" i="8"/>
  <c r="DT19" i="8"/>
  <c r="AH19" i="8" s="1"/>
  <c r="DU19" i="8"/>
  <c r="AI19" i="8" s="1"/>
  <c r="DV19" i="8"/>
  <c r="AJ19" i="8" s="1"/>
  <c r="DW19" i="8"/>
  <c r="AK19" i="8" s="1"/>
  <c r="CT20" i="8"/>
  <c r="H20" i="8" s="1"/>
  <c r="CU20" i="8"/>
  <c r="I20" i="8" s="1"/>
  <c r="CV20" i="8"/>
  <c r="J20" i="8" s="1"/>
  <c r="CW20" i="8"/>
  <c r="K20" i="8" s="1"/>
  <c r="CX20" i="8"/>
  <c r="L20" i="8" s="1"/>
  <c r="CY20" i="8"/>
  <c r="M20" i="8" s="1"/>
  <c r="CZ20" i="8"/>
  <c r="N20" i="8" s="1"/>
  <c r="DA20" i="8"/>
  <c r="O20" i="8" s="1"/>
  <c r="DB20" i="8"/>
  <c r="P20" i="8" s="1"/>
  <c r="DC20" i="8"/>
  <c r="Q20" i="8" s="1"/>
  <c r="DD20" i="8"/>
  <c r="R20" i="8" s="1"/>
  <c r="DE20" i="8"/>
  <c r="S20" i="8" s="1"/>
  <c r="DF20" i="8"/>
  <c r="T20" i="8" s="1"/>
  <c r="DG20" i="8"/>
  <c r="U20" i="8" s="1"/>
  <c r="DH20" i="8"/>
  <c r="V20" i="8" s="1"/>
  <c r="DI20" i="8"/>
  <c r="W20" i="8" s="1"/>
  <c r="DJ20" i="8"/>
  <c r="X20" i="8" s="1"/>
  <c r="DK20" i="8"/>
  <c r="Y20" i="8" s="1"/>
  <c r="DL20" i="8"/>
  <c r="Z20" i="8" s="1"/>
  <c r="DM20" i="8"/>
  <c r="AA20" i="8" s="1"/>
  <c r="DN20" i="8"/>
  <c r="AB20" i="8" s="1"/>
  <c r="DO20" i="8"/>
  <c r="AC20" i="8" s="1"/>
  <c r="DP20" i="8"/>
  <c r="AD20" i="8" s="1"/>
  <c r="DQ20" i="8"/>
  <c r="AE20" i="8" s="1"/>
  <c r="AG20" i="8"/>
  <c r="DT20" i="8"/>
  <c r="AH20" i="8" s="1"/>
  <c r="DU20" i="8"/>
  <c r="AI20" i="8" s="1"/>
  <c r="DV20" i="8"/>
  <c r="AJ20" i="8" s="1"/>
  <c r="DW20" i="8"/>
  <c r="AK20" i="8" s="1"/>
  <c r="CT21" i="8"/>
  <c r="H21" i="8" s="1"/>
  <c r="CU21" i="8"/>
  <c r="I21" i="8" s="1"/>
  <c r="CV21" i="8"/>
  <c r="J21" i="8" s="1"/>
  <c r="CW21" i="8"/>
  <c r="K21" i="8" s="1"/>
  <c r="CX21" i="8"/>
  <c r="L21" i="8" s="1"/>
  <c r="CY21" i="8"/>
  <c r="M21" i="8" s="1"/>
  <c r="CZ21" i="8"/>
  <c r="N21" i="8" s="1"/>
  <c r="DA21" i="8"/>
  <c r="O21" i="8" s="1"/>
  <c r="DB21" i="8"/>
  <c r="P21" i="8" s="1"/>
  <c r="DC21" i="8"/>
  <c r="Q21" i="8" s="1"/>
  <c r="DD21" i="8"/>
  <c r="R21" i="8" s="1"/>
  <c r="DE21" i="8"/>
  <c r="S21" i="8" s="1"/>
  <c r="DF21" i="8"/>
  <c r="T21" i="8" s="1"/>
  <c r="DG21" i="8"/>
  <c r="U21" i="8" s="1"/>
  <c r="DH21" i="8"/>
  <c r="V21" i="8" s="1"/>
  <c r="DI21" i="8"/>
  <c r="W21" i="8" s="1"/>
  <c r="DJ21" i="8"/>
  <c r="X21" i="8" s="1"/>
  <c r="DK21" i="8"/>
  <c r="Y21" i="8" s="1"/>
  <c r="DL21" i="8"/>
  <c r="Z21" i="8" s="1"/>
  <c r="DM21" i="8"/>
  <c r="AA21" i="8" s="1"/>
  <c r="DN21" i="8"/>
  <c r="AB21" i="8" s="1"/>
  <c r="DO21" i="8"/>
  <c r="AC21" i="8" s="1"/>
  <c r="DP21" i="8"/>
  <c r="AD21" i="8" s="1"/>
  <c r="DQ21" i="8"/>
  <c r="AE21" i="8" s="1"/>
  <c r="AG21" i="8"/>
  <c r="DT21" i="8"/>
  <c r="AH21" i="8" s="1"/>
  <c r="DU21" i="8"/>
  <c r="AI21" i="8" s="1"/>
  <c r="DV21" i="8"/>
  <c r="AJ21" i="8" s="1"/>
  <c r="DW21" i="8"/>
  <c r="AK21" i="8" s="1"/>
  <c r="CT22" i="8"/>
  <c r="H22" i="8" s="1"/>
  <c r="CU22" i="8"/>
  <c r="I22" i="8" s="1"/>
  <c r="CV22" i="8"/>
  <c r="J22" i="8" s="1"/>
  <c r="CW22" i="8"/>
  <c r="K22" i="8" s="1"/>
  <c r="CX22" i="8"/>
  <c r="L22" i="8" s="1"/>
  <c r="CY22" i="8"/>
  <c r="M22" i="8" s="1"/>
  <c r="CZ22" i="8"/>
  <c r="N22" i="8" s="1"/>
  <c r="DA22" i="8"/>
  <c r="O22" i="8" s="1"/>
  <c r="DB22" i="8"/>
  <c r="P22" i="8" s="1"/>
  <c r="DC22" i="8"/>
  <c r="Q22" i="8" s="1"/>
  <c r="DD22" i="8"/>
  <c r="R22" i="8" s="1"/>
  <c r="DE22" i="8"/>
  <c r="S22" i="8" s="1"/>
  <c r="DF22" i="8"/>
  <c r="T22" i="8" s="1"/>
  <c r="DG22" i="8"/>
  <c r="U22" i="8" s="1"/>
  <c r="DH22" i="8"/>
  <c r="V22" i="8" s="1"/>
  <c r="DI22" i="8"/>
  <c r="W22" i="8" s="1"/>
  <c r="DJ22" i="8"/>
  <c r="X22" i="8" s="1"/>
  <c r="DK22" i="8"/>
  <c r="Y22" i="8" s="1"/>
  <c r="DL22" i="8"/>
  <c r="Z22" i="8" s="1"/>
  <c r="DM22" i="8"/>
  <c r="AA22" i="8" s="1"/>
  <c r="DN22" i="8"/>
  <c r="AB22" i="8" s="1"/>
  <c r="DO22" i="8"/>
  <c r="AC22" i="8" s="1"/>
  <c r="DP22" i="8"/>
  <c r="AD22" i="8" s="1"/>
  <c r="DQ22" i="8"/>
  <c r="AE22" i="8" s="1"/>
  <c r="AG22" i="8"/>
  <c r="DT22" i="8"/>
  <c r="AH22" i="8" s="1"/>
  <c r="DU22" i="8"/>
  <c r="AI22" i="8" s="1"/>
  <c r="DV22" i="8"/>
  <c r="AJ22" i="8" s="1"/>
  <c r="DW22" i="8"/>
  <c r="AK22" i="8" s="1"/>
  <c r="CT23" i="8"/>
  <c r="H23" i="8" s="1"/>
  <c r="CU23" i="8"/>
  <c r="I23" i="8" s="1"/>
  <c r="CV23" i="8"/>
  <c r="J23" i="8" s="1"/>
  <c r="CW23" i="8"/>
  <c r="K23" i="8" s="1"/>
  <c r="CX23" i="8"/>
  <c r="L23" i="8" s="1"/>
  <c r="CY23" i="8"/>
  <c r="M23" i="8" s="1"/>
  <c r="CZ23" i="8"/>
  <c r="N23" i="8" s="1"/>
  <c r="DA23" i="8"/>
  <c r="O23" i="8" s="1"/>
  <c r="DB23" i="8"/>
  <c r="P23" i="8" s="1"/>
  <c r="DC23" i="8"/>
  <c r="Q23" i="8" s="1"/>
  <c r="DD23" i="8"/>
  <c r="R23" i="8" s="1"/>
  <c r="DE23" i="8"/>
  <c r="S23" i="8" s="1"/>
  <c r="DF23" i="8"/>
  <c r="T23" i="8" s="1"/>
  <c r="DG23" i="8"/>
  <c r="U23" i="8" s="1"/>
  <c r="DH23" i="8"/>
  <c r="V23" i="8" s="1"/>
  <c r="DI23" i="8"/>
  <c r="W23" i="8" s="1"/>
  <c r="DJ23" i="8"/>
  <c r="X23" i="8" s="1"/>
  <c r="DK23" i="8"/>
  <c r="Y23" i="8" s="1"/>
  <c r="DL23" i="8"/>
  <c r="Z23" i="8" s="1"/>
  <c r="DM23" i="8"/>
  <c r="AA23" i="8" s="1"/>
  <c r="DN23" i="8"/>
  <c r="AB23" i="8" s="1"/>
  <c r="DO23" i="8"/>
  <c r="AC23" i="8" s="1"/>
  <c r="DP23" i="8"/>
  <c r="AD23" i="8" s="1"/>
  <c r="DQ23" i="8"/>
  <c r="AE23" i="8" s="1"/>
  <c r="AG23" i="8"/>
  <c r="DT23" i="8"/>
  <c r="AH23" i="8" s="1"/>
  <c r="DU23" i="8"/>
  <c r="AI23" i="8" s="1"/>
  <c r="DV23" i="8"/>
  <c r="AJ23" i="8" s="1"/>
  <c r="DW23" i="8"/>
  <c r="AK23" i="8" s="1"/>
  <c r="CT24" i="8"/>
  <c r="H24" i="8" s="1"/>
  <c r="CU24" i="8"/>
  <c r="I24" i="8" s="1"/>
  <c r="CV24" i="8"/>
  <c r="J24" i="8" s="1"/>
  <c r="CW24" i="8"/>
  <c r="K24" i="8" s="1"/>
  <c r="CX24" i="8"/>
  <c r="L24" i="8" s="1"/>
  <c r="CY24" i="8"/>
  <c r="M24" i="8" s="1"/>
  <c r="CZ24" i="8"/>
  <c r="N24" i="8" s="1"/>
  <c r="DA24" i="8"/>
  <c r="O24" i="8" s="1"/>
  <c r="DB24" i="8"/>
  <c r="P24" i="8" s="1"/>
  <c r="DC24" i="8"/>
  <c r="Q24" i="8" s="1"/>
  <c r="DD24" i="8"/>
  <c r="R24" i="8" s="1"/>
  <c r="DE24" i="8"/>
  <c r="S24" i="8" s="1"/>
  <c r="DF24" i="8"/>
  <c r="T24" i="8" s="1"/>
  <c r="DG24" i="8"/>
  <c r="U24" i="8" s="1"/>
  <c r="DH24" i="8"/>
  <c r="V24" i="8" s="1"/>
  <c r="DI24" i="8"/>
  <c r="W24" i="8" s="1"/>
  <c r="DJ24" i="8"/>
  <c r="X24" i="8" s="1"/>
  <c r="DK24" i="8"/>
  <c r="Y24" i="8" s="1"/>
  <c r="DL24" i="8"/>
  <c r="Z24" i="8" s="1"/>
  <c r="DM24" i="8"/>
  <c r="AA24" i="8" s="1"/>
  <c r="DN24" i="8"/>
  <c r="AB24" i="8" s="1"/>
  <c r="DO24" i="8"/>
  <c r="AC24" i="8" s="1"/>
  <c r="DP24" i="8"/>
  <c r="AD24" i="8" s="1"/>
  <c r="DQ24" i="8"/>
  <c r="AE24" i="8" s="1"/>
  <c r="AG24" i="8"/>
  <c r="DT24" i="8"/>
  <c r="AH24" i="8" s="1"/>
  <c r="DU24" i="8"/>
  <c r="AI24" i="8" s="1"/>
  <c r="DV24" i="8"/>
  <c r="AJ24" i="8" s="1"/>
  <c r="DW24" i="8"/>
  <c r="AK24" i="8" s="1"/>
  <c r="CT25" i="8"/>
  <c r="H25" i="8" s="1"/>
  <c r="CU25" i="8"/>
  <c r="I25" i="8" s="1"/>
  <c r="CV25" i="8"/>
  <c r="J25" i="8" s="1"/>
  <c r="CW25" i="8"/>
  <c r="K25" i="8" s="1"/>
  <c r="CX25" i="8"/>
  <c r="L25" i="8" s="1"/>
  <c r="CY25" i="8"/>
  <c r="M25" i="8" s="1"/>
  <c r="CZ25" i="8"/>
  <c r="N25" i="8" s="1"/>
  <c r="DA25" i="8"/>
  <c r="O25" i="8" s="1"/>
  <c r="DB25" i="8"/>
  <c r="P25" i="8" s="1"/>
  <c r="DC25" i="8"/>
  <c r="Q25" i="8" s="1"/>
  <c r="DD25" i="8"/>
  <c r="R25" i="8" s="1"/>
  <c r="DE25" i="8"/>
  <c r="S25" i="8" s="1"/>
  <c r="DF25" i="8"/>
  <c r="T25" i="8" s="1"/>
  <c r="DG25" i="8"/>
  <c r="U25" i="8" s="1"/>
  <c r="DH25" i="8"/>
  <c r="V25" i="8" s="1"/>
  <c r="DI25" i="8"/>
  <c r="W25" i="8" s="1"/>
  <c r="DJ25" i="8"/>
  <c r="X25" i="8" s="1"/>
  <c r="DK25" i="8"/>
  <c r="Y25" i="8" s="1"/>
  <c r="DL25" i="8"/>
  <c r="Z25" i="8" s="1"/>
  <c r="DM25" i="8"/>
  <c r="AA25" i="8" s="1"/>
  <c r="DN25" i="8"/>
  <c r="AB25" i="8" s="1"/>
  <c r="DO25" i="8"/>
  <c r="AC25" i="8" s="1"/>
  <c r="DP25" i="8"/>
  <c r="AD25" i="8" s="1"/>
  <c r="DQ25" i="8"/>
  <c r="AE25" i="8" s="1"/>
  <c r="AG25" i="8"/>
  <c r="DT25" i="8"/>
  <c r="AH25" i="8" s="1"/>
  <c r="DU25" i="8"/>
  <c r="AI25" i="8" s="1"/>
  <c r="DV25" i="8"/>
  <c r="AJ25" i="8" s="1"/>
  <c r="DW25" i="8"/>
  <c r="AK25" i="8" s="1"/>
  <c r="CT26" i="8"/>
  <c r="H26" i="8" s="1"/>
  <c r="CU26" i="8"/>
  <c r="I26" i="8" s="1"/>
  <c r="CV26" i="8"/>
  <c r="J26" i="8" s="1"/>
  <c r="CW26" i="8"/>
  <c r="K26" i="8" s="1"/>
  <c r="CX26" i="8"/>
  <c r="L26" i="8" s="1"/>
  <c r="CY26" i="8"/>
  <c r="M26" i="8" s="1"/>
  <c r="CZ26" i="8"/>
  <c r="N26" i="8" s="1"/>
  <c r="DA26" i="8"/>
  <c r="O26" i="8" s="1"/>
  <c r="DB26" i="8"/>
  <c r="P26" i="8" s="1"/>
  <c r="DC26" i="8"/>
  <c r="Q26" i="8" s="1"/>
  <c r="DD26" i="8"/>
  <c r="R26" i="8" s="1"/>
  <c r="DE26" i="8"/>
  <c r="S26" i="8" s="1"/>
  <c r="DF26" i="8"/>
  <c r="T26" i="8" s="1"/>
  <c r="DG26" i="8"/>
  <c r="U26" i="8" s="1"/>
  <c r="DH26" i="8"/>
  <c r="V26" i="8" s="1"/>
  <c r="DI26" i="8"/>
  <c r="W26" i="8" s="1"/>
  <c r="DJ26" i="8"/>
  <c r="X26" i="8" s="1"/>
  <c r="DK26" i="8"/>
  <c r="Y26" i="8" s="1"/>
  <c r="DL26" i="8"/>
  <c r="Z26" i="8" s="1"/>
  <c r="DM26" i="8"/>
  <c r="AA26" i="8" s="1"/>
  <c r="DN26" i="8"/>
  <c r="AB26" i="8" s="1"/>
  <c r="DO26" i="8"/>
  <c r="AC26" i="8" s="1"/>
  <c r="DP26" i="8"/>
  <c r="AD26" i="8" s="1"/>
  <c r="DQ26" i="8"/>
  <c r="AE26" i="8" s="1"/>
  <c r="AG26" i="8"/>
  <c r="DT26" i="8"/>
  <c r="AH26" i="8" s="1"/>
  <c r="DU26" i="8"/>
  <c r="AI26" i="8" s="1"/>
  <c r="DV26" i="8"/>
  <c r="AJ26" i="8" s="1"/>
  <c r="DW26" i="8"/>
  <c r="AK26" i="8" s="1"/>
  <c r="CT27" i="8"/>
  <c r="H27" i="8" s="1"/>
  <c r="CU27" i="8"/>
  <c r="I27" i="8" s="1"/>
  <c r="CV27" i="8"/>
  <c r="J27" i="8" s="1"/>
  <c r="CW27" i="8"/>
  <c r="K27" i="8" s="1"/>
  <c r="CX27" i="8"/>
  <c r="L27" i="8" s="1"/>
  <c r="CY27" i="8"/>
  <c r="M27" i="8" s="1"/>
  <c r="CZ27" i="8"/>
  <c r="N27" i="8" s="1"/>
  <c r="DA27" i="8"/>
  <c r="O27" i="8" s="1"/>
  <c r="DB27" i="8"/>
  <c r="P27" i="8" s="1"/>
  <c r="DC27" i="8"/>
  <c r="Q27" i="8" s="1"/>
  <c r="DD27" i="8"/>
  <c r="R27" i="8" s="1"/>
  <c r="DE27" i="8"/>
  <c r="S27" i="8" s="1"/>
  <c r="DF27" i="8"/>
  <c r="T27" i="8" s="1"/>
  <c r="DG27" i="8"/>
  <c r="U27" i="8" s="1"/>
  <c r="DH27" i="8"/>
  <c r="V27" i="8" s="1"/>
  <c r="DI27" i="8"/>
  <c r="W27" i="8" s="1"/>
  <c r="DJ27" i="8"/>
  <c r="X27" i="8" s="1"/>
  <c r="DK27" i="8"/>
  <c r="Y27" i="8" s="1"/>
  <c r="DL27" i="8"/>
  <c r="Z27" i="8" s="1"/>
  <c r="DM27" i="8"/>
  <c r="AA27" i="8" s="1"/>
  <c r="DN27" i="8"/>
  <c r="AB27" i="8" s="1"/>
  <c r="DO27" i="8"/>
  <c r="AC27" i="8" s="1"/>
  <c r="DP27" i="8"/>
  <c r="AD27" i="8" s="1"/>
  <c r="DQ27" i="8"/>
  <c r="AE27" i="8" s="1"/>
  <c r="AG27" i="8"/>
  <c r="DT27" i="8"/>
  <c r="AH27" i="8" s="1"/>
  <c r="DU27" i="8"/>
  <c r="AI27" i="8" s="1"/>
  <c r="DV27" i="8"/>
  <c r="AJ27" i="8" s="1"/>
  <c r="DW27" i="8"/>
  <c r="AK27" i="8" s="1"/>
  <c r="CT28" i="8"/>
  <c r="H28" i="8" s="1"/>
  <c r="CU28" i="8"/>
  <c r="I28" i="8" s="1"/>
  <c r="CV28" i="8"/>
  <c r="J28" i="8" s="1"/>
  <c r="CW28" i="8"/>
  <c r="K28" i="8" s="1"/>
  <c r="CX28" i="8"/>
  <c r="L28" i="8" s="1"/>
  <c r="CY28" i="8"/>
  <c r="M28" i="8" s="1"/>
  <c r="CZ28" i="8"/>
  <c r="N28" i="8" s="1"/>
  <c r="DA28" i="8"/>
  <c r="O28" i="8" s="1"/>
  <c r="DB28" i="8"/>
  <c r="P28" i="8" s="1"/>
  <c r="DC28" i="8"/>
  <c r="Q28" i="8" s="1"/>
  <c r="DD28" i="8"/>
  <c r="R28" i="8" s="1"/>
  <c r="DE28" i="8"/>
  <c r="S28" i="8" s="1"/>
  <c r="DF28" i="8"/>
  <c r="T28" i="8" s="1"/>
  <c r="DG28" i="8"/>
  <c r="U28" i="8" s="1"/>
  <c r="DH28" i="8"/>
  <c r="V28" i="8" s="1"/>
  <c r="DI28" i="8"/>
  <c r="W28" i="8" s="1"/>
  <c r="DJ28" i="8"/>
  <c r="X28" i="8" s="1"/>
  <c r="DK28" i="8"/>
  <c r="Y28" i="8" s="1"/>
  <c r="DL28" i="8"/>
  <c r="Z28" i="8" s="1"/>
  <c r="DM28" i="8"/>
  <c r="AA28" i="8" s="1"/>
  <c r="DN28" i="8"/>
  <c r="AB28" i="8" s="1"/>
  <c r="DO28" i="8"/>
  <c r="AC28" i="8" s="1"/>
  <c r="DP28" i="8"/>
  <c r="AD28" i="8" s="1"/>
  <c r="DQ28" i="8"/>
  <c r="AE28" i="8" s="1"/>
  <c r="AG28" i="8"/>
  <c r="DT28" i="8"/>
  <c r="AH28" i="8" s="1"/>
  <c r="DU28" i="8"/>
  <c r="AI28" i="8" s="1"/>
  <c r="DV28" i="8"/>
  <c r="AJ28" i="8" s="1"/>
  <c r="DW28" i="8"/>
  <c r="AK28" i="8" s="1"/>
  <c r="CT29" i="8"/>
  <c r="H29" i="8" s="1"/>
  <c r="CU29" i="8"/>
  <c r="I29" i="8" s="1"/>
  <c r="CV29" i="8"/>
  <c r="J29" i="8" s="1"/>
  <c r="CW29" i="8"/>
  <c r="K29" i="8" s="1"/>
  <c r="CX29" i="8"/>
  <c r="L29" i="8" s="1"/>
  <c r="CY29" i="8"/>
  <c r="M29" i="8" s="1"/>
  <c r="CZ29" i="8"/>
  <c r="N29" i="8" s="1"/>
  <c r="DA29" i="8"/>
  <c r="O29" i="8" s="1"/>
  <c r="DB29" i="8"/>
  <c r="P29" i="8" s="1"/>
  <c r="DC29" i="8"/>
  <c r="Q29" i="8" s="1"/>
  <c r="DD29" i="8"/>
  <c r="R29" i="8" s="1"/>
  <c r="DE29" i="8"/>
  <c r="S29" i="8" s="1"/>
  <c r="DF29" i="8"/>
  <c r="T29" i="8" s="1"/>
  <c r="DG29" i="8"/>
  <c r="U29" i="8" s="1"/>
  <c r="DH29" i="8"/>
  <c r="V29" i="8" s="1"/>
  <c r="DI29" i="8"/>
  <c r="W29" i="8" s="1"/>
  <c r="DJ29" i="8"/>
  <c r="X29" i="8" s="1"/>
  <c r="DK29" i="8"/>
  <c r="Y29" i="8" s="1"/>
  <c r="DL29" i="8"/>
  <c r="Z29" i="8" s="1"/>
  <c r="DM29" i="8"/>
  <c r="AA29" i="8" s="1"/>
  <c r="DN29" i="8"/>
  <c r="AB29" i="8" s="1"/>
  <c r="DO29" i="8"/>
  <c r="AC29" i="8" s="1"/>
  <c r="DP29" i="8"/>
  <c r="AD29" i="8" s="1"/>
  <c r="DQ29" i="8"/>
  <c r="AE29" i="8" s="1"/>
  <c r="AG29" i="8"/>
  <c r="DT29" i="8"/>
  <c r="AH29" i="8" s="1"/>
  <c r="DU29" i="8"/>
  <c r="AI29" i="8" s="1"/>
  <c r="DV29" i="8"/>
  <c r="AJ29" i="8" s="1"/>
  <c r="DW29" i="8"/>
  <c r="AK29" i="8" s="1"/>
  <c r="CT30" i="8"/>
  <c r="H30" i="8" s="1"/>
  <c r="CU30" i="8"/>
  <c r="I30" i="8" s="1"/>
  <c r="CV30" i="8"/>
  <c r="J30" i="8" s="1"/>
  <c r="CW30" i="8"/>
  <c r="K30" i="8" s="1"/>
  <c r="CX30" i="8"/>
  <c r="L30" i="8" s="1"/>
  <c r="CY30" i="8"/>
  <c r="M30" i="8" s="1"/>
  <c r="CZ30" i="8"/>
  <c r="N30" i="8" s="1"/>
  <c r="DA30" i="8"/>
  <c r="O30" i="8" s="1"/>
  <c r="DB30" i="8"/>
  <c r="P30" i="8" s="1"/>
  <c r="DC30" i="8"/>
  <c r="Q30" i="8" s="1"/>
  <c r="DD30" i="8"/>
  <c r="R30" i="8" s="1"/>
  <c r="DE30" i="8"/>
  <c r="S30" i="8" s="1"/>
  <c r="DF30" i="8"/>
  <c r="T30" i="8" s="1"/>
  <c r="DG30" i="8"/>
  <c r="U30" i="8" s="1"/>
  <c r="DH30" i="8"/>
  <c r="V30" i="8" s="1"/>
  <c r="DI30" i="8"/>
  <c r="W30" i="8" s="1"/>
  <c r="DJ30" i="8"/>
  <c r="X30" i="8" s="1"/>
  <c r="DK30" i="8"/>
  <c r="Y30" i="8" s="1"/>
  <c r="DL30" i="8"/>
  <c r="Z30" i="8" s="1"/>
  <c r="DM30" i="8"/>
  <c r="AA30" i="8" s="1"/>
  <c r="DN30" i="8"/>
  <c r="AB30" i="8" s="1"/>
  <c r="DO30" i="8"/>
  <c r="AC30" i="8" s="1"/>
  <c r="DP30" i="8"/>
  <c r="AD30" i="8" s="1"/>
  <c r="DQ30" i="8"/>
  <c r="AE30" i="8" s="1"/>
  <c r="AG30" i="8"/>
  <c r="DT30" i="8"/>
  <c r="AH30" i="8" s="1"/>
  <c r="DU30" i="8"/>
  <c r="AI30" i="8" s="1"/>
  <c r="DV30" i="8"/>
  <c r="AJ30" i="8" s="1"/>
  <c r="DW30" i="8"/>
  <c r="AK30" i="8" s="1"/>
  <c r="CT31" i="8"/>
  <c r="H31" i="8" s="1"/>
  <c r="CU31" i="8"/>
  <c r="I31" i="8" s="1"/>
  <c r="CV31" i="8"/>
  <c r="J31" i="8" s="1"/>
  <c r="CW31" i="8"/>
  <c r="K31" i="8" s="1"/>
  <c r="CX31" i="8"/>
  <c r="L31" i="8" s="1"/>
  <c r="CY31" i="8"/>
  <c r="M31" i="8" s="1"/>
  <c r="CZ31" i="8"/>
  <c r="N31" i="8" s="1"/>
  <c r="DA31" i="8"/>
  <c r="O31" i="8" s="1"/>
  <c r="DB31" i="8"/>
  <c r="P31" i="8" s="1"/>
  <c r="DC31" i="8"/>
  <c r="Q31" i="8" s="1"/>
  <c r="DD31" i="8"/>
  <c r="R31" i="8" s="1"/>
  <c r="DE31" i="8"/>
  <c r="S31" i="8" s="1"/>
  <c r="DF31" i="8"/>
  <c r="T31" i="8" s="1"/>
  <c r="DG31" i="8"/>
  <c r="U31" i="8" s="1"/>
  <c r="DH31" i="8"/>
  <c r="V31" i="8" s="1"/>
  <c r="DI31" i="8"/>
  <c r="W31" i="8" s="1"/>
  <c r="DJ31" i="8"/>
  <c r="X31" i="8" s="1"/>
  <c r="DK31" i="8"/>
  <c r="Y31" i="8" s="1"/>
  <c r="DL31" i="8"/>
  <c r="Z31" i="8" s="1"/>
  <c r="DM31" i="8"/>
  <c r="AA31" i="8" s="1"/>
  <c r="DN31" i="8"/>
  <c r="AB31" i="8" s="1"/>
  <c r="DO31" i="8"/>
  <c r="AC31" i="8" s="1"/>
  <c r="DP31" i="8"/>
  <c r="AD31" i="8" s="1"/>
  <c r="DQ31" i="8"/>
  <c r="AE31" i="8" s="1"/>
  <c r="AG31" i="8"/>
  <c r="DT31" i="8"/>
  <c r="AH31" i="8" s="1"/>
  <c r="DU31" i="8"/>
  <c r="AI31" i="8" s="1"/>
  <c r="DV31" i="8"/>
  <c r="AJ31" i="8" s="1"/>
  <c r="DW31" i="8"/>
  <c r="AK31" i="8" s="1"/>
  <c r="CT32" i="8"/>
  <c r="H32" i="8" s="1"/>
  <c r="CU32" i="8"/>
  <c r="I32" i="8" s="1"/>
  <c r="CV32" i="8"/>
  <c r="J32" i="8" s="1"/>
  <c r="CW32" i="8"/>
  <c r="K32" i="8" s="1"/>
  <c r="CX32" i="8"/>
  <c r="L32" i="8" s="1"/>
  <c r="CY32" i="8"/>
  <c r="M32" i="8" s="1"/>
  <c r="CZ32" i="8"/>
  <c r="N32" i="8" s="1"/>
  <c r="DA32" i="8"/>
  <c r="O32" i="8" s="1"/>
  <c r="DB32" i="8"/>
  <c r="P32" i="8" s="1"/>
  <c r="DC32" i="8"/>
  <c r="Q32" i="8" s="1"/>
  <c r="DD32" i="8"/>
  <c r="R32" i="8" s="1"/>
  <c r="DE32" i="8"/>
  <c r="S32" i="8" s="1"/>
  <c r="DF32" i="8"/>
  <c r="T32" i="8" s="1"/>
  <c r="DG32" i="8"/>
  <c r="U32" i="8" s="1"/>
  <c r="DH32" i="8"/>
  <c r="V32" i="8" s="1"/>
  <c r="DI32" i="8"/>
  <c r="W32" i="8" s="1"/>
  <c r="DJ32" i="8"/>
  <c r="X32" i="8" s="1"/>
  <c r="DK32" i="8"/>
  <c r="Y32" i="8" s="1"/>
  <c r="DL32" i="8"/>
  <c r="Z32" i="8" s="1"/>
  <c r="DM32" i="8"/>
  <c r="AA32" i="8" s="1"/>
  <c r="DN32" i="8"/>
  <c r="AB32" i="8" s="1"/>
  <c r="DO32" i="8"/>
  <c r="AC32" i="8" s="1"/>
  <c r="DP32" i="8"/>
  <c r="AD32" i="8" s="1"/>
  <c r="DQ32" i="8"/>
  <c r="AE32" i="8" s="1"/>
  <c r="AG32" i="8"/>
  <c r="DT32" i="8"/>
  <c r="AH32" i="8" s="1"/>
  <c r="DU32" i="8"/>
  <c r="AI32" i="8" s="1"/>
  <c r="DV32" i="8"/>
  <c r="AJ32" i="8" s="1"/>
  <c r="DW32" i="8"/>
  <c r="AK32" i="8" s="1"/>
  <c r="CT33" i="8"/>
  <c r="H33" i="8" s="1"/>
  <c r="CU33" i="8"/>
  <c r="I33" i="8" s="1"/>
  <c r="CV33" i="8"/>
  <c r="J33" i="8" s="1"/>
  <c r="CW33" i="8"/>
  <c r="K33" i="8" s="1"/>
  <c r="CX33" i="8"/>
  <c r="L33" i="8" s="1"/>
  <c r="CY33" i="8"/>
  <c r="M33" i="8" s="1"/>
  <c r="CZ33" i="8"/>
  <c r="N33" i="8" s="1"/>
  <c r="DA33" i="8"/>
  <c r="O33" i="8" s="1"/>
  <c r="DB33" i="8"/>
  <c r="P33" i="8" s="1"/>
  <c r="DC33" i="8"/>
  <c r="Q33" i="8" s="1"/>
  <c r="DD33" i="8"/>
  <c r="R33" i="8" s="1"/>
  <c r="DE33" i="8"/>
  <c r="S33" i="8" s="1"/>
  <c r="DF33" i="8"/>
  <c r="T33" i="8" s="1"/>
  <c r="DG33" i="8"/>
  <c r="U33" i="8" s="1"/>
  <c r="DH33" i="8"/>
  <c r="V33" i="8" s="1"/>
  <c r="DI33" i="8"/>
  <c r="W33" i="8" s="1"/>
  <c r="DJ33" i="8"/>
  <c r="X33" i="8" s="1"/>
  <c r="DK33" i="8"/>
  <c r="Y33" i="8" s="1"/>
  <c r="DL33" i="8"/>
  <c r="Z33" i="8" s="1"/>
  <c r="DM33" i="8"/>
  <c r="AA33" i="8" s="1"/>
  <c r="DN33" i="8"/>
  <c r="AB33" i="8" s="1"/>
  <c r="DO33" i="8"/>
  <c r="AC33" i="8" s="1"/>
  <c r="DP33" i="8"/>
  <c r="AD33" i="8" s="1"/>
  <c r="DQ33" i="8"/>
  <c r="AE33" i="8" s="1"/>
  <c r="AG33" i="8"/>
  <c r="DT33" i="8"/>
  <c r="AH33" i="8" s="1"/>
  <c r="DU33" i="8"/>
  <c r="AI33" i="8" s="1"/>
  <c r="DV33" i="8"/>
  <c r="AJ33" i="8" s="1"/>
  <c r="DW33" i="8"/>
  <c r="AK33" i="8" s="1"/>
  <c r="CT34" i="8"/>
  <c r="H34" i="8" s="1"/>
  <c r="CU34" i="8"/>
  <c r="I34" i="8" s="1"/>
  <c r="CV34" i="8"/>
  <c r="J34" i="8" s="1"/>
  <c r="CW34" i="8"/>
  <c r="K34" i="8" s="1"/>
  <c r="CX34" i="8"/>
  <c r="L34" i="8" s="1"/>
  <c r="CY34" i="8"/>
  <c r="M34" i="8" s="1"/>
  <c r="CZ34" i="8"/>
  <c r="N34" i="8" s="1"/>
  <c r="DA34" i="8"/>
  <c r="O34" i="8" s="1"/>
  <c r="DB34" i="8"/>
  <c r="P34" i="8" s="1"/>
  <c r="DC34" i="8"/>
  <c r="Q34" i="8" s="1"/>
  <c r="DD34" i="8"/>
  <c r="R34" i="8" s="1"/>
  <c r="DE34" i="8"/>
  <c r="S34" i="8" s="1"/>
  <c r="DF34" i="8"/>
  <c r="T34" i="8" s="1"/>
  <c r="DG34" i="8"/>
  <c r="U34" i="8" s="1"/>
  <c r="DH34" i="8"/>
  <c r="V34" i="8" s="1"/>
  <c r="DI34" i="8"/>
  <c r="W34" i="8" s="1"/>
  <c r="DJ34" i="8"/>
  <c r="X34" i="8" s="1"/>
  <c r="DK34" i="8"/>
  <c r="Y34" i="8" s="1"/>
  <c r="DL34" i="8"/>
  <c r="Z34" i="8" s="1"/>
  <c r="DM34" i="8"/>
  <c r="AA34" i="8" s="1"/>
  <c r="DN34" i="8"/>
  <c r="AB34" i="8" s="1"/>
  <c r="DO34" i="8"/>
  <c r="AC34" i="8" s="1"/>
  <c r="DP34" i="8"/>
  <c r="AD34" i="8" s="1"/>
  <c r="DQ34" i="8"/>
  <c r="AE34" i="8" s="1"/>
  <c r="AG34" i="8"/>
  <c r="DT34" i="8"/>
  <c r="AH34" i="8" s="1"/>
  <c r="DU34" i="8"/>
  <c r="AI34" i="8" s="1"/>
  <c r="DV34" i="8"/>
  <c r="AJ34" i="8" s="1"/>
  <c r="DW34" i="8"/>
  <c r="AK34" i="8" s="1"/>
  <c r="CT35" i="8"/>
  <c r="H35" i="8" s="1"/>
  <c r="CU35" i="8"/>
  <c r="I35" i="8" s="1"/>
  <c r="CV35" i="8"/>
  <c r="J35" i="8" s="1"/>
  <c r="CW35" i="8"/>
  <c r="K35" i="8" s="1"/>
  <c r="CX35" i="8"/>
  <c r="L35" i="8" s="1"/>
  <c r="CY35" i="8"/>
  <c r="M35" i="8" s="1"/>
  <c r="CZ35" i="8"/>
  <c r="N35" i="8" s="1"/>
  <c r="DA35" i="8"/>
  <c r="O35" i="8" s="1"/>
  <c r="DB35" i="8"/>
  <c r="P35" i="8" s="1"/>
  <c r="DC35" i="8"/>
  <c r="Q35" i="8" s="1"/>
  <c r="DD35" i="8"/>
  <c r="R35" i="8" s="1"/>
  <c r="DE35" i="8"/>
  <c r="S35" i="8" s="1"/>
  <c r="DF35" i="8"/>
  <c r="T35" i="8" s="1"/>
  <c r="DG35" i="8"/>
  <c r="U35" i="8" s="1"/>
  <c r="DH35" i="8"/>
  <c r="V35" i="8" s="1"/>
  <c r="DI35" i="8"/>
  <c r="W35" i="8" s="1"/>
  <c r="DJ35" i="8"/>
  <c r="X35" i="8" s="1"/>
  <c r="DK35" i="8"/>
  <c r="Y35" i="8" s="1"/>
  <c r="DL35" i="8"/>
  <c r="Z35" i="8" s="1"/>
  <c r="DM35" i="8"/>
  <c r="AA35" i="8" s="1"/>
  <c r="DN35" i="8"/>
  <c r="AB35" i="8" s="1"/>
  <c r="DO35" i="8"/>
  <c r="AC35" i="8" s="1"/>
  <c r="DP35" i="8"/>
  <c r="AD35" i="8" s="1"/>
  <c r="DQ35" i="8"/>
  <c r="AE35" i="8" s="1"/>
  <c r="AG35" i="8"/>
  <c r="DT35" i="8"/>
  <c r="AH35" i="8" s="1"/>
  <c r="DU35" i="8"/>
  <c r="AI35" i="8" s="1"/>
  <c r="DV35" i="8"/>
  <c r="AJ35" i="8" s="1"/>
  <c r="DW35" i="8"/>
  <c r="AK35" i="8" s="1"/>
  <c r="CT36" i="8"/>
  <c r="H36" i="8" s="1"/>
  <c r="CU36" i="8"/>
  <c r="I36" i="8" s="1"/>
  <c r="CV36" i="8"/>
  <c r="J36" i="8" s="1"/>
  <c r="CW36" i="8"/>
  <c r="K36" i="8" s="1"/>
  <c r="CX36" i="8"/>
  <c r="L36" i="8" s="1"/>
  <c r="CY36" i="8"/>
  <c r="M36" i="8" s="1"/>
  <c r="CZ36" i="8"/>
  <c r="N36" i="8" s="1"/>
  <c r="DA36" i="8"/>
  <c r="O36" i="8" s="1"/>
  <c r="DB36" i="8"/>
  <c r="P36" i="8" s="1"/>
  <c r="DC36" i="8"/>
  <c r="Q36" i="8" s="1"/>
  <c r="DD36" i="8"/>
  <c r="R36" i="8" s="1"/>
  <c r="DE36" i="8"/>
  <c r="S36" i="8" s="1"/>
  <c r="DF36" i="8"/>
  <c r="T36" i="8" s="1"/>
  <c r="DG36" i="8"/>
  <c r="U36" i="8" s="1"/>
  <c r="DH36" i="8"/>
  <c r="V36" i="8" s="1"/>
  <c r="DI36" i="8"/>
  <c r="W36" i="8" s="1"/>
  <c r="DJ36" i="8"/>
  <c r="X36" i="8" s="1"/>
  <c r="DK36" i="8"/>
  <c r="Y36" i="8" s="1"/>
  <c r="DL36" i="8"/>
  <c r="Z36" i="8" s="1"/>
  <c r="DM36" i="8"/>
  <c r="AA36" i="8" s="1"/>
  <c r="DN36" i="8"/>
  <c r="AB36" i="8" s="1"/>
  <c r="DO36" i="8"/>
  <c r="AC36" i="8" s="1"/>
  <c r="DP36" i="8"/>
  <c r="AD36" i="8" s="1"/>
  <c r="DQ36" i="8"/>
  <c r="AE36" i="8" s="1"/>
  <c r="AG36" i="8"/>
  <c r="DT36" i="8"/>
  <c r="AH36" i="8" s="1"/>
  <c r="DU36" i="8"/>
  <c r="AI36" i="8" s="1"/>
  <c r="DV36" i="8"/>
  <c r="AJ36" i="8" s="1"/>
  <c r="DW36" i="8"/>
  <c r="AK36" i="8" s="1"/>
  <c r="CT37" i="8"/>
  <c r="H37" i="8" s="1"/>
  <c r="CU37" i="8"/>
  <c r="I37" i="8" s="1"/>
  <c r="CV37" i="8"/>
  <c r="J37" i="8" s="1"/>
  <c r="CW37" i="8"/>
  <c r="K37" i="8" s="1"/>
  <c r="CX37" i="8"/>
  <c r="L37" i="8" s="1"/>
  <c r="CY37" i="8"/>
  <c r="M37" i="8" s="1"/>
  <c r="CZ37" i="8"/>
  <c r="N37" i="8" s="1"/>
  <c r="DA37" i="8"/>
  <c r="O37" i="8" s="1"/>
  <c r="DB37" i="8"/>
  <c r="P37" i="8" s="1"/>
  <c r="DC37" i="8"/>
  <c r="Q37" i="8" s="1"/>
  <c r="DD37" i="8"/>
  <c r="R37" i="8" s="1"/>
  <c r="DE37" i="8"/>
  <c r="S37" i="8" s="1"/>
  <c r="DF37" i="8"/>
  <c r="T37" i="8" s="1"/>
  <c r="DG37" i="8"/>
  <c r="U37" i="8" s="1"/>
  <c r="DH37" i="8"/>
  <c r="V37" i="8" s="1"/>
  <c r="DI37" i="8"/>
  <c r="W37" i="8" s="1"/>
  <c r="DJ37" i="8"/>
  <c r="X37" i="8" s="1"/>
  <c r="DK37" i="8"/>
  <c r="Y37" i="8" s="1"/>
  <c r="DL37" i="8"/>
  <c r="Z37" i="8" s="1"/>
  <c r="DM37" i="8"/>
  <c r="AA37" i="8" s="1"/>
  <c r="DN37" i="8"/>
  <c r="AB37" i="8" s="1"/>
  <c r="DO37" i="8"/>
  <c r="AC37" i="8" s="1"/>
  <c r="DP37" i="8"/>
  <c r="AD37" i="8" s="1"/>
  <c r="DQ37" i="8"/>
  <c r="AE37" i="8" s="1"/>
  <c r="AG37" i="8"/>
  <c r="DT37" i="8"/>
  <c r="AH37" i="8" s="1"/>
  <c r="DU37" i="8"/>
  <c r="AI37" i="8" s="1"/>
  <c r="DV37" i="8"/>
  <c r="AJ37" i="8" s="1"/>
  <c r="DW37" i="8"/>
  <c r="AK37" i="8" s="1"/>
  <c r="CT38" i="8"/>
  <c r="H38" i="8" s="1"/>
  <c r="CU38" i="8"/>
  <c r="I38" i="8" s="1"/>
  <c r="CV38" i="8"/>
  <c r="J38" i="8" s="1"/>
  <c r="CW38" i="8"/>
  <c r="K38" i="8" s="1"/>
  <c r="CX38" i="8"/>
  <c r="L38" i="8" s="1"/>
  <c r="CY38" i="8"/>
  <c r="M38" i="8" s="1"/>
  <c r="CZ38" i="8"/>
  <c r="N38" i="8" s="1"/>
  <c r="DA38" i="8"/>
  <c r="O38" i="8" s="1"/>
  <c r="DB38" i="8"/>
  <c r="P38" i="8" s="1"/>
  <c r="DC38" i="8"/>
  <c r="Q38" i="8" s="1"/>
  <c r="DD38" i="8"/>
  <c r="R38" i="8" s="1"/>
  <c r="DE38" i="8"/>
  <c r="S38" i="8" s="1"/>
  <c r="DF38" i="8"/>
  <c r="T38" i="8" s="1"/>
  <c r="DG38" i="8"/>
  <c r="U38" i="8" s="1"/>
  <c r="DH38" i="8"/>
  <c r="V38" i="8" s="1"/>
  <c r="DI38" i="8"/>
  <c r="W38" i="8" s="1"/>
  <c r="DJ38" i="8"/>
  <c r="X38" i="8" s="1"/>
  <c r="DK38" i="8"/>
  <c r="Y38" i="8" s="1"/>
  <c r="DL38" i="8"/>
  <c r="Z38" i="8" s="1"/>
  <c r="DM38" i="8"/>
  <c r="AA38" i="8" s="1"/>
  <c r="DN38" i="8"/>
  <c r="AB38" i="8" s="1"/>
  <c r="DO38" i="8"/>
  <c r="AC38" i="8" s="1"/>
  <c r="DP38" i="8"/>
  <c r="AD38" i="8" s="1"/>
  <c r="DQ38" i="8"/>
  <c r="AE38" i="8" s="1"/>
  <c r="AG38" i="8"/>
  <c r="DT38" i="8"/>
  <c r="AH38" i="8" s="1"/>
  <c r="DU38" i="8"/>
  <c r="AI38" i="8" s="1"/>
  <c r="DV38" i="8"/>
  <c r="AJ38" i="8" s="1"/>
  <c r="DW38" i="8"/>
  <c r="AK38" i="8" s="1"/>
  <c r="AG8" i="1" l="1"/>
  <c r="AL8" i="1" s="1"/>
  <c r="AG2" i="9"/>
  <c r="AG7" i="1"/>
  <c r="AG10" i="1"/>
  <c r="AI126" i="1"/>
  <c r="AF8" i="1"/>
  <c r="AF10" i="1"/>
  <c r="AF7" i="1"/>
  <c r="AG4" i="9"/>
  <c r="AH3" i="1"/>
  <c r="AF3" i="9" s="1"/>
  <c r="AF2" i="9" s="1"/>
  <c r="AE7" i="1"/>
  <c r="AE8" i="1"/>
  <c r="AE10" i="1"/>
  <c r="AD10" i="1"/>
  <c r="AD8" i="1"/>
  <c r="AD7" i="1"/>
  <c r="AG38" i="9"/>
  <c r="AI128" i="1"/>
  <c r="AF38" i="9"/>
  <c r="AH128" i="1"/>
  <c r="AI4" i="1"/>
  <c r="AG37" i="9"/>
  <c r="AH4" i="1"/>
  <c r="AF36" i="9" s="1"/>
  <c r="AF35" i="9" s="1"/>
  <c r="AF37" i="9"/>
  <c r="AC10" i="1"/>
  <c r="AV26" i="1" l="1"/>
  <c r="AL10" i="1"/>
  <c r="AP26" i="1"/>
  <c r="AO26" i="1"/>
  <c r="AN26" i="1"/>
  <c r="AL26" i="1"/>
  <c r="AT26" i="1"/>
  <c r="AG11" i="1"/>
  <c r="AL7" i="1"/>
  <c r="AG36" i="9"/>
  <c r="AG70" i="9"/>
  <c r="AS26" i="1"/>
  <c r="AW26" i="1"/>
  <c r="AF11" i="1"/>
  <c r="AE11" i="1"/>
  <c r="AE6" i="1" s="1"/>
  <c r="AD11" i="1"/>
  <c r="AI5" i="1"/>
  <c r="AG71" i="9"/>
  <c r="AH5" i="1"/>
  <c r="AF69" i="9" s="1"/>
  <c r="AF68" i="9" s="1"/>
  <c r="AF71" i="9"/>
  <c r="AG41" i="8"/>
  <c r="AL11" i="1" l="1"/>
  <c r="AP28" i="1"/>
  <c r="AO28" i="1"/>
  <c r="AN28" i="1"/>
  <c r="AL28" i="1"/>
  <c r="AG24" i="1"/>
  <c r="AT28" i="1"/>
  <c r="AG6" i="1"/>
  <c r="AL25" i="1"/>
  <c r="AP25" i="1"/>
  <c r="AO25" i="1"/>
  <c r="AN25" i="1"/>
  <c r="AT25" i="1"/>
  <c r="AG69" i="9"/>
  <c r="AG35" i="9"/>
  <c r="AS28" i="1"/>
  <c r="AW28" i="1"/>
  <c r="AW25" i="1"/>
  <c r="AV25" i="1"/>
  <c r="AS25" i="1"/>
  <c r="AF24" i="1"/>
  <c r="AV28" i="1"/>
  <c r="AF6" i="1"/>
  <c r="AC4" i="9"/>
  <c r="AD6" i="1"/>
  <c r="CZ56" i="8"/>
  <c r="N56" i="8" s="1"/>
  <c r="DA56" i="8"/>
  <c r="O56" i="8" s="1"/>
  <c r="DB56" i="8"/>
  <c r="P56" i="8" s="1"/>
  <c r="DC56" i="8"/>
  <c r="Q56" i="8" s="1"/>
  <c r="DD56" i="8"/>
  <c r="R56" i="8" s="1"/>
  <c r="DE56" i="8"/>
  <c r="S56" i="8" s="1"/>
  <c r="DF56" i="8"/>
  <c r="T56" i="8" s="1"/>
  <c r="DG56" i="8"/>
  <c r="U56" i="8" s="1"/>
  <c r="DH56" i="8"/>
  <c r="V56" i="8" s="1"/>
  <c r="DI56" i="8"/>
  <c r="W56" i="8" s="1"/>
  <c r="DJ56" i="8"/>
  <c r="X56" i="8" s="1"/>
  <c r="DK56" i="8"/>
  <c r="Y56" i="8" s="1"/>
  <c r="DL56" i="8"/>
  <c r="Z56" i="8" s="1"/>
  <c r="DM56" i="8"/>
  <c r="AA56" i="8" s="1"/>
  <c r="DN56" i="8"/>
  <c r="AB56" i="8" s="1"/>
  <c r="DO56" i="8"/>
  <c r="AC56" i="8" s="1"/>
  <c r="DP56" i="8"/>
  <c r="AD56" i="8" s="1"/>
  <c r="DQ56" i="8"/>
  <c r="AE56" i="8" s="1"/>
  <c r="CZ57" i="8"/>
  <c r="N57" i="8" s="1"/>
  <c r="DA57" i="8"/>
  <c r="O57" i="8" s="1"/>
  <c r="DB57" i="8"/>
  <c r="P57" i="8" s="1"/>
  <c r="DC57" i="8"/>
  <c r="Q57" i="8" s="1"/>
  <c r="DD57" i="8"/>
  <c r="R57" i="8" s="1"/>
  <c r="DE57" i="8"/>
  <c r="S57" i="8" s="1"/>
  <c r="DF57" i="8"/>
  <c r="T57" i="8" s="1"/>
  <c r="DG57" i="8"/>
  <c r="U57" i="8" s="1"/>
  <c r="DH57" i="8"/>
  <c r="V57" i="8" s="1"/>
  <c r="DI57" i="8"/>
  <c r="W57" i="8" s="1"/>
  <c r="DJ57" i="8"/>
  <c r="X57" i="8" s="1"/>
  <c r="DK57" i="8"/>
  <c r="Y57" i="8" s="1"/>
  <c r="DL57" i="8"/>
  <c r="Z57" i="8" s="1"/>
  <c r="DM57" i="8"/>
  <c r="AA57" i="8" s="1"/>
  <c r="DN57" i="8"/>
  <c r="AB57" i="8" s="1"/>
  <c r="DO57" i="8"/>
  <c r="AC57" i="8" s="1"/>
  <c r="DP57" i="8"/>
  <c r="AD57" i="8" s="1"/>
  <c r="DQ57" i="8"/>
  <c r="AE57" i="8" s="1"/>
  <c r="CZ58" i="8"/>
  <c r="N58" i="8" s="1"/>
  <c r="DA58" i="8"/>
  <c r="O58" i="8" s="1"/>
  <c r="DB58" i="8"/>
  <c r="P58" i="8" s="1"/>
  <c r="DC58" i="8"/>
  <c r="Q58" i="8" s="1"/>
  <c r="DD58" i="8"/>
  <c r="R58" i="8" s="1"/>
  <c r="DE58" i="8"/>
  <c r="S58" i="8" s="1"/>
  <c r="DF58" i="8"/>
  <c r="T58" i="8" s="1"/>
  <c r="DG58" i="8"/>
  <c r="U58" i="8" s="1"/>
  <c r="DH58" i="8"/>
  <c r="V58" i="8" s="1"/>
  <c r="DI58" i="8"/>
  <c r="W58" i="8" s="1"/>
  <c r="DJ58" i="8"/>
  <c r="X58" i="8" s="1"/>
  <c r="DK58" i="8"/>
  <c r="Y58" i="8" s="1"/>
  <c r="DL58" i="8"/>
  <c r="Z58" i="8" s="1"/>
  <c r="DM58" i="8"/>
  <c r="AA58" i="8" s="1"/>
  <c r="DN58" i="8"/>
  <c r="AB58" i="8" s="1"/>
  <c r="DO58" i="8"/>
  <c r="AC58" i="8" s="1"/>
  <c r="DP58" i="8"/>
  <c r="AD58" i="8" s="1"/>
  <c r="DQ58" i="8"/>
  <c r="AE58" i="8" s="1"/>
  <c r="CT59" i="8"/>
  <c r="H59" i="8" s="1"/>
  <c r="CU59" i="8"/>
  <c r="I59" i="8" s="1"/>
  <c r="CV59" i="8"/>
  <c r="J59" i="8" s="1"/>
  <c r="CW59" i="8"/>
  <c r="K59" i="8" s="1"/>
  <c r="CX59" i="8"/>
  <c r="L59" i="8" s="1"/>
  <c r="CY59" i="8"/>
  <c r="M59" i="8" s="1"/>
  <c r="CZ59" i="8"/>
  <c r="N59" i="8" s="1"/>
  <c r="DA59" i="8"/>
  <c r="O59" i="8" s="1"/>
  <c r="DB59" i="8"/>
  <c r="P59" i="8" s="1"/>
  <c r="DC59" i="8"/>
  <c r="Q59" i="8" s="1"/>
  <c r="DD59" i="8"/>
  <c r="R59" i="8" s="1"/>
  <c r="DE59" i="8"/>
  <c r="S59" i="8" s="1"/>
  <c r="DF59" i="8"/>
  <c r="T59" i="8" s="1"/>
  <c r="DG59" i="8"/>
  <c r="U59" i="8" s="1"/>
  <c r="DH59" i="8"/>
  <c r="V59" i="8" s="1"/>
  <c r="DI59" i="8"/>
  <c r="W59" i="8" s="1"/>
  <c r="DJ59" i="8"/>
  <c r="X59" i="8" s="1"/>
  <c r="DK59" i="8"/>
  <c r="Y59" i="8" s="1"/>
  <c r="DL59" i="8"/>
  <c r="Z59" i="8" s="1"/>
  <c r="DM59" i="8"/>
  <c r="AA59" i="8" s="1"/>
  <c r="DN59" i="8"/>
  <c r="AB59" i="8" s="1"/>
  <c r="DO59" i="8"/>
  <c r="AC59" i="8" s="1"/>
  <c r="DP59" i="8"/>
  <c r="AD59" i="8" s="1"/>
  <c r="DQ59" i="8"/>
  <c r="AE59" i="8" s="1"/>
  <c r="CT60" i="8"/>
  <c r="H60" i="8" s="1"/>
  <c r="CU60" i="8"/>
  <c r="I60" i="8" s="1"/>
  <c r="CV60" i="8"/>
  <c r="J60" i="8" s="1"/>
  <c r="CW60" i="8"/>
  <c r="K60" i="8" s="1"/>
  <c r="CX60" i="8"/>
  <c r="L60" i="8" s="1"/>
  <c r="CY60" i="8"/>
  <c r="M60" i="8" s="1"/>
  <c r="CZ60" i="8"/>
  <c r="N60" i="8" s="1"/>
  <c r="DA60" i="8"/>
  <c r="O60" i="8" s="1"/>
  <c r="DB60" i="8"/>
  <c r="P60" i="8" s="1"/>
  <c r="DC60" i="8"/>
  <c r="Q60" i="8" s="1"/>
  <c r="DD60" i="8"/>
  <c r="R60" i="8" s="1"/>
  <c r="DE60" i="8"/>
  <c r="S60" i="8" s="1"/>
  <c r="DF60" i="8"/>
  <c r="T60" i="8" s="1"/>
  <c r="DG60" i="8"/>
  <c r="U60" i="8" s="1"/>
  <c r="DH60" i="8"/>
  <c r="V60" i="8" s="1"/>
  <c r="DI60" i="8"/>
  <c r="W60" i="8" s="1"/>
  <c r="DJ60" i="8"/>
  <c r="X60" i="8" s="1"/>
  <c r="DK60" i="8"/>
  <c r="Y60" i="8" s="1"/>
  <c r="DL60" i="8"/>
  <c r="Z60" i="8" s="1"/>
  <c r="DM60" i="8"/>
  <c r="AA60" i="8" s="1"/>
  <c r="DN60" i="8"/>
  <c r="AB60" i="8" s="1"/>
  <c r="DO60" i="8"/>
  <c r="AC60" i="8" s="1"/>
  <c r="DP60" i="8"/>
  <c r="AD60" i="8" s="1"/>
  <c r="DQ60" i="8"/>
  <c r="AE60" i="8" s="1"/>
  <c r="CT61" i="8"/>
  <c r="H61" i="8" s="1"/>
  <c r="CU61" i="8"/>
  <c r="I61" i="8" s="1"/>
  <c r="CV61" i="8"/>
  <c r="J61" i="8" s="1"/>
  <c r="CW61" i="8"/>
  <c r="K61" i="8" s="1"/>
  <c r="CX61" i="8"/>
  <c r="L61" i="8" s="1"/>
  <c r="CY61" i="8"/>
  <c r="M61" i="8" s="1"/>
  <c r="CZ61" i="8"/>
  <c r="N61" i="8" s="1"/>
  <c r="DA61" i="8"/>
  <c r="O61" i="8" s="1"/>
  <c r="DB61" i="8"/>
  <c r="P61" i="8" s="1"/>
  <c r="DC61" i="8"/>
  <c r="Q61" i="8" s="1"/>
  <c r="DD61" i="8"/>
  <c r="R61" i="8" s="1"/>
  <c r="DE61" i="8"/>
  <c r="S61" i="8" s="1"/>
  <c r="DF61" i="8"/>
  <c r="T61" i="8" s="1"/>
  <c r="DG61" i="8"/>
  <c r="U61" i="8" s="1"/>
  <c r="DH61" i="8"/>
  <c r="V61" i="8" s="1"/>
  <c r="DI61" i="8"/>
  <c r="W61" i="8" s="1"/>
  <c r="DJ61" i="8"/>
  <c r="X61" i="8" s="1"/>
  <c r="DK61" i="8"/>
  <c r="Y61" i="8" s="1"/>
  <c r="DL61" i="8"/>
  <c r="Z61" i="8" s="1"/>
  <c r="DM61" i="8"/>
  <c r="AA61" i="8" s="1"/>
  <c r="DN61" i="8"/>
  <c r="AB61" i="8" s="1"/>
  <c r="DO61" i="8"/>
  <c r="AC61" i="8" s="1"/>
  <c r="DP61" i="8"/>
  <c r="AD61" i="8" s="1"/>
  <c r="DQ61" i="8"/>
  <c r="AE61" i="8" s="1"/>
  <c r="CT62" i="8"/>
  <c r="H62" i="8" s="1"/>
  <c r="CU62" i="8"/>
  <c r="I62" i="8" s="1"/>
  <c r="CV62" i="8"/>
  <c r="J62" i="8" s="1"/>
  <c r="CW62" i="8"/>
  <c r="K62" i="8" s="1"/>
  <c r="CX62" i="8"/>
  <c r="L62" i="8" s="1"/>
  <c r="CY62" i="8"/>
  <c r="M62" i="8" s="1"/>
  <c r="CZ62" i="8"/>
  <c r="N62" i="8" s="1"/>
  <c r="DA62" i="8"/>
  <c r="O62" i="8" s="1"/>
  <c r="DB62" i="8"/>
  <c r="P62" i="8" s="1"/>
  <c r="DC62" i="8"/>
  <c r="Q62" i="8" s="1"/>
  <c r="DD62" i="8"/>
  <c r="R62" i="8" s="1"/>
  <c r="DE62" i="8"/>
  <c r="S62" i="8" s="1"/>
  <c r="DF62" i="8"/>
  <c r="T62" i="8" s="1"/>
  <c r="DG62" i="8"/>
  <c r="U62" i="8" s="1"/>
  <c r="DH62" i="8"/>
  <c r="V62" i="8" s="1"/>
  <c r="DI62" i="8"/>
  <c r="W62" i="8" s="1"/>
  <c r="DJ62" i="8"/>
  <c r="X62" i="8" s="1"/>
  <c r="DK62" i="8"/>
  <c r="Y62" i="8" s="1"/>
  <c r="DL62" i="8"/>
  <c r="Z62" i="8" s="1"/>
  <c r="DM62" i="8"/>
  <c r="AA62" i="8" s="1"/>
  <c r="DN62" i="8"/>
  <c r="AB62" i="8" s="1"/>
  <c r="DO62" i="8"/>
  <c r="AC62" i="8" s="1"/>
  <c r="DP62" i="8"/>
  <c r="AD62" i="8" s="1"/>
  <c r="DQ62" i="8"/>
  <c r="AE62" i="8" s="1"/>
  <c r="CT63" i="8"/>
  <c r="H63" i="8" s="1"/>
  <c r="CU63" i="8"/>
  <c r="I63" i="8" s="1"/>
  <c r="CV63" i="8"/>
  <c r="J63" i="8" s="1"/>
  <c r="CW63" i="8"/>
  <c r="K63" i="8" s="1"/>
  <c r="CX63" i="8"/>
  <c r="L63" i="8" s="1"/>
  <c r="CY63" i="8"/>
  <c r="M63" i="8" s="1"/>
  <c r="CZ63" i="8"/>
  <c r="N63" i="8" s="1"/>
  <c r="DA63" i="8"/>
  <c r="O63" i="8" s="1"/>
  <c r="DB63" i="8"/>
  <c r="P63" i="8" s="1"/>
  <c r="DC63" i="8"/>
  <c r="Q63" i="8" s="1"/>
  <c r="DD63" i="8"/>
  <c r="R63" i="8" s="1"/>
  <c r="DE63" i="8"/>
  <c r="S63" i="8" s="1"/>
  <c r="DF63" i="8"/>
  <c r="T63" i="8" s="1"/>
  <c r="DG63" i="8"/>
  <c r="U63" i="8" s="1"/>
  <c r="DH63" i="8"/>
  <c r="V63" i="8" s="1"/>
  <c r="DI63" i="8"/>
  <c r="W63" i="8" s="1"/>
  <c r="DJ63" i="8"/>
  <c r="X63" i="8" s="1"/>
  <c r="DK63" i="8"/>
  <c r="Y63" i="8" s="1"/>
  <c r="DL63" i="8"/>
  <c r="Z63" i="8" s="1"/>
  <c r="DM63" i="8"/>
  <c r="AA63" i="8" s="1"/>
  <c r="DN63" i="8"/>
  <c r="AB63" i="8" s="1"/>
  <c r="DO63" i="8"/>
  <c r="AC63" i="8" s="1"/>
  <c r="DP63" i="8"/>
  <c r="AD63" i="8" s="1"/>
  <c r="DQ63" i="8"/>
  <c r="AE63" i="8" s="1"/>
  <c r="CT64" i="8"/>
  <c r="H64" i="8" s="1"/>
  <c r="CU64" i="8"/>
  <c r="I64" i="8" s="1"/>
  <c r="CV64" i="8"/>
  <c r="J64" i="8" s="1"/>
  <c r="CW64" i="8"/>
  <c r="K64" i="8" s="1"/>
  <c r="CX64" i="8"/>
  <c r="L64" i="8" s="1"/>
  <c r="CY64" i="8"/>
  <c r="M64" i="8" s="1"/>
  <c r="CZ64" i="8"/>
  <c r="N64" i="8" s="1"/>
  <c r="DA64" i="8"/>
  <c r="O64" i="8" s="1"/>
  <c r="DB64" i="8"/>
  <c r="P64" i="8" s="1"/>
  <c r="DC64" i="8"/>
  <c r="Q64" i="8" s="1"/>
  <c r="DD64" i="8"/>
  <c r="R64" i="8" s="1"/>
  <c r="DE64" i="8"/>
  <c r="S64" i="8" s="1"/>
  <c r="DF64" i="8"/>
  <c r="T64" i="8" s="1"/>
  <c r="DG64" i="8"/>
  <c r="U64" i="8" s="1"/>
  <c r="DH64" i="8"/>
  <c r="V64" i="8" s="1"/>
  <c r="DI64" i="8"/>
  <c r="W64" i="8" s="1"/>
  <c r="DJ64" i="8"/>
  <c r="X64" i="8" s="1"/>
  <c r="DK64" i="8"/>
  <c r="Y64" i="8" s="1"/>
  <c r="DL64" i="8"/>
  <c r="Z64" i="8" s="1"/>
  <c r="DM64" i="8"/>
  <c r="AA64" i="8" s="1"/>
  <c r="DN64" i="8"/>
  <c r="AB64" i="8" s="1"/>
  <c r="DO64" i="8"/>
  <c r="AC64" i="8" s="1"/>
  <c r="DP64" i="8"/>
  <c r="AD64" i="8" s="1"/>
  <c r="DQ64" i="8"/>
  <c r="AE64" i="8" s="1"/>
  <c r="CT65" i="8"/>
  <c r="H65" i="8" s="1"/>
  <c r="CU65" i="8"/>
  <c r="I65" i="8" s="1"/>
  <c r="CV65" i="8"/>
  <c r="J65" i="8" s="1"/>
  <c r="CW65" i="8"/>
  <c r="K65" i="8" s="1"/>
  <c r="CX65" i="8"/>
  <c r="L65" i="8" s="1"/>
  <c r="CY65" i="8"/>
  <c r="M65" i="8" s="1"/>
  <c r="CZ65" i="8"/>
  <c r="N65" i="8" s="1"/>
  <c r="DA65" i="8"/>
  <c r="O65" i="8" s="1"/>
  <c r="DB65" i="8"/>
  <c r="P65" i="8" s="1"/>
  <c r="DC65" i="8"/>
  <c r="Q65" i="8" s="1"/>
  <c r="DD65" i="8"/>
  <c r="R65" i="8" s="1"/>
  <c r="DE65" i="8"/>
  <c r="S65" i="8" s="1"/>
  <c r="DF65" i="8"/>
  <c r="T65" i="8" s="1"/>
  <c r="DG65" i="8"/>
  <c r="U65" i="8" s="1"/>
  <c r="DH65" i="8"/>
  <c r="V65" i="8" s="1"/>
  <c r="DI65" i="8"/>
  <c r="W65" i="8" s="1"/>
  <c r="DJ65" i="8"/>
  <c r="X65" i="8" s="1"/>
  <c r="DK65" i="8"/>
  <c r="Y65" i="8" s="1"/>
  <c r="DL65" i="8"/>
  <c r="Z65" i="8" s="1"/>
  <c r="DM65" i="8"/>
  <c r="AA65" i="8" s="1"/>
  <c r="DN65" i="8"/>
  <c r="AB65" i="8" s="1"/>
  <c r="DO65" i="8"/>
  <c r="AC65" i="8" s="1"/>
  <c r="DP65" i="8"/>
  <c r="AD65" i="8" s="1"/>
  <c r="DQ65" i="8"/>
  <c r="AE65" i="8" s="1"/>
  <c r="CT66" i="8"/>
  <c r="H66" i="8" s="1"/>
  <c r="CU66" i="8"/>
  <c r="I66" i="8" s="1"/>
  <c r="CV66" i="8"/>
  <c r="J66" i="8" s="1"/>
  <c r="CW66" i="8"/>
  <c r="K66" i="8" s="1"/>
  <c r="CX66" i="8"/>
  <c r="L66" i="8" s="1"/>
  <c r="CY66" i="8"/>
  <c r="M66" i="8" s="1"/>
  <c r="CZ66" i="8"/>
  <c r="N66" i="8" s="1"/>
  <c r="DA66" i="8"/>
  <c r="O66" i="8" s="1"/>
  <c r="DB66" i="8"/>
  <c r="P66" i="8" s="1"/>
  <c r="DC66" i="8"/>
  <c r="Q66" i="8" s="1"/>
  <c r="DD66" i="8"/>
  <c r="R66" i="8" s="1"/>
  <c r="DE66" i="8"/>
  <c r="S66" i="8" s="1"/>
  <c r="DF66" i="8"/>
  <c r="T66" i="8" s="1"/>
  <c r="DG66" i="8"/>
  <c r="U66" i="8" s="1"/>
  <c r="DH66" i="8"/>
  <c r="V66" i="8" s="1"/>
  <c r="DI66" i="8"/>
  <c r="W66" i="8" s="1"/>
  <c r="DJ66" i="8"/>
  <c r="X66" i="8" s="1"/>
  <c r="DK66" i="8"/>
  <c r="Y66" i="8" s="1"/>
  <c r="DL66" i="8"/>
  <c r="Z66" i="8" s="1"/>
  <c r="DM66" i="8"/>
  <c r="AA66" i="8" s="1"/>
  <c r="DN66" i="8"/>
  <c r="AB66" i="8" s="1"/>
  <c r="DO66" i="8"/>
  <c r="AC66" i="8" s="1"/>
  <c r="DP66" i="8"/>
  <c r="AD66" i="8" s="1"/>
  <c r="DQ66" i="8"/>
  <c r="AE66" i="8" s="1"/>
  <c r="CT67" i="8"/>
  <c r="H67" i="8" s="1"/>
  <c r="CU67" i="8"/>
  <c r="I67" i="8" s="1"/>
  <c r="CV67" i="8"/>
  <c r="J67" i="8" s="1"/>
  <c r="CW67" i="8"/>
  <c r="K67" i="8" s="1"/>
  <c r="CX67" i="8"/>
  <c r="L67" i="8" s="1"/>
  <c r="CY67" i="8"/>
  <c r="M67" i="8" s="1"/>
  <c r="CZ67" i="8"/>
  <c r="N67" i="8" s="1"/>
  <c r="DA67" i="8"/>
  <c r="O67" i="8" s="1"/>
  <c r="DB67" i="8"/>
  <c r="P67" i="8" s="1"/>
  <c r="DC67" i="8"/>
  <c r="Q67" i="8" s="1"/>
  <c r="DD67" i="8"/>
  <c r="R67" i="8" s="1"/>
  <c r="DE67" i="8"/>
  <c r="S67" i="8" s="1"/>
  <c r="DF67" i="8"/>
  <c r="T67" i="8" s="1"/>
  <c r="DG67" i="8"/>
  <c r="U67" i="8" s="1"/>
  <c r="DH67" i="8"/>
  <c r="V67" i="8" s="1"/>
  <c r="DI67" i="8"/>
  <c r="W67" i="8" s="1"/>
  <c r="DJ67" i="8"/>
  <c r="X67" i="8" s="1"/>
  <c r="DK67" i="8"/>
  <c r="Y67" i="8" s="1"/>
  <c r="DL67" i="8"/>
  <c r="Z67" i="8" s="1"/>
  <c r="DM67" i="8"/>
  <c r="AA67" i="8" s="1"/>
  <c r="DN67" i="8"/>
  <c r="AB67" i="8" s="1"/>
  <c r="DO67" i="8"/>
  <c r="AC67" i="8" s="1"/>
  <c r="DP67" i="8"/>
  <c r="AD67" i="8" s="1"/>
  <c r="DQ67" i="8"/>
  <c r="AE67" i="8" s="1"/>
  <c r="CT68" i="8"/>
  <c r="H68" i="8" s="1"/>
  <c r="CU68" i="8"/>
  <c r="I68" i="8" s="1"/>
  <c r="CV68" i="8"/>
  <c r="J68" i="8" s="1"/>
  <c r="CW68" i="8"/>
  <c r="K68" i="8" s="1"/>
  <c r="CX68" i="8"/>
  <c r="L68" i="8" s="1"/>
  <c r="CY68" i="8"/>
  <c r="M68" i="8" s="1"/>
  <c r="CZ68" i="8"/>
  <c r="N68" i="8" s="1"/>
  <c r="DA68" i="8"/>
  <c r="O68" i="8" s="1"/>
  <c r="DB68" i="8"/>
  <c r="P68" i="8" s="1"/>
  <c r="DC68" i="8"/>
  <c r="Q68" i="8" s="1"/>
  <c r="DD68" i="8"/>
  <c r="R68" i="8" s="1"/>
  <c r="DE68" i="8"/>
  <c r="S68" i="8" s="1"/>
  <c r="DF68" i="8"/>
  <c r="T68" i="8" s="1"/>
  <c r="DG68" i="8"/>
  <c r="U68" i="8" s="1"/>
  <c r="DH68" i="8"/>
  <c r="V68" i="8" s="1"/>
  <c r="DI68" i="8"/>
  <c r="W68" i="8" s="1"/>
  <c r="DJ68" i="8"/>
  <c r="X68" i="8" s="1"/>
  <c r="DK68" i="8"/>
  <c r="Y68" i="8" s="1"/>
  <c r="DL68" i="8"/>
  <c r="Z68" i="8" s="1"/>
  <c r="DM68" i="8"/>
  <c r="AA68" i="8" s="1"/>
  <c r="DN68" i="8"/>
  <c r="AB68" i="8" s="1"/>
  <c r="DO68" i="8"/>
  <c r="AC68" i="8" s="1"/>
  <c r="DP68" i="8"/>
  <c r="AD68" i="8" s="1"/>
  <c r="DQ68" i="8"/>
  <c r="AE68" i="8" s="1"/>
  <c r="CT69" i="8"/>
  <c r="H69" i="8" s="1"/>
  <c r="CU69" i="8"/>
  <c r="I69" i="8" s="1"/>
  <c r="CV69" i="8"/>
  <c r="J69" i="8" s="1"/>
  <c r="CW69" i="8"/>
  <c r="K69" i="8" s="1"/>
  <c r="CX69" i="8"/>
  <c r="L69" i="8" s="1"/>
  <c r="CY69" i="8"/>
  <c r="M69" i="8" s="1"/>
  <c r="CZ69" i="8"/>
  <c r="N69" i="8" s="1"/>
  <c r="DA69" i="8"/>
  <c r="O69" i="8" s="1"/>
  <c r="DB69" i="8"/>
  <c r="P69" i="8" s="1"/>
  <c r="DC69" i="8"/>
  <c r="Q69" i="8" s="1"/>
  <c r="DD69" i="8"/>
  <c r="R69" i="8" s="1"/>
  <c r="DE69" i="8"/>
  <c r="S69" i="8" s="1"/>
  <c r="DF69" i="8"/>
  <c r="T69" i="8" s="1"/>
  <c r="DG69" i="8"/>
  <c r="U69" i="8" s="1"/>
  <c r="DH69" i="8"/>
  <c r="V69" i="8" s="1"/>
  <c r="DI69" i="8"/>
  <c r="W69" i="8" s="1"/>
  <c r="DJ69" i="8"/>
  <c r="X69" i="8" s="1"/>
  <c r="DK69" i="8"/>
  <c r="Y69" i="8" s="1"/>
  <c r="DL69" i="8"/>
  <c r="Z69" i="8" s="1"/>
  <c r="DM69" i="8"/>
  <c r="AA69" i="8" s="1"/>
  <c r="DN69" i="8"/>
  <c r="AB69" i="8" s="1"/>
  <c r="DO69" i="8"/>
  <c r="AC69" i="8" s="1"/>
  <c r="DP69" i="8"/>
  <c r="AD69" i="8" s="1"/>
  <c r="DQ69" i="8"/>
  <c r="AE69" i="8" s="1"/>
  <c r="CT70" i="8"/>
  <c r="H70" i="8" s="1"/>
  <c r="CU70" i="8"/>
  <c r="I70" i="8" s="1"/>
  <c r="CV70" i="8"/>
  <c r="J70" i="8" s="1"/>
  <c r="CW70" i="8"/>
  <c r="K70" i="8" s="1"/>
  <c r="CX70" i="8"/>
  <c r="L70" i="8" s="1"/>
  <c r="CY70" i="8"/>
  <c r="M70" i="8" s="1"/>
  <c r="CZ70" i="8"/>
  <c r="N70" i="8" s="1"/>
  <c r="DA70" i="8"/>
  <c r="O70" i="8" s="1"/>
  <c r="DB70" i="8"/>
  <c r="P70" i="8" s="1"/>
  <c r="DC70" i="8"/>
  <c r="Q70" i="8" s="1"/>
  <c r="DD70" i="8"/>
  <c r="R70" i="8" s="1"/>
  <c r="DE70" i="8"/>
  <c r="S70" i="8" s="1"/>
  <c r="DF70" i="8"/>
  <c r="T70" i="8" s="1"/>
  <c r="DG70" i="8"/>
  <c r="U70" i="8" s="1"/>
  <c r="DH70" i="8"/>
  <c r="V70" i="8" s="1"/>
  <c r="DI70" i="8"/>
  <c r="W70" i="8" s="1"/>
  <c r="DJ70" i="8"/>
  <c r="X70" i="8" s="1"/>
  <c r="DK70" i="8"/>
  <c r="Y70" i="8" s="1"/>
  <c r="DL70" i="8"/>
  <c r="Z70" i="8" s="1"/>
  <c r="DM70" i="8"/>
  <c r="AA70" i="8" s="1"/>
  <c r="DN70" i="8"/>
  <c r="AB70" i="8" s="1"/>
  <c r="DO70" i="8"/>
  <c r="AC70" i="8" s="1"/>
  <c r="DP70" i="8"/>
  <c r="AD70" i="8" s="1"/>
  <c r="DQ70" i="8"/>
  <c r="AE70" i="8" s="1"/>
  <c r="AL24" i="1" l="1"/>
  <c r="AP24" i="1"/>
  <c r="AO24" i="1"/>
  <c r="AN24" i="1"/>
  <c r="AT24" i="1"/>
  <c r="AE37" i="9"/>
  <c r="AL6" i="1"/>
  <c r="AE4" i="9"/>
  <c r="AP29" i="1"/>
  <c r="AO29" i="1"/>
  <c r="AN29" i="1"/>
  <c r="AT29" i="1"/>
  <c r="AL29" i="1"/>
  <c r="AG68" i="9"/>
  <c r="AD37" i="9"/>
  <c r="AS24" i="1"/>
  <c r="AW24" i="1"/>
  <c r="AV24" i="1"/>
  <c r="AD4" i="9"/>
  <c r="AW29" i="1"/>
  <c r="AV29" i="1"/>
  <c r="AS29" i="1"/>
  <c r="AB4" i="9"/>
  <c r="AC37" i="9"/>
  <c r="AB37" i="9"/>
  <c r="AC8" i="1"/>
  <c r="DQ45" i="8"/>
  <c r="AE45" i="8" s="1"/>
  <c r="DQ46" i="8"/>
  <c r="AE46" i="8" s="1"/>
  <c r="DQ47" i="8"/>
  <c r="AE47" i="8" s="1"/>
  <c r="DQ49" i="8"/>
  <c r="AE49" i="8" s="1"/>
  <c r="DQ53" i="8"/>
  <c r="AE53" i="8" s="1"/>
  <c r="DQ54" i="8"/>
  <c r="AE54" i="8" s="1"/>
  <c r="DQ55" i="8"/>
  <c r="AE55" i="8" s="1"/>
  <c r="DQ41" i="8"/>
  <c r="AE41" i="8" s="1"/>
  <c r="DT240" i="8"/>
  <c r="AH240" i="8" s="1"/>
  <c r="DT41" i="8"/>
  <c r="AH41" i="8" s="1"/>
  <c r="DU41" i="8"/>
  <c r="AI41" i="8" s="1"/>
  <c r="DV41" i="8"/>
  <c r="AJ41" i="8" s="1"/>
  <c r="DW41" i="8"/>
  <c r="AK41" i="8" s="1"/>
  <c r="DQ42" i="8"/>
  <c r="AE42" i="8" s="1"/>
  <c r="AG42" i="8"/>
  <c r="DT42" i="8"/>
  <c r="AH42" i="8" s="1"/>
  <c r="AI42" i="8"/>
  <c r="DV42" i="8"/>
  <c r="AJ42" i="8" s="1"/>
  <c r="DW42" i="8"/>
  <c r="AK42" i="8" s="1"/>
  <c r="DQ43" i="8"/>
  <c r="AE43" i="8" s="1"/>
  <c r="AG43" i="8"/>
  <c r="DT43" i="8"/>
  <c r="AH43" i="8" s="1"/>
  <c r="DU43" i="8"/>
  <c r="AI43" i="8" s="1"/>
  <c r="DV43" i="8"/>
  <c r="AJ43" i="8" s="1"/>
  <c r="DW43" i="8"/>
  <c r="AK43" i="8" s="1"/>
  <c r="DQ44" i="8"/>
  <c r="AE44" i="8" s="1"/>
  <c r="AG44" i="8"/>
  <c r="DT44" i="8"/>
  <c r="AH44" i="8" s="1"/>
  <c r="DU44" i="8"/>
  <c r="AI44" i="8" s="1"/>
  <c r="DV44" i="8"/>
  <c r="AJ44" i="8" s="1"/>
  <c r="DW44" i="8"/>
  <c r="AK44" i="8" s="1"/>
  <c r="AG45" i="8"/>
  <c r="DT45" i="8"/>
  <c r="AH45" i="8" s="1"/>
  <c r="DU45" i="8"/>
  <c r="AI45" i="8" s="1"/>
  <c r="DV45" i="8"/>
  <c r="AJ45" i="8" s="1"/>
  <c r="DW45" i="8"/>
  <c r="AK45" i="8" s="1"/>
  <c r="AG46" i="8"/>
  <c r="DT46" i="8"/>
  <c r="AH46" i="8" s="1"/>
  <c r="DU46" i="8"/>
  <c r="AI46" i="8" s="1"/>
  <c r="DV46" i="8"/>
  <c r="AJ46" i="8" s="1"/>
  <c r="DW46" i="8"/>
  <c r="AK46" i="8" s="1"/>
  <c r="AG47" i="8"/>
  <c r="DT47" i="8"/>
  <c r="AH47" i="8" s="1"/>
  <c r="DU47" i="8"/>
  <c r="AI47" i="8" s="1"/>
  <c r="DV47" i="8"/>
  <c r="AJ47" i="8" s="1"/>
  <c r="DW47" i="8"/>
  <c r="AK47" i="8" s="1"/>
  <c r="DQ48" i="8"/>
  <c r="AE48" i="8" s="1"/>
  <c r="AG48" i="8"/>
  <c r="DT48" i="8"/>
  <c r="AH48" i="8" s="1"/>
  <c r="DU48" i="8"/>
  <c r="AI48" i="8" s="1"/>
  <c r="DV48" i="8"/>
  <c r="AJ48" i="8" s="1"/>
  <c r="DW48" i="8"/>
  <c r="AK48" i="8" s="1"/>
  <c r="AG49" i="8"/>
  <c r="DT49" i="8"/>
  <c r="AH49" i="8" s="1"/>
  <c r="DU49" i="8"/>
  <c r="AI49" i="8" s="1"/>
  <c r="DV49" i="8"/>
  <c r="AJ49" i="8" s="1"/>
  <c r="DW49" i="8"/>
  <c r="AK49" i="8" s="1"/>
  <c r="DQ50" i="8"/>
  <c r="AE50" i="8" s="1"/>
  <c r="AG50" i="8"/>
  <c r="DT50" i="8"/>
  <c r="AH50" i="8" s="1"/>
  <c r="DU50" i="8"/>
  <c r="AI50" i="8" s="1"/>
  <c r="DV50" i="8"/>
  <c r="AJ50" i="8" s="1"/>
  <c r="DW50" i="8"/>
  <c r="AK50" i="8" s="1"/>
  <c r="DQ51" i="8"/>
  <c r="AE51" i="8" s="1"/>
  <c r="AG51" i="8"/>
  <c r="DT51" i="8"/>
  <c r="AH51" i="8" s="1"/>
  <c r="DU51" i="8"/>
  <c r="AI51" i="8" s="1"/>
  <c r="DV51" i="8"/>
  <c r="AJ51" i="8" s="1"/>
  <c r="DW51" i="8"/>
  <c r="AK51" i="8" s="1"/>
  <c r="DQ52" i="8"/>
  <c r="AE52" i="8" s="1"/>
  <c r="AG52" i="8"/>
  <c r="DT52" i="8"/>
  <c r="AH52" i="8" s="1"/>
  <c r="DU52" i="8"/>
  <c r="AI52" i="8" s="1"/>
  <c r="DV52" i="8"/>
  <c r="AJ52" i="8" s="1"/>
  <c r="DW52" i="8"/>
  <c r="AK52" i="8" s="1"/>
  <c r="AG53" i="8"/>
  <c r="DT53" i="8"/>
  <c r="AH53" i="8" s="1"/>
  <c r="DU53" i="8"/>
  <c r="AI53" i="8" s="1"/>
  <c r="DV53" i="8"/>
  <c r="AJ53" i="8" s="1"/>
  <c r="DW53" i="8"/>
  <c r="AK53" i="8" s="1"/>
  <c r="AG54" i="8"/>
  <c r="DT54" i="8"/>
  <c r="AH54" i="8" s="1"/>
  <c r="DU54" i="8"/>
  <c r="AI54" i="8" s="1"/>
  <c r="DV54" i="8"/>
  <c r="AJ54" i="8" s="1"/>
  <c r="DW54" i="8"/>
  <c r="AK54" i="8" s="1"/>
  <c r="AG55" i="8"/>
  <c r="DT55" i="8"/>
  <c r="AH55" i="8" s="1"/>
  <c r="DU55" i="8"/>
  <c r="AI55" i="8" s="1"/>
  <c r="DV55" i="8"/>
  <c r="AJ55" i="8" s="1"/>
  <c r="DW55" i="8"/>
  <c r="AK55" i="8" s="1"/>
  <c r="DT56" i="8"/>
  <c r="AH56" i="8" s="1"/>
  <c r="DU56" i="8"/>
  <c r="AI56" i="8" s="1"/>
  <c r="DV56" i="8"/>
  <c r="AJ56" i="8" s="1"/>
  <c r="DW56" i="8"/>
  <c r="AK56" i="8" s="1"/>
  <c r="AG57" i="8"/>
  <c r="DT57" i="8"/>
  <c r="AH57" i="8" s="1"/>
  <c r="DU57" i="8"/>
  <c r="AI57" i="8" s="1"/>
  <c r="DV57" i="8"/>
  <c r="AJ57" i="8" s="1"/>
  <c r="DW57" i="8"/>
  <c r="AK57" i="8" s="1"/>
  <c r="AG58" i="8"/>
  <c r="AH58" i="8"/>
  <c r="DU58" i="8"/>
  <c r="AI58" i="8" s="1"/>
  <c r="DV58" i="8"/>
  <c r="AJ58" i="8" s="1"/>
  <c r="DW58" i="8"/>
  <c r="AK58" i="8" s="1"/>
  <c r="AG59" i="8"/>
  <c r="AH59" i="8"/>
  <c r="DU59" i="8"/>
  <c r="AI59" i="8" s="1"/>
  <c r="DV59" i="8"/>
  <c r="AJ59" i="8" s="1"/>
  <c r="DW59" i="8"/>
  <c r="AK59" i="8" s="1"/>
  <c r="AG60" i="8"/>
  <c r="AH60" i="8"/>
  <c r="DU60" i="8"/>
  <c r="AI60" i="8" s="1"/>
  <c r="DV60" i="8"/>
  <c r="AJ60" i="8" s="1"/>
  <c r="DW60" i="8"/>
  <c r="AK60" i="8" s="1"/>
  <c r="AG61" i="8"/>
  <c r="AH61" i="8"/>
  <c r="DU61" i="8"/>
  <c r="AI61" i="8" s="1"/>
  <c r="DV61" i="8"/>
  <c r="AJ61" i="8" s="1"/>
  <c r="DW61" i="8"/>
  <c r="AK61" i="8" s="1"/>
  <c r="AG62" i="8"/>
  <c r="AH62" i="8"/>
  <c r="DU62" i="8"/>
  <c r="AI62" i="8" s="1"/>
  <c r="DV62" i="8"/>
  <c r="AJ62" i="8" s="1"/>
  <c r="DW62" i="8"/>
  <c r="AK62" i="8" s="1"/>
  <c r="AG63" i="8"/>
  <c r="AH63" i="8"/>
  <c r="DU63" i="8"/>
  <c r="AI63" i="8" s="1"/>
  <c r="DV63" i="8"/>
  <c r="AJ63" i="8" s="1"/>
  <c r="DW63" i="8"/>
  <c r="AK63" i="8" s="1"/>
  <c r="AG64" i="8"/>
  <c r="AH64" i="8"/>
  <c r="DU64" i="8"/>
  <c r="AI64" i="8" s="1"/>
  <c r="DV64" i="8"/>
  <c r="AJ64" i="8" s="1"/>
  <c r="DW64" i="8"/>
  <c r="AK64" i="8" s="1"/>
  <c r="AG65" i="8"/>
  <c r="AH65" i="8"/>
  <c r="DU65" i="8"/>
  <c r="AI65" i="8" s="1"/>
  <c r="DV65" i="8"/>
  <c r="AJ65" i="8" s="1"/>
  <c r="DW65" i="8"/>
  <c r="AK65" i="8" s="1"/>
  <c r="AG66" i="8"/>
  <c r="AH66" i="8"/>
  <c r="DU66" i="8"/>
  <c r="AI66" i="8" s="1"/>
  <c r="DV66" i="8"/>
  <c r="AJ66" i="8" s="1"/>
  <c r="DW66" i="8"/>
  <c r="AK66" i="8" s="1"/>
  <c r="AG67" i="8"/>
  <c r="AH67" i="8"/>
  <c r="DU67" i="8"/>
  <c r="AI67" i="8" s="1"/>
  <c r="DV67" i="8"/>
  <c r="AJ67" i="8" s="1"/>
  <c r="DW67" i="8"/>
  <c r="AK67" i="8" s="1"/>
  <c r="AG68" i="8"/>
  <c r="AH68" i="8"/>
  <c r="DU68" i="8"/>
  <c r="AI68" i="8" s="1"/>
  <c r="DV68" i="8"/>
  <c r="AJ68" i="8" s="1"/>
  <c r="DW68" i="8"/>
  <c r="AK68" i="8" s="1"/>
  <c r="AG69" i="8"/>
  <c r="AH69" i="8"/>
  <c r="DU69" i="8"/>
  <c r="AI69" i="8" s="1"/>
  <c r="DV69" i="8"/>
  <c r="AJ69" i="8" s="1"/>
  <c r="DW69" i="8"/>
  <c r="AK69" i="8" s="1"/>
  <c r="AG70" i="8"/>
  <c r="DT70" i="8"/>
  <c r="AH70" i="8" s="1"/>
  <c r="DU70" i="8"/>
  <c r="AI70" i="8" s="1"/>
  <c r="DV70" i="8"/>
  <c r="AJ70" i="8" s="1"/>
  <c r="DW70" i="8"/>
  <c r="AK70" i="8" s="1"/>
  <c r="DQ71" i="8"/>
  <c r="AE71" i="8" s="1"/>
  <c r="AG71" i="8"/>
  <c r="DT71" i="8"/>
  <c r="AH71" i="8" s="1"/>
  <c r="DU71" i="8"/>
  <c r="AI71" i="8" s="1"/>
  <c r="DV71" i="8"/>
  <c r="AJ71" i="8" s="1"/>
  <c r="DW71" i="8"/>
  <c r="AK71" i="8" s="1"/>
  <c r="DQ72" i="8"/>
  <c r="AE72" i="8" s="1"/>
  <c r="AG72" i="8"/>
  <c r="DT72" i="8"/>
  <c r="AH72" i="8" s="1"/>
  <c r="DU72" i="8"/>
  <c r="AI72" i="8" s="1"/>
  <c r="DV72" i="8"/>
  <c r="AJ72" i="8" s="1"/>
  <c r="DW72" i="8"/>
  <c r="AK72" i="8" s="1"/>
  <c r="DQ73" i="8"/>
  <c r="AE73" i="8" s="1"/>
  <c r="AG73" i="8"/>
  <c r="DT73" i="8"/>
  <c r="AH73" i="8" s="1"/>
  <c r="DU73" i="8"/>
  <c r="AI73" i="8" s="1"/>
  <c r="DV73" i="8"/>
  <c r="AJ73" i="8" s="1"/>
  <c r="DW73" i="8"/>
  <c r="AK73" i="8" s="1"/>
  <c r="DQ74" i="8"/>
  <c r="AE74" i="8" s="1"/>
  <c r="AG74" i="8"/>
  <c r="DT74" i="8"/>
  <c r="AH74" i="8" s="1"/>
  <c r="DU74" i="8"/>
  <c r="AI74" i="8" s="1"/>
  <c r="DV74" i="8"/>
  <c r="AJ74" i="8" s="1"/>
  <c r="DW74" i="8"/>
  <c r="AK74" i="8" s="1"/>
  <c r="DQ75" i="8"/>
  <c r="AE75" i="8" s="1"/>
  <c r="AG75" i="8"/>
  <c r="DT75" i="8"/>
  <c r="AH75" i="8" s="1"/>
  <c r="DU75" i="8"/>
  <c r="AI75" i="8" s="1"/>
  <c r="DV75" i="8"/>
  <c r="AJ75" i="8" s="1"/>
  <c r="DW75" i="8"/>
  <c r="AK75" i="8" s="1"/>
  <c r="DQ76" i="8"/>
  <c r="AE76" i="8" s="1"/>
  <c r="AG76" i="8"/>
  <c r="DT76" i="8"/>
  <c r="AH76" i="8" s="1"/>
  <c r="DU76" i="8"/>
  <c r="AI76" i="8" s="1"/>
  <c r="DV76" i="8"/>
  <c r="AJ76" i="8" s="1"/>
  <c r="DW76" i="8"/>
  <c r="AK76" i="8" s="1"/>
  <c r="DQ77" i="8"/>
  <c r="AE77" i="8" s="1"/>
  <c r="AG77" i="8"/>
  <c r="DT77" i="8"/>
  <c r="AH77" i="8" s="1"/>
  <c r="DU77" i="8"/>
  <c r="AI77" i="8" s="1"/>
  <c r="DV77" i="8"/>
  <c r="AJ77" i="8" s="1"/>
  <c r="DW77" i="8"/>
  <c r="AK77" i="8" s="1"/>
  <c r="DQ78" i="8"/>
  <c r="AE78" i="8" s="1"/>
  <c r="AG78" i="8"/>
  <c r="DT78" i="8"/>
  <c r="AH78" i="8" s="1"/>
  <c r="DU78" i="8"/>
  <c r="AI78" i="8" s="1"/>
  <c r="DV78" i="8"/>
  <c r="AJ78" i="8" s="1"/>
  <c r="DW78" i="8"/>
  <c r="AK78" i="8" s="1"/>
  <c r="DQ79" i="8"/>
  <c r="AE79" i="8" s="1"/>
  <c r="AG79" i="8"/>
  <c r="DT79" i="8"/>
  <c r="AH79" i="8" s="1"/>
  <c r="DU79" i="8"/>
  <c r="AI79" i="8" s="1"/>
  <c r="DV79" i="8"/>
  <c r="AJ79" i="8" s="1"/>
  <c r="DW79" i="8"/>
  <c r="AK79" i="8" s="1"/>
  <c r="DQ80" i="8"/>
  <c r="AE80" i="8" s="1"/>
  <c r="AG80" i="8"/>
  <c r="DT80" i="8"/>
  <c r="AH80" i="8" s="1"/>
  <c r="DU80" i="8"/>
  <c r="AI80" i="8" s="1"/>
  <c r="DV80" i="8"/>
  <c r="AJ80" i="8" s="1"/>
  <c r="DW80" i="8"/>
  <c r="AK80" i="8" s="1"/>
  <c r="DQ81" i="8"/>
  <c r="AE81" i="8" s="1"/>
  <c r="AG81" i="8"/>
  <c r="DT81" i="8"/>
  <c r="AH81" i="8" s="1"/>
  <c r="DU81" i="8"/>
  <c r="AI81" i="8" s="1"/>
  <c r="DV81" i="8"/>
  <c r="AJ81" i="8" s="1"/>
  <c r="DW81" i="8"/>
  <c r="AK81" i="8" s="1"/>
  <c r="DQ82" i="8"/>
  <c r="AE82" i="8" s="1"/>
  <c r="AG82" i="8"/>
  <c r="DT82" i="8"/>
  <c r="AH82" i="8" s="1"/>
  <c r="DU82" i="8"/>
  <c r="AI82" i="8" s="1"/>
  <c r="DV82" i="8"/>
  <c r="AJ82" i="8" s="1"/>
  <c r="DW82" i="8"/>
  <c r="AK82" i="8" s="1"/>
  <c r="DQ83" i="8"/>
  <c r="AE83" i="8" s="1"/>
  <c r="AG83" i="8"/>
  <c r="DT83" i="8"/>
  <c r="AH83" i="8" s="1"/>
  <c r="DU83" i="8"/>
  <c r="AI83" i="8" s="1"/>
  <c r="DV83" i="8"/>
  <c r="AJ83" i="8" s="1"/>
  <c r="DW83" i="8"/>
  <c r="AK83" i="8" s="1"/>
  <c r="DQ84" i="8"/>
  <c r="AE84" i="8" s="1"/>
  <c r="AG84" i="8"/>
  <c r="DT84" i="8"/>
  <c r="AH84" i="8" s="1"/>
  <c r="DU84" i="8"/>
  <c r="AI84" i="8" s="1"/>
  <c r="DV84" i="8"/>
  <c r="AJ84" i="8" s="1"/>
  <c r="DW84" i="8"/>
  <c r="AK84" i="8" s="1"/>
  <c r="DQ85" i="8"/>
  <c r="AE85" i="8" s="1"/>
  <c r="AG85" i="8"/>
  <c r="DT85" i="8"/>
  <c r="AH85" i="8" s="1"/>
  <c r="DU85" i="8"/>
  <c r="AI85" i="8" s="1"/>
  <c r="DV85" i="8"/>
  <c r="AJ85" i="8" s="1"/>
  <c r="DW85" i="8"/>
  <c r="AK85" i="8" s="1"/>
  <c r="DQ86" i="8"/>
  <c r="AE86" i="8" s="1"/>
  <c r="AG86" i="8"/>
  <c r="DT86" i="8"/>
  <c r="AH86" i="8" s="1"/>
  <c r="DU86" i="8"/>
  <c r="AI86" i="8" s="1"/>
  <c r="DV86" i="8"/>
  <c r="AJ86" i="8" s="1"/>
  <c r="DW86" i="8"/>
  <c r="AK86" i="8" s="1"/>
  <c r="DQ87" i="8"/>
  <c r="AE87" i="8" s="1"/>
  <c r="AG87" i="8"/>
  <c r="DT87" i="8"/>
  <c r="AH87" i="8" s="1"/>
  <c r="DU87" i="8"/>
  <c r="AI87" i="8" s="1"/>
  <c r="DV87" i="8"/>
  <c r="AJ87" i="8" s="1"/>
  <c r="DW87" i="8"/>
  <c r="AK87" i="8" s="1"/>
  <c r="DQ91" i="8"/>
  <c r="AE91" i="8" s="1"/>
  <c r="AG91" i="8"/>
  <c r="DT91" i="8"/>
  <c r="AH91" i="8" s="1"/>
  <c r="DU91" i="8"/>
  <c r="AI91" i="8" s="1"/>
  <c r="DV91" i="8"/>
  <c r="AJ91" i="8" s="1"/>
  <c r="DW91" i="8"/>
  <c r="AK91" i="8" s="1"/>
  <c r="DQ92" i="8"/>
  <c r="AE92" i="8" s="1"/>
  <c r="AG92" i="8"/>
  <c r="DT92" i="8"/>
  <c r="AH92" i="8" s="1"/>
  <c r="DU92" i="8"/>
  <c r="AI92" i="8" s="1"/>
  <c r="DV92" i="8"/>
  <c r="AJ92" i="8" s="1"/>
  <c r="DW92" i="8"/>
  <c r="AK92" i="8" s="1"/>
  <c r="DQ93" i="8"/>
  <c r="AE93" i="8" s="1"/>
  <c r="AG93" i="8"/>
  <c r="DT93" i="8"/>
  <c r="AH93" i="8" s="1"/>
  <c r="DU93" i="8"/>
  <c r="AI93" i="8" s="1"/>
  <c r="DV93" i="8"/>
  <c r="AJ93" i="8" s="1"/>
  <c r="DW93" i="8"/>
  <c r="AK93" i="8" s="1"/>
  <c r="DQ94" i="8"/>
  <c r="AE94" i="8" s="1"/>
  <c r="AG94" i="8"/>
  <c r="DT94" i="8"/>
  <c r="AH94" i="8" s="1"/>
  <c r="DU94" i="8"/>
  <c r="AI94" i="8" s="1"/>
  <c r="DV94" i="8"/>
  <c r="AJ94" i="8" s="1"/>
  <c r="DW94" i="8"/>
  <c r="AK94" i="8" s="1"/>
  <c r="DQ95" i="8"/>
  <c r="AE95" i="8" s="1"/>
  <c r="AG95" i="8"/>
  <c r="DT95" i="8"/>
  <c r="AH95" i="8" s="1"/>
  <c r="DU95" i="8"/>
  <c r="AI95" i="8" s="1"/>
  <c r="DV95" i="8"/>
  <c r="AJ95" i="8" s="1"/>
  <c r="DW95" i="8"/>
  <c r="AK95" i="8" s="1"/>
  <c r="DQ96" i="8"/>
  <c r="AE96" i="8" s="1"/>
  <c r="AG96" i="8"/>
  <c r="DT96" i="8"/>
  <c r="AH96" i="8" s="1"/>
  <c r="DU96" i="8"/>
  <c r="AI96" i="8" s="1"/>
  <c r="DV96" i="8"/>
  <c r="AJ96" i="8" s="1"/>
  <c r="DW96" i="8"/>
  <c r="AK96" i="8" s="1"/>
  <c r="DQ97" i="8"/>
  <c r="AE97" i="8" s="1"/>
  <c r="AG97" i="8"/>
  <c r="DT97" i="8"/>
  <c r="AH97" i="8" s="1"/>
  <c r="DU97" i="8"/>
  <c r="AI97" i="8" s="1"/>
  <c r="DV97" i="8"/>
  <c r="AJ97" i="8" s="1"/>
  <c r="DW97" i="8"/>
  <c r="AK97" i="8" s="1"/>
  <c r="DQ98" i="8"/>
  <c r="AE98" i="8" s="1"/>
  <c r="AG98" i="8"/>
  <c r="DT98" i="8"/>
  <c r="AH98" i="8" s="1"/>
  <c r="DU98" i="8"/>
  <c r="AI98" i="8" s="1"/>
  <c r="DV98" i="8"/>
  <c r="AJ98" i="8" s="1"/>
  <c r="DW98" i="8"/>
  <c r="AK98" i="8" s="1"/>
  <c r="DQ99" i="8"/>
  <c r="AE99" i="8" s="1"/>
  <c r="AG99" i="8"/>
  <c r="DT99" i="8"/>
  <c r="AH99" i="8" s="1"/>
  <c r="DU99" i="8"/>
  <c r="AI99" i="8" s="1"/>
  <c r="DV99" i="8"/>
  <c r="AJ99" i="8" s="1"/>
  <c r="DW99" i="8"/>
  <c r="AK99" i="8" s="1"/>
  <c r="DQ100" i="8"/>
  <c r="AE100" i="8" s="1"/>
  <c r="AG100" i="8"/>
  <c r="DT100" i="8"/>
  <c r="AH100" i="8" s="1"/>
  <c r="DU100" i="8"/>
  <c r="AI100" i="8" s="1"/>
  <c r="DV100" i="8"/>
  <c r="AJ100" i="8" s="1"/>
  <c r="DW100" i="8"/>
  <c r="AK100" i="8" s="1"/>
  <c r="DQ101" i="8"/>
  <c r="AE101" i="8" s="1"/>
  <c r="AG101" i="8"/>
  <c r="DT101" i="8"/>
  <c r="AH101" i="8" s="1"/>
  <c r="DU101" i="8"/>
  <c r="AI101" i="8" s="1"/>
  <c r="DV101" i="8"/>
  <c r="AJ101" i="8" s="1"/>
  <c r="DW101" i="8"/>
  <c r="AK101" i="8" s="1"/>
  <c r="DQ102" i="8"/>
  <c r="AE102" i="8" s="1"/>
  <c r="AG102" i="8"/>
  <c r="DT102" i="8"/>
  <c r="AH102" i="8" s="1"/>
  <c r="DU102" i="8"/>
  <c r="AI102" i="8" s="1"/>
  <c r="DV102" i="8"/>
  <c r="AJ102" i="8" s="1"/>
  <c r="DW102" i="8"/>
  <c r="AK102" i="8" s="1"/>
  <c r="DQ103" i="8"/>
  <c r="AE103" i="8" s="1"/>
  <c r="AG103" i="8"/>
  <c r="DT103" i="8"/>
  <c r="AH103" i="8" s="1"/>
  <c r="DU103" i="8"/>
  <c r="AI103" i="8" s="1"/>
  <c r="DV103" i="8"/>
  <c r="AJ103" i="8" s="1"/>
  <c r="DW103" i="8"/>
  <c r="AK103" i="8" s="1"/>
  <c r="DQ104" i="8"/>
  <c r="AE104" i="8" s="1"/>
  <c r="AG104" i="8"/>
  <c r="DT104" i="8"/>
  <c r="AH104" i="8" s="1"/>
  <c r="DU104" i="8"/>
  <c r="AI104" i="8" s="1"/>
  <c r="DV104" i="8"/>
  <c r="AJ104" i="8" s="1"/>
  <c r="DW104" i="8"/>
  <c r="AK104" i="8" s="1"/>
  <c r="DQ105" i="8"/>
  <c r="AE105" i="8" s="1"/>
  <c r="AG105" i="8"/>
  <c r="DT105" i="8"/>
  <c r="AH105" i="8" s="1"/>
  <c r="DU105" i="8"/>
  <c r="AI105" i="8" s="1"/>
  <c r="DV105" i="8"/>
  <c r="AJ105" i="8" s="1"/>
  <c r="DW105" i="8"/>
  <c r="AK105" i="8" s="1"/>
  <c r="DQ106" i="8"/>
  <c r="AE106" i="8" s="1"/>
  <c r="AG106" i="8"/>
  <c r="DT106" i="8"/>
  <c r="AH106" i="8" s="1"/>
  <c r="DU106" i="8"/>
  <c r="AI106" i="8" s="1"/>
  <c r="DV106" i="8"/>
  <c r="AJ106" i="8" s="1"/>
  <c r="DW106" i="8"/>
  <c r="AK106" i="8" s="1"/>
  <c r="DQ107" i="8"/>
  <c r="AE107" i="8" s="1"/>
  <c r="AG107" i="8"/>
  <c r="DT107" i="8"/>
  <c r="AH107" i="8" s="1"/>
  <c r="DU107" i="8"/>
  <c r="AI107" i="8" s="1"/>
  <c r="DV107" i="8"/>
  <c r="AJ107" i="8" s="1"/>
  <c r="DW107" i="8"/>
  <c r="AK107" i="8" s="1"/>
  <c r="DQ108" i="8"/>
  <c r="AE108" i="8" s="1"/>
  <c r="AG108" i="8"/>
  <c r="DT108" i="8"/>
  <c r="AH108" i="8" s="1"/>
  <c r="DU108" i="8"/>
  <c r="AI108" i="8" s="1"/>
  <c r="DV108" i="8"/>
  <c r="AJ108" i="8" s="1"/>
  <c r="DW108" i="8"/>
  <c r="AK108" i="8" s="1"/>
  <c r="DQ109" i="8"/>
  <c r="AE109" i="8" s="1"/>
  <c r="AG109" i="8"/>
  <c r="DT109" i="8"/>
  <c r="AH109" i="8" s="1"/>
  <c r="DU109" i="8"/>
  <c r="AI109" i="8" s="1"/>
  <c r="DV109" i="8"/>
  <c r="AJ109" i="8" s="1"/>
  <c r="DW109" i="8"/>
  <c r="AK109" i="8" s="1"/>
  <c r="DQ110" i="8"/>
  <c r="AE110" i="8" s="1"/>
  <c r="AG110" i="8"/>
  <c r="DT110" i="8"/>
  <c r="AH110" i="8" s="1"/>
  <c r="DU110" i="8"/>
  <c r="AI110" i="8" s="1"/>
  <c r="DV110" i="8"/>
  <c r="AJ110" i="8" s="1"/>
  <c r="DW110" i="8"/>
  <c r="AK110" i="8" s="1"/>
  <c r="DQ111" i="8"/>
  <c r="AE111" i="8" s="1"/>
  <c r="AG111" i="8"/>
  <c r="DT111" i="8"/>
  <c r="AH111" i="8" s="1"/>
  <c r="DU111" i="8"/>
  <c r="AI111" i="8" s="1"/>
  <c r="DV111" i="8"/>
  <c r="AJ111" i="8" s="1"/>
  <c r="DW111" i="8"/>
  <c r="AK111" i="8" s="1"/>
  <c r="DQ112" i="8"/>
  <c r="AE112" i="8" s="1"/>
  <c r="AG112" i="8"/>
  <c r="DT112" i="8"/>
  <c r="AH112" i="8" s="1"/>
  <c r="DU112" i="8"/>
  <c r="AI112" i="8" s="1"/>
  <c r="DV112" i="8"/>
  <c r="AJ112" i="8" s="1"/>
  <c r="DW112" i="8"/>
  <c r="AK112" i="8" s="1"/>
  <c r="DQ113" i="8"/>
  <c r="AE113" i="8" s="1"/>
  <c r="AG113" i="8"/>
  <c r="DT113" i="8"/>
  <c r="AH113" i="8" s="1"/>
  <c r="DU113" i="8"/>
  <c r="AI113" i="8" s="1"/>
  <c r="DV113" i="8"/>
  <c r="AJ113" i="8" s="1"/>
  <c r="DW113" i="8"/>
  <c r="AK113" i="8" s="1"/>
  <c r="DQ114" i="8"/>
  <c r="AE114" i="8" s="1"/>
  <c r="AG114" i="8"/>
  <c r="DT114" i="8"/>
  <c r="AH114" i="8" s="1"/>
  <c r="DU114" i="8"/>
  <c r="AI114" i="8" s="1"/>
  <c r="DV114" i="8"/>
  <c r="AJ114" i="8" s="1"/>
  <c r="DW114" i="8"/>
  <c r="AK114" i="8" s="1"/>
  <c r="DQ115" i="8"/>
  <c r="AE115" i="8" s="1"/>
  <c r="AG115" i="8"/>
  <c r="DT115" i="8"/>
  <c r="AH115" i="8" s="1"/>
  <c r="DU115" i="8"/>
  <c r="AI115" i="8" s="1"/>
  <c r="DV115" i="8"/>
  <c r="AJ115" i="8" s="1"/>
  <c r="DW115" i="8"/>
  <c r="AK115" i="8" s="1"/>
  <c r="DQ116" i="8"/>
  <c r="AE116" i="8" s="1"/>
  <c r="AG116" i="8"/>
  <c r="DT116" i="8"/>
  <c r="AH116" i="8" s="1"/>
  <c r="DU116" i="8"/>
  <c r="AI116" i="8" s="1"/>
  <c r="DV116" i="8"/>
  <c r="AJ116" i="8" s="1"/>
  <c r="DW116" i="8"/>
  <c r="AK116" i="8" s="1"/>
  <c r="DQ117" i="8"/>
  <c r="AE117" i="8" s="1"/>
  <c r="AG117" i="8"/>
  <c r="DT117" i="8"/>
  <c r="AH117" i="8" s="1"/>
  <c r="DU117" i="8"/>
  <c r="AI117" i="8" s="1"/>
  <c r="DV117" i="8"/>
  <c r="AJ117" i="8" s="1"/>
  <c r="DW117" i="8"/>
  <c r="AK117" i="8" s="1"/>
  <c r="DQ118" i="8"/>
  <c r="AE118" i="8" s="1"/>
  <c r="AG118" i="8"/>
  <c r="DT118" i="8"/>
  <c r="AH118" i="8" s="1"/>
  <c r="DU118" i="8"/>
  <c r="AI118" i="8" s="1"/>
  <c r="DV118" i="8"/>
  <c r="AJ118" i="8" s="1"/>
  <c r="DW118" i="8"/>
  <c r="AK118" i="8" s="1"/>
  <c r="DQ119" i="8"/>
  <c r="AE119" i="8" s="1"/>
  <c r="AG119" i="8"/>
  <c r="DT119" i="8"/>
  <c r="AH119" i="8" s="1"/>
  <c r="DU119" i="8"/>
  <c r="AI119" i="8" s="1"/>
  <c r="DV119" i="8"/>
  <c r="AJ119" i="8" s="1"/>
  <c r="DW119" i="8"/>
  <c r="AK119" i="8" s="1"/>
  <c r="DQ120" i="8"/>
  <c r="AE120" i="8" s="1"/>
  <c r="AG120" i="8"/>
  <c r="DT120" i="8"/>
  <c r="AH120" i="8" s="1"/>
  <c r="DU120" i="8"/>
  <c r="AI120" i="8" s="1"/>
  <c r="DV120" i="8"/>
  <c r="AJ120" i="8" s="1"/>
  <c r="DW120" i="8"/>
  <c r="AK120" i="8" s="1"/>
  <c r="DQ121" i="8"/>
  <c r="AE121" i="8" s="1"/>
  <c r="AG121" i="8"/>
  <c r="DT121" i="8"/>
  <c r="AH121" i="8" s="1"/>
  <c r="DU121" i="8"/>
  <c r="AI121" i="8" s="1"/>
  <c r="DV121" i="8"/>
  <c r="AJ121" i="8" s="1"/>
  <c r="DW121" i="8"/>
  <c r="AK121" i="8" s="1"/>
  <c r="DQ122" i="8"/>
  <c r="AE122" i="8" s="1"/>
  <c r="AG122" i="8"/>
  <c r="DT122" i="8"/>
  <c r="AH122" i="8" s="1"/>
  <c r="DU122" i="8"/>
  <c r="AI122" i="8" s="1"/>
  <c r="DV122" i="8"/>
  <c r="AJ122" i="8" s="1"/>
  <c r="DW122" i="8"/>
  <c r="AK122" i="8" s="1"/>
  <c r="DQ123" i="8"/>
  <c r="AE123" i="8" s="1"/>
  <c r="AG123" i="8"/>
  <c r="DT123" i="8"/>
  <c r="AH123" i="8" s="1"/>
  <c r="DU123" i="8"/>
  <c r="AI123" i="8" s="1"/>
  <c r="DV123" i="8"/>
  <c r="AJ123" i="8" s="1"/>
  <c r="DW123" i="8"/>
  <c r="AK123" i="8" s="1"/>
  <c r="DQ124" i="8"/>
  <c r="AE124" i="8" s="1"/>
  <c r="AG124" i="8"/>
  <c r="DT124" i="8"/>
  <c r="AH124" i="8" s="1"/>
  <c r="DU124" i="8"/>
  <c r="AI124" i="8" s="1"/>
  <c r="DV124" i="8"/>
  <c r="AJ124" i="8" s="1"/>
  <c r="DW124" i="8"/>
  <c r="AK124" i="8" s="1"/>
  <c r="DQ125" i="8"/>
  <c r="AE125" i="8" s="1"/>
  <c r="AG125" i="8"/>
  <c r="DT125" i="8"/>
  <c r="AH125" i="8" s="1"/>
  <c r="DU125" i="8"/>
  <c r="AI125" i="8" s="1"/>
  <c r="DV125" i="8"/>
  <c r="AJ125" i="8" s="1"/>
  <c r="DW125" i="8"/>
  <c r="AK125" i="8" s="1"/>
  <c r="DQ126" i="8"/>
  <c r="AE126" i="8" s="1"/>
  <c r="AG126" i="8"/>
  <c r="DT126" i="8"/>
  <c r="AH126" i="8" s="1"/>
  <c r="DU126" i="8"/>
  <c r="AI126" i="8" s="1"/>
  <c r="DV126" i="8"/>
  <c r="AJ126" i="8" s="1"/>
  <c r="DW126" i="8"/>
  <c r="AK126" i="8" s="1"/>
  <c r="DQ127" i="8"/>
  <c r="AE127" i="8" s="1"/>
  <c r="AG127" i="8"/>
  <c r="DT127" i="8"/>
  <c r="AH127" i="8" s="1"/>
  <c r="DU127" i="8"/>
  <c r="AI127" i="8" s="1"/>
  <c r="DV127" i="8"/>
  <c r="AJ127" i="8" s="1"/>
  <c r="DW127" i="8"/>
  <c r="AK127" i="8" s="1"/>
  <c r="DQ128" i="8"/>
  <c r="AE128" i="8" s="1"/>
  <c r="AG128" i="8"/>
  <c r="DT128" i="8"/>
  <c r="AH128" i="8" s="1"/>
  <c r="DU128" i="8"/>
  <c r="AI128" i="8" s="1"/>
  <c r="DV128" i="8"/>
  <c r="AJ128" i="8" s="1"/>
  <c r="DW128" i="8"/>
  <c r="AK128" i="8" s="1"/>
  <c r="DQ129" i="8"/>
  <c r="AE129" i="8" s="1"/>
  <c r="AG129" i="8"/>
  <c r="DT129" i="8"/>
  <c r="AH129" i="8" s="1"/>
  <c r="DU129" i="8"/>
  <c r="AI129" i="8" s="1"/>
  <c r="DV129" i="8"/>
  <c r="AJ129" i="8" s="1"/>
  <c r="DW129" i="8"/>
  <c r="AK129" i="8" s="1"/>
  <c r="DQ130" i="8"/>
  <c r="AE130" i="8" s="1"/>
  <c r="AG130" i="8"/>
  <c r="DT130" i="8"/>
  <c r="AH130" i="8" s="1"/>
  <c r="DU130" i="8"/>
  <c r="AI130" i="8" s="1"/>
  <c r="DV130" i="8"/>
  <c r="AJ130" i="8" s="1"/>
  <c r="DW130" i="8"/>
  <c r="AK130" i="8" s="1"/>
  <c r="DQ133" i="8"/>
  <c r="AE133" i="8" s="1"/>
  <c r="AG133" i="8"/>
  <c r="DT133" i="8"/>
  <c r="AH133" i="8" s="1"/>
  <c r="DU133" i="8"/>
  <c r="AI133" i="8" s="1"/>
  <c r="DV133" i="8"/>
  <c r="AJ133" i="8" s="1"/>
  <c r="DW133" i="8"/>
  <c r="AK133" i="8" s="1"/>
  <c r="DQ134" i="8"/>
  <c r="AE134" i="8" s="1"/>
  <c r="AG134" i="8"/>
  <c r="DT134" i="8"/>
  <c r="AH134" i="8" s="1"/>
  <c r="DU134" i="8"/>
  <c r="AI134" i="8" s="1"/>
  <c r="DV134" i="8"/>
  <c r="AJ134" i="8" s="1"/>
  <c r="DW134" i="8"/>
  <c r="AK134" i="8" s="1"/>
  <c r="DQ135" i="8"/>
  <c r="AE135" i="8" s="1"/>
  <c r="AG135" i="8"/>
  <c r="DT135" i="8"/>
  <c r="AH135" i="8" s="1"/>
  <c r="DU135" i="8"/>
  <c r="AI135" i="8" s="1"/>
  <c r="DV135" i="8"/>
  <c r="AJ135" i="8" s="1"/>
  <c r="DW135" i="8"/>
  <c r="AK135" i="8" s="1"/>
  <c r="DQ136" i="8"/>
  <c r="AE136" i="8" s="1"/>
  <c r="AG136" i="8"/>
  <c r="DT136" i="8"/>
  <c r="AH136" i="8" s="1"/>
  <c r="DU136" i="8"/>
  <c r="AI136" i="8" s="1"/>
  <c r="DV136" i="8"/>
  <c r="AJ136" i="8" s="1"/>
  <c r="DW136" i="8"/>
  <c r="AK136" i="8" s="1"/>
  <c r="DQ137" i="8"/>
  <c r="AE137" i="8" s="1"/>
  <c r="AG137" i="8"/>
  <c r="DT137" i="8"/>
  <c r="AH137" i="8" s="1"/>
  <c r="DU137" i="8"/>
  <c r="AI137" i="8" s="1"/>
  <c r="DV137" i="8"/>
  <c r="AJ137" i="8" s="1"/>
  <c r="DW137" i="8"/>
  <c r="AK137" i="8" s="1"/>
  <c r="DQ138" i="8"/>
  <c r="AE138" i="8" s="1"/>
  <c r="AG138" i="8"/>
  <c r="DT138" i="8"/>
  <c r="AH138" i="8" s="1"/>
  <c r="DU138" i="8"/>
  <c r="AI138" i="8" s="1"/>
  <c r="DV138" i="8"/>
  <c r="AJ138" i="8" s="1"/>
  <c r="DW138" i="8"/>
  <c r="AK138" i="8" s="1"/>
  <c r="DQ139" i="8"/>
  <c r="AE139" i="8" s="1"/>
  <c r="AG139" i="8"/>
  <c r="DT139" i="8"/>
  <c r="AH139" i="8" s="1"/>
  <c r="DU139" i="8"/>
  <c r="AI139" i="8" s="1"/>
  <c r="DV139" i="8"/>
  <c r="AJ139" i="8" s="1"/>
  <c r="DW139" i="8"/>
  <c r="AK139" i="8" s="1"/>
  <c r="DQ140" i="8"/>
  <c r="AE140" i="8" s="1"/>
  <c r="AG140" i="8"/>
  <c r="DT140" i="8"/>
  <c r="AH140" i="8" s="1"/>
  <c r="DU140" i="8"/>
  <c r="AI140" i="8" s="1"/>
  <c r="DV140" i="8"/>
  <c r="AJ140" i="8" s="1"/>
  <c r="DW140" i="8"/>
  <c r="AK140" i="8" s="1"/>
  <c r="DQ141" i="8"/>
  <c r="AE141" i="8" s="1"/>
  <c r="AG141" i="8"/>
  <c r="DT141" i="8"/>
  <c r="AH141" i="8" s="1"/>
  <c r="DU141" i="8"/>
  <c r="AI141" i="8" s="1"/>
  <c r="DV141" i="8"/>
  <c r="AJ141" i="8" s="1"/>
  <c r="DW141" i="8"/>
  <c r="AK141" i="8" s="1"/>
  <c r="DQ142" i="8"/>
  <c r="AE142" i="8" s="1"/>
  <c r="AG142" i="8"/>
  <c r="DT142" i="8"/>
  <c r="AH142" i="8" s="1"/>
  <c r="DU142" i="8"/>
  <c r="AI142" i="8" s="1"/>
  <c r="DV142" i="8"/>
  <c r="AJ142" i="8" s="1"/>
  <c r="DW142" i="8"/>
  <c r="AK142" i="8" s="1"/>
  <c r="DQ143" i="8"/>
  <c r="AE143" i="8" s="1"/>
  <c r="AG143" i="8"/>
  <c r="DT143" i="8"/>
  <c r="AH143" i="8" s="1"/>
  <c r="DU143" i="8"/>
  <c r="AI143" i="8" s="1"/>
  <c r="DV143" i="8"/>
  <c r="AJ143" i="8" s="1"/>
  <c r="DW143" i="8"/>
  <c r="AK143" i="8" s="1"/>
  <c r="DQ144" i="8"/>
  <c r="AE144" i="8" s="1"/>
  <c r="AG144" i="8"/>
  <c r="DT144" i="8"/>
  <c r="AH144" i="8" s="1"/>
  <c r="DU144" i="8"/>
  <c r="AI144" i="8" s="1"/>
  <c r="DV144" i="8"/>
  <c r="AJ144" i="8" s="1"/>
  <c r="DW144" i="8"/>
  <c r="AK144" i="8" s="1"/>
  <c r="DQ145" i="8"/>
  <c r="AE145" i="8" s="1"/>
  <c r="AG145" i="8"/>
  <c r="DT145" i="8"/>
  <c r="AH145" i="8" s="1"/>
  <c r="DU145" i="8"/>
  <c r="AI145" i="8" s="1"/>
  <c r="DV145" i="8"/>
  <c r="AJ145" i="8" s="1"/>
  <c r="DW145" i="8"/>
  <c r="AK145" i="8" s="1"/>
  <c r="DQ146" i="8"/>
  <c r="AE146" i="8" s="1"/>
  <c r="AG146" i="8"/>
  <c r="DT146" i="8"/>
  <c r="AH146" i="8" s="1"/>
  <c r="DU146" i="8"/>
  <c r="AI146" i="8" s="1"/>
  <c r="DV146" i="8"/>
  <c r="AJ146" i="8" s="1"/>
  <c r="DW146" i="8"/>
  <c r="AK146" i="8" s="1"/>
  <c r="DQ147" i="8"/>
  <c r="AE147" i="8" s="1"/>
  <c r="AG147" i="8"/>
  <c r="DT147" i="8"/>
  <c r="AH147" i="8" s="1"/>
  <c r="DU147" i="8"/>
  <c r="AI147" i="8" s="1"/>
  <c r="DV147" i="8"/>
  <c r="AJ147" i="8" s="1"/>
  <c r="DW147" i="8"/>
  <c r="AK147" i="8" s="1"/>
  <c r="DQ148" i="8"/>
  <c r="AE148" i="8" s="1"/>
  <c r="AG148" i="8"/>
  <c r="DT148" i="8"/>
  <c r="AH148" i="8" s="1"/>
  <c r="DU148" i="8"/>
  <c r="AI148" i="8" s="1"/>
  <c r="DV148" i="8"/>
  <c r="AJ148" i="8" s="1"/>
  <c r="DW148" i="8"/>
  <c r="AK148" i="8" s="1"/>
  <c r="DQ149" i="8"/>
  <c r="AE149" i="8" s="1"/>
  <c r="AG149" i="8"/>
  <c r="DT149" i="8"/>
  <c r="AH149" i="8" s="1"/>
  <c r="DU149" i="8"/>
  <c r="AI149" i="8" s="1"/>
  <c r="DV149" i="8"/>
  <c r="AJ149" i="8" s="1"/>
  <c r="DW149" i="8"/>
  <c r="AK149" i="8" s="1"/>
  <c r="DQ150" i="8"/>
  <c r="AE150" i="8" s="1"/>
  <c r="AG150" i="8"/>
  <c r="DT150" i="8"/>
  <c r="AH150" i="8" s="1"/>
  <c r="DU150" i="8"/>
  <c r="AI150" i="8" s="1"/>
  <c r="DV150" i="8"/>
  <c r="AJ150" i="8" s="1"/>
  <c r="DW150" i="8"/>
  <c r="AK150" i="8" s="1"/>
  <c r="DQ151" i="8"/>
  <c r="AE151" i="8" s="1"/>
  <c r="AG151" i="8"/>
  <c r="DT151" i="8"/>
  <c r="AH151" i="8" s="1"/>
  <c r="DU151" i="8"/>
  <c r="AI151" i="8" s="1"/>
  <c r="DV151" i="8"/>
  <c r="AJ151" i="8" s="1"/>
  <c r="DW151" i="8"/>
  <c r="AK151" i="8" s="1"/>
  <c r="DQ152" i="8"/>
  <c r="AE152" i="8" s="1"/>
  <c r="AG152" i="8"/>
  <c r="DT152" i="8"/>
  <c r="AH152" i="8" s="1"/>
  <c r="DU152" i="8"/>
  <c r="AI152" i="8" s="1"/>
  <c r="DV152" i="8"/>
  <c r="AJ152" i="8" s="1"/>
  <c r="DW152" i="8"/>
  <c r="AK152" i="8" s="1"/>
  <c r="DQ153" i="8"/>
  <c r="AE153" i="8" s="1"/>
  <c r="AG153" i="8"/>
  <c r="DT153" i="8"/>
  <c r="AH153" i="8" s="1"/>
  <c r="DU153" i="8"/>
  <c r="AI153" i="8" s="1"/>
  <c r="DV153" i="8"/>
  <c r="AJ153" i="8" s="1"/>
  <c r="DW153" i="8"/>
  <c r="AK153" i="8" s="1"/>
  <c r="DQ154" i="8"/>
  <c r="AE154" i="8" s="1"/>
  <c r="AG154" i="8"/>
  <c r="DT154" i="8"/>
  <c r="AH154" i="8" s="1"/>
  <c r="DU154" i="8"/>
  <c r="AI154" i="8" s="1"/>
  <c r="DV154" i="8"/>
  <c r="AJ154" i="8" s="1"/>
  <c r="DW154" i="8"/>
  <c r="AK154" i="8" s="1"/>
  <c r="DQ155" i="8"/>
  <c r="AE155" i="8" s="1"/>
  <c r="AG155" i="8"/>
  <c r="DT155" i="8"/>
  <c r="AH155" i="8" s="1"/>
  <c r="DU155" i="8"/>
  <c r="AI155" i="8" s="1"/>
  <c r="DV155" i="8"/>
  <c r="AJ155" i="8" s="1"/>
  <c r="DW155" i="8"/>
  <c r="AK155" i="8" s="1"/>
  <c r="DQ156" i="8"/>
  <c r="AE156" i="8" s="1"/>
  <c r="AG156" i="8"/>
  <c r="DT156" i="8"/>
  <c r="AH156" i="8" s="1"/>
  <c r="DU156" i="8"/>
  <c r="AI156" i="8" s="1"/>
  <c r="DV156" i="8"/>
  <c r="AJ156" i="8" s="1"/>
  <c r="DW156" i="8"/>
  <c r="AK156" i="8" s="1"/>
  <c r="DQ157" i="8"/>
  <c r="AE157" i="8" s="1"/>
  <c r="AG157" i="8"/>
  <c r="DT157" i="8"/>
  <c r="AH157" i="8" s="1"/>
  <c r="DU157" i="8"/>
  <c r="AI157" i="8" s="1"/>
  <c r="DV157" i="8"/>
  <c r="AJ157" i="8" s="1"/>
  <c r="DW157" i="8"/>
  <c r="AK157" i="8" s="1"/>
  <c r="DQ158" i="8"/>
  <c r="AE158" i="8" s="1"/>
  <c r="AG158" i="8"/>
  <c r="DT158" i="8"/>
  <c r="AH158" i="8" s="1"/>
  <c r="DU158" i="8"/>
  <c r="AI158" i="8" s="1"/>
  <c r="DV158" i="8"/>
  <c r="AJ158" i="8" s="1"/>
  <c r="DW158" i="8"/>
  <c r="AK158" i="8" s="1"/>
  <c r="DQ159" i="8"/>
  <c r="AE159" i="8" s="1"/>
  <c r="AG159" i="8"/>
  <c r="DT159" i="8"/>
  <c r="AH159" i="8" s="1"/>
  <c r="DU159" i="8"/>
  <c r="AI159" i="8" s="1"/>
  <c r="DV159" i="8"/>
  <c r="AJ159" i="8" s="1"/>
  <c r="DW159" i="8"/>
  <c r="AK159" i="8" s="1"/>
  <c r="DQ160" i="8"/>
  <c r="AE160" i="8" s="1"/>
  <c r="AG160" i="8"/>
  <c r="DT160" i="8"/>
  <c r="AH160" i="8" s="1"/>
  <c r="DU160" i="8"/>
  <c r="AI160" i="8" s="1"/>
  <c r="DV160" i="8"/>
  <c r="AJ160" i="8" s="1"/>
  <c r="DW160" i="8"/>
  <c r="AK160" i="8" s="1"/>
  <c r="DQ161" i="8"/>
  <c r="AE161" i="8" s="1"/>
  <c r="AG161" i="8"/>
  <c r="DT161" i="8"/>
  <c r="AH161" i="8" s="1"/>
  <c r="DU161" i="8"/>
  <c r="AI161" i="8" s="1"/>
  <c r="DV161" i="8"/>
  <c r="AJ161" i="8" s="1"/>
  <c r="DW161" i="8"/>
  <c r="AK161" i="8" s="1"/>
  <c r="DQ162" i="8"/>
  <c r="AE162" i="8" s="1"/>
  <c r="AG162" i="8"/>
  <c r="DT162" i="8"/>
  <c r="AH162" i="8" s="1"/>
  <c r="DU162" i="8"/>
  <c r="AI162" i="8" s="1"/>
  <c r="DV162" i="8"/>
  <c r="AJ162" i="8" s="1"/>
  <c r="DW162" i="8"/>
  <c r="AK162" i="8" s="1"/>
  <c r="DQ163" i="8"/>
  <c r="AE163" i="8" s="1"/>
  <c r="AG163" i="8"/>
  <c r="DT163" i="8"/>
  <c r="AH163" i="8" s="1"/>
  <c r="DU163" i="8"/>
  <c r="AI163" i="8" s="1"/>
  <c r="DV163" i="8"/>
  <c r="AJ163" i="8" s="1"/>
  <c r="DW163" i="8"/>
  <c r="AK163" i="8" s="1"/>
  <c r="DQ164" i="8"/>
  <c r="AE164" i="8" s="1"/>
  <c r="AG164" i="8"/>
  <c r="DT164" i="8"/>
  <c r="AH164" i="8" s="1"/>
  <c r="DU164" i="8"/>
  <c r="AI164" i="8" s="1"/>
  <c r="DV164" i="8"/>
  <c r="AJ164" i="8" s="1"/>
  <c r="DW164" i="8"/>
  <c r="AK164" i="8" s="1"/>
  <c r="DQ165" i="8"/>
  <c r="AE165" i="8" s="1"/>
  <c r="AG165" i="8"/>
  <c r="DT165" i="8"/>
  <c r="AH165" i="8" s="1"/>
  <c r="DU165" i="8"/>
  <c r="AI165" i="8" s="1"/>
  <c r="DV165" i="8"/>
  <c r="AJ165" i="8" s="1"/>
  <c r="DW165" i="8"/>
  <c r="AK165" i="8" s="1"/>
  <c r="DQ166" i="8"/>
  <c r="AE166" i="8" s="1"/>
  <c r="AG166" i="8"/>
  <c r="DT166" i="8"/>
  <c r="AH166" i="8" s="1"/>
  <c r="DU166" i="8"/>
  <c r="AI166" i="8" s="1"/>
  <c r="DV166" i="8"/>
  <c r="AJ166" i="8" s="1"/>
  <c r="DW166" i="8"/>
  <c r="AK166" i="8" s="1"/>
  <c r="DQ167" i="8"/>
  <c r="AE167" i="8" s="1"/>
  <c r="AG167" i="8"/>
  <c r="DT167" i="8"/>
  <c r="AH167" i="8" s="1"/>
  <c r="DU167" i="8"/>
  <c r="AI167" i="8" s="1"/>
  <c r="DV167" i="8"/>
  <c r="AJ167" i="8" s="1"/>
  <c r="DW167" i="8"/>
  <c r="AK167" i="8" s="1"/>
  <c r="DQ168" i="8"/>
  <c r="AE168" i="8" s="1"/>
  <c r="AG168" i="8"/>
  <c r="DT168" i="8"/>
  <c r="AH168" i="8" s="1"/>
  <c r="DU168" i="8"/>
  <c r="AI168" i="8" s="1"/>
  <c r="DV168" i="8"/>
  <c r="AJ168" i="8" s="1"/>
  <c r="DW168" i="8"/>
  <c r="AK168" i="8" s="1"/>
  <c r="DQ169" i="8"/>
  <c r="AE169" i="8" s="1"/>
  <c r="AG169" i="8"/>
  <c r="DT169" i="8"/>
  <c r="AH169" i="8" s="1"/>
  <c r="DU169" i="8"/>
  <c r="AI169" i="8" s="1"/>
  <c r="DV169" i="8"/>
  <c r="AJ169" i="8" s="1"/>
  <c r="DW169" i="8"/>
  <c r="AK169" i="8" s="1"/>
  <c r="DQ170" i="8"/>
  <c r="AE170" i="8" s="1"/>
  <c r="AG170" i="8"/>
  <c r="DT170" i="8"/>
  <c r="AH170" i="8" s="1"/>
  <c r="DU170" i="8"/>
  <c r="AI170" i="8" s="1"/>
  <c r="DV170" i="8"/>
  <c r="AJ170" i="8" s="1"/>
  <c r="DW170" i="8"/>
  <c r="AK170" i="8" s="1"/>
  <c r="DQ171" i="8"/>
  <c r="AE171" i="8" s="1"/>
  <c r="AG171" i="8"/>
  <c r="DT171" i="8"/>
  <c r="AH171" i="8" s="1"/>
  <c r="DU171" i="8"/>
  <c r="AI171" i="8" s="1"/>
  <c r="DV171" i="8"/>
  <c r="AJ171" i="8" s="1"/>
  <c r="DW171" i="8"/>
  <c r="AK171" i="8" s="1"/>
  <c r="DQ172" i="8"/>
  <c r="AE172" i="8" s="1"/>
  <c r="AG172" i="8"/>
  <c r="DT172" i="8"/>
  <c r="AH172" i="8" s="1"/>
  <c r="DU172" i="8"/>
  <c r="AI172" i="8" s="1"/>
  <c r="DV172" i="8"/>
  <c r="AJ172" i="8" s="1"/>
  <c r="DW172" i="8"/>
  <c r="AK172" i="8" s="1"/>
  <c r="DQ173" i="8"/>
  <c r="AE173" i="8" s="1"/>
  <c r="AG173" i="8"/>
  <c r="DT173" i="8"/>
  <c r="AH173" i="8" s="1"/>
  <c r="DU173" i="8"/>
  <c r="AI173" i="8" s="1"/>
  <c r="DV173" i="8"/>
  <c r="AJ173" i="8" s="1"/>
  <c r="DW173" i="8"/>
  <c r="AK173" i="8" s="1"/>
  <c r="DQ174" i="8"/>
  <c r="AE174" i="8" s="1"/>
  <c r="AG174" i="8"/>
  <c r="DT174" i="8"/>
  <c r="AH174" i="8" s="1"/>
  <c r="DU174" i="8"/>
  <c r="AI174" i="8" s="1"/>
  <c r="DV174" i="8"/>
  <c r="AJ174" i="8" s="1"/>
  <c r="DW174" i="8"/>
  <c r="AK174" i="8" s="1"/>
  <c r="DQ175" i="8"/>
  <c r="AE175" i="8" s="1"/>
  <c r="AG175" i="8"/>
  <c r="DT175" i="8"/>
  <c r="AH175" i="8" s="1"/>
  <c r="DU175" i="8"/>
  <c r="AI175" i="8" s="1"/>
  <c r="DV175" i="8"/>
  <c r="AJ175" i="8" s="1"/>
  <c r="DW175" i="8"/>
  <c r="AK175" i="8" s="1"/>
  <c r="DQ176" i="8"/>
  <c r="AE176" i="8" s="1"/>
  <c r="AG176" i="8"/>
  <c r="DT176" i="8"/>
  <c r="AH176" i="8" s="1"/>
  <c r="DU176" i="8"/>
  <c r="AI176" i="8" s="1"/>
  <c r="DV176" i="8"/>
  <c r="AJ176" i="8" s="1"/>
  <c r="DW176" i="8"/>
  <c r="AK176" i="8" s="1"/>
  <c r="DQ177" i="8"/>
  <c r="AE177" i="8" s="1"/>
  <c r="AG177" i="8"/>
  <c r="DT177" i="8"/>
  <c r="AH177" i="8" s="1"/>
  <c r="DU177" i="8"/>
  <c r="AI177" i="8" s="1"/>
  <c r="DV177" i="8"/>
  <c r="AJ177" i="8" s="1"/>
  <c r="DW177" i="8"/>
  <c r="AK177" i="8" s="1"/>
  <c r="DQ178" i="8"/>
  <c r="AE178" i="8" s="1"/>
  <c r="AG178" i="8"/>
  <c r="DT178" i="8"/>
  <c r="AH178" i="8" s="1"/>
  <c r="DU178" i="8"/>
  <c r="AI178" i="8" s="1"/>
  <c r="DV178" i="8"/>
  <c r="AJ178" i="8" s="1"/>
  <c r="DW178" i="8"/>
  <c r="AK178" i="8" s="1"/>
  <c r="DQ179" i="8"/>
  <c r="AE179" i="8" s="1"/>
  <c r="AG179" i="8"/>
  <c r="DT179" i="8"/>
  <c r="AH179" i="8" s="1"/>
  <c r="DU179" i="8"/>
  <c r="AI179" i="8" s="1"/>
  <c r="DV179" i="8"/>
  <c r="AJ179" i="8" s="1"/>
  <c r="DW179" i="8"/>
  <c r="AK179" i="8" s="1"/>
  <c r="DQ180" i="8"/>
  <c r="AE180" i="8" s="1"/>
  <c r="AG180" i="8"/>
  <c r="DT180" i="8"/>
  <c r="AH180" i="8" s="1"/>
  <c r="DU180" i="8"/>
  <c r="AI180" i="8" s="1"/>
  <c r="DV180" i="8"/>
  <c r="AJ180" i="8" s="1"/>
  <c r="DW180" i="8"/>
  <c r="AK180" i="8" s="1"/>
  <c r="DQ181" i="8"/>
  <c r="AE181" i="8" s="1"/>
  <c r="AG181" i="8"/>
  <c r="DT181" i="8"/>
  <c r="AH181" i="8" s="1"/>
  <c r="DU181" i="8"/>
  <c r="AI181" i="8" s="1"/>
  <c r="DV181" i="8"/>
  <c r="AJ181" i="8" s="1"/>
  <c r="DW181" i="8"/>
  <c r="AK181" i="8" s="1"/>
  <c r="DQ182" i="8"/>
  <c r="AE182" i="8" s="1"/>
  <c r="AG182" i="8"/>
  <c r="DT182" i="8"/>
  <c r="AH182" i="8" s="1"/>
  <c r="DU182" i="8"/>
  <c r="AI182" i="8" s="1"/>
  <c r="DV182" i="8"/>
  <c r="AJ182" i="8" s="1"/>
  <c r="DW182" i="8"/>
  <c r="AK182" i="8" s="1"/>
  <c r="DQ183" i="8"/>
  <c r="AE183" i="8" s="1"/>
  <c r="AG183" i="8"/>
  <c r="DT183" i="8"/>
  <c r="AH183" i="8" s="1"/>
  <c r="DU183" i="8"/>
  <c r="AI183" i="8" s="1"/>
  <c r="DV183" i="8"/>
  <c r="AJ183" i="8" s="1"/>
  <c r="DW183" i="8"/>
  <c r="AK183" i="8" s="1"/>
  <c r="DQ184" i="8"/>
  <c r="AE184" i="8" s="1"/>
  <c r="AG184" i="8"/>
  <c r="DT184" i="8"/>
  <c r="AH184" i="8" s="1"/>
  <c r="DU184" i="8"/>
  <c r="AI184" i="8" s="1"/>
  <c r="DV184" i="8"/>
  <c r="AJ184" i="8" s="1"/>
  <c r="DW184" i="8"/>
  <c r="AK184" i="8" s="1"/>
  <c r="DQ185" i="8"/>
  <c r="AE185" i="8" s="1"/>
  <c r="AG185" i="8"/>
  <c r="DT185" i="8"/>
  <c r="AH185" i="8" s="1"/>
  <c r="DU185" i="8"/>
  <c r="AI185" i="8" s="1"/>
  <c r="DV185" i="8"/>
  <c r="AJ185" i="8" s="1"/>
  <c r="DW185" i="8"/>
  <c r="AK185" i="8" s="1"/>
  <c r="DQ187" i="8"/>
  <c r="AE187" i="8" s="1"/>
  <c r="AG187" i="8"/>
  <c r="DT187" i="8"/>
  <c r="AH187" i="8" s="1"/>
  <c r="DU187" i="8"/>
  <c r="AI187" i="8" s="1"/>
  <c r="DV187" i="8"/>
  <c r="AJ187" i="8" s="1"/>
  <c r="DW187" i="8"/>
  <c r="AK187" i="8" s="1"/>
  <c r="DQ188" i="8"/>
  <c r="AE188" i="8" s="1"/>
  <c r="AG188" i="8"/>
  <c r="DT188" i="8"/>
  <c r="AH188" i="8" s="1"/>
  <c r="DU188" i="8"/>
  <c r="AI188" i="8" s="1"/>
  <c r="DV188" i="8"/>
  <c r="AJ188" i="8" s="1"/>
  <c r="DW188" i="8"/>
  <c r="AK188" i="8" s="1"/>
  <c r="DQ189" i="8"/>
  <c r="AE189" i="8" s="1"/>
  <c r="AG189" i="8"/>
  <c r="DT189" i="8"/>
  <c r="AH189" i="8" s="1"/>
  <c r="DU189" i="8"/>
  <c r="AI189" i="8" s="1"/>
  <c r="DV189" i="8"/>
  <c r="AJ189" i="8" s="1"/>
  <c r="DW189" i="8"/>
  <c r="AK189" i="8" s="1"/>
  <c r="DQ190" i="8"/>
  <c r="AE190" i="8" s="1"/>
  <c r="AG190" i="8"/>
  <c r="DT190" i="8"/>
  <c r="AH190" i="8" s="1"/>
  <c r="DU190" i="8"/>
  <c r="AI190" i="8" s="1"/>
  <c r="DV190" i="8"/>
  <c r="AJ190" i="8" s="1"/>
  <c r="DW190" i="8"/>
  <c r="AK190" i="8" s="1"/>
  <c r="DQ191" i="8"/>
  <c r="AE191" i="8" s="1"/>
  <c r="AG191" i="8"/>
  <c r="DT191" i="8"/>
  <c r="AH191" i="8" s="1"/>
  <c r="DU191" i="8"/>
  <c r="AI191" i="8" s="1"/>
  <c r="DV191" i="8"/>
  <c r="AJ191" i="8" s="1"/>
  <c r="DW191" i="8"/>
  <c r="AK191" i="8" s="1"/>
  <c r="DQ192" i="8"/>
  <c r="AE192" i="8" s="1"/>
  <c r="AG192" i="8"/>
  <c r="DT192" i="8"/>
  <c r="AH192" i="8" s="1"/>
  <c r="DU192" i="8"/>
  <c r="AI192" i="8" s="1"/>
  <c r="DV192" i="8"/>
  <c r="AJ192" i="8" s="1"/>
  <c r="DW192" i="8"/>
  <c r="AK192" i="8" s="1"/>
  <c r="DQ193" i="8"/>
  <c r="AE193" i="8" s="1"/>
  <c r="AG193" i="8"/>
  <c r="DT193" i="8"/>
  <c r="AH193" i="8" s="1"/>
  <c r="DU193" i="8"/>
  <c r="AI193" i="8" s="1"/>
  <c r="DV193" i="8"/>
  <c r="AJ193" i="8" s="1"/>
  <c r="DW193" i="8"/>
  <c r="AK193" i="8" s="1"/>
  <c r="DQ194" i="8"/>
  <c r="AE194" i="8" s="1"/>
  <c r="AG194" i="8"/>
  <c r="DT194" i="8"/>
  <c r="AH194" i="8" s="1"/>
  <c r="DU194" i="8"/>
  <c r="AI194" i="8" s="1"/>
  <c r="DV194" i="8"/>
  <c r="AJ194" i="8" s="1"/>
  <c r="DW194" i="8"/>
  <c r="AK194" i="8" s="1"/>
  <c r="DQ195" i="8"/>
  <c r="AE195" i="8" s="1"/>
  <c r="AG195" i="8"/>
  <c r="DT195" i="8"/>
  <c r="AH195" i="8" s="1"/>
  <c r="DU195" i="8"/>
  <c r="AI195" i="8" s="1"/>
  <c r="DV195" i="8"/>
  <c r="AJ195" i="8" s="1"/>
  <c r="DW195" i="8"/>
  <c r="AK195" i="8" s="1"/>
  <c r="DQ196" i="8"/>
  <c r="AE196" i="8" s="1"/>
  <c r="AG196" i="8"/>
  <c r="DT196" i="8"/>
  <c r="AH196" i="8" s="1"/>
  <c r="DU196" i="8"/>
  <c r="AI196" i="8" s="1"/>
  <c r="DV196" i="8"/>
  <c r="AJ196" i="8" s="1"/>
  <c r="DW196" i="8"/>
  <c r="AK196" i="8" s="1"/>
  <c r="DQ197" i="8"/>
  <c r="AE197" i="8" s="1"/>
  <c r="AG197" i="8"/>
  <c r="DT197" i="8"/>
  <c r="AH197" i="8" s="1"/>
  <c r="DU197" i="8"/>
  <c r="AI197" i="8" s="1"/>
  <c r="DV197" i="8"/>
  <c r="AJ197" i="8" s="1"/>
  <c r="DW197" i="8"/>
  <c r="AK197" i="8" s="1"/>
  <c r="DQ198" i="8"/>
  <c r="AE198" i="8" s="1"/>
  <c r="AG198" i="8"/>
  <c r="DT198" i="8"/>
  <c r="AH198" i="8" s="1"/>
  <c r="DU198" i="8"/>
  <c r="AI198" i="8" s="1"/>
  <c r="DV198" i="8"/>
  <c r="AJ198" i="8" s="1"/>
  <c r="DW198" i="8"/>
  <c r="AK198" i="8" s="1"/>
  <c r="DQ199" i="8"/>
  <c r="AE199" i="8" s="1"/>
  <c r="AG199" i="8"/>
  <c r="DT199" i="8"/>
  <c r="AH199" i="8" s="1"/>
  <c r="DU199" i="8"/>
  <c r="AI199" i="8" s="1"/>
  <c r="DV199" i="8"/>
  <c r="AJ199" i="8" s="1"/>
  <c r="DW199" i="8"/>
  <c r="AK199" i="8" s="1"/>
  <c r="DQ200" i="8"/>
  <c r="AE200" i="8" s="1"/>
  <c r="AG200" i="8"/>
  <c r="DT200" i="8"/>
  <c r="AH200" i="8" s="1"/>
  <c r="DU200" i="8"/>
  <c r="AI200" i="8" s="1"/>
  <c r="DV200" i="8"/>
  <c r="AJ200" i="8" s="1"/>
  <c r="DW200" i="8"/>
  <c r="AK200" i="8" s="1"/>
  <c r="DQ201" i="8"/>
  <c r="AE201" i="8" s="1"/>
  <c r="AG201" i="8"/>
  <c r="DT201" i="8"/>
  <c r="AH201" i="8" s="1"/>
  <c r="DU201" i="8"/>
  <c r="AI201" i="8" s="1"/>
  <c r="DV201" i="8"/>
  <c r="AJ201" i="8" s="1"/>
  <c r="DW201" i="8"/>
  <c r="AK201" i="8" s="1"/>
  <c r="DQ202" i="8"/>
  <c r="AE202" i="8" s="1"/>
  <c r="AG202" i="8"/>
  <c r="DT202" i="8"/>
  <c r="AH202" i="8" s="1"/>
  <c r="DU202" i="8"/>
  <c r="AI202" i="8" s="1"/>
  <c r="DV202" i="8"/>
  <c r="AJ202" i="8" s="1"/>
  <c r="DW202" i="8"/>
  <c r="AK202" i="8" s="1"/>
  <c r="DQ203" i="8"/>
  <c r="AE203" i="8" s="1"/>
  <c r="AG203" i="8"/>
  <c r="DT203" i="8"/>
  <c r="AH203" i="8" s="1"/>
  <c r="DU203" i="8"/>
  <c r="AI203" i="8" s="1"/>
  <c r="DV203" i="8"/>
  <c r="AJ203" i="8" s="1"/>
  <c r="DW203" i="8"/>
  <c r="AK203" i="8" s="1"/>
  <c r="DQ204" i="8"/>
  <c r="AE204" i="8" s="1"/>
  <c r="AG204" i="8"/>
  <c r="DT204" i="8"/>
  <c r="AH204" i="8" s="1"/>
  <c r="DU204" i="8"/>
  <c r="AI204" i="8" s="1"/>
  <c r="DV204" i="8"/>
  <c r="AJ204" i="8" s="1"/>
  <c r="DW204" i="8"/>
  <c r="AK204" i="8" s="1"/>
  <c r="DQ205" i="8"/>
  <c r="AE205" i="8" s="1"/>
  <c r="AG205" i="8"/>
  <c r="DT205" i="8"/>
  <c r="AH205" i="8" s="1"/>
  <c r="DU205" i="8"/>
  <c r="AI205" i="8" s="1"/>
  <c r="DV205" i="8"/>
  <c r="AJ205" i="8" s="1"/>
  <c r="DW205" i="8"/>
  <c r="AK205" i="8" s="1"/>
  <c r="DQ206" i="8"/>
  <c r="AE206" i="8" s="1"/>
  <c r="AG206" i="8"/>
  <c r="DT206" i="8"/>
  <c r="AH206" i="8" s="1"/>
  <c r="DU206" i="8"/>
  <c r="AI206" i="8" s="1"/>
  <c r="DV206" i="8"/>
  <c r="AJ206" i="8" s="1"/>
  <c r="DW206" i="8"/>
  <c r="AK206" i="8" s="1"/>
  <c r="DQ207" i="8"/>
  <c r="AE207" i="8" s="1"/>
  <c r="AG207" i="8"/>
  <c r="DT207" i="8"/>
  <c r="AH207" i="8" s="1"/>
  <c r="DU207" i="8"/>
  <c r="AI207" i="8" s="1"/>
  <c r="DV207" i="8"/>
  <c r="AJ207" i="8" s="1"/>
  <c r="DW207" i="8"/>
  <c r="AK207" i="8" s="1"/>
  <c r="DQ208" i="8"/>
  <c r="AE208" i="8" s="1"/>
  <c r="AG208" i="8"/>
  <c r="DT208" i="8"/>
  <c r="AH208" i="8" s="1"/>
  <c r="DU208" i="8"/>
  <c r="AI208" i="8" s="1"/>
  <c r="DV208" i="8"/>
  <c r="AJ208" i="8" s="1"/>
  <c r="DW208" i="8"/>
  <c r="AK208" i="8" s="1"/>
  <c r="DQ209" i="8"/>
  <c r="AE209" i="8" s="1"/>
  <c r="AG209" i="8"/>
  <c r="DT209" i="8"/>
  <c r="AH209" i="8" s="1"/>
  <c r="DU209" i="8"/>
  <c r="AI209" i="8" s="1"/>
  <c r="DV209" i="8"/>
  <c r="AJ209" i="8" s="1"/>
  <c r="DW209" i="8"/>
  <c r="AK209" i="8" s="1"/>
  <c r="DQ210" i="8"/>
  <c r="AE210" i="8" s="1"/>
  <c r="AG210" i="8"/>
  <c r="DT210" i="8"/>
  <c r="AH210" i="8" s="1"/>
  <c r="DU210" i="8"/>
  <c r="AI210" i="8" s="1"/>
  <c r="DV210" i="8"/>
  <c r="AJ210" i="8" s="1"/>
  <c r="DW210" i="8"/>
  <c r="AK210" i="8" s="1"/>
  <c r="DQ211" i="8"/>
  <c r="AE211" i="8" s="1"/>
  <c r="AG211" i="8"/>
  <c r="DT211" i="8"/>
  <c r="AH211" i="8" s="1"/>
  <c r="DU211" i="8"/>
  <c r="AI211" i="8" s="1"/>
  <c r="DV211" i="8"/>
  <c r="AJ211" i="8" s="1"/>
  <c r="DW211" i="8"/>
  <c r="AK211" i="8" s="1"/>
  <c r="DQ212" i="8"/>
  <c r="AE212" i="8" s="1"/>
  <c r="AG212" i="8"/>
  <c r="DT212" i="8"/>
  <c r="AH212" i="8" s="1"/>
  <c r="DU212" i="8"/>
  <c r="AI212" i="8" s="1"/>
  <c r="DV212" i="8"/>
  <c r="AJ212" i="8" s="1"/>
  <c r="DW212" i="8"/>
  <c r="AK212" i="8" s="1"/>
  <c r="DQ213" i="8"/>
  <c r="AE213" i="8" s="1"/>
  <c r="AG213" i="8"/>
  <c r="DT213" i="8"/>
  <c r="AH213" i="8" s="1"/>
  <c r="DU213" i="8"/>
  <c r="AI213" i="8" s="1"/>
  <c r="DV213" i="8"/>
  <c r="AJ213" i="8" s="1"/>
  <c r="DW213" i="8"/>
  <c r="AK213" i="8" s="1"/>
  <c r="DQ214" i="8"/>
  <c r="AE214" i="8" s="1"/>
  <c r="AG214" i="8"/>
  <c r="DT214" i="8"/>
  <c r="AH214" i="8" s="1"/>
  <c r="DU214" i="8"/>
  <c r="AI214" i="8" s="1"/>
  <c r="DV214" i="8"/>
  <c r="AJ214" i="8" s="1"/>
  <c r="DW214" i="8"/>
  <c r="AK214" i="8" s="1"/>
  <c r="DQ215" i="8"/>
  <c r="AE215" i="8" s="1"/>
  <c r="AG215" i="8"/>
  <c r="DT215" i="8"/>
  <c r="AH215" i="8" s="1"/>
  <c r="DU215" i="8"/>
  <c r="AI215" i="8" s="1"/>
  <c r="DV215" i="8"/>
  <c r="AJ215" i="8" s="1"/>
  <c r="DW215" i="8"/>
  <c r="AK215" i="8" s="1"/>
  <c r="DQ216" i="8"/>
  <c r="AE216" i="8" s="1"/>
  <c r="AG216" i="8"/>
  <c r="DT216" i="8"/>
  <c r="AH216" i="8" s="1"/>
  <c r="DU216" i="8"/>
  <c r="AI216" i="8" s="1"/>
  <c r="DV216" i="8"/>
  <c r="AJ216" i="8" s="1"/>
  <c r="DW216" i="8"/>
  <c r="AK216" i="8" s="1"/>
  <c r="DQ217" i="8"/>
  <c r="AE217" i="8" s="1"/>
  <c r="AG217" i="8"/>
  <c r="DT217" i="8"/>
  <c r="AH217" i="8" s="1"/>
  <c r="DU217" i="8"/>
  <c r="AI217" i="8" s="1"/>
  <c r="DV217" i="8"/>
  <c r="AJ217" i="8" s="1"/>
  <c r="DW217" i="8"/>
  <c r="AK217" i="8" s="1"/>
  <c r="DQ218" i="8"/>
  <c r="AE218" i="8" s="1"/>
  <c r="AG218" i="8"/>
  <c r="DT218" i="8"/>
  <c r="AH218" i="8" s="1"/>
  <c r="DU218" i="8"/>
  <c r="AI218" i="8" s="1"/>
  <c r="DV218" i="8"/>
  <c r="AJ218" i="8" s="1"/>
  <c r="DW218" i="8"/>
  <c r="AK218" i="8" s="1"/>
  <c r="DQ219" i="8"/>
  <c r="AE219" i="8" s="1"/>
  <c r="AG219" i="8"/>
  <c r="DT219" i="8"/>
  <c r="AH219" i="8" s="1"/>
  <c r="DU219" i="8"/>
  <c r="AI219" i="8" s="1"/>
  <c r="DV219" i="8"/>
  <c r="AJ219" i="8" s="1"/>
  <c r="DW219" i="8"/>
  <c r="AK219" i="8" s="1"/>
  <c r="DQ220" i="8"/>
  <c r="AE220" i="8" s="1"/>
  <c r="AG220" i="8"/>
  <c r="DT220" i="8"/>
  <c r="AH220" i="8" s="1"/>
  <c r="DU220" i="8"/>
  <c r="AI220" i="8" s="1"/>
  <c r="DV220" i="8"/>
  <c r="AJ220" i="8" s="1"/>
  <c r="DW220" i="8"/>
  <c r="AK220" i="8" s="1"/>
  <c r="DQ221" i="8"/>
  <c r="AE221" i="8" s="1"/>
  <c r="AG221" i="8"/>
  <c r="DT221" i="8"/>
  <c r="AH221" i="8" s="1"/>
  <c r="DU221" i="8"/>
  <c r="AI221" i="8" s="1"/>
  <c r="DV221" i="8"/>
  <c r="AJ221" i="8" s="1"/>
  <c r="DW221" i="8"/>
  <c r="AK221" i="8" s="1"/>
  <c r="DQ234" i="8"/>
  <c r="AE234" i="8" s="1"/>
  <c r="AG234" i="8"/>
  <c r="DT234" i="8"/>
  <c r="AH234" i="8" s="1"/>
  <c r="DU234" i="8"/>
  <c r="AI234" i="8" s="1"/>
  <c r="DV234" i="8"/>
  <c r="AJ234" i="8" s="1"/>
  <c r="DW234" i="8"/>
  <c r="AK234" i="8" s="1"/>
  <c r="DQ235" i="8"/>
  <c r="AE235" i="8" s="1"/>
  <c r="AG235" i="8"/>
  <c r="DT235" i="8"/>
  <c r="AH235" i="8" s="1"/>
  <c r="DU235" i="8"/>
  <c r="AI235" i="8" s="1"/>
  <c r="DV235" i="8"/>
  <c r="AJ235" i="8" s="1"/>
  <c r="DW235" i="8"/>
  <c r="AK235" i="8" s="1"/>
  <c r="DQ236" i="8"/>
  <c r="AE236" i="8" s="1"/>
  <c r="AG236" i="8"/>
  <c r="DT236" i="8"/>
  <c r="AH236" i="8" s="1"/>
  <c r="DU236" i="8"/>
  <c r="AI236" i="8" s="1"/>
  <c r="DV236" i="8"/>
  <c r="AJ236" i="8" s="1"/>
  <c r="DW236" i="8"/>
  <c r="AK236" i="8" s="1"/>
  <c r="DQ237" i="8"/>
  <c r="AE237" i="8" s="1"/>
  <c r="AG237" i="8"/>
  <c r="DT237" i="8"/>
  <c r="AH237" i="8" s="1"/>
  <c r="DU237" i="8"/>
  <c r="AI237" i="8" s="1"/>
  <c r="DV237" i="8"/>
  <c r="AJ237" i="8" s="1"/>
  <c r="DW237" i="8"/>
  <c r="AK237" i="8" s="1"/>
  <c r="DQ238" i="8"/>
  <c r="AE238" i="8" s="1"/>
  <c r="AG238" i="8"/>
  <c r="DT238" i="8"/>
  <c r="AH238" i="8" s="1"/>
  <c r="DU238" i="8"/>
  <c r="AI238" i="8" s="1"/>
  <c r="DV238" i="8"/>
  <c r="AJ238" i="8" s="1"/>
  <c r="DW238" i="8"/>
  <c r="AK238" i="8" s="1"/>
  <c r="DQ239" i="8"/>
  <c r="AE239" i="8" s="1"/>
  <c r="AG239" i="8"/>
  <c r="DT239" i="8"/>
  <c r="AH239" i="8" s="1"/>
  <c r="DU239" i="8"/>
  <c r="AI239" i="8" s="1"/>
  <c r="DV239" i="8"/>
  <c r="AJ239" i="8" s="1"/>
  <c r="DW239" i="8"/>
  <c r="AK239" i="8" s="1"/>
  <c r="DQ240" i="8"/>
  <c r="AE240" i="8" s="1"/>
  <c r="AG240" i="8"/>
  <c r="DU240" i="8"/>
  <c r="AI240" i="8" s="1"/>
  <c r="DV240" i="8"/>
  <c r="AJ240" i="8" s="1"/>
  <c r="DW240" i="8"/>
  <c r="AK240" i="8" s="1"/>
  <c r="DQ241" i="8"/>
  <c r="AE241" i="8" s="1"/>
  <c r="AG241" i="8"/>
  <c r="DT241" i="8"/>
  <c r="AH241" i="8" s="1"/>
  <c r="DU241" i="8"/>
  <c r="AI241" i="8" s="1"/>
  <c r="DV241" i="8"/>
  <c r="AJ241" i="8" s="1"/>
  <c r="DW241" i="8"/>
  <c r="AK241" i="8" s="1"/>
  <c r="DQ242" i="8"/>
  <c r="AE242" i="8" s="1"/>
  <c r="AG242" i="8"/>
  <c r="DT242" i="8"/>
  <c r="AH242" i="8" s="1"/>
  <c r="DU242" i="8"/>
  <c r="AI242" i="8" s="1"/>
  <c r="DV242" i="8"/>
  <c r="AJ242" i="8" s="1"/>
  <c r="DW242" i="8"/>
  <c r="AK242" i="8" s="1"/>
  <c r="DQ243" i="8"/>
  <c r="AE243" i="8" s="1"/>
  <c r="AG243" i="8"/>
  <c r="DT243" i="8"/>
  <c r="AH243" i="8" s="1"/>
  <c r="DU243" i="8"/>
  <c r="AI243" i="8" s="1"/>
  <c r="DV243" i="8"/>
  <c r="AJ243" i="8" s="1"/>
  <c r="DW243" i="8"/>
  <c r="AK243" i="8" s="1"/>
  <c r="DQ244" i="8"/>
  <c r="AE244" i="8" s="1"/>
  <c r="AG244" i="8"/>
  <c r="DT244" i="8"/>
  <c r="AH244" i="8" s="1"/>
  <c r="DU244" i="8"/>
  <c r="AI244" i="8" s="1"/>
  <c r="DV244" i="8"/>
  <c r="AJ244" i="8" s="1"/>
  <c r="DW244" i="8"/>
  <c r="AK244" i="8" s="1"/>
  <c r="DQ245" i="8"/>
  <c r="AE245" i="8" s="1"/>
  <c r="AG245" i="8"/>
  <c r="DT245" i="8"/>
  <c r="AH245" i="8" s="1"/>
  <c r="DU245" i="8"/>
  <c r="AI245" i="8" s="1"/>
  <c r="DV245" i="8"/>
  <c r="AJ245" i="8" s="1"/>
  <c r="DW245" i="8"/>
  <c r="AK245" i="8" s="1"/>
  <c r="DQ246" i="8"/>
  <c r="AE246" i="8" s="1"/>
  <c r="AG246" i="8"/>
  <c r="DT246" i="8"/>
  <c r="AH246" i="8" s="1"/>
  <c r="DU246" i="8"/>
  <c r="AI246" i="8" s="1"/>
  <c r="DV246" i="8"/>
  <c r="AJ246" i="8" s="1"/>
  <c r="DW246" i="8"/>
  <c r="AK246" i="8" s="1"/>
  <c r="DQ247" i="8"/>
  <c r="AE247" i="8" s="1"/>
  <c r="AG247" i="8"/>
  <c r="DT247" i="8"/>
  <c r="AH247" i="8" s="1"/>
  <c r="DU247" i="8"/>
  <c r="AI247" i="8" s="1"/>
  <c r="DV247" i="8"/>
  <c r="AJ247" i="8" s="1"/>
  <c r="DW247" i="8"/>
  <c r="AK247" i="8" s="1"/>
  <c r="DQ248" i="8"/>
  <c r="AE248" i="8" s="1"/>
  <c r="AG248" i="8"/>
  <c r="DT248" i="8"/>
  <c r="AH248" i="8" s="1"/>
  <c r="DU248" i="8"/>
  <c r="AI248" i="8" s="1"/>
  <c r="DV248" i="8"/>
  <c r="AJ248" i="8" s="1"/>
  <c r="DW248" i="8"/>
  <c r="AK248" i="8" s="1"/>
  <c r="DQ249" i="8"/>
  <c r="AE249" i="8" s="1"/>
  <c r="AG249" i="8"/>
  <c r="DT249" i="8"/>
  <c r="AH249" i="8" s="1"/>
  <c r="DU249" i="8"/>
  <c r="AI249" i="8" s="1"/>
  <c r="DV249" i="8"/>
  <c r="AJ249" i="8" s="1"/>
  <c r="DW249" i="8"/>
  <c r="AK249" i="8" s="1"/>
  <c r="DQ250" i="8"/>
  <c r="AE250" i="8" s="1"/>
  <c r="AG250" i="8"/>
  <c r="DT250" i="8"/>
  <c r="AH250" i="8" s="1"/>
  <c r="DU250" i="8"/>
  <c r="AI250" i="8" s="1"/>
  <c r="DV250" i="8"/>
  <c r="AJ250" i="8" s="1"/>
  <c r="DW250" i="8"/>
  <c r="AK250" i="8" s="1"/>
  <c r="DQ251" i="8"/>
  <c r="AE251" i="8" s="1"/>
  <c r="AG251" i="8"/>
  <c r="DT251" i="8"/>
  <c r="AH251" i="8" s="1"/>
  <c r="DU251" i="8"/>
  <c r="AI251" i="8" s="1"/>
  <c r="DV251" i="8"/>
  <c r="AJ251" i="8" s="1"/>
  <c r="DW251" i="8"/>
  <c r="AK251" i="8" s="1"/>
  <c r="DQ252" i="8"/>
  <c r="AE252" i="8" s="1"/>
  <c r="AG252" i="8"/>
  <c r="DT252" i="8"/>
  <c r="AH252" i="8" s="1"/>
  <c r="DU252" i="8"/>
  <c r="AI252" i="8" s="1"/>
  <c r="DV252" i="8"/>
  <c r="AJ252" i="8" s="1"/>
  <c r="DW252" i="8"/>
  <c r="AK252" i="8" s="1"/>
  <c r="DQ253" i="8"/>
  <c r="AE253" i="8" s="1"/>
  <c r="AG253" i="8"/>
  <c r="DT253" i="8"/>
  <c r="AH253" i="8" s="1"/>
  <c r="DU253" i="8"/>
  <c r="AI253" i="8" s="1"/>
  <c r="DV253" i="8"/>
  <c r="AJ253" i="8" s="1"/>
  <c r="DW253" i="8"/>
  <c r="AK253" i="8" s="1"/>
  <c r="DQ254" i="8"/>
  <c r="AE254" i="8" s="1"/>
  <c r="AG254" i="8"/>
  <c r="DT254" i="8"/>
  <c r="AH254" i="8" s="1"/>
  <c r="DU254" i="8"/>
  <c r="AI254" i="8" s="1"/>
  <c r="DV254" i="8"/>
  <c r="AJ254" i="8" s="1"/>
  <c r="DW254" i="8"/>
  <c r="AK254" i="8" s="1"/>
  <c r="DQ255" i="8"/>
  <c r="AE255" i="8" s="1"/>
  <c r="AG255" i="8"/>
  <c r="DT255" i="8"/>
  <c r="AH255" i="8" s="1"/>
  <c r="DU255" i="8"/>
  <c r="AI255" i="8" s="1"/>
  <c r="DV255" i="8"/>
  <c r="AJ255" i="8" s="1"/>
  <c r="DW255" i="8"/>
  <c r="AK255" i="8" s="1"/>
  <c r="DQ256" i="8"/>
  <c r="AE256" i="8" s="1"/>
  <c r="AG256" i="8"/>
  <c r="DT256" i="8"/>
  <c r="AH256" i="8" s="1"/>
  <c r="DU256" i="8"/>
  <c r="AI256" i="8" s="1"/>
  <c r="DV256" i="8"/>
  <c r="AJ256" i="8" s="1"/>
  <c r="DW256" i="8"/>
  <c r="AK256" i="8" s="1"/>
  <c r="DQ257" i="8"/>
  <c r="AE257" i="8" s="1"/>
  <c r="AG257" i="8"/>
  <c r="DT257" i="8"/>
  <c r="AH257" i="8" s="1"/>
  <c r="DU257" i="8"/>
  <c r="AI257" i="8" s="1"/>
  <c r="DV257" i="8"/>
  <c r="AJ257" i="8" s="1"/>
  <c r="DW257" i="8"/>
  <c r="AK257" i="8" s="1"/>
  <c r="DQ258" i="8"/>
  <c r="AE258" i="8" s="1"/>
  <c r="AG258" i="8"/>
  <c r="DT258" i="8"/>
  <c r="AH258" i="8" s="1"/>
  <c r="DU258" i="8"/>
  <c r="AI258" i="8" s="1"/>
  <c r="DV258" i="8"/>
  <c r="AJ258" i="8" s="1"/>
  <c r="DW258" i="8"/>
  <c r="AK258" i="8" s="1"/>
  <c r="DQ259" i="8"/>
  <c r="AE259" i="8" s="1"/>
  <c r="AG259" i="8"/>
  <c r="DT259" i="8"/>
  <c r="AH259" i="8" s="1"/>
  <c r="DU259" i="8"/>
  <c r="AI259" i="8" s="1"/>
  <c r="DV259" i="8"/>
  <c r="AJ259" i="8" s="1"/>
  <c r="DW259" i="8"/>
  <c r="AK259" i="8" s="1"/>
  <c r="DQ260" i="8"/>
  <c r="AE260" i="8" s="1"/>
  <c r="AG260" i="8"/>
  <c r="DT260" i="8"/>
  <c r="AH260" i="8" s="1"/>
  <c r="DU260" i="8"/>
  <c r="AI260" i="8" s="1"/>
  <c r="DV260" i="8"/>
  <c r="AJ260" i="8" s="1"/>
  <c r="DW260" i="8"/>
  <c r="AK260" i="8" s="1"/>
  <c r="DQ261" i="8"/>
  <c r="AE261" i="8" s="1"/>
  <c r="AG261" i="8"/>
  <c r="DT261" i="8"/>
  <c r="AH261" i="8" s="1"/>
  <c r="DU261" i="8"/>
  <c r="AI261" i="8" s="1"/>
  <c r="DV261" i="8"/>
  <c r="AJ261" i="8" s="1"/>
  <c r="DW261" i="8"/>
  <c r="AK261" i="8" s="1"/>
  <c r="DQ262" i="8"/>
  <c r="AE262" i="8" s="1"/>
  <c r="AG262" i="8"/>
  <c r="DT262" i="8"/>
  <c r="AH262" i="8" s="1"/>
  <c r="DU262" i="8"/>
  <c r="AI262" i="8" s="1"/>
  <c r="DV262" i="8"/>
  <c r="AJ262" i="8" s="1"/>
  <c r="DW262" i="8"/>
  <c r="AK262" i="8" s="1"/>
  <c r="DQ263" i="8"/>
  <c r="AE263" i="8" s="1"/>
  <c r="AG263" i="8"/>
  <c r="DT263" i="8"/>
  <c r="AH263" i="8" s="1"/>
  <c r="DU263" i="8"/>
  <c r="AI263" i="8" s="1"/>
  <c r="DV263" i="8"/>
  <c r="AJ263" i="8" s="1"/>
  <c r="DW263" i="8"/>
  <c r="AK263" i="8" s="1"/>
  <c r="DQ264" i="8"/>
  <c r="AE264" i="8" s="1"/>
  <c r="AG264" i="8"/>
  <c r="DT264" i="8"/>
  <c r="AH264" i="8" s="1"/>
  <c r="DU264" i="8"/>
  <c r="AI264" i="8" s="1"/>
  <c r="DV264" i="8"/>
  <c r="AJ264" i="8" s="1"/>
  <c r="DW264" i="8"/>
  <c r="AK264" i="8" s="1"/>
  <c r="DQ265" i="8"/>
  <c r="AE265" i="8" s="1"/>
  <c r="AG265" i="8"/>
  <c r="DT265" i="8"/>
  <c r="AH265" i="8" s="1"/>
  <c r="DU265" i="8"/>
  <c r="AI265" i="8" s="1"/>
  <c r="DV265" i="8"/>
  <c r="AJ265" i="8" s="1"/>
  <c r="DW265" i="8"/>
  <c r="AK265" i="8" s="1"/>
  <c r="DQ266" i="8"/>
  <c r="AE266" i="8" s="1"/>
  <c r="AG266" i="8"/>
  <c r="DT266" i="8"/>
  <c r="AH266" i="8" s="1"/>
  <c r="DU266" i="8"/>
  <c r="AI266" i="8" s="1"/>
  <c r="DV266" i="8"/>
  <c r="AJ266" i="8" s="1"/>
  <c r="DW266" i="8"/>
  <c r="AK266" i="8" s="1"/>
  <c r="DQ267" i="8"/>
  <c r="AE267" i="8" s="1"/>
  <c r="AG267" i="8"/>
  <c r="DT267" i="8"/>
  <c r="AH267" i="8" s="1"/>
  <c r="DU267" i="8"/>
  <c r="AI267" i="8" s="1"/>
  <c r="DV267" i="8"/>
  <c r="AJ267" i="8" s="1"/>
  <c r="DW267" i="8"/>
  <c r="AK267" i="8" s="1"/>
  <c r="DQ268" i="8"/>
  <c r="AE268" i="8" s="1"/>
  <c r="AG268" i="8"/>
  <c r="DT268" i="8"/>
  <c r="AH268" i="8" s="1"/>
  <c r="DU268" i="8"/>
  <c r="AI268" i="8" s="1"/>
  <c r="DV268" i="8"/>
  <c r="AJ268" i="8" s="1"/>
  <c r="DW268" i="8"/>
  <c r="AK268" i="8" s="1"/>
  <c r="DQ269" i="8"/>
  <c r="AE269" i="8" s="1"/>
  <c r="AG269" i="8"/>
  <c r="DT269" i="8"/>
  <c r="AH269" i="8" s="1"/>
  <c r="DU269" i="8"/>
  <c r="AI269" i="8" s="1"/>
  <c r="DV269" i="8"/>
  <c r="AJ269" i="8" s="1"/>
  <c r="DW269" i="8"/>
  <c r="AK269" i="8" s="1"/>
  <c r="DQ270" i="8"/>
  <c r="AE270" i="8" s="1"/>
  <c r="AG270" i="8"/>
  <c r="DT270" i="8"/>
  <c r="AH270" i="8" s="1"/>
  <c r="DU270" i="8"/>
  <c r="AI270" i="8" s="1"/>
  <c r="DV270" i="8"/>
  <c r="AJ270" i="8" s="1"/>
  <c r="DW270" i="8"/>
  <c r="AK270" i="8" s="1"/>
  <c r="DQ271" i="8"/>
  <c r="AE271" i="8" s="1"/>
  <c r="AG271" i="8"/>
  <c r="DT271" i="8"/>
  <c r="AH271" i="8" s="1"/>
  <c r="DU271" i="8"/>
  <c r="AI271" i="8" s="1"/>
  <c r="DV271" i="8"/>
  <c r="AJ271" i="8" s="1"/>
  <c r="DW271" i="8"/>
  <c r="AK271" i="8" s="1"/>
  <c r="DQ272" i="8"/>
  <c r="AE272" i="8" s="1"/>
  <c r="AG272" i="8"/>
  <c r="DT272" i="8"/>
  <c r="AH272" i="8" s="1"/>
  <c r="DU272" i="8"/>
  <c r="AI272" i="8" s="1"/>
  <c r="DV272" i="8"/>
  <c r="AJ272" i="8" s="1"/>
  <c r="DW272" i="8"/>
  <c r="AK272" i="8" s="1"/>
  <c r="DQ273" i="8"/>
  <c r="AE273" i="8" s="1"/>
  <c r="AG273" i="8"/>
  <c r="DT273" i="8"/>
  <c r="AH273" i="8" s="1"/>
  <c r="DU273" i="8"/>
  <c r="AI273" i="8" s="1"/>
  <c r="DV273" i="8"/>
  <c r="AJ273" i="8" s="1"/>
  <c r="DW273" i="8"/>
  <c r="AK273" i="8" s="1"/>
  <c r="DQ274" i="8"/>
  <c r="AE274" i="8" s="1"/>
  <c r="AG274" i="8"/>
  <c r="DT274" i="8"/>
  <c r="AH274" i="8" s="1"/>
  <c r="DU274" i="8"/>
  <c r="AI274" i="8" s="1"/>
  <c r="DV274" i="8"/>
  <c r="AJ274" i="8" s="1"/>
  <c r="DW274" i="8"/>
  <c r="AK274" i="8" s="1"/>
  <c r="DQ275" i="8"/>
  <c r="AE275" i="8" s="1"/>
  <c r="AG275" i="8"/>
  <c r="DT275" i="8"/>
  <c r="AH275" i="8" s="1"/>
  <c r="DU275" i="8"/>
  <c r="AI275" i="8" s="1"/>
  <c r="DV275" i="8"/>
  <c r="AJ275" i="8" s="1"/>
  <c r="DW275" i="8"/>
  <c r="AK275" i="8" s="1"/>
  <c r="DQ276" i="8"/>
  <c r="AE276" i="8" s="1"/>
  <c r="AG276" i="8"/>
  <c r="DT276" i="8"/>
  <c r="AH276" i="8" s="1"/>
  <c r="DU276" i="8"/>
  <c r="AI276" i="8" s="1"/>
  <c r="DV276" i="8"/>
  <c r="AJ276" i="8" s="1"/>
  <c r="DW276" i="8"/>
  <c r="AK276" i="8" s="1"/>
  <c r="DQ277" i="8"/>
  <c r="AE277" i="8" s="1"/>
  <c r="AG277" i="8"/>
  <c r="DT277" i="8"/>
  <c r="AH277" i="8" s="1"/>
  <c r="DU277" i="8"/>
  <c r="AI277" i="8" s="1"/>
  <c r="DV277" i="8"/>
  <c r="AJ277" i="8" s="1"/>
  <c r="DW277" i="8"/>
  <c r="AK277" i="8" s="1"/>
  <c r="DQ278" i="8"/>
  <c r="AE278" i="8" s="1"/>
  <c r="AG278" i="8"/>
  <c r="DT278" i="8"/>
  <c r="AH278" i="8" s="1"/>
  <c r="DU278" i="8"/>
  <c r="AI278" i="8" s="1"/>
  <c r="DV278" i="8"/>
  <c r="AJ278" i="8" s="1"/>
  <c r="DW278" i="8"/>
  <c r="AK278" i="8" s="1"/>
  <c r="DQ279" i="8"/>
  <c r="AE279" i="8" s="1"/>
  <c r="AG279" i="8"/>
  <c r="DT279" i="8"/>
  <c r="AH279" i="8" s="1"/>
  <c r="DU279" i="8"/>
  <c r="AI279" i="8" s="1"/>
  <c r="DV279" i="8"/>
  <c r="AJ279" i="8" s="1"/>
  <c r="DW279" i="8"/>
  <c r="AK279" i="8" s="1"/>
  <c r="DQ280" i="8"/>
  <c r="AE280" i="8" s="1"/>
  <c r="AG280" i="8"/>
  <c r="DT280" i="8"/>
  <c r="AH280" i="8" s="1"/>
  <c r="DU280" i="8"/>
  <c r="AI280" i="8" s="1"/>
  <c r="DV280" i="8"/>
  <c r="AJ280" i="8" s="1"/>
  <c r="DW280" i="8"/>
  <c r="AK280" i="8" s="1"/>
  <c r="DQ281" i="8"/>
  <c r="AE281" i="8" s="1"/>
  <c r="AG281" i="8"/>
  <c r="DT281" i="8"/>
  <c r="AH281" i="8" s="1"/>
  <c r="DU281" i="8"/>
  <c r="AI281" i="8" s="1"/>
  <c r="DV281" i="8"/>
  <c r="AJ281" i="8" s="1"/>
  <c r="DW281" i="8"/>
  <c r="AK281" i="8" s="1"/>
  <c r="DQ282" i="8"/>
  <c r="AE282" i="8" s="1"/>
  <c r="AG282" i="8"/>
  <c r="DT282" i="8"/>
  <c r="AH282" i="8" s="1"/>
  <c r="DU282" i="8"/>
  <c r="AI282" i="8" s="1"/>
  <c r="DV282" i="8"/>
  <c r="AJ282" i="8" s="1"/>
  <c r="DW282" i="8"/>
  <c r="AK282" i="8" s="1"/>
  <c r="DQ283" i="8"/>
  <c r="AE283" i="8" s="1"/>
  <c r="AG283" i="8"/>
  <c r="DT283" i="8"/>
  <c r="AH283" i="8" s="1"/>
  <c r="DU283" i="8"/>
  <c r="AI283" i="8" s="1"/>
  <c r="DV283" i="8"/>
  <c r="AJ283" i="8" s="1"/>
  <c r="DW283" i="8"/>
  <c r="AK283" i="8" s="1"/>
  <c r="DQ284" i="8"/>
  <c r="AE284" i="8" s="1"/>
  <c r="AG284" i="8"/>
  <c r="DT284" i="8"/>
  <c r="AH284" i="8" s="1"/>
  <c r="DU284" i="8"/>
  <c r="AI284" i="8" s="1"/>
  <c r="DV284" i="8"/>
  <c r="AJ284" i="8" s="1"/>
  <c r="DW284" i="8"/>
  <c r="AK284" i="8" s="1"/>
  <c r="DQ285" i="8"/>
  <c r="AE285" i="8" s="1"/>
  <c r="AG285" i="8"/>
  <c r="DT285" i="8"/>
  <c r="AH285" i="8" s="1"/>
  <c r="DU285" i="8"/>
  <c r="AI285" i="8" s="1"/>
  <c r="DV285" i="8"/>
  <c r="AJ285" i="8" s="1"/>
  <c r="DW285" i="8"/>
  <c r="AK285" i="8" s="1"/>
  <c r="DQ286" i="8"/>
  <c r="AE286" i="8" s="1"/>
  <c r="AG286" i="8"/>
  <c r="DT286" i="8"/>
  <c r="AH286" i="8" s="1"/>
  <c r="DU286" i="8"/>
  <c r="AI286" i="8" s="1"/>
  <c r="DV286" i="8"/>
  <c r="AJ286" i="8" s="1"/>
  <c r="DW286" i="8"/>
  <c r="AK286" i="8" s="1"/>
  <c r="DQ287" i="8"/>
  <c r="AE287" i="8" s="1"/>
  <c r="AG287" i="8"/>
  <c r="DT287" i="8"/>
  <c r="AH287" i="8" s="1"/>
  <c r="DU287" i="8"/>
  <c r="AI287" i="8" s="1"/>
  <c r="DV287" i="8"/>
  <c r="AJ287" i="8" s="1"/>
  <c r="DW287" i="8"/>
  <c r="AK287" i="8" s="1"/>
  <c r="DQ288" i="8"/>
  <c r="AE288" i="8" s="1"/>
  <c r="AG288" i="8"/>
  <c r="DT288" i="8"/>
  <c r="AH288" i="8" s="1"/>
  <c r="DU288" i="8"/>
  <c r="AI288" i="8" s="1"/>
  <c r="DV288" i="8"/>
  <c r="AJ288" i="8" s="1"/>
  <c r="DW288" i="8"/>
  <c r="AK288" i="8" s="1"/>
  <c r="DQ289" i="8"/>
  <c r="AE289" i="8" s="1"/>
  <c r="AG289" i="8"/>
  <c r="DT289" i="8"/>
  <c r="AH289" i="8" s="1"/>
  <c r="DU289" i="8"/>
  <c r="AI289" i="8" s="1"/>
  <c r="DV289" i="8"/>
  <c r="AJ289" i="8" s="1"/>
  <c r="DW289" i="8"/>
  <c r="AK289" i="8" s="1"/>
  <c r="DQ290" i="8"/>
  <c r="AE290" i="8" s="1"/>
  <c r="AG290" i="8"/>
  <c r="DT290" i="8"/>
  <c r="AH290" i="8" s="1"/>
  <c r="DU290" i="8"/>
  <c r="AI290" i="8" s="1"/>
  <c r="DV290" i="8"/>
  <c r="AJ290" i="8" s="1"/>
  <c r="DW290" i="8"/>
  <c r="AK290" i="8" s="1"/>
  <c r="DQ291" i="8"/>
  <c r="AE291" i="8" s="1"/>
  <c r="AG291" i="8"/>
  <c r="DT291" i="8"/>
  <c r="AH291" i="8" s="1"/>
  <c r="DU291" i="8"/>
  <c r="AI291" i="8" s="1"/>
  <c r="DV291" i="8"/>
  <c r="AJ291" i="8" s="1"/>
  <c r="DW291" i="8"/>
  <c r="AK291" i="8" s="1"/>
  <c r="DQ292" i="8"/>
  <c r="AE292" i="8" s="1"/>
  <c r="AG292" i="8"/>
  <c r="DT292" i="8"/>
  <c r="AH292" i="8" s="1"/>
  <c r="DU292" i="8"/>
  <c r="AI292" i="8" s="1"/>
  <c r="DV292" i="8"/>
  <c r="AJ292" i="8" s="1"/>
  <c r="DW292" i="8"/>
  <c r="AK292" i="8" s="1"/>
  <c r="DQ293" i="8"/>
  <c r="AE293" i="8" s="1"/>
  <c r="AG293" i="8"/>
  <c r="DT293" i="8"/>
  <c r="AH293" i="8" s="1"/>
  <c r="DU293" i="8"/>
  <c r="AI293" i="8" s="1"/>
  <c r="DV293" i="8"/>
  <c r="AJ293" i="8" s="1"/>
  <c r="DW293" i="8"/>
  <c r="AK293" i="8" s="1"/>
  <c r="DQ294" i="8"/>
  <c r="AE294" i="8" s="1"/>
  <c r="AG294" i="8"/>
  <c r="DT294" i="8"/>
  <c r="AH294" i="8" s="1"/>
  <c r="DU294" i="8"/>
  <c r="AI294" i="8" s="1"/>
  <c r="DV294" i="8"/>
  <c r="AJ294" i="8" s="1"/>
  <c r="DW294" i="8"/>
  <c r="AK294" i="8" s="1"/>
  <c r="DQ295" i="8"/>
  <c r="AE295" i="8" s="1"/>
  <c r="AG295" i="8"/>
  <c r="DT295" i="8"/>
  <c r="AH295" i="8" s="1"/>
  <c r="DU295" i="8"/>
  <c r="AI295" i="8" s="1"/>
  <c r="DV295" i="8"/>
  <c r="AJ295" i="8" s="1"/>
  <c r="DW295" i="8"/>
  <c r="AK295" i="8" s="1"/>
  <c r="DQ296" i="8"/>
  <c r="AE296" i="8" s="1"/>
  <c r="AG296" i="8"/>
  <c r="DT296" i="8"/>
  <c r="AH296" i="8" s="1"/>
  <c r="DU296" i="8"/>
  <c r="AI296" i="8" s="1"/>
  <c r="DV296" i="8"/>
  <c r="AJ296" i="8" s="1"/>
  <c r="DW296" i="8"/>
  <c r="AK296" i="8" s="1"/>
  <c r="DQ297" i="8"/>
  <c r="AE297" i="8" s="1"/>
  <c r="AG297" i="8"/>
  <c r="DT297" i="8"/>
  <c r="AH297" i="8" s="1"/>
  <c r="DU297" i="8"/>
  <c r="AI297" i="8" s="1"/>
  <c r="DV297" i="8"/>
  <c r="AJ297" i="8" s="1"/>
  <c r="DW297" i="8"/>
  <c r="AK297" i="8" s="1"/>
  <c r="DQ298" i="8"/>
  <c r="AE298" i="8" s="1"/>
  <c r="AG298" i="8"/>
  <c r="DT298" i="8"/>
  <c r="AH298" i="8" s="1"/>
  <c r="DU298" i="8"/>
  <c r="AI298" i="8" s="1"/>
  <c r="DV298" i="8"/>
  <c r="AJ298" i="8" s="1"/>
  <c r="DW298" i="8"/>
  <c r="AK298" i="8" s="1"/>
  <c r="DQ299" i="8"/>
  <c r="AE299" i="8" s="1"/>
  <c r="AG299" i="8"/>
  <c r="DT299" i="8"/>
  <c r="AH299" i="8" s="1"/>
  <c r="DU299" i="8"/>
  <c r="AI299" i="8" s="1"/>
  <c r="DV299" i="8"/>
  <c r="AJ299" i="8" s="1"/>
  <c r="DW299" i="8"/>
  <c r="AK299" i="8" s="1"/>
  <c r="DQ300" i="8"/>
  <c r="AE300" i="8" s="1"/>
  <c r="AG300" i="8"/>
  <c r="DT300" i="8"/>
  <c r="AH300" i="8" s="1"/>
  <c r="DU300" i="8"/>
  <c r="AI300" i="8" s="1"/>
  <c r="DV300" i="8"/>
  <c r="AJ300" i="8" s="1"/>
  <c r="DW300" i="8"/>
  <c r="AK300" i="8" s="1"/>
  <c r="DQ301" i="8"/>
  <c r="AE301" i="8" s="1"/>
  <c r="AG301" i="8"/>
  <c r="DT301" i="8"/>
  <c r="AH301" i="8" s="1"/>
  <c r="DU301" i="8"/>
  <c r="AI301" i="8" s="1"/>
  <c r="DV301" i="8"/>
  <c r="AJ301" i="8" s="1"/>
  <c r="DW301" i="8"/>
  <c r="AK301" i="8" s="1"/>
  <c r="DQ302" i="8"/>
  <c r="AE302" i="8" s="1"/>
  <c r="AG302" i="8"/>
  <c r="DT302" i="8"/>
  <c r="AH302" i="8" s="1"/>
  <c r="DU302" i="8"/>
  <c r="AI302" i="8" s="1"/>
  <c r="DV302" i="8"/>
  <c r="AJ302" i="8" s="1"/>
  <c r="DW302" i="8"/>
  <c r="AK302" i="8" s="1"/>
  <c r="DQ303" i="8"/>
  <c r="AE303" i="8" s="1"/>
  <c r="AG303" i="8"/>
  <c r="DT303" i="8"/>
  <c r="AH303" i="8" s="1"/>
  <c r="DU303" i="8"/>
  <c r="AI303" i="8" s="1"/>
  <c r="DV303" i="8"/>
  <c r="AJ303" i="8" s="1"/>
  <c r="DW303" i="8"/>
  <c r="AK303" i="8" s="1"/>
  <c r="DQ304" i="8"/>
  <c r="AE304" i="8" s="1"/>
  <c r="AG304" i="8"/>
  <c r="DT304" i="8"/>
  <c r="AH304" i="8" s="1"/>
  <c r="DU304" i="8"/>
  <c r="AI304" i="8" s="1"/>
  <c r="DV304" i="8"/>
  <c r="AJ304" i="8" s="1"/>
  <c r="DW304" i="8"/>
  <c r="AK304" i="8" s="1"/>
  <c r="DQ305" i="8"/>
  <c r="AE305" i="8" s="1"/>
  <c r="AG305" i="8"/>
  <c r="DT305" i="8"/>
  <c r="AH305" i="8" s="1"/>
  <c r="DU305" i="8"/>
  <c r="AI305" i="8" s="1"/>
  <c r="DV305" i="8"/>
  <c r="AJ305" i="8" s="1"/>
  <c r="DW305" i="8"/>
  <c r="AK305" i="8" s="1"/>
  <c r="DQ306" i="8"/>
  <c r="AE306" i="8" s="1"/>
  <c r="AG306" i="8"/>
  <c r="DT306" i="8"/>
  <c r="AH306" i="8" s="1"/>
  <c r="DU306" i="8"/>
  <c r="AI306" i="8" s="1"/>
  <c r="DV306" i="8"/>
  <c r="AJ306" i="8" s="1"/>
  <c r="DW306" i="8"/>
  <c r="AK306" i="8" s="1"/>
  <c r="DQ307" i="8"/>
  <c r="AE307" i="8" s="1"/>
  <c r="AG307" i="8"/>
  <c r="DT307" i="8"/>
  <c r="AH307" i="8" s="1"/>
  <c r="DU307" i="8"/>
  <c r="AI307" i="8" s="1"/>
  <c r="DV307" i="8"/>
  <c r="AJ307" i="8" s="1"/>
  <c r="DW307" i="8"/>
  <c r="AK307" i="8" s="1"/>
  <c r="DQ308" i="8"/>
  <c r="AE308" i="8" s="1"/>
  <c r="AG308" i="8"/>
  <c r="DT308" i="8"/>
  <c r="AH308" i="8" s="1"/>
  <c r="DU308" i="8"/>
  <c r="AI308" i="8" s="1"/>
  <c r="DV308" i="8"/>
  <c r="AJ308" i="8" s="1"/>
  <c r="DW308" i="8"/>
  <c r="AK308" i="8" s="1"/>
  <c r="DQ309" i="8"/>
  <c r="AE309" i="8" s="1"/>
  <c r="AG309" i="8"/>
  <c r="DT309" i="8"/>
  <c r="AH309" i="8" s="1"/>
  <c r="DU309" i="8"/>
  <c r="AI309" i="8" s="1"/>
  <c r="DV309" i="8"/>
  <c r="AJ309" i="8" s="1"/>
  <c r="DW309" i="8"/>
  <c r="AK309" i="8" s="1"/>
  <c r="DQ310" i="8"/>
  <c r="AE310" i="8" s="1"/>
  <c r="AG310" i="8"/>
  <c r="DT310" i="8"/>
  <c r="AH310" i="8" s="1"/>
  <c r="DU310" i="8"/>
  <c r="AI310" i="8" s="1"/>
  <c r="DV310" i="8"/>
  <c r="AJ310" i="8" s="1"/>
  <c r="DW310" i="8"/>
  <c r="AK310" i="8" s="1"/>
  <c r="DQ311" i="8"/>
  <c r="AE311" i="8" s="1"/>
  <c r="AG311" i="8"/>
  <c r="DT311" i="8"/>
  <c r="AH311" i="8" s="1"/>
  <c r="DU311" i="8"/>
  <c r="AI311" i="8" s="1"/>
  <c r="DV311" i="8"/>
  <c r="AJ311" i="8" s="1"/>
  <c r="DW311" i="8"/>
  <c r="AK311" i="8" s="1"/>
  <c r="DQ312" i="8"/>
  <c r="AE312" i="8" s="1"/>
  <c r="AG312" i="8"/>
  <c r="DT312" i="8"/>
  <c r="AH312" i="8" s="1"/>
  <c r="DU312" i="8"/>
  <c r="AI312" i="8" s="1"/>
  <c r="DV312" i="8"/>
  <c r="AJ312" i="8" s="1"/>
  <c r="DW312" i="8"/>
  <c r="AK312" i="8" s="1"/>
  <c r="DQ313" i="8"/>
  <c r="AE313" i="8" s="1"/>
  <c r="AG313" i="8"/>
  <c r="DT313" i="8"/>
  <c r="AH313" i="8" s="1"/>
  <c r="DU313" i="8"/>
  <c r="AI313" i="8" s="1"/>
  <c r="DV313" i="8"/>
  <c r="AJ313" i="8" s="1"/>
  <c r="DW313" i="8"/>
  <c r="AK313" i="8" s="1"/>
  <c r="DQ314" i="8"/>
  <c r="AE314" i="8" s="1"/>
  <c r="AG314" i="8"/>
  <c r="DT314" i="8"/>
  <c r="AH314" i="8" s="1"/>
  <c r="DU314" i="8"/>
  <c r="AI314" i="8" s="1"/>
  <c r="DV314" i="8"/>
  <c r="AJ314" i="8" s="1"/>
  <c r="DW314" i="8"/>
  <c r="AK314" i="8" s="1"/>
  <c r="DQ315" i="8"/>
  <c r="AE315" i="8" s="1"/>
  <c r="AG315" i="8"/>
  <c r="DT315" i="8"/>
  <c r="AH315" i="8" s="1"/>
  <c r="DU315" i="8"/>
  <c r="AI315" i="8" s="1"/>
  <c r="DV315" i="8"/>
  <c r="AJ315" i="8" s="1"/>
  <c r="DW315" i="8"/>
  <c r="AK315" i="8" s="1"/>
  <c r="DQ316" i="8"/>
  <c r="AE316" i="8" s="1"/>
  <c r="AG316" i="8"/>
  <c r="DT316" i="8"/>
  <c r="AH316" i="8" s="1"/>
  <c r="DU316" i="8"/>
  <c r="AI316" i="8" s="1"/>
  <c r="DV316" i="8"/>
  <c r="AJ316" i="8" s="1"/>
  <c r="DW316" i="8"/>
  <c r="AK316" i="8" s="1"/>
  <c r="DQ317" i="8"/>
  <c r="AE317" i="8" s="1"/>
  <c r="AG317" i="8"/>
  <c r="DT317" i="8"/>
  <c r="AH317" i="8" s="1"/>
  <c r="DU317" i="8"/>
  <c r="AI317" i="8" s="1"/>
  <c r="DV317" i="8"/>
  <c r="AJ317" i="8" s="1"/>
  <c r="DW317" i="8"/>
  <c r="AK317" i="8" s="1"/>
  <c r="DQ318" i="8"/>
  <c r="AE318" i="8" s="1"/>
  <c r="AD50" i="5"/>
  <c r="AG318" i="8"/>
  <c r="AE50" i="5" s="1"/>
  <c r="DT318" i="8"/>
  <c r="AH318" i="8" s="1"/>
  <c r="AF50" i="5" s="1"/>
  <c r="DU318" i="8"/>
  <c r="AI318" i="8" s="1"/>
  <c r="AG50" i="5" s="1"/>
  <c r="DV318" i="8"/>
  <c r="AJ318" i="8" s="1"/>
  <c r="DW318" i="8"/>
  <c r="AK318" i="8" s="1"/>
  <c r="DQ320" i="8"/>
  <c r="AE320" i="8" s="1"/>
  <c r="AG320" i="8"/>
  <c r="DT320" i="8"/>
  <c r="AH320" i="8" s="1"/>
  <c r="DU320" i="8"/>
  <c r="AI320" i="8" s="1"/>
  <c r="DV320" i="8"/>
  <c r="AJ320" i="8" s="1"/>
  <c r="DW320" i="8"/>
  <c r="AK320" i="8" s="1"/>
  <c r="DQ321" i="8"/>
  <c r="AE321" i="8" s="1"/>
  <c r="AG321" i="8"/>
  <c r="DT321" i="8"/>
  <c r="AH321" i="8" s="1"/>
  <c r="DU321" i="8"/>
  <c r="AI321" i="8" s="1"/>
  <c r="DV321" i="8"/>
  <c r="AJ321" i="8" s="1"/>
  <c r="DW321" i="8"/>
  <c r="AK321" i="8" s="1"/>
  <c r="DQ322" i="8"/>
  <c r="AE322" i="8" s="1"/>
  <c r="AG322" i="8"/>
  <c r="DT322" i="8"/>
  <c r="AH322" i="8" s="1"/>
  <c r="DU322" i="8"/>
  <c r="AI322" i="8" s="1"/>
  <c r="DV322" i="8"/>
  <c r="AJ322" i="8" s="1"/>
  <c r="DW322" i="8"/>
  <c r="AK322" i="8" s="1"/>
  <c r="DQ323" i="8"/>
  <c r="AE323" i="8" s="1"/>
  <c r="AG323" i="8"/>
  <c r="DT323" i="8"/>
  <c r="AH323" i="8" s="1"/>
  <c r="DU323" i="8"/>
  <c r="AI323" i="8" s="1"/>
  <c r="DV323" i="8"/>
  <c r="AJ323" i="8" s="1"/>
  <c r="DW323" i="8"/>
  <c r="AK323" i="8" s="1"/>
  <c r="DQ324" i="8"/>
  <c r="AE324" i="8" s="1"/>
  <c r="AG324" i="8"/>
  <c r="DT324" i="8"/>
  <c r="AH324" i="8" s="1"/>
  <c r="DU324" i="8"/>
  <c r="AI324" i="8" s="1"/>
  <c r="DV324" i="8"/>
  <c r="AJ324" i="8" s="1"/>
  <c r="DW324" i="8"/>
  <c r="AK324" i="8" s="1"/>
  <c r="DQ325" i="8"/>
  <c r="AE325" i="8" s="1"/>
  <c r="AG325" i="8"/>
  <c r="DT325" i="8"/>
  <c r="AH325" i="8" s="1"/>
  <c r="DU325" i="8"/>
  <c r="AI325" i="8" s="1"/>
  <c r="DV325" i="8"/>
  <c r="AJ325" i="8" s="1"/>
  <c r="DW325" i="8"/>
  <c r="AK325" i="8" s="1"/>
  <c r="DQ326" i="8"/>
  <c r="AE326" i="8" s="1"/>
  <c r="AG326" i="8"/>
  <c r="DT326" i="8"/>
  <c r="AH326" i="8" s="1"/>
  <c r="DU326" i="8"/>
  <c r="AI326" i="8" s="1"/>
  <c r="DV326" i="8"/>
  <c r="AJ326" i="8" s="1"/>
  <c r="DW326" i="8"/>
  <c r="AK326" i="8" s="1"/>
  <c r="DQ327" i="8"/>
  <c r="AE327" i="8" s="1"/>
  <c r="AG327" i="8"/>
  <c r="DT327" i="8"/>
  <c r="AH327" i="8" s="1"/>
  <c r="DU327" i="8"/>
  <c r="AI327" i="8" s="1"/>
  <c r="DV327" i="8"/>
  <c r="AJ327" i="8" s="1"/>
  <c r="DW327" i="8"/>
  <c r="AK327" i="8" s="1"/>
  <c r="DQ328" i="8"/>
  <c r="AE328" i="8" s="1"/>
  <c r="AG328" i="8"/>
  <c r="DT328" i="8"/>
  <c r="AH328" i="8" s="1"/>
  <c r="DU328" i="8"/>
  <c r="AI328" i="8" s="1"/>
  <c r="DV328" i="8"/>
  <c r="AJ328" i="8" s="1"/>
  <c r="DW328" i="8"/>
  <c r="AK328" i="8" s="1"/>
  <c r="DQ329" i="8"/>
  <c r="AE329" i="8" s="1"/>
  <c r="AG329" i="8"/>
  <c r="DT329" i="8"/>
  <c r="AH329" i="8" s="1"/>
  <c r="DU329" i="8"/>
  <c r="AI329" i="8" s="1"/>
  <c r="DV329" i="8"/>
  <c r="AJ329" i="8" s="1"/>
  <c r="DW329" i="8"/>
  <c r="AK329" i="8" s="1"/>
  <c r="DQ330" i="8"/>
  <c r="AE330" i="8" s="1"/>
  <c r="AG330" i="8"/>
  <c r="DT330" i="8"/>
  <c r="AH330" i="8" s="1"/>
  <c r="DU330" i="8"/>
  <c r="AI330" i="8" s="1"/>
  <c r="DV330" i="8"/>
  <c r="AJ330" i="8" s="1"/>
  <c r="DW330" i="8"/>
  <c r="AK330" i="8" s="1"/>
  <c r="DQ331" i="8"/>
  <c r="AE331" i="8" s="1"/>
  <c r="AG331" i="8"/>
  <c r="DT331" i="8"/>
  <c r="AH331" i="8" s="1"/>
  <c r="DU331" i="8"/>
  <c r="AI331" i="8" s="1"/>
  <c r="DV331" i="8"/>
  <c r="AJ331" i="8" s="1"/>
  <c r="DW331" i="8"/>
  <c r="AK331" i="8" s="1"/>
  <c r="DQ332" i="8"/>
  <c r="AE332" i="8" s="1"/>
  <c r="AG332" i="8"/>
  <c r="DT332" i="8"/>
  <c r="AH332" i="8" s="1"/>
  <c r="DU332" i="8"/>
  <c r="AI332" i="8" s="1"/>
  <c r="DV332" i="8"/>
  <c r="AJ332" i="8" s="1"/>
  <c r="DW332" i="8"/>
  <c r="AK332" i="8" s="1"/>
  <c r="DQ333" i="8"/>
  <c r="AE333" i="8" s="1"/>
  <c r="AG333" i="8"/>
  <c r="DT333" i="8"/>
  <c r="AH333" i="8" s="1"/>
  <c r="DU333" i="8"/>
  <c r="AI333" i="8" s="1"/>
  <c r="DV333" i="8"/>
  <c r="AJ333" i="8" s="1"/>
  <c r="DW333" i="8"/>
  <c r="AK333" i="8" s="1"/>
  <c r="DQ334" i="8"/>
  <c r="AE334" i="8" s="1"/>
  <c r="AG334" i="8"/>
  <c r="DT334" i="8"/>
  <c r="AH334" i="8" s="1"/>
  <c r="DU334" i="8"/>
  <c r="AI334" i="8" s="1"/>
  <c r="DV334" i="8"/>
  <c r="AJ334" i="8" s="1"/>
  <c r="DW334" i="8"/>
  <c r="AK334" i="8" s="1"/>
  <c r="DQ335" i="8"/>
  <c r="AE335" i="8" s="1"/>
  <c r="AG335" i="8"/>
  <c r="DT335" i="8"/>
  <c r="AH335" i="8" s="1"/>
  <c r="DU335" i="8"/>
  <c r="AI335" i="8" s="1"/>
  <c r="DV335" i="8"/>
  <c r="AJ335" i="8" s="1"/>
  <c r="DW335" i="8"/>
  <c r="AK335" i="8" s="1"/>
  <c r="DQ336" i="8"/>
  <c r="AE336" i="8" s="1"/>
  <c r="AG336" i="8"/>
  <c r="DT336" i="8"/>
  <c r="AH336" i="8" s="1"/>
  <c r="DU336" i="8"/>
  <c r="AI336" i="8" s="1"/>
  <c r="DV336" i="8"/>
  <c r="AJ336" i="8" s="1"/>
  <c r="DW336" i="8"/>
  <c r="AK336" i="8" s="1"/>
  <c r="DQ337" i="8"/>
  <c r="AE337" i="8" s="1"/>
  <c r="AG337" i="8"/>
  <c r="DT337" i="8"/>
  <c r="AH337" i="8" s="1"/>
  <c r="DU337" i="8"/>
  <c r="AI337" i="8" s="1"/>
  <c r="DV337" i="8"/>
  <c r="AJ337" i="8" s="1"/>
  <c r="DW337" i="8"/>
  <c r="AK337" i="8" s="1"/>
  <c r="DQ338" i="8"/>
  <c r="AE338" i="8" s="1"/>
  <c r="AG338" i="8"/>
  <c r="DT338" i="8"/>
  <c r="AH338" i="8" s="1"/>
  <c r="DU338" i="8"/>
  <c r="AI338" i="8" s="1"/>
  <c r="DV338" i="8"/>
  <c r="AJ338" i="8" s="1"/>
  <c r="DW338" i="8"/>
  <c r="AK338" i="8" s="1"/>
  <c r="DQ339" i="8"/>
  <c r="AE339" i="8" s="1"/>
  <c r="AG339" i="8"/>
  <c r="DT339" i="8"/>
  <c r="AH339" i="8" s="1"/>
  <c r="DU339" i="8"/>
  <c r="AI339" i="8" s="1"/>
  <c r="DV339" i="8"/>
  <c r="AJ339" i="8" s="1"/>
  <c r="DW339" i="8"/>
  <c r="AK339" i="8" s="1"/>
  <c r="DQ340" i="8"/>
  <c r="AE340" i="8" s="1"/>
  <c r="AG340" i="8"/>
  <c r="DT340" i="8"/>
  <c r="AH340" i="8" s="1"/>
  <c r="DU340" i="8"/>
  <c r="AI340" i="8" s="1"/>
  <c r="DV340" i="8"/>
  <c r="AJ340" i="8" s="1"/>
  <c r="DW340" i="8"/>
  <c r="AK340" i="8" s="1"/>
  <c r="DQ341" i="8"/>
  <c r="AE341" i="8" s="1"/>
  <c r="AG341" i="8"/>
  <c r="DT341" i="8"/>
  <c r="AH341" i="8" s="1"/>
  <c r="DU341" i="8"/>
  <c r="AI341" i="8" s="1"/>
  <c r="DV341" i="8"/>
  <c r="AJ341" i="8" s="1"/>
  <c r="DW341" i="8"/>
  <c r="AK341" i="8" s="1"/>
  <c r="DQ342" i="8"/>
  <c r="AE342" i="8" s="1"/>
  <c r="AG342" i="8"/>
  <c r="DT342" i="8"/>
  <c r="AH342" i="8" s="1"/>
  <c r="DU342" i="8"/>
  <c r="AI342" i="8" s="1"/>
  <c r="DV342" i="8"/>
  <c r="AJ342" i="8" s="1"/>
  <c r="DW342" i="8"/>
  <c r="AK342" i="8" s="1"/>
  <c r="DQ343" i="8"/>
  <c r="AE343" i="8" s="1"/>
  <c r="AG343" i="8"/>
  <c r="DT343" i="8"/>
  <c r="AH343" i="8" s="1"/>
  <c r="DU343" i="8"/>
  <c r="AI343" i="8" s="1"/>
  <c r="DV343" i="8"/>
  <c r="AJ343" i="8" s="1"/>
  <c r="DW343" i="8"/>
  <c r="AK343" i="8" s="1"/>
  <c r="DQ344" i="8"/>
  <c r="AE344" i="8" s="1"/>
  <c r="AG344" i="8"/>
  <c r="DT344" i="8"/>
  <c r="AH344" i="8" s="1"/>
  <c r="DU344" i="8"/>
  <c r="AI344" i="8" s="1"/>
  <c r="DV344" i="8"/>
  <c r="AJ344" i="8" s="1"/>
  <c r="DW344" i="8"/>
  <c r="AK344" i="8" s="1"/>
  <c r="DQ345" i="8"/>
  <c r="AE345" i="8" s="1"/>
  <c r="AG345" i="8"/>
  <c r="DT345" i="8"/>
  <c r="AH345" i="8" s="1"/>
  <c r="DU345" i="8"/>
  <c r="AI345" i="8" s="1"/>
  <c r="DV345" i="8"/>
  <c r="AJ345" i="8" s="1"/>
  <c r="DW345" i="8"/>
  <c r="AK345" i="8" s="1"/>
  <c r="DQ346" i="8"/>
  <c r="AE346" i="8" s="1"/>
  <c r="AG346" i="8"/>
  <c r="DT346" i="8"/>
  <c r="AH346" i="8" s="1"/>
  <c r="DU346" i="8"/>
  <c r="AI346" i="8" s="1"/>
  <c r="DV346" i="8"/>
  <c r="AJ346" i="8" s="1"/>
  <c r="DW346" i="8"/>
  <c r="AK346" i="8" s="1"/>
  <c r="DQ347" i="8"/>
  <c r="AE347" i="8" s="1"/>
  <c r="AG347" i="8"/>
  <c r="DT347" i="8"/>
  <c r="AH347" i="8" s="1"/>
  <c r="DU347" i="8"/>
  <c r="AI347" i="8" s="1"/>
  <c r="DV347" i="8"/>
  <c r="AJ347" i="8" s="1"/>
  <c r="DW347" i="8"/>
  <c r="AK347" i="8" s="1"/>
  <c r="DQ348" i="8"/>
  <c r="AE348" i="8" s="1"/>
  <c r="AG348" i="8"/>
  <c r="DT348" i="8"/>
  <c r="AH348" i="8" s="1"/>
  <c r="DU348" i="8"/>
  <c r="AI348" i="8" s="1"/>
  <c r="DV348" i="8"/>
  <c r="AJ348" i="8" s="1"/>
  <c r="DW348" i="8"/>
  <c r="AK348" i="8" s="1"/>
  <c r="DQ349" i="8"/>
  <c r="AE349" i="8" s="1"/>
  <c r="AG349" i="8"/>
  <c r="DT349" i="8"/>
  <c r="AH349" i="8" s="1"/>
  <c r="DU349" i="8"/>
  <c r="AI349" i="8" s="1"/>
  <c r="DV349" i="8"/>
  <c r="AJ349" i="8" s="1"/>
  <c r="DW349" i="8"/>
  <c r="AK349" i="8" s="1"/>
  <c r="DQ351" i="8"/>
  <c r="AE351" i="8" s="1"/>
  <c r="AG351" i="8"/>
  <c r="DT351" i="8"/>
  <c r="AH351" i="8" s="1"/>
  <c r="DU351" i="8"/>
  <c r="AI351" i="8" s="1"/>
  <c r="DV351" i="8"/>
  <c r="AJ351" i="8" s="1"/>
  <c r="DW351" i="8"/>
  <c r="AK351" i="8" s="1"/>
  <c r="DQ352" i="8"/>
  <c r="AE352" i="8" s="1"/>
  <c r="AG352" i="8"/>
  <c r="DT352" i="8"/>
  <c r="AH352" i="8" s="1"/>
  <c r="DU352" i="8"/>
  <c r="AI352" i="8" s="1"/>
  <c r="DV352" i="8"/>
  <c r="AJ352" i="8" s="1"/>
  <c r="DW352" i="8"/>
  <c r="AK352" i="8" s="1"/>
  <c r="DQ353" i="8"/>
  <c r="AE353" i="8" s="1"/>
  <c r="AG353" i="8"/>
  <c r="DT353" i="8"/>
  <c r="AH353" i="8" s="1"/>
  <c r="DU353" i="8"/>
  <c r="AI353" i="8" s="1"/>
  <c r="DV353" i="8"/>
  <c r="AJ353" i="8" s="1"/>
  <c r="DW353" i="8"/>
  <c r="AK353" i="8" s="1"/>
  <c r="DQ354" i="8"/>
  <c r="AE354" i="8" s="1"/>
  <c r="AG354" i="8"/>
  <c r="DT354" i="8"/>
  <c r="AH354" i="8" s="1"/>
  <c r="DU354" i="8"/>
  <c r="AI354" i="8" s="1"/>
  <c r="DV354" i="8"/>
  <c r="AJ354" i="8" s="1"/>
  <c r="DW354" i="8"/>
  <c r="AK354" i="8" s="1"/>
  <c r="DQ355" i="8"/>
  <c r="AE355" i="8" s="1"/>
  <c r="AG355" i="8"/>
  <c r="DT355" i="8"/>
  <c r="AH355" i="8" s="1"/>
  <c r="DU355" i="8"/>
  <c r="AI355" i="8" s="1"/>
  <c r="DV355" i="8"/>
  <c r="AJ355" i="8" s="1"/>
  <c r="DW355" i="8"/>
  <c r="AK355" i="8" s="1"/>
  <c r="DQ356" i="8"/>
  <c r="AE356" i="8" s="1"/>
  <c r="AG356" i="8"/>
  <c r="DT356" i="8"/>
  <c r="AH356" i="8" s="1"/>
  <c r="DU356" i="8"/>
  <c r="AI356" i="8" s="1"/>
  <c r="DV356" i="8"/>
  <c r="AJ356" i="8" s="1"/>
  <c r="DW356" i="8"/>
  <c r="AK356" i="8" s="1"/>
  <c r="DQ357" i="8"/>
  <c r="AE357" i="8" s="1"/>
  <c r="AG357" i="8"/>
  <c r="DT357" i="8"/>
  <c r="AH357" i="8" s="1"/>
  <c r="DU357" i="8"/>
  <c r="AI357" i="8" s="1"/>
  <c r="DV357" i="8"/>
  <c r="AJ357" i="8" s="1"/>
  <c r="DW357" i="8"/>
  <c r="AK357" i="8" s="1"/>
  <c r="DQ358" i="8"/>
  <c r="AE358" i="8" s="1"/>
  <c r="AG358" i="8"/>
  <c r="DT358" i="8"/>
  <c r="AH358" i="8" s="1"/>
  <c r="DU358" i="8"/>
  <c r="AI358" i="8" s="1"/>
  <c r="DV358" i="8"/>
  <c r="AJ358" i="8" s="1"/>
  <c r="DW358" i="8"/>
  <c r="AK358" i="8" s="1"/>
  <c r="DQ359" i="8"/>
  <c r="AE359" i="8" s="1"/>
  <c r="AG359" i="8"/>
  <c r="DT359" i="8"/>
  <c r="AH359" i="8" s="1"/>
  <c r="DU359" i="8"/>
  <c r="AI359" i="8" s="1"/>
  <c r="DV359" i="8"/>
  <c r="AJ359" i="8" s="1"/>
  <c r="DW359" i="8"/>
  <c r="AK359" i="8" s="1"/>
  <c r="DQ360" i="8"/>
  <c r="AE360" i="8" s="1"/>
  <c r="AG360" i="8"/>
  <c r="DT360" i="8"/>
  <c r="AH360" i="8" s="1"/>
  <c r="DU360" i="8"/>
  <c r="AI360" i="8" s="1"/>
  <c r="DV360" i="8"/>
  <c r="AJ360" i="8" s="1"/>
  <c r="DW360" i="8"/>
  <c r="AK360" i="8" s="1"/>
  <c r="DQ361" i="8"/>
  <c r="AE361" i="8" s="1"/>
  <c r="AG361" i="8"/>
  <c r="DT361" i="8"/>
  <c r="AH361" i="8" s="1"/>
  <c r="DU361" i="8"/>
  <c r="AI361" i="8" s="1"/>
  <c r="DV361" i="8"/>
  <c r="AJ361" i="8" s="1"/>
  <c r="DW361" i="8"/>
  <c r="AK361" i="8" s="1"/>
  <c r="DQ362" i="8"/>
  <c r="AE362" i="8" s="1"/>
  <c r="AG362" i="8"/>
  <c r="DT362" i="8"/>
  <c r="AH362" i="8" s="1"/>
  <c r="DU362" i="8"/>
  <c r="AI362" i="8" s="1"/>
  <c r="DV362" i="8"/>
  <c r="AJ362" i="8" s="1"/>
  <c r="DW362" i="8"/>
  <c r="AK362" i="8" s="1"/>
  <c r="DQ363" i="8"/>
  <c r="AE363" i="8" s="1"/>
  <c r="AG363" i="8"/>
  <c r="DT363" i="8"/>
  <c r="AH363" i="8" s="1"/>
  <c r="DU363" i="8"/>
  <c r="AI363" i="8" s="1"/>
  <c r="DV363" i="8"/>
  <c r="AJ363" i="8" s="1"/>
  <c r="DW363" i="8"/>
  <c r="AK363" i="8" s="1"/>
  <c r="DQ364" i="8"/>
  <c r="AE364" i="8" s="1"/>
  <c r="AG364" i="8"/>
  <c r="DT364" i="8"/>
  <c r="AH364" i="8" s="1"/>
  <c r="DU364" i="8"/>
  <c r="AI364" i="8" s="1"/>
  <c r="DV364" i="8"/>
  <c r="AJ364" i="8" s="1"/>
  <c r="DW364" i="8"/>
  <c r="AK364" i="8" s="1"/>
  <c r="DQ365" i="8"/>
  <c r="AE365" i="8" s="1"/>
  <c r="AG365" i="8"/>
  <c r="DT365" i="8"/>
  <c r="AH365" i="8" s="1"/>
  <c r="DU365" i="8"/>
  <c r="AI365" i="8" s="1"/>
  <c r="DV365" i="8"/>
  <c r="AJ365" i="8" s="1"/>
  <c r="DW365" i="8"/>
  <c r="AK365" i="8" s="1"/>
  <c r="DQ366" i="8"/>
  <c r="AE366" i="8" s="1"/>
  <c r="AG366" i="8"/>
  <c r="DT366" i="8"/>
  <c r="AH366" i="8" s="1"/>
  <c r="DU366" i="8"/>
  <c r="AI366" i="8" s="1"/>
  <c r="DV366" i="8"/>
  <c r="AJ366" i="8" s="1"/>
  <c r="DW366" i="8"/>
  <c r="AK366" i="8" s="1"/>
  <c r="DQ367" i="8"/>
  <c r="AE367" i="8" s="1"/>
  <c r="AG367" i="8"/>
  <c r="DT367" i="8"/>
  <c r="AH367" i="8" s="1"/>
  <c r="DU367" i="8"/>
  <c r="AI367" i="8" s="1"/>
  <c r="DV367" i="8"/>
  <c r="AJ367" i="8" s="1"/>
  <c r="DW367" i="8"/>
  <c r="AK367" i="8" s="1"/>
  <c r="DQ368" i="8"/>
  <c r="AE368" i="8" s="1"/>
  <c r="AG368" i="8"/>
  <c r="DT368" i="8"/>
  <c r="AH368" i="8" s="1"/>
  <c r="DU368" i="8"/>
  <c r="AI368" i="8" s="1"/>
  <c r="DV368" i="8"/>
  <c r="AJ368" i="8" s="1"/>
  <c r="DW368" i="8"/>
  <c r="AK368" i="8" s="1"/>
  <c r="DQ369" i="8"/>
  <c r="AE369" i="8" s="1"/>
  <c r="AG369" i="8"/>
  <c r="DT369" i="8"/>
  <c r="AH369" i="8" s="1"/>
  <c r="DU369" i="8"/>
  <c r="AI369" i="8" s="1"/>
  <c r="DV369" i="8"/>
  <c r="AJ369" i="8" s="1"/>
  <c r="DW369" i="8"/>
  <c r="AK369" i="8" s="1"/>
  <c r="DQ370" i="8"/>
  <c r="AE370" i="8" s="1"/>
  <c r="AG370" i="8"/>
  <c r="DT370" i="8"/>
  <c r="AH370" i="8" s="1"/>
  <c r="DU370" i="8"/>
  <c r="AI370" i="8" s="1"/>
  <c r="DV370" i="8"/>
  <c r="AJ370" i="8" s="1"/>
  <c r="DW370" i="8"/>
  <c r="AK370" i="8" s="1"/>
  <c r="DQ371" i="8"/>
  <c r="AE371" i="8" s="1"/>
  <c r="AG371" i="8"/>
  <c r="DT371" i="8"/>
  <c r="AH371" i="8" s="1"/>
  <c r="DU371" i="8"/>
  <c r="AI371" i="8" s="1"/>
  <c r="DV371" i="8"/>
  <c r="AJ371" i="8" s="1"/>
  <c r="DW371" i="8"/>
  <c r="AK371" i="8" s="1"/>
  <c r="DQ372" i="8"/>
  <c r="AE372" i="8" s="1"/>
  <c r="AG372" i="8"/>
  <c r="DT372" i="8"/>
  <c r="AH372" i="8" s="1"/>
  <c r="DU372" i="8"/>
  <c r="AI372" i="8" s="1"/>
  <c r="DV372" i="8"/>
  <c r="AJ372" i="8" s="1"/>
  <c r="DW372" i="8"/>
  <c r="AK372" i="8" s="1"/>
  <c r="DQ373" i="8"/>
  <c r="AE373" i="8" s="1"/>
  <c r="AG373" i="8"/>
  <c r="DT373" i="8"/>
  <c r="AH373" i="8" s="1"/>
  <c r="DU373" i="8"/>
  <c r="AI373" i="8" s="1"/>
  <c r="DV373" i="8"/>
  <c r="AJ373" i="8" s="1"/>
  <c r="DW373" i="8"/>
  <c r="AK373" i="8" s="1"/>
  <c r="DQ374" i="8"/>
  <c r="AE374" i="8" s="1"/>
  <c r="AG374" i="8"/>
  <c r="DT374" i="8"/>
  <c r="AH374" i="8" s="1"/>
  <c r="DU374" i="8"/>
  <c r="AI374" i="8" s="1"/>
  <c r="DV374" i="8"/>
  <c r="AJ374" i="8" s="1"/>
  <c r="DW374" i="8"/>
  <c r="AK374" i="8" s="1"/>
  <c r="DQ375" i="8"/>
  <c r="AE375" i="8" s="1"/>
  <c r="AG375" i="8"/>
  <c r="DT375" i="8"/>
  <c r="AH375" i="8" s="1"/>
  <c r="DU375" i="8"/>
  <c r="AI375" i="8" s="1"/>
  <c r="DV375" i="8"/>
  <c r="AJ375" i="8" s="1"/>
  <c r="DW375" i="8"/>
  <c r="AK375" i="8" s="1"/>
  <c r="DQ376" i="8"/>
  <c r="AE376" i="8" s="1"/>
  <c r="AG376" i="8"/>
  <c r="DT376" i="8"/>
  <c r="AH376" i="8" s="1"/>
  <c r="DU376" i="8"/>
  <c r="AI376" i="8" s="1"/>
  <c r="DV376" i="8"/>
  <c r="AJ376" i="8" s="1"/>
  <c r="DW376" i="8"/>
  <c r="AK376" i="8" s="1"/>
  <c r="DQ377" i="8"/>
  <c r="AE377" i="8" s="1"/>
  <c r="AG377" i="8"/>
  <c r="DT377" i="8"/>
  <c r="AH377" i="8" s="1"/>
  <c r="DU377" i="8"/>
  <c r="AI377" i="8" s="1"/>
  <c r="DV377" i="8"/>
  <c r="AJ377" i="8" s="1"/>
  <c r="DW377" i="8"/>
  <c r="AK377" i="8" s="1"/>
  <c r="DQ378" i="8"/>
  <c r="AE378" i="8" s="1"/>
  <c r="AG378" i="8"/>
  <c r="DT378" i="8"/>
  <c r="AH378" i="8" s="1"/>
  <c r="DU378" i="8"/>
  <c r="AI378" i="8" s="1"/>
  <c r="DV378" i="8"/>
  <c r="AJ378" i="8" s="1"/>
  <c r="DW378" i="8"/>
  <c r="AK378" i="8" s="1"/>
  <c r="DQ379" i="8"/>
  <c r="AE379" i="8" s="1"/>
  <c r="AG379" i="8"/>
  <c r="DT379" i="8"/>
  <c r="AH379" i="8" s="1"/>
  <c r="DU379" i="8"/>
  <c r="AI379" i="8" s="1"/>
  <c r="DV379" i="8"/>
  <c r="AJ379" i="8" s="1"/>
  <c r="DW379" i="8"/>
  <c r="AK379" i="8" s="1"/>
  <c r="DQ380" i="8"/>
  <c r="AE380" i="8" s="1"/>
  <c r="AG380" i="8"/>
  <c r="DT380" i="8"/>
  <c r="AH380" i="8" s="1"/>
  <c r="DU380" i="8"/>
  <c r="AI380" i="8" s="1"/>
  <c r="DV380" i="8"/>
  <c r="AJ380" i="8" s="1"/>
  <c r="DW380" i="8"/>
  <c r="AK380" i="8" s="1"/>
  <c r="DQ381" i="8"/>
  <c r="AE381" i="8" s="1"/>
  <c r="AG381" i="8"/>
  <c r="DT381" i="8"/>
  <c r="AH381" i="8" s="1"/>
  <c r="DU381" i="8"/>
  <c r="AI381" i="8" s="1"/>
  <c r="DV381" i="8"/>
  <c r="AJ381" i="8" s="1"/>
  <c r="DW381" i="8"/>
  <c r="AK381" i="8" s="1"/>
  <c r="DQ382" i="8"/>
  <c r="AE382" i="8" s="1"/>
  <c r="AG382" i="8"/>
  <c r="DT382" i="8"/>
  <c r="AH382" i="8" s="1"/>
  <c r="DU382" i="8"/>
  <c r="AI382" i="8" s="1"/>
  <c r="DV382" i="8"/>
  <c r="AJ382" i="8" s="1"/>
  <c r="DW382" i="8"/>
  <c r="AK382" i="8" s="1"/>
  <c r="DQ383" i="8"/>
  <c r="AE383" i="8" s="1"/>
  <c r="AG383" i="8"/>
  <c r="DT383" i="8"/>
  <c r="AH383" i="8" s="1"/>
  <c r="DU383" i="8"/>
  <c r="AI383" i="8" s="1"/>
  <c r="DV383" i="8"/>
  <c r="AJ383" i="8" s="1"/>
  <c r="DW383" i="8"/>
  <c r="AK383" i="8" s="1"/>
  <c r="DQ384" i="8"/>
  <c r="AE384" i="8" s="1"/>
  <c r="AG384" i="8"/>
  <c r="DT384" i="8"/>
  <c r="AH384" i="8" s="1"/>
  <c r="DU384" i="8"/>
  <c r="AI384" i="8" s="1"/>
  <c r="DV384" i="8"/>
  <c r="AJ384" i="8" s="1"/>
  <c r="DW384" i="8"/>
  <c r="AK384" i="8" s="1"/>
  <c r="DQ385" i="8"/>
  <c r="AE385" i="8" s="1"/>
  <c r="AG385" i="8"/>
  <c r="DT385" i="8"/>
  <c r="AH385" i="8" s="1"/>
  <c r="DU385" i="8"/>
  <c r="AI385" i="8" s="1"/>
  <c r="DV385" i="8"/>
  <c r="AJ385" i="8" s="1"/>
  <c r="DW385" i="8"/>
  <c r="AK385" i="8" s="1"/>
  <c r="DQ386" i="8"/>
  <c r="AE386" i="8" s="1"/>
  <c r="AG386" i="8"/>
  <c r="DT386" i="8"/>
  <c r="AH386" i="8" s="1"/>
  <c r="DU386" i="8"/>
  <c r="AI386" i="8" s="1"/>
  <c r="DV386" i="8"/>
  <c r="AJ386" i="8" s="1"/>
  <c r="DW386" i="8"/>
  <c r="AK386" i="8" s="1"/>
  <c r="DQ387" i="8"/>
  <c r="AE387" i="8" s="1"/>
  <c r="AG387" i="8"/>
  <c r="DT387" i="8"/>
  <c r="AH387" i="8" s="1"/>
  <c r="DU387" i="8"/>
  <c r="AI387" i="8" s="1"/>
  <c r="DV387" i="8"/>
  <c r="AJ387" i="8" s="1"/>
  <c r="DW387" i="8"/>
  <c r="AK387" i="8" s="1"/>
  <c r="DQ388" i="8"/>
  <c r="AE388" i="8" s="1"/>
  <c r="AG388" i="8"/>
  <c r="DT388" i="8"/>
  <c r="AH388" i="8" s="1"/>
  <c r="DU388" i="8"/>
  <c r="AI388" i="8" s="1"/>
  <c r="DV388" i="8"/>
  <c r="AJ388" i="8" s="1"/>
  <c r="DW388" i="8"/>
  <c r="AK388" i="8" s="1"/>
  <c r="DQ389" i="8"/>
  <c r="AE389" i="8" s="1"/>
  <c r="AG389" i="8"/>
  <c r="DT389" i="8"/>
  <c r="AH389" i="8" s="1"/>
  <c r="DU389" i="8"/>
  <c r="AI389" i="8" s="1"/>
  <c r="DV389" i="8"/>
  <c r="AJ389" i="8" s="1"/>
  <c r="DW389" i="8"/>
  <c r="AK389" i="8" s="1"/>
  <c r="DQ390" i="8"/>
  <c r="AE390" i="8" s="1"/>
  <c r="AG390" i="8"/>
  <c r="DT390" i="8"/>
  <c r="AH390" i="8" s="1"/>
  <c r="DU390" i="8"/>
  <c r="AI390" i="8" s="1"/>
  <c r="DV390" i="8"/>
  <c r="AJ390" i="8" s="1"/>
  <c r="DW390" i="8"/>
  <c r="AK390" i="8" s="1"/>
  <c r="DQ391" i="8"/>
  <c r="AE391" i="8" s="1"/>
  <c r="AG391" i="8"/>
  <c r="DT391" i="8"/>
  <c r="AH391" i="8" s="1"/>
  <c r="DU391" i="8"/>
  <c r="AI391" i="8" s="1"/>
  <c r="DV391" i="8"/>
  <c r="AJ391" i="8" s="1"/>
  <c r="DW391" i="8"/>
  <c r="AK391" i="8" s="1"/>
  <c r="DQ392" i="8"/>
  <c r="AE392" i="8" s="1"/>
  <c r="AG392" i="8"/>
  <c r="DT392" i="8"/>
  <c r="AH392" i="8" s="1"/>
  <c r="DU392" i="8"/>
  <c r="AI392" i="8" s="1"/>
  <c r="DV392" i="8"/>
  <c r="AJ392" i="8" s="1"/>
  <c r="DW392" i="8"/>
  <c r="AK392" i="8" s="1"/>
  <c r="DQ393" i="8"/>
  <c r="AE393" i="8" s="1"/>
  <c r="AG393" i="8"/>
  <c r="DT393" i="8"/>
  <c r="AH393" i="8" s="1"/>
  <c r="DU393" i="8"/>
  <c r="AI393" i="8" s="1"/>
  <c r="DV393" i="8"/>
  <c r="AJ393" i="8" s="1"/>
  <c r="DW393" i="8"/>
  <c r="AK393" i="8" s="1"/>
  <c r="DQ394" i="8"/>
  <c r="AE394" i="8" s="1"/>
  <c r="AG394" i="8"/>
  <c r="DT394" i="8"/>
  <c r="AH394" i="8" s="1"/>
  <c r="DU394" i="8"/>
  <c r="AI394" i="8" s="1"/>
  <c r="DV394" i="8"/>
  <c r="AJ394" i="8" s="1"/>
  <c r="DW394" i="8"/>
  <c r="AK394" i="8" s="1"/>
  <c r="DQ395" i="8"/>
  <c r="AE395" i="8" s="1"/>
  <c r="AG395" i="8"/>
  <c r="DT395" i="8"/>
  <c r="AH395" i="8" s="1"/>
  <c r="DU395" i="8"/>
  <c r="AI395" i="8" s="1"/>
  <c r="DV395" i="8"/>
  <c r="AJ395" i="8" s="1"/>
  <c r="DW395" i="8"/>
  <c r="AK395" i="8" s="1"/>
  <c r="DQ396" i="8"/>
  <c r="AE396" i="8" s="1"/>
  <c r="AG396" i="8"/>
  <c r="DT396" i="8"/>
  <c r="AH396" i="8" s="1"/>
  <c r="DU396" i="8"/>
  <c r="AI396" i="8" s="1"/>
  <c r="DV396" i="8"/>
  <c r="AJ396" i="8" s="1"/>
  <c r="DW396" i="8"/>
  <c r="AK396" i="8" s="1"/>
  <c r="DQ397" i="8"/>
  <c r="AE397" i="8" s="1"/>
  <c r="AG397" i="8"/>
  <c r="DT397" i="8"/>
  <c r="AH397" i="8" s="1"/>
  <c r="DU397" i="8"/>
  <c r="AI397" i="8" s="1"/>
  <c r="DV397" i="8"/>
  <c r="AJ397" i="8" s="1"/>
  <c r="DW397" i="8"/>
  <c r="AK397" i="8" s="1"/>
  <c r="DQ398" i="8"/>
  <c r="AE398" i="8" s="1"/>
  <c r="AG398" i="8"/>
  <c r="DT398" i="8"/>
  <c r="AH398" i="8" s="1"/>
  <c r="DU398" i="8"/>
  <c r="AI398" i="8" s="1"/>
  <c r="DV398" i="8"/>
  <c r="AJ398" i="8" s="1"/>
  <c r="DW398" i="8"/>
  <c r="AK398" i="8" s="1"/>
  <c r="DQ399" i="8"/>
  <c r="AE399" i="8" s="1"/>
  <c r="AG399" i="8"/>
  <c r="DT399" i="8"/>
  <c r="AH399" i="8" s="1"/>
  <c r="DU399" i="8"/>
  <c r="AI399" i="8" s="1"/>
  <c r="DV399" i="8"/>
  <c r="AJ399" i="8" s="1"/>
  <c r="DW399" i="8"/>
  <c r="AK399" i="8" s="1"/>
  <c r="DQ400" i="8"/>
  <c r="AE400" i="8" s="1"/>
  <c r="AG400" i="8"/>
  <c r="DT400" i="8"/>
  <c r="AH400" i="8" s="1"/>
  <c r="DU400" i="8"/>
  <c r="AI400" i="8" s="1"/>
  <c r="DV400" i="8"/>
  <c r="AJ400" i="8" s="1"/>
  <c r="DW400" i="8"/>
  <c r="AK400" i="8" s="1"/>
  <c r="DQ401" i="8"/>
  <c r="AE401" i="8" s="1"/>
  <c r="AG401" i="8"/>
  <c r="DT401" i="8"/>
  <c r="AH401" i="8" s="1"/>
  <c r="DU401" i="8"/>
  <c r="AI401" i="8" s="1"/>
  <c r="DV401" i="8"/>
  <c r="AJ401" i="8" s="1"/>
  <c r="DW401" i="8"/>
  <c r="AK401" i="8" s="1"/>
  <c r="DQ402" i="8"/>
  <c r="AE402" i="8" s="1"/>
  <c r="AG402" i="8"/>
  <c r="DT402" i="8"/>
  <c r="AH402" i="8" s="1"/>
  <c r="DU402" i="8"/>
  <c r="AI402" i="8" s="1"/>
  <c r="DV402" i="8"/>
  <c r="AJ402" i="8" s="1"/>
  <c r="DW402" i="8"/>
  <c r="AK402" i="8" s="1"/>
  <c r="DQ403" i="8"/>
  <c r="AE403" i="8" s="1"/>
  <c r="AG403" i="8"/>
  <c r="DT403" i="8"/>
  <c r="AH403" i="8" s="1"/>
  <c r="DU403" i="8"/>
  <c r="AI403" i="8" s="1"/>
  <c r="DV403" i="8"/>
  <c r="AJ403" i="8" s="1"/>
  <c r="DW403" i="8"/>
  <c r="AK403" i="8" s="1"/>
  <c r="DQ404" i="8"/>
  <c r="AE404" i="8" s="1"/>
  <c r="AG404" i="8"/>
  <c r="DT404" i="8"/>
  <c r="AH404" i="8" s="1"/>
  <c r="DU404" i="8"/>
  <c r="AI404" i="8" s="1"/>
  <c r="DV404" i="8"/>
  <c r="AJ404" i="8" s="1"/>
  <c r="DW404" i="8"/>
  <c r="AK404" i="8" s="1"/>
  <c r="DQ405" i="8"/>
  <c r="AE405" i="8" s="1"/>
  <c r="AG405" i="8"/>
  <c r="DT405" i="8"/>
  <c r="AH405" i="8" s="1"/>
  <c r="DU405" i="8"/>
  <c r="AI405" i="8" s="1"/>
  <c r="DV405" i="8"/>
  <c r="AJ405" i="8" s="1"/>
  <c r="DW405" i="8"/>
  <c r="AK405" i="8" s="1"/>
  <c r="DQ406" i="8"/>
  <c r="AE406" i="8" s="1"/>
  <c r="AG406" i="8"/>
  <c r="DT406" i="8"/>
  <c r="AH406" i="8" s="1"/>
  <c r="DU406" i="8"/>
  <c r="AI406" i="8" s="1"/>
  <c r="DV406" i="8"/>
  <c r="AJ406" i="8" s="1"/>
  <c r="DW406" i="8"/>
  <c r="AK406" i="8" s="1"/>
  <c r="DQ407" i="8"/>
  <c r="AE407" i="8" s="1"/>
  <c r="AG407" i="8"/>
  <c r="DT407" i="8"/>
  <c r="AH407" i="8" s="1"/>
  <c r="DU407" i="8"/>
  <c r="AI407" i="8" s="1"/>
  <c r="DV407" i="8"/>
  <c r="AJ407" i="8" s="1"/>
  <c r="DW407" i="8"/>
  <c r="AK407" i="8" s="1"/>
  <c r="DQ408" i="8"/>
  <c r="AE408" i="8" s="1"/>
  <c r="AG408" i="8"/>
  <c r="DT408" i="8"/>
  <c r="AH408" i="8" s="1"/>
  <c r="DU408" i="8"/>
  <c r="AI408" i="8" s="1"/>
  <c r="DV408" i="8"/>
  <c r="AJ408" i="8" s="1"/>
  <c r="DW408" i="8"/>
  <c r="AK408" i="8" s="1"/>
  <c r="DQ409" i="8"/>
  <c r="AE409" i="8" s="1"/>
  <c r="AG409" i="8"/>
  <c r="DT409" i="8"/>
  <c r="AH409" i="8" s="1"/>
  <c r="DU409" i="8"/>
  <c r="AI409" i="8" s="1"/>
  <c r="DV409" i="8"/>
  <c r="AJ409" i="8" s="1"/>
  <c r="DW409" i="8"/>
  <c r="AK409" i="8" s="1"/>
  <c r="DQ410" i="8"/>
  <c r="AE410" i="8" s="1"/>
  <c r="AG410" i="8"/>
  <c r="DT410" i="8"/>
  <c r="AH410" i="8" s="1"/>
  <c r="DU410" i="8"/>
  <c r="AI410" i="8" s="1"/>
  <c r="DV410" i="8"/>
  <c r="AJ410" i="8" s="1"/>
  <c r="DW410" i="8"/>
  <c r="AK410" i="8" s="1"/>
  <c r="DQ411" i="8"/>
  <c r="AE411" i="8" s="1"/>
  <c r="AG411" i="8"/>
  <c r="DT411" i="8"/>
  <c r="AH411" i="8" s="1"/>
  <c r="DU411" i="8"/>
  <c r="AI411" i="8" s="1"/>
  <c r="DV411" i="8"/>
  <c r="AJ411" i="8" s="1"/>
  <c r="DW411" i="8"/>
  <c r="AK411" i="8" s="1"/>
  <c r="DQ412" i="8"/>
  <c r="AE412" i="8" s="1"/>
  <c r="AG412" i="8"/>
  <c r="DT412" i="8"/>
  <c r="AH412" i="8" s="1"/>
  <c r="DU412" i="8"/>
  <c r="AI412" i="8" s="1"/>
  <c r="DV412" i="8"/>
  <c r="AJ412" i="8" s="1"/>
  <c r="DW412" i="8"/>
  <c r="AK412" i="8" s="1"/>
  <c r="DQ413" i="8"/>
  <c r="AE413" i="8" s="1"/>
  <c r="AG413" i="8"/>
  <c r="DT413" i="8"/>
  <c r="AH413" i="8" s="1"/>
  <c r="DU413" i="8"/>
  <c r="AI413" i="8" s="1"/>
  <c r="DV413" i="8"/>
  <c r="AJ413" i="8" s="1"/>
  <c r="DW413" i="8"/>
  <c r="AK413" i="8" s="1"/>
  <c r="DQ414" i="8"/>
  <c r="AE414" i="8" s="1"/>
  <c r="AG414" i="8"/>
  <c r="DT414" i="8"/>
  <c r="AH414" i="8" s="1"/>
  <c r="DU414" i="8"/>
  <c r="AI414" i="8" s="1"/>
  <c r="DV414" i="8"/>
  <c r="AJ414" i="8" s="1"/>
  <c r="DW414" i="8"/>
  <c r="AK414" i="8" s="1"/>
  <c r="DQ415" i="8"/>
  <c r="AE415" i="8" s="1"/>
  <c r="AG415" i="8"/>
  <c r="DT415" i="8"/>
  <c r="AH415" i="8" s="1"/>
  <c r="DU415" i="8"/>
  <c r="AI415" i="8" s="1"/>
  <c r="DV415" i="8"/>
  <c r="AJ415" i="8" s="1"/>
  <c r="DW415" i="8"/>
  <c r="AK415" i="8" s="1"/>
  <c r="DQ416" i="8"/>
  <c r="AE416" i="8" s="1"/>
  <c r="AG416" i="8"/>
  <c r="DT416" i="8"/>
  <c r="AH416" i="8" s="1"/>
  <c r="DU416" i="8"/>
  <c r="AI416" i="8" s="1"/>
  <c r="DV416" i="8"/>
  <c r="AJ416" i="8" s="1"/>
  <c r="DW416" i="8"/>
  <c r="AK416" i="8" s="1"/>
  <c r="DQ417" i="8"/>
  <c r="AE417" i="8" s="1"/>
  <c r="AG417" i="8"/>
  <c r="DT417" i="8"/>
  <c r="AH417" i="8" s="1"/>
  <c r="DU417" i="8"/>
  <c r="AI417" i="8" s="1"/>
  <c r="DV417" i="8"/>
  <c r="AJ417" i="8" s="1"/>
  <c r="DW417" i="8"/>
  <c r="AK417" i="8" s="1"/>
  <c r="DQ418" i="8"/>
  <c r="AE418" i="8" s="1"/>
  <c r="AG418" i="8"/>
  <c r="DT418" i="8"/>
  <c r="AH418" i="8" s="1"/>
  <c r="DU418" i="8"/>
  <c r="AI418" i="8" s="1"/>
  <c r="DV418" i="8"/>
  <c r="AJ418" i="8" s="1"/>
  <c r="DW418" i="8"/>
  <c r="AK418" i="8" s="1"/>
  <c r="DQ419" i="8"/>
  <c r="AE419" i="8" s="1"/>
  <c r="AG419" i="8"/>
  <c r="DT419" i="8"/>
  <c r="AH419" i="8" s="1"/>
  <c r="DU419" i="8"/>
  <c r="AI419" i="8" s="1"/>
  <c r="DV419" i="8"/>
  <c r="AJ419" i="8" s="1"/>
  <c r="DW419" i="8"/>
  <c r="AK419" i="8" s="1"/>
  <c r="DQ420" i="8"/>
  <c r="AE420" i="8" s="1"/>
  <c r="AG420" i="8"/>
  <c r="DT420" i="8"/>
  <c r="AH420" i="8" s="1"/>
  <c r="DU420" i="8"/>
  <c r="AI420" i="8" s="1"/>
  <c r="DV420" i="8"/>
  <c r="AJ420" i="8" s="1"/>
  <c r="DW420" i="8"/>
  <c r="AK420" i="8" s="1"/>
  <c r="DQ421" i="8"/>
  <c r="AE421" i="8" s="1"/>
  <c r="AG421" i="8"/>
  <c r="DT421" i="8"/>
  <c r="AH421" i="8" s="1"/>
  <c r="DU421" i="8"/>
  <c r="AI421" i="8" s="1"/>
  <c r="DV421" i="8"/>
  <c r="AJ421" i="8" s="1"/>
  <c r="DW421" i="8"/>
  <c r="AK421" i="8" s="1"/>
  <c r="DQ422" i="8"/>
  <c r="AE422" i="8" s="1"/>
  <c r="AG422" i="8"/>
  <c r="DT422" i="8"/>
  <c r="AH422" i="8" s="1"/>
  <c r="DU422" i="8"/>
  <c r="AI422" i="8" s="1"/>
  <c r="DV422" i="8"/>
  <c r="AJ422" i="8" s="1"/>
  <c r="DW422" i="8"/>
  <c r="AK422" i="8" s="1"/>
  <c r="DQ423" i="8"/>
  <c r="AE423" i="8" s="1"/>
  <c r="AG423" i="8"/>
  <c r="DT423" i="8"/>
  <c r="AH423" i="8" s="1"/>
  <c r="DU423" i="8"/>
  <c r="AI423" i="8" s="1"/>
  <c r="DV423" i="8"/>
  <c r="AJ423" i="8" s="1"/>
  <c r="DW423" i="8"/>
  <c r="AK423" i="8" s="1"/>
  <c r="DQ424" i="8"/>
  <c r="AE424" i="8" s="1"/>
  <c r="AG424" i="8"/>
  <c r="DT424" i="8"/>
  <c r="AH424" i="8" s="1"/>
  <c r="DU424" i="8"/>
  <c r="AI424" i="8" s="1"/>
  <c r="DV424" i="8"/>
  <c r="AJ424" i="8" s="1"/>
  <c r="DW424" i="8"/>
  <c r="AK424" i="8" s="1"/>
  <c r="DQ425" i="8"/>
  <c r="AE425" i="8" s="1"/>
  <c r="AG425" i="8"/>
  <c r="DT425" i="8"/>
  <c r="AH425" i="8" s="1"/>
  <c r="DU425" i="8"/>
  <c r="AI425" i="8" s="1"/>
  <c r="DV425" i="8"/>
  <c r="AJ425" i="8" s="1"/>
  <c r="DW425" i="8"/>
  <c r="AK425" i="8" s="1"/>
  <c r="DQ426" i="8"/>
  <c r="AE426" i="8" s="1"/>
  <c r="AG426" i="8"/>
  <c r="DT426" i="8"/>
  <c r="AH426" i="8" s="1"/>
  <c r="DU426" i="8"/>
  <c r="AI426" i="8" s="1"/>
  <c r="DV426" i="8"/>
  <c r="AJ426" i="8" s="1"/>
  <c r="DW426" i="8"/>
  <c r="AK426" i="8" s="1"/>
  <c r="DQ427" i="8"/>
  <c r="AE427" i="8" s="1"/>
  <c r="AG427" i="8"/>
  <c r="DT427" i="8"/>
  <c r="AH427" i="8" s="1"/>
  <c r="DU427" i="8"/>
  <c r="AI427" i="8" s="1"/>
  <c r="DV427" i="8"/>
  <c r="AJ427" i="8" s="1"/>
  <c r="DW427" i="8"/>
  <c r="AK427" i="8" s="1"/>
  <c r="DQ428" i="8"/>
  <c r="AE428" i="8" s="1"/>
  <c r="AG428" i="8"/>
  <c r="DT428" i="8"/>
  <c r="AH428" i="8" s="1"/>
  <c r="DU428" i="8"/>
  <c r="AI428" i="8" s="1"/>
  <c r="DV428" i="8"/>
  <c r="AJ428" i="8" s="1"/>
  <c r="DW428" i="8"/>
  <c r="AK428" i="8" s="1"/>
  <c r="DQ429" i="8"/>
  <c r="AE429" i="8" s="1"/>
  <c r="AG429" i="8"/>
  <c r="DT429" i="8"/>
  <c r="AH429" i="8" s="1"/>
  <c r="DU429" i="8"/>
  <c r="AI429" i="8" s="1"/>
  <c r="DV429" i="8"/>
  <c r="AJ429" i="8" s="1"/>
  <c r="DW429" i="8"/>
  <c r="AK429" i="8" s="1"/>
  <c r="DQ430" i="8"/>
  <c r="AE430" i="8" s="1"/>
  <c r="AG430" i="8"/>
  <c r="DT430" i="8"/>
  <c r="AH430" i="8" s="1"/>
  <c r="DU430" i="8"/>
  <c r="AI430" i="8" s="1"/>
  <c r="DV430" i="8"/>
  <c r="AJ430" i="8" s="1"/>
  <c r="DW430" i="8"/>
  <c r="AK430" i="8" s="1"/>
  <c r="DQ431" i="8"/>
  <c r="AE431" i="8" s="1"/>
  <c r="AG431" i="8"/>
  <c r="DT431" i="8"/>
  <c r="AH431" i="8" s="1"/>
  <c r="DU431" i="8"/>
  <c r="AI431" i="8" s="1"/>
  <c r="DV431" i="8"/>
  <c r="AJ431" i="8" s="1"/>
  <c r="DW431" i="8"/>
  <c r="AK431" i="8" s="1"/>
  <c r="DQ432" i="8"/>
  <c r="AE432" i="8" s="1"/>
  <c r="AG432" i="8"/>
  <c r="DT432" i="8"/>
  <c r="AH432" i="8" s="1"/>
  <c r="DU432" i="8"/>
  <c r="AI432" i="8" s="1"/>
  <c r="DV432" i="8"/>
  <c r="AJ432" i="8" s="1"/>
  <c r="DW432" i="8"/>
  <c r="AK432" i="8" s="1"/>
  <c r="DQ433" i="8"/>
  <c r="AE433" i="8" s="1"/>
  <c r="AG433" i="8"/>
  <c r="DT433" i="8"/>
  <c r="AH433" i="8" s="1"/>
  <c r="DU433" i="8"/>
  <c r="AI433" i="8" s="1"/>
  <c r="DV433" i="8"/>
  <c r="AJ433" i="8" s="1"/>
  <c r="DW433" i="8"/>
  <c r="AK433" i="8" s="1"/>
  <c r="DQ434" i="8"/>
  <c r="AE434" i="8" s="1"/>
  <c r="AG434" i="8"/>
  <c r="DT434" i="8"/>
  <c r="AH434" i="8" s="1"/>
  <c r="DU434" i="8"/>
  <c r="AI434" i="8" s="1"/>
  <c r="DV434" i="8"/>
  <c r="AJ434" i="8" s="1"/>
  <c r="DW434" i="8"/>
  <c r="AK434" i="8" s="1"/>
  <c r="DQ435" i="8"/>
  <c r="AE435" i="8" s="1"/>
  <c r="AG435" i="8"/>
  <c r="DT435" i="8"/>
  <c r="AH435" i="8" s="1"/>
  <c r="DU435" i="8"/>
  <c r="AI435" i="8" s="1"/>
  <c r="DV435" i="8"/>
  <c r="AJ435" i="8" s="1"/>
  <c r="DW435" i="8"/>
  <c r="AK435" i="8" s="1"/>
  <c r="DQ436" i="8"/>
  <c r="AE436" i="8" s="1"/>
  <c r="AG436" i="8"/>
  <c r="DT436" i="8"/>
  <c r="AH436" i="8" s="1"/>
  <c r="DU436" i="8"/>
  <c r="AI436" i="8" s="1"/>
  <c r="DV436" i="8"/>
  <c r="AJ436" i="8" s="1"/>
  <c r="DW436" i="8"/>
  <c r="AK436" i="8" s="1"/>
  <c r="DQ437" i="8"/>
  <c r="AE437" i="8" s="1"/>
  <c r="AG437" i="8"/>
  <c r="DT437" i="8"/>
  <c r="AH437" i="8" s="1"/>
  <c r="DU437" i="8"/>
  <c r="AI437" i="8" s="1"/>
  <c r="DV437" i="8"/>
  <c r="AJ437" i="8" s="1"/>
  <c r="DW437" i="8"/>
  <c r="AK437" i="8" s="1"/>
  <c r="DQ438" i="8"/>
  <c r="AE438" i="8" s="1"/>
  <c r="AG438" i="8"/>
  <c r="DT438" i="8"/>
  <c r="AH438" i="8" s="1"/>
  <c r="DU438" i="8"/>
  <c r="AI438" i="8" s="1"/>
  <c r="DV438" i="8"/>
  <c r="AJ438" i="8" s="1"/>
  <c r="DW438" i="8"/>
  <c r="AK438" i="8" s="1"/>
  <c r="DQ439" i="8"/>
  <c r="AE439" i="8" s="1"/>
  <c r="AG439" i="8"/>
  <c r="DT439" i="8"/>
  <c r="AH439" i="8" s="1"/>
  <c r="DU439" i="8"/>
  <c r="AI439" i="8" s="1"/>
  <c r="DV439" i="8"/>
  <c r="AJ439" i="8" s="1"/>
  <c r="DW439" i="8"/>
  <c r="AK439" i="8" s="1"/>
  <c r="DQ440" i="8"/>
  <c r="AE440" i="8" s="1"/>
  <c r="AG440" i="8"/>
  <c r="DT440" i="8"/>
  <c r="AH440" i="8" s="1"/>
  <c r="DU440" i="8"/>
  <c r="AI440" i="8" s="1"/>
  <c r="DV440" i="8"/>
  <c r="AJ440" i="8" s="1"/>
  <c r="DW440" i="8"/>
  <c r="AK440" i="8" s="1"/>
  <c r="DQ441" i="8"/>
  <c r="AE441" i="8" s="1"/>
  <c r="AG441" i="8"/>
  <c r="DT441" i="8"/>
  <c r="AH441" i="8" s="1"/>
  <c r="DU441" i="8"/>
  <c r="AI441" i="8" s="1"/>
  <c r="DV441" i="8"/>
  <c r="AJ441" i="8" s="1"/>
  <c r="DW441" i="8"/>
  <c r="AK441" i="8" s="1"/>
  <c r="DQ442" i="8"/>
  <c r="AE442" i="8" s="1"/>
  <c r="AG442" i="8"/>
  <c r="DT442" i="8"/>
  <c r="AH442" i="8" s="1"/>
  <c r="DU442" i="8"/>
  <c r="AI442" i="8" s="1"/>
  <c r="DV442" i="8"/>
  <c r="AJ442" i="8" s="1"/>
  <c r="DW442" i="8"/>
  <c r="AK442" i="8" s="1"/>
  <c r="DQ443" i="8"/>
  <c r="AE443" i="8" s="1"/>
  <c r="AG443" i="8"/>
  <c r="DT443" i="8"/>
  <c r="AH443" i="8" s="1"/>
  <c r="DU443" i="8"/>
  <c r="AI443" i="8" s="1"/>
  <c r="DV443" i="8"/>
  <c r="AJ443" i="8" s="1"/>
  <c r="DW443" i="8"/>
  <c r="AK443" i="8" s="1"/>
  <c r="DQ444" i="8"/>
  <c r="AE444" i="8" s="1"/>
  <c r="AG444" i="8"/>
  <c r="DT444" i="8"/>
  <c r="AH444" i="8" s="1"/>
  <c r="DU444" i="8"/>
  <c r="AI444" i="8" s="1"/>
  <c r="DV444" i="8"/>
  <c r="AJ444" i="8" s="1"/>
  <c r="DW444" i="8"/>
  <c r="AK444" i="8" s="1"/>
  <c r="DQ445" i="8"/>
  <c r="AE445" i="8" s="1"/>
  <c r="AG445" i="8"/>
  <c r="DT445" i="8"/>
  <c r="AH445" i="8" s="1"/>
  <c r="DU445" i="8"/>
  <c r="AI445" i="8" s="1"/>
  <c r="DV445" i="8"/>
  <c r="AJ445" i="8" s="1"/>
  <c r="DW445" i="8"/>
  <c r="AK445" i="8" s="1"/>
  <c r="DQ446" i="8"/>
  <c r="AE446" i="8" s="1"/>
  <c r="AG446" i="8"/>
  <c r="DT446" i="8"/>
  <c r="AH446" i="8" s="1"/>
  <c r="DU446" i="8"/>
  <c r="AI446" i="8" s="1"/>
  <c r="DV446" i="8"/>
  <c r="AJ446" i="8" s="1"/>
  <c r="DW446" i="8"/>
  <c r="AK446" i="8" s="1"/>
  <c r="DQ447" i="8"/>
  <c r="AE447" i="8" s="1"/>
  <c r="AG447" i="8"/>
  <c r="DT447" i="8"/>
  <c r="AH447" i="8" s="1"/>
  <c r="DU447" i="8"/>
  <c r="AI447" i="8" s="1"/>
  <c r="DV447" i="8"/>
  <c r="AJ447" i="8" s="1"/>
  <c r="DW447" i="8"/>
  <c r="AK447" i="8" s="1"/>
  <c r="DQ448" i="8"/>
  <c r="AE448" i="8" s="1"/>
  <c r="AG448" i="8"/>
  <c r="DT448" i="8"/>
  <c r="DU448" i="8"/>
  <c r="DV448" i="8"/>
  <c r="DW448" i="8"/>
  <c r="DQ449" i="8"/>
  <c r="AE449" i="8" s="1"/>
  <c r="AG449" i="8"/>
  <c r="DT449" i="8"/>
  <c r="AH449" i="8" s="1"/>
  <c r="DU449" i="8"/>
  <c r="AI449" i="8" s="1"/>
  <c r="DV449" i="8"/>
  <c r="AJ449" i="8" s="1"/>
  <c r="DW449" i="8"/>
  <c r="AK449" i="8" s="1"/>
  <c r="DQ450" i="8"/>
  <c r="AE450" i="8" s="1"/>
  <c r="AG450" i="8"/>
  <c r="DT450" i="8"/>
  <c r="AH450" i="8" s="1"/>
  <c r="DU450" i="8"/>
  <c r="AI450" i="8" s="1"/>
  <c r="DV450" i="8"/>
  <c r="AJ450" i="8" s="1"/>
  <c r="DW450" i="8"/>
  <c r="AK450" i="8" s="1"/>
  <c r="DQ451" i="8"/>
  <c r="AE451" i="8" s="1"/>
  <c r="AG451" i="8"/>
  <c r="DT451" i="8"/>
  <c r="AH451" i="8" s="1"/>
  <c r="DU451" i="8"/>
  <c r="AI451" i="8" s="1"/>
  <c r="DV451" i="8"/>
  <c r="AJ451" i="8" s="1"/>
  <c r="DW451" i="8"/>
  <c r="AK451" i="8" s="1"/>
  <c r="DQ452" i="8"/>
  <c r="AE452" i="8" s="1"/>
  <c r="AG452" i="8"/>
  <c r="DT452" i="8"/>
  <c r="AH452" i="8" s="1"/>
  <c r="DU452" i="8"/>
  <c r="AI452" i="8" s="1"/>
  <c r="DV452" i="8"/>
  <c r="AJ452" i="8" s="1"/>
  <c r="DW452" i="8"/>
  <c r="AK452" i="8" s="1"/>
  <c r="DQ453" i="8"/>
  <c r="AE453" i="8" s="1"/>
  <c r="AG453" i="8"/>
  <c r="DT453" i="8"/>
  <c r="AH453" i="8" s="1"/>
  <c r="DU453" i="8"/>
  <c r="AI453" i="8" s="1"/>
  <c r="DV453" i="8"/>
  <c r="AJ453" i="8" s="1"/>
  <c r="DW453" i="8"/>
  <c r="AK453" i="8" s="1"/>
  <c r="DQ454" i="8"/>
  <c r="AE454" i="8" s="1"/>
  <c r="AG454" i="8"/>
  <c r="DT454" i="8"/>
  <c r="AH454" i="8" s="1"/>
  <c r="DU454" i="8"/>
  <c r="AI454" i="8" s="1"/>
  <c r="DV454" i="8"/>
  <c r="AJ454" i="8" s="1"/>
  <c r="DW454" i="8"/>
  <c r="AK454" i="8" s="1"/>
  <c r="DQ455" i="8"/>
  <c r="AE455" i="8" s="1"/>
  <c r="AG455" i="8"/>
  <c r="DT455" i="8"/>
  <c r="AH455" i="8" s="1"/>
  <c r="DU455" i="8"/>
  <c r="AI455" i="8" s="1"/>
  <c r="DV455" i="8"/>
  <c r="AJ455" i="8" s="1"/>
  <c r="DW455" i="8"/>
  <c r="AK455" i="8" s="1"/>
  <c r="DQ456" i="8"/>
  <c r="AE456" i="8" s="1"/>
  <c r="AG456" i="8"/>
  <c r="DT456" i="8"/>
  <c r="AH456" i="8" s="1"/>
  <c r="DU456" i="8"/>
  <c r="AI456" i="8" s="1"/>
  <c r="DV456" i="8"/>
  <c r="AJ456" i="8" s="1"/>
  <c r="DW456" i="8"/>
  <c r="AK456" i="8" s="1"/>
  <c r="DQ457" i="8"/>
  <c r="AE457" i="8" s="1"/>
  <c r="AG457" i="8"/>
  <c r="DT457" i="8"/>
  <c r="AH457" i="8" s="1"/>
  <c r="DU457" i="8"/>
  <c r="AI457" i="8" s="1"/>
  <c r="DV457" i="8"/>
  <c r="AJ457" i="8" s="1"/>
  <c r="DW457" i="8"/>
  <c r="AK457" i="8" s="1"/>
  <c r="DQ458" i="8"/>
  <c r="AE458" i="8" s="1"/>
  <c r="AG458" i="8"/>
  <c r="DT458" i="8"/>
  <c r="AH458" i="8" s="1"/>
  <c r="DU458" i="8"/>
  <c r="AI458" i="8" s="1"/>
  <c r="DV458" i="8"/>
  <c r="AJ458" i="8" s="1"/>
  <c r="DW458" i="8"/>
  <c r="AK458" i="8" s="1"/>
  <c r="DQ459" i="8"/>
  <c r="AE459" i="8" s="1"/>
  <c r="AG459" i="8"/>
  <c r="DT459" i="8"/>
  <c r="AH459" i="8" s="1"/>
  <c r="DU459" i="8"/>
  <c r="AI459" i="8" s="1"/>
  <c r="DV459" i="8"/>
  <c r="AJ459" i="8" s="1"/>
  <c r="DW459" i="8"/>
  <c r="AK459" i="8" s="1"/>
  <c r="DQ460" i="8"/>
  <c r="AE460" i="8" s="1"/>
  <c r="AG460" i="8"/>
  <c r="DT460" i="8"/>
  <c r="AH460" i="8" s="1"/>
  <c r="DU460" i="8"/>
  <c r="AI460" i="8" s="1"/>
  <c r="DV460" i="8"/>
  <c r="AJ460" i="8" s="1"/>
  <c r="DW460" i="8"/>
  <c r="AK460" i="8" s="1"/>
  <c r="DQ461" i="8"/>
  <c r="AE461" i="8" s="1"/>
  <c r="AG461" i="8"/>
  <c r="DT461" i="8"/>
  <c r="AH461" i="8" s="1"/>
  <c r="DU461" i="8"/>
  <c r="AI461" i="8" s="1"/>
  <c r="DV461" i="8"/>
  <c r="AJ461" i="8" s="1"/>
  <c r="DW461" i="8"/>
  <c r="AK461" i="8" s="1"/>
  <c r="DQ462" i="8"/>
  <c r="AE462" i="8" s="1"/>
  <c r="AG462" i="8"/>
  <c r="DT462" i="8"/>
  <c r="AH462" i="8" s="1"/>
  <c r="DU462" i="8"/>
  <c r="AI462" i="8" s="1"/>
  <c r="DV462" i="8"/>
  <c r="AJ462" i="8" s="1"/>
  <c r="DW462" i="8"/>
  <c r="AK462" i="8" s="1"/>
  <c r="DQ463" i="8"/>
  <c r="AE463" i="8" s="1"/>
  <c r="AG463" i="8"/>
  <c r="DT463" i="8"/>
  <c r="AH463" i="8" s="1"/>
  <c r="DU463" i="8"/>
  <c r="AI463" i="8" s="1"/>
  <c r="DV463" i="8"/>
  <c r="AJ463" i="8" s="1"/>
  <c r="DW463" i="8"/>
  <c r="AK463" i="8" s="1"/>
  <c r="DQ464" i="8"/>
  <c r="AE464" i="8" s="1"/>
  <c r="AG464" i="8"/>
  <c r="DT464" i="8"/>
  <c r="AH464" i="8" s="1"/>
  <c r="DU464" i="8"/>
  <c r="AI464" i="8" s="1"/>
  <c r="DV464" i="8"/>
  <c r="AJ464" i="8" s="1"/>
  <c r="DW464" i="8"/>
  <c r="AK464" i="8" s="1"/>
  <c r="DQ465" i="8"/>
  <c r="AE465" i="8" s="1"/>
  <c r="AG465" i="8"/>
  <c r="DT465" i="8"/>
  <c r="AH465" i="8" s="1"/>
  <c r="DU465" i="8"/>
  <c r="AI465" i="8" s="1"/>
  <c r="DV465" i="8"/>
  <c r="AJ465" i="8" s="1"/>
  <c r="DW465" i="8"/>
  <c r="AK465" i="8" s="1"/>
  <c r="DQ466" i="8"/>
  <c r="AE466" i="8" s="1"/>
  <c r="AG466" i="8"/>
  <c r="DT466" i="8"/>
  <c r="AH466" i="8" s="1"/>
  <c r="DU466" i="8"/>
  <c r="AI466" i="8" s="1"/>
  <c r="DV466" i="8"/>
  <c r="AJ466" i="8" s="1"/>
  <c r="DW466" i="8"/>
  <c r="AK466" i="8" s="1"/>
  <c r="DQ467" i="8"/>
  <c r="AE467" i="8" s="1"/>
  <c r="AG467" i="8"/>
  <c r="DT467" i="8"/>
  <c r="AH467" i="8" s="1"/>
  <c r="DU467" i="8"/>
  <c r="AI467" i="8" s="1"/>
  <c r="DV467" i="8"/>
  <c r="AJ467" i="8" s="1"/>
  <c r="DW467" i="8"/>
  <c r="AK467" i="8" s="1"/>
  <c r="DQ468" i="8"/>
  <c r="AE468" i="8" s="1"/>
  <c r="AG468" i="8"/>
  <c r="DT468" i="8"/>
  <c r="AH468" i="8" s="1"/>
  <c r="DU468" i="8"/>
  <c r="AI468" i="8" s="1"/>
  <c r="DV468" i="8"/>
  <c r="AJ468" i="8" s="1"/>
  <c r="DW468" i="8"/>
  <c r="AK468" i="8" s="1"/>
  <c r="DQ469" i="8"/>
  <c r="AE469" i="8" s="1"/>
  <c r="AG469" i="8"/>
  <c r="DT469" i="8"/>
  <c r="AH469" i="8" s="1"/>
  <c r="DU469" i="8"/>
  <c r="AI469" i="8" s="1"/>
  <c r="DV469" i="8"/>
  <c r="AJ469" i="8" s="1"/>
  <c r="DW469" i="8"/>
  <c r="AK469" i="8" s="1"/>
  <c r="DQ470" i="8"/>
  <c r="AE470" i="8" s="1"/>
  <c r="AG470" i="8"/>
  <c r="DT470" i="8"/>
  <c r="AH470" i="8" s="1"/>
  <c r="DU470" i="8"/>
  <c r="AI470" i="8" s="1"/>
  <c r="DV470" i="8"/>
  <c r="AJ470" i="8" s="1"/>
  <c r="DW470" i="8"/>
  <c r="AK470" i="8" s="1"/>
  <c r="DQ471" i="8"/>
  <c r="AE471" i="8" s="1"/>
  <c r="AG471" i="8"/>
  <c r="DT471" i="8"/>
  <c r="AH471" i="8" s="1"/>
  <c r="DU471" i="8"/>
  <c r="AI471" i="8" s="1"/>
  <c r="DV471" i="8"/>
  <c r="AJ471" i="8" s="1"/>
  <c r="DW471" i="8"/>
  <c r="AK471" i="8" s="1"/>
  <c r="DQ472" i="8"/>
  <c r="AE472" i="8" s="1"/>
  <c r="AG472" i="8"/>
  <c r="DT472" i="8"/>
  <c r="AH472" i="8" s="1"/>
  <c r="DU472" i="8"/>
  <c r="AI472" i="8" s="1"/>
  <c r="DV472" i="8"/>
  <c r="AJ472" i="8" s="1"/>
  <c r="DW472" i="8"/>
  <c r="AK472" i="8" s="1"/>
  <c r="DQ473" i="8"/>
  <c r="AE473" i="8" s="1"/>
  <c r="AG473" i="8"/>
  <c r="DT473" i="8"/>
  <c r="AH473" i="8" s="1"/>
  <c r="DU473" i="8"/>
  <c r="AI473" i="8" s="1"/>
  <c r="DV473" i="8"/>
  <c r="AJ473" i="8" s="1"/>
  <c r="DW473" i="8"/>
  <c r="AK473" i="8" s="1"/>
  <c r="DQ474" i="8"/>
  <c r="AE474" i="8" s="1"/>
  <c r="AG474" i="8"/>
  <c r="DT474" i="8"/>
  <c r="AH474" i="8" s="1"/>
  <c r="DU474" i="8"/>
  <c r="AI474" i="8" s="1"/>
  <c r="DV474" i="8"/>
  <c r="AJ474" i="8" s="1"/>
  <c r="DW474" i="8"/>
  <c r="AK474" i="8" s="1"/>
  <c r="DQ475" i="8"/>
  <c r="AE475" i="8" s="1"/>
  <c r="AG475" i="8"/>
  <c r="DT475" i="8"/>
  <c r="AH475" i="8" s="1"/>
  <c r="DU475" i="8"/>
  <c r="AI475" i="8" s="1"/>
  <c r="DV475" i="8"/>
  <c r="AJ475" i="8" s="1"/>
  <c r="DW475" i="8"/>
  <c r="AK475" i="8" s="1"/>
  <c r="DQ476" i="8"/>
  <c r="AE476" i="8" s="1"/>
  <c r="AG476" i="8"/>
  <c r="DT476" i="8"/>
  <c r="AH476" i="8" s="1"/>
  <c r="DU476" i="8"/>
  <c r="AI476" i="8" s="1"/>
  <c r="DV476" i="8"/>
  <c r="AJ476" i="8" s="1"/>
  <c r="DW476" i="8"/>
  <c r="AK476" i="8" s="1"/>
  <c r="DQ477" i="8"/>
  <c r="AE477" i="8" s="1"/>
  <c r="AG477" i="8"/>
  <c r="DT477" i="8"/>
  <c r="AH477" i="8" s="1"/>
  <c r="DU477" i="8"/>
  <c r="AI477" i="8" s="1"/>
  <c r="DV477" i="8"/>
  <c r="AJ477" i="8" s="1"/>
  <c r="DW477" i="8"/>
  <c r="AK477" i="8" s="1"/>
  <c r="DQ478" i="8"/>
  <c r="AE478" i="8" s="1"/>
  <c r="AG478" i="8"/>
  <c r="DT478" i="8"/>
  <c r="AH478" i="8" s="1"/>
  <c r="DU478" i="8"/>
  <c r="AI478" i="8" s="1"/>
  <c r="DV478" i="8"/>
  <c r="AJ478" i="8" s="1"/>
  <c r="DW478" i="8"/>
  <c r="AK478" i="8" s="1"/>
  <c r="DQ479" i="8"/>
  <c r="AE479" i="8" s="1"/>
  <c r="AG479" i="8"/>
  <c r="DT479" i="8"/>
  <c r="AH479" i="8" s="1"/>
  <c r="DU479" i="8"/>
  <c r="AI479" i="8" s="1"/>
  <c r="DV479" i="8"/>
  <c r="AJ479" i="8" s="1"/>
  <c r="DW479" i="8"/>
  <c r="AK479" i="8" s="1"/>
  <c r="DQ480" i="8"/>
  <c r="AE480" i="8" s="1"/>
  <c r="AG480" i="8"/>
  <c r="DT480" i="8"/>
  <c r="AH480" i="8" s="1"/>
  <c r="DU480" i="8"/>
  <c r="AI480" i="8" s="1"/>
  <c r="DV480" i="8"/>
  <c r="AJ480" i="8" s="1"/>
  <c r="DW480" i="8"/>
  <c r="AK480" i="8" s="1"/>
  <c r="DQ481" i="8"/>
  <c r="AE481" i="8" s="1"/>
  <c r="AG481" i="8"/>
  <c r="DT481" i="8"/>
  <c r="AH481" i="8" s="1"/>
  <c r="DU481" i="8"/>
  <c r="AI481" i="8" s="1"/>
  <c r="DV481" i="8"/>
  <c r="AJ481" i="8" s="1"/>
  <c r="DW481" i="8"/>
  <c r="AK481" i="8" s="1"/>
  <c r="DQ482" i="8"/>
  <c r="AE482" i="8" s="1"/>
  <c r="AG482" i="8"/>
  <c r="DT482" i="8"/>
  <c r="AH482" i="8" s="1"/>
  <c r="DU482" i="8"/>
  <c r="AI482" i="8" s="1"/>
  <c r="DV482" i="8"/>
  <c r="AJ482" i="8" s="1"/>
  <c r="DW482" i="8"/>
  <c r="AK482" i="8" s="1"/>
  <c r="DQ483" i="8"/>
  <c r="AE483" i="8" s="1"/>
  <c r="AG483" i="8"/>
  <c r="DT483" i="8"/>
  <c r="AH483" i="8" s="1"/>
  <c r="DU483" i="8"/>
  <c r="AI483" i="8" s="1"/>
  <c r="DV483" i="8"/>
  <c r="AJ483" i="8" s="1"/>
  <c r="DW483" i="8"/>
  <c r="AK483" i="8" s="1"/>
  <c r="DQ484" i="8"/>
  <c r="AE484" i="8" s="1"/>
  <c r="AG484" i="8"/>
  <c r="DT484" i="8"/>
  <c r="AH484" i="8" s="1"/>
  <c r="DU484" i="8"/>
  <c r="AI484" i="8" s="1"/>
  <c r="DV484" i="8"/>
  <c r="AJ484" i="8" s="1"/>
  <c r="DW484" i="8"/>
  <c r="AK484" i="8" s="1"/>
  <c r="DQ485" i="8"/>
  <c r="AE485" i="8" s="1"/>
  <c r="AG485" i="8"/>
  <c r="DT485" i="8"/>
  <c r="AH485" i="8" s="1"/>
  <c r="DU485" i="8"/>
  <c r="AI485" i="8" s="1"/>
  <c r="DV485" i="8"/>
  <c r="AJ485" i="8" s="1"/>
  <c r="DW485" i="8"/>
  <c r="AK485" i="8" s="1"/>
  <c r="DQ486" i="8"/>
  <c r="AE486" i="8" s="1"/>
  <c r="AG486" i="8"/>
  <c r="DT486" i="8"/>
  <c r="AH486" i="8" s="1"/>
  <c r="DU486" i="8"/>
  <c r="AI486" i="8" s="1"/>
  <c r="DV486" i="8"/>
  <c r="AJ486" i="8" s="1"/>
  <c r="DW486" i="8"/>
  <c r="AK486" i="8" s="1"/>
  <c r="DQ487" i="8"/>
  <c r="AE487" i="8" s="1"/>
  <c r="AG487" i="8"/>
  <c r="DT487" i="8"/>
  <c r="AH487" i="8" s="1"/>
  <c r="DU487" i="8"/>
  <c r="AI487" i="8" s="1"/>
  <c r="DV487" i="8"/>
  <c r="AJ487" i="8" s="1"/>
  <c r="DW487" i="8"/>
  <c r="AK487" i="8" s="1"/>
  <c r="DQ488" i="8"/>
  <c r="AE488" i="8" s="1"/>
  <c r="AG488" i="8"/>
  <c r="DT488" i="8"/>
  <c r="AH488" i="8" s="1"/>
  <c r="DU488" i="8"/>
  <c r="AI488" i="8" s="1"/>
  <c r="DV488" i="8"/>
  <c r="AJ488" i="8" s="1"/>
  <c r="DW488" i="8"/>
  <c r="AK488" i="8" s="1"/>
  <c r="DQ489" i="8"/>
  <c r="AE489" i="8" s="1"/>
  <c r="AG489" i="8"/>
  <c r="DT489" i="8"/>
  <c r="AH489" i="8" s="1"/>
  <c r="DU489" i="8"/>
  <c r="AI489" i="8" s="1"/>
  <c r="DV489" i="8"/>
  <c r="AJ489" i="8" s="1"/>
  <c r="DW489" i="8"/>
  <c r="AK489" i="8" s="1"/>
  <c r="DQ490" i="8"/>
  <c r="AE490" i="8" s="1"/>
  <c r="AG490" i="8"/>
  <c r="DT490" i="8"/>
  <c r="AH490" i="8" s="1"/>
  <c r="DU490" i="8"/>
  <c r="AI490" i="8" s="1"/>
  <c r="DV490" i="8"/>
  <c r="AJ490" i="8" s="1"/>
  <c r="DW490" i="8"/>
  <c r="AK490" i="8" s="1"/>
  <c r="DQ491" i="8"/>
  <c r="AE491" i="8" s="1"/>
  <c r="AG491" i="8"/>
  <c r="DT491" i="8"/>
  <c r="AH491" i="8" s="1"/>
  <c r="DU491" i="8"/>
  <c r="AI491" i="8" s="1"/>
  <c r="DV491" i="8"/>
  <c r="AJ491" i="8" s="1"/>
  <c r="DW491" i="8"/>
  <c r="AK491" i="8" s="1"/>
  <c r="DQ492" i="8"/>
  <c r="AE492" i="8" s="1"/>
  <c r="AG492" i="8"/>
  <c r="DT492" i="8"/>
  <c r="AH492" i="8" s="1"/>
  <c r="DU492" i="8"/>
  <c r="AI492" i="8" s="1"/>
  <c r="DV492" i="8"/>
  <c r="AJ492" i="8" s="1"/>
  <c r="DW492" i="8"/>
  <c r="AK492" i="8" s="1"/>
  <c r="DQ493" i="8"/>
  <c r="AE493" i="8" s="1"/>
  <c r="AG493" i="8"/>
  <c r="DT493" i="8"/>
  <c r="AH493" i="8" s="1"/>
  <c r="DU493" i="8"/>
  <c r="AI493" i="8" s="1"/>
  <c r="DV493" i="8"/>
  <c r="AJ493" i="8" s="1"/>
  <c r="DW493" i="8"/>
  <c r="AK493" i="8" s="1"/>
  <c r="DQ494" i="8"/>
  <c r="AE494" i="8" s="1"/>
  <c r="AG494" i="8"/>
  <c r="DT494" i="8"/>
  <c r="AH494" i="8" s="1"/>
  <c r="DU494" i="8"/>
  <c r="AI494" i="8" s="1"/>
  <c r="DV494" i="8"/>
  <c r="AJ494" i="8" s="1"/>
  <c r="DW494" i="8"/>
  <c r="AK494" i="8" s="1"/>
  <c r="DQ495" i="8"/>
  <c r="AE495" i="8" s="1"/>
  <c r="AG495" i="8"/>
  <c r="DT495" i="8"/>
  <c r="AH495" i="8" s="1"/>
  <c r="DU495" i="8"/>
  <c r="AI495" i="8" s="1"/>
  <c r="DV495" i="8"/>
  <c r="AJ495" i="8" s="1"/>
  <c r="DW495" i="8"/>
  <c r="AK495" i="8" s="1"/>
  <c r="DQ496" i="8"/>
  <c r="AE496" i="8" s="1"/>
  <c r="AG496" i="8"/>
  <c r="DT496" i="8"/>
  <c r="AH496" i="8" s="1"/>
  <c r="DU496" i="8"/>
  <c r="AI496" i="8" s="1"/>
  <c r="DV496" i="8"/>
  <c r="AJ496" i="8" s="1"/>
  <c r="DW496" i="8"/>
  <c r="AK496" i="8" s="1"/>
  <c r="DQ497" i="8"/>
  <c r="AE497" i="8" s="1"/>
  <c r="AG497" i="8"/>
  <c r="DT497" i="8"/>
  <c r="AH497" i="8" s="1"/>
  <c r="DU497" i="8"/>
  <c r="AI497" i="8" s="1"/>
  <c r="DV497" i="8"/>
  <c r="AJ497" i="8" s="1"/>
  <c r="DW497" i="8"/>
  <c r="AK497" i="8" s="1"/>
  <c r="DQ498" i="8"/>
  <c r="AE498" i="8" s="1"/>
  <c r="AG498" i="8"/>
  <c r="DT498" i="8"/>
  <c r="AH498" i="8" s="1"/>
  <c r="DU498" i="8"/>
  <c r="AI498" i="8" s="1"/>
  <c r="DV498" i="8"/>
  <c r="AJ498" i="8" s="1"/>
  <c r="DW498" i="8"/>
  <c r="AK498" i="8" s="1"/>
  <c r="DQ499" i="8"/>
  <c r="AE499" i="8" s="1"/>
  <c r="AG499" i="8"/>
  <c r="DT499" i="8"/>
  <c r="AH499" i="8" s="1"/>
  <c r="DU499" i="8"/>
  <c r="AI499" i="8" s="1"/>
  <c r="DV499" i="8"/>
  <c r="AJ499" i="8" s="1"/>
  <c r="DW499" i="8"/>
  <c r="AK499" i="8" s="1"/>
  <c r="DQ500" i="8"/>
  <c r="AE500" i="8" s="1"/>
  <c r="AG500" i="8"/>
  <c r="DT500" i="8"/>
  <c r="AH500" i="8" s="1"/>
  <c r="DU500" i="8"/>
  <c r="AI500" i="8" s="1"/>
  <c r="DV500" i="8"/>
  <c r="AJ500" i="8" s="1"/>
  <c r="DW500" i="8"/>
  <c r="AK500" i="8" s="1"/>
  <c r="DQ501" i="8"/>
  <c r="AE501" i="8" s="1"/>
  <c r="AG501" i="8"/>
  <c r="DT501" i="8"/>
  <c r="AH501" i="8" s="1"/>
  <c r="DU501" i="8"/>
  <c r="AI501" i="8" s="1"/>
  <c r="DV501" i="8"/>
  <c r="AJ501" i="8" s="1"/>
  <c r="DW501" i="8"/>
  <c r="AK501" i="8" s="1"/>
  <c r="DQ502" i="8"/>
  <c r="AE502" i="8" s="1"/>
  <c r="AG502" i="8"/>
  <c r="DT502" i="8"/>
  <c r="AH502" i="8" s="1"/>
  <c r="DU502" i="8"/>
  <c r="AI502" i="8" s="1"/>
  <c r="DV502" i="8"/>
  <c r="AJ502" i="8" s="1"/>
  <c r="DW502" i="8"/>
  <c r="AK502" i="8" s="1"/>
  <c r="DQ503" i="8"/>
  <c r="AE503" i="8" s="1"/>
  <c r="AG503" i="8"/>
  <c r="DT503" i="8"/>
  <c r="AH503" i="8" s="1"/>
  <c r="DU503" i="8"/>
  <c r="AI503" i="8" s="1"/>
  <c r="DV503" i="8"/>
  <c r="AJ503" i="8" s="1"/>
  <c r="DW503" i="8"/>
  <c r="AK503" i="8" s="1"/>
  <c r="DQ504" i="8"/>
  <c r="AE504" i="8" s="1"/>
  <c r="AG504" i="8"/>
  <c r="DT504" i="8"/>
  <c r="AH504" i="8" s="1"/>
  <c r="DU504" i="8"/>
  <c r="AI504" i="8" s="1"/>
  <c r="DV504" i="8"/>
  <c r="AJ504" i="8" s="1"/>
  <c r="DW504" i="8"/>
  <c r="AK504" i="8" s="1"/>
  <c r="DQ505" i="8"/>
  <c r="AE505" i="8" s="1"/>
  <c r="AG505" i="8"/>
  <c r="DT505" i="8"/>
  <c r="AH505" i="8" s="1"/>
  <c r="DU505" i="8"/>
  <c r="AI505" i="8" s="1"/>
  <c r="DV505" i="8"/>
  <c r="AJ505" i="8" s="1"/>
  <c r="DW505" i="8"/>
  <c r="AK505" i="8" s="1"/>
  <c r="DQ506" i="8"/>
  <c r="AE506" i="8" s="1"/>
  <c r="AG506" i="8"/>
  <c r="DT506" i="8"/>
  <c r="AH506" i="8" s="1"/>
  <c r="DU506" i="8"/>
  <c r="AI506" i="8" s="1"/>
  <c r="DV506" i="8"/>
  <c r="AJ506" i="8" s="1"/>
  <c r="DW506" i="8"/>
  <c r="AK506" i="8" s="1"/>
  <c r="DQ507" i="8"/>
  <c r="AE507" i="8" s="1"/>
  <c r="AG507" i="8"/>
  <c r="DT507" i="8"/>
  <c r="AH507" i="8" s="1"/>
  <c r="DU507" i="8"/>
  <c r="AI507" i="8" s="1"/>
  <c r="DV507" i="8"/>
  <c r="AJ507" i="8" s="1"/>
  <c r="DW507" i="8"/>
  <c r="AK507" i="8" s="1"/>
  <c r="DQ508" i="8"/>
  <c r="AE508" i="8" s="1"/>
  <c r="AG508" i="8"/>
  <c r="DT508" i="8"/>
  <c r="AH508" i="8" s="1"/>
  <c r="DU508" i="8"/>
  <c r="AI508" i="8" s="1"/>
  <c r="DV508" i="8"/>
  <c r="AJ508" i="8" s="1"/>
  <c r="DW508" i="8"/>
  <c r="AK508" i="8" s="1"/>
  <c r="DQ509" i="8"/>
  <c r="AE509" i="8" s="1"/>
  <c r="AG509" i="8"/>
  <c r="DT509" i="8"/>
  <c r="AH509" i="8" s="1"/>
  <c r="DU509" i="8"/>
  <c r="AI509" i="8" s="1"/>
  <c r="DV509" i="8"/>
  <c r="AJ509" i="8" s="1"/>
  <c r="DW509" i="8"/>
  <c r="AK509" i="8" s="1"/>
  <c r="DQ510" i="8"/>
  <c r="AE510" i="8" s="1"/>
  <c r="AG510" i="8"/>
  <c r="DT510" i="8"/>
  <c r="AH510" i="8" s="1"/>
  <c r="DU510" i="8"/>
  <c r="AI510" i="8" s="1"/>
  <c r="DV510" i="8"/>
  <c r="AJ510" i="8" s="1"/>
  <c r="DW510" i="8"/>
  <c r="AK510" i="8" s="1"/>
  <c r="DQ511" i="8"/>
  <c r="AE511" i="8" s="1"/>
  <c r="AG511" i="8"/>
  <c r="DT511" i="8"/>
  <c r="AH511" i="8" s="1"/>
  <c r="DU511" i="8"/>
  <c r="AI511" i="8" s="1"/>
  <c r="DV511" i="8"/>
  <c r="AJ511" i="8" s="1"/>
  <c r="DW511" i="8"/>
  <c r="AK511" i="8" s="1"/>
  <c r="DQ512" i="8"/>
  <c r="AE512" i="8" s="1"/>
  <c r="AG512" i="8"/>
  <c r="DT512" i="8"/>
  <c r="AH512" i="8" s="1"/>
  <c r="DU512" i="8"/>
  <c r="AI512" i="8" s="1"/>
  <c r="DV512" i="8"/>
  <c r="AJ512" i="8" s="1"/>
  <c r="DW512" i="8"/>
  <c r="AK512" i="8" s="1"/>
  <c r="DQ513" i="8"/>
  <c r="AE513" i="8" s="1"/>
  <c r="AG513" i="8"/>
  <c r="DT513" i="8"/>
  <c r="AH513" i="8" s="1"/>
  <c r="DU513" i="8"/>
  <c r="AI513" i="8" s="1"/>
  <c r="DV513" i="8"/>
  <c r="AJ513" i="8" s="1"/>
  <c r="DW513" i="8"/>
  <c r="AK513" i="8" s="1"/>
  <c r="DQ514" i="8"/>
  <c r="AE514" i="8" s="1"/>
  <c r="AG514" i="8"/>
  <c r="DT514" i="8"/>
  <c r="AH514" i="8" s="1"/>
  <c r="DU514" i="8"/>
  <c r="AI514" i="8" s="1"/>
  <c r="DV514" i="8"/>
  <c r="AJ514" i="8" s="1"/>
  <c r="DW514" i="8"/>
  <c r="AK514" i="8" s="1"/>
  <c r="DQ515" i="8"/>
  <c r="AE515" i="8" s="1"/>
  <c r="AG515" i="8"/>
  <c r="DT515" i="8"/>
  <c r="AH515" i="8" s="1"/>
  <c r="DU515" i="8"/>
  <c r="AI515" i="8" s="1"/>
  <c r="DV515" i="8"/>
  <c r="AJ515" i="8" s="1"/>
  <c r="DW515" i="8"/>
  <c r="AK515" i="8" s="1"/>
  <c r="DQ516" i="8"/>
  <c r="AE516" i="8" s="1"/>
  <c r="AG516" i="8"/>
  <c r="DT516" i="8"/>
  <c r="AH516" i="8" s="1"/>
  <c r="DU516" i="8"/>
  <c r="AI516" i="8" s="1"/>
  <c r="DV516" i="8"/>
  <c r="AJ516" i="8" s="1"/>
  <c r="DW516" i="8"/>
  <c r="AK516" i="8" s="1"/>
  <c r="DQ517" i="8"/>
  <c r="AE517" i="8" s="1"/>
  <c r="AG517" i="8"/>
  <c r="DT517" i="8"/>
  <c r="AH517" i="8" s="1"/>
  <c r="DU517" i="8"/>
  <c r="AI517" i="8" s="1"/>
  <c r="DV517" i="8"/>
  <c r="AJ517" i="8" s="1"/>
  <c r="DW517" i="8"/>
  <c r="AK517" i="8" s="1"/>
  <c r="DQ518" i="8"/>
  <c r="AE518" i="8" s="1"/>
  <c r="AG518" i="8"/>
  <c r="DT518" i="8"/>
  <c r="AH518" i="8" s="1"/>
  <c r="DU518" i="8"/>
  <c r="AI518" i="8" s="1"/>
  <c r="DV518" i="8"/>
  <c r="AJ518" i="8" s="1"/>
  <c r="DW518" i="8"/>
  <c r="AK518" i="8" s="1"/>
  <c r="DQ519" i="8"/>
  <c r="AE519" i="8" s="1"/>
  <c r="AG519" i="8"/>
  <c r="DT519" i="8"/>
  <c r="AH519" i="8" s="1"/>
  <c r="DU519" i="8"/>
  <c r="AI519" i="8" s="1"/>
  <c r="DV519" i="8"/>
  <c r="AJ519" i="8" s="1"/>
  <c r="DW519" i="8"/>
  <c r="AK519" i="8" s="1"/>
  <c r="DQ520" i="8"/>
  <c r="AE520" i="8" s="1"/>
  <c r="AG520" i="8"/>
  <c r="DT520" i="8"/>
  <c r="AH520" i="8" s="1"/>
  <c r="DU520" i="8"/>
  <c r="AI520" i="8" s="1"/>
  <c r="DV520" i="8"/>
  <c r="AJ520" i="8" s="1"/>
  <c r="DW520" i="8"/>
  <c r="AK520" i="8" s="1"/>
  <c r="DQ521" i="8"/>
  <c r="AE521" i="8" s="1"/>
  <c r="AG521" i="8"/>
  <c r="DT521" i="8"/>
  <c r="AH521" i="8" s="1"/>
  <c r="DU521" i="8"/>
  <c r="AI521" i="8" s="1"/>
  <c r="DV521" i="8"/>
  <c r="AJ521" i="8" s="1"/>
  <c r="DW521" i="8"/>
  <c r="AK521" i="8" s="1"/>
  <c r="DQ522" i="8"/>
  <c r="AE522" i="8" s="1"/>
  <c r="AG522" i="8"/>
  <c r="DT522" i="8"/>
  <c r="AH522" i="8" s="1"/>
  <c r="DU522" i="8"/>
  <c r="AI522" i="8" s="1"/>
  <c r="DV522" i="8"/>
  <c r="AJ522" i="8" s="1"/>
  <c r="DW522" i="8"/>
  <c r="AK522" i="8" s="1"/>
  <c r="DQ523" i="8"/>
  <c r="AE523" i="8" s="1"/>
  <c r="AG523" i="8"/>
  <c r="DT523" i="8"/>
  <c r="AH523" i="8" s="1"/>
  <c r="DU523" i="8"/>
  <c r="AI523" i="8" s="1"/>
  <c r="DV523" i="8"/>
  <c r="AJ523" i="8" s="1"/>
  <c r="DW523" i="8"/>
  <c r="AK523" i="8" s="1"/>
  <c r="DQ524" i="8"/>
  <c r="AE524" i="8" s="1"/>
  <c r="AG524" i="8"/>
  <c r="DT524" i="8"/>
  <c r="AH524" i="8" s="1"/>
  <c r="DU524" i="8"/>
  <c r="AI524" i="8" s="1"/>
  <c r="DV524" i="8"/>
  <c r="AJ524" i="8" s="1"/>
  <c r="DW524" i="8"/>
  <c r="AK524" i="8" s="1"/>
  <c r="DQ525" i="8"/>
  <c r="AE525" i="8" s="1"/>
  <c r="AG525" i="8"/>
  <c r="DT525" i="8"/>
  <c r="AH525" i="8" s="1"/>
  <c r="DU525" i="8"/>
  <c r="AI525" i="8" s="1"/>
  <c r="DV525" i="8"/>
  <c r="AJ525" i="8" s="1"/>
  <c r="DW525" i="8"/>
  <c r="AK525" i="8" s="1"/>
  <c r="DQ526" i="8"/>
  <c r="AE526" i="8" s="1"/>
  <c r="AG526" i="8"/>
  <c r="DT526" i="8"/>
  <c r="AH526" i="8" s="1"/>
  <c r="DU526" i="8"/>
  <c r="AI526" i="8" s="1"/>
  <c r="DV526" i="8"/>
  <c r="AJ526" i="8" s="1"/>
  <c r="DW526" i="8"/>
  <c r="AK526" i="8" s="1"/>
  <c r="DQ527" i="8"/>
  <c r="AE527" i="8" s="1"/>
  <c r="AG527" i="8"/>
  <c r="DT527" i="8"/>
  <c r="AH527" i="8" s="1"/>
  <c r="DU527" i="8"/>
  <c r="AI527" i="8" s="1"/>
  <c r="DV527" i="8"/>
  <c r="AJ527" i="8" s="1"/>
  <c r="DW527" i="8"/>
  <c r="AK527" i="8" s="1"/>
  <c r="DQ528" i="8"/>
  <c r="AE528" i="8" s="1"/>
  <c r="AG528" i="8"/>
  <c r="DT528" i="8"/>
  <c r="AH528" i="8" s="1"/>
  <c r="DU528" i="8"/>
  <c r="AI528" i="8" s="1"/>
  <c r="DV528" i="8"/>
  <c r="AJ528" i="8" s="1"/>
  <c r="DW528" i="8"/>
  <c r="AK528" i="8" s="1"/>
  <c r="DQ529" i="8"/>
  <c r="AE529" i="8" s="1"/>
  <c r="AG529" i="8"/>
  <c r="DT529" i="8"/>
  <c r="AH529" i="8" s="1"/>
  <c r="DU529" i="8"/>
  <c r="AI529" i="8" s="1"/>
  <c r="DV529" i="8"/>
  <c r="AJ529" i="8" s="1"/>
  <c r="DW529" i="8"/>
  <c r="AK529" i="8" s="1"/>
  <c r="DQ530" i="8"/>
  <c r="AE530" i="8" s="1"/>
  <c r="AG530" i="8"/>
  <c r="DT530" i="8"/>
  <c r="AH530" i="8" s="1"/>
  <c r="DU530" i="8"/>
  <c r="AI530" i="8" s="1"/>
  <c r="DV530" i="8"/>
  <c r="AJ530" i="8" s="1"/>
  <c r="DW530" i="8"/>
  <c r="AK530" i="8" s="1"/>
  <c r="DQ531" i="8"/>
  <c r="AE531" i="8" s="1"/>
  <c r="AG531" i="8"/>
  <c r="DT531" i="8"/>
  <c r="AH531" i="8" s="1"/>
  <c r="DU531" i="8"/>
  <c r="AI531" i="8" s="1"/>
  <c r="DV531" i="8"/>
  <c r="AJ531" i="8" s="1"/>
  <c r="DW531" i="8"/>
  <c r="AK531" i="8" s="1"/>
  <c r="DQ532" i="8"/>
  <c r="AE532" i="8" s="1"/>
  <c r="AG532" i="8"/>
  <c r="DT532" i="8"/>
  <c r="AH532" i="8" s="1"/>
  <c r="DU532" i="8"/>
  <c r="AI532" i="8" s="1"/>
  <c r="DV532" i="8"/>
  <c r="AJ532" i="8" s="1"/>
  <c r="DW532" i="8"/>
  <c r="AK532" i="8" s="1"/>
  <c r="DQ533" i="8"/>
  <c r="AE533" i="8" s="1"/>
  <c r="AG533" i="8"/>
  <c r="DT533" i="8"/>
  <c r="AH533" i="8" s="1"/>
  <c r="DU533" i="8"/>
  <c r="AI533" i="8" s="1"/>
  <c r="DV533" i="8"/>
  <c r="AJ533" i="8" s="1"/>
  <c r="DW533" i="8"/>
  <c r="AK533" i="8" s="1"/>
  <c r="DQ534" i="8"/>
  <c r="AE534" i="8" s="1"/>
  <c r="AG534" i="8"/>
  <c r="DT534" i="8"/>
  <c r="AH534" i="8" s="1"/>
  <c r="DU534" i="8"/>
  <c r="AI534" i="8" s="1"/>
  <c r="DV534" i="8"/>
  <c r="AJ534" i="8" s="1"/>
  <c r="DW534" i="8"/>
  <c r="AK534" i="8" s="1"/>
  <c r="DQ535" i="8"/>
  <c r="AE535" i="8" s="1"/>
  <c r="AG535" i="8"/>
  <c r="DT535" i="8"/>
  <c r="AH535" i="8" s="1"/>
  <c r="DU535" i="8"/>
  <c r="AI535" i="8" s="1"/>
  <c r="DV535" i="8"/>
  <c r="AJ535" i="8" s="1"/>
  <c r="DW535" i="8"/>
  <c r="AK535" i="8" s="1"/>
  <c r="DQ536" i="8"/>
  <c r="AE536" i="8" s="1"/>
  <c r="AG536" i="8"/>
  <c r="DT536" i="8"/>
  <c r="AH536" i="8" s="1"/>
  <c r="DU536" i="8"/>
  <c r="AI536" i="8" s="1"/>
  <c r="DV536" i="8"/>
  <c r="AJ536" i="8" s="1"/>
  <c r="DW536" i="8"/>
  <c r="AK536" i="8" s="1"/>
  <c r="DQ537" i="8"/>
  <c r="AE537" i="8" s="1"/>
  <c r="AG537" i="8"/>
  <c r="DT537" i="8"/>
  <c r="AH537" i="8" s="1"/>
  <c r="DU537" i="8"/>
  <c r="AI537" i="8" s="1"/>
  <c r="DV537" i="8"/>
  <c r="AJ537" i="8" s="1"/>
  <c r="DW537" i="8"/>
  <c r="AK537" i="8" s="1"/>
  <c r="DQ538" i="8"/>
  <c r="AE538" i="8" s="1"/>
  <c r="AG538" i="8"/>
  <c r="DT538" i="8"/>
  <c r="AH538" i="8" s="1"/>
  <c r="DU538" i="8"/>
  <c r="AI538" i="8" s="1"/>
  <c r="DV538" i="8"/>
  <c r="AJ538" i="8" s="1"/>
  <c r="DW538" i="8"/>
  <c r="AK538" i="8" s="1"/>
  <c r="DQ539" i="8"/>
  <c r="AE539" i="8" s="1"/>
  <c r="AG539" i="8"/>
  <c r="DT539" i="8"/>
  <c r="AH539" i="8" s="1"/>
  <c r="DU539" i="8"/>
  <c r="AI539" i="8" s="1"/>
  <c r="DV539" i="8"/>
  <c r="AJ539" i="8" s="1"/>
  <c r="DW539" i="8"/>
  <c r="AK539" i="8" s="1"/>
  <c r="DQ540" i="8"/>
  <c r="AE540" i="8" s="1"/>
  <c r="AG540" i="8"/>
  <c r="DT540" i="8"/>
  <c r="AH540" i="8" s="1"/>
  <c r="DU540" i="8"/>
  <c r="AI540" i="8" s="1"/>
  <c r="DV540" i="8"/>
  <c r="AJ540" i="8" s="1"/>
  <c r="DW540" i="8"/>
  <c r="AK540" i="8" s="1"/>
  <c r="DQ541" i="8"/>
  <c r="AE541" i="8" s="1"/>
  <c r="AG541" i="8"/>
  <c r="DT541" i="8"/>
  <c r="AH541" i="8" s="1"/>
  <c r="DU541" i="8"/>
  <c r="AI541" i="8" s="1"/>
  <c r="DV541" i="8"/>
  <c r="AJ541" i="8" s="1"/>
  <c r="DW541" i="8"/>
  <c r="AK541" i="8" s="1"/>
  <c r="DQ542" i="8"/>
  <c r="AE542" i="8" s="1"/>
  <c r="AG542" i="8"/>
  <c r="DT542" i="8"/>
  <c r="AH542" i="8" s="1"/>
  <c r="DU542" i="8"/>
  <c r="AI542" i="8" s="1"/>
  <c r="DV542" i="8"/>
  <c r="AJ542" i="8" s="1"/>
  <c r="DW542" i="8"/>
  <c r="AK542" i="8" s="1"/>
  <c r="DQ543" i="8"/>
  <c r="AE543" i="8" s="1"/>
  <c r="AG543" i="8"/>
  <c r="DT543" i="8"/>
  <c r="AH543" i="8" s="1"/>
  <c r="DU543" i="8"/>
  <c r="AI543" i="8" s="1"/>
  <c r="DV543" i="8"/>
  <c r="AJ543" i="8" s="1"/>
  <c r="DW543" i="8"/>
  <c r="AK543" i="8" s="1"/>
  <c r="DQ544" i="8"/>
  <c r="AE544" i="8" s="1"/>
  <c r="AG544" i="8"/>
  <c r="DT544" i="8"/>
  <c r="AH544" i="8" s="1"/>
  <c r="DU544" i="8"/>
  <c r="AI544" i="8" s="1"/>
  <c r="DV544" i="8"/>
  <c r="AJ544" i="8" s="1"/>
  <c r="DW544" i="8"/>
  <c r="AK544" i="8" s="1"/>
  <c r="DQ545" i="8"/>
  <c r="AE545" i="8" s="1"/>
  <c r="AG545" i="8"/>
  <c r="DT545" i="8"/>
  <c r="AH545" i="8" s="1"/>
  <c r="DU545" i="8"/>
  <c r="AI545" i="8" s="1"/>
  <c r="DV545" i="8"/>
  <c r="AJ545" i="8" s="1"/>
  <c r="DW545" i="8"/>
  <c r="AK545" i="8" s="1"/>
  <c r="DQ546" i="8"/>
  <c r="AE546" i="8" s="1"/>
  <c r="AG546" i="8"/>
  <c r="DT546" i="8"/>
  <c r="AH546" i="8" s="1"/>
  <c r="DU546" i="8"/>
  <c r="AI546" i="8" s="1"/>
  <c r="DV546" i="8"/>
  <c r="AJ546" i="8" s="1"/>
  <c r="DW546" i="8"/>
  <c r="AK546" i="8" s="1"/>
  <c r="DQ547" i="8"/>
  <c r="AE547" i="8" s="1"/>
  <c r="AG547" i="8"/>
  <c r="DT547" i="8"/>
  <c r="AH547" i="8" s="1"/>
  <c r="DU547" i="8"/>
  <c r="AI547" i="8" s="1"/>
  <c r="DV547" i="8"/>
  <c r="AJ547" i="8" s="1"/>
  <c r="DW547" i="8"/>
  <c r="AK547" i="8" s="1"/>
  <c r="DQ548" i="8"/>
  <c r="AE548" i="8" s="1"/>
  <c r="AG548" i="8"/>
  <c r="DT548" i="8"/>
  <c r="AH548" i="8" s="1"/>
  <c r="DU548" i="8"/>
  <c r="AI548" i="8" s="1"/>
  <c r="DV548" i="8"/>
  <c r="AJ548" i="8" s="1"/>
  <c r="DW548" i="8"/>
  <c r="AK548" i="8" s="1"/>
  <c r="DQ549" i="8"/>
  <c r="AE549" i="8" s="1"/>
  <c r="AG549" i="8"/>
  <c r="DT549" i="8"/>
  <c r="AH549" i="8" s="1"/>
  <c r="DU549" i="8"/>
  <c r="AI549" i="8" s="1"/>
  <c r="DV549" i="8"/>
  <c r="AJ549" i="8" s="1"/>
  <c r="DW549" i="8"/>
  <c r="AK549" i="8" s="1"/>
  <c r="DQ550" i="8"/>
  <c r="AE550" i="8" s="1"/>
  <c r="AG550" i="8"/>
  <c r="DT550" i="8"/>
  <c r="AH550" i="8" s="1"/>
  <c r="DU550" i="8"/>
  <c r="AI550" i="8" s="1"/>
  <c r="DV550" i="8"/>
  <c r="AJ550" i="8" s="1"/>
  <c r="DW550" i="8"/>
  <c r="AK550" i="8" s="1"/>
  <c r="DQ551" i="8"/>
  <c r="AE551" i="8" s="1"/>
  <c r="AG551" i="8"/>
  <c r="DT551" i="8"/>
  <c r="AH551" i="8" s="1"/>
  <c r="DU551" i="8"/>
  <c r="AI551" i="8" s="1"/>
  <c r="DV551" i="8"/>
  <c r="AJ551" i="8" s="1"/>
  <c r="DW551" i="8"/>
  <c r="AK551" i="8" s="1"/>
  <c r="DQ552" i="8"/>
  <c r="AE552" i="8" s="1"/>
  <c r="AG552" i="8"/>
  <c r="DT552" i="8"/>
  <c r="AH552" i="8" s="1"/>
  <c r="DU552" i="8"/>
  <c r="AI552" i="8" s="1"/>
  <c r="DV552" i="8"/>
  <c r="AJ552" i="8" s="1"/>
  <c r="DW552" i="8"/>
  <c r="AK552" i="8" s="1"/>
  <c r="DQ553" i="8"/>
  <c r="AE553" i="8" s="1"/>
  <c r="AG553" i="8"/>
  <c r="DT553" i="8"/>
  <c r="AH553" i="8" s="1"/>
  <c r="DU553" i="8"/>
  <c r="AI553" i="8" s="1"/>
  <c r="DV553" i="8"/>
  <c r="AJ553" i="8" s="1"/>
  <c r="DW553" i="8"/>
  <c r="AK553" i="8" s="1"/>
  <c r="DQ554" i="8"/>
  <c r="AE554" i="8" s="1"/>
  <c r="AG554" i="8"/>
  <c r="DT554" i="8"/>
  <c r="AH554" i="8" s="1"/>
  <c r="DU554" i="8"/>
  <c r="AI554" i="8" s="1"/>
  <c r="DV554" i="8"/>
  <c r="AJ554" i="8" s="1"/>
  <c r="DW554" i="8"/>
  <c r="AK554" i="8" s="1"/>
  <c r="DQ555" i="8"/>
  <c r="AE555" i="8" s="1"/>
  <c r="AG555" i="8"/>
  <c r="DT555" i="8"/>
  <c r="AH555" i="8" s="1"/>
  <c r="DU555" i="8"/>
  <c r="AI555" i="8" s="1"/>
  <c r="DV555" i="8"/>
  <c r="AJ555" i="8" s="1"/>
  <c r="DW555" i="8"/>
  <c r="AK555" i="8" s="1"/>
  <c r="DQ556" i="8"/>
  <c r="AE556" i="8" s="1"/>
  <c r="AG556" i="8"/>
  <c r="DT556" i="8"/>
  <c r="AH556" i="8" s="1"/>
  <c r="DU556" i="8"/>
  <c r="AI556" i="8" s="1"/>
  <c r="DV556" i="8"/>
  <c r="AJ556" i="8" s="1"/>
  <c r="DW556" i="8"/>
  <c r="AK556" i="8" s="1"/>
  <c r="DQ557" i="8"/>
  <c r="AE557" i="8" s="1"/>
  <c r="AG557" i="8"/>
  <c r="DT557" i="8"/>
  <c r="AH557" i="8" s="1"/>
  <c r="DU557" i="8"/>
  <c r="AI557" i="8" s="1"/>
  <c r="DV557" i="8"/>
  <c r="AJ557" i="8" s="1"/>
  <c r="DW557" i="8"/>
  <c r="AK557" i="8" s="1"/>
  <c r="DQ558" i="8"/>
  <c r="AE558" i="8" s="1"/>
  <c r="AG558" i="8"/>
  <c r="DT558" i="8"/>
  <c r="AH558" i="8" s="1"/>
  <c r="DU558" i="8"/>
  <c r="AI558" i="8" s="1"/>
  <c r="DV558" i="8"/>
  <c r="AJ558" i="8" s="1"/>
  <c r="DW558" i="8"/>
  <c r="AK558" i="8" s="1"/>
  <c r="DQ559" i="8"/>
  <c r="AE559" i="8" s="1"/>
  <c r="AG559" i="8"/>
  <c r="DT559" i="8"/>
  <c r="AH559" i="8" s="1"/>
  <c r="DU559" i="8"/>
  <c r="AI559" i="8" s="1"/>
  <c r="DV559" i="8"/>
  <c r="AJ559" i="8" s="1"/>
  <c r="DW559" i="8"/>
  <c r="AK559" i="8" s="1"/>
  <c r="DQ560" i="8"/>
  <c r="AE560" i="8" s="1"/>
  <c r="AG560" i="8"/>
  <c r="DT560" i="8"/>
  <c r="AH560" i="8" s="1"/>
  <c r="DU560" i="8"/>
  <c r="AI560" i="8" s="1"/>
  <c r="DV560" i="8"/>
  <c r="AJ560" i="8" s="1"/>
  <c r="DW560" i="8"/>
  <c r="AK560" i="8" s="1"/>
  <c r="DQ561" i="8"/>
  <c r="AE561" i="8" s="1"/>
  <c r="AG561" i="8"/>
  <c r="DT561" i="8"/>
  <c r="AH561" i="8" s="1"/>
  <c r="DU561" i="8"/>
  <c r="AI561" i="8" s="1"/>
  <c r="DV561" i="8"/>
  <c r="AJ561" i="8" s="1"/>
  <c r="DW561" i="8"/>
  <c r="AK561" i="8" s="1"/>
  <c r="DQ562" i="8"/>
  <c r="AE562" i="8" s="1"/>
  <c r="AG562" i="8"/>
  <c r="DT562" i="8"/>
  <c r="AH562" i="8" s="1"/>
  <c r="DU562" i="8"/>
  <c r="AI562" i="8" s="1"/>
  <c r="DV562" i="8"/>
  <c r="AJ562" i="8" s="1"/>
  <c r="DW562" i="8"/>
  <c r="AK562" i="8" s="1"/>
  <c r="DQ563" i="8"/>
  <c r="AE563" i="8" s="1"/>
  <c r="AG563" i="8"/>
  <c r="DT563" i="8"/>
  <c r="AH563" i="8" s="1"/>
  <c r="DU563" i="8"/>
  <c r="AI563" i="8" s="1"/>
  <c r="DV563" i="8"/>
  <c r="AJ563" i="8" s="1"/>
  <c r="DW563" i="8"/>
  <c r="AK563" i="8" s="1"/>
  <c r="DQ564" i="8"/>
  <c r="AE564" i="8" s="1"/>
  <c r="AG564" i="8"/>
  <c r="DT564" i="8"/>
  <c r="AH564" i="8" s="1"/>
  <c r="DU564" i="8"/>
  <c r="AI564" i="8" s="1"/>
  <c r="DV564" i="8"/>
  <c r="AJ564" i="8" s="1"/>
  <c r="DW564" i="8"/>
  <c r="AK564" i="8" s="1"/>
  <c r="DQ565" i="8"/>
  <c r="AE565" i="8" s="1"/>
  <c r="AG565" i="8"/>
  <c r="DT565" i="8"/>
  <c r="AH565" i="8" s="1"/>
  <c r="DU565" i="8"/>
  <c r="AI565" i="8" s="1"/>
  <c r="DV565" i="8"/>
  <c r="AJ565" i="8" s="1"/>
  <c r="DW565" i="8"/>
  <c r="AK565" i="8" s="1"/>
  <c r="DQ566" i="8"/>
  <c r="AE566" i="8" s="1"/>
  <c r="AG566" i="8"/>
  <c r="DT566" i="8"/>
  <c r="AH566" i="8" s="1"/>
  <c r="DU566" i="8"/>
  <c r="AI566" i="8" s="1"/>
  <c r="DV566" i="8"/>
  <c r="AJ566" i="8" s="1"/>
  <c r="DW566" i="8"/>
  <c r="AK566" i="8" s="1"/>
  <c r="DQ567" i="8"/>
  <c r="AE567" i="8" s="1"/>
  <c r="AG567" i="8"/>
  <c r="DT567" i="8"/>
  <c r="AH567" i="8" s="1"/>
  <c r="DU567" i="8"/>
  <c r="AI567" i="8" s="1"/>
  <c r="DV567" i="8"/>
  <c r="AJ567" i="8" s="1"/>
  <c r="DW567" i="8"/>
  <c r="AK567" i="8" s="1"/>
  <c r="DQ568" i="8"/>
  <c r="AE568" i="8" s="1"/>
  <c r="AG568" i="8"/>
  <c r="DT568" i="8"/>
  <c r="AH568" i="8" s="1"/>
  <c r="DU568" i="8"/>
  <c r="AI568" i="8" s="1"/>
  <c r="DV568" i="8"/>
  <c r="AJ568" i="8" s="1"/>
  <c r="DW568" i="8"/>
  <c r="AK568" i="8" s="1"/>
  <c r="DQ569" i="8"/>
  <c r="AE569" i="8" s="1"/>
  <c r="AG569" i="8"/>
  <c r="DT569" i="8"/>
  <c r="AH569" i="8" s="1"/>
  <c r="DU569" i="8"/>
  <c r="AI569" i="8" s="1"/>
  <c r="DV569" i="8"/>
  <c r="AJ569" i="8" s="1"/>
  <c r="DW569" i="8"/>
  <c r="AK569" i="8" s="1"/>
  <c r="DQ570" i="8"/>
  <c r="AE570" i="8" s="1"/>
  <c r="AG570" i="8"/>
  <c r="DT570" i="8"/>
  <c r="AH570" i="8" s="1"/>
  <c r="DU570" i="8"/>
  <c r="AI570" i="8" s="1"/>
  <c r="DV570" i="8"/>
  <c r="AJ570" i="8" s="1"/>
  <c r="DW570" i="8"/>
  <c r="AK570" i="8" s="1"/>
  <c r="DQ571" i="8"/>
  <c r="AE571" i="8" s="1"/>
  <c r="AG571" i="8"/>
  <c r="DT571" i="8"/>
  <c r="AH571" i="8" s="1"/>
  <c r="DU571" i="8"/>
  <c r="AI571" i="8" s="1"/>
  <c r="DV571" i="8"/>
  <c r="AJ571" i="8" s="1"/>
  <c r="DW571" i="8"/>
  <c r="AK571" i="8" s="1"/>
  <c r="DQ572" i="8"/>
  <c r="AE572" i="8" s="1"/>
  <c r="AG572" i="8"/>
  <c r="DT572" i="8"/>
  <c r="AH572" i="8" s="1"/>
  <c r="DU572" i="8"/>
  <c r="AI572" i="8" s="1"/>
  <c r="DV572" i="8"/>
  <c r="AJ572" i="8" s="1"/>
  <c r="DW572" i="8"/>
  <c r="AK572" i="8" s="1"/>
  <c r="DQ573" i="8"/>
  <c r="AE573" i="8" s="1"/>
  <c r="AG573" i="8"/>
  <c r="DT573" i="8"/>
  <c r="AH573" i="8" s="1"/>
  <c r="DU573" i="8"/>
  <c r="AI573" i="8" s="1"/>
  <c r="DV573" i="8"/>
  <c r="AJ573" i="8" s="1"/>
  <c r="DW573" i="8"/>
  <c r="AK573" i="8" s="1"/>
  <c r="DQ574" i="8"/>
  <c r="AE574" i="8" s="1"/>
  <c r="AG574" i="8"/>
  <c r="DT574" i="8"/>
  <c r="AH574" i="8" s="1"/>
  <c r="DU574" i="8"/>
  <c r="AI574" i="8" s="1"/>
  <c r="DV574" i="8"/>
  <c r="AJ574" i="8" s="1"/>
  <c r="DW574" i="8"/>
  <c r="AK574" i="8" s="1"/>
  <c r="DQ575" i="8"/>
  <c r="AE575" i="8" s="1"/>
  <c r="AG575" i="8"/>
  <c r="DT575" i="8"/>
  <c r="AH575" i="8" s="1"/>
  <c r="DU575" i="8"/>
  <c r="AI575" i="8" s="1"/>
  <c r="DV575" i="8"/>
  <c r="AJ575" i="8" s="1"/>
  <c r="DW575" i="8"/>
  <c r="AK575" i="8" s="1"/>
  <c r="DQ576" i="8"/>
  <c r="AE576" i="8" s="1"/>
  <c r="AG576" i="8"/>
  <c r="DT576" i="8"/>
  <c r="AH576" i="8" s="1"/>
  <c r="DU576" i="8"/>
  <c r="AI576" i="8" s="1"/>
  <c r="DV576" i="8"/>
  <c r="AJ576" i="8" s="1"/>
  <c r="DW576" i="8"/>
  <c r="AK576" i="8" s="1"/>
  <c r="DQ577" i="8"/>
  <c r="AE577" i="8" s="1"/>
  <c r="AG577" i="8"/>
  <c r="DT577" i="8"/>
  <c r="AH577" i="8" s="1"/>
  <c r="DU577" i="8"/>
  <c r="AI577" i="8" s="1"/>
  <c r="DV577" i="8"/>
  <c r="AJ577" i="8" s="1"/>
  <c r="DW577" i="8"/>
  <c r="AK577" i="8" s="1"/>
  <c r="DQ578" i="8"/>
  <c r="AE578" i="8" s="1"/>
  <c r="AG578" i="8"/>
  <c r="DT578" i="8"/>
  <c r="AH578" i="8" s="1"/>
  <c r="DU578" i="8"/>
  <c r="AI578" i="8" s="1"/>
  <c r="DV578" i="8"/>
  <c r="AJ578" i="8" s="1"/>
  <c r="DW578" i="8"/>
  <c r="AK578" i="8" s="1"/>
  <c r="DQ579" i="8"/>
  <c r="AE579" i="8" s="1"/>
  <c r="AG579" i="8"/>
  <c r="DT579" i="8"/>
  <c r="AH579" i="8" s="1"/>
  <c r="DU579" i="8"/>
  <c r="AI579" i="8" s="1"/>
  <c r="DV579" i="8"/>
  <c r="AJ579" i="8" s="1"/>
  <c r="DW579" i="8"/>
  <c r="AK579" i="8" s="1"/>
  <c r="DQ580" i="8"/>
  <c r="AE580" i="8" s="1"/>
  <c r="AG580" i="8"/>
  <c r="DT580" i="8"/>
  <c r="AH580" i="8" s="1"/>
  <c r="DU580" i="8"/>
  <c r="AI580" i="8" s="1"/>
  <c r="DV580" i="8"/>
  <c r="AJ580" i="8" s="1"/>
  <c r="DW580" i="8"/>
  <c r="AK580" i="8" s="1"/>
  <c r="DQ581" i="8"/>
  <c r="AE581" i="8" s="1"/>
  <c r="AG581" i="8"/>
  <c r="DT581" i="8"/>
  <c r="AH581" i="8" s="1"/>
  <c r="DU581" i="8"/>
  <c r="AI581" i="8" s="1"/>
  <c r="DV581" i="8"/>
  <c r="AJ581" i="8" s="1"/>
  <c r="DW581" i="8"/>
  <c r="AK581" i="8" s="1"/>
  <c r="DQ582" i="8"/>
  <c r="AE582" i="8" s="1"/>
  <c r="AG582" i="8"/>
  <c r="DT582" i="8"/>
  <c r="AH582" i="8" s="1"/>
  <c r="DU582" i="8"/>
  <c r="AI582" i="8" s="1"/>
  <c r="DV582" i="8"/>
  <c r="AJ582" i="8" s="1"/>
  <c r="DW582" i="8"/>
  <c r="AK582" i="8" s="1"/>
  <c r="AG4" i="7" l="1"/>
  <c r="AG8" i="6"/>
  <c r="AE23" i="9" s="1"/>
  <c r="AF8" i="6"/>
  <c r="AD23" i="9" s="1"/>
  <c r="AG7" i="5"/>
  <c r="AL7" i="5" s="1"/>
  <c r="AF45" i="1"/>
  <c r="AF44" i="1"/>
  <c r="AF47" i="1"/>
  <c r="AG43" i="1"/>
  <c r="AL43" i="1" s="1"/>
  <c r="AG49" i="5"/>
  <c r="AG32" i="5"/>
  <c r="AG31" i="5"/>
  <c r="AG6" i="4"/>
  <c r="AG6" i="7"/>
  <c r="AG45" i="1"/>
  <c r="AG44" i="1"/>
  <c r="AG47" i="1"/>
  <c r="AG8" i="7"/>
  <c r="AG6" i="6"/>
  <c r="AG6" i="2"/>
  <c r="AG86" i="1"/>
  <c r="AP37" i="9"/>
  <c r="AL37" i="9"/>
  <c r="AK37" i="9"/>
  <c r="AJ37" i="9"/>
  <c r="AL4" i="7"/>
  <c r="AF43" i="1"/>
  <c r="AG51" i="5"/>
  <c r="AP126" i="1"/>
  <c r="AO126" i="1"/>
  <c r="AN126" i="1"/>
  <c r="AE70" i="9"/>
  <c r="AL126" i="1"/>
  <c r="AT126" i="1"/>
  <c r="AG8" i="4"/>
  <c r="AG105" i="1"/>
  <c r="AG103" i="1"/>
  <c r="AG7" i="4"/>
  <c r="AG10" i="7"/>
  <c r="AG8" i="3"/>
  <c r="AG7" i="7"/>
  <c r="AG4" i="2"/>
  <c r="AG85" i="1"/>
  <c r="AL8" i="6"/>
  <c r="AG4" i="6"/>
  <c r="AG7" i="6"/>
  <c r="AG5" i="3"/>
  <c r="AG5" i="7"/>
  <c r="AG7" i="2"/>
  <c r="AG46" i="1"/>
  <c r="AG9" i="5"/>
  <c r="AG8" i="5"/>
  <c r="AF46" i="1"/>
  <c r="AG104" i="1"/>
  <c r="AL50" i="5"/>
  <c r="AG9" i="7"/>
  <c r="AG8" i="2"/>
  <c r="AG4" i="4"/>
  <c r="AG6" i="3"/>
  <c r="AG11" i="7"/>
  <c r="AG5" i="6"/>
  <c r="AG5" i="2"/>
  <c r="AE47" i="1"/>
  <c r="AF9" i="5"/>
  <c r="AF6" i="2"/>
  <c r="AD30" i="9" s="1"/>
  <c r="AF8" i="7"/>
  <c r="AF86" i="1"/>
  <c r="AF8" i="4"/>
  <c r="AF7" i="4"/>
  <c r="AF10" i="7"/>
  <c r="AF7" i="6"/>
  <c r="AF7" i="5"/>
  <c r="AF4" i="7"/>
  <c r="AF51" i="5"/>
  <c r="AF9" i="7"/>
  <c r="AF105" i="1"/>
  <c r="AF103" i="1"/>
  <c r="AF4" i="6"/>
  <c r="AF8" i="3"/>
  <c r="AF7" i="7"/>
  <c r="AF4" i="2"/>
  <c r="AF85" i="1"/>
  <c r="AF6" i="6"/>
  <c r="AF5" i="3"/>
  <c r="AF5" i="7"/>
  <c r="AF7" i="2"/>
  <c r="AF8" i="5"/>
  <c r="AF104" i="1"/>
  <c r="AD70" i="9"/>
  <c r="AS126" i="1"/>
  <c r="AV126" i="1"/>
  <c r="AW126" i="1"/>
  <c r="AF8" i="2"/>
  <c r="AF4" i="4"/>
  <c r="AF6" i="3"/>
  <c r="AF11" i="7"/>
  <c r="AF5" i="6"/>
  <c r="AF5" i="2"/>
  <c r="AF49" i="5"/>
  <c r="AF31" i="5"/>
  <c r="AF32" i="5"/>
  <c r="AF6" i="4"/>
  <c r="AF6" i="7"/>
  <c r="AO37" i="9"/>
  <c r="AR37" i="9"/>
  <c r="AS37" i="9"/>
  <c r="AE8" i="6"/>
  <c r="AC23" i="9" s="1"/>
  <c r="AE86" i="1"/>
  <c r="AE6" i="2"/>
  <c r="AE51" i="5"/>
  <c r="AE8" i="7"/>
  <c r="AE4" i="7"/>
  <c r="AE43" i="1"/>
  <c r="AE9" i="5"/>
  <c r="AE7" i="3"/>
  <c r="AE8" i="3"/>
  <c r="AE7" i="7"/>
  <c r="AE4" i="2"/>
  <c r="AE85" i="1"/>
  <c r="AE7" i="4"/>
  <c r="AE4" i="6"/>
  <c r="AE105" i="1"/>
  <c r="AE8" i="4"/>
  <c r="AE5" i="3"/>
  <c r="AE5" i="7"/>
  <c r="AE7" i="2"/>
  <c r="AE46" i="1"/>
  <c r="AE9" i="7"/>
  <c r="AE8" i="5"/>
  <c r="AE104" i="1"/>
  <c r="AE7" i="6"/>
  <c r="AE4" i="4"/>
  <c r="AE6" i="3"/>
  <c r="AE11" i="7"/>
  <c r="AE5" i="6"/>
  <c r="AE5" i="2"/>
  <c r="AE49" i="5"/>
  <c r="AE31" i="5"/>
  <c r="AE32" i="5"/>
  <c r="AE6" i="4"/>
  <c r="AE6" i="7"/>
  <c r="AE45" i="1"/>
  <c r="AE44" i="1"/>
  <c r="AE6" i="6"/>
  <c r="AE10" i="7"/>
  <c r="AE8" i="2"/>
  <c r="AE7" i="5"/>
  <c r="AC70" i="9"/>
  <c r="AD8" i="6"/>
  <c r="AD8" i="5"/>
  <c r="AD9" i="5"/>
  <c r="AD7" i="5"/>
  <c r="AD5" i="6"/>
  <c r="AD4" i="6"/>
  <c r="AD6" i="6"/>
  <c r="AD85" i="1"/>
  <c r="AD86" i="1"/>
  <c r="AD10" i="7"/>
  <c r="AD7" i="4"/>
  <c r="AD6" i="4"/>
  <c r="AD8" i="3"/>
  <c r="AD5" i="7"/>
  <c r="AD51" i="5"/>
  <c r="AD32" i="5"/>
  <c r="AD7" i="6"/>
  <c r="AD11" i="7"/>
  <c r="AD9" i="7"/>
  <c r="AD8" i="7"/>
  <c r="AD7" i="7"/>
  <c r="AD49" i="5"/>
  <c r="AD31" i="5"/>
  <c r="AD4" i="4"/>
  <c r="AD4" i="7"/>
  <c r="AD6" i="7"/>
  <c r="AD8" i="4"/>
  <c r="AD46" i="1"/>
  <c r="AD5" i="3"/>
  <c r="AD6" i="3"/>
  <c r="AD45" i="1"/>
  <c r="AD44" i="1"/>
  <c r="AD43" i="1"/>
  <c r="AD47" i="1"/>
  <c r="AD104" i="1"/>
  <c r="AD8" i="2"/>
  <c r="AD103" i="1"/>
  <c r="AD6" i="2"/>
  <c r="AD5" i="2"/>
  <c r="AD7" i="2"/>
  <c r="AD4" i="2"/>
  <c r="AD105" i="1"/>
  <c r="AC6" i="3"/>
  <c r="DQ2" i="8"/>
  <c r="DU2" i="8"/>
  <c r="DV2" i="8"/>
  <c r="DT2" i="8"/>
  <c r="DW2" i="8"/>
  <c r="DR2" i="8"/>
  <c r="AC104" i="1"/>
  <c r="AG56" i="8"/>
  <c r="AG2" i="8" s="1"/>
  <c r="AC50" i="5"/>
  <c r="AF2" i="8"/>
  <c r="AH448" i="8"/>
  <c r="AH2" i="8" s="1"/>
  <c r="AI448" i="8"/>
  <c r="AG7" i="3" s="1"/>
  <c r="AJ448" i="8"/>
  <c r="AK448" i="8"/>
  <c r="BG364" i="8"/>
  <c r="DO364" i="8" s="1"/>
  <c r="AC364" i="8" s="1"/>
  <c r="BG365" i="8"/>
  <c r="DO365" i="8" s="1"/>
  <c r="AC365" i="8" s="1"/>
  <c r="BG366" i="8"/>
  <c r="DO366" i="8" s="1"/>
  <c r="AC366" i="8" s="1"/>
  <c r="BG367" i="8"/>
  <c r="DO367" i="8" s="1"/>
  <c r="AC367" i="8" s="1"/>
  <c r="BG368" i="8"/>
  <c r="DO368" i="8" s="1"/>
  <c r="AC368" i="8" s="1"/>
  <c r="BG369" i="8"/>
  <c r="DO369" i="8" s="1"/>
  <c r="AC369" i="8" s="1"/>
  <c r="BG370" i="8"/>
  <c r="DO370" i="8" s="1"/>
  <c r="AC370" i="8" s="1"/>
  <c r="BG371" i="8"/>
  <c r="DO371" i="8" s="1"/>
  <c r="AC371" i="8" s="1"/>
  <c r="BG372" i="8"/>
  <c r="DO372" i="8" s="1"/>
  <c r="AC372" i="8" s="1"/>
  <c r="BG373" i="8"/>
  <c r="DO373" i="8" s="1"/>
  <c r="AC373" i="8" s="1"/>
  <c r="BG374" i="8"/>
  <c r="DO374" i="8" s="1"/>
  <c r="AC374" i="8" s="1"/>
  <c r="BG375" i="8"/>
  <c r="DO375" i="8" s="1"/>
  <c r="AC375" i="8" s="1"/>
  <c r="BG376" i="8"/>
  <c r="DO376" i="8" s="1"/>
  <c r="AC376" i="8" s="1"/>
  <c r="BG377" i="8"/>
  <c r="DO377" i="8" s="1"/>
  <c r="AC377" i="8" s="1"/>
  <c r="BG378" i="8"/>
  <c r="DO378" i="8" s="1"/>
  <c r="AC378" i="8" s="1"/>
  <c r="BG379" i="8"/>
  <c r="DO379" i="8" s="1"/>
  <c r="AC379" i="8" s="1"/>
  <c r="BG380" i="8"/>
  <c r="DO380" i="8" s="1"/>
  <c r="AC380" i="8" s="1"/>
  <c r="BG381" i="8"/>
  <c r="DO381" i="8" s="1"/>
  <c r="AC381" i="8" s="1"/>
  <c r="BG382" i="8"/>
  <c r="DO382" i="8" s="1"/>
  <c r="AC382" i="8" s="1"/>
  <c r="BG383" i="8"/>
  <c r="DO383" i="8" s="1"/>
  <c r="AC383" i="8" s="1"/>
  <c r="BG384" i="8"/>
  <c r="DO384" i="8" s="1"/>
  <c r="AC384" i="8" s="1"/>
  <c r="BG385" i="8"/>
  <c r="DO385" i="8" s="1"/>
  <c r="AC385" i="8" s="1"/>
  <c r="BG386" i="8"/>
  <c r="DO386" i="8" s="1"/>
  <c r="AC386" i="8" s="1"/>
  <c r="BG387" i="8"/>
  <c r="DO387" i="8" s="1"/>
  <c r="AC387" i="8" s="1"/>
  <c r="BG388" i="8"/>
  <c r="DO388" i="8" s="1"/>
  <c r="AC388" i="8" s="1"/>
  <c r="BG389" i="8"/>
  <c r="DO389" i="8" s="1"/>
  <c r="AC389" i="8" s="1"/>
  <c r="BG390" i="8"/>
  <c r="DO390" i="8" s="1"/>
  <c r="AC390" i="8" s="1"/>
  <c r="BG391" i="8"/>
  <c r="DO391" i="8" s="1"/>
  <c r="AC391" i="8" s="1"/>
  <c r="BG392" i="8"/>
  <c r="DO392" i="8" s="1"/>
  <c r="AC392" i="8" s="1"/>
  <c r="BG393" i="8"/>
  <c r="DO393" i="8" s="1"/>
  <c r="AC393" i="8" s="1"/>
  <c r="BG394" i="8"/>
  <c r="DO394" i="8" s="1"/>
  <c r="AC394" i="8" s="1"/>
  <c r="BG395" i="8"/>
  <c r="DO395" i="8" s="1"/>
  <c r="AC395" i="8" s="1"/>
  <c r="BG396" i="8"/>
  <c r="DO396" i="8" s="1"/>
  <c r="AC396" i="8" s="1"/>
  <c r="BG397" i="8"/>
  <c r="DO397" i="8" s="1"/>
  <c r="AC397" i="8" s="1"/>
  <c r="BG398" i="8"/>
  <c r="DO398" i="8" s="1"/>
  <c r="AC398" i="8" s="1"/>
  <c r="BG399" i="8"/>
  <c r="DO399" i="8" s="1"/>
  <c r="AC399" i="8" s="1"/>
  <c r="BG400" i="8"/>
  <c r="DO400" i="8" s="1"/>
  <c r="AC400" i="8" s="1"/>
  <c r="BG401" i="8"/>
  <c r="DO401" i="8" s="1"/>
  <c r="AC401" i="8" s="1"/>
  <c r="BG402" i="8"/>
  <c r="DO402" i="8" s="1"/>
  <c r="AC402" i="8" s="1"/>
  <c r="BG403" i="8"/>
  <c r="DO403" i="8" s="1"/>
  <c r="AC403" i="8" s="1"/>
  <c r="BG404" i="8"/>
  <c r="DO404" i="8" s="1"/>
  <c r="AC404" i="8" s="1"/>
  <c r="BG405" i="8"/>
  <c r="DO405" i="8" s="1"/>
  <c r="AC405" i="8" s="1"/>
  <c r="BG406" i="8"/>
  <c r="DO406" i="8" s="1"/>
  <c r="AC406" i="8" s="1"/>
  <c r="BG407" i="8"/>
  <c r="DO407" i="8" s="1"/>
  <c r="AC407" i="8" s="1"/>
  <c r="BG408" i="8"/>
  <c r="DO408" i="8" s="1"/>
  <c r="AC408" i="8" s="1"/>
  <c r="BG409" i="8"/>
  <c r="DO409" i="8" s="1"/>
  <c r="AC409" i="8" s="1"/>
  <c r="BG410" i="8"/>
  <c r="DO410" i="8" s="1"/>
  <c r="AC410" i="8" s="1"/>
  <c r="BG411" i="8"/>
  <c r="DO411" i="8" s="1"/>
  <c r="AC411" i="8" s="1"/>
  <c r="BG412" i="8"/>
  <c r="DO412" i="8" s="1"/>
  <c r="AC412" i="8" s="1"/>
  <c r="BG413" i="8"/>
  <c r="DO413" i="8" s="1"/>
  <c r="AC413" i="8" s="1"/>
  <c r="BG414" i="8"/>
  <c r="DO414" i="8" s="1"/>
  <c r="AC414" i="8" s="1"/>
  <c r="BG415" i="8"/>
  <c r="DO415" i="8" s="1"/>
  <c r="AC415" i="8" s="1"/>
  <c r="BG416" i="8"/>
  <c r="DO416" i="8" s="1"/>
  <c r="AC416" i="8" s="1"/>
  <c r="BG417" i="8"/>
  <c r="DO417" i="8" s="1"/>
  <c r="AC417" i="8" s="1"/>
  <c r="BG418" i="8"/>
  <c r="DO418" i="8" s="1"/>
  <c r="AC418" i="8" s="1"/>
  <c r="BG419" i="8"/>
  <c r="DO419" i="8" s="1"/>
  <c r="AC419" i="8" s="1"/>
  <c r="BG420" i="8"/>
  <c r="DO420" i="8" s="1"/>
  <c r="AC420" i="8" s="1"/>
  <c r="BG421" i="8"/>
  <c r="DO421" i="8" s="1"/>
  <c r="AC421" i="8" s="1"/>
  <c r="BG422" i="8"/>
  <c r="DO422" i="8" s="1"/>
  <c r="AC422" i="8" s="1"/>
  <c r="BG423" i="8"/>
  <c r="DO423" i="8" s="1"/>
  <c r="AC423" i="8" s="1"/>
  <c r="BG424" i="8"/>
  <c r="DO424" i="8" s="1"/>
  <c r="AC424" i="8" s="1"/>
  <c r="BG425" i="8"/>
  <c r="DO425" i="8" s="1"/>
  <c r="AC425" i="8" s="1"/>
  <c r="BG426" i="8"/>
  <c r="DO426" i="8" s="1"/>
  <c r="AC426" i="8" s="1"/>
  <c r="BG427" i="8"/>
  <c r="DO427" i="8" s="1"/>
  <c r="AC427" i="8" s="1"/>
  <c r="BG428" i="8"/>
  <c r="DO428" i="8" s="1"/>
  <c r="AC428" i="8" s="1"/>
  <c r="BG429" i="8"/>
  <c r="DO429" i="8" s="1"/>
  <c r="AC429" i="8" s="1"/>
  <c r="BG430" i="8"/>
  <c r="DO430" i="8" s="1"/>
  <c r="AC430" i="8" s="1"/>
  <c r="BG363" i="8"/>
  <c r="K104" i="1"/>
  <c r="J104" i="1"/>
  <c r="I104" i="1"/>
  <c r="H104" i="1"/>
  <c r="G104" i="1"/>
  <c r="F104" i="1"/>
  <c r="CT42" i="8"/>
  <c r="H42" i="8" s="1"/>
  <c r="CU42" i="8"/>
  <c r="I42" i="8" s="1"/>
  <c r="CV42" i="8"/>
  <c r="J42" i="8" s="1"/>
  <c r="CW42" i="8"/>
  <c r="K42" i="8" s="1"/>
  <c r="CX42" i="8"/>
  <c r="L42" i="8" s="1"/>
  <c r="CY42" i="8"/>
  <c r="M42" i="8" s="1"/>
  <c r="CT43" i="8"/>
  <c r="H43" i="8" s="1"/>
  <c r="CU43" i="8"/>
  <c r="I43" i="8" s="1"/>
  <c r="CV43" i="8"/>
  <c r="J43" i="8" s="1"/>
  <c r="CW43" i="8"/>
  <c r="K43" i="8" s="1"/>
  <c r="CX43" i="8"/>
  <c r="L43" i="8" s="1"/>
  <c r="CY43" i="8"/>
  <c r="M43" i="8" s="1"/>
  <c r="CT44" i="8"/>
  <c r="H44" i="8" s="1"/>
  <c r="CU44" i="8"/>
  <c r="I44" i="8" s="1"/>
  <c r="CV44" i="8"/>
  <c r="J44" i="8" s="1"/>
  <c r="CW44" i="8"/>
  <c r="K44" i="8" s="1"/>
  <c r="CX44" i="8"/>
  <c r="L44" i="8" s="1"/>
  <c r="CY44" i="8"/>
  <c r="M44" i="8" s="1"/>
  <c r="CT45" i="8"/>
  <c r="H45" i="8" s="1"/>
  <c r="CU45" i="8"/>
  <c r="I45" i="8" s="1"/>
  <c r="CV45" i="8"/>
  <c r="J45" i="8" s="1"/>
  <c r="CW45" i="8"/>
  <c r="K45" i="8" s="1"/>
  <c r="CX45" i="8"/>
  <c r="L45" i="8" s="1"/>
  <c r="CY45" i="8"/>
  <c r="M45" i="8" s="1"/>
  <c r="CT46" i="8"/>
  <c r="H46" i="8" s="1"/>
  <c r="CU46" i="8"/>
  <c r="I46" i="8" s="1"/>
  <c r="CV46" i="8"/>
  <c r="J46" i="8" s="1"/>
  <c r="CW46" i="8"/>
  <c r="K46" i="8" s="1"/>
  <c r="CX46" i="8"/>
  <c r="L46" i="8" s="1"/>
  <c r="CY46" i="8"/>
  <c r="M46" i="8" s="1"/>
  <c r="CT47" i="8"/>
  <c r="H47" i="8" s="1"/>
  <c r="CU47" i="8"/>
  <c r="I47" i="8" s="1"/>
  <c r="CV47" i="8"/>
  <c r="J47" i="8" s="1"/>
  <c r="CW47" i="8"/>
  <c r="K47" i="8" s="1"/>
  <c r="CX47" i="8"/>
  <c r="L47" i="8" s="1"/>
  <c r="CY47" i="8"/>
  <c r="M47" i="8" s="1"/>
  <c r="CT48" i="8"/>
  <c r="H48" i="8" s="1"/>
  <c r="CU48" i="8"/>
  <c r="I48" i="8" s="1"/>
  <c r="CV48" i="8"/>
  <c r="J48" i="8" s="1"/>
  <c r="CW48" i="8"/>
  <c r="K48" i="8" s="1"/>
  <c r="CX48" i="8"/>
  <c r="L48" i="8" s="1"/>
  <c r="CY48" i="8"/>
  <c r="M48" i="8" s="1"/>
  <c r="CT49" i="8"/>
  <c r="H49" i="8" s="1"/>
  <c r="CU49" i="8"/>
  <c r="I49" i="8" s="1"/>
  <c r="CV49" i="8"/>
  <c r="J49" i="8" s="1"/>
  <c r="CW49" i="8"/>
  <c r="K49" i="8" s="1"/>
  <c r="CX49" i="8"/>
  <c r="L49" i="8" s="1"/>
  <c r="CY49" i="8"/>
  <c r="M49" i="8" s="1"/>
  <c r="CT50" i="8"/>
  <c r="H50" i="8" s="1"/>
  <c r="CU50" i="8"/>
  <c r="I50" i="8" s="1"/>
  <c r="CV50" i="8"/>
  <c r="J50" i="8" s="1"/>
  <c r="CW50" i="8"/>
  <c r="K50" i="8" s="1"/>
  <c r="CX50" i="8"/>
  <c r="L50" i="8" s="1"/>
  <c r="CY50" i="8"/>
  <c r="M50" i="8" s="1"/>
  <c r="CT51" i="8"/>
  <c r="H51" i="8" s="1"/>
  <c r="CU51" i="8"/>
  <c r="I51" i="8" s="1"/>
  <c r="CV51" i="8"/>
  <c r="J51" i="8" s="1"/>
  <c r="CW51" i="8"/>
  <c r="K51" i="8" s="1"/>
  <c r="CX51" i="8"/>
  <c r="L51" i="8" s="1"/>
  <c r="CY51" i="8"/>
  <c r="M51" i="8" s="1"/>
  <c r="CT52" i="8"/>
  <c r="H52" i="8" s="1"/>
  <c r="CU52" i="8"/>
  <c r="I52" i="8" s="1"/>
  <c r="CV52" i="8"/>
  <c r="J52" i="8" s="1"/>
  <c r="CW52" i="8"/>
  <c r="K52" i="8" s="1"/>
  <c r="CX52" i="8"/>
  <c r="L52" i="8" s="1"/>
  <c r="CY52" i="8"/>
  <c r="M52" i="8" s="1"/>
  <c r="CT53" i="8"/>
  <c r="H53" i="8" s="1"/>
  <c r="CU53" i="8"/>
  <c r="I53" i="8" s="1"/>
  <c r="CV53" i="8"/>
  <c r="J53" i="8" s="1"/>
  <c r="CW53" i="8"/>
  <c r="K53" i="8" s="1"/>
  <c r="CX53" i="8"/>
  <c r="L53" i="8" s="1"/>
  <c r="CY53" i="8"/>
  <c r="M53" i="8" s="1"/>
  <c r="CT54" i="8"/>
  <c r="H54" i="8" s="1"/>
  <c r="CU54" i="8"/>
  <c r="I54" i="8" s="1"/>
  <c r="CV54" i="8"/>
  <c r="J54" i="8" s="1"/>
  <c r="CW54" i="8"/>
  <c r="K54" i="8" s="1"/>
  <c r="CX54" i="8"/>
  <c r="L54" i="8" s="1"/>
  <c r="CY54" i="8"/>
  <c r="M54" i="8" s="1"/>
  <c r="CT55" i="8"/>
  <c r="H55" i="8" s="1"/>
  <c r="CU55" i="8"/>
  <c r="I55" i="8" s="1"/>
  <c r="CV55" i="8"/>
  <c r="J55" i="8" s="1"/>
  <c r="CW55" i="8"/>
  <c r="K55" i="8" s="1"/>
  <c r="CX55" i="8"/>
  <c r="L55" i="8" s="1"/>
  <c r="CY55" i="8"/>
  <c r="M55" i="8" s="1"/>
  <c r="CT71" i="8"/>
  <c r="H71" i="8" s="1"/>
  <c r="CU71" i="8"/>
  <c r="I71" i="8" s="1"/>
  <c r="CV71" i="8"/>
  <c r="J71" i="8" s="1"/>
  <c r="CW71" i="8"/>
  <c r="K71" i="8" s="1"/>
  <c r="CX71" i="8"/>
  <c r="L71" i="8" s="1"/>
  <c r="CY71" i="8"/>
  <c r="M71" i="8" s="1"/>
  <c r="CT72" i="8"/>
  <c r="H72" i="8" s="1"/>
  <c r="CU72" i="8"/>
  <c r="I72" i="8" s="1"/>
  <c r="CV72" i="8"/>
  <c r="J72" i="8" s="1"/>
  <c r="CW72" i="8"/>
  <c r="K72" i="8" s="1"/>
  <c r="CX72" i="8"/>
  <c r="L72" i="8" s="1"/>
  <c r="CY72" i="8"/>
  <c r="M72" i="8" s="1"/>
  <c r="CT73" i="8"/>
  <c r="H73" i="8" s="1"/>
  <c r="CU73" i="8"/>
  <c r="I73" i="8" s="1"/>
  <c r="CV73" i="8"/>
  <c r="J73" i="8" s="1"/>
  <c r="CW73" i="8"/>
  <c r="K73" i="8" s="1"/>
  <c r="CX73" i="8"/>
  <c r="L73" i="8" s="1"/>
  <c r="CY73" i="8"/>
  <c r="M73" i="8" s="1"/>
  <c r="CT74" i="8"/>
  <c r="H74" i="8" s="1"/>
  <c r="CU74" i="8"/>
  <c r="I74" i="8" s="1"/>
  <c r="CV74" i="8"/>
  <c r="J74" i="8" s="1"/>
  <c r="CW74" i="8"/>
  <c r="K74" i="8" s="1"/>
  <c r="CX74" i="8"/>
  <c r="L74" i="8" s="1"/>
  <c r="CY74" i="8"/>
  <c r="M74" i="8" s="1"/>
  <c r="CT75" i="8"/>
  <c r="H75" i="8" s="1"/>
  <c r="CU75" i="8"/>
  <c r="I75" i="8" s="1"/>
  <c r="CV75" i="8"/>
  <c r="J75" i="8" s="1"/>
  <c r="CW75" i="8"/>
  <c r="K75" i="8" s="1"/>
  <c r="CX75" i="8"/>
  <c r="L75" i="8" s="1"/>
  <c r="CY75" i="8"/>
  <c r="M75" i="8" s="1"/>
  <c r="CT76" i="8"/>
  <c r="H76" i="8" s="1"/>
  <c r="CU76" i="8"/>
  <c r="I76" i="8" s="1"/>
  <c r="CV76" i="8"/>
  <c r="J76" i="8" s="1"/>
  <c r="CW76" i="8"/>
  <c r="K76" i="8" s="1"/>
  <c r="CX76" i="8"/>
  <c r="L76" i="8" s="1"/>
  <c r="CY76" i="8"/>
  <c r="M76" i="8" s="1"/>
  <c r="CT77" i="8"/>
  <c r="H77" i="8" s="1"/>
  <c r="CU77" i="8"/>
  <c r="I77" i="8" s="1"/>
  <c r="CV77" i="8"/>
  <c r="J77" i="8" s="1"/>
  <c r="CW77" i="8"/>
  <c r="K77" i="8" s="1"/>
  <c r="CX77" i="8"/>
  <c r="L77" i="8" s="1"/>
  <c r="CY77" i="8"/>
  <c r="M77" i="8" s="1"/>
  <c r="CT78" i="8"/>
  <c r="H78" i="8" s="1"/>
  <c r="CU78" i="8"/>
  <c r="I78" i="8" s="1"/>
  <c r="CV78" i="8"/>
  <c r="J78" i="8" s="1"/>
  <c r="CW78" i="8"/>
  <c r="K78" i="8" s="1"/>
  <c r="CX78" i="8"/>
  <c r="L78" i="8" s="1"/>
  <c r="CY78" i="8"/>
  <c r="M78" i="8" s="1"/>
  <c r="CT79" i="8"/>
  <c r="H79" i="8" s="1"/>
  <c r="CU79" i="8"/>
  <c r="I79" i="8" s="1"/>
  <c r="CV79" i="8"/>
  <c r="J79" i="8" s="1"/>
  <c r="CW79" i="8"/>
  <c r="K79" i="8" s="1"/>
  <c r="CX79" i="8"/>
  <c r="L79" i="8" s="1"/>
  <c r="CY79" i="8"/>
  <c r="M79" i="8" s="1"/>
  <c r="CT80" i="8"/>
  <c r="H80" i="8" s="1"/>
  <c r="CU80" i="8"/>
  <c r="I80" i="8" s="1"/>
  <c r="CV80" i="8"/>
  <c r="J80" i="8" s="1"/>
  <c r="CW80" i="8"/>
  <c r="K80" i="8" s="1"/>
  <c r="CX80" i="8"/>
  <c r="L80" i="8" s="1"/>
  <c r="CY80" i="8"/>
  <c r="M80" i="8" s="1"/>
  <c r="CT81" i="8"/>
  <c r="H81" i="8" s="1"/>
  <c r="CU81" i="8"/>
  <c r="I81" i="8" s="1"/>
  <c r="CV81" i="8"/>
  <c r="J81" i="8" s="1"/>
  <c r="CW81" i="8"/>
  <c r="K81" i="8" s="1"/>
  <c r="CX81" i="8"/>
  <c r="L81" i="8" s="1"/>
  <c r="CY81" i="8"/>
  <c r="M81" i="8" s="1"/>
  <c r="CT82" i="8"/>
  <c r="H82" i="8" s="1"/>
  <c r="CU82" i="8"/>
  <c r="I82" i="8" s="1"/>
  <c r="CV82" i="8"/>
  <c r="J82" i="8" s="1"/>
  <c r="CW82" i="8"/>
  <c r="K82" i="8" s="1"/>
  <c r="CX82" i="8"/>
  <c r="L82" i="8" s="1"/>
  <c r="CY82" i="8"/>
  <c r="M82" i="8" s="1"/>
  <c r="CT83" i="8"/>
  <c r="H83" i="8" s="1"/>
  <c r="CU83" i="8"/>
  <c r="I83" i="8" s="1"/>
  <c r="CV83" i="8"/>
  <c r="J83" i="8" s="1"/>
  <c r="CW83" i="8"/>
  <c r="K83" i="8" s="1"/>
  <c r="CX83" i="8"/>
  <c r="L83" i="8" s="1"/>
  <c r="CY83" i="8"/>
  <c r="M83" i="8" s="1"/>
  <c r="CT84" i="8"/>
  <c r="H84" i="8" s="1"/>
  <c r="CU84" i="8"/>
  <c r="I84" i="8" s="1"/>
  <c r="CV84" i="8"/>
  <c r="J84" i="8" s="1"/>
  <c r="CW84" i="8"/>
  <c r="K84" i="8" s="1"/>
  <c r="CX84" i="8"/>
  <c r="L84" i="8" s="1"/>
  <c r="CY84" i="8"/>
  <c r="M84" i="8" s="1"/>
  <c r="CT85" i="8"/>
  <c r="H85" i="8" s="1"/>
  <c r="CU85" i="8"/>
  <c r="I85" i="8" s="1"/>
  <c r="CV85" i="8"/>
  <c r="J85" i="8" s="1"/>
  <c r="CW85" i="8"/>
  <c r="K85" i="8" s="1"/>
  <c r="CX85" i="8"/>
  <c r="L85" i="8" s="1"/>
  <c r="CY85" i="8"/>
  <c r="M85" i="8" s="1"/>
  <c r="CT86" i="8"/>
  <c r="H86" i="8" s="1"/>
  <c r="CU86" i="8"/>
  <c r="I86" i="8" s="1"/>
  <c r="CV86" i="8"/>
  <c r="J86" i="8" s="1"/>
  <c r="CW86" i="8"/>
  <c r="K86" i="8" s="1"/>
  <c r="CX86" i="8"/>
  <c r="L86" i="8" s="1"/>
  <c r="CY86" i="8"/>
  <c r="M86" i="8" s="1"/>
  <c r="CT87" i="8"/>
  <c r="H87" i="8" s="1"/>
  <c r="CU87" i="8"/>
  <c r="I87" i="8" s="1"/>
  <c r="CV87" i="8"/>
  <c r="J87" i="8" s="1"/>
  <c r="CW87" i="8"/>
  <c r="K87" i="8" s="1"/>
  <c r="CX87" i="8"/>
  <c r="L87" i="8" s="1"/>
  <c r="CY87" i="8"/>
  <c r="M87" i="8" s="1"/>
  <c r="CT91" i="8"/>
  <c r="H91" i="8" s="1"/>
  <c r="CU91" i="8"/>
  <c r="I91" i="8" s="1"/>
  <c r="CV91" i="8"/>
  <c r="J91" i="8" s="1"/>
  <c r="CW91" i="8"/>
  <c r="K91" i="8" s="1"/>
  <c r="CX91" i="8"/>
  <c r="L91" i="8" s="1"/>
  <c r="CY91" i="8"/>
  <c r="M91" i="8" s="1"/>
  <c r="CT92" i="8"/>
  <c r="H92" i="8" s="1"/>
  <c r="CU92" i="8"/>
  <c r="I92" i="8" s="1"/>
  <c r="CV92" i="8"/>
  <c r="J92" i="8" s="1"/>
  <c r="CW92" i="8"/>
  <c r="K92" i="8" s="1"/>
  <c r="CX92" i="8"/>
  <c r="L92" i="8" s="1"/>
  <c r="CY92" i="8"/>
  <c r="M92" i="8" s="1"/>
  <c r="CT93" i="8"/>
  <c r="H93" i="8" s="1"/>
  <c r="CU93" i="8"/>
  <c r="I93" i="8" s="1"/>
  <c r="CV93" i="8"/>
  <c r="J93" i="8" s="1"/>
  <c r="CW93" i="8"/>
  <c r="K93" i="8" s="1"/>
  <c r="CX93" i="8"/>
  <c r="L93" i="8" s="1"/>
  <c r="CY93" i="8"/>
  <c r="M93" i="8" s="1"/>
  <c r="CT94" i="8"/>
  <c r="H94" i="8" s="1"/>
  <c r="CU94" i="8"/>
  <c r="I94" i="8" s="1"/>
  <c r="CV94" i="8"/>
  <c r="J94" i="8" s="1"/>
  <c r="CW94" i="8"/>
  <c r="K94" i="8" s="1"/>
  <c r="CX94" i="8"/>
  <c r="L94" i="8" s="1"/>
  <c r="CY94" i="8"/>
  <c r="M94" i="8" s="1"/>
  <c r="CT95" i="8"/>
  <c r="H95" i="8" s="1"/>
  <c r="CU95" i="8"/>
  <c r="I95" i="8" s="1"/>
  <c r="CV95" i="8"/>
  <c r="J95" i="8" s="1"/>
  <c r="CW95" i="8"/>
  <c r="K95" i="8" s="1"/>
  <c r="CX95" i="8"/>
  <c r="L95" i="8" s="1"/>
  <c r="CY95" i="8"/>
  <c r="M95" i="8" s="1"/>
  <c r="CT96" i="8"/>
  <c r="H96" i="8" s="1"/>
  <c r="CU96" i="8"/>
  <c r="I96" i="8" s="1"/>
  <c r="CV96" i="8"/>
  <c r="J96" i="8" s="1"/>
  <c r="CW96" i="8"/>
  <c r="K96" i="8" s="1"/>
  <c r="CX96" i="8"/>
  <c r="L96" i="8" s="1"/>
  <c r="CY96" i="8"/>
  <c r="M96" i="8" s="1"/>
  <c r="CT97" i="8"/>
  <c r="H97" i="8" s="1"/>
  <c r="CU97" i="8"/>
  <c r="I97" i="8" s="1"/>
  <c r="CV97" i="8"/>
  <c r="J97" i="8" s="1"/>
  <c r="CW97" i="8"/>
  <c r="K97" i="8" s="1"/>
  <c r="CX97" i="8"/>
  <c r="L97" i="8" s="1"/>
  <c r="CY97" i="8"/>
  <c r="M97" i="8" s="1"/>
  <c r="CT98" i="8"/>
  <c r="H98" i="8" s="1"/>
  <c r="CU98" i="8"/>
  <c r="I98" i="8" s="1"/>
  <c r="CV98" i="8"/>
  <c r="J98" i="8" s="1"/>
  <c r="CW98" i="8"/>
  <c r="K98" i="8" s="1"/>
  <c r="CX98" i="8"/>
  <c r="L98" i="8" s="1"/>
  <c r="CY98" i="8"/>
  <c r="M98" i="8" s="1"/>
  <c r="CT99" i="8"/>
  <c r="H99" i="8" s="1"/>
  <c r="CU99" i="8"/>
  <c r="I99" i="8" s="1"/>
  <c r="CV99" i="8"/>
  <c r="J99" i="8" s="1"/>
  <c r="CW99" i="8"/>
  <c r="K99" i="8" s="1"/>
  <c r="CX99" i="8"/>
  <c r="L99" i="8" s="1"/>
  <c r="CY99" i="8"/>
  <c r="M99" i="8" s="1"/>
  <c r="CT100" i="8"/>
  <c r="H100" i="8" s="1"/>
  <c r="CU100" i="8"/>
  <c r="I100" i="8" s="1"/>
  <c r="CV100" i="8"/>
  <c r="J100" i="8" s="1"/>
  <c r="CW100" i="8"/>
  <c r="K100" i="8" s="1"/>
  <c r="CX100" i="8"/>
  <c r="L100" i="8" s="1"/>
  <c r="CY100" i="8"/>
  <c r="M100" i="8" s="1"/>
  <c r="CT101" i="8"/>
  <c r="H101" i="8" s="1"/>
  <c r="CU101" i="8"/>
  <c r="I101" i="8" s="1"/>
  <c r="CV101" i="8"/>
  <c r="J101" i="8" s="1"/>
  <c r="CW101" i="8"/>
  <c r="K101" i="8" s="1"/>
  <c r="CX101" i="8"/>
  <c r="L101" i="8" s="1"/>
  <c r="CY101" i="8"/>
  <c r="M101" i="8" s="1"/>
  <c r="CT102" i="8"/>
  <c r="H102" i="8" s="1"/>
  <c r="CU102" i="8"/>
  <c r="I102" i="8" s="1"/>
  <c r="CV102" i="8"/>
  <c r="J102" i="8" s="1"/>
  <c r="CW102" i="8"/>
  <c r="K102" i="8" s="1"/>
  <c r="CX102" i="8"/>
  <c r="L102" i="8" s="1"/>
  <c r="CY102" i="8"/>
  <c r="M102" i="8" s="1"/>
  <c r="CT103" i="8"/>
  <c r="H103" i="8" s="1"/>
  <c r="CU103" i="8"/>
  <c r="I103" i="8" s="1"/>
  <c r="CV103" i="8"/>
  <c r="J103" i="8" s="1"/>
  <c r="CW103" i="8"/>
  <c r="K103" i="8" s="1"/>
  <c r="CX103" i="8"/>
  <c r="L103" i="8" s="1"/>
  <c r="CY103" i="8"/>
  <c r="M103" i="8" s="1"/>
  <c r="CT104" i="8"/>
  <c r="H104" i="8" s="1"/>
  <c r="CU104" i="8"/>
  <c r="I104" i="8" s="1"/>
  <c r="CV104" i="8"/>
  <c r="J104" i="8" s="1"/>
  <c r="CW104" i="8"/>
  <c r="K104" i="8" s="1"/>
  <c r="CX104" i="8"/>
  <c r="L104" i="8" s="1"/>
  <c r="CY104" i="8"/>
  <c r="M104" i="8" s="1"/>
  <c r="CT105" i="8"/>
  <c r="H105" i="8" s="1"/>
  <c r="CU105" i="8"/>
  <c r="I105" i="8" s="1"/>
  <c r="CV105" i="8"/>
  <c r="J105" i="8" s="1"/>
  <c r="CW105" i="8"/>
  <c r="K105" i="8" s="1"/>
  <c r="CX105" i="8"/>
  <c r="L105" i="8" s="1"/>
  <c r="CY105" i="8"/>
  <c r="M105" i="8" s="1"/>
  <c r="CT106" i="8"/>
  <c r="H106" i="8" s="1"/>
  <c r="CU106" i="8"/>
  <c r="I106" i="8" s="1"/>
  <c r="CV106" i="8"/>
  <c r="J106" i="8" s="1"/>
  <c r="CW106" i="8"/>
  <c r="K106" i="8" s="1"/>
  <c r="CX106" i="8"/>
  <c r="L106" i="8" s="1"/>
  <c r="CY106" i="8"/>
  <c r="M106" i="8" s="1"/>
  <c r="CT107" i="8"/>
  <c r="H107" i="8" s="1"/>
  <c r="CU107" i="8"/>
  <c r="I107" i="8" s="1"/>
  <c r="CV107" i="8"/>
  <c r="J107" i="8" s="1"/>
  <c r="CW107" i="8"/>
  <c r="K107" i="8" s="1"/>
  <c r="CX107" i="8"/>
  <c r="L107" i="8" s="1"/>
  <c r="CY107" i="8"/>
  <c r="M107" i="8" s="1"/>
  <c r="CT108" i="8"/>
  <c r="H108" i="8" s="1"/>
  <c r="CU108" i="8"/>
  <c r="I108" i="8" s="1"/>
  <c r="CV108" i="8"/>
  <c r="J108" i="8" s="1"/>
  <c r="CW108" i="8"/>
  <c r="K108" i="8" s="1"/>
  <c r="CX108" i="8"/>
  <c r="L108" i="8" s="1"/>
  <c r="CY108" i="8"/>
  <c r="M108" i="8" s="1"/>
  <c r="CT109" i="8"/>
  <c r="H109" i="8" s="1"/>
  <c r="CU109" i="8"/>
  <c r="I109" i="8" s="1"/>
  <c r="CV109" i="8"/>
  <c r="J109" i="8" s="1"/>
  <c r="CW109" i="8"/>
  <c r="K109" i="8" s="1"/>
  <c r="CX109" i="8"/>
  <c r="L109" i="8" s="1"/>
  <c r="CY109" i="8"/>
  <c r="M109" i="8" s="1"/>
  <c r="CT110" i="8"/>
  <c r="H110" i="8" s="1"/>
  <c r="CU110" i="8"/>
  <c r="I110" i="8" s="1"/>
  <c r="CV110" i="8"/>
  <c r="J110" i="8" s="1"/>
  <c r="CW110" i="8"/>
  <c r="K110" i="8" s="1"/>
  <c r="CX110" i="8"/>
  <c r="L110" i="8" s="1"/>
  <c r="CY110" i="8"/>
  <c r="M110" i="8" s="1"/>
  <c r="CT111" i="8"/>
  <c r="H111" i="8" s="1"/>
  <c r="CU111" i="8"/>
  <c r="I111" i="8" s="1"/>
  <c r="CV111" i="8"/>
  <c r="J111" i="8" s="1"/>
  <c r="CW111" i="8"/>
  <c r="K111" i="8" s="1"/>
  <c r="CX111" i="8"/>
  <c r="L111" i="8" s="1"/>
  <c r="CY111" i="8"/>
  <c r="M111" i="8" s="1"/>
  <c r="CT112" i="8"/>
  <c r="H112" i="8" s="1"/>
  <c r="CU112" i="8"/>
  <c r="I112" i="8" s="1"/>
  <c r="CV112" i="8"/>
  <c r="J112" i="8" s="1"/>
  <c r="CW112" i="8"/>
  <c r="K112" i="8" s="1"/>
  <c r="CX112" i="8"/>
  <c r="L112" i="8" s="1"/>
  <c r="CY112" i="8"/>
  <c r="M112" i="8" s="1"/>
  <c r="CT113" i="8"/>
  <c r="H113" i="8" s="1"/>
  <c r="CU113" i="8"/>
  <c r="I113" i="8" s="1"/>
  <c r="CV113" i="8"/>
  <c r="J113" i="8" s="1"/>
  <c r="CW113" i="8"/>
  <c r="K113" i="8" s="1"/>
  <c r="CX113" i="8"/>
  <c r="L113" i="8" s="1"/>
  <c r="CY113" i="8"/>
  <c r="M113" i="8" s="1"/>
  <c r="CT114" i="8"/>
  <c r="H114" i="8" s="1"/>
  <c r="CU114" i="8"/>
  <c r="I114" i="8" s="1"/>
  <c r="CV114" i="8"/>
  <c r="J114" i="8" s="1"/>
  <c r="CW114" i="8"/>
  <c r="K114" i="8" s="1"/>
  <c r="CX114" i="8"/>
  <c r="L114" i="8" s="1"/>
  <c r="CY114" i="8"/>
  <c r="M114" i="8" s="1"/>
  <c r="CT115" i="8"/>
  <c r="H115" i="8" s="1"/>
  <c r="CU115" i="8"/>
  <c r="I115" i="8" s="1"/>
  <c r="CV115" i="8"/>
  <c r="J115" i="8" s="1"/>
  <c r="CW115" i="8"/>
  <c r="K115" i="8" s="1"/>
  <c r="CX115" i="8"/>
  <c r="L115" i="8" s="1"/>
  <c r="CY115" i="8"/>
  <c r="M115" i="8" s="1"/>
  <c r="CT116" i="8"/>
  <c r="H116" i="8" s="1"/>
  <c r="CU116" i="8"/>
  <c r="I116" i="8" s="1"/>
  <c r="CV116" i="8"/>
  <c r="J116" i="8" s="1"/>
  <c r="CW116" i="8"/>
  <c r="K116" i="8" s="1"/>
  <c r="CX116" i="8"/>
  <c r="L116" i="8" s="1"/>
  <c r="CY116" i="8"/>
  <c r="M116" i="8" s="1"/>
  <c r="CT117" i="8"/>
  <c r="H117" i="8" s="1"/>
  <c r="CU117" i="8"/>
  <c r="I117" i="8" s="1"/>
  <c r="CV117" i="8"/>
  <c r="J117" i="8" s="1"/>
  <c r="CW117" i="8"/>
  <c r="K117" i="8" s="1"/>
  <c r="CX117" i="8"/>
  <c r="L117" i="8" s="1"/>
  <c r="CY117" i="8"/>
  <c r="M117" i="8" s="1"/>
  <c r="CT118" i="8"/>
  <c r="H118" i="8" s="1"/>
  <c r="CU118" i="8"/>
  <c r="I118" i="8" s="1"/>
  <c r="CV118" i="8"/>
  <c r="J118" i="8" s="1"/>
  <c r="CW118" i="8"/>
  <c r="K118" i="8" s="1"/>
  <c r="CX118" i="8"/>
  <c r="L118" i="8" s="1"/>
  <c r="CY118" i="8"/>
  <c r="M118" i="8" s="1"/>
  <c r="CT119" i="8"/>
  <c r="H119" i="8" s="1"/>
  <c r="CU119" i="8"/>
  <c r="I119" i="8" s="1"/>
  <c r="CV119" i="8"/>
  <c r="J119" i="8" s="1"/>
  <c r="CW119" i="8"/>
  <c r="K119" i="8" s="1"/>
  <c r="CX119" i="8"/>
  <c r="L119" i="8" s="1"/>
  <c r="CY119" i="8"/>
  <c r="M119" i="8" s="1"/>
  <c r="CT120" i="8"/>
  <c r="H120" i="8" s="1"/>
  <c r="CU120" i="8"/>
  <c r="I120" i="8" s="1"/>
  <c r="CV120" i="8"/>
  <c r="J120" i="8" s="1"/>
  <c r="CW120" i="8"/>
  <c r="K120" i="8" s="1"/>
  <c r="CX120" i="8"/>
  <c r="L120" i="8" s="1"/>
  <c r="CY120" i="8"/>
  <c r="M120" i="8" s="1"/>
  <c r="CT121" i="8"/>
  <c r="H121" i="8" s="1"/>
  <c r="CU121" i="8"/>
  <c r="I121" i="8" s="1"/>
  <c r="CV121" i="8"/>
  <c r="J121" i="8" s="1"/>
  <c r="CW121" i="8"/>
  <c r="K121" i="8" s="1"/>
  <c r="CX121" i="8"/>
  <c r="L121" i="8" s="1"/>
  <c r="CY121" i="8"/>
  <c r="M121" i="8" s="1"/>
  <c r="CT122" i="8"/>
  <c r="H122" i="8" s="1"/>
  <c r="CU122" i="8"/>
  <c r="I122" i="8" s="1"/>
  <c r="CV122" i="8"/>
  <c r="J122" i="8" s="1"/>
  <c r="CW122" i="8"/>
  <c r="K122" i="8" s="1"/>
  <c r="CX122" i="8"/>
  <c r="L122" i="8" s="1"/>
  <c r="CY122" i="8"/>
  <c r="M122" i="8" s="1"/>
  <c r="CT123" i="8"/>
  <c r="H123" i="8" s="1"/>
  <c r="CU123" i="8"/>
  <c r="I123" i="8" s="1"/>
  <c r="CV123" i="8"/>
  <c r="J123" i="8" s="1"/>
  <c r="CW123" i="8"/>
  <c r="K123" i="8" s="1"/>
  <c r="CX123" i="8"/>
  <c r="L123" i="8" s="1"/>
  <c r="CY123" i="8"/>
  <c r="M123" i="8" s="1"/>
  <c r="CT124" i="8"/>
  <c r="H124" i="8" s="1"/>
  <c r="CU124" i="8"/>
  <c r="I124" i="8" s="1"/>
  <c r="CV124" i="8"/>
  <c r="J124" i="8" s="1"/>
  <c r="CW124" i="8"/>
  <c r="K124" i="8" s="1"/>
  <c r="CX124" i="8"/>
  <c r="L124" i="8" s="1"/>
  <c r="CY124" i="8"/>
  <c r="M124" i="8" s="1"/>
  <c r="CT125" i="8"/>
  <c r="H125" i="8" s="1"/>
  <c r="CU125" i="8"/>
  <c r="I125" i="8" s="1"/>
  <c r="CV125" i="8"/>
  <c r="J125" i="8" s="1"/>
  <c r="CW125" i="8"/>
  <c r="K125" i="8" s="1"/>
  <c r="CX125" i="8"/>
  <c r="L125" i="8" s="1"/>
  <c r="CY125" i="8"/>
  <c r="M125" i="8" s="1"/>
  <c r="CT126" i="8"/>
  <c r="H126" i="8" s="1"/>
  <c r="CU126" i="8"/>
  <c r="I126" i="8" s="1"/>
  <c r="CV126" i="8"/>
  <c r="J126" i="8" s="1"/>
  <c r="CW126" i="8"/>
  <c r="K126" i="8" s="1"/>
  <c r="CX126" i="8"/>
  <c r="L126" i="8" s="1"/>
  <c r="CY126" i="8"/>
  <c r="M126" i="8" s="1"/>
  <c r="CT127" i="8"/>
  <c r="H127" i="8" s="1"/>
  <c r="CU127" i="8"/>
  <c r="I127" i="8" s="1"/>
  <c r="CV127" i="8"/>
  <c r="J127" i="8" s="1"/>
  <c r="CW127" i="8"/>
  <c r="K127" i="8" s="1"/>
  <c r="CX127" i="8"/>
  <c r="L127" i="8" s="1"/>
  <c r="CY127" i="8"/>
  <c r="M127" i="8" s="1"/>
  <c r="CT128" i="8"/>
  <c r="H128" i="8" s="1"/>
  <c r="CU128" i="8"/>
  <c r="I128" i="8" s="1"/>
  <c r="CV128" i="8"/>
  <c r="J128" i="8" s="1"/>
  <c r="CW128" i="8"/>
  <c r="K128" i="8" s="1"/>
  <c r="CX128" i="8"/>
  <c r="L128" i="8" s="1"/>
  <c r="CY128" i="8"/>
  <c r="M128" i="8" s="1"/>
  <c r="CT129" i="8"/>
  <c r="H129" i="8" s="1"/>
  <c r="CU129" i="8"/>
  <c r="I129" i="8" s="1"/>
  <c r="CV129" i="8"/>
  <c r="J129" i="8" s="1"/>
  <c r="CW129" i="8"/>
  <c r="K129" i="8" s="1"/>
  <c r="CX129" i="8"/>
  <c r="L129" i="8" s="1"/>
  <c r="CY129" i="8"/>
  <c r="M129" i="8" s="1"/>
  <c r="CT130" i="8"/>
  <c r="H130" i="8" s="1"/>
  <c r="CU130" i="8"/>
  <c r="I130" i="8" s="1"/>
  <c r="CV130" i="8"/>
  <c r="J130" i="8" s="1"/>
  <c r="CW130" i="8"/>
  <c r="K130" i="8" s="1"/>
  <c r="CX130" i="8"/>
  <c r="L130" i="8" s="1"/>
  <c r="CY130" i="8"/>
  <c r="M130" i="8" s="1"/>
  <c r="CT133" i="8"/>
  <c r="H133" i="8" s="1"/>
  <c r="CU133" i="8"/>
  <c r="I133" i="8" s="1"/>
  <c r="CV133" i="8"/>
  <c r="J133" i="8" s="1"/>
  <c r="CW133" i="8"/>
  <c r="K133" i="8" s="1"/>
  <c r="CX133" i="8"/>
  <c r="L133" i="8" s="1"/>
  <c r="CY133" i="8"/>
  <c r="M133" i="8" s="1"/>
  <c r="CT134" i="8"/>
  <c r="H134" i="8" s="1"/>
  <c r="CU134" i="8"/>
  <c r="I134" i="8" s="1"/>
  <c r="CV134" i="8"/>
  <c r="J134" i="8" s="1"/>
  <c r="CW134" i="8"/>
  <c r="K134" i="8" s="1"/>
  <c r="CX134" i="8"/>
  <c r="L134" i="8" s="1"/>
  <c r="CY134" i="8"/>
  <c r="M134" i="8" s="1"/>
  <c r="CT135" i="8"/>
  <c r="H135" i="8" s="1"/>
  <c r="CU135" i="8"/>
  <c r="I135" i="8" s="1"/>
  <c r="CV135" i="8"/>
  <c r="J135" i="8" s="1"/>
  <c r="CW135" i="8"/>
  <c r="K135" i="8" s="1"/>
  <c r="CX135" i="8"/>
  <c r="L135" i="8" s="1"/>
  <c r="CY135" i="8"/>
  <c r="M135" i="8" s="1"/>
  <c r="CT136" i="8"/>
  <c r="H136" i="8" s="1"/>
  <c r="CU136" i="8"/>
  <c r="I136" i="8" s="1"/>
  <c r="CV136" i="8"/>
  <c r="J136" i="8" s="1"/>
  <c r="CW136" i="8"/>
  <c r="K136" i="8" s="1"/>
  <c r="CX136" i="8"/>
  <c r="L136" i="8" s="1"/>
  <c r="CY136" i="8"/>
  <c r="M136" i="8" s="1"/>
  <c r="CT137" i="8"/>
  <c r="H137" i="8" s="1"/>
  <c r="CU137" i="8"/>
  <c r="I137" i="8" s="1"/>
  <c r="CV137" i="8"/>
  <c r="J137" i="8" s="1"/>
  <c r="CW137" i="8"/>
  <c r="K137" i="8" s="1"/>
  <c r="CX137" i="8"/>
  <c r="L137" i="8" s="1"/>
  <c r="CY137" i="8"/>
  <c r="M137" i="8" s="1"/>
  <c r="CT138" i="8"/>
  <c r="H138" i="8" s="1"/>
  <c r="CU138" i="8"/>
  <c r="I138" i="8" s="1"/>
  <c r="CV138" i="8"/>
  <c r="J138" i="8" s="1"/>
  <c r="CW138" i="8"/>
  <c r="K138" i="8" s="1"/>
  <c r="CX138" i="8"/>
  <c r="L138" i="8" s="1"/>
  <c r="CY138" i="8"/>
  <c r="M138" i="8" s="1"/>
  <c r="CT139" i="8"/>
  <c r="H139" i="8" s="1"/>
  <c r="CU139" i="8"/>
  <c r="I139" i="8" s="1"/>
  <c r="CV139" i="8"/>
  <c r="J139" i="8" s="1"/>
  <c r="CW139" i="8"/>
  <c r="K139" i="8" s="1"/>
  <c r="CX139" i="8"/>
  <c r="L139" i="8" s="1"/>
  <c r="CY139" i="8"/>
  <c r="M139" i="8" s="1"/>
  <c r="CT140" i="8"/>
  <c r="H140" i="8" s="1"/>
  <c r="CU140" i="8"/>
  <c r="I140" i="8" s="1"/>
  <c r="CV140" i="8"/>
  <c r="J140" i="8" s="1"/>
  <c r="CW140" i="8"/>
  <c r="K140" i="8" s="1"/>
  <c r="CX140" i="8"/>
  <c r="L140" i="8" s="1"/>
  <c r="CY140" i="8"/>
  <c r="M140" i="8" s="1"/>
  <c r="CT141" i="8"/>
  <c r="H141" i="8" s="1"/>
  <c r="CU141" i="8"/>
  <c r="I141" i="8" s="1"/>
  <c r="CV141" i="8"/>
  <c r="J141" i="8" s="1"/>
  <c r="CW141" i="8"/>
  <c r="K141" i="8" s="1"/>
  <c r="CX141" i="8"/>
  <c r="L141" i="8" s="1"/>
  <c r="CY141" i="8"/>
  <c r="M141" i="8" s="1"/>
  <c r="CT142" i="8"/>
  <c r="H142" i="8" s="1"/>
  <c r="CU142" i="8"/>
  <c r="I142" i="8" s="1"/>
  <c r="CV142" i="8"/>
  <c r="J142" i="8" s="1"/>
  <c r="CW142" i="8"/>
  <c r="K142" i="8" s="1"/>
  <c r="CX142" i="8"/>
  <c r="L142" i="8" s="1"/>
  <c r="CY142" i="8"/>
  <c r="M142" i="8" s="1"/>
  <c r="CT143" i="8"/>
  <c r="H143" i="8" s="1"/>
  <c r="CU143" i="8"/>
  <c r="I143" i="8" s="1"/>
  <c r="CV143" i="8"/>
  <c r="J143" i="8" s="1"/>
  <c r="CW143" i="8"/>
  <c r="K143" i="8" s="1"/>
  <c r="CX143" i="8"/>
  <c r="L143" i="8" s="1"/>
  <c r="CY143" i="8"/>
  <c r="M143" i="8" s="1"/>
  <c r="CT144" i="8"/>
  <c r="H144" i="8" s="1"/>
  <c r="CU144" i="8"/>
  <c r="I144" i="8" s="1"/>
  <c r="CV144" i="8"/>
  <c r="J144" i="8" s="1"/>
  <c r="CW144" i="8"/>
  <c r="K144" i="8" s="1"/>
  <c r="CX144" i="8"/>
  <c r="L144" i="8" s="1"/>
  <c r="CY144" i="8"/>
  <c r="M144" i="8" s="1"/>
  <c r="CT145" i="8"/>
  <c r="H145" i="8" s="1"/>
  <c r="CU145" i="8"/>
  <c r="I145" i="8" s="1"/>
  <c r="CV145" i="8"/>
  <c r="J145" i="8" s="1"/>
  <c r="CW145" i="8"/>
  <c r="K145" i="8" s="1"/>
  <c r="CX145" i="8"/>
  <c r="L145" i="8" s="1"/>
  <c r="CY145" i="8"/>
  <c r="M145" i="8" s="1"/>
  <c r="CT146" i="8"/>
  <c r="H146" i="8" s="1"/>
  <c r="CU146" i="8"/>
  <c r="I146" i="8" s="1"/>
  <c r="CV146" i="8"/>
  <c r="J146" i="8" s="1"/>
  <c r="CW146" i="8"/>
  <c r="K146" i="8" s="1"/>
  <c r="CX146" i="8"/>
  <c r="L146" i="8" s="1"/>
  <c r="CY146" i="8"/>
  <c r="M146" i="8" s="1"/>
  <c r="CT147" i="8"/>
  <c r="H147" i="8" s="1"/>
  <c r="CU147" i="8"/>
  <c r="I147" i="8" s="1"/>
  <c r="CV147" i="8"/>
  <c r="J147" i="8" s="1"/>
  <c r="CW147" i="8"/>
  <c r="K147" i="8" s="1"/>
  <c r="CX147" i="8"/>
  <c r="L147" i="8" s="1"/>
  <c r="CY147" i="8"/>
  <c r="M147" i="8" s="1"/>
  <c r="CT148" i="8"/>
  <c r="H148" i="8" s="1"/>
  <c r="CU148" i="8"/>
  <c r="I148" i="8" s="1"/>
  <c r="CV148" i="8"/>
  <c r="J148" i="8" s="1"/>
  <c r="CW148" i="8"/>
  <c r="K148" i="8" s="1"/>
  <c r="CX148" i="8"/>
  <c r="L148" i="8" s="1"/>
  <c r="CY148" i="8"/>
  <c r="M148" i="8" s="1"/>
  <c r="CT149" i="8"/>
  <c r="H149" i="8" s="1"/>
  <c r="CU149" i="8"/>
  <c r="I149" i="8" s="1"/>
  <c r="CV149" i="8"/>
  <c r="J149" i="8" s="1"/>
  <c r="CW149" i="8"/>
  <c r="K149" i="8" s="1"/>
  <c r="CX149" i="8"/>
  <c r="L149" i="8" s="1"/>
  <c r="CY149" i="8"/>
  <c r="M149" i="8" s="1"/>
  <c r="CT150" i="8"/>
  <c r="H150" i="8" s="1"/>
  <c r="CU150" i="8"/>
  <c r="I150" i="8" s="1"/>
  <c r="CV150" i="8"/>
  <c r="J150" i="8" s="1"/>
  <c r="CW150" i="8"/>
  <c r="K150" i="8" s="1"/>
  <c r="CX150" i="8"/>
  <c r="L150" i="8" s="1"/>
  <c r="CY150" i="8"/>
  <c r="M150" i="8" s="1"/>
  <c r="CT151" i="8"/>
  <c r="H151" i="8" s="1"/>
  <c r="CU151" i="8"/>
  <c r="I151" i="8" s="1"/>
  <c r="CV151" i="8"/>
  <c r="J151" i="8" s="1"/>
  <c r="CW151" i="8"/>
  <c r="K151" i="8" s="1"/>
  <c r="CX151" i="8"/>
  <c r="L151" i="8" s="1"/>
  <c r="CY151" i="8"/>
  <c r="M151" i="8" s="1"/>
  <c r="CT152" i="8"/>
  <c r="H152" i="8" s="1"/>
  <c r="CU152" i="8"/>
  <c r="I152" i="8" s="1"/>
  <c r="CV152" i="8"/>
  <c r="J152" i="8" s="1"/>
  <c r="CW152" i="8"/>
  <c r="K152" i="8" s="1"/>
  <c r="CX152" i="8"/>
  <c r="L152" i="8" s="1"/>
  <c r="CY152" i="8"/>
  <c r="M152" i="8" s="1"/>
  <c r="CT153" i="8"/>
  <c r="H153" i="8" s="1"/>
  <c r="CU153" i="8"/>
  <c r="I153" i="8" s="1"/>
  <c r="CV153" i="8"/>
  <c r="J153" i="8" s="1"/>
  <c r="CW153" i="8"/>
  <c r="K153" i="8" s="1"/>
  <c r="CX153" i="8"/>
  <c r="L153" i="8" s="1"/>
  <c r="CY153" i="8"/>
  <c r="M153" i="8" s="1"/>
  <c r="CT154" i="8"/>
  <c r="H154" i="8" s="1"/>
  <c r="CU154" i="8"/>
  <c r="I154" i="8" s="1"/>
  <c r="CV154" i="8"/>
  <c r="J154" i="8" s="1"/>
  <c r="CW154" i="8"/>
  <c r="K154" i="8" s="1"/>
  <c r="CX154" i="8"/>
  <c r="L154" i="8" s="1"/>
  <c r="CY154" i="8"/>
  <c r="M154" i="8" s="1"/>
  <c r="CT155" i="8"/>
  <c r="H155" i="8" s="1"/>
  <c r="CU155" i="8"/>
  <c r="I155" i="8" s="1"/>
  <c r="CV155" i="8"/>
  <c r="J155" i="8" s="1"/>
  <c r="CW155" i="8"/>
  <c r="K155" i="8" s="1"/>
  <c r="CX155" i="8"/>
  <c r="L155" i="8" s="1"/>
  <c r="CY155" i="8"/>
  <c r="M155" i="8" s="1"/>
  <c r="CT156" i="8"/>
  <c r="H156" i="8" s="1"/>
  <c r="CU156" i="8"/>
  <c r="I156" i="8" s="1"/>
  <c r="CV156" i="8"/>
  <c r="J156" i="8" s="1"/>
  <c r="CW156" i="8"/>
  <c r="K156" i="8" s="1"/>
  <c r="CX156" i="8"/>
  <c r="L156" i="8" s="1"/>
  <c r="CY156" i="8"/>
  <c r="M156" i="8" s="1"/>
  <c r="CT157" i="8"/>
  <c r="H157" i="8" s="1"/>
  <c r="CU157" i="8"/>
  <c r="I157" i="8" s="1"/>
  <c r="CV157" i="8"/>
  <c r="J157" i="8" s="1"/>
  <c r="CW157" i="8"/>
  <c r="K157" i="8" s="1"/>
  <c r="CX157" i="8"/>
  <c r="L157" i="8" s="1"/>
  <c r="CY157" i="8"/>
  <c r="M157" i="8" s="1"/>
  <c r="CT158" i="8"/>
  <c r="H158" i="8" s="1"/>
  <c r="CU158" i="8"/>
  <c r="I158" i="8" s="1"/>
  <c r="CV158" i="8"/>
  <c r="J158" i="8" s="1"/>
  <c r="CW158" i="8"/>
  <c r="K158" i="8" s="1"/>
  <c r="CX158" i="8"/>
  <c r="L158" i="8" s="1"/>
  <c r="CY158" i="8"/>
  <c r="M158" i="8" s="1"/>
  <c r="CT159" i="8"/>
  <c r="H159" i="8" s="1"/>
  <c r="CU159" i="8"/>
  <c r="I159" i="8" s="1"/>
  <c r="CV159" i="8"/>
  <c r="J159" i="8" s="1"/>
  <c r="CW159" i="8"/>
  <c r="K159" i="8" s="1"/>
  <c r="CX159" i="8"/>
  <c r="L159" i="8" s="1"/>
  <c r="CY159" i="8"/>
  <c r="M159" i="8" s="1"/>
  <c r="CT160" i="8"/>
  <c r="H160" i="8" s="1"/>
  <c r="CU160" i="8"/>
  <c r="I160" i="8" s="1"/>
  <c r="CV160" i="8"/>
  <c r="J160" i="8" s="1"/>
  <c r="CW160" i="8"/>
  <c r="K160" i="8" s="1"/>
  <c r="CX160" i="8"/>
  <c r="L160" i="8" s="1"/>
  <c r="CY160" i="8"/>
  <c r="M160" i="8" s="1"/>
  <c r="CT161" i="8"/>
  <c r="H161" i="8" s="1"/>
  <c r="CU161" i="8"/>
  <c r="I161" i="8" s="1"/>
  <c r="CV161" i="8"/>
  <c r="J161" i="8" s="1"/>
  <c r="CW161" i="8"/>
  <c r="K161" i="8" s="1"/>
  <c r="CX161" i="8"/>
  <c r="L161" i="8" s="1"/>
  <c r="CY161" i="8"/>
  <c r="M161" i="8" s="1"/>
  <c r="CT162" i="8"/>
  <c r="H162" i="8" s="1"/>
  <c r="CU162" i="8"/>
  <c r="I162" i="8" s="1"/>
  <c r="CV162" i="8"/>
  <c r="J162" i="8" s="1"/>
  <c r="CW162" i="8"/>
  <c r="K162" i="8" s="1"/>
  <c r="CX162" i="8"/>
  <c r="L162" i="8" s="1"/>
  <c r="CY162" i="8"/>
  <c r="M162" i="8" s="1"/>
  <c r="CT163" i="8"/>
  <c r="H163" i="8" s="1"/>
  <c r="CU163" i="8"/>
  <c r="I163" i="8" s="1"/>
  <c r="CV163" i="8"/>
  <c r="J163" i="8" s="1"/>
  <c r="CW163" i="8"/>
  <c r="K163" i="8" s="1"/>
  <c r="CX163" i="8"/>
  <c r="L163" i="8" s="1"/>
  <c r="CY163" i="8"/>
  <c r="M163" i="8" s="1"/>
  <c r="CT164" i="8"/>
  <c r="H164" i="8" s="1"/>
  <c r="CU164" i="8"/>
  <c r="I164" i="8" s="1"/>
  <c r="CV164" i="8"/>
  <c r="J164" i="8" s="1"/>
  <c r="CW164" i="8"/>
  <c r="K164" i="8" s="1"/>
  <c r="CX164" i="8"/>
  <c r="L164" i="8" s="1"/>
  <c r="CY164" i="8"/>
  <c r="M164" i="8" s="1"/>
  <c r="CT165" i="8"/>
  <c r="H165" i="8" s="1"/>
  <c r="CU165" i="8"/>
  <c r="I165" i="8" s="1"/>
  <c r="CV165" i="8"/>
  <c r="J165" i="8" s="1"/>
  <c r="CW165" i="8"/>
  <c r="K165" i="8" s="1"/>
  <c r="CX165" i="8"/>
  <c r="L165" i="8" s="1"/>
  <c r="CY165" i="8"/>
  <c r="M165" i="8" s="1"/>
  <c r="CT166" i="8"/>
  <c r="H166" i="8" s="1"/>
  <c r="CU166" i="8"/>
  <c r="I166" i="8" s="1"/>
  <c r="CV166" i="8"/>
  <c r="J166" i="8" s="1"/>
  <c r="CW166" i="8"/>
  <c r="K166" i="8" s="1"/>
  <c r="CX166" i="8"/>
  <c r="L166" i="8" s="1"/>
  <c r="CY166" i="8"/>
  <c r="M166" i="8" s="1"/>
  <c r="CT167" i="8"/>
  <c r="H167" i="8" s="1"/>
  <c r="CU167" i="8"/>
  <c r="I167" i="8" s="1"/>
  <c r="CV167" i="8"/>
  <c r="J167" i="8" s="1"/>
  <c r="CW167" i="8"/>
  <c r="K167" i="8" s="1"/>
  <c r="CX167" i="8"/>
  <c r="L167" i="8" s="1"/>
  <c r="CY167" i="8"/>
  <c r="M167" i="8" s="1"/>
  <c r="CT168" i="8"/>
  <c r="H168" i="8" s="1"/>
  <c r="CU168" i="8"/>
  <c r="I168" i="8" s="1"/>
  <c r="CV168" i="8"/>
  <c r="J168" i="8" s="1"/>
  <c r="CW168" i="8"/>
  <c r="K168" i="8" s="1"/>
  <c r="CX168" i="8"/>
  <c r="L168" i="8" s="1"/>
  <c r="CY168" i="8"/>
  <c r="M168" i="8" s="1"/>
  <c r="CT169" i="8"/>
  <c r="H169" i="8" s="1"/>
  <c r="CU169" i="8"/>
  <c r="I169" i="8" s="1"/>
  <c r="CV169" i="8"/>
  <c r="J169" i="8" s="1"/>
  <c r="CW169" i="8"/>
  <c r="K169" i="8" s="1"/>
  <c r="CX169" i="8"/>
  <c r="L169" i="8" s="1"/>
  <c r="CY169" i="8"/>
  <c r="M169" i="8" s="1"/>
  <c r="CT170" i="8"/>
  <c r="H170" i="8" s="1"/>
  <c r="CU170" i="8"/>
  <c r="I170" i="8" s="1"/>
  <c r="CV170" i="8"/>
  <c r="J170" i="8" s="1"/>
  <c r="CW170" i="8"/>
  <c r="K170" i="8" s="1"/>
  <c r="CX170" i="8"/>
  <c r="L170" i="8" s="1"/>
  <c r="CY170" i="8"/>
  <c r="M170" i="8" s="1"/>
  <c r="CT171" i="8"/>
  <c r="H171" i="8" s="1"/>
  <c r="CU171" i="8"/>
  <c r="I171" i="8" s="1"/>
  <c r="CV171" i="8"/>
  <c r="J171" i="8" s="1"/>
  <c r="CW171" i="8"/>
  <c r="K171" i="8" s="1"/>
  <c r="CX171" i="8"/>
  <c r="L171" i="8" s="1"/>
  <c r="CY171" i="8"/>
  <c r="M171" i="8" s="1"/>
  <c r="CT172" i="8"/>
  <c r="H172" i="8" s="1"/>
  <c r="CU172" i="8"/>
  <c r="I172" i="8" s="1"/>
  <c r="CV172" i="8"/>
  <c r="J172" i="8" s="1"/>
  <c r="CW172" i="8"/>
  <c r="K172" i="8" s="1"/>
  <c r="CX172" i="8"/>
  <c r="L172" i="8" s="1"/>
  <c r="CY172" i="8"/>
  <c r="M172" i="8" s="1"/>
  <c r="CT173" i="8"/>
  <c r="H173" i="8" s="1"/>
  <c r="CU173" i="8"/>
  <c r="I173" i="8" s="1"/>
  <c r="CV173" i="8"/>
  <c r="J173" i="8" s="1"/>
  <c r="CW173" i="8"/>
  <c r="K173" i="8" s="1"/>
  <c r="CX173" i="8"/>
  <c r="L173" i="8" s="1"/>
  <c r="CY173" i="8"/>
  <c r="M173" i="8" s="1"/>
  <c r="CT174" i="8"/>
  <c r="H174" i="8" s="1"/>
  <c r="CU174" i="8"/>
  <c r="I174" i="8" s="1"/>
  <c r="CV174" i="8"/>
  <c r="J174" i="8" s="1"/>
  <c r="CW174" i="8"/>
  <c r="K174" i="8" s="1"/>
  <c r="CX174" i="8"/>
  <c r="L174" i="8" s="1"/>
  <c r="CY174" i="8"/>
  <c r="M174" i="8" s="1"/>
  <c r="CT175" i="8"/>
  <c r="H175" i="8" s="1"/>
  <c r="CU175" i="8"/>
  <c r="I175" i="8" s="1"/>
  <c r="CV175" i="8"/>
  <c r="J175" i="8" s="1"/>
  <c r="CW175" i="8"/>
  <c r="K175" i="8" s="1"/>
  <c r="CX175" i="8"/>
  <c r="L175" i="8" s="1"/>
  <c r="CY175" i="8"/>
  <c r="M175" i="8" s="1"/>
  <c r="CT176" i="8"/>
  <c r="H176" i="8" s="1"/>
  <c r="CU176" i="8"/>
  <c r="I176" i="8" s="1"/>
  <c r="CV176" i="8"/>
  <c r="J176" i="8" s="1"/>
  <c r="CW176" i="8"/>
  <c r="K176" i="8" s="1"/>
  <c r="CX176" i="8"/>
  <c r="L176" i="8" s="1"/>
  <c r="CY176" i="8"/>
  <c r="M176" i="8" s="1"/>
  <c r="CT177" i="8"/>
  <c r="H177" i="8" s="1"/>
  <c r="CU177" i="8"/>
  <c r="I177" i="8" s="1"/>
  <c r="CV177" i="8"/>
  <c r="J177" i="8" s="1"/>
  <c r="CW177" i="8"/>
  <c r="K177" i="8" s="1"/>
  <c r="CX177" i="8"/>
  <c r="L177" i="8" s="1"/>
  <c r="CY177" i="8"/>
  <c r="M177" i="8" s="1"/>
  <c r="CT178" i="8"/>
  <c r="H178" i="8" s="1"/>
  <c r="CU178" i="8"/>
  <c r="I178" i="8" s="1"/>
  <c r="CV178" i="8"/>
  <c r="J178" i="8" s="1"/>
  <c r="CW178" i="8"/>
  <c r="K178" i="8" s="1"/>
  <c r="CX178" i="8"/>
  <c r="L178" i="8" s="1"/>
  <c r="CY178" i="8"/>
  <c r="M178" i="8" s="1"/>
  <c r="CT179" i="8"/>
  <c r="H179" i="8" s="1"/>
  <c r="CU179" i="8"/>
  <c r="I179" i="8" s="1"/>
  <c r="CV179" i="8"/>
  <c r="J179" i="8" s="1"/>
  <c r="CW179" i="8"/>
  <c r="K179" i="8" s="1"/>
  <c r="CX179" i="8"/>
  <c r="L179" i="8" s="1"/>
  <c r="CY179" i="8"/>
  <c r="M179" i="8" s="1"/>
  <c r="CT180" i="8"/>
  <c r="H180" i="8" s="1"/>
  <c r="CU180" i="8"/>
  <c r="I180" i="8" s="1"/>
  <c r="CV180" i="8"/>
  <c r="J180" i="8" s="1"/>
  <c r="CW180" i="8"/>
  <c r="K180" i="8" s="1"/>
  <c r="CX180" i="8"/>
  <c r="L180" i="8" s="1"/>
  <c r="CY180" i="8"/>
  <c r="M180" i="8" s="1"/>
  <c r="CT181" i="8"/>
  <c r="H181" i="8" s="1"/>
  <c r="CU181" i="8"/>
  <c r="I181" i="8" s="1"/>
  <c r="CV181" i="8"/>
  <c r="J181" i="8" s="1"/>
  <c r="CW181" i="8"/>
  <c r="K181" i="8" s="1"/>
  <c r="CX181" i="8"/>
  <c r="L181" i="8" s="1"/>
  <c r="CY181" i="8"/>
  <c r="M181" i="8" s="1"/>
  <c r="CT182" i="8"/>
  <c r="H182" i="8" s="1"/>
  <c r="CU182" i="8"/>
  <c r="I182" i="8" s="1"/>
  <c r="CV182" i="8"/>
  <c r="J182" i="8" s="1"/>
  <c r="CW182" i="8"/>
  <c r="K182" i="8" s="1"/>
  <c r="CX182" i="8"/>
  <c r="L182" i="8" s="1"/>
  <c r="CY182" i="8"/>
  <c r="M182" i="8" s="1"/>
  <c r="CT183" i="8"/>
  <c r="H183" i="8" s="1"/>
  <c r="CU183" i="8"/>
  <c r="I183" i="8" s="1"/>
  <c r="CV183" i="8"/>
  <c r="J183" i="8" s="1"/>
  <c r="CW183" i="8"/>
  <c r="K183" i="8" s="1"/>
  <c r="CX183" i="8"/>
  <c r="L183" i="8" s="1"/>
  <c r="CY183" i="8"/>
  <c r="M183" i="8" s="1"/>
  <c r="CT184" i="8"/>
  <c r="H184" i="8" s="1"/>
  <c r="CU184" i="8"/>
  <c r="I184" i="8" s="1"/>
  <c r="CV184" i="8"/>
  <c r="J184" i="8" s="1"/>
  <c r="CW184" i="8"/>
  <c r="K184" i="8" s="1"/>
  <c r="CX184" i="8"/>
  <c r="L184" i="8" s="1"/>
  <c r="CY184" i="8"/>
  <c r="M184" i="8" s="1"/>
  <c r="CT185" i="8"/>
  <c r="H185" i="8" s="1"/>
  <c r="CU185" i="8"/>
  <c r="I185" i="8" s="1"/>
  <c r="CV185" i="8"/>
  <c r="J185" i="8" s="1"/>
  <c r="CW185" i="8"/>
  <c r="K185" i="8" s="1"/>
  <c r="CX185" i="8"/>
  <c r="L185" i="8" s="1"/>
  <c r="CY185" i="8"/>
  <c r="M185" i="8" s="1"/>
  <c r="CT187" i="8"/>
  <c r="H187" i="8" s="1"/>
  <c r="CU187" i="8"/>
  <c r="I187" i="8" s="1"/>
  <c r="CV187" i="8"/>
  <c r="J187" i="8" s="1"/>
  <c r="CW187" i="8"/>
  <c r="K187" i="8" s="1"/>
  <c r="CX187" i="8"/>
  <c r="L187" i="8" s="1"/>
  <c r="CY187" i="8"/>
  <c r="M187" i="8" s="1"/>
  <c r="CT188" i="8"/>
  <c r="H188" i="8" s="1"/>
  <c r="CU188" i="8"/>
  <c r="I188" i="8" s="1"/>
  <c r="CV188" i="8"/>
  <c r="J188" i="8" s="1"/>
  <c r="CW188" i="8"/>
  <c r="K188" i="8" s="1"/>
  <c r="CX188" i="8"/>
  <c r="L188" i="8" s="1"/>
  <c r="CY188" i="8"/>
  <c r="M188" i="8" s="1"/>
  <c r="CT189" i="8"/>
  <c r="H189" i="8" s="1"/>
  <c r="CU189" i="8"/>
  <c r="I189" i="8" s="1"/>
  <c r="CV189" i="8"/>
  <c r="J189" i="8" s="1"/>
  <c r="CW189" i="8"/>
  <c r="K189" i="8" s="1"/>
  <c r="CX189" i="8"/>
  <c r="L189" i="8" s="1"/>
  <c r="CY189" i="8"/>
  <c r="M189" i="8" s="1"/>
  <c r="CT190" i="8"/>
  <c r="H190" i="8" s="1"/>
  <c r="CU190" i="8"/>
  <c r="I190" i="8" s="1"/>
  <c r="CV190" i="8"/>
  <c r="J190" i="8" s="1"/>
  <c r="CW190" i="8"/>
  <c r="K190" i="8" s="1"/>
  <c r="CX190" i="8"/>
  <c r="L190" i="8" s="1"/>
  <c r="CY190" i="8"/>
  <c r="M190" i="8" s="1"/>
  <c r="CT191" i="8"/>
  <c r="H191" i="8" s="1"/>
  <c r="CU191" i="8"/>
  <c r="I191" i="8" s="1"/>
  <c r="CV191" i="8"/>
  <c r="J191" i="8" s="1"/>
  <c r="CW191" i="8"/>
  <c r="K191" i="8" s="1"/>
  <c r="CX191" i="8"/>
  <c r="L191" i="8" s="1"/>
  <c r="CY191" i="8"/>
  <c r="M191" i="8" s="1"/>
  <c r="CT192" i="8"/>
  <c r="H192" i="8" s="1"/>
  <c r="CU192" i="8"/>
  <c r="I192" i="8" s="1"/>
  <c r="CV192" i="8"/>
  <c r="J192" i="8" s="1"/>
  <c r="CW192" i="8"/>
  <c r="K192" i="8" s="1"/>
  <c r="CX192" i="8"/>
  <c r="L192" i="8" s="1"/>
  <c r="CY192" i="8"/>
  <c r="M192" i="8" s="1"/>
  <c r="CT193" i="8"/>
  <c r="H193" i="8" s="1"/>
  <c r="CU193" i="8"/>
  <c r="I193" i="8" s="1"/>
  <c r="CV193" i="8"/>
  <c r="J193" i="8" s="1"/>
  <c r="CW193" i="8"/>
  <c r="K193" i="8" s="1"/>
  <c r="CX193" i="8"/>
  <c r="L193" i="8" s="1"/>
  <c r="CY193" i="8"/>
  <c r="M193" i="8" s="1"/>
  <c r="CT194" i="8"/>
  <c r="H194" i="8" s="1"/>
  <c r="CU194" i="8"/>
  <c r="I194" i="8" s="1"/>
  <c r="CV194" i="8"/>
  <c r="J194" i="8" s="1"/>
  <c r="CW194" i="8"/>
  <c r="K194" i="8" s="1"/>
  <c r="CX194" i="8"/>
  <c r="L194" i="8" s="1"/>
  <c r="CY194" i="8"/>
  <c r="M194" i="8" s="1"/>
  <c r="CT195" i="8"/>
  <c r="H195" i="8" s="1"/>
  <c r="CU195" i="8"/>
  <c r="I195" i="8" s="1"/>
  <c r="CV195" i="8"/>
  <c r="J195" i="8" s="1"/>
  <c r="CW195" i="8"/>
  <c r="K195" i="8" s="1"/>
  <c r="CX195" i="8"/>
  <c r="L195" i="8" s="1"/>
  <c r="CY195" i="8"/>
  <c r="M195" i="8" s="1"/>
  <c r="CT196" i="8"/>
  <c r="H196" i="8" s="1"/>
  <c r="CU196" i="8"/>
  <c r="I196" i="8" s="1"/>
  <c r="CV196" i="8"/>
  <c r="J196" i="8" s="1"/>
  <c r="CW196" i="8"/>
  <c r="K196" i="8" s="1"/>
  <c r="CX196" i="8"/>
  <c r="L196" i="8" s="1"/>
  <c r="CY196" i="8"/>
  <c r="M196" i="8" s="1"/>
  <c r="CT197" i="8"/>
  <c r="H197" i="8" s="1"/>
  <c r="CU197" i="8"/>
  <c r="I197" i="8" s="1"/>
  <c r="CV197" i="8"/>
  <c r="J197" i="8" s="1"/>
  <c r="CW197" i="8"/>
  <c r="K197" i="8" s="1"/>
  <c r="CX197" i="8"/>
  <c r="L197" i="8" s="1"/>
  <c r="CY197" i="8"/>
  <c r="M197" i="8" s="1"/>
  <c r="CT198" i="8"/>
  <c r="H198" i="8" s="1"/>
  <c r="CU198" i="8"/>
  <c r="I198" i="8" s="1"/>
  <c r="CV198" i="8"/>
  <c r="J198" i="8" s="1"/>
  <c r="CW198" i="8"/>
  <c r="K198" i="8" s="1"/>
  <c r="CX198" i="8"/>
  <c r="L198" i="8" s="1"/>
  <c r="CY198" i="8"/>
  <c r="M198" i="8" s="1"/>
  <c r="CT199" i="8"/>
  <c r="H199" i="8" s="1"/>
  <c r="CU199" i="8"/>
  <c r="I199" i="8" s="1"/>
  <c r="CV199" i="8"/>
  <c r="J199" i="8" s="1"/>
  <c r="CW199" i="8"/>
  <c r="K199" i="8" s="1"/>
  <c r="CX199" i="8"/>
  <c r="L199" i="8" s="1"/>
  <c r="CY199" i="8"/>
  <c r="M199" i="8" s="1"/>
  <c r="CT200" i="8"/>
  <c r="H200" i="8" s="1"/>
  <c r="CU200" i="8"/>
  <c r="I200" i="8" s="1"/>
  <c r="CV200" i="8"/>
  <c r="J200" i="8" s="1"/>
  <c r="CW200" i="8"/>
  <c r="K200" i="8" s="1"/>
  <c r="CX200" i="8"/>
  <c r="L200" i="8" s="1"/>
  <c r="CY200" i="8"/>
  <c r="M200" i="8" s="1"/>
  <c r="CT201" i="8"/>
  <c r="H201" i="8" s="1"/>
  <c r="CU201" i="8"/>
  <c r="I201" i="8" s="1"/>
  <c r="CV201" i="8"/>
  <c r="J201" i="8" s="1"/>
  <c r="CW201" i="8"/>
  <c r="K201" i="8" s="1"/>
  <c r="CX201" i="8"/>
  <c r="L201" i="8" s="1"/>
  <c r="CY201" i="8"/>
  <c r="M201" i="8" s="1"/>
  <c r="CT202" i="8"/>
  <c r="H202" i="8" s="1"/>
  <c r="CU202" i="8"/>
  <c r="I202" i="8" s="1"/>
  <c r="CV202" i="8"/>
  <c r="J202" i="8" s="1"/>
  <c r="CW202" i="8"/>
  <c r="K202" i="8" s="1"/>
  <c r="CX202" i="8"/>
  <c r="L202" i="8" s="1"/>
  <c r="CY202" i="8"/>
  <c r="M202" i="8" s="1"/>
  <c r="CT203" i="8"/>
  <c r="H203" i="8" s="1"/>
  <c r="CU203" i="8"/>
  <c r="I203" i="8" s="1"/>
  <c r="CV203" i="8"/>
  <c r="J203" i="8" s="1"/>
  <c r="CW203" i="8"/>
  <c r="K203" i="8" s="1"/>
  <c r="CX203" i="8"/>
  <c r="L203" i="8" s="1"/>
  <c r="CY203" i="8"/>
  <c r="M203" i="8" s="1"/>
  <c r="CT204" i="8"/>
  <c r="H204" i="8" s="1"/>
  <c r="CU204" i="8"/>
  <c r="I204" i="8" s="1"/>
  <c r="CV204" i="8"/>
  <c r="J204" i="8" s="1"/>
  <c r="CW204" i="8"/>
  <c r="K204" i="8" s="1"/>
  <c r="CX204" i="8"/>
  <c r="L204" i="8" s="1"/>
  <c r="CY204" i="8"/>
  <c r="M204" i="8" s="1"/>
  <c r="CT205" i="8"/>
  <c r="H205" i="8" s="1"/>
  <c r="CU205" i="8"/>
  <c r="I205" i="8" s="1"/>
  <c r="CV205" i="8"/>
  <c r="J205" i="8" s="1"/>
  <c r="CW205" i="8"/>
  <c r="K205" i="8" s="1"/>
  <c r="CX205" i="8"/>
  <c r="L205" i="8" s="1"/>
  <c r="CY205" i="8"/>
  <c r="M205" i="8" s="1"/>
  <c r="CT206" i="8"/>
  <c r="H206" i="8" s="1"/>
  <c r="CU206" i="8"/>
  <c r="I206" i="8" s="1"/>
  <c r="CV206" i="8"/>
  <c r="J206" i="8" s="1"/>
  <c r="CW206" i="8"/>
  <c r="K206" i="8" s="1"/>
  <c r="CX206" i="8"/>
  <c r="L206" i="8" s="1"/>
  <c r="CY206" i="8"/>
  <c r="M206" i="8" s="1"/>
  <c r="CT207" i="8"/>
  <c r="H207" i="8" s="1"/>
  <c r="CU207" i="8"/>
  <c r="I207" i="8" s="1"/>
  <c r="CV207" i="8"/>
  <c r="J207" i="8" s="1"/>
  <c r="CW207" i="8"/>
  <c r="K207" i="8" s="1"/>
  <c r="CX207" i="8"/>
  <c r="L207" i="8" s="1"/>
  <c r="CY207" i="8"/>
  <c r="M207" i="8" s="1"/>
  <c r="CT208" i="8"/>
  <c r="H208" i="8" s="1"/>
  <c r="CU208" i="8"/>
  <c r="I208" i="8" s="1"/>
  <c r="CV208" i="8"/>
  <c r="J208" i="8" s="1"/>
  <c r="CW208" i="8"/>
  <c r="K208" i="8" s="1"/>
  <c r="CX208" i="8"/>
  <c r="L208" i="8" s="1"/>
  <c r="CY208" i="8"/>
  <c r="M208" i="8" s="1"/>
  <c r="CT209" i="8"/>
  <c r="H209" i="8" s="1"/>
  <c r="CU209" i="8"/>
  <c r="I209" i="8" s="1"/>
  <c r="CV209" i="8"/>
  <c r="J209" i="8" s="1"/>
  <c r="CW209" i="8"/>
  <c r="K209" i="8" s="1"/>
  <c r="CX209" i="8"/>
  <c r="L209" i="8" s="1"/>
  <c r="CY209" i="8"/>
  <c r="M209" i="8" s="1"/>
  <c r="CT210" i="8"/>
  <c r="H210" i="8" s="1"/>
  <c r="CU210" i="8"/>
  <c r="I210" i="8" s="1"/>
  <c r="CV210" i="8"/>
  <c r="J210" i="8" s="1"/>
  <c r="CW210" i="8"/>
  <c r="K210" i="8" s="1"/>
  <c r="CX210" i="8"/>
  <c r="L210" i="8" s="1"/>
  <c r="CY210" i="8"/>
  <c r="M210" i="8" s="1"/>
  <c r="CT211" i="8"/>
  <c r="H211" i="8" s="1"/>
  <c r="CU211" i="8"/>
  <c r="I211" i="8" s="1"/>
  <c r="CV211" i="8"/>
  <c r="J211" i="8" s="1"/>
  <c r="CW211" i="8"/>
  <c r="K211" i="8" s="1"/>
  <c r="CX211" i="8"/>
  <c r="L211" i="8" s="1"/>
  <c r="CY211" i="8"/>
  <c r="M211" i="8" s="1"/>
  <c r="CT212" i="8"/>
  <c r="H212" i="8" s="1"/>
  <c r="CU212" i="8"/>
  <c r="I212" i="8" s="1"/>
  <c r="CV212" i="8"/>
  <c r="J212" i="8" s="1"/>
  <c r="CW212" i="8"/>
  <c r="K212" i="8" s="1"/>
  <c r="CX212" i="8"/>
  <c r="L212" i="8" s="1"/>
  <c r="CY212" i="8"/>
  <c r="M212" i="8" s="1"/>
  <c r="CT213" i="8"/>
  <c r="H213" i="8" s="1"/>
  <c r="CU213" i="8"/>
  <c r="I213" i="8" s="1"/>
  <c r="CV213" i="8"/>
  <c r="J213" i="8" s="1"/>
  <c r="CW213" i="8"/>
  <c r="K213" i="8" s="1"/>
  <c r="CX213" i="8"/>
  <c r="L213" i="8" s="1"/>
  <c r="CY213" i="8"/>
  <c r="M213" i="8" s="1"/>
  <c r="CT214" i="8"/>
  <c r="H214" i="8" s="1"/>
  <c r="CU214" i="8"/>
  <c r="I214" i="8" s="1"/>
  <c r="CV214" i="8"/>
  <c r="J214" i="8" s="1"/>
  <c r="CW214" i="8"/>
  <c r="K214" i="8" s="1"/>
  <c r="CX214" i="8"/>
  <c r="L214" i="8" s="1"/>
  <c r="CY214" i="8"/>
  <c r="M214" i="8" s="1"/>
  <c r="CT215" i="8"/>
  <c r="H215" i="8" s="1"/>
  <c r="CU215" i="8"/>
  <c r="I215" i="8" s="1"/>
  <c r="CV215" i="8"/>
  <c r="J215" i="8" s="1"/>
  <c r="CW215" i="8"/>
  <c r="K215" i="8" s="1"/>
  <c r="CX215" i="8"/>
  <c r="L215" i="8" s="1"/>
  <c r="CY215" i="8"/>
  <c r="M215" i="8" s="1"/>
  <c r="CT216" i="8"/>
  <c r="H216" i="8" s="1"/>
  <c r="CU216" i="8"/>
  <c r="I216" i="8" s="1"/>
  <c r="CV216" i="8"/>
  <c r="J216" i="8" s="1"/>
  <c r="CW216" i="8"/>
  <c r="K216" i="8" s="1"/>
  <c r="CX216" i="8"/>
  <c r="L216" i="8" s="1"/>
  <c r="CY216" i="8"/>
  <c r="M216" i="8" s="1"/>
  <c r="CT217" i="8"/>
  <c r="H217" i="8" s="1"/>
  <c r="CU217" i="8"/>
  <c r="I217" i="8" s="1"/>
  <c r="CV217" i="8"/>
  <c r="J217" i="8" s="1"/>
  <c r="CW217" i="8"/>
  <c r="K217" i="8" s="1"/>
  <c r="CX217" i="8"/>
  <c r="L217" i="8" s="1"/>
  <c r="CY217" i="8"/>
  <c r="M217" i="8" s="1"/>
  <c r="CT218" i="8"/>
  <c r="H218" i="8" s="1"/>
  <c r="CU218" i="8"/>
  <c r="I218" i="8" s="1"/>
  <c r="CV218" i="8"/>
  <c r="J218" i="8" s="1"/>
  <c r="CW218" i="8"/>
  <c r="K218" i="8" s="1"/>
  <c r="CX218" i="8"/>
  <c r="L218" i="8" s="1"/>
  <c r="CY218" i="8"/>
  <c r="M218" i="8" s="1"/>
  <c r="CT219" i="8"/>
  <c r="H219" i="8" s="1"/>
  <c r="CU219" i="8"/>
  <c r="I219" i="8" s="1"/>
  <c r="CV219" i="8"/>
  <c r="J219" i="8" s="1"/>
  <c r="CW219" i="8"/>
  <c r="K219" i="8" s="1"/>
  <c r="CX219" i="8"/>
  <c r="L219" i="8" s="1"/>
  <c r="CY219" i="8"/>
  <c r="M219" i="8" s="1"/>
  <c r="CT220" i="8"/>
  <c r="H220" i="8" s="1"/>
  <c r="CU220" i="8"/>
  <c r="I220" i="8" s="1"/>
  <c r="CV220" i="8"/>
  <c r="J220" i="8" s="1"/>
  <c r="CW220" i="8"/>
  <c r="K220" i="8" s="1"/>
  <c r="CX220" i="8"/>
  <c r="L220" i="8" s="1"/>
  <c r="CY220" i="8"/>
  <c r="M220" i="8" s="1"/>
  <c r="CT221" i="8"/>
  <c r="H221" i="8" s="1"/>
  <c r="CU221" i="8"/>
  <c r="I221" i="8" s="1"/>
  <c r="CV221" i="8"/>
  <c r="J221" i="8" s="1"/>
  <c r="CW221" i="8"/>
  <c r="K221" i="8" s="1"/>
  <c r="CX221" i="8"/>
  <c r="L221" i="8" s="1"/>
  <c r="CY221" i="8"/>
  <c r="M221" i="8" s="1"/>
  <c r="CT234" i="8"/>
  <c r="H234" i="8" s="1"/>
  <c r="CU234" i="8"/>
  <c r="I234" i="8" s="1"/>
  <c r="CV234" i="8"/>
  <c r="J234" i="8" s="1"/>
  <c r="CW234" i="8"/>
  <c r="K234" i="8" s="1"/>
  <c r="CX234" i="8"/>
  <c r="L234" i="8" s="1"/>
  <c r="CY234" i="8"/>
  <c r="M234" i="8" s="1"/>
  <c r="CT235" i="8"/>
  <c r="H235" i="8" s="1"/>
  <c r="CU235" i="8"/>
  <c r="I235" i="8" s="1"/>
  <c r="CV235" i="8"/>
  <c r="J235" i="8" s="1"/>
  <c r="CW235" i="8"/>
  <c r="K235" i="8" s="1"/>
  <c r="CX235" i="8"/>
  <c r="L235" i="8" s="1"/>
  <c r="CY235" i="8"/>
  <c r="M235" i="8" s="1"/>
  <c r="CT236" i="8"/>
  <c r="H236" i="8" s="1"/>
  <c r="CU236" i="8"/>
  <c r="I236" i="8" s="1"/>
  <c r="CV236" i="8"/>
  <c r="J236" i="8" s="1"/>
  <c r="CW236" i="8"/>
  <c r="K236" i="8" s="1"/>
  <c r="CX236" i="8"/>
  <c r="L236" i="8" s="1"/>
  <c r="CY236" i="8"/>
  <c r="M236" i="8" s="1"/>
  <c r="CT237" i="8"/>
  <c r="H237" i="8" s="1"/>
  <c r="CU237" i="8"/>
  <c r="I237" i="8" s="1"/>
  <c r="CV237" i="8"/>
  <c r="J237" i="8" s="1"/>
  <c r="CW237" i="8"/>
  <c r="K237" i="8" s="1"/>
  <c r="CX237" i="8"/>
  <c r="L237" i="8" s="1"/>
  <c r="CY237" i="8"/>
  <c r="M237" i="8" s="1"/>
  <c r="CT238" i="8"/>
  <c r="H238" i="8" s="1"/>
  <c r="CU238" i="8"/>
  <c r="I238" i="8" s="1"/>
  <c r="CV238" i="8"/>
  <c r="J238" i="8" s="1"/>
  <c r="CW238" i="8"/>
  <c r="K238" i="8" s="1"/>
  <c r="CX238" i="8"/>
  <c r="L238" i="8" s="1"/>
  <c r="CY238" i="8"/>
  <c r="M238" i="8" s="1"/>
  <c r="CT239" i="8"/>
  <c r="H239" i="8" s="1"/>
  <c r="CU239" i="8"/>
  <c r="I239" i="8" s="1"/>
  <c r="CV239" i="8"/>
  <c r="J239" i="8" s="1"/>
  <c r="CW239" i="8"/>
  <c r="K239" i="8" s="1"/>
  <c r="CX239" i="8"/>
  <c r="L239" i="8" s="1"/>
  <c r="CY239" i="8"/>
  <c r="M239" i="8" s="1"/>
  <c r="CT240" i="8"/>
  <c r="H240" i="8" s="1"/>
  <c r="CU240" i="8"/>
  <c r="I240" i="8" s="1"/>
  <c r="CV240" i="8"/>
  <c r="J240" i="8" s="1"/>
  <c r="CW240" i="8"/>
  <c r="K240" i="8" s="1"/>
  <c r="CX240" i="8"/>
  <c r="L240" i="8" s="1"/>
  <c r="CY240" i="8"/>
  <c r="M240" i="8" s="1"/>
  <c r="CT241" i="8"/>
  <c r="H241" i="8" s="1"/>
  <c r="CU241" i="8"/>
  <c r="I241" i="8" s="1"/>
  <c r="CV241" i="8"/>
  <c r="J241" i="8" s="1"/>
  <c r="CW241" i="8"/>
  <c r="K241" i="8" s="1"/>
  <c r="CX241" i="8"/>
  <c r="L241" i="8" s="1"/>
  <c r="CY241" i="8"/>
  <c r="M241" i="8" s="1"/>
  <c r="CT242" i="8"/>
  <c r="H242" i="8" s="1"/>
  <c r="CU242" i="8"/>
  <c r="I242" i="8" s="1"/>
  <c r="CV242" i="8"/>
  <c r="J242" i="8" s="1"/>
  <c r="CW242" i="8"/>
  <c r="K242" i="8" s="1"/>
  <c r="CX242" i="8"/>
  <c r="L242" i="8" s="1"/>
  <c r="CY242" i="8"/>
  <c r="M242" i="8" s="1"/>
  <c r="CT243" i="8"/>
  <c r="H243" i="8" s="1"/>
  <c r="CU243" i="8"/>
  <c r="I243" i="8" s="1"/>
  <c r="CV243" i="8"/>
  <c r="J243" i="8" s="1"/>
  <c r="CW243" i="8"/>
  <c r="K243" i="8" s="1"/>
  <c r="CX243" i="8"/>
  <c r="L243" i="8" s="1"/>
  <c r="CY243" i="8"/>
  <c r="M243" i="8" s="1"/>
  <c r="CT244" i="8"/>
  <c r="H244" i="8" s="1"/>
  <c r="CU244" i="8"/>
  <c r="I244" i="8" s="1"/>
  <c r="CV244" i="8"/>
  <c r="J244" i="8" s="1"/>
  <c r="CW244" i="8"/>
  <c r="K244" i="8" s="1"/>
  <c r="CX244" i="8"/>
  <c r="L244" i="8" s="1"/>
  <c r="CY244" i="8"/>
  <c r="M244" i="8" s="1"/>
  <c r="CT245" i="8"/>
  <c r="H245" i="8" s="1"/>
  <c r="CU245" i="8"/>
  <c r="I245" i="8" s="1"/>
  <c r="CV245" i="8"/>
  <c r="J245" i="8" s="1"/>
  <c r="CW245" i="8"/>
  <c r="K245" i="8" s="1"/>
  <c r="CX245" i="8"/>
  <c r="L245" i="8" s="1"/>
  <c r="CY245" i="8"/>
  <c r="M245" i="8" s="1"/>
  <c r="CT246" i="8"/>
  <c r="H246" i="8" s="1"/>
  <c r="CU246" i="8"/>
  <c r="I246" i="8" s="1"/>
  <c r="CV246" i="8"/>
  <c r="J246" i="8" s="1"/>
  <c r="CW246" i="8"/>
  <c r="K246" i="8" s="1"/>
  <c r="CX246" i="8"/>
  <c r="L246" i="8" s="1"/>
  <c r="CY246" i="8"/>
  <c r="M246" i="8" s="1"/>
  <c r="CT247" i="8"/>
  <c r="H247" i="8" s="1"/>
  <c r="CU247" i="8"/>
  <c r="I247" i="8" s="1"/>
  <c r="CV247" i="8"/>
  <c r="J247" i="8" s="1"/>
  <c r="CW247" i="8"/>
  <c r="K247" i="8" s="1"/>
  <c r="CX247" i="8"/>
  <c r="L247" i="8" s="1"/>
  <c r="CY247" i="8"/>
  <c r="M247" i="8" s="1"/>
  <c r="CT248" i="8"/>
  <c r="H248" i="8" s="1"/>
  <c r="CU248" i="8"/>
  <c r="I248" i="8" s="1"/>
  <c r="CV248" i="8"/>
  <c r="J248" i="8" s="1"/>
  <c r="CW248" i="8"/>
  <c r="K248" i="8" s="1"/>
  <c r="CX248" i="8"/>
  <c r="L248" i="8" s="1"/>
  <c r="CY248" i="8"/>
  <c r="M248" i="8" s="1"/>
  <c r="CT249" i="8"/>
  <c r="H249" i="8" s="1"/>
  <c r="CU249" i="8"/>
  <c r="I249" i="8" s="1"/>
  <c r="CV249" i="8"/>
  <c r="J249" i="8" s="1"/>
  <c r="CW249" i="8"/>
  <c r="K249" i="8" s="1"/>
  <c r="CX249" i="8"/>
  <c r="L249" i="8" s="1"/>
  <c r="CY249" i="8"/>
  <c r="M249" i="8" s="1"/>
  <c r="CT250" i="8"/>
  <c r="H250" i="8" s="1"/>
  <c r="CU250" i="8"/>
  <c r="I250" i="8" s="1"/>
  <c r="CV250" i="8"/>
  <c r="J250" i="8" s="1"/>
  <c r="CW250" i="8"/>
  <c r="K250" i="8" s="1"/>
  <c r="CX250" i="8"/>
  <c r="L250" i="8" s="1"/>
  <c r="CY250" i="8"/>
  <c r="M250" i="8" s="1"/>
  <c r="CT251" i="8"/>
  <c r="H251" i="8" s="1"/>
  <c r="CU251" i="8"/>
  <c r="I251" i="8" s="1"/>
  <c r="CV251" i="8"/>
  <c r="J251" i="8" s="1"/>
  <c r="CW251" i="8"/>
  <c r="K251" i="8" s="1"/>
  <c r="CX251" i="8"/>
  <c r="L251" i="8" s="1"/>
  <c r="CY251" i="8"/>
  <c r="M251" i="8" s="1"/>
  <c r="CT252" i="8"/>
  <c r="H252" i="8" s="1"/>
  <c r="CU252" i="8"/>
  <c r="I252" i="8" s="1"/>
  <c r="CV252" i="8"/>
  <c r="J252" i="8" s="1"/>
  <c r="CW252" i="8"/>
  <c r="K252" i="8" s="1"/>
  <c r="CX252" i="8"/>
  <c r="L252" i="8" s="1"/>
  <c r="CY252" i="8"/>
  <c r="M252" i="8" s="1"/>
  <c r="CT253" i="8"/>
  <c r="H253" i="8" s="1"/>
  <c r="CU253" i="8"/>
  <c r="I253" i="8" s="1"/>
  <c r="CV253" i="8"/>
  <c r="J253" i="8" s="1"/>
  <c r="CW253" i="8"/>
  <c r="K253" i="8" s="1"/>
  <c r="CX253" i="8"/>
  <c r="L253" i="8" s="1"/>
  <c r="CY253" i="8"/>
  <c r="M253" i="8" s="1"/>
  <c r="CT254" i="8"/>
  <c r="H254" i="8" s="1"/>
  <c r="CU254" i="8"/>
  <c r="I254" i="8" s="1"/>
  <c r="CV254" i="8"/>
  <c r="J254" i="8" s="1"/>
  <c r="CW254" i="8"/>
  <c r="K254" i="8" s="1"/>
  <c r="CX254" i="8"/>
  <c r="L254" i="8" s="1"/>
  <c r="CY254" i="8"/>
  <c r="M254" i="8" s="1"/>
  <c r="CT255" i="8"/>
  <c r="H255" i="8" s="1"/>
  <c r="CU255" i="8"/>
  <c r="I255" i="8" s="1"/>
  <c r="CV255" i="8"/>
  <c r="J255" i="8" s="1"/>
  <c r="CW255" i="8"/>
  <c r="K255" i="8" s="1"/>
  <c r="CX255" i="8"/>
  <c r="L255" i="8" s="1"/>
  <c r="CY255" i="8"/>
  <c r="M255" i="8" s="1"/>
  <c r="CT256" i="8"/>
  <c r="H256" i="8" s="1"/>
  <c r="CU256" i="8"/>
  <c r="I256" i="8" s="1"/>
  <c r="CV256" i="8"/>
  <c r="J256" i="8" s="1"/>
  <c r="CW256" i="8"/>
  <c r="K256" i="8" s="1"/>
  <c r="CX256" i="8"/>
  <c r="L256" i="8" s="1"/>
  <c r="CY256" i="8"/>
  <c r="M256" i="8" s="1"/>
  <c r="CT257" i="8"/>
  <c r="H257" i="8" s="1"/>
  <c r="CU257" i="8"/>
  <c r="I257" i="8" s="1"/>
  <c r="CV257" i="8"/>
  <c r="J257" i="8" s="1"/>
  <c r="CW257" i="8"/>
  <c r="K257" i="8" s="1"/>
  <c r="CX257" i="8"/>
  <c r="L257" i="8" s="1"/>
  <c r="CY257" i="8"/>
  <c r="M257" i="8" s="1"/>
  <c r="CT258" i="8"/>
  <c r="H258" i="8" s="1"/>
  <c r="CU258" i="8"/>
  <c r="I258" i="8" s="1"/>
  <c r="CV258" i="8"/>
  <c r="J258" i="8" s="1"/>
  <c r="CW258" i="8"/>
  <c r="K258" i="8" s="1"/>
  <c r="CX258" i="8"/>
  <c r="L258" i="8" s="1"/>
  <c r="CY258" i="8"/>
  <c r="M258" i="8" s="1"/>
  <c r="CT259" i="8"/>
  <c r="H259" i="8" s="1"/>
  <c r="CU259" i="8"/>
  <c r="I259" i="8" s="1"/>
  <c r="CV259" i="8"/>
  <c r="J259" i="8" s="1"/>
  <c r="CW259" i="8"/>
  <c r="K259" i="8" s="1"/>
  <c r="CX259" i="8"/>
  <c r="L259" i="8" s="1"/>
  <c r="CY259" i="8"/>
  <c r="M259" i="8" s="1"/>
  <c r="CT260" i="8"/>
  <c r="H260" i="8" s="1"/>
  <c r="CU260" i="8"/>
  <c r="I260" i="8" s="1"/>
  <c r="CV260" i="8"/>
  <c r="J260" i="8" s="1"/>
  <c r="CW260" i="8"/>
  <c r="K260" i="8" s="1"/>
  <c r="CX260" i="8"/>
  <c r="L260" i="8" s="1"/>
  <c r="CY260" i="8"/>
  <c r="M260" i="8" s="1"/>
  <c r="CT261" i="8"/>
  <c r="H261" i="8" s="1"/>
  <c r="CU261" i="8"/>
  <c r="I261" i="8" s="1"/>
  <c r="CV261" i="8"/>
  <c r="J261" i="8" s="1"/>
  <c r="CW261" i="8"/>
  <c r="K261" i="8" s="1"/>
  <c r="CX261" i="8"/>
  <c r="L261" i="8" s="1"/>
  <c r="CY261" i="8"/>
  <c r="M261" i="8" s="1"/>
  <c r="CT262" i="8"/>
  <c r="H262" i="8" s="1"/>
  <c r="CU262" i="8"/>
  <c r="I262" i="8" s="1"/>
  <c r="CV262" i="8"/>
  <c r="J262" i="8" s="1"/>
  <c r="CW262" i="8"/>
  <c r="K262" i="8" s="1"/>
  <c r="CX262" i="8"/>
  <c r="L262" i="8" s="1"/>
  <c r="CY262" i="8"/>
  <c r="M262" i="8" s="1"/>
  <c r="CT263" i="8"/>
  <c r="H263" i="8" s="1"/>
  <c r="CU263" i="8"/>
  <c r="I263" i="8" s="1"/>
  <c r="CV263" i="8"/>
  <c r="J263" i="8" s="1"/>
  <c r="CW263" i="8"/>
  <c r="K263" i="8" s="1"/>
  <c r="CX263" i="8"/>
  <c r="L263" i="8" s="1"/>
  <c r="CY263" i="8"/>
  <c r="M263" i="8" s="1"/>
  <c r="CT264" i="8"/>
  <c r="H264" i="8" s="1"/>
  <c r="CU264" i="8"/>
  <c r="I264" i="8" s="1"/>
  <c r="CV264" i="8"/>
  <c r="J264" i="8" s="1"/>
  <c r="CW264" i="8"/>
  <c r="K264" i="8" s="1"/>
  <c r="CX264" i="8"/>
  <c r="L264" i="8" s="1"/>
  <c r="CY264" i="8"/>
  <c r="M264" i="8" s="1"/>
  <c r="CT265" i="8"/>
  <c r="H265" i="8" s="1"/>
  <c r="CU265" i="8"/>
  <c r="I265" i="8" s="1"/>
  <c r="CV265" i="8"/>
  <c r="J265" i="8" s="1"/>
  <c r="CW265" i="8"/>
  <c r="K265" i="8" s="1"/>
  <c r="CX265" i="8"/>
  <c r="L265" i="8" s="1"/>
  <c r="CY265" i="8"/>
  <c r="M265" i="8" s="1"/>
  <c r="CT266" i="8"/>
  <c r="H266" i="8" s="1"/>
  <c r="CU266" i="8"/>
  <c r="I266" i="8" s="1"/>
  <c r="CV266" i="8"/>
  <c r="J266" i="8" s="1"/>
  <c r="CW266" i="8"/>
  <c r="K266" i="8" s="1"/>
  <c r="CX266" i="8"/>
  <c r="L266" i="8" s="1"/>
  <c r="CY266" i="8"/>
  <c r="M266" i="8" s="1"/>
  <c r="CT267" i="8"/>
  <c r="H267" i="8" s="1"/>
  <c r="CU267" i="8"/>
  <c r="I267" i="8" s="1"/>
  <c r="CV267" i="8"/>
  <c r="J267" i="8" s="1"/>
  <c r="CW267" i="8"/>
  <c r="K267" i="8" s="1"/>
  <c r="CX267" i="8"/>
  <c r="L267" i="8" s="1"/>
  <c r="CY267" i="8"/>
  <c r="M267" i="8" s="1"/>
  <c r="CT268" i="8"/>
  <c r="H268" i="8" s="1"/>
  <c r="CU268" i="8"/>
  <c r="I268" i="8" s="1"/>
  <c r="CV268" i="8"/>
  <c r="J268" i="8" s="1"/>
  <c r="CW268" i="8"/>
  <c r="K268" i="8" s="1"/>
  <c r="CX268" i="8"/>
  <c r="L268" i="8" s="1"/>
  <c r="CY268" i="8"/>
  <c r="M268" i="8" s="1"/>
  <c r="CT269" i="8"/>
  <c r="H269" i="8" s="1"/>
  <c r="CU269" i="8"/>
  <c r="I269" i="8" s="1"/>
  <c r="CV269" i="8"/>
  <c r="J269" i="8" s="1"/>
  <c r="CW269" i="8"/>
  <c r="K269" i="8" s="1"/>
  <c r="CX269" i="8"/>
  <c r="L269" i="8" s="1"/>
  <c r="CY269" i="8"/>
  <c r="M269" i="8" s="1"/>
  <c r="CT270" i="8"/>
  <c r="H270" i="8" s="1"/>
  <c r="CU270" i="8"/>
  <c r="I270" i="8" s="1"/>
  <c r="CV270" i="8"/>
  <c r="J270" i="8" s="1"/>
  <c r="CW270" i="8"/>
  <c r="K270" i="8" s="1"/>
  <c r="CX270" i="8"/>
  <c r="L270" i="8" s="1"/>
  <c r="CY270" i="8"/>
  <c r="M270" i="8" s="1"/>
  <c r="CT271" i="8"/>
  <c r="H271" i="8" s="1"/>
  <c r="CU271" i="8"/>
  <c r="I271" i="8" s="1"/>
  <c r="CV271" i="8"/>
  <c r="J271" i="8" s="1"/>
  <c r="CW271" i="8"/>
  <c r="K271" i="8" s="1"/>
  <c r="CX271" i="8"/>
  <c r="L271" i="8" s="1"/>
  <c r="CY271" i="8"/>
  <c r="M271" i="8" s="1"/>
  <c r="CT272" i="8"/>
  <c r="H272" i="8" s="1"/>
  <c r="CU272" i="8"/>
  <c r="I272" i="8" s="1"/>
  <c r="CV272" i="8"/>
  <c r="J272" i="8" s="1"/>
  <c r="CW272" i="8"/>
  <c r="K272" i="8" s="1"/>
  <c r="CX272" i="8"/>
  <c r="L272" i="8" s="1"/>
  <c r="CY272" i="8"/>
  <c r="M272" i="8" s="1"/>
  <c r="CT273" i="8"/>
  <c r="H273" i="8" s="1"/>
  <c r="CU273" i="8"/>
  <c r="I273" i="8" s="1"/>
  <c r="CV273" i="8"/>
  <c r="J273" i="8" s="1"/>
  <c r="CW273" i="8"/>
  <c r="K273" i="8" s="1"/>
  <c r="CX273" i="8"/>
  <c r="L273" i="8" s="1"/>
  <c r="CY273" i="8"/>
  <c r="M273" i="8" s="1"/>
  <c r="CT274" i="8"/>
  <c r="H274" i="8" s="1"/>
  <c r="CU274" i="8"/>
  <c r="I274" i="8" s="1"/>
  <c r="CV274" i="8"/>
  <c r="J274" i="8" s="1"/>
  <c r="CW274" i="8"/>
  <c r="K274" i="8" s="1"/>
  <c r="CX274" i="8"/>
  <c r="L274" i="8" s="1"/>
  <c r="CY274" i="8"/>
  <c r="M274" i="8" s="1"/>
  <c r="CT275" i="8"/>
  <c r="H275" i="8" s="1"/>
  <c r="CU275" i="8"/>
  <c r="I275" i="8" s="1"/>
  <c r="CV275" i="8"/>
  <c r="J275" i="8" s="1"/>
  <c r="CW275" i="8"/>
  <c r="K275" i="8" s="1"/>
  <c r="CX275" i="8"/>
  <c r="L275" i="8" s="1"/>
  <c r="CY275" i="8"/>
  <c r="M275" i="8" s="1"/>
  <c r="CT276" i="8"/>
  <c r="H276" i="8" s="1"/>
  <c r="CU276" i="8"/>
  <c r="I276" i="8" s="1"/>
  <c r="CV276" i="8"/>
  <c r="J276" i="8" s="1"/>
  <c r="CW276" i="8"/>
  <c r="K276" i="8" s="1"/>
  <c r="CX276" i="8"/>
  <c r="L276" i="8" s="1"/>
  <c r="CY276" i="8"/>
  <c r="M276" i="8" s="1"/>
  <c r="CT277" i="8"/>
  <c r="H277" i="8" s="1"/>
  <c r="CU277" i="8"/>
  <c r="I277" i="8" s="1"/>
  <c r="CV277" i="8"/>
  <c r="J277" i="8" s="1"/>
  <c r="CW277" i="8"/>
  <c r="K277" i="8" s="1"/>
  <c r="CX277" i="8"/>
  <c r="L277" i="8" s="1"/>
  <c r="CY277" i="8"/>
  <c r="M277" i="8" s="1"/>
  <c r="CT278" i="8"/>
  <c r="H278" i="8" s="1"/>
  <c r="CU278" i="8"/>
  <c r="I278" i="8" s="1"/>
  <c r="CV278" i="8"/>
  <c r="J278" i="8" s="1"/>
  <c r="CW278" i="8"/>
  <c r="K278" i="8" s="1"/>
  <c r="CX278" i="8"/>
  <c r="L278" i="8" s="1"/>
  <c r="CY278" i="8"/>
  <c r="M278" i="8" s="1"/>
  <c r="CT279" i="8"/>
  <c r="H279" i="8" s="1"/>
  <c r="CU279" i="8"/>
  <c r="I279" i="8" s="1"/>
  <c r="CV279" i="8"/>
  <c r="J279" i="8" s="1"/>
  <c r="CW279" i="8"/>
  <c r="K279" i="8" s="1"/>
  <c r="CX279" i="8"/>
  <c r="L279" i="8" s="1"/>
  <c r="CY279" i="8"/>
  <c r="M279" i="8" s="1"/>
  <c r="CT280" i="8"/>
  <c r="H280" i="8" s="1"/>
  <c r="CU280" i="8"/>
  <c r="I280" i="8" s="1"/>
  <c r="CV280" i="8"/>
  <c r="J280" i="8" s="1"/>
  <c r="CW280" i="8"/>
  <c r="K280" i="8" s="1"/>
  <c r="CX280" i="8"/>
  <c r="L280" i="8" s="1"/>
  <c r="CY280" i="8"/>
  <c r="M280" i="8" s="1"/>
  <c r="CT281" i="8"/>
  <c r="H281" i="8" s="1"/>
  <c r="CU281" i="8"/>
  <c r="I281" i="8" s="1"/>
  <c r="CV281" i="8"/>
  <c r="J281" i="8" s="1"/>
  <c r="CW281" i="8"/>
  <c r="K281" i="8" s="1"/>
  <c r="CX281" i="8"/>
  <c r="L281" i="8" s="1"/>
  <c r="CY281" i="8"/>
  <c r="M281" i="8" s="1"/>
  <c r="CT282" i="8"/>
  <c r="H282" i="8" s="1"/>
  <c r="CU282" i="8"/>
  <c r="I282" i="8" s="1"/>
  <c r="CV282" i="8"/>
  <c r="J282" i="8" s="1"/>
  <c r="CW282" i="8"/>
  <c r="K282" i="8" s="1"/>
  <c r="CX282" i="8"/>
  <c r="L282" i="8" s="1"/>
  <c r="CY282" i="8"/>
  <c r="M282" i="8" s="1"/>
  <c r="CT283" i="8"/>
  <c r="H283" i="8" s="1"/>
  <c r="CU283" i="8"/>
  <c r="I283" i="8" s="1"/>
  <c r="CV283" i="8"/>
  <c r="J283" i="8" s="1"/>
  <c r="CW283" i="8"/>
  <c r="K283" i="8" s="1"/>
  <c r="CX283" i="8"/>
  <c r="L283" i="8" s="1"/>
  <c r="CY283" i="8"/>
  <c r="M283" i="8" s="1"/>
  <c r="CT284" i="8"/>
  <c r="H284" i="8" s="1"/>
  <c r="CU284" i="8"/>
  <c r="I284" i="8" s="1"/>
  <c r="CV284" i="8"/>
  <c r="J284" i="8" s="1"/>
  <c r="CW284" i="8"/>
  <c r="K284" i="8" s="1"/>
  <c r="CX284" i="8"/>
  <c r="L284" i="8" s="1"/>
  <c r="CY284" i="8"/>
  <c r="M284" i="8" s="1"/>
  <c r="CT285" i="8"/>
  <c r="H285" i="8" s="1"/>
  <c r="CU285" i="8"/>
  <c r="I285" i="8" s="1"/>
  <c r="CV285" i="8"/>
  <c r="J285" i="8" s="1"/>
  <c r="CW285" i="8"/>
  <c r="K285" i="8" s="1"/>
  <c r="CX285" i="8"/>
  <c r="L285" i="8" s="1"/>
  <c r="CY285" i="8"/>
  <c r="M285" i="8" s="1"/>
  <c r="CT286" i="8"/>
  <c r="H286" i="8" s="1"/>
  <c r="CU286" i="8"/>
  <c r="I286" i="8" s="1"/>
  <c r="CV286" i="8"/>
  <c r="J286" i="8" s="1"/>
  <c r="CW286" i="8"/>
  <c r="K286" i="8" s="1"/>
  <c r="CX286" i="8"/>
  <c r="L286" i="8" s="1"/>
  <c r="CY286" i="8"/>
  <c r="M286" i="8" s="1"/>
  <c r="CT287" i="8"/>
  <c r="H287" i="8" s="1"/>
  <c r="CU287" i="8"/>
  <c r="I287" i="8" s="1"/>
  <c r="CV287" i="8"/>
  <c r="J287" i="8" s="1"/>
  <c r="CW287" i="8"/>
  <c r="K287" i="8" s="1"/>
  <c r="CX287" i="8"/>
  <c r="L287" i="8" s="1"/>
  <c r="CY287" i="8"/>
  <c r="M287" i="8" s="1"/>
  <c r="CT288" i="8"/>
  <c r="H288" i="8" s="1"/>
  <c r="CU288" i="8"/>
  <c r="I288" i="8" s="1"/>
  <c r="CV288" i="8"/>
  <c r="J288" i="8" s="1"/>
  <c r="CW288" i="8"/>
  <c r="K288" i="8" s="1"/>
  <c r="CX288" i="8"/>
  <c r="L288" i="8" s="1"/>
  <c r="CY288" i="8"/>
  <c r="M288" i="8" s="1"/>
  <c r="CT289" i="8"/>
  <c r="H289" i="8" s="1"/>
  <c r="CU289" i="8"/>
  <c r="I289" i="8" s="1"/>
  <c r="CV289" i="8"/>
  <c r="J289" i="8" s="1"/>
  <c r="CW289" i="8"/>
  <c r="K289" i="8" s="1"/>
  <c r="CX289" i="8"/>
  <c r="L289" i="8" s="1"/>
  <c r="CY289" i="8"/>
  <c r="M289" i="8" s="1"/>
  <c r="CT290" i="8"/>
  <c r="H290" i="8" s="1"/>
  <c r="CU290" i="8"/>
  <c r="I290" i="8" s="1"/>
  <c r="CV290" i="8"/>
  <c r="J290" i="8" s="1"/>
  <c r="CW290" i="8"/>
  <c r="K290" i="8" s="1"/>
  <c r="CX290" i="8"/>
  <c r="L290" i="8" s="1"/>
  <c r="CY290" i="8"/>
  <c r="M290" i="8" s="1"/>
  <c r="CT291" i="8"/>
  <c r="H291" i="8" s="1"/>
  <c r="CU291" i="8"/>
  <c r="I291" i="8" s="1"/>
  <c r="CV291" i="8"/>
  <c r="J291" i="8" s="1"/>
  <c r="CW291" i="8"/>
  <c r="K291" i="8" s="1"/>
  <c r="CX291" i="8"/>
  <c r="L291" i="8" s="1"/>
  <c r="CY291" i="8"/>
  <c r="M291" i="8" s="1"/>
  <c r="CT292" i="8"/>
  <c r="H292" i="8" s="1"/>
  <c r="CU292" i="8"/>
  <c r="I292" i="8" s="1"/>
  <c r="CV292" i="8"/>
  <c r="J292" i="8" s="1"/>
  <c r="CW292" i="8"/>
  <c r="K292" i="8" s="1"/>
  <c r="CX292" i="8"/>
  <c r="L292" i="8" s="1"/>
  <c r="CY292" i="8"/>
  <c r="M292" i="8" s="1"/>
  <c r="CT293" i="8"/>
  <c r="H293" i="8" s="1"/>
  <c r="CU293" i="8"/>
  <c r="I293" i="8" s="1"/>
  <c r="CV293" i="8"/>
  <c r="J293" i="8" s="1"/>
  <c r="CW293" i="8"/>
  <c r="K293" i="8" s="1"/>
  <c r="CX293" i="8"/>
  <c r="L293" i="8" s="1"/>
  <c r="CY293" i="8"/>
  <c r="M293" i="8" s="1"/>
  <c r="CT294" i="8"/>
  <c r="H294" i="8" s="1"/>
  <c r="CU294" i="8"/>
  <c r="I294" i="8" s="1"/>
  <c r="CV294" i="8"/>
  <c r="J294" i="8" s="1"/>
  <c r="CW294" i="8"/>
  <c r="K294" i="8" s="1"/>
  <c r="CX294" i="8"/>
  <c r="L294" i="8" s="1"/>
  <c r="CY294" i="8"/>
  <c r="M294" i="8" s="1"/>
  <c r="CT295" i="8"/>
  <c r="H295" i="8" s="1"/>
  <c r="CU295" i="8"/>
  <c r="I295" i="8" s="1"/>
  <c r="CV295" i="8"/>
  <c r="J295" i="8" s="1"/>
  <c r="CW295" i="8"/>
  <c r="K295" i="8" s="1"/>
  <c r="CX295" i="8"/>
  <c r="L295" i="8" s="1"/>
  <c r="CY295" i="8"/>
  <c r="M295" i="8" s="1"/>
  <c r="CT296" i="8"/>
  <c r="H296" i="8" s="1"/>
  <c r="CU296" i="8"/>
  <c r="I296" i="8" s="1"/>
  <c r="CV296" i="8"/>
  <c r="J296" i="8" s="1"/>
  <c r="CW296" i="8"/>
  <c r="K296" i="8" s="1"/>
  <c r="CX296" i="8"/>
  <c r="L296" i="8" s="1"/>
  <c r="CY296" i="8"/>
  <c r="M296" i="8" s="1"/>
  <c r="CT297" i="8"/>
  <c r="H297" i="8" s="1"/>
  <c r="CU297" i="8"/>
  <c r="I297" i="8" s="1"/>
  <c r="CV297" i="8"/>
  <c r="J297" i="8" s="1"/>
  <c r="CW297" i="8"/>
  <c r="K297" i="8" s="1"/>
  <c r="CX297" i="8"/>
  <c r="L297" i="8" s="1"/>
  <c r="CY297" i="8"/>
  <c r="M297" i="8" s="1"/>
  <c r="CT298" i="8"/>
  <c r="H298" i="8" s="1"/>
  <c r="CU298" i="8"/>
  <c r="I298" i="8" s="1"/>
  <c r="CV298" i="8"/>
  <c r="J298" i="8" s="1"/>
  <c r="CW298" i="8"/>
  <c r="K298" i="8" s="1"/>
  <c r="CX298" i="8"/>
  <c r="L298" i="8" s="1"/>
  <c r="CY298" i="8"/>
  <c r="M298" i="8" s="1"/>
  <c r="CT299" i="8"/>
  <c r="H299" i="8" s="1"/>
  <c r="CU299" i="8"/>
  <c r="I299" i="8" s="1"/>
  <c r="CV299" i="8"/>
  <c r="J299" i="8" s="1"/>
  <c r="CW299" i="8"/>
  <c r="K299" i="8" s="1"/>
  <c r="CX299" i="8"/>
  <c r="L299" i="8" s="1"/>
  <c r="CY299" i="8"/>
  <c r="M299" i="8" s="1"/>
  <c r="CT300" i="8"/>
  <c r="H300" i="8" s="1"/>
  <c r="CU300" i="8"/>
  <c r="I300" i="8" s="1"/>
  <c r="CV300" i="8"/>
  <c r="J300" i="8" s="1"/>
  <c r="CW300" i="8"/>
  <c r="K300" i="8" s="1"/>
  <c r="CX300" i="8"/>
  <c r="L300" i="8" s="1"/>
  <c r="CY300" i="8"/>
  <c r="M300" i="8" s="1"/>
  <c r="CT301" i="8"/>
  <c r="H301" i="8" s="1"/>
  <c r="CU301" i="8"/>
  <c r="I301" i="8" s="1"/>
  <c r="CV301" i="8"/>
  <c r="J301" i="8" s="1"/>
  <c r="CW301" i="8"/>
  <c r="K301" i="8" s="1"/>
  <c r="CX301" i="8"/>
  <c r="L301" i="8" s="1"/>
  <c r="CY301" i="8"/>
  <c r="M301" i="8" s="1"/>
  <c r="CT302" i="8"/>
  <c r="H302" i="8" s="1"/>
  <c r="CU302" i="8"/>
  <c r="I302" i="8" s="1"/>
  <c r="CV302" i="8"/>
  <c r="J302" i="8" s="1"/>
  <c r="CW302" i="8"/>
  <c r="K302" i="8" s="1"/>
  <c r="CX302" i="8"/>
  <c r="L302" i="8" s="1"/>
  <c r="CY302" i="8"/>
  <c r="M302" i="8" s="1"/>
  <c r="CT303" i="8"/>
  <c r="H303" i="8" s="1"/>
  <c r="CU303" i="8"/>
  <c r="I303" i="8" s="1"/>
  <c r="CV303" i="8"/>
  <c r="J303" i="8" s="1"/>
  <c r="CW303" i="8"/>
  <c r="K303" i="8" s="1"/>
  <c r="CX303" i="8"/>
  <c r="L303" i="8" s="1"/>
  <c r="CY303" i="8"/>
  <c r="M303" i="8" s="1"/>
  <c r="CT304" i="8"/>
  <c r="H304" i="8" s="1"/>
  <c r="CU304" i="8"/>
  <c r="I304" i="8" s="1"/>
  <c r="CV304" i="8"/>
  <c r="J304" i="8" s="1"/>
  <c r="CW304" i="8"/>
  <c r="K304" i="8" s="1"/>
  <c r="CX304" i="8"/>
  <c r="L304" i="8" s="1"/>
  <c r="CY304" i="8"/>
  <c r="M304" i="8" s="1"/>
  <c r="CT305" i="8"/>
  <c r="H305" i="8" s="1"/>
  <c r="CU305" i="8"/>
  <c r="I305" i="8" s="1"/>
  <c r="CV305" i="8"/>
  <c r="J305" i="8" s="1"/>
  <c r="CW305" i="8"/>
  <c r="K305" i="8" s="1"/>
  <c r="CX305" i="8"/>
  <c r="L305" i="8" s="1"/>
  <c r="CY305" i="8"/>
  <c r="M305" i="8" s="1"/>
  <c r="CT306" i="8"/>
  <c r="H306" i="8" s="1"/>
  <c r="CU306" i="8"/>
  <c r="I306" i="8" s="1"/>
  <c r="CV306" i="8"/>
  <c r="J306" i="8" s="1"/>
  <c r="CW306" i="8"/>
  <c r="K306" i="8" s="1"/>
  <c r="CX306" i="8"/>
  <c r="L306" i="8" s="1"/>
  <c r="CY306" i="8"/>
  <c r="M306" i="8" s="1"/>
  <c r="CT307" i="8"/>
  <c r="H307" i="8" s="1"/>
  <c r="CU307" i="8"/>
  <c r="I307" i="8" s="1"/>
  <c r="CV307" i="8"/>
  <c r="J307" i="8" s="1"/>
  <c r="CW307" i="8"/>
  <c r="K307" i="8" s="1"/>
  <c r="CX307" i="8"/>
  <c r="L307" i="8" s="1"/>
  <c r="CY307" i="8"/>
  <c r="M307" i="8" s="1"/>
  <c r="CT308" i="8"/>
  <c r="H308" i="8" s="1"/>
  <c r="CU308" i="8"/>
  <c r="I308" i="8" s="1"/>
  <c r="CV308" i="8"/>
  <c r="J308" i="8" s="1"/>
  <c r="CW308" i="8"/>
  <c r="K308" i="8" s="1"/>
  <c r="CX308" i="8"/>
  <c r="L308" i="8" s="1"/>
  <c r="CY308" i="8"/>
  <c r="M308" i="8" s="1"/>
  <c r="CT309" i="8"/>
  <c r="H309" i="8" s="1"/>
  <c r="CU309" i="8"/>
  <c r="I309" i="8" s="1"/>
  <c r="CV309" i="8"/>
  <c r="J309" i="8" s="1"/>
  <c r="CW309" i="8"/>
  <c r="K309" i="8" s="1"/>
  <c r="CX309" i="8"/>
  <c r="L309" i="8" s="1"/>
  <c r="CY309" i="8"/>
  <c r="M309" i="8" s="1"/>
  <c r="CT310" i="8"/>
  <c r="H310" i="8" s="1"/>
  <c r="CU310" i="8"/>
  <c r="I310" i="8" s="1"/>
  <c r="CV310" i="8"/>
  <c r="J310" i="8" s="1"/>
  <c r="CW310" i="8"/>
  <c r="K310" i="8" s="1"/>
  <c r="CX310" i="8"/>
  <c r="L310" i="8" s="1"/>
  <c r="CY310" i="8"/>
  <c r="M310" i="8" s="1"/>
  <c r="CT311" i="8"/>
  <c r="H311" i="8" s="1"/>
  <c r="CU311" i="8"/>
  <c r="I311" i="8" s="1"/>
  <c r="CV311" i="8"/>
  <c r="J311" i="8" s="1"/>
  <c r="CW311" i="8"/>
  <c r="K311" i="8" s="1"/>
  <c r="CX311" i="8"/>
  <c r="L311" i="8" s="1"/>
  <c r="CY311" i="8"/>
  <c r="M311" i="8" s="1"/>
  <c r="CT312" i="8"/>
  <c r="H312" i="8" s="1"/>
  <c r="CU312" i="8"/>
  <c r="I312" i="8" s="1"/>
  <c r="CV312" i="8"/>
  <c r="J312" i="8" s="1"/>
  <c r="CW312" i="8"/>
  <c r="K312" i="8" s="1"/>
  <c r="CX312" i="8"/>
  <c r="L312" i="8" s="1"/>
  <c r="CY312" i="8"/>
  <c r="M312" i="8" s="1"/>
  <c r="CT313" i="8"/>
  <c r="H313" i="8" s="1"/>
  <c r="CU313" i="8"/>
  <c r="I313" i="8" s="1"/>
  <c r="CV313" i="8"/>
  <c r="J313" i="8" s="1"/>
  <c r="CW313" i="8"/>
  <c r="K313" i="8" s="1"/>
  <c r="CX313" i="8"/>
  <c r="L313" i="8" s="1"/>
  <c r="CY313" i="8"/>
  <c r="M313" i="8" s="1"/>
  <c r="CT314" i="8"/>
  <c r="H314" i="8" s="1"/>
  <c r="CU314" i="8"/>
  <c r="I314" i="8" s="1"/>
  <c r="CV314" i="8"/>
  <c r="J314" i="8" s="1"/>
  <c r="CW314" i="8"/>
  <c r="K314" i="8" s="1"/>
  <c r="CX314" i="8"/>
  <c r="L314" i="8" s="1"/>
  <c r="CY314" i="8"/>
  <c r="M314" i="8" s="1"/>
  <c r="CT315" i="8"/>
  <c r="H315" i="8" s="1"/>
  <c r="CU315" i="8"/>
  <c r="I315" i="8" s="1"/>
  <c r="CV315" i="8"/>
  <c r="J315" i="8" s="1"/>
  <c r="CW315" i="8"/>
  <c r="K315" i="8" s="1"/>
  <c r="CX315" i="8"/>
  <c r="L315" i="8" s="1"/>
  <c r="CY315" i="8"/>
  <c r="M315" i="8" s="1"/>
  <c r="CT316" i="8"/>
  <c r="H316" i="8" s="1"/>
  <c r="CU316" i="8"/>
  <c r="I316" i="8" s="1"/>
  <c r="CV316" i="8"/>
  <c r="J316" i="8" s="1"/>
  <c r="CW316" i="8"/>
  <c r="K316" i="8" s="1"/>
  <c r="CX316" i="8"/>
  <c r="L316" i="8" s="1"/>
  <c r="CY316" i="8"/>
  <c r="M316" i="8" s="1"/>
  <c r="CT317" i="8"/>
  <c r="H317" i="8" s="1"/>
  <c r="CU317" i="8"/>
  <c r="I317" i="8" s="1"/>
  <c r="CV317" i="8"/>
  <c r="J317" i="8" s="1"/>
  <c r="CW317" i="8"/>
  <c r="K317" i="8" s="1"/>
  <c r="CX317" i="8"/>
  <c r="L317" i="8" s="1"/>
  <c r="CY317" i="8"/>
  <c r="M317" i="8" s="1"/>
  <c r="CT318" i="8"/>
  <c r="H318" i="8" s="1"/>
  <c r="CU318" i="8"/>
  <c r="I318" i="8" s="1"/>
  <c r="CV318" i="8"/>
  <c r="J318" i="8" s="1"/>
  <c r="CW318" i="8"/>
  <c r="K318" i="8" s="1"/>
  <c r="CX318" i="8"/>
  <c r="L318" i="8" s="1"/>
  <c r="CY318" i="8"/>
  <c r="M318" i="8" s="1"/>
  <c r="CT320" i="8"/>
  <c r="H320" i="8" s="1"/>
  <c r="CU320" i="8"/>
  <c r="I320" i="8" s="1"/>
  <c r="CV320" i="8"/>
  <c r="J320" i="8" s="1"/>
  <c r="CW320" i="8"/>
  <c r="K320" i="8" s="1"/>
  <c r="CX320" i="8"/>
  <c r="L320" i="8" s="1"/>
  <c r="CY320" i="8"/>
  <c r="M320" i="8" s="1"/>
  <c r="CT321" i="8"/>
  <c r="H321" i="8" s="1"/>
  <c r="CU321" i="8"/>
  <c r="I321" i="8" s="1"/>
  <c r="CV321" i="8"/>
  <c r="J321" i="8" s="1"/>
  <c r="CW321" i="8"/>
  <c r="K321" i="8" s="1"/>
  <c r="CX321" i="8"/>
  <c r="L321" i="8" s="1"/>
  <c r="CY321" i="8"/>
  <c r="M321" i="8" s="1"/>
  <c r="CT322" i="8"/>
  <c r="H322" i="8" s="1"/>
  <c r="CU322" i="8"/>
  <c r="I322" i="8" s="1"/>
  <c r="CV322" i="8"/>
  <c r="J322" i="8" s="1"/>
  <c r="CW322" i="8"/>
  <c r="K322" i="8" s="1"/>
  <c r="CX322" i="8"/>
  <c r="L322" i="8" s="1"/>
  <c r="CY322" i="8"/>
  <c r="M322" i="8" s="1"/>
  <c r="CT323" i="8"/>
  <c r="H323" i="8" s="1"/>
  <c r="CU323" i="8"/>
  <c r="I323" i="8" s="1"/>
  <c r="CV323" i="8"/>
  <c r="J323" i="8" s="1"/>
  <c r="CW323" i="8"/>
  <c r="K323" i="8" s="1"/>
  <c r="CX323" i="8"/>
  <c r="L323" i="8" s="1"/>
  <c r="CY323" i="8"/>
  <c r="M323" i="8" s="1"/>
  <c r="CT324" i="8"/>
  <c r="H324" i="8" s="1"/>
  <c r="CU324" i="8"/>
  <c r="I324" i="8" s="1"/>
  <c r="CV324" i="8"/>
  <c r="J324" i="8" s="1"/>
  <c r="CW324" i="8"/>
  <c r="K324" i="8" s="1"/>
  <c r="CX324" i="8"/>
  <c r="L324" i="8" s="1"/>
  <c r="CY324" i="8"/>
  <c r="M324" i="8" s="1"/>
  <c r="CT325" i="8"/>
  <c r="H325" i="8" s="1"/>
  <c r="CU325" i="8"/>
  <c r="I325" i="8" s="1"/>
  <c r="CV325" i="8"/>
  <c r="J325" i="8" s="1"/>
  <c r="CW325" i="8"/>
  <c r="K325" i="8" s="1"/>
  <c r="CX325" i="8"/>
  <c r="L325" i="8" s="1"/>
  <c r="CY325" i="8"/>
  <c r="M325" i="8" s="1"/>
  <c r="CT326" i="8"/>
  <c r="H326" i="8" s="1"/>
  <c r="CU326" i="8"/>
  <c r="I326" i="8" s="1"/>
  <c r="CV326" i="8"/>
  <c r="J326" i="8" s="1"/>
  <c r="CW326" i="8"/>
  <c r="K326" i="8" s="1"/>
  <c r="CX326" i="8"/>
  <c r="L326" i="8" s="1"/>
  <c r="CY326" i="8"/>
  <c r="M326" i="8" s="1"/>
  <c r="CT327" i="8"/>
  <c r="H327" i="8" s="1"/>
  <c r="CU327" i="8"/>
  <c r="I327" i="8" s="1"/>
  <c r="CV327" i="8"/>
  <c r="J327" i="8" s="1"/>
  <c r="CW327" i="8"/>
  <c r="K327" i="8" s="1"/>
  <c r="CX327" i="8"/>
  <c r="L327" i="8" s="1"/>
  <c r="CY327" i="8"/>
  <c r="M327" i="8" s="1"/>
  <c r="CT328" i="8"/>
  <c r="H328" i="8" s="1"/>
  <c r="CU328" i="8"/>
  <c r="I328" i="8" s="1"/>
  <c r="CV328" i="8"/>
  <c r="J328" i="8" s="1"/>
  <c r="CW328" i="8"/>
  <c r="K328" i="8" s="1"/>
  <c r="CX328" i="8"/>
  <c r="L328" i="8" s="1"/>
  <c r="CY328" i="8"/>
  <c r="M328" i="8" s="1"/>
  <c r="CT329" i="8"/>
  <c r="H329" i="8" s="1"/>
  <c r="CU329" i="8"/>
  <c r="I329" i="8" s="1"/>
  <c r="CV329" i="8"/>
  <c r="J329" i="8" s="1"/>
  <c r="CW329" i="8"/>
  <c r="K329" i="8" s="1"/>
  <c r="CX329" i="8"/>
  <c r="L329" i="8" s="1"/>
  <c r="CY329" i="8"/>
  <c r="M329" i="8" s="1"/>
  <c r="CT330" i="8"/>
  <c r="H330" i="8" s="1"/>
  <c r="CU330" i="8"/>
  <c r="I330" i="8" s="1"/>
  <c r="CV330" i="8"/>
  <c r="J330" i="8" s="1"/>
  <c r="CW330" i="8"/>
  <c r="K330" i="8" s="1"/>
  <c r="CX330" i="8"/>
  <c r="L330" i="8" s="1"/>
  <c r="CY330" i="8"/>
  <c r="M330" i="8" s="1"/>
  <c r="CT331" i="8"/>
  <c r="H331" i="8" s="1"/>
  <c r="CU331" i="8"/>
  <c r="I331" i="8" s="1"/>
  <c r="CV331" i="8"/>
  <c r="J331" i="8" s="1"/>
  <c r="CW331" i="8"/>
  <c r="K331" i="8" s="1"/>
  <c r="CX331" i="8"/>
  <c r="L331" i="8" s="1"/>
  <c r="CY331" i="8"/>
  <c r="M331" i="8" s="1"/>
  <c r="CT332" i="8"/>
  <c r="H332" i="8" s="1"/>
  <c r="CU332" i="8"/>
  <c r="I332" i="8" s="1"/>
  <c r="CV332" i="8"/>
  <c r="J332" i="8" s="1"/>
  <c r="CW332" i="8"/>
  <c r="K332" i="8" s="1"/>
  <c r="CX332" i="8"/>
  <c r="L332" i="8" s="1"/>
  <c r="CY332" i="8"/>
  <c r="M332" i="8" s="1"/>
  <c r="CT333" i="8"/>
  <c r="H333" i="8" s="1"/>
  <c r="CU333" i="8"/>
  <c r="I333" i="8" s="1"/>
  <c r="CV333" i="8"/>
  <c r="J333" i="8" s="1"/>
  <c r="CW333" i="8"/>
  <c r="K333" i="8" s="1"/>
  <c r="CX333" i="8"/>
  <c r="L333" i="8" s="1"/>
  <c r="CY333" i="8"/>
  <c r="M333" i="8" s="1"/>
  <c r="CT334" i="8"/>
  <c r="H334" i="8" s="1"/>
  <c r="CU334" i="8"/>
  <c r="I334" i="8" s="1"/>
  <c r="CV334" i="8"/>
  <c r="J334" i="8" s="1"/>
  <c r="CW334" i="8"/>
  <c r="K334" i="8" s="1"/>
  <c r="CX334" i="8"/>
  <c r="L334" i="8" s="1"/>
  <c r="CY334" i="8"/>
  <c r="M334" i="8" s="1"/>
  <c r="CT335" i="8"/>
  <c r="H335" i="8" s="1"/>
  <c r="CU335" i="8"/>
  <c r="I335" i="8" s="1"/>
  <c r="CV335" i="8"/>
  <c r="J335" i="8" s="1"/>
  <c r="CW335" i="8"/>
  <c r="K335" i="8" s="1"/>
  <c r="CX335" i="8"/>
  <c r="L335" i="8" s="1"/>
  <c r="CY335" i="8"/>
  <c r="M335" i="8" s="1"/>
  <c r="CT336" i="8"/>
  <c r="H336" i="8" s="1"/>
  <c r="CU336" i="8"/>
  <c r="I336" i="8" s="1"/>
  <c r="CV336" i="8"/>
  <c r="J336" i="8" s="1"/>
  <c r="CW336" i="8"/>
  <c r="K336" i="8" s="1"/>
  <c r="CX336" i="8"/>
  <c r="L336" i="8" s="1"/>
  <c r="CY336" i="8"/>
  <c r="M336" i="8" s="1"/>
  <c r="CT337" i="8"/>
  <c r="H337" i="8" s="1"/>
  <c r="CU337" i="8"/>
  <c r="I337" i="8" s="1"/>
  <c r="CV337" i="8"/>
  <c r="J337" i="8" s="1"/>
  <c r="CW337" i="8"/>
  <c r="K337" i="8" s="1"/>
  <c r="CX337" i="8"/>
  <c r="L337" i="8" s="1"/>
  <c r="CY337" i="8"/>
  <c r="M337" i="8" s="1"/>
  <c r="CT338" i="8"/>
  <c r="H338" i="8" s="1"/>
  <c r="CU338" i="8"/>
  <c r="I338" i="8" s="1"/>
  <c r="CV338" i="8"/>
  <c r="J338" i="8" s="1"/>
  <c r="CW338" i="8"/>
  <c r="K338" i="8" s="1"/>
  <c r="CX338" i="8"/>
  <c r="L338" i="8" s="1"/>
  <c r="CY338" i="8"/>
  <c r="M338" i="8" s="1"/>
  <c r="CT339" i="8"/>
  <c r="H339" i="8" s="1"/>
  <c r="CU339" i="8"/>
  <c r="I339" i="8" s="1"/>
  <c r="CV339" i="8"/>
  <c r="J339" i="8" s="1"/>
  <c r="CW339" i="8"/>
  <c r="K339" i="8" s="1"/>
  <c r="CX339" i="8"/>
  <c r="L339" i="8" s="1"/>
  <c r="CY339" i="8"/>
  <c r="M339" i="8" s="1"/>
  <c r="CT340" i="8"/>
  <c r="H340" i="8" s="1"/>
  <c r="CU340" i="8"/>
  <c r="I340" i="8" s="1"/>
  <c r="CV340" i="8"/>
  <c r="J340" i="8" s="1"/>
  <c r="CW340" i="8"/>
  <c r="K340" i="8" s="1"/>
  <c r="CX340" i="8"/>
  <c r="L340" i="8" s="1"/>
  <c r="CY340" i="8"/>
  <c r="M340" i="8" s="1"/>
  <c r="CT341" i="8"/>
  <c r="H341" i="8" s="1"/>
  <c r="CU341" i="8"/>
  <c r="I341" i="8" s="1"/>
  <c r="CV341" i="8"/>
  <c r="J341" i="8" s="1"/>
  <c r="CW341" i="8"/>
  <c r="K341" i="8" s="1"/>
  <c r="CX341" i="8"/>
  <c r="L341" i="8" s="1"/>
  <c r="CY341" i="8"/>
  <c r="M341" i="8" s="1"/>
  <c r="CT342" i="8"/>
  <c r="H342" i="8" s="1"/>
  <c r="CU342" i="8"/>
  <c r="I342" i="8" s="1"/>
  <c r="CV342" i="8"/>
  <c r="J342" i="8" s="1"/>
  <c r="CW342" i="8"/>
  <c r="K342" i="8" s="1"/>
  <c r="CX342" i="8"/>
  <c r="L342" i="8" s="1"/>
  <c r="CY342" i="8"/>
  <c r="M342" i="8" s="1"/>
  <c r="CT343" i="8"/>
  <c r="H343" i="8" s="1"/>
  <c r="CU343" i="8"/>
  <c r="I343" i="8" s="1"/>
  <c r="CV343" i="8"/>
  <c r="J343" i="8" s="1"/>
  <c r="CW343" i="8"/>
  <c r="K343" i="8" s="1"/>
  <c r="CX343" i="8"/>
  <c r="L343" i="8" s="1"/>
  <c r="CY343" i="8"/>
  <c r="M343" i="8" s="1"/>
  <c r="CT344" i="8"/>
  <c r="H344" i="8" s="1"/>
  <c r="CU344" i="8"/>
  <c r="I344" i="8" s="1"/>
  <c r="CV344" i="8"/>
  <c r="J344" i="8" s="1"/>
  <c r="CW344" i="8"/>
  <c r="K344" i="8" s="1"/>
  <c r="CX344" i="8"/>
  <c r="L344" i="8" s="1"/>
  <c r="CY344" i="8"/>
  <c r="M344" i="8" s="1"/>
  <c r="CT345" i="8"/>
  <c r="H345" i="8" s="1"/>
  <c r="CU345" i="8"/>
  <c r="I345" i="8" s="1"/>
  <c r="CV345" i="8"/>
  <c r="J345" i="8" s="1"/>
  <c r="CW345" i="8"/>
  <c r="K345" i="8" s="1"/>
  <c r="CX345" i="8"/>
  <c r="L345" i="8" s="1"/>
  <c r="CY345" i="8"/>
  <c r="M345" i="8" s="1"/>
  <c r="CT346" i="8"/>
  <c r="H346" i="8" s="1"/>
  <c r="CU346" i="8"/>
  <c r="I346" i="8" s="1"/>
  <c r="CV346" i="8"/>
  <c r="J346" i="8" s="1"/>
  <c r="CW346" i="8"/>
  <c r="K346" i="8" s="1"/>
  <c r="CX346" i="8"/>
  <c r="L346" i="8" s="1"/>
  <c r="CY346" i="8"/>
  <c r="M346" i="8" s="1"/>
  <c r="CT347" i="8"/>
  <c r="H347" i="8" s="1"/>
  <c r="CU347" i="8"/>
  <c r="I347" i="8" s="1"/>
  <c r="CV347" i="8"/>
  <c r="J347" i="8" s="1"/>
  <c r="CW347" i="8"/>
  <c r="K347" i="8" s="1"/>
  <c r="CX347" i="8"/>
  <c r="L347" i="8" s="1"/>
  <c r="CY347" i="8"/>
  <c r="M347" i="8" s="1"/>
  <c r="CT348" i="8"/>
  <c r="H348" i="8" s="1"/>
  <c r="CU348" i="8"/>
  <c r="I348" i="8" s="1"/>
  <c r="CV348" i="8"/>
  <c r="J348" i="8" s="1"/>
  <c r="CW348" i="8"/>
  <c r="K348" i="8" s="1"/>
  <c r="CX348" i="8"/>
  <c r="L348" i="8" s="1"/>
  <c r="CY348" i="8"/>
  <c r="M348" i="8" s="1"/>
  <c r="CT349" i="8"/>
  <c r="H349" i="8" s="1"/>
  <c r="CU349" i="8"/>
  <c r="I349" i="8" s="1"/>
  <c r="CV349" i="8"/>
  <c r="J349" i="8" s="1"/>
  <c r="CW349" i="8"/>
  <c r="K349" i="8" s="1"/>
  <c r="CX349" i="8"/>
  <c r="L349" i="8" s="1"/>
  <c r="CY349" i="8"/>
  <c r="M349" i="8" s="1"/>
  <c r="CT351" i="8"/>
  <c r="H351" i="8" s="1"/>
  <c r="CU351" i="8"/>
  <c r="I351" i="8" s="1"/>
  <c r="CV351" i="8"/>
  <c r="J351" i="8" s="1"/>
  <c r="CW351" i="8"/>
  <c r="K351" i="8" s="1"/>
  <c r="CX351" i="8"/>
  <c r="L351" i="8" s="1"/>
  <c r="CY351" i="8"/>
  <c r="M351" i="8" s="1"/>
  <c r="CT352" i="8"/>
  <c r="H352" i="8" s="1"/>
  <c r="CU352" i="8"/>
  <c r="I352" i="8" s="1"/>
  <c r="CV352" i="8"/>
  <c r="J352" i="8" s="1"/>
  <c r="CW352" i="8"/>
  <c r="K352" i="8" s="1"/>
  <c r="CX352" i="8"/>
  <c r="L352" i="8" s="1"/>
  <c r="CY352" i="8"/>
  <c r="M352" i="8" s="1"/>
  <c r="CT353" i="8"/>
  <c r="H353" i="8" s="1"/>
  <c r="CU353" i="8"/>
  <c r="I353" i="8" s="1"/>
  <c r="CV353" i="8"/>
  <c r="J353" i="8" s="1"/>
  <c r="CW353" i="8"/>
  <c r="K353" i="8" s="1"/>
  <c r="CX353" i="8"/>
  <c r="L353" i="8" s="1"/>
  <c r="CY353" i="8"/>
  <c r="M353" i="8" s="1"/>
  <c r="CT354" i="8"/>
  <c r="H354" i="8" s="1"/>
  <c r="CU354" i="8"/>
  <c r="I354" i="8" s="1"/>
  <c r="CV354" i="8"/>
  <c r="J354" i="8" s="1"/>
  <c r="CW354" i="8"/>
  <c r="K354" i="8" s="1"/>
  <c r="CX354" i="8"/>
  <c r="L354" i="8" s="1"/>
  <c r="CY354" i="8"/>
  <c r="M354" i="8" s="1"/>
  <c r="CT355" i="8"/>
  <c r="H355" i="8" s="1"/>
  <c r="CU355" i="8"/>
  <c r="I355" i="8" s="1"/>
  <c r="CV355" i="8"/>
  <c r="J355" i="8" s="1"/>
  <c r="CW355" i="8"/>
  <c r="K355" i="8" s="1"/>
  <c r="CX355" i="8"/>
  <c r="L355" i="8" s="1"/>
  <c r="CY355" i="8"/>
  <c r="M355" i="8" s="1"/>
  <c r="CT356" i="8"/>
  <c r="H356" i="8" s="1"/>
  <c r="CU356" i="8"/>
  <c r="I356" i="8" s="1"/>
  <c r="CV356" i="8"/>
  <c r="J356" i="8" s="1"/>
  <c r="CW356" i="8"/>
  <c r="K356" i="8" s="1"/>
  <c r="CX356" i="8"/>
  <c r="L356" i="8" s="1"/>
  <c r="CY356" i="8"/>
  <c r="M356" i="8" s="1"/>
  <c r="CT357" i="8"/>
  <c r="H357" i="8" s="1"/>
  <c r="CU357" i="8"/>
  <c r="I357" i="8" s="1"/>
  <c r="CV357" i="8"/>
  <c r="J357" i="8" s="1"/>
  <c r="CW357" i="8"/>
  <c r="K357" i="8" s="1"/>
  <c r="CX357" i="8"/>
  <c r="L357" i="8" s="1"/>
  <c r="CY357" i="8"/>
  <c r="M357" i="8" s="1"/>
  <c r="CT358" i="8"/>
  <c r="H358" i="8" s="1"/>
  <c r="CU358" i="8"/>
  <c r="I358" i="8" s="1"/>
  <c r="CV358" i="8"/>
  <c r="J358" i="8" s="1"/>
  <c r="CW358" i="8"/>
  <c r="K358" i="8" s="1"/>
  <c r="CX358" i="8"/>
  <c r="L358" i="8" s="1"/>
  <c r="CY358" i="8"/>
  <c r="M358" i="8" s="1"/>
  <c r="CT359" i="8"/>
  <c r="H359" i="8" s="1"/>
  <c r="CU359" i="8"/>
  <c r="I359" i="8" s="1"/>
  <c r="CV359" i="8"/>
  <c r="J359" i="8" s="1"/>
  <c r="CW359" i="8"/>
  <c r="K359" i="8" s="1"/>
  <c r="CX359" i="8"/>
  <c r="L359" i="8" s="1"/>
  <c r="CY359" i="8"/>
  <c r="M359" i="8" s="1"/>
  <c r="CT360" i="8"/>
  <c r="H360" i="8" s="1"/>
  <c r="CU360" i="8"/>
  <c r="I360" i="8" s="1"/>
  <c r="CV360" i="8"/>
  <c r="J360" i="8" s="1"/>
  <c r="CW360" i="8"/>
  <c r="K360" i="8" s="1"/>
  <c r="CX360" i="8"/>
  <c r="L360" i="8" s="1"/>
  <c r="CY360" i="8"/>
  <c r="M360" i="8" s="1"/>
  <c r="CT361" i="8"/>
  <c r="H361" i="8" s="1"/>
  <c r="CU361" i="8"/>
  <c r="I361" i="8" s="1"/>
  <c r="CV361" i="8"/>
  <c r="J361" i="8" s="1"/>
  <c r="CW361" i="8"/>
  <c r="K361" i="8" s="1"/>
  <c r="CX361" i="8"/>
  <c r="L361" i="8" s="1"/>
  <c r="CY361" i="8"/>
  <c r="M361" i="8" s="1"/>
  <c r="CT362" i="8"/>
  <c r="H362" i="8" s="1"/>
  <c r="CU362" i="8"/>
  <c r="I362" i="8" s="1"/>
  <c r="CV362" i="8"/>
  <c r="J362" i="8" s="1"/>
  <c r="CW362" i="8"/>
  <c r="K362" i="8" s="1"/>
  <c r="CX362" i="8"/>
  <c r="L362" i="8" s="1"/>
  <c r="CY362" i="8"/>
  <c r="M362" i="8" s="1"/>
  <c r="CT363" i="8"/>
  <c r="H363" i="8" s="1"/>
  <c r="CU363" i="8"/>
  <c r="I363" i="8" s="1"/>
  <c r="CV363" i="8"/>
  <c r="J363" i="8" s="1"/>
  <c r="CW363" i="8"/>
  <c r="K363" i="8" s="1"/>
  <c r="CX363" i="8"/>
  <c r="L363" i="8" s="1"/>
  <c r="CY363" i="8"/>
  <c r="M363" i="8" s="1"/>
  <c r="CT364" i="8"/>
  <c r="H364" i="8" s="1"/>
  <c r="CU364" i="8"/>
  <c r="I364" i="8" s="1"/>
  <c r="CV364" i="8"/>
  <c r="J364" i="8" s="1"/>
  <c r="CW364" i="8"/>
  <c r="K364" i="8" s="1"/>
  <c r="CX364" i="8"/>
  <c r="L364" i="8" s="1"/>
  <c r="CY364" i="8"/>
  <c r="M364" i="8" s="1"/>
  <c r="CT365" i="8"/>
  <c r="H365" i="8" s="1"/>
  <c r="CU365" i="8"/>
  <c r="I365" i="8" s="1"/>
  <c r="CV365" i="8"/>
  <c r="J365" i="8" s="1"/>
  <c r="CW365" i="8"/>
  <c r="K365" i="8" s="1"/>
  <c r="CX365" i="8"/>
  <c r="L365" i="8" s="1"/>
  <c r="CY365" i="8"/>
  <c r="M365" i="8" s="1"/>
  <c r="CT366" i="8"/>
  <c r="H366" i="8" s="1"/>
  <c r="CU366" i="8"/>
  <c r="I366" i="8" s="1"/>
  <c r="CV366" i="8"/>
  <c r="J366" i="8" s="1"/>
  <c r="CW366" i="8"/>
  <c r="K366" i="8" s="1"/>
  <c r="CX366" i="8"/>
  <c r="L366" i="8" s="1"/>
  <c r="CY366" i="8"/>
  <c r="M366" i="8" s="1"/>
  <c r="CT367" i="8"/>
  <c r="H367" i="8" s="1"/>
  <c r="CU367" i="8"/>
  <c r="I367" i="8" s="1"/>
  <c r="CV367" i="8"/>
  <c r="J367" i="8" s="1"/>
  <c r="CW367" i="8"/>
  <c r="K367" i="8" s="1"/>
  <c r="CX367" i="8"/>
  <c r="L367" i="8" s="1"/>
  <c r="CY367" i="8"/>
  <c r="M367" i="8" s="1"/>
  <c r="CT368" i="8"/>
  <c r="H368" i="8" s="1"/>
  <c r="CU368" i="8"/>
  <c r="I368" i="8" s="1"/>
  <c r="CV368" i="8"/>
  <c r="J368" i="8" s="1"/>
  <c r="CW368" i="8"/>
  <c r="K368" i="8" s="1"/>
  <c r="CX368" i="8"/>
  <c r="L368" i="8" s="1"/>
  <c r="CY368" i="8"/>
  <c r="M368" i="8" s="1"/>
  <c r="CT369" i="8"/>
  <c r="H369" i="8" s="1"/>
  <c r="CU369" i="8"/>
  <c r="I369" i="8" s="1"/>
  <c r="CV369" i="8"/>
  <c r="J369" i="8" s="1"/>
  <c r="CW369" i="8"/>
  <c r="K369" i="8" s="1"/>
  <c r="CX369" i="8"/>
  <c r="L369" i="8" s="1"/>
  <c r="CY369" i="8"/>
  <c r="M369" i="8" s="1"/>
  <c r="CT370" i="8"/>
  <c r="H370" i="8" s="1"/>
  <c r="CU370" i="8"/>
  <c r="I370" i="8" s="1"/>
  <c r="CV370" i="8"/>
  <c r="J370" i="8" s="1"/>
  <c r="CW370" i="8"/>
  <c r="K370" i="8" s="1"/>
  <c r="CX370" i="8"/>
  <c r="L370" i="8" s="1"/>
  <c r="CY370" i="8"/>
  <c r="M370" i="8" s="1"/>
  <c r="CT371" i="8"/>
  <c r="H371" i="8" s="1"/>
  <c r="CU371" i="8"/>
  <c r="I371" i="8" s="1"/>
  <c r="CV371" i="8"/>
  <c r="J371" i="8" s="1"/>
  <c r="CW371" i="8"/>
  <c r="K371" i="8" s="1"/>
  <c r="CX371" i="8"/>
  <c r="L371" i="8" s="1"/>
  <c r="CY371" i="8"/>
  <c r="M371" i="8" s="1"/>
  <c r="CT372" i="8"/>
  <c r="H372" i="8" s="1"/>
  <c r="CU372" i="8"/>
  <c r="I372" i="8" s="1"/>
  <c r="CV372" i="8"/>
  <c r="J372" i="8" s="1"/>
  <c r="CW372" i="8"/>
  <c r="K372" i="8" s="1"/>
  <c r="CX372" i="8"/>
  <c r="L372" i="8" s="1"/>
  <c r="CY372" i="8"/>
  <c r="M372" i="8" s="1"/>
  <c r="CT373" i="8"/>
  <c r="H373" i="8" s="1"/>
  <c r="CU373" i="8"/>
  <c r="I373" i="8" s="1"/>
  <c r="CV373" i="8"/>
  <c r="J373" i="8" s="1"/>
  <c r="CW373" i="8"/>
  <c r="K373" i="8" s="1"/>
  <c r="CX373" i="8"/>
  <c r="L373" i="8" s="1"/>
  <c r="CY373" i="8"/>
  <c r="M373" i="8" s="1"/>
  <c r="CT374" i="8"/>
  <c r="H374" i="8" s="1"/>
  <c r="CU374" i="8"/>
  <c r="I374" i="8" s="1"/>
  <c r="CV374" i="8"/>
  <c r="J374" i="8" s="1"/>
  <c r="CW374" i="8"/>
  <c r="K374" i="8" s="1"/>
  <c r="CX374" i="8"/>
  <c r="L374" i="8" s="1"/>
  <c r="CY374" i="8"/>
  <c r="M374" i="8" s="1"/>
  <c r="CT375" i="8"/>
  <c r="H375" i="8" s="1"/>
  <c r="CU375" i="8"/>
  <c r="I375" i="8" s="1"/>
  <c r="CV375" i="8"/>
  <c r="J375" i="8" s="1"/>
  <c r="CW375" i="8"/>
  <c r="K375" i="8" s="1"/>
  <c r="CX375" i="8"/>
  <c r="L375" i="8" s="1"/>
  <c r="CY375" i="8"/>
  <c r="M375" i="8" s="1"/>
  <c r="CT376" i="8"/>
  <c r="H376" i="8" s="1"/>
  <c r="CU376" i="8"/>
  <c r="I376" i="8" s="1"/>
  <c r="CV376" i="8"/>
  <c r="J376" i="8" s="1"/>
  <c r="CW376" i="8"/>
  <c r="K376" i="8" s="1"/>
  <c r="CX376" i="8"/>
  <c r="L376" i="8" s="1"/>
  <c r="CY376" i="8"/>
  <c r="M376" i="8" s="1"/>
  <c r="CT377" i="8"/>
  <c r="H377" i="8" s="1"/>
  <c r="CU377" i="8"/>
  <c r="I377" i="8" s="1"/>
  <c r="CV377" i="8"/>
  <c r="J377" i="8" s="1"/>
  <c r="CW377" i="8"/>
  <c r="K377" i="8" s="1"/>
  <c r="CX377" i="8"/>
  <c r="L377" i="8" s="1"/>
  <c r="CY377" i="8"/>
  <c r="M377" i="8" s="1"/>
  <c r="CT378" i="8"/>
  <c r="H378" i="8" s="1"/>
  <c r="CU378" i="8"/>
  <c r="I378" i="8" s="1"/>
  <c r="CV378" i="8"/>
  <c r="J378" i="8" s="1"/>
  <c r="CW378" i="8"/>
  <c r="K378" i="8" s="1"/>
  <c r="CX378" i="8"/>
  <c r="L378" i="8" s="1"/>
  <c r="CY378" i="8"/>
  <c r="M378" i="8" s="1"/>
  <c r="CT379" i="8"/>
  <c r="H379" i="8" s="1"/>
  <c r="CU379" i="8"/>
  <c r="I379" i="8" s="1"/>
  <c r="CV379" i="8"/>
  <c r="J379" i="8" s="1"/>
  <c r="CW379" i="8"/>
  <c r="K379" i="8" s="1"/>
  <c r="CX379" i="8"/>
  <c r="L379" i="8" s="1"/>
  <c r="CY379" i="8"/>
  <c r="M379" i="8" s="1"/>
  <c r="CT380" i="8"/>
  <c r="H380" i="8" s="1"/>
  <c r="CU380" i="8"/>
  <c r="I380" i="8" s="1"/>
  <c r="CV380" i="8"/>
  <c r="J380" i="8" s="1"/>
  <c r="CW380" i="8"/>
  <c r="K380" i="8" s="1"/>
  <c r="CX380" i="8"/>
  <c r="L380" i="8" s="1"/>
  <c r="CY380" i="8"/>
  <c r="M380" i="8" s="1"/>
  <c r="CT381" i="8"/>
  <c r="H381" i="8" s="1"/>
  <c r="CU381" i="8"/>
  <c r="I381" i="8" s="1"/>
  <c r="CV381" i="8"/>
  <c r="J381" i="8" s="1"/>
  <c r="CW381" i="8"/>
  <c r="K381" i="8" s="1"/>
  <c r="CX381" i="8"/>
  <c r="L381" i="8" s="1"/>
  <c r="CY381" i="8"/>
  <c r="M381" i="8" s="1"/>
  <c r="CT382" i="8"/>
  <c r="H382" i="8" s="1"/>
  <c r="CU382" i="8"/>
  <c r="I382" i="8" s="1"/>
  <c r="CV382" i="8"/>
  <c r="J382" i="8" s="1"/>
  <c r="CW382" i="8"/>
  <c r="K382" i="8" s="1"/>
  <c r="CX382" i="8"/>
  <c r="L382" i="8" s="1"/>
  <c r="CY382" i="8"/>
  <c r="M382" i="8" s="1"/>
  <c r="CT383" i="8"/>
  <c r="H383" i="8" s="1"/>
  <c r="CU383" i="8"/>
  <c r="I383" i="8" s="1"/>
  <c r="CV383" i="8"/>
  <c r="J383" i="8" s="1"/>
  <c r="CW383" i="8"/>
  <c r="K383" i="8" s="1"/>
  <c r="CX383" i="8"/>
  <c r="L383" i="8" s="1"/>
  <c r="CY383" i="8"/>
  <c r="M383" i="8" s="1"/>
  <c r="CT384" i="8"/>
  <c r="H384" i="8" s="1"/>
  <c r="CU384" i="8"/>
  <c r="I384" i="8" s="1"/>
  <c r="CV384" i="8"/>
  <c r="J384" i="8" s="1"/>
  <c r="CW384" i="8"/>
  <c r="K384" i="8" s="1"/>
  <c r="CX384" i="8"/>
  <c r="L384" i="8" s="1"/>
  <c r="CY384" i="8"/>
  <c r="M384" i="8" s="1"/>
  <c r="CT385" i="8"/>
  <c r="H385" i="8" s="1"/>
  <c r="CU385" i="8"/>
  <c r="I385" i="8" s="1"/>
  <c r="CV385" i="8"/>
  <c r="J385" i="8" s="1"/>
  <c r="CW385" i="8"/>
  <c r="K385" i="8" s="1"/>
  <c r="CX385" i="8"/>
  <c r="L385" i="8" s="1"/>
  <c r="CY385" i="8"/>
  <c r="M385" i="8" s="1"/>
  <c r="CT386" i="8"/>
  <c r="H386" i="8" s="1"/>
  <c r="CU386" i="8"/>
  <c r="I386" i="8" s="1"/>
  <c r="CV386" i="8"/>
  <c r="J386" i="8" s="1"/>
  <c r="CW386" i="8"/>
  <c r="K386" i="8" s="1"/>
  <c r="CX386" i="8"/>
  <c r="L386" i="8" s="1"/>
  <c r="CY386" i="8"/>
  <c r="M386" i="8" s="1"/>
  <c r="CT387" i="8"/>
  <c r="H387" i="8" s="1"/>
  <c r="CU387" i="8"/>
  <c r="I387" i="8" s="1"/>
  <c r="CV387" i="8"/>
  <c r="J387" i="8" s="1"/>
  <c r="CW387" i="8"/>
  <c r="K387" i="8" s="1"/>
  <c r="CX387" i="8"/>
  <c r="L387" i="8" s="1"/>
  <c r="CY387" i="8"/>
  <c r="M387" i="8" s="1"/>
  <c r="CT388" i="8"/>
  <c r="H388" i="8" s="1"/>
  <c r="CU388" i="8"/>
  <c r="I388" i="8" s="1"/>
  <c r="CV388" i="8"/>
  <c r="J388" i="8" s="1"/>
  <c r="CW388" i="8"/>
  <c r="K388" i="8" s="1"/>
  <c r="CX388" i="8"/>
  <c r="L388" i="8" s="1"/>
  <c r="CY388" i="8"/>
  <c r="M388" i="8" s="1"/>
  <c r="CT389" i="8"/>
  <c r="H389" i="8" s="1"/>
  <c r="CU389" i="8"/>
  <c r="I389" i="8" s="1"/>
  <c r="CV389" i="8"/>
  <c r="J389" i="8" s="1"/>
  <c r="CW389" i="8"/>
  <c r="K389" i="8" s="1"/>
  <c r="CX389" i="8"/>
  <c r="L389" i="8" s="1"/>
  <c r="CY389" i="8"/>
  <c r="M389" i="8" s="1"/>
  <c r="CT390" i="8"/>
  <c r="H390" i="8" s="1"/>
  <c r="CU390" i="8"/>
  <c r="I390" i="8" s="1"/>
  <c r="CV390" i="8"/>
  <c r="J390" i="8" s="1"/>
  <c r="CW390" i="8"/>
  <c r="K390" i="8" s="1"/>
  <c r="CX390" i="8"/>
  <c r="L390" i="8" s="1"/>
  <c r="CY390" i="8"/>
  <c r="M390" i="8" s="1"/>
  <c r="CT391" i="8"/>
  <c r="H391" i="8" s="1"/>
  <c r="CU391" i="8"/>
  <c r="I391" i="8" s="1"/>
  <c r="CV391" i="8"/>
  <c r="J391" i="8" s="1"/>
  <c r="CW391" i="8"/>
  <c r="K391" i="8" s="1"/>
  <c r="CX391" i="8"/>
  <c r="L391" i="8" s="1"/>
  <c r="CY391" i="8"/>
  <c r="M391" i="8" s="1"/>
  <c r="CT392" i="8"/>
  <c r="H392" i="8" s="1"/>
  <c r="CU392" i="8"/>
  <c r="I392" i="8" s="1"/>
  <c r="CV392" i="8"/>
  <c r="J392" i="8" s="1"/>
  <c r="CW392" i="8"/>
  <c r="K392" i="8" s="1"/>
  <c r="CX392" i="8"/>
  <c r="L392" i="8" s="1"/>
  <c r="CY392" i="8"/>
  <c r="M392" i="8" s="1"/>
  <c r="CT393" i="8"/>
  <c r="H393" i="8" s="1"/>
  <c r="CU393" i="8"/>
  <c r="I393" i="8" s="1"/>
  <c r="CV393" i="8"/>
  <c r="J393" i="8" s="1"/>
  <c r="CW393" i="8"/>
  <c r="K393" i="8" s="1"/>
  <c r="CX393" i="8"/>
  <c r="L393" i="8" s="1"/>
  <c r="CY393" i="8"/>
  <c r="M393" i="8" s="1"/>
  <c r="CT394" i="8"/>
  <c r="H394" i="8" s="1"/>
  <c r="CU394" i="8"/>
  <c r="I394" i="8" s="1"/>
  <c r="CV394" i="8"/>
  <c r="J394" i="8" s="1"/>
  <c r="CW394" i="8"/>
  <c r="K394" i="8" s="1"/>
  <c r="CX394" i="8"/>
  <c r="L394" i="8" s="1"/>
  <c r="CY394" i="8"/>
  <c r="M394" i="8" s="1"/>
  <c r="CT395" i="8"/>
  <c r="H395" i="8" s="1"/>
  <c r="CU395" i="8"/>
  <c r="I395" i="8" s="1"/>
  <c r="CV395" i="8"/>
  <c r="J395" i="8" s="1"/>
  <c r="CW395" i="8"/>
  <c r="K395" i="8" s="1"/>
  <c r="CX395" i="8"/>
  <c r="L395" i="8" s="1"/>
  <c r="CY395" i="8"/>
  <c r="M395" i="8" s="1"/>
  <c r="CT396" i="8"/>
  <c r="H396" i="8" s="1"/>
  <c r="CU396" i="8"/>
  <c r="I396" i="8" s="1"/>
  <c r="CV396" i="8"/>
  <c r="J396" i="8" s="1"/>
  <c r="CW396" i="8"/>
  <c r="K396" i="8" s="1"/>
  <c r="CX396" i="8"/>
  <c r="L396" i="8" s="1"/>
  <c r="CY396" i="8"/>
  <c r="M396" i="8" s="1"/>
  <c r="CT397" i="8"/>
  <c r="H397" i="8" s="1"/>
  <c r="CU397" i="8"/>
  <c r="I397" i="8" s="1"/>
  <c r="CV397" i="8"/>
  <c r="J397" i="8" s="1"/>
  <c r="CW397" i="8"/>
  <c r="K397" i="8" s="1"/>
  <c r="CX397" i="8"/>
  <c r="L397" i="8" s="1"/>
  <c r="CY397" i="8"/>
  <c r="M397" i="8" s="1"/>
  <c r="CT398" i="8"/>
  <c r="H398" i="8" s="1"/>
  <c r="CU398" i="8"/>
  <c r="I398" i="8" s="1"/>
  <c r="CV398" i="8"/>
  <c r="J398" i="8" s="1"/>
  <c r="CW398" i="8"/>
  <c r="K398" i="8" s="1"/>
  <c r="CX398" i="8"/>
  <c r="L398" i="8" s="1"/>
  <c r="CY398" i="8"/>
  <c r="M398" i="8" s="1"/>
  <c r="CT399" i="8"/>
  <c r="H399" i="8" s="1"/>
  <c r="CU399" i="8"/>
  <c r="I399" i="8" s="1"/>
  <c r="CV399" i="8"/>
  <c r="J399" i="8" s="1"/>
  <c r="CW399" i="8"/>
  <c r="K399" i="8" s="1"/>
  <c r="CX399" i="8"/>
  <c r="L399" i="8" s="1"/>
  <c r="CY399" i="8"/>
  <c r="M399" i="8" s="1"/>
  <c r="CT400" i="8"/>
  <c r="H400" i="8" s="1"/>
  <c r="CU400" i="8"/>
  <c r="I400" i="8" s="1"/>
  <c r="CV400" i="8"/>
  <c r="J400" i="8" s="1"/>
  <c r="CW400" i="8"/>
  <c r="K400" i="8" s="1"/>
  <c r="CX400" i="8"/>
  <c r="L400" i="8" s="1"/>
  <c r="CY400" i="8"/>
  <c r="M400" i="8" s="1"/>
  <c r="CT401" i="8"/>
  <c r="H401" i="8" s="1"/>
  <c r="CU401" i="8"/>
  <c r="I401" i="8" s="1"/>
  <c r="CV401" i="8"/>
  <c r="J401" i="8" s="1"/>
  <c r="CW401" i="8"/>
  <c r="K401" i="8" s="1"/>
  <c r="CX401" i="8"/>
  <c r="L401" i="8" s="1"/>
  <c r="CY401" i="8"/>
  <c r="M401" i="8" s="1"/>
  <c r="CT402" i="8"/>
  <c r="H402" i="8" s="1"/>
  <c r="CU402" i="8"/>
  <c r="I402" i="8" s="1"/>
  <c r="CV402" i="8"/>
  <c r="J402" i="8" s="1"/>
  <c r="CW402" i="8"/>
  <c r="K402" i="8" s="1"/>
  <c r="CX402" i="8"/>
  <c r="L402" i="8" s="1"/>
  <c r="CY402" i="8"/>
  <c r="M402" i="8" s="1"/>
  <c r="CT403" i="8"/>
  <c r="H403" i="8" s="1"/>
  <c r="CU403" i="8"/>
  <c r="I403" i="8" s="1"/>
  <c r="CV403" i="8"/>
  <c r="J403" i="8" s="1"/>
  <c r="CW403" i="8"/>
  <c r="K403" i="8" s="1"/>
  <c r="CX403" i="8"/>
  <c r="L403" i="8" s="1"/>
  <c r="CY403" i="8"/>
  <c r="M403" i="8" s="1"/>
  <c r="CT404" i="8"/>
  <c r="H404" i="8" s="1"/>
  <c r="CU404" i="8"/>
  <c r="I404" i="8" s="1"/>
  <c r="CV404" i="8"/>
  <c r="J404" i="8" s="1"/>
  <c r="CW404" i="8"/>
  <c r="K404" i="8" s="1"/>
  <c r="CX404" i="8"/>
  <c r="L404" i="8" s="1"/>
  <c r="CY404" i="8"/>
  <c r="M404" i="8" s="1"/>
  <c r="CT405" i="8"/>
  <c r="H405" i="8" s="1"/>
  <c r="CU405" i="8"/>
  <c r="I405" i="8" s="1"/>
  <c r="CV405" i="8"/>
  <c r="J405" i="8" s="1"/>
  <c r="CW405" i="8"/>
  <c r="K405" i="8" s="1"/>
  <c r="CX405" i="8"/>
  <c r="L405" i="8" s="1"/>
  <c r="CY405" i="8"/>
  <c r="M405" i="8" s="1"/>
  <c r="CT406" i="8"/>
  <c r="H406" i="8" s="1"/>
  <c r="CU406" i="8"/>
  <c r="I406" i="8" s="1"/>
  <c r="CV406" i="8"/>
  <c r="J406" i="8" s="1"/>
  <c r="CW406" i="8"/>
  <c r="K406" i="8" s="1"/>
  <c r="CX406" i="8"/>
  <c r="L406" i="8" s="1"/>
  <c r="CY406" i="8"/>
  <c r="M406" i="8" s="1"/>
  <c r="CT407" i="8"/>
  <c r="H407" i="8" s="1"/>
  <c r="CU407" i="8"/>
  <c r="I407" i="8" s="1"/>
  <c r="CV407" i="8"/>
  <c r="J407" i="8" s="1"/>
  <c r="CW407" i="8"/>
  <c r="K407" i="8" s="1"/>
  <c r="CX407" i="8"/>
  <c r="L407" i="8" s="1"/>
  <c r="CY407" i="8"/>
  <c r="M407" i="8" s="1"/>
  <c r="CT408" i="8"/>
  <c r="H408" i="8" s="1"/>
  <c r="CU408" i="8"/>
  <c r="I408" i="8" s="1"/>
  <c r="CV408" i="8"/>
  <c r="J408" i="8" s="1"/>
  <c r="CW408" i="8"/>
  <c r="K408" i="8" s="1"/>
  <c r="CX408" i="8"/>
  <c r="L408" i="8" s="1"/>
  <c r="CY408" i="8"/>
  <c r="M408" i="8" s="1"/>
  <c r="CT409" i="8"/>
  <c r="H409" i="8" s="1"/>
  <c r="CU409" i="8"/>
  <c r="I409" i="8" s="1"/>
  <c r="CV409" i="8"/>
  <c r="J409" i="8" s="1"/>
  <c r="CW409" i="8"/>
  <c r="K409" i="8" s="1"/>
  <c r="CX409" i="8"/>
  <c r="L409" i="8" s="1"/>
  <c r="CY409" i="8"/>
  <c r="M409" i="8" s="1"/>
  <c r="CT410" i="8"/>
  <c r="H410" i="8" s="1"/>
  <c r="CU410" i="8"/>
  <c r="I410" i="8" s="1"/>
  <c r="CV410" i="8"/>
  <c r="J410" i="8" s="1"/>
  <c r="CW410" i="8"/>
  <c r="K410" i="8" s="1"/>
  <c r="CX410" i="8"/>
  <c r="L410" i="8" s="1"/>
  <c r="CY410" i="8"/>
  <c r="M410" i="8" s="1"/>
  <c r="CT411" i="8"/>
  <c r="H411" i="8" s="1"/>
  <c r="CU411" i="8"/>
  <c r="I411" i="8" s="1"/>
  <c r="CV411" i="8"/>
  <c r="J411" i="8" s="1"/>
  <c r="CW411" i="8"/>
  <c r="K411" i="8" s="1"/>
  <c r="CX411" i="8"/>
  <c r="L411" i="8" s="1"/>
  <c r="CY411" i="8"/>
  <c r="M411" i="8" s="1"/>
  <c r="CT412" i="8"/>
  <c r="H412" i="8" s="1"/>
  <c r="CU412" i="8"/>
  <c r="I412" i="8" s="1"/>
  <c r="CV412" i="8"/>
  <c r="J412" i="8" s="1"/>
  <c r="CW412" i="8"/>
  <c r="K412" i="8" s="1"/>
  <c r="CX412" i="8"/>
  <c r="L412" i="8" s="1"/>
  <c r="CY412" i="8"/>
  <c r="M412" i="8" s="1"/>
  <c r="CT413" i="8"/>
  <c r="H413" i="8" s="1"/>
  <c r="CU413" i="8"/>
  <c r="I413" i="8" s="1"/>
  <c r="CV413" i="8"/>
  <c r="J413" i="8" s="1"/>
  <c r="CW413" i="8"/>
  <c r="K413" i="8" s="1"/>
  <c r="CX413" i="8"/>
  <c r="L413" i="8" s="1"/>
  <c r="CY413" i="8"/>
  <c r="M413" i="8" s="1"/>
  <c r="CT414" i="8"/>
  <c r="H414" i="8" s="1"/>
  <c r="CU414" i="8"/>
  <c r="I414" i="8" s="1"/>
  <c r="CV414" i="8"/>
  <c r="J414" i="8" s="1"/>
  <c r="CW414" i="8"/>
  <c r="K414" i="8" s="1"/>
  <c r="CX414" i="8"/>
  <c r="L414" i="8" s="1"/>
  <c r="CY414" i="8"/>
  <c r="M414" i="8" s="1"/>
  <c r="CT415" i="8"/>
  <c r="H415" i="8" s="1"/>
  <c r="CU415" i="8"/>
  <c r="I415" i="8" s="1"/>
  <c r="CV415" i="8"/>
  <c r="J415" i="8" s="1"/>
  <c r="CW415" i="8"/>
  <c r="K415" i="8" s="1"/>
  <c r="CX415" i="8"/>
  <c r="L415" i="8" s="1"/>
  <c r="CY415" i="8"/>
  <c r="M415" i="8" s="1"/>
  <c r="CT416" i="8"/>
  <c r="H416" i="8" s="1"/>
  <c r="CU416" i="8"/>
  <c r="I416" i="8" s="1"/>
  <c r="CV416" i="8"/>
  <c r="J416" i="8" s="1"/>
  <c r="CW416" i="8"/>
  <c r="K416" i="8" s="1"/>
  <c r="CX416" i="8"/>
  <c r="L416" i="8" s="1"/>
  <c r="CY416" i="8"/>
  <c r="M416" i="8" s="1"/>
  <c r="CT417" i="8"/>
  <c r="H417" i="8" s="1"/>
  <c r="CU417" i="8"/>
  <c r="I417" i="8" s="1"/>
  <c r="CV417" i="8"/>
  <c r="J417" i="8" s="1"/>
  <c r="CW417" i="8"/>
  <c r="K417" i="8" s="1"/>
  <c r="CX417" i="8"/>
  <c r="L417" i="8" s="1"/>
  <c r="CY417" i="8"/>
  <c r="M417" i="8" s="1"/>
  <c r="CT418" i="8"/>
  <c r="H418" i="8" s="1"/>
  <c r="CU418" i="8"/>
  <c r="I418" i="8" s="1"/>
  <c r="CV418" i="8"/>
  <c r="J418" i="8" s="1"/>
  <c r="CW418" i="8"/>
  <c r="K418" i="8" s="1"/>
  <c r="CX418" i="8"/>
  <c r="L418" i="8" s="1"/>
  <c r="CY418" i="8"/>
  <c r="M418" i="8" s="1"/>
  <c r="CT419" i="8"/>
  <c r="H419" i="8" s="1"/>
  <c r="CU419" i="8"/>
  <c r="I419" i="8" s="1"/>
  <c r="CV419" i="8"/>
  <c r="J419" i="8" s="1"/>
  <c r="CW419" i="8"/>
  <c r="K419" i="8" s="1"/>
  <c r="CX419" i="8"/>
  <c r="L419" i="8" s="1"/>
  <c r="CY419" i="8"/>
  <c r="M419" i="8" s="1"/>
  <c r="CT420" i="8"/>
  <c r="H420" i="8" s="1"/>
  <c r="CU420" i="8"/>
  <c r="I420" i="8" s="1"/>
  <c r="CV420" i="8"/>
  <c r="J420" i="8" s="1"/>
  <c r="CW420" i="8"/>
  <c r="K420" i="8" s="1"/>
  <c r="CX420" i="8"/>
  <c r="L420" i="8" s="1"/>
  <c r="CY420" i="8"/>
  <c r="M420" i="8" s="1"/>
  <c r="CT421" i="8"/>
  <c r="H421" i="8" s="1"/>
  <c r="CU421" i="8"/>
  <c r="I421" i="8" s="1"/>
  <c r="CV421" i="8"/>
  <c r="J421" i="8" s="1"/>
  <c r="CW421" i="8"/>
  <c r="K421" i="8" s="1"/>
  <c r="CX421" i="8"/>
  <c r="L421" i="8" s="1"/>
  <c r="CY421" i="8"/>
  <c r="M421" i="8" s="1"/>
  <c r="CT422" i="8"/>
  <c r="H422" i="8" s="1"/>
  <c r="CU422" i="8"/>
  <c r="I422" i="8" s="1"/>
  <c r="CV422" i="8"/>
  <c r="J422" i="8" s="1"/>
  <c r="CW422" i="8"/>
  <c r="K422" i="8" s="1"/>
  <c r="CX422" i="8"/>
  <c r="L422" i="8" s="1"/>
  <c r="CY422" i="8"/>
  <c r="M422" i="8" s="1"/>
  <c r="CT423" i="8"/>
  <c r="H423" i="8" s="1"/>
  <c r="CU423" i="8"/>
  <c r="I423" i="8" s="1"/>
  <c r="CV423" i="8"/>
  <c r="J423" i="8" s="1"/>
  <c r="CW423" i="8"/>
  <c r="K423" i="8" s="1"/>
  <c r="CX423" i="8"/>
  <c r="L423" i="8" s="1"/>
  <c r="CY423" i="8"/>
  <c r="M423" i="8" s="1"/>
  <c r="CT424" i="8"/>
  <c r="H424" i="8" s="1"/>
  <c r="CU424" i="8"/>
  <c r="I424" i="8" s="1"/>
  <c r="CV424" i="8"/>
  <c r="J424" i="8" s="1"/>
  <c r="CW424" i="8"/>
  <c r="K424" i="8" s="1"/>
  <c r="CX424" i="8"/>
  <c r="L424" i="8" s="1"/>
  <c r="CY424" i="8"/>
  <c r="M424" i="8" s="1"/>
  <c r="CT425" i="8"/>
  <c r="H425" i="8" s="1"/>
  <c r="CU425" i="8"/>
  <c r="I425" i="8" s="1"/>
  <c r="CV425" i="8"/>
  <c r="J425" i="8" s="1"/>
  <c r="CW425" i="8"/>
  <c r="K425" i="8" s="1"/>
  <c r="CX425" i="8"/>
  <c r="L425" i="8" s="1"/>
  <c r="CY425" i="8"/>
  <c r="M425" i="8" s="1"/>
  <c r="CT426" i="8"/>
  <c r="H426" i="8" s="1"/>
  <c r="CU426" i="8"/>
  <c r="I426" i="8" s="1"/>
  <c r="CV426" i="8"/>
  <c r="J426" i="8" s="1"/>
  <c r="CW426" i="8"/>
  <c r="K426" i="8" s="1"/>
  <c r="CX426" i="8"/>
  <c r="L426" i="8" s="1"/>
  <c r="CY426" i="8"/>
  <c r="M426" i="8" s="1"/>
  <c r="CT427" i="8"/>
  <c r="H427" i="8" s="1"/>
  <c r="CU427" i="8"/>
  <c r="I427" i="8" s="1"/>
  <c r="CV427" i="8"/>
  <c r="J427" i="8" s="1"/>
  <c r="CW427" i="8"/>
  <c r="K427" i="8" s="1"/>
  <c r="CX427" i="8"/>
  <c r="L427" i="8" s="1"/>
  <c r="CY427" i="8"/>
  <c r="M427" i="8" s="1"/>
  <c r="CT428" i="8"/>
  <c r="H428" i="8" s="1"/>
  <c r="CU428" i="8"/>
  <c r="I428" i="8" s="1"/>
  <c r="CV428" i="8"/>
  <c r="J428" i="8" s="1"/>
  <c r="CW428" i="8"/>
  <c r="K428" i="8" s="1"/>
  <c r="CX428" i="8"/>
  <c r="L428" i="8" s="1"/>
  <c r="CY428" i="8"/>
  <c r="M428" i="8" s="1"/>
  <c r="CT429" i="8"/>
  <c r="H429" i="8" s="1"/>
  <c r="CU429" i="8"/>
  <c r="I429" i="8" s="1"/>
  <c r="CV429" i="8"/>
  <c r="J429" i="8" s="1"/>
  <c r="CW429" i="8"/>
  <c r="K429" i="8" s="1"/>
  <c r="CX429" i="8"/>
  <c r="L429" i="8" s="1"/>
  <c r="CY429" i="8"/>
  <c r="M429" i="8" s="1"/>
  <c r="CT430" i="8"/>
  <c r="H430" i="8" s="1"/>
  <c r="CU430" i="8"/>
  <c r="I430" i="8" s="1"/>
  <c r="CV430" i="8"/>
  <c r="J430" i="8" s="1"/>
  <c r="CW430" i="8"/>
  <c r="K430" i="8" s="1"/>
  <c r="CX430" i="8"/>
  <c r="L430" i="8" s="1"/>
  <c r="CY430" i="8"/>
  <c r="M430" i="8" s="1"/>
  <c r="CT431" i="8"/>
  <c r="H431" i="8" s="1"/>
  <c r="CU431" i="8"/>
  <c r="I431" i="8" s="1"/>
  <c r="CV431" i="8"/>
  <c r="J431" i="8" s="1"/>
  <c r="CW431" i="8"/>
  <c r="K431" i="8" s="1"/>
  <c r="CX431" i="8"/>
  <c r="L431" i="8" s="1"/>
  <c r="CY431" i="8"/>
  <c r="M431" i="8" s="1"/>
  <c r="CT432" i="8"/>
  <c r="H432" i="8" s="1"/>
  <c r="CU432" i="8"/>
  <c r="I432" i="8" s="1"/>
  <c r="CV432" i="8"/>
  <c r="J432" i="8" s="1"/>
  <c r="CW432" i="8"/>
  <c r="K432" i="8" s="1"/>
  <c r="CX432" i="8"/>
  <c r="L432" i="8" s="1"/>
  <c r="CY432" i="8"/>
  <c r="M432" i="8" s="1"/>
  <c r="CT433" i="8"/>
  <c r="H433" i="8" s="1"/>
  <c r="CU433" i="8"/>
  <c r="I433" i="8" s="1"/>
  <c r="CV433" i="8"/>
  <c r="J433" i="8" s="1"/>
  <c r="CW433" i="8"/>
  <c r="K433" i="8" s="1"/>
  <c r="CX433" i="8"/>
  <c r="L433" i="8" s="1"/>
  <c r="CY433" i="8"/>
  <c r="M433" i="8" s="1"/>
  <c r="CT434" i="8"/>
  <c r="H434" i="8" s="1"/>
  <c r="CU434" i="8"/>
  <c r="I434" i="8" s="1"/>
  <c r="CV434" i="8"/>
  <c r="J434" i="8" s="1"/>
  <c r="CW434" i="8"/>
  <c r="K434" i="8" s="1"/>
  <c r="CX434" i="8"/>
  <c r="L434" i="8" s="1"/>
  <c r="CY434" i="8"/>
  <c r="M434" i="8" s="1"/>
  <c r="CT435" i="8"/>
  <c r="H435" i="8" s="1"/>
  <c r="CU435" i="8"/>
  <c r="I435" i="8" s="1"/>
  <c r="CV435" i="8"/>
  <c r="J435" i="8" s="1"/>
  <c r="CW435" i="8"/>
  <c r="K435" i="8" s="1"/>
  <c r="CX435" i="8"/>
  <c r="L435" i="8" s="1"/>
  <c r="CY435" i="8"/>
  <c r="M435" i="8" s="1"/>
  <c r="CT436" i="8"/>
  <c r="H436" i="8" s="1"/>
  <c r="CU436" i="8"/>
  <c r="I436" i="8" s="1"/>
  <c r="CV436" i="8"/>
  <c r="J436" i="8" s="1"/>
  <c r="CW436" i="8"/>
  <c r="K436" i="8" s="1"/>
  <c r="CX436" i="8"/>
  <c r="L436" i="8" s="1"/>
  <c r="CY436" i="8"/>
  <c r="M436" i="8" s="1"/>
  <c r="CT437" i="8"/>
  <c r="H437" i="8" s="1"/>
  <c r="CU437" i="8"/>
  <c r="I437" i="8" s="1"/>
  <c r="CV437" i="8"/>
  <c r="J437" i="8" s="1"/>
  <c r="CW437" i="8"/>
  <c r="K437" i="8" s="1"/>
  <c r="CX437" i="8"/>
  <c r="L437" i="8" s="1"/>
  <c r="CY437" i="8"/>
  <c r="M437" i="8" s="1"/>
  <c r="CT438" i="8"/>
  <c r="H438" i="8" s="1"/>
  <c r="CU438" i="8"/>
  <c r="I438" i="8" s="1"/>
  <c r="CV438" i="8"/>
  <c r="J438" i="8" s="1"/>
  <c r="CW438" i="8"/>
  <c r="K438" i="8" s="1"/>
  <c r="CX438" i="8"/>
  <c r="L438" i="8" s="1"/>
  <c r="CY438" i="8"/>
  <c r="M438" i="8" s="1"/>
  <c r="CT439" i="8"/>
  <c r="H439" i="8" s="1"/>
  <c r="CU439" i="8"/>
  <c r="I439" i="8" s="1"/>
  <c r="CV439" i="8"/>
  <c r="J439" i="8" s="1"/>
  <c r="CW439" i="8"/>
  <c r="K439" i="8" s="1"/>
  <c r="CX439" i="8"/>
  <c r="L439" i="8" s="1"/>
  <c r="CY439" i="8"/>
  <c r="M439" i="8" s="1"/>
  <c r="CT440" i="8"/>
  <c r="H440" i="8" s="1"/>
  <c r="CU440" i="8"/>
  <c r="I440" i="8" s="1"/>
  <c r="CV440" i="8"/>
  <c r="J440" i="8" s="1"/>
  <c r="CW440" i="8"/>
  <c r="K440" i="8" s="1"/>
  <c r="CX440" i="8"/>
  <c r="L440" i="8" s="1"/>
  <c r="CY440" i="8"/>
  <c r="M440" i="8" s="1"/>
  <c r="CT441" i="8"/>
  <c r="H441" i="8" s="1"/>
  <c r="CU441" i="8"/>
  <c r="I441" i="8" s="1"/>
  <c r="CV441" i="8"/>
  <c r="J441" i="8" s="1"/>
  <c r="CW441" i="8"/>
  <c r="K441" i="8" s="1"/>
  <c r="CX441" i="8"/>
  <c r="L441" i="8" s="1"/>
  <c r="CY441" i="8"/>
  <c r="M441" i="8" s="1"/>
  <c r="CT442" i="8"/>
  <c r="H442" i="8" s="1"/>
  <c r="CU442" i="8"/>
  <c r="I442" i="8" s="1"/>
  <c r="CV442" i="8"/>
  <c r="J442" i="8" s="1"/>
  <c r="CW442" i="8"/>
  <c r="K442" i="8" s="1"/>
  <c r="CX442" i="8"/>
  <c r="L442" i="8" s="1"/>
  <c r="CY442" i="8"/>
  <c r="M442" i="8" s="1"/>
  <c r="CT443" i="8"/>
  <c r="H443" i="8" s="1"/>
  <c r="CU443" i="8"/>
  <c r="I443" i="8" s="1"/>
  <c r="CV443" i="8"/>
  <c r="J443" i="8" s="1"/>
  <c r="CW443" i="8"/>
  <c r="K443" i="8" s="1"/>
  <c r="CX443" i="8"/>
  <c r="L443" i="8" s="1"/>
  <c r="CY443" i="8"/>
  <c r="M443" i="8" s="1"/>
  <c r="CT444" i="8"/>
  <c r="H444" i="8" s="1"/>
  <c r="CU444" i="8"/>
  <c r="I444" i="8" s="1"/>
  <c r="CV444" i="8"/>
  <c r="J444" i="8" s="1"/>
  <c r="CW444" i="8"/>
  <c r="K444" i="8" s="1"/>
  <c r="CX444" i="8"/>
  <c r="L444" i="8" s="1"/>
  <c r="CY444" i="8"/>
  <c r="M444" i="8" s="1"/>
  <c r="CT445" i="8"/>
  <c r="H445" i="8" s="1"/>
  <c r="CU445" i="8"/>
  <c r="I445" i="8" s="1"/>
  <c r="CV445" i="8"/>
  <c r="J445" i="8" s="1"/>
  <c r="CW445" i="8"/>
  <c r="K445" i="8" s="1"/>
  <c r="CX445" i="8"/>
  <c r="L445" i="8" s="1"/>
  <c r="CY445" i="8"/>
  <c r="M445" i="8" s="1"/>
  <c r="CT446" i="8"/>
  <c r="H446" i="8" s="1"/>
  <c r="CU446" i="8"/>
  <c r="I446" i="8" s="1"/>
  <c r="CV446" i="8"/>
  <c r="J446" i="8" s="1"/>
  <c r="CW446" i="8"/>
  <c r="K446" i="8" s="1"/>
  <c r="CX446" i="8"/>
  <c r="L446" i="8" s="1"/>
  <c r="CY446" i="8"/>
  <c r="M446" i="8" s="1"/>
  <c r="CT447" i="8"/>
  <c r="H447" i="8" s="1"/>
  <c r="CU447" i="8"/>
  <c r="I447" i="8" s="1"/>
  <c r="CV447" i="8"/>
  <c r="J447" i="8" s="1"/>
  <c r="CW447" i="8"/>
  <c r="K447" i="8" s="1"/>
  <c r="CX447" i="8"/>
  <c r="L447" i="8" s="1"/>
  <c r="CY447" i="8"/>
  <c r="M447" i="8" s="1"/>
  <c r="CT448" i="8"/>
  <c r="H448" i="8" s="1"/>
  <c r="CU448" i="8"/>
  <c r="I448" i="8" s="1"/>
  <c r="CV448" i="8"/>
  <c r="J448" i="8" s="1"/>
  <c r="CW448" i="8"/>
  <c r="K448" i="8" s="1"/>
  <c r="CX448" i="8"/>
  <c r="L448" i="8" s="1"/>
  <c r="CY448" i="8"/>
  <c r="M448" i="8" s="1"/>
  <c r="CT449" i="8"/>
  <c r="H449" i="8" s="1"/>
  <c r="CU449" i="8"/>
  <c r="I449" i="8" s="1"/>
  <c r="CV449" i="8"/>
  <c r="J449" i="8" s="1"/>
  <c r="CW449" i="8"/>
  <c r="K449" i="8" s="1"/>
  <c r="CX449" i="8"/>
  <c r="L449" i="8" s="1"/>
  <c r="CY449" i="8"/>
  <c r="M449" i="8" s="1"/>
  <c r="CT450" i="8"/>
  <c r="H450" i="8" s="1"/>
  <c r="CU450" i="8"/>
  <c r="I450" i="8" s="1"/>
  <c r="CV450" i="8"/>
  <c r="J450" i="8" s="1"/>
  <c r="CW450" i="8"/>
  <c r="K450" i="8" s="1"/>
  <c r="CX450" i="8"/>
  <c r="L450" i="8" s="1"/>
  <c r="CY450" i="8"/>
  <c r="M450" i="8" s="1"/>
  <c r="CT451" i="8"/>
  <c r="H451" i="8" s="1"/>
  <c r="CU451" i="8"/>
  <c r="I451" i="8" s="1"/>
  <c r="CV451" i="8"/>
  <c r="J451" i="8" s="1"/>
  <c r="CW451" i="8"/>
  <c r="K451" i="8" s="1"/>
  <c r="CX451" i="8"/>
  <c r="L451" i="8" s="1"/>
  <c r="CY451" i="8"/>
  <c r="M451" i="8" s="1"/>
  <c r="CT452" i="8"/>
  <c r="H452" i="8" s="1"/>
  <c r="CU452" i="8"/>
  <c r="I452" i="8" s="1"/>
  <c r="CV452" i="8"/>
  <c r="J452" i="8" s="1"/>
  <c r="CW452" i="8"/>
  <c r="K452" i="8" s="1"/>
  <c r="CX452" i="8"/>
  <c r="L452" i="8" s="1"/>
  <c r="CY452" i="8"/>
  <c r="M452" i="8" s="1"/>
  <c r="CT453" i="8"/>
  <c r="H453" i="8" s="1"/>
  <c r="CU453" i="8"/>
  <c r="I453" i="8" s="1"/>
  <c r="CV453" i="8"/>
  <c r="J453" i="8" s="1"/>
  <c r="CW453" i="8"/>
  <c r="K453" i="8" s="1"/>
  <c r="CX453" i="8"/>
  <c r="L453" i="8" s="1"/>
  <c r="CY453" i="8"/>
  <c r="M453" i="8" s="1"/>
  <c r="CT454" i="8"/>
  <c r="H454" i="8" s="1"/>
  <c r="CU454" i="8"/>
  <c r="I454" i="8" s="1"/>
  <c r="CV454" i="8"/>
  <c r="J454" i="8" s="1"/>
  <c r="CW454" i="8"/>
  <c r="K454" i="8" s="1"/>
  <c r="CX454" i="8"/>
  <c r="L454" i="8" s="1"/>
  <c r="CY454" i="8"/>
  <c r="M454" i="8" s="1"/>
  <c r="CT455" i="8"/>
  <c r="H455" i="8" s="1"/>
  <c r="CU455" i="8"/>
  <c r="I455" i="8" s="1"/>
  <c r="CV455" i="8"/>
  <c r="J455" i="8" s="1"/>
  <c r="CW455" i="8"/>
  <c r="K455" i="8" s="1"/>
  <c r="CX455" i="8"/>
  <c r="L455" i="8" s="1"/>
  <c r="CY455" i="8"/>
  <c r="M455" i="8" s="1"/>
  <c r="CT456" i="8"/>
  <c r="H456" i="8" s="1"/>
  <c r="CU456" i="8"/>
  <c r="I456" i="8" s="1"/>
  <c r="CV456" i="8"/>
  <c r="J456" i="8" s="1"/>
  <c r="CW456" i="8"/>
  <c r="K456" i="8" s="1"/>
  <c r="CX456" i="8"/>
  <c r="L456" i="8" s="1"/>
  <c r="CY456" i="8"/>
  <c r="M456" i="8" s="1"/>
  <c r="CT457" i="8"/>
  <c r="H457" i="8" s="1"/>
  <c r="CU457" i="8"/>
  <c r="I457" i="8" s="1"/>
  <c r="CV457" i="8"/>
  <c r="J457" i="8" s="1"/>
  <c r="CW457" i="8"/>
  <c r="K457" i="8" s="1"/>
  <c r="CX457" i="8"/>
  <c r="L457" i="8" s="1"/>
  <c r="CY457" i="8"/>
  <c r="M457" i="8" s="1"/>
  <c r="CT458" i="8"/>
  <c r="H458" i="8" s="1"/>
  <c r="CU458" i="8"/>
  <c r="I458" i="8" s="1"/>
  <c r="CV458" i="8"/>
  <c r="J458" i="8" s="1"/>
  <c r="CW458" i="8"/>
  <c r="K458" i="8" s="1"/>
  <c r="CX458" i="8"/>
  <c r="L458" i="8" s="1"/>
  <c r="CY458" i="8"/>
  <c r="M458" i="8" s="1"/>
  <c r="CT459" i="8"/>
  <c r="H459" i="8" s="1"/>
  <c r="CU459" i="8"/>
  <c r="I459" i="8" s="1"/>
  <c r="CV459" i="8"/>
  <c r="J459" i="8" s="1"/>
  <c r="CW459" i="8"/>
  <c r="K459" i="8" s="1"/>
  <c r="CX459" i="8"/>
  <c r="L459" i="8" s="1"/>
  <c r="CY459" i="8"/>
  <c r="M459" i="8" s="1"/>
  <c r="CT460" i="8"/>
  <c r="H460" i="8" s="1"/>
  <c r="CU460" i="8"/>
  <c r="I460" i="8" s="1"/>
  <c r="CV460" i="8"/>
  <c r="J460" i="8" s="1"/>
  <c r="CW460" i="8"/>
  <c r="K460" i="8" s="1"/>
  <c r="CX460" i="8"/>
  <c r="L460" i="8" s="1"/>
  <c r="CY460" i="8"/>
  <c r="M460" i="8" s="1"/>
  <c r="CT461" i="8"/>
  <c r="H461" i="8" s="1"/>
  <c r="CU461" i="8"/>
  <c r="I461" i="8" s="1"/>
  <c r="CV461" i="8"/>
  <c r="J461" i="8" s="1"/>
  <c r="CW461" i="8"/>
  <c r="K461" i="8" s="1"/>
  <c r="CX461" i="8"/>
  <c r="L461" i="8" s="1"/>
  <c r="CY461" i="8"/>
  <c r="M461" i="8" s="1"/>
  <c r="CT462" i="8"/>
  <c r="H462" i="8" s="1"/>
  <c r="CU462" i="8"/>
  <c r="I462" i="8" s="1"/>
  <c r="CV462" i="8"/>
  <c r="J462" i="8" s="1"/>
  <c r="CW462" i="8"/>
  <c r="K462" i="8" s="1"/>
  <c r="CX462" i="8"/>
  <c r="L462" i="8" s="1"/>
  <c r="CY462" i="8"/>
  <c r="M462" i="8" s="1"/>
  <c r="CT463" i="8"/>
  <c r="H463" i="8" s="1"/>
  <c r="CU463" i="8"/>
  <c r="I463" i="8" s="1"/>
  <c r="CV463" i="8"/>
  <c r="J463" i="8" s="1"/>
  <c r="CW463" i="8"/>
  <c r="K463" i="8" s="1"/>
  <c r="CX463" i="8"/>
  <c r="L463" i="8" s="1"/>
  <c r="CY463" i="8"/>
  <c r="M463" i="8" s="1"/>
  <c r="CT464" i="8"/>
  <c r="H464" i="8" s="1"/>
  <c r="CU464" i="8"/>
  <c r="I464" i="8" s="1"/>
  <c r="CV464" i="8"/>
  <c r="J464" i="8" s="1"/>
  <c r="CW464" i="8"/>
  <c r="K464" i="8" s="1"/>
  <c r="CX464" i="8"/>
  <c r="L464" i="8" s="1"/>
  <c r="CY464" i="8"/>
  <c r="M464" i="8" s="1"/>
  <c r="CT465" i="8"/>
  <c r="H465" i="8" s="1"/>
  <c r="CU465" i="8"/>
  <c r="I465" i="8" s="1"/>
  <c r="CV465" i="8"/>
  <c r="J465" i="8" s="1"/>
  <c r="CW465" i="8"/>
  <c r="K465" i="8" s="1"/>
  <c r="CX465" i="8"/>
  <c r="L465" i="8" s="1"/>
  <c r="CY465" i="8"/>
  <c r="M465" i="8" s="1"/>
  <c r="CT466" i="8"/>
  <c r="H466" i="8" s="1"/>
  <c r="CU466" i="8"/>
  <c r="I466" i="8" s="1"/>
  <c r="CV466" i="8"/>
  <c r="J466" i="8" s="1"/>
  <c r="CW466" i="8"/>
  <c r="K466" i="8" s="1"/>
  <c r="CX466" i="8"/>
  <c r="L466" i="8" s="1"/>
  <c r="CY466" i="8"/>
  <c r="M466" i="8" s="1"/>
  <c r="CT467" i="8"/>
  <c r="H467" i="8" s="1"/>
  <c r="CU467" i="8"/>
  <c r="I467" i="8" s="1"/>
  <c r="CV467" i="8"/>
  <c r="J467" i="8" s="1"/>
  <c r="CW467" i="8"/>
  <c r="K467" i="8" s="1"/>
  <c r="CX467" i="8"/>
  <c r="L467" i="8" s="1"/>
  <c r="CY467" i="8"/>
  <c r="M467" i="8" s="1"/>
  <c r="CT468" i="8"/>
  <c r="H468" i="8" s="1"/>
  <c r="CU468" i="8"/>
  <c r="I468" i="8" s="1"/>
  <c r="CV468" i="8"/>
  <c r="J468" i="8" s="1"/>
  <c r="CW468" i="8"/>
  <c r="K468" i="8" s="1"/>
  <c r="CX468" i="8"/>
  <c r="L468" i="8" s="1"/>
  <c r="CY468" i="8"/>
  <c r="M468" i="8" s="1"/>
  <c r="CT469" i="8"/>
  <c r="H469" i="8" s="1"/>
  <c r="CU469" i="8"/>
  <c r="I469" i="8" s="1"/>
  <c r="CV469" i="8"/>
  <c r="J469" i="8" s="1"/>
  <c r="CW469" i="8"/>
  <c r="K469" i="8" s="1"/>
  <c r="CX469" i="8"/>
  <c r="L469" i="8" s="1"/>
  <c r="CY469" i="8"/>
  <c r="M469" i="8" s="1"/>
  <c r="CT470" i="8"/>
  <c r="H470" i="8" s="1"/>
  <c r="CU470" i="8"/>
  <c r="I470" i="8" s="1"/>
  <c r="CV470" i="8"/>
  <c r="J470" i="8" s="1"/>
  <c r="CW470" i="8"/>
  <c r="K470" i="8" s="1"/>
  <c r="CX470" i="8"/>
  <c r="L470" i="8" s="1"/>
  <c r="CY470" i="8"/>
  <c r="M470" i="8" s="1"/>
  <c r="CT471" i="8"/>
  <c r="H471" i="8" s="1"/>
  <c r="CU471" i="8"/>
  <c r="I471" i="8" s="1"/>
  <c r="CV471" i="8"/>
  <c r="J471" i="8" s="1"/>
  <c r="CW471" i="8"/>
  <c r="K471" i="8" s="1"/>
  <c r="CX471" i="8"/>
  <c r="L471" i="8" s="1"/>
  <c r="CY471" i="8"/>
  <c r="M471" i="8" s="1"/>
  <c r="CT472" i="8"/>
  <c r="H472" i="8" s="1"/>
  <c r="CU472" i="8"/>
  <c r="I472" i="8" s="1"/>
  <c r="CV472" i="8"/>
  <c r="J472" i="8" s="1"/>
  <c r="CW472" i="8"/>
  <c r="K472" i="8" s="1"/>
  <c r="CX472" i="8"/>
  <c r="L472" i="8" s="1"/>
  <c r="CY472" i="8"/>
  <c r="M472" i="8" s="1"/>
  <c r="CT473" i="8"/>
  <c r="H473" i="8" s="1"/>
  <c r="CU473" i="8"/>
  <c r="I473" i="8" s="1"/>
  <c r="CV473" i="8"/>
  <c r="J473" i="8" s="1"/>
  <c r="CW473" i="8"/>
  <c r="K473" i="8" s="1"/>
  <c r="CX473" i="8"/>
  <c r="L473" i="8" s="1"/>
  <c r="CY473" i="8"/>
  <c r="M473" i="8" s="1"/>
  <c r="CT474" i="8"/>
  <c r="H474" i="8" s="1"/>
  <c r="CU474" i="8"/>
  <c r="I474" i="8" s="1"/>
  <c r="CV474" i="8"/>
  <c r="J474" i="8" s="1"/>
  <c r="CW474" i="8"/>
  <c r="K474" i="8" s="1"/>
  <c r="CX474" i="8"/>
  <c r="L474" i="8" s="1"/>
  <c r="CY474" i="8"/>
  <c r="M474" i="8" s="1"/>
  <c r="CT475" i="8"/>
  <c r="H475" i="8" s="1"/>
  <c r="CU475" i="8"/>
  <c r="I475" i="8" s="1"/>
  <c r="CV475" i="8"/>
  <c r="J475" i="8" s="1"/>
  <c r="CW475" i="8"/>
  <c r="K475" i="8" s="1"/>
  <c r="CX475" i="8"/>
  <c r="L475" i="8" s="1"/>
  <c r="CY475" i="8"/>
  <c r="M475" i="8" s="1"/>
  <c r="CT476" i="8"/>
  <c r="H476" i="8" s="1"/>
  <c r="CU476" i="8"/>
  <c r="I476" i="8" s="1"/>
  <c r="CV476" i="8"/>
  <c r="J476" i="8" s="1"/>
  <c r="CW476" i="8"/>
  <c r="K476" i="8" s="1"/>
  <c r="CX476" i="8"/>
  <c r="L476" i="8" s="1"/>
  <c r="CY476" i="8"/>
  <c r="M476" i="8" s="1"/>
  <c r="CT477" i="8"/>
  <c r="H477" i="8" s="1"/>
  <c r="CU477" i="8"/>
  <c r="I477" i="8" s="1"/>
  <c r="CV477" i="8"/>
  <c r="J477" i="8" s="1"/>
  <c r="CW477" i="8"/>
  <c r="K477" i="8" s="1"/>
  <c r="CX477" i="8"/>
  <c r="L477" i="8" s="1"/>
  <c r="CY477" i="8"/>
  <c r="M477" i="8" s="1"/>
  <c r="CT478" i="8"/>
  <c r="H478" i="8" s="1"/>
  <c r="CU478" i="8"/>
  <c r="I478" i="8" s="1"/>
  <c r="CV478" i="8"/>
  <c r="J478" i="8" s="1"/>
  <c r="CW478" i="8"/>
  <c r="K478" i="8" s="1"/>
  <c r="CX478" i="8"/>
  <c r="L478" i="8" s="1"/>
  <c r="CY478" i="8"/>
  <c r="M478" i="8" s="1"/>
  <c r="CT479" i="8"/>
  <c r="H479" i="8" s="1"/>
  <c r="CU479" i="8"/>
  <c r="I479" i="8" s="1"/>
  <c r="CV479" i="8"/>
  <c r="J479" i="8" s="1"/>
  <c r="CW479" i="8"/>
  <c r="K479" i="8" s="1"/>
  <c r="CX479" i="8"/>
  <c r="L479" i="8" s="1"/>
  <c r="CY479" i="8"/>
  <c r="M479" i="8" s="1"/>
  <c r="CT480" i="8"/>
  <c r="H480" i="8" s="1"/>
  <c r="CU480" i="8"/>
  <c r="I480" i="8" s="1"/>
  <c r="CV480" i="8"/>
  <c r="J480" i="8" s="1"/>
  <c r="CW480" i="8"/>
  <c r="K480" i="8" s="1"/>
  <c r="CX480" i="8"/>
  <c r="L480" i="8" s="1"/>
  <c r="CY480" i="8"/>
  <c r="M480" i="8" s="1"/>
  <c r="CT481" i="8"/>
  <c r="H481" i="8" s="1"/>
  <c r="CU481" i="8"/>
  <c r="I481" i="8" s="1"/>
  <c r="CV481" i="8"/>
  <c r="J481" i="8" s="1"/>
  <c r="CW481" i="8"/>
  <c r="K481" i="8" s="1"/>
  <c r="CX481" i="8"/>
  <c r="L481" i="8" s="1"/>
  <c r="CY481" i="8"/>
  <c r="M481" i="8" s="1"/>
  <c r="CT482" i="8"/>
  <c r="H482" i="8" s="1"/>
  <c r="CU482" i="8"/>
  <c r="I482" i="8" s="1"/>
  <c r="CV482" i="8"/>
  <c r="J482" i="8" s="1"/>
  <c r="CW482" i="8"/>
  <c r="K482" i="8" s="1"/>
  <c r="CX482" i="8"/>
  <c r="L482" i="8" s="1"/>
  <c r="CY482" i="8"/>
  <c r="M482" i="8" s="1"/>
  <c r="CT483" i="8"/>
  <c r="H483" i="8" s="1"/>
  <c r="CU483" i="8"/>
  <c r="I483" i="8" s="1"/>
  <c r="CV483" i="8"/>
  <c r="J483" i="8" s="1"/>
  <c r="CW483" i="8"/>
  <c r="K483" i="8" s="1"/>
  <c r="CX483" i="8"/>
  <c r="L483" i="8" s="1"/>
  <c r="CY483" i="8"/>
  <c r="M483" i="8" s="1"/>
  <c r="CT484" i="8"/>
  <c r="H484" i="8" s="1"/>
  <c r="CU484" i="8"/>
  <c r="I484" i="8" s="1"/>
  <c r="CV484" i="8"/>
  <c r="J484" i="8" s="1"/>
  <c r="CW484" i="8"/>
  <c r="K484" i="8" s="1"/>
  <c r="CX484" i="8"/>
  <c r="L484" i="8" s="1"/>
  <c r="CY484" i="8"/>
  <c r="M484" i="8" s="1"/>
  <c r="CT485" i="8"/>
  <c r="H485" i="8" s="1"/>
  <c r="CU485" i="8"/>
  <c r="I485" i="8" s="1"/>
  <c r="CV485" i="8"/>
  <c r="J485" i="8" s="1"/>
  <c r="CW485" i="8"/>
  <c r="K485" i="8" s="1"/>
  <c r="CX485" i="8"/>
  <c r="L485" i="8" s="1"/>
  <c r="CY485" i="8"/>
  <c r="M485" i="8" s="1"/>
  <c r="CT486" i="8"/>
  <c r="H486" i="8" s="1"/>
  <c r="CU486" i="8"/>
  <c r="I486" i="8" s="1"/>
  <c r="CV486" i="8"/>
  <c r="J486" i="8" s="1"/>
  <c r="CW486" i="8"/>
  <c r="K486" i="8" s="1"/>
  <c r="CX486" i="8"/>
  <c r="L486" i="8" s="1"/>
  <c r="CY486" i="8"/>
  <c r="M486" i="8" s="1"/>
  <c r="CT487" i="8"/>
  <c r="H487" i="8" s="1"/>
  <c r="CU487" i="8"/>
  <c r="I487" i="8" s="1"/>
  <c r="CV487" i="8"/>
  <c r="J487" i="8" s="1"/>
  <c r="CW487" i="8"/>
  <c r="K487" i="8" s="1"/>
  <c r="CX487" i="8"/>
  <c r="L487" i="8" s="1"/>
  <c r="CY487" i="8"/>
  <c r="M487" i="8" s="1"/>
  <c r="CT488" i="8"/>
  <c r="H488" i="8" s="1"/>
  <c r="CU488" i="8"/>
  <c r="I488" i="8" s="1"/>
  <c r="CV488" i="8"/>
  <c r="J488" i="8" s="1"/>
  <c r="CW488" i="8"/>
  <c r="K488" i="8" s="1"/>
  <c r="CX488" i="8"/>
  <c r="L488" i="8" s="1"/>
  <c r="CY488" i="8"/>
  <c r="M488" i="8" s="1"/>
  <c r="CT489" i="8"/>
  <c r="H489" i="8" s="1"/>
  <c r="CU489" i="8"/>
  <c r="I489" i="8" s="1"/>
  <c r="CV489" i="8"/>
  <c r="J489" i="8" s="1"/>
  <c r="CW489" i="8"/>
  <c r="K489" i="8" s="1"/>
  <c r="CX489" i="8"/>
  <c r="L489" i="8" s="1"/>
  <c r="CY489" i="8"/>
  <c r="M489" i="8" s="1"/>
  <c r="CT490" i="8"/>
  <c r="H490" i="8" s="1"/>
  <c r="CU490" i="8"/>
  <c r="I490" i="8" s="1"/>
  <c r="CV490" i="8"/>
  <c r="J490" i="8" s="1"/>
  <c r="CW490" i="8"/>
  <c r="K490" i="8" s="1"/>
  <c r="CX490" i="8"/>
  <c r="L490" i="8" s="1"/>
  <c r="CY490" i="8"/>
  <c r="M490" i="8" s="1"/>
  <c r="CT491" i="8"/>
  <c r="H491" i="8" s="1"/>
  <c r="CU491" i="8"/>
  <c r="I491" i="8" s="1"/>
  <c r="CV491" i="8"/>
  <c r="J491" i="8" s="1"/>
  <c r="CW491" i="8"/>
  <c r="K491" i="8" s="1"/>
  <c r="CX491" i="8"/>
  <c r="L491" i="8" s="1"/>
  <c r="CY491" i="8"/>
  <c r="M491" i="8" s="1"/>
  <c r="CT492" i="8"/>
  <c r="H492" i="8" s="1"/>
  <c r="CU492" i="8"/>
  <c r="I492" i="8" s="1"/>
  <c r="CV492" i="8"/>
  <c r="J492" i="8" s="1"/>
  <c r="CW492" i="8"/>
  <c r="K492" i="8" s="1"/>
  <c r="CX492" i="8"/>
  <c r="L492" i="8" s="1"/>
  <c r="CY492" i="8"/>
  <c r="M492" i="8" s="1"/>
  <c r="CT493" i="8"/>
  <c r="H493" i="8" s="1"/>
  <c r="CU493" i="8"/>
  <c r="I493" i="8" s="1"/>
  <c r="CV493" i="8"/>
  <c r="J493" i="8" s="1"/>
  <c r="CW493" i="8"/>
  <c r="K493" i="8" s="1"/>
  <c r="CX493" i="8"/>
  <c r="L493" i="8" s="1"/>
  <c r="CY493" i="8"/>
  <c r="M493" i="8" s="1"/>
  <c r="CT494" i="8"/>
  <c r="H494" i="8" s="1"/>
  <c r="CU494" i="8"/>
  <c r="I494" i="8" s="1"/>
  <c r="CV494" i="8"/>
  <c r="J494" i="8" s="1"/>
  <c r="CW494" i="8"/>
  <c r="K494" i="8" s="1"/>
  <c r="CX494" i="8"/>
  <c r="L494" i="8" s="1"/>
  <c r="CY494" i="8"/>
  <c r="M494" i="8" s="1"/>
  <c r="CT495" i="8"/>
  <c r="H495" i="8" s="1"/>
  <c r="CU495" i="8"/>
  <c r="I495" i="8" s="1"/>
  <c r="CV495" i="8"/>
  <c r="J495" i="8" s="1"/>
  <c r="CW495" i="8"/>
  <c r="K495" i="8" s="1"/>
  <c r="CX495" i="8"/>
  <c r="L495" i="8" s="1"/>
  <c r="CY495" i="8"/>
  <c r="M495" i="8" s="1"/>
  <c r="CT496" i="8"/>
  <c r="H496" i="8" s="1"/>
  <c r="CU496" i="8"/>
  <c r="I496" i="8" s="1"/>
  <c r="CV496" i="8"/>
  <c r="J496" i="8" s="1"/>
  <c r="CW496" i="8"/>
  <c r="K496" i="8" s="1"/>
  <c r="CX496" i="8"/>
  <c r="L496" i="8" s="1"/>
  <c r="CY496" i="8"/>
  <c r="M496" i="8" s="1"/>
  <c r="CT497" i="8"/>
  <c r="H497" i="8" s="1"/>
  <c r="CU497" i="8"/>
  <c r="I497" i="8" s="1"/>
  <c r="CV497" i="8"/>
  <c r="J497" i="8" s="1"/>
  <c r="CW497" i="8"/>
  <c r="K497" i="8" s="1"/>
  <c r="CX497" i="8"/>
  <c r="L497" i="8" s="1"/>
  <c r="CY497" i="8"/>
  <c r="M497" i="8" s="1"/>
  <c r="CT498" i="8"/>
  <c r="H498" i="8" s="1"/>
  <c r="CU498" i="8"/>
  <c r="I498" i="8" s="1"/>
  <c r="CV498" i="8"/>
  <c r="J498" i="8" s="1"/>
  <c r="CW498" i="8"/>
  <c r="K498" i="8" s="1"/>
  <c r="CX498" i="8"/>
  <c r="L498" i="8" s="1"/>
  <c r="CY498" i="8"/>
  <c r="M498" i="8" s="1"/>
  <c r="CT499" i="8"/>
  <c r="H499" i="8" s="1"/>
  <c r="CU499" i="8"/>
  <c r="I499" i="8" s="1"/>
  <c r="CV499" i="8"/>
  <c r="J499" i="8" s="1"/>
  <c r="CW499" i="8"/>
  <c r="K499" i="8" s="1"/>
  <c r="CX499" i="8"/>
  <c r="L499" i="8" s="1"/>
  <c r="CY499" i="8"/>
  <c r="M499" i="8" s="1"/>
  <c r="CT500" i="8"/>
  <c r="H500" i="8" s="1"/>
  <c r="CU500" i="8"/>
  <c r="I500" i="8" s="1"/>
  <c r="CV500" i="8"/>
  <c r="J500" i="8" s="1"/>
  <c r="CW500" i="8"/>
  <c r="K500" i="8" s="1"/>
  <c r="CX500" i="8"/>
  <c r="L500" i="8" s="1"/>
  <c r="CY500" i="8"/>
  <c r="M500" i="8" s="1"/>
  <c r="CT501" i="8"/>
  <c r="H501" i="8" s="1"/>
  <c r="CU501" i="8"/>
  <c r="I501" i="8" s="1"/>
  <c r="CV501" i="8"/>
  <c r="J501" i="8" s="1"/>
  <c r="CW501" i="8"/>
  <c r="K501" i="8" s="1"/>
  <c r="CX501" i="8"/>
  <c r="L501" i="8" s="1"/>
  <c r="CY501" i="8"/>
  <c r="M501" i="8" s="1"/>
  <c r="CT502" i="8"/>
  <c r="H502" i="8" s="1"/>
  <c r="CU502" i="8"/>
  <c r="I502" i="8" s="1"/>
  <c r="CV502" i="8"/>
  <c r="J502" i="8" s="1"/>
  <c r="CW502" i="8"/>
  <c r="K502" i="8" s="1"/>
  <c r="CX502" i="8"/>
  <c r="L502" i="8" s="1"/>
  <c r="CY502" i="8"/>
  <c r="M502" i="8" s="1"/>
  <c r="CT503" i="8"/>
  <c r="H503" i="8" s="1"/>
  <c r="CU503" i="8"/>
  <c r="I503" i="8" s="1"/>
  <c r="CV503" i="8"/>
  <c r="J503" i="8" s="1"/>
  <c r="CW503" i="8"/>
  <c r="K503" i="8" s="1"/>
  <c r="CX503" i="8"/>
  <c r="L503" i="8" s="1"/>
  <c r="CY503" i="8"/>
  <c r="M503" i="8" s="1"/>
  <c r="CT504" i="8"/>
  <c r="H504" i="8" s="1"/>
  <c r="CU504" i="8"/>
  <c r="I504" i="8" s="1"/>
  <c r="CV504" i="8"/>
  <c r="J504" i="8" s="1"/>
  <c r="CW504" i="8"/>
  <c r="K504" i="8" s="1"/>
  <c r="CX504" i="8"/>
  <c r="L504" i="8" s="1"/>
  <c r="CY504" i="8"/>
  <c r="M504" i="8" s="1"/>
  <c r="CT505" i="8"/>
  <c r="H505" i="8" s="1"/>
  <c r="CU505" i="8"/>
  <c r="I505" i="8" s="1"/>
  <c r="CV505" i="8"/>
  <c r="J505" i="8" s="1"/>
  <c r="CW505" i="8"/>
  <c r="K505" i="8" s="1"/>
  <c r="CX505" i="8"/>
  <c r="L505" i="8" s="1"/>
  <c r="CY505" i="8"/>
  <c r="M505" i="8" s="1"/>
  <c r="CT506" i="8"/>
  <c r="H506" i="8" s="1"/>
  <c r="CU506" i="8"/>
  <c r="I506" i="8" s="1"/>
  <c r="CV506" i="8"/>
  <c r="J506" i="8" s="1"/>
  <c r="CW506" i="8"/>
  <c r="K506" i="8" s="1"/>
  <c r="CX506" i="8"/>
  <c r="L506" i="8" s="1"/>
  <c r="CY506" i="8"/>
  <c r="M506" i="8" s="1"/>
  <c r="CT507" i="8"/>
  <c r="H507" i="8" s="1"/>
  <c r="CU507" i="8"/>
  <c r="I507" i="8" s="1"/>
  <c r="CV507" i="8"/>
  <c r="J507" i="8" s="1"/>
  <c r="CW507" i="8"/>
  <c r="K507" i="8" s="1"/>
  <c r="CX507" i="8"/>
  <c r="L507" i="8" s="1"/>
  <c r="CY507" i="8"/>
  <c r="M507" i="8" s="1"/>
  <c r="CT508" i="8"/>
  <c r="H508" i="8" s="1"/>
  <c r="CU508" i="8"/>
  <c r="I508" i="8" s="1"/>
  <c r="CV508" i="8"/>
  <c r="J508" i="8" s="1"/>
  <c r="CW508" i="8"/>
  <c r="K508" i="8" s="1"/>
  <c r="CX508" i="8"/>
  <c r="L508" i="8" s="1"/>
  <c r="CY508" i="8"/>
  <c r="M508" i="8" s="1"/>
  <c r="CT509" i="8"/>
  <c r="H509" i="8" s="1"/>
  <c r="CU509" i="8"/>
  <c r="I509" i="8" s="1"/>
  <c r="CV509" i="8"/>
  <c r="J509" i="8" s="1"/>
  <c r="CW509" i="8"/>
  <c r="K509" i="8" s="1"/>
  <c r="CX509" i="8"/>
  <c r="L509" i="8" s="1"/>
  <c r="CY509" i="8"/>
  <c r="M509" i="8" s="1"/>
  <c r="CT510" i="8"/>
  <c r="H510" i="8" s="1"/>
  <c r="CU510" i="8"/>
  <c r="I510" i="8" s="1"/>
  <c r="CV510" i="8"/>
  <c r="J510" i="8" s="1"/>
  <c r="CW510" i="8"/>
  <c r="K510" i="8" s="1"/>
  <c r="CX510" i="8"/>
  <c r="L510" i="8" s="1"/>
  <c r="CY510" i="8"/>
  <c r="M510" i="8" s="1"/>
  <c r="CT511" i="8"/>
  <c r="H511" i="8" s="1"/>
  <c r="CU511" i="8"/>
  <c r="I511" i="8" s="1"/>
  <c r="CV511" i="8"/>
  <c r="J511" i="8" s="1"/>
  <c r="CW511" i="8"/>
  <c r="K511" i="8" s="1"/>
  <c r="CX511" i="8"/>
  <c r="L511" i="8" s="1"/>
  <c r="CY511" i="8"/>
  <c r="M511" i="8" s="1"/>
  <c r="CT512" i="8"/>
  <c r="H512" i="8" s="1"/>
  <c r="CU512" i="8"/>
  <c r="I512" i="8" s="1"/>
  <c r="CV512" i="8"/>
  <c r="J512" i="8" s="1"/>
  <c r="CW512" i="8"/>
  <c r="K512" i="8" s="1"/>
  <c r="CX512" i="8"/>
  <c r="L512" i="8" s="1"/>
  <c r="CY512" i="8"/>
  <c r="M512" i="8" s="1"/>
  <c r="CT513" i="8"/>
  <c r="H513" i="8" s="1"/>
  <c r="CU513" i="8"/>
  <c r="I513" i="8" s="1"/>
  <c r="CV513" i="8"/>
  <c r="J513" i="8" s="1"/>
  <c r="CW513" i="8"/>
  <c r="K513" i="8" s="1"/>
  <c r="CX513" i="8"/>
  <c r="L513" i="8" s="1"/>
  <c r="CY513" i="8"/>
  <c r="M513" i="8" s="1"/>
  <c r="CT514" i="8"/>
  <c r="H514" i="8" s="1"/>
  <c r="CU514" i="8"/>
  <c r="I514" i="8" s="1"/>
  <c r="CV514" i="8"/>
  <c r="J514" i="8" s="1"/>
  <c r="CW514" i="8"/>
  <c r="K514" i="8" s="1"/>
  <c r="CX514" i="8"/>
  <c r="L514" i="8" s="1"/>
  <c r="CY514" i="8"/>
  <c r="M514" i="8" s="1"/>
  <c r="CT515" i="8"/>
  <c r="H515" i="8" s="1"/>
  <c r="CU515" i="8"/>
  <c r="I515" i="8" s="1"/>
  <c r="CV515" i="8"/>
  <c r="J515" i="8" s="1"/>
  <c r="CW515" i="8"/>
  <c r="K515" i="8" s="1"/>
  <c r="CX515" i="8"/>
  <c r="L515" i="8" s="1"/>
  <c r="CY515" i="8"/>
  <c r="M515" i="8" s="1"/>
  <c r="CT516" i="8"/>
  <c r="H516" i="8" s="1"/>
  <c r="CU516" i="8"/>
  <c r="I516" i="8" s="1"/>
  <c r="CV516" i="8"/>
  <c r="J516" i="8" s="1"/>
  <c r="CW516" i="8"/>
  <c r="K516" i="8" s="1"/>
  <c r="CX516" i="8"/>
  <c r="L516" i="8" s="1"/>
  <c r="CY516" i="8"/>
  <c r="M516" i="8" s="1"/>
  <c r="CT517" i="8"/>
  <c r="H517" i="8" s="1"/>
  <c r="CU517" i="8"/>
  <c r="I517" i="8" s="1"/>
  <c r="CV517" i="8"/>
  <c r="J517" i="8" s="1"/>
  <c r="CW517" i="8"/>
  <c r="K517" i="8" s="1"/>
  <c r="CX517" i="8"/>
  <c r="L517" i="8" s="1"/>
  <c r="CY517" i="8"/>
  <c r="M517" i="8" s="1"/>
  <c r="CT518" i="8"/>
  <c r="H518" i="8" s="1"/>
  <c r="CU518" i="8"/>
  <c r="I518" i="8" s="1"/>
  <c r="CV518" i="8"/>
  <c r="J518" i="8" s="1"/>
  <c r="CW518" i="8"/>
  <c r="K518" i="8" s="1"/>
  <c r="CX518" i="8"/>
  <c r="L518" i="8" s="1"/>
  <c r="CY518" i="8"/>
  <c r="M518" i="8" s="1"/>
  <c r="CT519" i="8"/>
  <c r="H519" i="8" s="1"/>
  <c r="CU519" i="8"/>
  <c r="I519" i="8" s="1"/>
  <c r="CV519" i="8"/>
  <c r="J519" i="8" s="1"/>
  <c r="CW519" i="8"/>
  <c r="K519" i="8" s="1"/>
  <c r="CX519" i="8"/>
  <c r="L519" i="8" s="1"/>
  <c r="CY519" i="8"/>
  <c r="M519" i="8" s="1"/>
  <c r="CT520" i="8"/>
  <c r="H520" i="8" s="1"/>
  <c r="CU520" i="8"/>
  <c r="I520" i="8" s="1"/>
  <c r="CV520" i="8"/>
  <c r="J520" i="8" s="1"/>
  <c r="CW520" i="8"/>
  <c r="K520" i="8" s="1"/>
  <c r="CX520" i="8"/>
  <c r="L520" i="8" s="1"/>
  <c r="CY520" i="8"/>
  <c r="M520" i="8" s="1"/>
  <c r="CT521" i="8"/>
  <c r="H521" i="8" s="1"/>
  <c r="CU521" i="8"/>
  <c r="I521" i="8" s="1"/>
  <c r="CV521" i="8"/>
  <c r="J521" i="8" s="1"/>
  <c r="CW521" i="8"/>
  <c r="K521" i="8" s="1"/>
  <c r="CX521" i="8"/>
  <c r="L521" i="8" s="1"/>
  <c r="CY521" i="8"/>
  <c r="M521" i="8" s="1"/>
  <c r="CT522" i="8"/>
  <c r="H522" i="8" s="1"/>
  <c r="CU522" i="8"/>
  <c r="I522" i="8" s="1"/>
  <c r="CV522" i="8"/>
  <c r="J522" i="8" s="1"/>
  <c r="CW522" i="8"/>
  <c r="K522" i="8" s="1"/>
  <c r="CX522" i="8"/>
  <c r="L522" i="8" s="1"/>
  <c r="CY522" i="8"/>
  <c r="M522" i="8" s="1"/>
  <c r="CT523" i="8"/>
  <c r="H523" i="8" s="1"/>
  <c r="CU523" i="8"/>
  <c r="I523" i="8" s="1"/>
  <c r="CV523" i="8"/>
  <c r="J523" i="8" s="1"/>
  <c r="CW523" i="8"/>
  <c r="K523" i="8" s="1"/>
  <c r="CX523" i="8"/>
  <c r="L523" i="8" s="1"/>
  <c r="CY523" i="8"/>
  <c r="M523" i="8" s="1"/>
  <c r="CT524" i="8"/>
  <c r="H524" i="8" s="1"/>
  <c r="CU524" i="8"/>
  <c r="I524" i="8" s="1"/>
  <c r="CV524" i="8"/>
  <c r="J524" i="8" s="1"/>
  <c r="CW524" i="8"/>
  <c r="K524" i="8" s="1"/>
  <c r="CX524" i="8"/>
  <c r="L524" i="8" s="1"/>
  <c r="CY524" i="8"/>
  <c r="M524" i="8" s="1"/>
  <c r="CT525" i="8"/>
  <c r="H525" i="8" s="1"/>
  <c r="CU525" i="8"/>
  <c r="I525" i="8" s="1"/>
  <c r="CV525" i="8"/>
  <c r="J525" i="8" s="1"/>
  <c r="CW525" i="8"/>
  <c r="K525" i="8" s="1"/>
  <c r="CX525" i="8"/>
  <c r="L525" i="8" s="1"/>
  <c r="CY525" i="8"/>
  <c r="M525" i="8" s="1"/>
  <c r="CT526" i="8"/>
  <c r="H526" i="8" s="1"/>
  <c r="CU526" i="8"/>
  <c r="I526" i="8" s="1"/>
  <c r="CV526" i="8"/>
  <c r="J526" i="8" s="1"/>
  <c r="CW526" i="8"/>
  <c r="K526" i="8" s="1"/>
  <c r="CX526" i="8"/>
  <c r="L526" i="8" s="1"/>
  <c r="CY526" i="8"/>
  <c r="M526" i="8" s="1"/>
  <c r="CT527" i="8"/>
  <c r="H527" i="8" s="1"/>
  <c r="CU527" i="8"/>
  <c r="I527" i="8" s="1"/>
  <c r="CV527" i="8"/>
  <c r="J527" i="8" s="1"/>
  <c r="CW527" i="8"/>
  <c r="K527" i="8" s="1"/>
  <c r="CX527" i="8"/>
  <c r="L527" i="8" s="1"/>
  <c r="CY527" i="8"/>
  <c r="M527" i="8" s="1"/>
  <c r="CT528" i="8"/>
  <c r="H528" i="8" s="1"/>
  <c r="CU528" i="8"/>
  <c r="I528" i="8" s="1"/>
  <c r="CV528" i="8"/>
  <c r="J528" i="8" s="1"/>
  <c r="CW528" i="8"/>
  <c r="K528" i="8" s="1"/>
  <c r="CX528" i="8"/>
  <c r="L528" i="8" s="1"/>
  <c r="CY528" i="8"/>
  <c r="M528" i="8" s="1"/>
  <c r="CT529" i="8"/>
  <c r="H529" i="8" s="1"/>
  <c r="CU529" i="8"/>
  <c r="I529" i="8" s="1"/>
  <c r="CV529" i="8"/>
  <c r="J529" i="8" s="1"/>
  <c r="CW529" i="8"/>
  <c r="K529" i="8" s="1"/>
  <c r="CX529" i="8"/>
  <c r="L529" i="8" s="1"/>
  <c r="CY529" i="8"/>
  <c r="M529" i="8" s="1"/>
  <c r="CT530" i="8"/>
  <c r="H530" i="8" s="1"/>
  <c r="CU530" i="8"/>
  <c r="I530" i="8" s="1"/>
  <c r="CV530" i="8"/>
  <c r="J530" i="8" s="1"/>
  <c r="CW530" i="8"/>
  <c r="K530" i="8" s="1"/>
  <c r="CX530" i="8"/>
  <c r="L530" i="8" s="1"/>
  <c r="CY530" i="8"/>
  <c r="M530" i="8" s="1"/>
  <c r="CT531" i="8"/>
  <c r="H531" i="8" s="1"/>
  <c r="CU531" i="8"/>
  <c r="I531" i="8" s="1"/>
  <c r="CV531" i="8"/>
  <c r="J531" i="8" s="1"/>
  <c r="CW531" i="8"/>
  <c r="K531" i="8" s="1"/>
  <c r="CX531" i="8"/>
  <c r="L531" i="8" s="1"/>
  <c r="CY531" i="8"/>
  <c r="M531" i="8" s="1"/>
  <c r="CT532" i="8"/>
  <c r="H532" i="8" s="1"/>
  <c r="CU532" i="8"/>
  <c r="I532" i="8" s="1"/>
  <c r="CV532" i="8"/>
  <c r="J532" i="8" s="1"/>
  <c r="CW532" i="8"/>
  <c r="K532" i="8" s="1"/>
  <c r="CX532" i="8"/>
  <c r="L532" i="8" s="1"/>
  <c r="CY532" i="8"/>
  <c r="M532" i="8" s="1"/>
  <c r="CT533" i="8"/>
  <c r="H533" i="8" s="1"/>
  <c r="CU533" i="8"/>
  <c r="I533" i="8" s="1"/>
  <c r="CV533" i="8"/>
  <c r="J533" i="8" s="1"/>
  <c r="CW533" i="8"/>
  <c r="K533" i="8" s="1"/>
  <c r="CX533" i="8"/>
  <c r="L533" i="8" s="1"/>
  <c r="CY533" i="8"/>
  <c r="M533" i="8" s="1"/>
  <c r="CT534" i="8"/>
  <c r="H534" i="8" s="1"/>
  <c r="CU534" i="8"/>
  <c r="I534" i="8" s="1"/>
  <c r="CV534" i="8"/>
  <c r="J534" i="8" s="1"/>
  <c r="CW534" i="8"/>
  <c r="K534" i="8" s="1"/>
  <c r="CX534" i="8"/>
  <c r="L534" i="8" s="1"/>
  <c r="CY534" i="8"/>
  <c r="M534" i="8" s="1"/>
  <c r="CT535" i="8"/>
  <c r="H535" i="8" s="1"/>
  <c r="CU535" i="8"/>
  <c r="I535" i="8" s="1"/>
  <c r="CV535" i="8"/>
  <c r="J535" i="8" s="1"/>
  <c r="CW535" i="8"/>
  <c r="K535" i="8" s="1"/>
  <c r="CX535" i="8"/>
  <c r="L535" i="8" s="1"/>
  <c r="CY535" i="8"/>
  <c r="M535" i="8" s="1"/>
  <c r="CT536" i="8"/>
  <c r="H536" i="8" s="1"/>
  <c r="CU536" i="8"/>
  <c r="I536" i="8" s="1"/>
  <c r="CV536" i="8"/>
  <c r="J536" i="8" s="1"/>
  <c r="CW536" i="8"/>
  <c r="K536" i="8" s="1"/>
  <c r="CX536" i="8"/>
  <c r="L536" i="8" s="1"/>
  <c r="CY536" i="8"/>
  <c r="M536" i="8" s="1"/>
  <c r="CT537" i="8"/>
  <c r="H537" i="8" s="1"/>
  <c r="CU537" i="8"/>
  <c r="I537" i="8" s="1"/>
  <c r="CV537" i="8"/>
  <c r="J537" i="8" s="1"/>
  <c r="CW537" i="8"/>
  <c r="K537" i="8" s="1"/>
  <c r="CX537" i="8"/>
  <c r="L537" i="8" s="1"/>
  <c r="CY537" i="8"/>
  <c r="M537" i="8" s="1"/>
  <c r="CT538" i="8"/>
  <c r="H538" i="8" s="1"/>
  <c r="CU538" i="8"/>
  <c r="I538" i="8" s="1"/>
  <c r="CV538" i="8"/>
  <c r="J538" i="8" s="1"/>
  <c r="CW538" i="8"/>
  <c r="K538" i="8" s="1"/>
  <c r="CX538" i="8"/>
  <c r="L538" i="8" s="1"/>
  <c r="CY538" i="8"/>
  <c r="M538" i="8" s="1"/>
  <c r="CT539" i="8"/>
  <c r="H539" i="8" s="1"/>
  <c r="CU539" i="8"/>
  <c r="I539" i="8" s="1"/>
  <c r="CV539" i="8"/>
  <c r="J539" i="8" s="1"/>
  <c r="CW539" i="8"/>
  <c r="K539" i="8" s="1"/>
  <c r="CX539" i="8"/>
  <c r="L539" i="8" s="1"/>
  <c r="CY539" i="8"/>
  <c r="M539" i="8" s="1"/>
  <c r="CT540" i="8"/>
  <c r="H540" i="8" s="1"/>
  <c r="CU540" i="8"/>
  <c r="I540" i="8" s="1"/>
  <c r="CV540" i="8"/>
  <c r="J540" i="8" s="1"/>
  <c r="CW540" i="8"/>
  <c r="K540" i="8" s="1"/>
  <c r="CX540" i="8"/>
  <c r="L540" i="8" s="1"/>
  <c r="CY540" i="8"/>
  <c r="M540" i="8" s="1"/>
  <c r="CT541" i="8"/>
  <c r="H541" i="8" s="1"/>
  <c r="CU541" i="8"/>
  <c r="I541" i="8" s="1"/>
  <c r="CV541" i="8"/>
  <c r="J541" i="8" s="1"/>
  <c r="CW541" i="8"/>
  <c r="K541" i="8" s="1"/>
  <c r="CX541" i="8"/>
  <c r="L541" i="8" s="1"/>
  <c r="CY541" i="8"/>
  <c r="M541" i="8" s="1"/>
  <c r="CT542" i="8"/>
  <c r="H542" i="8" s="1"/>
  <c r="CU542" i="8"/>
  <c r="I542" i="8" s="1"/>
  <c r="CV542" i="8"/>
  <c r="J542" i="8" s="1"/>
  <c r="CW542" i="8"/>
  <c r="K542" i="8" s="1"/>
  <c r="CX542" i="8"/>
  <c r="L542" i="8" s="1"/>
  <c r="CY542" i="8"/>
  <c r="M542" i="8" s="1"/>
  <c r="CT543" i="8"/>
  <c r="H543" i="8" s="1"/>
  <c r="CU543" i="8"/>
  <c r="I543" i="8" s="1"/>
  <c r="CV543" i="8"/>
  <c r="J543" i="8" s="1"/>
  <c r="CW543" i="8"/>
  <c r="K543" i="8" s="1"/>
  <c r="CX543" i="8"/>
  <c r="L543" i="8" s="1"/>
  <c r="CY543" i="8"/>
  <c r="M543" i="8" s="1"/>
  <c r="CT544" i="8"/>
  <c r="H544" i="8" s="1"/>
  <c r="CU544" i="8"/>
  <c r="I544" i="8" s="1"/>
  <c r="CV544" i="8"/>
  <c r="J544" i="8" s="1"/>
  <c r="CW544" i="8"/>
  <c r="K544" i="8" s="1"/>
  <c r="CX544" i="8"/>
  <c r="L544" i="8" s="1"/>
  <c r="CY544" i="8"/>
  <c r="M544" i="8" s="1"/>
  <c r="CT545" i="8"/>
  <c r="H545" i="8" s="1"/>
  <c r="CU545" i="8"/>
  <c r="I545" i="8" s="1"/>
  <c r="CV545" i="8"/>
  <c r="J545" i="8" s="1"/>
  <c r="CW545" i="8"/>
  <c r="K545" i="8" s="1"/>
  <c r="CX545" i="8"/>
  <c r="L545" i="8" s="1"/>
  <c r="CY545" i="8"/>
  <c r="M545" i="8" s="1"/>
  <c r="CT546" i="8"/>
  <c r="H546" i="8" s="1"/>
  <c r="CU546" i="8"/>
  <c r="I546" i="8" s="1"/>
  <c r="CV546" i="8"/>
  <c r="J546" i="8" s="1"/>
  <c r="CW546" i="8"/>
  <c r="K546" i="8" s="1"/>
  <c r="CX546" i="8"/>
  <c r="L546" i="8" s="1"/>
  <c r="CY546" i="8"/>
  <c r="M546" i="8" s="1"/>
  <c r="CT547" i="8"/>
  <c r="H547" i="8" s="1"/>
  <c r="CU547" i="8"/>
  <c r="I547" i="8" s="1"/>
  <c r="CV547" i="8"/>
  <c r="J547" i="8" s="1"/>
  <c r="CW547" i="8"/>
  <c r="K547" i="8" s="1"/>
  <c r="CX547" i="8"/>
  <c r="L547" i="8" s="1"/>
  <c r="CY547" i="8"/>
  <c r="M547" i="8" s="1"/>
  <c r="CT548" i="8"/>
  <c r="H548" i="8" s="1"/>
  <c r="CU548" i="8"/>
  <c r="I548" i="8" s="1"/>
  <c r="CV548" i="8"/>
  <c r="J548" i="8" s="1"/>
  <c r="CW548" i="8"/>
  <c r="K548" i="8" s="1"/>
  <c r="CX548" i="8"/>
  <c r="L548" i="8" s="1"/>
  <c r="CY548" i="8"/>
  <c r="M548" i="8" s="1"/>
  <c r="CT549" i="8"/>
  <c r="H549" i="8" s="1"/>
  <c r="CU549" i="8"/>
  <c r="I549" i="8" s="1"/>
  <c r="CV549" i="8"/>
  <c r="J549" i="8" s="1"/>
  <c r="CW549" i="8"/>
  <c r="K549" i="8" s="1"/>
  <c r="CX549" i="8"/>
  <c r="L549" i="8" s="1"/>
  <c r="CY549" i="8"/>
  <c r="M549" i="8" s="1"/>
  <c r="CT550" i="8"/>
  <c r="H550" i="8" s="1"/>
  <c r="CU550" i="8"/>
  <c r="I550" i="8" s="1"/>
  <c r="CV550" i="8"/>
  <c r="J550" i="8" s="1"/>
  <c r="CW550" i="8"/>
  <c r="K550" i="8" s="1"/>
  <c r="CX550" i="8"/>
  <c r="L550" i="8" s="1"/>
  <c r="CY550" i="8"/>
  <c r="M550" i="8" s="1"/>
  <c r="CT551" i="8"/>
  <c r="H551" i="8" s="1"/>
  <c r="CU551" i="8"/>
  <c r="I551" i="8" s="1"/>
  <c r="CV551" i="8"/>
  <c r="J551" i="8" s="1"/>
  <c r="CW551" i="8"/>
  <c r="K551" i="8" s="1"/>
  <c r="CX551" i="8"/>
  <c r="L551" i="8" s="1"/>
  <c r="CY551" i="8"/>
  <c r="M551" i="8" s="1"/>
  <c r="CT552" i="8"/>
  <c r="H552" i="8" s="1"/>
  <c r="CU552" i="8"/>
  <c r="I552" i="8" s="1"/>
  <c r="CV552" i="8"/>
  <c r="J552" i="8" s="1"/>
  <c r="CW552" i="8"/>
  <c r="K552" i="8" s="1"/>
  <c r="CX552" i="8"/>
  <c r="L552" i="8" s="1"/>
  <c r="CY552" i="8"/>
  <c r="M552" i="8" s="1"/>
  <c r="CT553" i="8"/>
  <c r="H553" i="8" s="1"/>
  <c r="CU553" i="8"/>
  <c r="I553" i="8" s="1"/>
  <c r="CV553" i="8"/>
  <c r="J553" i="8" s="1"/>
  <c r="CW553" i="8"/>
  <c r="K553" i="8" s="1"/>
  <c r="CX553" i="8"/>
  <c r="L553" i="8" s="1"/>
  <c r="CY553" i="8"/>
  <c r="M553" i="8" s="1"/>
  <c r="CT554" i="8"/>
  <c r="H554" i="8" s="1"/>
  <c r="CU554" i="8"/>
  <c r="I554" i="8" s="1"/>
  <c r="CV554" i="8"/>
  <c r="J554" i="8" s="1"/>
  <c r="CW554" i="8"/>
  <c r="K554" i="8" s="1"/>
  <c r="CX554" i="8"/>
  <c r="L554" i="8" s="1"/>
  <c r="CY554" i="8"/>
  <c r="M554" i="8" s="1"/>
  <c r="CT555" i="8"/>
  <c r="H555" i="8" s="1"/>
  <c r="CU555" i="8"/>
  <c r="I555" i="8" s="1"/>
  <c r="CV555" i="8"/>
  <c r="J555" i="8" s="1"/>
  <c r="CW555" i="8"/>
  <c r="K555" i="8" s="1"/>
  <c r="CX555" i="8"/>
  <c r="L555" i="8" s="1"/>
  <c r="CY555" i="8"/>
  <c r="M555" i="8" s="1"/>
  <c r="CT556" i="8"/>
  <c r="H556" i="8" s="1"/>
  <c r="CU556" i="8"/>
  <c r="I556" i="8" s="1"/>
  <c r="CV556" i="8"/>
  <c r="J556" i="8" s="1"/>
  <c r="CW556" i="8"/>
  <c r="K556" i="8" s="1"/>
  <c r="CX556" i="8"/>
  <c r="L556" i="8" s="1"/>
  <c r="CY556" i="8"/>
  <c r="M556" i="8" s="1"/>
  <c r="CT557" i="8"/>
  <c r="H557" i="8" s="1"/>
  <c r="CU557" i="8"/>
  <c r="I557" i="8" s="1"/>
  <c r="CV557" i="8"/>
  <c r="J557" i="8" s="1"/>
  <c r="CW557" i="8"/>
  <c r="K557" i="8" s="1"/>
  <c r="CX557" i="8"/>
  <c r="L557" i="8" s="1"/>
  <c r="CY557" i="8"/>
  <c r="M557" i="8" s="1"/>
  <c r="CT558" i="8"/>
  <c r="H558" i="8" s="1"/>
  <c r="CU558" i="8"/>
  <c r="I558" i="8" s="1"/>
  <c r="CV558" i="8"/>
  <c r="J558" i="8" s="1"/>
  <c r="CW558" i="8"/>
  <c r="K558" i="8" s="1"/>
  <c r="CX558" i="8"/>
  <c r="L558" i="8" s="1"/>
  <c r="CY558" i="8"/>
  <c r="M558" i="8" s="1"/>
  <c r="CT559" i="8"/>
  <c r="H559" i="8" s="1"/>
  <c r="CU559" i="8"/>
  <c r="I559" i="8" s="1"/>
  <c r="CV559" i="8"/>
  <c r="J559" i="8" s="1"/>
  <c r="CW559" i="8"/>
  <c r="K559" i="8" s="1"/>
  <c r="CX559" i="8"/>
  <c r="L559" i="8" s="1"/>
  <c r="CY559" i="8"/>
  <c r="M559" i="8" s="1"/>
  <c r="CT560" i="8"/>
  <c r="H560" i="8" s="1"/>
  <c r="CU560" i="8"/>
  <c r="I560" i="8" s="1"/>
  <c r="CV560" i="8"/>
  <c r="J560" i="8" s="1"/>
  <c r="CW560" i="8"/>
  <c r="K560" i="8" s="1"/>
  <c r="CX560" i="8"/>
  <c r="L560" i="8" s="1"/>
  <c r="CY560" i="8"/>
  <c r="M560" i="8" s="1"/>
  <c r="CT561" i="8"/>
  <c r="H561" i="8" s="1"/>
  <c r="CU561" i="8"/>
  <c r="I561" i="8" s="1"/>
  <c r="CV561" i="8"/>
  <c r="J561" i="8" s="1"/>
  <c r="CW561" i="8"/>
  <c r="K561" i="8" s="1"/>
  <c r="CX561" i="8"/>
  <c r="L561" i="8" s="1"/>
  <c r="CY561" i="8"/>
  <c r="M561" i="8" s="1"/>
  <c r="CT562" i="8"/>
  <c r="H562" i="8" s="1"/>
  <c r="CU562" i="8"/>
  <c r="I562" i="8" s="1"/>
  <c r="CV562" i="8"/>
  <c r="J562" i="8" s="1"/>
  <c r="CW562" i="8"/>
  <c r="K562" i="8" s="1"/>
  <c r="CX562" i="8"/>
  <c r="L562" i="8" s="1"/>
  <c r="CY562" i="8"/>
  <c r="M562" i="8" s="1"/>
  <c r="CT563" i="8"/>
  <c r="H563" i="8" s="1"/>
  <c r="CU563" i="8"/>
  <c r="I563" i="8" s="1"/>
  <c r="CV563" i="8"/>
  <c r="J563" i="8" s="1"/>
  <c r="CW563" i="8"/>
  <c r="K563" i="8" s="1"/>
  <c r="CX563" i="8"/>
  <c r="L563" i="8" s="1"/>
  <c r="CY563" i="8"/>
  <c r="M563" i="8" s="1"/>
  <c r="CT564" i="8"/>
  <c r="H564" i="8" s="1"/>
  <c r="CU564" i="8"/>
  <c r="I564" i="8" s="1"/>
  <c r="CV564" i="8"/>
  <c r="J564" i="8" s="1"/>
  <c r="CW564" i="8"/>
  <c r="K564" i="8" s="1"/>
  <c r="CX564" i="8"/>
  <c r="L564" i="8" s="1"/>
  <c r="CY564" i="8"/>
  <c r="M564" i="8" s="1"/>
  <c r="CT565" i="8"/>
  <c r="H565" i="8" s="1"/>
  <c r="CU565" i="8"/>
  <c r="I565" i="8" s="1"/>
  <c r="CV565" i="8"/>
  <c r="J565" i="8" s="1"/>
  <c r="CW565" i="8"/>
  <c r="K565" i="8" s="1"/>
  <c r="CX565" i="8"/>
  <c r="L565" i="8" s="1"/>
  <c r="CY565" i="8"/>
  <c r="M565" i="8" s="1"/>
  <c r="CT566" i="8"/>
  <c r="H566" i="8" s="1"/>
  <c r="CU566" i="8"/>
  <c r="I566" i="8" s="1"/>
  <c r="CV566" i="8"/>
  <c r="J566" i="8" s="1"/>
  <c r="CW566" i="8"/>
  <c r="K566" i="8" s="1"/>
  <c r="CX566" i="8"/>
  <c r="L566" i="8" s="1"/>
  <c r="CY566" i="8"/>
  <c r="M566" i="8" s="1"/>
  <c r="CT567" i="8"/>
  <c r="H567" i="8" s="1"/>
  <c r="CU567" i="8"/>
  <c r="I567" i="8" s="1"/>
  <c r="CV567" i="8"/>
  <c r="J567" i="8" s="1"/>
  <c r="CW567" i="8"/>
  <c r="K567" i="8" s="1"/>
  <c r="CX567" i="8"/>
  <c r="L567" i="8" s="1"/>
  <c r="CY567" i="8"/>
  <c r="M567" i="8" s="1"/>
  <c r="CT568" i="8"/>
  <c r="H568" i="8" s="1"/>
  <c r="CU568" i="8"/>
  <c r="I568" i="8" s="1"/>
  <c r="CV568" i="8"/>
  <c r="J568" i="8" s="1"/>
  <c r="CW568" i="8"/>
  <c r="K568" i="8" s="1"/>
  <c r="CX568" i="8"/>
  <c r="L568" i="8" s="1"/>
  <c r="CY568" i="8"/>
  <c r="M568" i="8" s="1"/>
  <c r="CT569" i="8"/>
  <c r="H569" i="8" s="1"/>
  <c r="CU569" i="8"/>
  <c r="I569" i="8" s="1"/>
  <c r="CV569" i="8"/>
  <c r="J569" i="8" s="1"/>
  <c r="CW569" i="8"/>
  <c r="K569" i="8" s="1"/>
  <c r="CX569" i="8"/>
  <c r="L569" i="8" s="1"/>
  <c r="CY569" i="8"/>
  <c r="M569" i="8" s="1"/>
  <c r="CT570" i="8"/>
  <c r="H570" i="8" s="1"/>
  <c r="CU570" i="8"/>
  <c r="I570" i="8" s="1"/>
  <c r="CV570" i="8"/>
  <c r="J570" i="8" s="1"/>
  <c r="CW570" i="8"/>
  <c r="K570" i="8" s="1"/>
  <c r="CX570" i="8"/>
  <c r="L570" i="8" s="1"/>
  <c r="CY570" i="8"/>
  <c r="M570" i="8" s="1"/>
  <c r="CT571" i="8"/>
  <c r="H571" i="8" s="1"/>
  <c r="CU571" i="8"/>
  <c r="I571" i="8" s="1"/>
  <c r="CV571" i="8"/>
  <c r="J571" i="8" s="1"/>
  <c r="CW571" i="8"/>
  <c r="K571" i="8" s="1"/>
  <c r="CX571" i="8"/>
  <c r="L571" i="8" s="1"/>
  <c r="CY571" i="8"/>
  <c r="M571" i="8" s="1"/>
  <c r="CT572" i="8"/>
  <c r="H572" i="8" s="1"/>
  <c r="CU572" i="8"/>
  <c r="I572" i="8" s="1"/>
  <c r="CV572" i="8"/>
  <c r="J572" i="8" s="1"/>
  <c r="CW572" i="8"/>
  <c r="K572" i="8" s="1"/>
  <c r="CX572" i="8"/>
  <c r="L572" i="8" s="1"/>
  <c r="CY572" i="8"/>
  <c r="M572" i="8" s="1"/>
  <c r="CT573" i="8"/>
  <c r="H573" i="8" s="1"/>
  <c r="CU573" i="8"/>
  <c r="I573" i="8" s="1"/>
  <c r="CV573" i="8"/>
  <c r="J573" i="8" s="1"/>
  <c r="CW573" i="8"/>
  <c r="K573" i="8" s="1"/>
  <c r="CX573" i="8"/>
  <c r="L573" i="8" s="1"/>
  <c r="CY573" i="8"/>
  <c r="M573" i="8" s="1"/>
  <c r="CT574" i="8"/>
  <c r="H574" i="8" s="1"/>
  <c r="CU574" i="8"/>
  <c r="I574" i="8" s="1"/>
  <c r="CV574" i="8"/>
  <c r="J574" i="8" s="1"/>
  <c r="CW574" i="8"/>
  <c r="K574" i="8" s="1"/>
  <c r="CX574" i="8"/>
  <c r="L574" i="8" s="1"/>
  <c r="CY574" i="8"/>
  <c r="M574" i="8" s="1"/>
  <c r="CT575" i="8"/>
  <c r="H575" i="8" s="1"/>
  <c r="CU575" i="8"/>
  <c r="I575" i="8" s="1"/>
  <c r="CV575" i="8"/>
  <c r="J575" i="8" s="1"/>
  <c r="CW575" i="8"/>
  <c r="K575" i="8" s="1"/>
  <c r="CX575" i="8"/>
  <c r="L575" i="8" s="1"/>
  <c r="CY575" i="8"/>
  <c r="M575" i="8" s="1"/>
  <c r="CT576" i="8"/>
  <c r="H576" i="8" s="1"/>
  <c r="CU576" i="8"/>
  <c r="I576" i="8" s="1"/>
  <c r="CV576" i="8"/>
  <c r="J576" i="8" s="1"/>
  <c r="CW576" i="8"/>
  <c r="K576" i="8" s="1"/>
  <c r="CX576" i="8"/>
  <c r="L576" i="8" s="1"/>
  <c r="CY576" i="8"/>
  <c r="M576" i="8" s="1"/>
  <c r="CT577" i="8"/>
  <c r="H577" i="8" s="1"/>
  <c r="CU577" i="8"/>
  <c r="I577" i="8" s="1"/>
  <c r="CV577" i="8"/>
  <c r="J577" i="8" s="1"/>
  <c r="CW577" i="8"/>
  <c r="K577" i="8" s="1"/>
  <c r="CX577" i="8"/>
  <c r="L577" i="8" s="1"/>
  <c r="CY577" i="8"/>
  <c r="M577" i="8" s="1"/>
  <c r="CT578" i="8"/>
  <c r="H578" i="8" s="1"/>
  <c r="CU578" i="8"/>
  <c r="I578" i="8" s="1"/>
  <c r="CV578" i="8"/>
  <c r="J578" i="8" s="1"/>
  <c r="CW578" i="8"/>
  <c r="K578" i="8" s="1"/>
  <c r="CX578" i="8"/>
  <c r="L578" i="8" s="1"/>
  <c r="CY578" i="8"/>
  <c r="M578" i="8" s="1"/>
  <c r="CT579" i="8"/>
  <c r="H579" i="8" s="1"/>
  <c r="CU579" i="8"/>
  <c r="I579" i="8" s="1"/>
  <c r="CV579" i="8"/>
  <c r="J579" i="8" s="1"/>
  <c r="CW579" i="8"/>
  <c r="K579" i="8" s="1"/>
  <c r="CX579" i="8"/>
  <c r="L579" i="8" s="1"/>
  <c r="CY579" i="8"/>
  <c r="M579" i="8" s="1"/>
  <c r="CT580" i="8"/>
  <c r="H580" i="8" s="1"/>
  <c r="CU580" i="8"/>
  <c r="I580" i="8" s="1"/>
  <c r="CV580" i="8"/>
  <c r="J580" i="8" s="1"/>
  <c r="CW580" i="8"/>
  <c r="K580" i="8" s="1"/>
  <c r="CX580" i="8"/>
  <c r="L580" i="8" s="1"/>
  <c r="CY580" i="8"/>
  <c r="M580" i="8" s="1"/>
  <c r="CT581" i="8"/>
  <c r="H581" i="8" s="1"/>
  <c r="CU581" i="8"/>
  <c r="I581" i="8" s="1"/>
  <c r="CV581" i="8"/>
  <c r="J581" i="8" s="1"/>
  <c r="CW581" i="8"/>
  <c r="K581" i="8" s="1"/>
  <c r="CX581" i="8"/>
  <c r="L581" i="8" s="1"/>
  <c r="CY581" i="8"/>
  <c r="M581" i="8" s="1"/>
  <c r="CT582" i="8"/>
  <c r="H582" i="8" s="1"/>
  <c r="CU582" i="8"/>
  <c r="I582" i="8" s="1"/>
  <c r="CV582" i="8"/>
  <c r="J582" i="8" s="1"/>
  <c r="CW582" i="8"/>
  <c r="K582" i="8" s="1"/>
  <c r="CX582" i="8"/>
  <c r="L582" i="8" s="1"/>
  <c r="CY582" i="8"/>
  <c r="M582" i="8" s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DP582" i="8"/>
  <c r="AD582" i="8" s="1"/>
  <c r="DO582" i="8"/>
  <c r="AC582" i="8" s="1"/>
  <c r="DN582" i="8"/>
  <c r="AB582" i="8" s="1"/>
  <c r="DM582" i="8"/>
  <c r="AA582" i="8" s="1"/>
  <c r="DL582" i="8"/>
  <c r="Z582" i="8" s="1"/>
  <c r="DK582" i="8"/>
  <c r="Y582" i="8" s="1"/>
  <c r="DJ582" i="8"/>
  <c r="X582" i="8" s="1"/>
  <c r="DI582" i="8"/>
  <c r="W582" i="8" s="1"/>
  <c r="DH582" i="8"/>
  <c r="V582" i="8" s="1"/>
  <c r="DG582" i="8"/>
  <c r="U582" i="8" s="1"/>
  <c r="DF582" i="8"/>
  <c r="T582" i="8" s="1"/>
  <c r="DE582" i="8"/>
  <c r="S582" i="8" s="1"/>
  <c r="DD582" i="8"/>
  <c r="R582" i="8" s="1"/>
  <c r="DC582" i="8"/>
  <c r="Q582" i="8" s="1"/>
  <c r="DB582" i="8"/>
  <c r="P582" i="8" s="1"/>
  <c r="DA582" i="8"/>
  <c r="O582" i="8" s="1"/>
  <c r="CZ582" i="8"/>
  <c r="N582" i="8" s="1"/>
  <c r="DP581" i="8"/>
  <c r="AD581" i="8" s="1"/>
  <c r="DO581" i="8"/>
  <c r="AC581" i="8" s="1"/>
  <c r="DN581" i="8"/>
  <c r="AB581" i="8" s="1"/>
  <c r="DM581" i="8"/>
  <c r="AA581" i="8" s="1"/>
  <c r="DL581" i="8"/>
  <c r="Z581" i="8" s="1"/>
  <c r="DK581" i="8"/>
  <c r="Y581" i="8" s="1"/>
  <c r="DJ581" i="8"/>
  <c r="X581" i="8" s="1"/>
  <c r="DI581" i="8"/>
  <c r="W581" i="8" s="1"/>
  <c r="DH581" i="8"/>
  <c r="V581" i="8" s="1"/>
  <c r="DG581" i="8"/>
  <c r="U581" i="8" s="1"/>
  <c r="DF581" i="8"/>
  <c r="T581" i="8" s="1"/>
  <c r="DE581" i="8"/>
  <c r="S581" i="8" s="1"/>
  <c r="DD581" i="8"/>
  <c r="R581" i="8" s="1"/>
  <c r="DC581" i="8"/>
  <c r="Q581" i="8" s="1"/>
  <c r="DB581" i="8"/>
  <c r="P581" i="8" s="1"/>
  <c r="DA581" i="8"/>
  <c r="O581" i="8" s="1"/>
  <c r="CZ581" i="8"/>
  <c r="N581" i="8" s="1"/>
  <c r="DP580" i="8"/>
  <c r="AD580" i="8" s="1"/>
  <c r="DO580" i="8"/>
  <c r="AC580" i="8" s="1"/>
  <c r="DN580" i="8"/>
  <c r="AB580" i="8" s="1"/>
  <c r="DM580" i="8"/>
  <c r="AA580" i="8" s="1"/>
  <c r="DL580" i="8"/>
  <c r="Z580" i="8" s="1"/>
  <c r="DK580" i="8"/>
  <c r="Y580" i="8" s="1"/>
  <c r="DJ580" i="8"/>
  <c r="X580" i="8" s="1"/>
  <c r="DI580" i="8"/>
  <c r="W580" i="8" s="1"/>
  <c r="DH580" i="8"/>
  <c r="V580" i="8" s="1"/>
  <c r="DG580" i="8"/>
  <c r="U580" i="8" s="1"/>
  <c r="DF580" i="8"/>
  <c r="T580" i="8" s="1"/>
  <c r="DE580" i="8"/>
  <c r="S580" i="8" s="1"/>
  <c r="DD580" i="8"/>
  <c r="R580" i="8" s="1"/>
  <c r="DC580" i="8"/>
  <c r="Q580" i="8" s="1"/>
  <c r="DB580" i="8"/>
  <c r="P580" i="8" s="1"/>
  <c r="DA580" i="8"/>
  <c r="O580" i="8" s="1"/>
  <c r="CZ580" i="8"/>
  <c r="N580" i="8" s="1"/>
  <c r="DP579" i="8"/>
  <c r="AD579" i="8" s="1"/>
  <c r="DO579" i="8"/>
  <c r="AC579" i="8" s="1"/>
  <c r="DN579" i="8"/>
  <c r="AB579" i="8" s="1"/>
  <c r="DM579" i="8"/>
  <c r="AA579" i="8" s="1"/>
  <c r="DL579" i="8"/>
  <c r="Z579" i="8" s="1"/>
  <c r="DK579" i="8"/>
  <c r="Y579" i="8" s="1"/>
  <c r="DJ579" i="8"/>
  <c r="X579" i="8" s="1"/>
  <c r="DI579" i="8"/>
  <c r="W579" i="8" s="1"/>
  <c r="DH579" i="8"/>
  <c r="V579" i="8" s="1"/>
  <c r="DG579" i="8"/>
  <c r="U579" i="8" s="1"/>
  <c r="DF579" i="8"/>
  <c r="T579" i="8" s="1"/>
  <c r="DE579" i="8"/>
  <c r="S579" i="8" s="1"/>
  <c r="DD579" i="8"/>
  <c r="R579" i="8" s="1"/>
  <c r="DC579" i="8"/>
  <c r="Q579" i="8" s="1"/>
  <c r="DB579" i="8"/>
  <c r="P579" i="8" s="1"/>
  <c r="DA579" i="8"/>
  <c r="O579" i="8" s="1"/>
  <c r="CZ579" i="8"/>
  <c r="N579" i="8" s="1"/>
  <c r="DP578" i="8"/>
  <c r="AD578" i="8" s="1"/>
  <c r="DO578" i="8"/>
  <c r="AC578" i="8" s="1"/>
  <c r="DN578" i="8"/>
  <c r="AB578" i="8" s="1"/>
  <c r="DM578" i="8"/>
  <c r="AA578" i="8" s="1"/>
  <c r="DL578" i="8"/>
  <c r="Z578" i="8" s="1"/>
  <c r="DK578" i="8"/>
  <c r="Y578" i="8" s="1"/>
  <c r="DJ578" i="8"/>
  <c r="X578" i="8" s="1"/>
  <c r="DI578" i="8"/>
  <c r="W578" i="8" s="1"/>
  <c r="DH578" i="8"/>
  <c r="V578" i="8" s="1"/>
  <c r="DG578" i="8"/>
  <c r="U578" i="8" s="1"/>
  <c r="DF578" i="8"/>
  <c r="T578" i="8" s="1"/>
  <c r="DE578" i="8"/>
  <c r="S578" i="8" s="1"/>
  <c r="DD578" i="8"/>
  <c r="R578" i="8" s="1"/>
  <c r="DC578" i="8"/>
  <c r="Q578" i="8" s="1"/>
  <c r="DB578" i="8"/>
  <c r="P578" i="8" s="1"/>
  <c r="DA578" i="8"/>
  <c r="O578" i="8" s="1"/>
  <c r="CZ578" i="8"/>
  <c r="N578" i="8" s="1"/>
  <c r="DP577" i="8"/>
  <c r="AD577" i="8" s="1"/>
  <c r="DO577" i="8"/>
  <c r="AC577" i="8" s="1"/>
  <c r="DN577" i="8"/>
  <c r="AB577" i="8" s="1"/>
  <c r="DM577" i="8"/>
  <c r="AA577" i="8" s="1"/>
  <c r="DL577" i="8"/>
  <c r="Z577" i="8" s="1"/>
  <c r="DK577" i="8"/>
  <c r="Y577" i="8" s="1"/>
  <c r="DJ577" i="8"/>
  <c r="X577" i="8" s="1"/>
  <c r="DI577" i="8"/>
  <c r="W577" i="8" s="1"/>
  <c r="DH577" i="8"/>
  <c r="V577" i="8" s="1"/>
  <c r="DG577" i="8"/>
  <c r="U577" i="8" s="1"/>
  <c r="DF577" i="8"/>
  <c r="T577" i="8" s="1"/>
  <c r="DE577" i="8"/>
  <c r="S577" i="8" s="1"/>
  <c r="DD577" i="8"/>
  <c r="R577" i="8" s="1"/>
  <c r="DC577" i="8"/>
  <c r="Q577" i="8" s="1"/>
  <c r="DB577" i="8"/>
  <c r="P577" i="8" s="1"/>
  <c r="DA577" i="8"/>
  <c r="O577" i="8" s="1"/>
  <c r="CZ577" i="8"/>
  <c r="N577" i="8" s="1"/>
  <c r="DP576" i="8"/>
  <c r="AD576" i="8" s="1"/>
  <c r="DO576" i="8"/>
  <c r="AC576" i="8" s="1"/>
  <c r="DN576" i="8"/>
  <c r="AB576" i="8" s="1"/>
  <c r="DM576" i="8"/>
  <c r="AA576" i="8" s="1"/>
  <c r="DL576" i="8"/>
  <c r="Z576" i="8" s="1"/>
  <c r="DK576" i="8"/>
  <c r="Y576" i="8" s="1"/>
  <c r="DJ576" i="8"/>
  <c r="X576" i="8" s="1"/>
  <c r="DI576" i="8"/>
  <c r="W576" i="8" s="1"/>
  <c r="DH576" i="8"/>
  <c r="V576" i="8" s="1"/>
  <c r="DG576" i="8"/>
  <c r="U576" i="8" s="1"/>
  <c r="DF576" i="8"/>
  <c r="T576" i="8" s="1"/>
  <c r="DE576" i="8"/>
  <c r="S576" i="8" s="1"/>
  <c r="DD576" i="8"/>
  <c r="R576" i="8" s="1"/>
  <c r="DC576" i="8"/>
  <c r="Q576" i="8" s="1"/>
  <c r="DB576" i="8"/>
  <c r="P576" i="8" s="1"/>
  <c r="DA576" i="8"/>
  <c r="O576" i="8" s="1"/>
  <c r="CZ576" i="8"/>
  <c r="N576" i="8" s="1"/>
  <c r="DP575" i="8"/>
  <c r="AD575" i="8" s="1"/>
  <c r="DO575" i="8"/>
  <c r="AC575" i="8" s="1"/>
  <c r="DN575" i="8"/>
  <c r="AB575" i="8" s="1"/>
  <c r="DM575" i="8"/>
  <c r="AA575" i="8" s="1"/>
  <c r="DL575" i="8"/>
  <c r="Z575" i="8" s="1"/>
  <c r="DK575" i="8"/>
  <c r="Y575" i="8" s="1"/>
  <c r="DJ575" i="8"/>
  <c r="X575" i="8" s="1"/>
  <c r="DI575" i="8"/>
  <c r="W575" i="8" s="1"/>
  <c r="DH575" i="8"/>
  <c r="V575" i="8" s="1"/>
  <c r="DG575" i="8"/>
  <c r="U575" i="8" s="1"/>
  <c r="DF575" i="8"/>
  <c r="T575" i="8" s="1"/>
  <c r="DE575" i="8"/>
  <c r="S575" i="8" s="1"/>
  <c r="DD575" i="8"/>
  <c r="R575" i="8" s="1"/>
  <c r="DC575" i="8"/>
  <c r="Q575" i="8" s="1"/>
  <c r="DB575" i="8"/>
  <c r="P575" i="8" s="1"/>
  <c r="DA575" i="8"/>
  <c r="O575" i="8" s="1"/>
  <c r="CZ575" i="8"/>
  <c r="N575" i="8" s="1"/>
  <c r="DP574" i="8"/>
  <c r="AD574" i="8" s="1"/>
  <c r="DO574" i="8"/>
  <c r="AC574" i="8" s="1"/>
  <c r="DN574" i="8"/>
  <c r="AB574" i="8" s="1"/>
  <c r="DM574" i="8"/>
  <c r="AA574" i="8" s="1"/>
  <c r="DL574" i="8"/>
  <c r="Z574" i="8" s="1"/>
  <c r="DK574" i="8"/>
  <c r="Y574" i="8" s="1"/>
  <c r="DJ574" i="8"/>
  <c r="X574" i="8" s="1"/>
  <c r="DI574" i="8"/>
  <c r="W574" i="8" s="1"/>
  <c r="DH574" i="8"/>
  <c r="V574" i="8" s="1"/>
  <c r="DG574" i="8"/>
  <c r="U574" i="8" s="1"/>
  <c r="DF574" i="8"/>
  <c r="T574" i="8" s="1"/>
  <c r="DE574" i="8"/>
  <c r="S574" i="8" s="1"/>
  <c r="DD574" i="8"/>
  <c r="R574" i="8" s="1"/>
  <c r="DC574" i="8"/>
  <c r="Q574" i="8" s="1"/>
  <c r="DB574" i="8"/>
  <c r="P574" i="8" s="1"/>
  <c r="DA574" i="8"/>
  <c r="O574" i="8" s="1"/>
  <c r="CZ574" i="8"/>
  <c r="N574" i="8" s="1"/>
  <c r="DP573" i="8"/>
  <c r="AD573" i="8" s="1"/>
  <c r="DO573" i="8"/>
  <c r="AC573" i="8" s="1"/>
  <c r="DN573" i="8"/>
  <c r="AB573" i="8" s="1"/>
  <c r="DM573" i="8"/>
  <c r="AA573" i="8" s="1"/>
  <c r="DL573" i="8"/>
  <c r="Z573" i="8" s="1"/>
  <c r="DK573" i="8"/>
  <c r="Y573" i="8" s="1"/>
  <c r="DJ573" i="8"/>
  <c r="X573" i="8" s="1"/>
  <c r="DI573" i="8"/>
  <c r="W573" i="8" s="1"/>
  <c r="DH573" i="8"/>
  <c r="V573" i="8" s="1"/>
  <c r="DG573" i="8"/>
  <c r="U573" i="8" s="1"/>
  <c r="DF573" i="8"/>
  <c r="T573" i="8" s="1"/>
  <c r="DE573" i="8"/>
  <c r="S573" i="8" s="1"/>
  <c r="DD573" i="8"/>
  <c r="R573" i="8" s="1"/>
  <c r="DC573" i="8"/>
  <c r="Q573" i="8" s="1"/>
  <c r="DB573" i="8"/>
  <c r="P573" i="8" s="1"/>
  <c r="DA573" i="8"/>
  <c r="O573" i="8" s="1"/>
  <c r="CZ573" i="8"/>
  <c r="N573" i="8" s="1"/>
  <c r="DP572" i="8"/>
  <c r="AD572" i="8" s="1"/>
  <c r="DO572" i="8"/>
  <c r="AC572" i="8" s="1"/>
  <c r="DN572" i="8"/>
  <c r="AB572" i="8" s="1"/>
  <c r="DM572" i="8"/>
  <c r="AA572" i="8" s="1"/>
  <c r="DL572" i="8"/>
  <c r="Z572" i="8" s="1"/>
  <c r="DK572" i="8"/>
  <c r="Y572" i="8" s="1"/>
  <c r="DJ572" i="8"/>
  <c r="X572" i="8" s="1"/>
  <c r="DI572" i="8"/>
  <c r="W572" i="8" s="1"/>
  <c r="DH572" i="8"/>
  <c r="V572" i="8" s="1"/>
  <c r="DG572" i="8"/>
  <c r="U572" i="8" s="1"/>
  <c r="DF572" i="8"/>
  <c r="T572" i="8" s="1"/>
  <c r="DE572" i="8"/>
  <c r="S572" i="8" s="1"/>
  <c r="DD572" i="8"/>
  <c r="R572" i="8" s="1"/>
  <c r="DC572" i="8"/>
  <c r="Q572" i="8" s="1"/>
  <c r="DB572" i="8"/>
  <c r="P572" i="8" s="1"/>
  <c r="DA572" i="8"/>
  <c r="O572" i="8" s="1"/>
  <c r="CZ572" i="8"/>
  <c r="N572" i="8" s="1"/>
  <c r="DP571" i="8"/>
  <c r="AD571" i="8" s="1"/>
  <c r="DO571" i="8"/>
  <c r="AC571" i="8" s="1"/>
  <c r="DN571" i="8"/>
  <c r="AB571" i="8" s="1"/>
  <c r="DM571" i="8"/>
  <c r="AA571" i="8" s="1"/>
  <c r="DL571" i="8"/>
  <c r="Z571" i="8" s="1"/>
  <c r="DK571" i="8"/>
  <c r="Y571" i="8" s="1"/>
  <c r="DJ571" i="8"/>
  <c r="X571" i="8" s="1"/>
  <c r="DI571" i="8"/>
  <c r="W571" i="8" s="1"/>
  <c r="DH571" i="8"/>
  <c r="V571" i="8" s="1"/>
  <c r="DG571" i="8"/>
  <c r="U571" i="8" s="1"/>
  <c r="DF571" i="8"/>
  <c r="T571" i="8" s="1"/>
  <c r="DE571" i="8"/>
  <c r="S571" i="8" s="1"/>
  <c r="DD571" i="8"/>
  <c r="R571" i="8" s="1"/>
  <c r="DC571" i="8"/>
  <c r="Q571" i="8" s="1"/>
  <c r="DB571" i="8"/>
  <c r="P571" i="8" s="1"/>
  <c r="DA571" i="8"/>
  <c r="O571" i="8" s="1"/>
  <c r="CZ571" i="8"/>
  <c r="N571" i="8" s="1"/>
  <c r="DP570" i="8"/>
  <c r="AD570" i="8" s="1"/>
  <c r="DO570" i="8"/>
  <c r="AC570" i="8" s="1"/>
  <c r="DN570" i="8"/>
  <c r="AB570" i="8" s="1"/>
  <c r="DM570" i="8"/>
  <c r="AA570" i="8" s="1"/>
  <c r="DL570" i="8"/>
  <c r="Z570" i="8" s="1"/>
  <c r="DK570" i="8"/>
  <c r="Y570" i="8" s="1"/>
  <c r="DJ570" i="8"/>
  <c r="X570" i="8" s="1"/>
  <c r="DI570" i="8"/>
  <c r="W570" i="8" s="1"/>
  <c r="DH570" i="8"/>
  <c r="V570" i="8" s="1"/>
  <c r="DG570" i="8"/>
  <c r="U570" i="8" s="1"/>
  <c r="DF570" i="8"/>
  <c r="T570" i="8" s="1"/>
  <c r="DE570" i="8"/>
  <c r="S570" i="8" s="1"/>
  <c r="DD570" i="8"/>
  <c r="R570" i="8" s="1"/>
  <c r="DC570" i="8"/>
  <c r="Q570" i="8" s="1"/>
  <c r="DB570" i="8"/>
  <c r="P570" i="8" s="1"/>
  <c r="DA570" i="8"/>
  <c r="O570" i="8" s="1"/>
  <c r="CZ570" i="8"/>
  <c r="N570" i="8" s="1"/>
  <c r="DP569" i="8"/>
  <c r="AD569" i="8" s="1"/>
  <c r="DO569" i="8"/>
  <c r="AC569" i="8" s="1"/>
  <c r="DN569" i="8"/>
  <c r="AB569" i="8" s="1"/>
  <c r="DM569" i="8"/>
  <c r="AA569" i="8" s="1"/>
  <c r="DL569" i="8"/>
  <c r="Z569" i="8" s="1"/>
  <c r="DK569" i="8"/>
  <c r="Y569" i="8" s="1"/>
  <c r="DJ569" i="8"/>
  <c r="X569" i="8" s="1"/>
  <c r="DI569" i="8"/>
  <c r="W569" i="8" s="1"/>
  <c r="DH569" i="8"/>
  <c r="V569" i="8" s="1"/>
  <c r="DG569" i="8"/>
  <c r="U569" i="8" s="1"/>
  <c r="DF569" i="8"/>
  <c r="T569" i="8" s="1"/>
  <c r="DE569" i="8"/>
  <c r="S569" i="8" s="1"/>
  <c r="DD569" i="8"/>
  <c r="R569" i="8" s="1"/>
  <c r="DC569" i="8"/>
  <c r="Q569" i="8" s="1"/>
  <c r="DB569" i="8"/>
  <c r="P569" i="8" s="1"/>
  <c r="DA569" i="8"/>
  <c r="O569" i="8" s="1"/>
  <c r="CZ569" i="8"/>
  <c r="N569" i="8" s="1"/>
  <c r="DP568" i="8"/>
  <c r="AD568" i="8" s="1"/>
  <c r="DO568" i="8"/>
  <c r="AC568" i="8" s="1"/>
  <c r="DN568" i="8"/>
  <c r="AB568" i="8" s="1"/>
  <c r="DM568" i="8"/>
  <c r="AA568" i="8" s="1"/>
  <c r="DL568" i="8"/>
  <c r="Z568" i="8" s="1"/>
  <c r="DK568" i="8"/>
  <c r="Y568" i="8" s="1"/>
  <c r="DJ568" i="8"/>
  <c r="X568" i="8" s="1"/>
  <c r="DI568" i="8"/>
  <c r="W568" i="8" s="1"/>
  <c r="DH568" i="8"/>
  <c r="V568" i="8" s="1"/>
  <c r="DG568" i="8"/>
  <c r="U568" i="8" s="1"/>
  <c r="DF568" i="8"/>
  <c r="T568" i="8" s="1"/>
  <c r="DE568" i="8"/>
  <c r="S568" i="8" s="1"/>
  <c r="DD568" i="8"/>
  <c r="R568" i="8" s="1"/>
  <c r="DC568" i="8"/>
  <c r="Q568" i="8" s="1"/>
  <c r="DB568" i="8"/>
  <c r="P568" i="8" s="1"/>
  <c r="DA568" i="8"/>
  <c r="O568" i="8" s="1"/>
  <c r="CZ568" i="8"/>
  <c r="N568" i="8" s="1"/>
  <c r="DP567" i="8"/>
  <c r="AD567" i="8" s="1"/>
  <c r="DO567" i="8"/>
  <c r="AC567" i="8" s="1"/>
  <c r="DN567" i="8"/>
  <c r="AB567" i="8" s="1"/>
  <c r="DM567" i="8"/>
  <c r="AA567" i="8" s="1"/>
  <c r="DL567" i="8"/>
  <c r="Z567" i="8" s="1"/>
  <c r="DK567" i="8"/>
  <c r="Y567" i="8" s="1"/>
  <c r="DJ567" i="8"/>
  <c r="X567" i="8" s="1"/>
  <c r="DI567" i="8"/>
  <c r="W567" i="8" s="1"/>
  <c r="DH567" i="8"/>
  <c r="V567" i="8" s="1"/>
  <c r="DG567" i="8"/>
  <c r="U567" i="8" s="1"/>
  <c r="DF567" i="8"/>
  <c r="T567" i="8" s="1"/>
  <c r="DE567" i="8"/>
  <c r="S567" i="8" s="1"/>
  <c r="DD567" i="8"/>
  <c r="R567" i="8" s="1"/>
  <c r="DC567" i="8"/>
  <c r="Q567" i="8" s="1"/>
  <c r="DB567" i="8"/>
  <c r="P567" i="8" s="1"/>
  <c r="DA567" i="8"/>
  <c r="O567" i="8" s="1"/>
  <c r="CZ567" i="8"/>
  <c r="N567" i="8" s="1"/>
  <c r="DP566" i="8"/>
  <c r="AD566" i="8" s="1"/>
  <c r="DO566" i="8"/>
  <c r="AC566" i="8" s="1"/>
  <c r="DN566" i="8"/>
  <c r="AB566" i="8" s="1"/>
  <c r="DM566" i="8"/>
  <c r="AA566" i="8" s="1"/>
  <c r="DL566" i="8"/>
  <c r="Z566" i="8" s="1"/>
  <c r="DK566" i="8"/>
  <c r="Y566" i="8" s="1"/>
  <c r="DJ566" i="8"/>
  <c r="X566" i="8" s="1"/>
  <c r="DI566" i="8"/>
  <c r="W566" i="8" s="1"/>
  <c r="DH566" i="8"/>
  <c r="V566" i="8" s="1"/>
  <c r="DG566" i="8"/>
  <c r="U566" i="8" s="1"/>
  <c r="DF566" i="8"/>
  <c r="T566" i="8" s="1"/>
  <c r="DE566" i="8"/>
  <c r="S566" i="8" s="1"/>
  <c r="DD566" i="8"/>
  <c r="R566" i="8" s="1"/>
  <c r="DC566" i="8"/>
  <c r="Q566" i="8" s="1"/>
  <c r="DB566" i="8"/>
  <c r="P566" i="8" s="1"/>
  <c r="DA566" i="8"/>
  <c r="O566" i="8" s="1"/>
  <c r="CZ566" i="8"/>
  <c r="N566" i="8" s="1"/>
  <c r="DP565" i="8"/>
  <c r="AD565" i="8" s="1"/>
  <c r="DO565" i="8"/>
  <c r="AC565" i="8" s="1"/>
  <c r="DN565" i="8"/>
  <c r="AB565" i="8" s="1"/>
  <c r="DM565" i="8"/>
  <c r="AA565" i="8" s="1"/>
  <c r="DL565" i="8"/>
  <c r="Z565" i="8" s="1"/>
  <c r="DK565" i="8"/>
  <c r="Y565" i="8" s="1"/>
  <c r="DJ565" i="8"/>
  <c r="X565" i="8" s="1"/>
  <c r="DI565" i="8"/>
  <c r="W565" i="8" s="1"/>
  <c r="DH565" i="8"/>
  <c r="V565" i="8" s="1"/>
  <c r="DG565" i="8"/>
  <c r="U565" i="8" s="1"/>
  <c r="DF565" i="8"/>
  <c r="T565" i="8" s="1"/>
  <c r="S565" i="8"/>
  <c r="DD565" i="8"/>
  <c r="R565" i="8" s="1"/>
  <c r="DC565" i="8"/>
  <c r="Q565" i="8" s="1"/>
  <c r="DB565" i="8"/>
  <c r="P565" i="8" s="1"/>
  <c r="DA565" i="8"/>
  <c r="O565" i="8" s="1"/>
  <c r="CZ565" i="8"/>
  <c r="N565" i="8" s="1"/>
  <c r="DP564" i="8"/>
  <c r="AD564" i="8" s="1"/>
  <c r="DO564" i="8"/>
  <c r="AC564" i="8" s="1"/>
  <c r="DN564" i="8"/>
  <c r="AB564" i="8" s="1"/>
  <c r="DM564" i="8"/>
  <c r="AA564" i="8" s="1"/>
  <c r="DL564" i="8"/>
  <c r="Z564" i="8" s="1"/>
  <c r="DK564" i="8"/>
  <c r="Y564" i="8" s="1"/>
  <c r="DJ564" i="8"/>
  <c r="X564" i="8" s="1"/>
  <c r="DI564" i="8"/>
  <c r="W564" i="8" s="1"/>
  <c r="DH564" i="8"/>
  <c r="V564" i="8" s="1"/>
  <c r="DG564" i="8"/>
  <c r="U564" i="8" s="1"/>
  <c r="DF564" i="8"/>
  <c r="T564" i="8" s="1"/>
  <c r="DE564" i="8"/>
  <c r="S564" i="8" s="1"/>
  <c r="DD564" i="8"/>
  <c r="R564" i="8" s="1"/>
  <c r="DC564" i="8"/>
  <c r="Q564" i="8" s="1"/>
  <c r="DB564" i="8"/>
  <c r="P564" i="8" s="1"/>
  <c r="DA564" i="8"/>
  <c r="O564" i="8" s="1"/>
  <c r="CZ564" i="8"/>
  <c r="N564" i="8" s="1"/>
  <c r="DP563" i="8"/>
  <c r="AD563" i="8" s="1"/>
  <c r="DO563" i="8"/>
  <c r="AC563" i="8" s="1"/>
  <c r="DN563" i="8"/>
  <c r="AB563" i="8" s="1"/>
  <c r="DM563" i="8"/>
  <c r="AA563" i="8" s="1"/>
  <c r="DL563" i="8"/>
  <c r="Z563" i="8" s="1"/>
  <c r="DK563" i="8"/>
  <c r="Y563" i="8" s="1"/>
  <c r="DJ563" i="8"/>
  <c r="X563" i="8" s="1"/>
  <c r="DI563" i="8"/>
  <c r="W563" i="8" s="1"/>
  <c r="DH563" i="8"/>
  <c r="V563" i="8" s="1"/>
  <c r="DG563" i="8"/>
  <c r="U563" i="8" s="1"/>
  <c r="DF563" i="8"/>
  <c r="T563" i="8" s="1"/>
  <c r="DE563" i="8"/>
  <c r="S563" i="8" s="1"/>
  <c r="DD563" i="8"/>
  <c r="R563" i="8" s="1"/>
  <c r="DC563" i="8"/>
  <c r="Q563" i="8" s="1"/>
  <c r="DB563" i="8"/>
  <c r="P563" i="8" s="1"/>
  <c r="DA563" i="8"/>
  <c r="O563" i="8" s="1"/>
  <c r="CZ563" i="8"/>
  <c r="N563" i="8" s="1"/>
  <c r="DP562" i="8"/>
  <c r="AD562" i="8" s="1"/>
  <c r="DO562" i="8"/>
  <c r="AC562" i="8" s="1"/>
  <c r="DN562" i="8"/>
  <c r="AB562" i="8" s="1"/>
  <c r="DM562" i="8"/>
  <c r="AA562" i="8" s="1"/>
  <c r="DL562" i="8"/>
  <c r="Z562" i="8" s="1"/>
  <c r="DK562" i="8"/>
  <c r="Y562" i="8" s="1"/>
  <c r="DJ562" i="8"/>
  <c r="X562" i="8" s="1"/>
  <c r="DI562" i="8"/>
  <c r="W562" i="8" s="1"/>
  <c r="DH562" i="8"/>
  <c r="V562" i="8" s="1"/>
  <c r="DG562" i="8"/>
  <c r="U562" i="8" s="1"/>
  <c r="DF562" i="8"/>
  <c r="T562" i="8" s="1"/>
  <c r="DE562" i="8"/>
  <c r="S562" i="8" s="1"/>
  <c r="DD562" i="8"/>
  <c r="R562" i="8" s="1"/>
  <c r="DC562" i="8"/>
  <c r="Q562" i="8" s="1"/>
  <c r="DB562" i="8"/>
  <c r="P562" i="8" s="1"/>
  <c r="DA562" i="8"/>
  <c r="O562" i="8" s="1"/>
  <c r="CZ562" i="8"/>
  <c r="N562" i="8" s="1"/>
  <c r="DP561" i="8"/>
  <c r="AD561" i="8" s="1"/>
  <c r="DO561" i="8"/>
  <c r="AC561" i="8" s="1"/>
  <c r="DN561" i="8"/>
  <c r="AB561" i="8" s="1"/>
  <c r="DM561" i="8"/>
  <c r="AA561" i="8" s="1"/>
  <c r="DL561" i="8"/>
  <c r="Z561" i="8" s="1"/>
  <c r="DK561" i="8"/>
  <c r="Y561" i="8" s="1"/>
  <c r="DJ561" i="8"/>
  <c r="X561" i="8" s="1"/>
  <c r="DI561" i="8"/>
  <c r="W561" i="8" s="1"/>
  <c r="DH561" i="8"/>
  <c r="V561" i="8" s="1"/>
  <c r="DG561" i="8"/>
  <c r="U561" i="8" s="1"/>
  <c r="DF561" i="8"/>
  <c r="T561" i="8" s="1"/>
  <c r="DE561" i="8"/>
  <c r="S561" i="8" s="1"/>
  <c r="DD561" i="8"/>
  <c r="R561" i="8" s="1"/>
  <c r="DC561" i="8"/>
  <c r="Q561" i="8" s="1"/>
  <c r="DB561" i="8"/>
  <c r="P561" i="8" s="1"/>
  <c r="DA561" i="8"/>
  <c r="O561" i="8" s="1"/>
  <c r="CZ561" i="8"/>
  <c r="N561" i="8" s="1"/>
  <c r="DP560" i="8"/>
  <c r="AD560" i="8" s="1"/>
  <c r="DO560" i="8"/>
  <c r="AC560" i="8" s="1"/>
  <c r="DN560" i="8"/>
  <c r="AB560" i="8" s="1"/>
  <c r="DM560" i="8"/>
  <c r="AA560" i="8" s="1"/>
  <c r="DL560" i="8"/>
  <c r="Z560" i="8" s="1"/>
  <c r="DK560" i="8"/>
  <c r="Y560" i="8" s="1"/>
  <c r="DJ560" i="8"/>
  <c r="X560" i="8" s="1"/>
  <c r="DI560" i="8"/>
  <c r="W560" i="8" s="1"/>
  <c r="DH560" i="8"/>
  <c r="V560" i="8" s="1"/>
  <c r="DG560" i="8"/>
  <c r="U560" i="8" s="1"/>
  <c r="DF560" i="8"/>
  <c r="T560" i="8" s="1"/>
  <c r="DE560" i="8"/>
  <c r="S560" i="8" s="1"/>
  <c r="DD560" i="8"/>
  <c r="R560" i="8" s="1"/>
  <c r="DC560" i="8"/>
  <c r="Q560" i="8" s="1"/>
  <c r="DB560" i="8"/>
  <c r="P560" i="8" s="1"/>
  <c r="DA560" i="8"/>
  <c r="O560" i="8" s="1"/>
  <c r="CZ560" i="8"/>
  <c r="N560" i="8" s="1"/>
  <c r="DP559" i="8"/>
  <c r="AD559" i="8" s="1"/>
  <c r="DO559" i="8"/>
  <c r="AC559" i="8" s="1"/>
  <c r="DN559" i="8"/>
  <c r="AB559" i="8" s="1"/>
  <c r="DM559" i="8"/>
  <c r="AA559" i="8" s="1"/>
  <c r="DL559" i="8"/>
  <c r="Z559" i="8" s="1"/>
  <c r="DK559" i="8"/>
  <c r="Y559" i="8" s="1"/>
  <c r="DJ559" i="8"/>
  <c r="X559" i="8" s="1"/>
  <c r="DI559" i="8"/>
  <c r="W559" i="8" s="1"/>
  <c r="DH559" i="8"/>
  <c r="V559" i="8" s="1"/>
  <c r="DG559" i="8"/>
  <c r="U559" i="8" s="1"/>
  <c r="DF559" i="8"/>
  <c r="T559" i="8" s="1"/>
  <c r="DE559" i="8"/>
  <c r="S559" i="8" s="1"/>
  <c r="DD559" i="8"/>
  <c r="R559" i="8" s="1"/>
  <c r="DC559" i="8"/>
  <c r="Q559" i="8" s="1"/>
  <c r="DB559" i="8"/>
  <c r="P559" i="8" s="1"/>
  <c r="DA559" i="8"/>
  <c r="O559" i="8" s="1"/>
  <c r="CZ559" i="8"/>
  <c r="N559" i="8" s="1"/>
  <c r="DP558" i="8"/>
  <c r="AD558" i="8" s="1"/>
  <c r="DO558" i="8"/>
  <c r="AC558" i="8" s="1"/>
  <c r="DN558" i="8"/>
  <c r="AB558" i="8" s="1"/>
  <c r="DM558" i="8"/>
  <c r="AA558" i="8" s="1"/>
  <c r="DL558" i="8"/>
  <c r="Z558" i="8" s="1"/>
  <c r="DK558" i="8"/>
  <c r="Y558" i="8" s="1"/>
  <c r="DJ558" i="8"/>
  <c r="X558" i="8" s="1"/>
  <c r="DI558" i="8"/>
  <c r="W558" i="8" s="1"/>
  <c r="DH558" i="8"/>
  <c r="V558" i="8" s="1"/>
  <c r="DG558" i="8"/>
  <c r="U558" i="8" s="1"/>
  <c r="DF558" i="8"/>
  <c r="T558" i="8" s="1"/>
  <c r="DE558" i="8"/>
  <c r="S558" i="8" s="1"/>
  <c r="DD558" i="8"/>
  <c r="R558" i="8" s="1"/>
  <c r="DC558" i="8"/>
  <c r="Q558" i="8" s="1"/>
  <c r="DB558" i="8"/>
  <c r="P558" i="8" s="1"/>
  <c r="DA558" i="8"/>
  <c r="O558" i="8" s="1"/>
  <c r="CZ558" i="8"/>
  <c r="N558" i="8" s="1"/>
  <c r="DP557" i="8"/>
  <c r="AD557" i="8" s="1"/>
  <c r="DO557" i="8"/>
  <c r="AC557" i="8" s="1"/>
  <c r="DN557" i="8"/>
  <c r="AB557" i="8" s="1"/>
  <c r="DM557" i="8"/>
  <c r="AA557" i="8" s="1"/>
  <c r="DL557" i="8"/>
  <c r="Z557" i="8" s="1"/>
  <c r="DK557" i="8"/>
  <c r="Y557" i="8" s="1"/>
  <c r="DJ557" i="8"/>
  <c r="X557" i="8" s="1"/>
  <c r="DI557" i="8"/>
  <c r="W557" i="8" s="1"/>
  <c r="DH557" i="8"/>
  <c r="V557" i="8" s="1"/>
  <c r="DG557" i="8"/>
  <c r="U557" i="8" s="1"/>
  <c r="DF557" i="8"/>
  <c r="T557" i="8" s="1"/>
  <c r="DE557" i="8"/>
  <c r="S557" i="8" s="1"/>
  <c r="DD557" i="8"/>
  <c r="R557" i="8" s="1"/>
  <c r="DC557" i="8"/>
  <c r="Q557" i="8" s="1"/>
  <c r="DB557" i="8"/>
  <c r="P557" i="8" s="1"/>
  <c r="DA557" i="8"/>
  <c r="O557" i="8" s="1"/>
  <c r="CZ557" i="8"/>
  <c r="N557" i="8" s="1"/>
  <c r="DP556" i="8"/>
  <c r="AD556" i="8" s="1"/>
  <c r="DO556" i="8"/>
  <c r="AC556" i="8" s="1"/>
  <c r="DN556" i="8"/>
  <c r="AB556" i="8" s="1"/>
  <c r="DM556" i="8"/>
  <c r="AA556" i="8" s="1"/>
  <c r="DL556" i="8"/>
  <c r="Z556" i="8" s="1"/>
  <c r="DK556" i="8"/>
  <c r="Y556" i="8" s="1"/>
  <c r="DJ556" i="8"/>
  <c r="X556" i="8" s="1"/>
  <c r="DI556" i="8"/>
  <c r="W556" i="8" s="1"/>
  <c r="DH556" i="8"/>
  <c r="V556" i="8" s="1"/>
  <c r="DG556" i="8"/>
  <c r="U556" i="8" s="1"/>
  <c r="DF556" i="8"/>
  <c r="T556" i="8" s="1"/>
  <c r="DE556" i="8"/>
  <c r="S556" i="8" s="1"/>
  <c r="DD556" i="8"/>
  <c r="R556" i="8" s="1"/>
  <c r="DC556" i="8"/>
  <c r="Q556" i="8" s="1"/>
  <c r="DB556" i="8"/>
  <c r="P556" i="8" s="1"/>
  <c r="DA556" i="8"/>
  <c r="O556" i="8" s="1"/>
  <c r="CZ556" i="8"/>
  <c r="N556" i="8" s="1"/>
  <c r="DP555" i="8"/>
  <c r="AD555" i="8" s="1"/>
  <c r="DO555" i="8"/>
  <c r="AC555" i="8" s="1"/>
  <c r="DN555" i="8"/>
  <c r="AB555" i="8" s="1"/>
  <c r="DM555" i="8"/>
  <c r="AA555" i="8" s="1"/>
  <c r="DL555" i="8"/>
  <c r="Z555" i="8" s="1"/>
  <c r="DK555" i="8"/>
  <c r="Y555" i="8" s="1"/>
  <c r="DJ555" i="8"/>
  <c r="X555" i="8" s="1"/>
  <c r="DI555" i="8"/>
  <c r="W555" i="8" s="1"/>
  <c r="DH555" i="8"/>
  <c r="V555" i="8" s="1"/>
  <c r="DG555" i="8"/>
  <c r="U555" i="8" s="1"/>
  <c r="DF555" i="8"/>
  <c r="T555" i="8" s="1"/>
  <c r="DE555" i="8"/>
  <c r="S555" i="8" s="1"/>
  <c r="DD555" i="8"/>
  <c r="R555" i="8" s="1"/>
  <c r="DC555" i="8"/>
  <c r="Q555" i="8" s="1"/>
  <c r="DB555" i="8"/>
  <c r="P555" i="8" s="1"/>
  <c r="DA555" i="8"/>
  <c r="O555" i="8" s="1"/>
  <c r="CZ555" i="8"/>
  <c r="N555" i="8" s="1"/>
  <c r="DP554" i="8"/>
  <c r="AD554" i="8" s="1"/>
  <c r="DO554" i="8"/>
  <c r="AC554" i="8" s="1"/>
  <c r="DN554" i="8"/>
  <c r="AB554" i="8" s="1"/>
  <c r="DM554" i="8"/>
  <c r="AA554" i="8" s="1"/>
  <c r="DL554" i="8"/>
  <c r="Z554" i="8" s="1"/>
  <c r="DK554" i="8"/>
  <c r="Y554" i="8" s="1"/>
  <c r="DJ554" i="8"/>
  <c r="X554" i="8" s="1"/>
  <c r="DI554" i="8"/>
  <c r="W554" i="8" s="1"/>
  <c r="DH554" i="8"/>
  <c r="V554" i="8" s="1"/>
  <c r="DG554" i="8"/>
  <c r="U554" i="8" s="1"/>
  <c r="DF554" i="8"/>
  <c r="T554" i="8" s="1"/>
  <c r="DE554" i="8"/>
  <c r="S554" i="8" s="1"/>
  <c r="DD554" i="8"/>
  <c r="R554" i="8" s="1"/>
  <c r="DC554" i="8"/>
  <c r="Q554" i="8" s="1"/>
  <c r="DB554" i="8"/>
  <c r="P554" i="8" s="1"/>
  <c r="DA554" i="8"/>
  <c r="O554" i="8" s="1"/>
  <c r="CZ554" i="8"/>
  <c r="N554" i="8" s="1"/>
  <c r="DP553" i="8"/>
  <c r="AD553" i="8" s="1"/>
  <c r="DO553" i="8"/>
  <c r="AC553" i="8" s="1"/>
  <c r="DN553" i="8"/>
  <c r="AB553" i="8" s="1"/>
  <c r="DM553" i="8"/>
  <c r="AA553" i="8" s="1"/>
  <c r="DL553" i="8"/>
  <c r="Z553" i="8" s="1"/>
  <c r="DK553" i="8"/>
  <c r="Y553" i="8" s="1"/>
  <c r="DJ553" i="8"/>
  <c r="X553" i="8" s="1"/>
  <c r="DI553" i="8"/>
  <c r="W553" i="8" s="1"/>
  <c r="DH553" i="8"/>
  <c r="V553" i="8" s="1"/>
  <c r="DG553" i="8"/>
  <c r="U553" i="8" s="1"/>
  <c r="DF553" i="8"/>
  <c r="T553" i="8" s="1"/>
  <c r="DE553" i="8"/>
  <c r="S553" i="8" s="1"/>
  <c r="DD553" i="8"/>
  <c r="R553" i="8" s="1"/>
  <c r="DC553" i="8"/>
  <c r="Q553" i="8" s="1"/>
  <c r="DB553" i="8"/>
  <c r="P553" i="8" s="1"/>
  <c r="DA553" i="8"/>
  <c r="O553" i="8" s="1"/>
  <c r="CZ553" i="8"/>
  <c r="N553" i="8" s="1"/>
  <c r="DP552" i="8"/>
  <c r="AD552" i="8" s="1"/>
  <c r="DO552" i="8"/>
  <c r="AC552" i="8" s="1"/>
  <c r="DN552" i="8"/>
  <c r="AB552" i="8" s="1"/>
  <c r="DM552" i="8"/>
  <c r="AA552" i="8" s="1"/>
  <c r="DL552" i="8"/>
  <c r="Z552" i="8" s="1"/>
  <c r="DK552" i="8"/>
  <c r="Y552" i="8" s="1"/>
  <c r="DJ552" i="8"/>
  <c r="X552" i="8" s="1"/>
  <c r="DI552" i="8"/>
  <c r="W552" i="8" s="1"/>
  <c r="DH552" i="8"/>
  <c r="V552" i="8" s="1"/>
  <c r="DG552" i="8"/>
  <c r="U552" i="8" s="1"/>
  <c r="DF552" i="8"/>
  <c r="T552" i="8" s="1"/>
  <c r="DE552" i="8"/>
  <c r="S552" i="8" s="1"/>
  <c r="DD552" i="8"/>
  <c r="R552" i="8" s="1"/>
  <c r="DC552" i="8"/>
  <c r="Q552" i="8" s="1"/>
  <c r="DB552" i="8"/>
  <c r="P552" i="8" s="1"/>
  <c r="DA552" i="8"/>
  <c r="O552" i="8" s="1"/>
  <c r="CZ552" i="8"/>
  <c r="N552" i="8" s="1"/>
  <c r="DP551" i="8"/>
  <c r="AD551" i="8" s="1"/>
  <c r="DO551" i="8"/>
  <c r="AC551" i="8" s="1"/>
  <c r="DN551" i="8"/>
  <c r="AB551" i="8" s="1"/>
  <c r="DM551" i="8"/>
  <c r="AA551" i="8" s="1"/>
  <c r="DL551" i="8"/>
  <c r="Z551" i="8" s="1"/>
  <c r="DK551" i="8"/>
  <c r="Y551" i="8" s="1"/>
  <c r="DJ551" i="8"/>
  <c r="X551" i="8" s="1"/>
  <c r="DI551" i="8"/>
  <c r="W551" i="8" s="1"/>
  <c r="DH551" i="8"/>
  <c r="V551" i="8" s="1"/>
  <c r="DG551" i="8"/>
  <c r="U551" i="8" s="1"/>
  <c r="DF551" i="8"/>
  <c r="T551" i="8" s="1"/>
  <c r="DE551" i="8"/>
  <c r="S551" i="8" s="1"/>
  <c r="DD551" i="8"/>
  <c r="R551" i="8" s="1"/>
  <c r="DC551" i="8"/>
  <c r="Q551" i="8" s="1"/>
  <c r="DB551" i="8"/>
  <c r="P551" i="8" s="1"/>
  <c r="DA551" i="8"/>
  <c r="O551" i="8" s="1"/>
  <c r="CZ551" i="8"/>
  <c r="N551" i="8" s="1"/>
  <c r="DP550" i="8"/>
  <c r="AD550" i="8" s="1"/>
  <c r="DO550" i="8"/>
  <c r="AC550" i="8" s="1"/>
  <c r="DN550" i="8"/>
  <c r="AB550" i="8" s="1"/>
  <c r="DM550" i="8"/>
  <c r="AA550" i="8" s="1"/>
  <c r="DL550" i="8"/>
  <c r="Z550" i="8" s="1"/>
  <c r="DK550" i="8"/>
  <c r="Y550" i="8" s="1"/>
  <c r="DJ550" i="8"/>
  <c r="X550" i="8" s="1"/>
  <c r="DI550" i="8"/>
  <c r="W550" i="8" s="1"/>
  <c r="DH550" i="8"/>
  <c r="V550" i="8" s="1"/>
  <c r="DG550" i="8"/>
  <c r="U550" i="8" s="1"/>
  <c r="DF550" i="8"/>
  <c r="T550" i="8" s="1"/>
  <c r="DE550" i="8"/>
  <c r="S550" i="8" s="1"/>
  <c r="DD550" i="8"/>
  <c r="R550" i="8" s="1"/>
  <c r="DC550" i="8"/>
  <c r="Q550" i="8" s="1"/>
  <c r="DB550" i="8"/>
  <c r="P550" i="8" s="1"/>
  <c r="DA550" i="8"/>
  <c r="O550" i="8" s="1"/>
  <c r="CZ550" i="8"/>
  <c r="N550" i="8" s="1"/>
  <c r="DP549" i="8"/>
  <c r="AD549" i="8" s="1"/>
  <c r="DO549" i="8"/>
  <c r="AC549" i="8" s="1"/>
  <c r="DN549" i="8"/>
  <c r="AB549" i="8" s="1"/>
  <c r="DM549" i="8"/>
  <c r="AA549" i="8" s="1"/>
  <c r="DL549" i="8"/>
  <c r="Z549" i="8" s="1"/>
  <c r="DK549" i="8"/>
  <c r="Y549" i="8" s="1"/>
  <c r="DJ549" i="8"/>
  <c r="X549" i="8" s="1"/>
  <c r="DI549" i="8"/>
  <c r="W549" i="8" s="1"/>
  <c r="DH549" i="8"/>
  <c r="V549" i="8" s="1"/>
  <c r="DG549" i="8"/>
  <c r="U549" i="8" s="1"/>
  <c r="DF549" i="8"/>
  <c r="T549" i="8" s="1"/>
  <c r="DE549" i="8"/>
  <c r="S549" i="8" s="1"/>
  <c r="DD549" i="8"/>
  <c r="R549" i="8" s="1"/>
  <c r="DC549" i="8"/>
  <c r="Q549" i="8" s="1"/>
  <c r="DB549" i="8"/>
  <c r="P549" i="8" s="1"/>
  <c r="DA549" i="8"/>
  <c r="O549" i="8" s="1"/>
  <c r="CZ549" i="8"/>
  <c r="N549" i="8" s="1"/>
  <c r="DP548" i="8"/>
  <c r="AD548" i="8" s="1"/>
  <c r="DO548" i="8"/>
  <c r="AC548" i="8" s="1"/>
  <c r="DN548" i="8"/>
  <c r="AB548" i="8" s="1"/>
  <c r="DM548" i="8"/>
  <c r="AA548" i="8" s="1"/>
  <c r="DL548" i="8"/>
  <c r="Z548" i="8" s="1"/>
  <c r="DK548" i="8"/>
  <c r="Y548" i="8" s="1"/>
  <c r="DJ548" i="8"/>
  <c r="X548" i="8" s="1"/>
  <c r="DI548" i="8"/>
  <c r="W548" i="8" s="1"/>
  <c r="DH548" i="8"/>
  <c r="V548" i="8" s="1"/>
  <c r="DG548" i="8"/>
  <c r="U548" i="8" s="1"/>
  <c r="DF548" i="8"/>
  <c r="T548" i="8" s="1"/>
  <c r="DE548" i="8"/>
  <c r="S548" i="8" s="1"/>
  <c r="DD548" i="8"/>
  <c r="R548" i="8" s="1"/>
  <c r="DC548" i="8"/>
  <c r="Q548" i="8" s="1"/>
  <c r="DB548" i="8"/>
  <c r="P548" i="8" s="1"/>
  <c r="DA548" i="8"/>
  <c r="O548" i="8" s="1"/>
  <c r="CZ548" i="8"/>
  <c r="N548" i="8" s="1"/>
  <c r="DP547" i="8"/>
  <c r="AD547" i="8" s="1"/>
  <c r="DO547" i="8"/>
  <c r="AC547" i="8" s="1"/>
  <c r="DN547" i="8"/>
  <c r="AB547" i="8" s="1"/>
  <c r="DM547" i="8"/>
  <c r="AA547" i="8" s="1"/>
  <c r="DL547" i="8"/>
  <c r="Z547" i="8" s="1"/>
  <c r="DK547" i="8"/>
  <c r="Y547" i="8" s="1"/>
  <c r="DJ547" i="8"/>
  <c r="X547" i="8" s="1"/>
  <c r="DI547" i="8"/>
  <c r="W547" i="8" s="1"/>
  <c r="DH547" i="8"/>
  <c r="V547" i="8" s="1"/>
  <c r="DG547" i="8"/>
  <c r="U547" i="8" s="1"/>
  <c r="DF547" i="8"/>
  <c r="T547" i="8" s="1"/>
  <c r="DE547" i="8"/>
  <c r="S547" i="8" s="1"/>
  <c r="DD547" i="8"/>
  <c r="R547" i="8" s="1"/>
  <c r="DC547" i="8"/>
  <c r="Q547" i="8" s="1"/>
  <c r="DB547" i="8"/>
  <c r="P547" i="8" s="1"/>
  <c r="DA547" i="8"/>
  <c r="O547" i="8" s="1"/>
  <c r="CZ547" i="8"/>
  <c r="N547" i="8" s="1"/>
  <c r="DP546" i="8"/>
  <c r="AD546" i="8" s="1"/>
  <c r="DO546" i="8"/>
  <c r="AC546" i="8" s="1"/>
  <c r="DN546" i="8"/>
  <c r="AB546" i="8" s="1"/>
  <c r="DM546" i="8"/>
  <c r="AA546" i="8" s="1"/>
  <c r="DL546" i="8"/>
  <c r="Z546" i="8" s="1"/>
  <c r="DK546" i="8"/>
  <c r="Y546" i="8" s="1"/>
  <c r="DJ546" i="8"/>
  <c r="X546" i="8" s="1"/>
  <c r="DI546" i="8"/>
  <c r="W546" i="8" s="1"/>
  <c r="DH546" i="8"/>
  <c r="V546" i="8" s="1"/>
  <c r="DG546" i="8"/>
  <c r="U546" i="8" s="1"/>
  <c r="DF546" i="8"/>
  <c r="T546" i="8" s="1"/>
  <c r="DE546" i="8"/>
  <c r="S546" i="8" s="1"/>
  <c r="DD546" i="8"/>
  <c r="R546" i="8" s="1"/>
  <c r="DC546" i="8"/>
  <c r="Q546" i="8" s="1"/>
  <c r="DB546" i="8"/>
  <c r="P546" i="8" s="1"/>
  <c r="DA546" i="8"/>
  <c r="O546" i="8" s="1"/>
  <c r="CZ546" i="8"/>
  <c r="N546" i="8" s="1"/>
  <c r="DP545" i="8"/>
  <c r="AD545" i="8" s="1"/>
  <c r="DO545" i="8"/>
  <c r="AC545" i="8" s="1"/>
  <c r="DN545" i="8"/>
  <c r="AB545" i="8" s="1"/>
  <c r="DM545" i="8"/>
  <c r="AA545" i="8" s="1"/>
  <c r="DL545" i="8"/>
  <c r="Z545" i="8" s="1"/>
  <c r="DK545" i="8"/>
  <c r="Y545" i="8" s="1"/>
  <c r="DJ545" i="8"/>
  <c r="X545" i="8" s="1"/>
  <c r="DI545" i="8"/>
  <c r="W545" i="8" s="1"/>
  <c r="DH545" i="8"/>
  <c r="V545" i="8" s="1"/>
  <c r="DG545" i="8"/>
  <c r="U545" i="8" s="1"/>
  <c r="DF545" i="8"/>
  <c r="T545" i="8" s="1"/>
  <c r="DE545" i="8"/>
  <c r="S545" i="8" s="1"/>
  <c r="DD545" i="8"/>
  <c r="R545" i="8" s="1"/>
  <c r="DC545" i="8"/>
  <c r="Q545" i="8" s="1"/>
  <c r="DB545" i="8"/>
  <c r="P545" i="8" s="1"/>
  <c r="DA545" i="8"/>
  <c r="O545" i="8" s="1"/>
  <c r="CZ545" i="8"/>
  <c r="N545" i="8" s="1"/>
  <c r="DP544" i="8"/>
  <c r="AD544" i="8" s="1"/>
  <c r="DO544" i="8"/>
  <c r="AC544" i="8" s="1"/>
  <c r="DN544" i="8"/>
  <c r="AB544" i="8" s="1"/>
  <c r="DM544" i="8"/>
  <c r="AA544" i="8" s="1"/>
  <c r="DL544" i="8"/>
  <c r="Z544" i="8" s="1"/>
  <c r="DK544" i="8"/>
  <c r="Y544" i="8" s="1"/>
  <c r="DJ544" i="8"/>
  <c r="X544" i="8" s="1"/>
  <c r="DI544" i="8"/>
  <c r="W544" i="8" s="1"/>
  <c r="DH544" i="8"/>
  <c r="V544" i="8" s="1"/>
  <c r="DG544" i="8"/>
  <c r="U544" i="8" s="1"/>
  <c r="DF544" i="8"/>
  <c r="T544" i="8" s="1"/>
  <c r="DE544" i="8"/>
  <c r="S544" i="8" s="1"/>
  <c r="DD544" i="8"/>
  <c r="R544" i="8" s="1"/>
  <c r="DC544" i="8"/>
  <c r="Q544" i="8" s="1"/>
  <c r="DB544" i="8"/>
  <c r="P544" i="8" s="1"/>
  <c r="DA544" i="8"/>
  <c r="O544" i="8" s="1"/>
  <c r="CZ544" i="8"/>
  <c r="N544" i="8" s="1"/>
  <c r="DP543" i="8"/>
  <c r="AD543" i="8" s="1"/>
  <c r="DO543" i="8"/>
  <c r="AC543" i="8" s="1"/>
  <c r="DN543" i="8"/>
  <c r="AB543" i="8" s="1"/>
  <c r="DM543" i="8"/>
  <c r="AA543" i="8" s="1"/>
  <c r="DL543" i="8"/>
  <c r="Z543" i="8" s="1"/>
  <c r="DK543" i="8"/>
  <c r="Y543" i="8" s="1"/>
  <c r="DJ543" i="8"/>
  <c r="X543" i="8" s="1"/>
  <c r="DI543" i="8"/>
  <c r="W543" i="8" s="1"/>
  <c r="DH543" i="8"/>
  <c r="V543" i="8" s="1"/>
  <c r="DG543" i="8"/>
  <c r="U543" i="8" s="1"/>
  <c r="DF543" i="8"/>
  <c r="T543" i="8" s="1"/>
  <c r="DE543" i="8"/>
  <c r="S543" i="8" s="1"/>
  <c r="DD543" i="8"/>
  <c r="R543" i="8" s="1"/>
  <c r="DC543" i="8"/>
  <c r="Q543" i="8" s="1"/>
  <c r="DB543" i="8"/>
  <c r="P543" i="8" s="1"/>
  <c r="DA543" i="8"/>
  <c r="O543" i="8" s="1"/>
  <c r="CZ543" i="8"/>
  <c r="N543" i="8" s="1"/>
  <c r="DP542" i="8"/>
  <c r="AD542" i="8" s="1"/>
  <c r="DO542" i="8"/>
  <c r="AC542" i="8" s="1"/>
  <c r="DN542" i="8"/>
  <c r="AB542" i="8" s="1"/>
  <c r="DM542" i="8"/>
  <c r="AA542" i="8" s="1"/>
  <c r="DL542" i="8"/>
  <c r="Z542" i="8" s="1"/>
  <c r="DK542" i="8"/>
  <c r="Y542" i="8" s="1"/>
  <c r="DJ542" i="8"/>
  <c r="X542" i="8" s="1"/>
  <c r="DI542" i="8"/>
  <c r="W542" i="8" s="1"/>
  <c r="DH542" i="8"/>
  <c r="V542" i="8" s="1"/>
  <c r="DG542" i="8"/>
  <c r="U542" i="8" s="1"/>
  <c r="DF542" i="8"/>
  <c r="T542" i="8" s="1"/>
  <c r="DE542" i="8"/>
  <c r="S542" i="8" s="1"/>
  <c r="DD542" i="8"/>
  <c r="R542" i="8" s="1"/>
  <c r="DC542" i="8"/>
  <c r="Q542" i="8" s="1"/>
  <c r="DB542" i="8"/>
  <c r="P542" i="8" s="1"/>
  <c r="DA542" i="8"/>
  <c r="O542" i="8" s="1"/>
  <c r="CZ542" i="8"/>
  <c r="N542" i="8" s="1"/>
  <c r="DP541" i="8"/>
  <c r="AD541" i="8" s="1"/>
  <c r="DO541" i="8"/>
  <c r="AC541" i="8" s="1"/>
  <c r="DN541" i="8"/>
  <c r="AB541" i="8" s="1"/>
  <c r="DM541" i="8"/>
  <c r="AA541" i="8" s="1"/>
  <c r="DL541" i="8"/>
  <c r="Z541" i="8" s="1"/>
  <c r="DK541" i="8"/>
  <c r="Y541" i="8" s="1"/>
  <c r="DJ541" i="8"/>
  <c r="X541" i="8" s="1"/>
  <c r="DI541" i="8"/>
  <c r="W541" i="8" s="1"/>
  <c r="DH541" i="8"/>
  <c r="V541" i="8" s="1"/>
  <c r="DG541" i="8"/>
  <c r="U541" i="8" s="1"/>
  <c r="DF541" i="8"/>
  <c r="T541" i="8" s="1"/>
  <c r="DE541" i="8"/>
  <c r="S541" i="8" s="1"/>
  <c r="DD541" i="8"/>
  <c r="R541" i="8" s="1"/>
  <c r="DC541" i="8"/>
  <c r="Q541" i="8" s="1"/>
  <c r="DB541" i="8"/>
  <c r="P541" i="8" s="1"/>
  <c r="DA541" i="8"/>
  <c r="O541" i="8" s="1"/>
  <c r="CZ541" i="8"/>
  <c r="N541" i="8" s="1"/>
  <c r="DP540" i="8"/>
  <c r="AD540" i="8" s="1"/>
  <c r="DO540" i="8"/>
  <c r="AC540" i="8" s="1"/>
  <c r="DN540" i="8"/>
  <c r="AB540" i="8" s="1"/>
  <c r="DM540" i="8"/>
  <c r="AA540" i="8" s="1"/>
  <c r="DL540" i="8"/>
  <c r="Z540" i="8" s="1"/>
  <c r="DK540" i="8"/>
  <c r="Y540" i="8" s="1"/>
  <c r="DJ540" i="8"/>
  <c r="X540" i="8" s="1"/>
  <c r="DI540" i="8"/>
  <c r="W540" i="8" s="1"/>
  <c r="DH540" i="8"/>
  <c r="V540" i="8" s="1"/>
  <c r="DG540" i="8"/>
  <c r="U540" i="8" s="1"/>
  <c r="DF540" i="8"/>
  <c r="T540" i="8" s="1"/>
  <c r="DE540" i="8"/>
  <c r="S540" i="8" s="1"/>
  <c r="DD540" i="8"/>
  <c r="R540" i="8" s="1"/>
  <c r="DC540" i="8"/>
  <c r="Q540" i="8" s="1"/>
  <c r="DB540" i="8"/>
  <c r="P540" i="8" s="1"/>
  <c r="DA540" i="8"/>
  <c r="O540" i="8" s="1"/>
  <c r="CZ540" i="8"/>
  <c r="N540" i="8" s="1"/>
  <c r="DP539" i="8"/>
  <c r="AD539" i="8" s="1"/>
  <c r="DO539" i="8"/>
  <c r="AC539" i="8" s="1"/>
  <c r="DN539" i="8"/>
  <c r="AB539" i="8" s="1"/>
  <c r="DM539" i="8"/>
  <c r="AA539" i="8" s="1"/>
  <c r="DL539" i="8"/>
  <c r="Z539" i="8" s="1"/>
  <c r="DK539" i="8"/>
  <c r="Y539" i="8" s="1"/>
  <c r="DJ539" i="8"/>
  <c r="X539" i="8" s="1"/>
  <c r="DI539" i="8"/>
  <c r="W539" i="8" s="1"/>
  <c r="DH539" i="8"/>
  <c r="V539" i="8" s="1"/>
  <c r="DG539" i="8"/>
  <c r="U539" i="8" s="1"/>
  <c r="DF539" i="8"/>
  <c r="T539" i="8" s="1"/>
  <c r="DE539" i="8"/>
  <c r="S539" i="8" s="1"/>
  <c r="DD539" i="8"/>
  <c r="R539" i="8" s="1"/>
  <c r="DC539" i="8"/>
  <c r="Q539" i="8" s="1"/>
  <c r="DB539" i="8"/>
  <c r="P539" i="8" s="1"/>
  <c r="DA539" i="8"/>
  <c r="O539" i="8" s="1"/>
  <c r="CZ539" i="8"/>
  <c r="N539" i="8" s="1"/>
  <c r="DP538" i="8"/>
  <c r="AD538" i="8" s="1"/>
  <c r="DO538" i="8"/>
  <c r="AC538" i="8" s="1"/>
  <c r="DN538" i="8"/>
  <c r="AB538" i="8" s="1"/>
  <c r="DM538" i="8"/>
  <c r="AA538" i="8" s="1"/>
  <c r="DL538" i="8"/>
  <c r="Z538" i="8" s="1"/>
  <c r="DK538" i="8"/>
  <c r="Y538" i="8" s="1"/>
  <c r="DJ538" i="8"/>
  <c r="X538" i="8" s="1"/>
  <c r="DI538" i="8"/>
  <c r="W538" i="8" s="1"/>
  <c r="DH538" i="8"/>
  <c r="V538" i="8" s="1"/>
  <c r="DG538" i="8"/>
  <c r="U538" i="8" s="1"/>
  <c r="DF538" i="8"/>
  <c r="T538" i="8" s="1"/>
  <c r="DE538" i="8"/>
  <c r="S538" i="8" s="1"/>
  <c r="DD538" i="8"/>
  <c r="R538" i="8" s="1"/>
  <c r="DC538" i="8"/>
  <c r="Q538" i="8" s="1"/>
  <c r="DB538" i="8"/>
  <c r="P538" i="8" s="1"/>
  <c r="DA538" i="8"/>
  <c r="O538" i="8" s="1"/>
  <c r="CZ538" i="8"/>
  <c r="N538" i="8" s="1"/>
  <c r="DP537" i="8"/>
  <c r="AD537" i="8" s="1"/>
  <c r="DO537" i="8"/>
  <c r="AC537" i="8" s="1"/>
  <c r="DN537" i="8"/>
  <c r="AB537" i="8" s="1"/>
  <c r="DM537" i="8"/>
  <c r="AA537" i="8" s="1"/>
  <c r="DL537" i="8"/>
  <c r="Z537" i="8" s="1"/>
  <c r="DK537" i="8"/>
  <c r="Y537" i="8" s="1"/>
  <c r="DJ537" i="8"/>
  <c r="X537" i="8" s="1"/>
  <c r="DI537" i="8"/>
  <c r="W537" i="8" s="1"/>
  <c r="DH537" i="8"/>
  <c r="V537" i="8" s="1"/>
  <c r="DG537" i="8"/>
  <c r="U537" i="8" s="1"/>
  <c r="DF537" i="8"/>
  <c r="T537" i="8" s="1"/>
  <c r="DE537" i="8"/>
  <c r="S537" i="8" s="1"/>
  <c r="DD537" i="8"/>
  <c r="R537" i="8" s="1"/>
  <c r="DC537" i="8"/>
  <c r="Q537" i="8" s="1"/>
  <c r="DB537" i="8"/>
  <c r="P537" i="8" s="1"/>
  <c r="DA537" i="8"/>
  <c r="O537" i="8" s="1"/>
  <c r="CZ537" i="8"/>
  <c r="N537" i="8" s="1"/>
  <c r="DP536" i="8"/>
  <c r="AD536" i="8" s="1"/>
  <c r="DO536" i="8"/>
  <c r="AC536" i="8" s="1"/>
  <c r="DN536" i="8"/>
  <c r="AB536" i="8" s="1"/>
  <c r="DM536" i="8"/>
  <c r="AA536" i="8" s="1"/>
  <c r="DL536" i="8"/>
  <c r="Z536" i="8" s="1"/>
  <c r="DK536" i="8"/>
  <c r="Y536" i="8" s="1"/>
  <c r="DJ536" i="8"/>
  <c r="X536" i="8" s="1"/>
  <c r="DI536" i="8"/>
  <c r="W536" i="8" s="1"/>
  <c r="DH536" i="8"/>
  <c r="V536" i="8" s="1"/>
  <c r="DG536" i="8"/>
  <c r="U536" i="8" s="1"/>
  <c r="DF536" i="8"/>
  <c r="T536" i="8" s="1"/>
  <c r="DE536" i="8"/>
  <c r="S536" i="8" s="1"/>
  <c r="DD536" i="8"/>
  <c r="R536" i="8" s="1"/>
  <c r="DC536" i="8"/>
  <c r="Q536" i="8" s="1"/>
  <c r="DB536" i="8"/>
  <c r="P536" i="8" s="1"/>
  <c r="DA536" i="8"/>
  <c r="O536" i="8" s="1"/>
  <c r="CZ536" i="8"/>
  <c r="N536" i="8" s="1"/>
  <c r="DP535" i="8"/>
  <c r="AD535" i="8" s="1"/>
  <c r="DO535" i="8"/>
  <c r="AC535" i="8" s="1"/>
  <c r="DN535" i="8"/>
  <c r="AB535" i="8" s="1"/>
  <c r="DM535" i="8"/>
  <c r="AA535" i="8" s="1"/>
  <c r="DL535" i="8"/>
  <c r="Z535" i="8" s="1"/>
  <c r="DK535" i="8"/>
  <c r="Y535" i="8" s="1"/>
  <c r="DJ535" i="8"/>
  <c r="X535" i="8" s="1"/>
  <c r="DI535" i="8"/>
  <c r="W535" i="8" s="1"/>
  <c r="DH535" i="8"/>
  <c r="V535" i="8" s="1"/>
  <c r="DG535" i="8"/>
  <c r="U535" i="8" s="1"/>
  <c r="DF535" i="8"/>
  <c r="T535" i="8" s="1"/>
  <c r="DE535" i="8"/>
  <c r="S535" i="8" s="1"/>
  <c r="DD535" i="8"/>
  <c r="R535" i="8" s="1"/>
  <c r="DC535" i="8"/>
  <c r="Q535" i="8" s="1"/>
  <c r="DB535" i="8"/>
  <c r="P535" i="8" s="1"/>
  <c r="DA535" i="8"/>
  <c r="O535" i="8" s="1"/>
  <c r="CZ535" i="8"/>
  <c r="N535" i="8" s="1"/>
  <c r="DP534" i="8"/>
  <c r="AD534" i="8" s="1"/>
  <c r="DO534" i="8"/>
  <c r="AC534" i="8" s="1"/>
  <c r="DN534" i="8"/>
  <c r="AB534" i="8" s="1"/>
  <c r="DM534" i="8"/>
  <c r="AA534" i="8" s="1"/>
  <c r="DL534" i="8"/>
  <c r="Z534" i="8" s="1"/>
  <c r="DK534" i="8"/>
  <c r="Y534" i="8" s="1"/>
  <c r="DJ534" i="8"/>
  <c r="X534" i="8" s="1"/>
  <c r="DI534" i="8"/>
  <c r="W534" i="8" s="1"/>
  <c r="DH534" i="8"/>
  <c r="V534" i="8" s="1"/>
  <c r="DG534" i="8"/>
  <c r="U534" i="8" s="1"/>
  <c r="DF534" i="8"/>
  <c r="T534" i="8" s="1"/>
  <c r="DE534" i="8"/>
  <c r="S534" i="8" s="1"/>
  <c r="DD534" i="8"/>
  <c r="R534" i="8" s="1"/>
  <c r="DC534" i="8"/>
  <c r="Q534" i="8" s="1"/>
  <c r="DB534" i="8"/>
  <c r="P534" i="8" s="1"/>
  <c r="DA534" i="8"/>
  <c r="O534" i="8" s="1"/>
  <c r="CZ534" i="8"/>
  <c r="N534" i="8" s="1"/>
  <c r="DP533" i="8"/>
  <c r="AD533" i="8" s="1"/>
  <c r="DO533" i="8"/>
  <c r="AC533" i="8" s="1"/>
  <c r="DN533" i="8"/>
  <c r="AB533" i="8" s="1"/>
  <c r="DM533" i="8"/>
  <c r="AA533" i="8" s="1"/>
  <c r="DL533" i="8"/>
  <c r="Z533" i="8" s="1"/>
  <c r="DK533" i="8"/>
  <c r="Y533" i="8" s="1"/>
  <c r="DJ533" i="8"/>
  <c r="X533" i="8" s="1"/>
  <c r="DI533" i="8"/>
  <c r="W533" i="8" s="1"/>
  <c r="DH533" i="8"/>
  <c r="V533" i="8" s="1"/>
  <c r="DG533" i="8"/>
  <c r="U533" i="8" s="1"/>
  <c r="DF533" i="8"/>
  <c r="T533" i="8" s="1"/>
  <c r="DE533" i="8"/>
  <c r="S533" i="8" s="1"/>
  <c r="DD533" i="8"/>
  <c r="R533" i="8" s="1"/>
  <c r="DC533" i="8"/>
  <c r="Q533" i="8" s="1"/>
  <c r="DB533" i="8"/>
  <c r="P533" i="8" s="1"/>
  <c r="DA533" i="8"/>
  <c r="O533" i="8" s="1"/>
  <c r="CZ533" i="8"/>
  <c r="N533" i="8" s="1"/>
  <c r="DP532" i="8"/>
  <c r="AD532" i="8" s="1"/>
  <c r="DO532" i="8"/>
  <c r="AC532" i="8" s="1"/>
  <c r="DN532" i="8"/>
  <c r="AB532" i="8" s="1"/>
  <c r="DM532" i="8"/>
  <c r="AA532" i="8" s="1"/>
  <c r="DL532" i="8"/>
  <c r="Z532" i="8" s="1"/>
  <c r="DK532" i="8"/>
  <c r="Y532" i="8" s="1"/>
  <c r="DJ532" i="8"/>
  <c r="X532" i="8" s="1"/>
  <c r="DI532" i="8"/>
  <c r="W532" i="8" s="1"/>
  <c r="DH532" i="8"/>
  <c r="V532" i="8" s="1"/>
  <c r="DG532" i="8"/>
  <c r="U532" i="8" s="1"/>
  <c r="DF532" i="8"/>
  <c r="T532" i="8" s="1"/>
  <c r="DE532" i="8"/>
  <c r="S532" i="8" s="1"/>
  <c r="DD532" i="8"/>
  <c r="R532" i="8" s="1"/>
  <c r="DC532" i="8"/>
  <c r="Q532" i="8" s="1"/>
  <c r="DB532" i="8"/>
  <c r="P532" i="8" s="1"/>
  <c r="DA532" i="8"/>
  <c r="O532" i="8" s="1"/>
  <c r="CZ532" i="8"/>
  <c r="N532" i="8" s="1"/>
  <c r="DP531" i="8"/>
  <c r="AD531" i="8" s="1"/>
  <c r="DO531" i="8"/>
  <c r="AC531" i="8" s="1"/>
  <c r="DN531" i="8"/>
  <c r="AB531" i="8" s="1"/>
  <c r="DM531" i="8"/>
  <c r="AA531" i="8" s="1"/>
  <c r="DL531" i="8"/>
  <c r="Z531" i="8" s="1"/>
  <c r="DK531" i="8"/>
  <c r="Y531" i="8" s="1"/>
  <c r="DJ531" i="8"/>
  <c r="X531" i="8" s="1"/>
  <c r="DI531" i="8"/>
  <c r="W531" i="8" s="1"/>
  <c r="DH531" i="8"/>
  <c r="V531" i="8" s="1"/>
  <c r="DG531" i="8"/>
  <c r="U531" i="8" s="1"/>
  <c r="DF531" i="8"/>
  <c r="T531" i="8" s="1"/>
  <c r="DE531" i="8"/>
  <c r="S531" i="8" s="1"/>
  <c r="DD531" i="8"/>
  <c r="R531" i="8" s="1"/>
  <c r="DC531" i="8"/>
  <c r="Q531" i="8" s="1"/>
  <c r="DB531" i="8"/>
  <c r="P531" i="8" s="1"/>
  <c r="DA531" i="8"/>
  <c r="O531" i="8" s="1"/>
  <c r="CZ531" i="8"/>
  <c r="N531" i="8" s="1"/>
  <c r="DP530" i="8"/>
  <c r="AD530" i="8" s="1"/>
  <c r="DO530" i="8"/>
  <c r="AC530" i="8" s="1"/>
  <c r="DN530" i="8"/>
  <c r="AB530" i="8" s="1"/>
  <c r="DM530" i="8"/>
  <c r="AA530" i="8" s="1"/>
  <c r="DL530" i="8"/>
  <c r="Z530" i="8" s="1"/>
  <c r="DK530" i="8"/>
  <c r="Y530" i="8" s="1"/>
  <c r="DJ530" i="8"/>
  <c r="X530" i="8" s="1"/>
  <c r="DI530" i="8"/>
  <c r="W530" i="8" s="1"/>
  <c r="DH530" i="8"/>
  <c r="V530" i="8" s="1"/>
  <c r="DG530" i="8"/>
  <c r="U530" i="8" s="1"/>
  <c r="DF530" i="8"/>
  <c r="T530" i="8" s="1"/>
  <c r="DE530" i="8"/>
  <c r="S530" i="8" s="1"/>
  <c r="DD530" i="8"/>
  <c r="R530" i="8" s="1"/>
  <c r="DC530" i="8"/>
  <c r="Q530" i="8" s="1"/>
  <c r="DB530" i="8"/>
  <c r="P530" i="8" s="1"/>
  <c r="DA530" i="8"/>
  <c r="O530" i="8" s="1"/>
  <c r="CZ530" i="8"/>
  <c r="N530" i="8" s="1"/>
  <c r="DP529" i="8"/>
  <c r="AD529" i="8" s="1"/>
  <c r="DO529" i="8"/>
  <c r="AC529" i="8" s="1"/>
  <c r="DN529" i="8"/>
  <c r="AB529" i="8" s="1"/>
  <c r="DM529" i="8"/>
  <c r="AA529" i="8" s="1"/>
  <c r="DL529" i="8"/>
  <c r="Z529" i="8" s="1"/>
  <c r="DK529" i="8"/>
  <c r="Y529" i="8" s="1"/>
  <c r="DJ529" i="8"/>
  <c r="X529" i="8" s="1"/>
  <c r="DI529" i="8"/>
  <c r="W529" i="8" s="1"/>
  <c r="DH529" i="8"/>
  <c r="V529" i="8" s="1"/>
  <c r="DG529" i="8"/>
  <c r="U529" i="8" s="1"/>
  <c r="DF529" i="8"/>
  <c r="T529" i="8" s="1"/>
  <c r="DE529" i="8"/>
  <c r="S529" i="8" s="1"/>
  <c r="DD529" i="8"/>
  <c r="R529" i="8" s="1"/>
  <c r="DC529" i="8"/>
  <c r="Q529" i="8" s="1"/>
  <c r="DB529" i="8"/>
  <c r="P529" i="8" s="1"/>
  <c r="DA529" i="8"/>
  <c r="O529" i="8" s="1"/>
  <c r="CZ529" i="8"/>
  <c r="N529" i="8" s="1"/>
  <c r="DP528" i="8"/>
  <c r="AD528" i="8" s="1"/>
  <c r="DO528" i="8"/>
  <c r="AC528" i="8" s="1"/>
  <c r="DN528" i="8"/>
  <c r="AB528" i="8" s="1"/>
  <c r="DM528" i="8"/>
  <c r="AA528" i="8" s="1"/>
  <c r="DL528" i="8"/>
  <c r="Z528" i="8" s="1"/>
  <c r="DK528" i="8"/>
  <c r="Y528" i="8" s="1"/>
  <c r="DJ528" i="8"/>
  <c r="X528" i="8" s="1"/>
  <c r="DI528" i="8"/>
  <c r="W528" i="8" s="1"/>
  <c r="DH528" i="8"/>
  <c r="V528" i="8" s="1"/>
  <c r="DG528" i="8"/>
  <c r="U528" i="8" s="1"/>
  <c r="DF528" i="8"/>
  <c r="T528" i="8" s="1"/>
  <c r="DE528" i="8"/>
  <c r="S528" i="8" s="1"/>
  <c r="DD528" i="8"/>
  <c r="R528" i="8" s="1"/>
  <c r="DC528" i="8"/>
  <c r="Q528" i="8" s="1"/>
  <c r="DB528" i="8"/>
  <c r="P528" i="8" s="1"/>
  <c r="DA528" i="8"/>
  <c r="O528" i="8" s="1"/>
  <c r="CZ528" i="8"/>
  <c r="N528" i="8" s="1"/>
  <c r="DP527" i="8"/>
  <c r="AD527" i="8" s="1"/>
  <c r="DO527" i="8"/>
  <c r="AC527" i="8" s="1"/>
  <c r="DN527" i="8"/>
  <c r="AB527" i="8" s="1"/>
  <c r="DM527" i="8"/>
  <c r="AA527" i="8" s="1"/>
  <c r="DL527" i="8"/>
  <c r="Z527" i="8" s="1"/>
  <c r="DK527" i="8"/>
  <c r="Y527" i="8" s="1"/>
  <c r="DJ527" i="8"/>
  <c r="X527" i="8" s="1"/>
  <c r="DI527" i="8"/>
  <c r="W527" i="8" s="1"/>
  <c r="DH527" i="8"/>
  <c r="V527" i="8" s="1"/>
  <c r="DG527" i="8"/>
  <c r="U527" i="8" s="1"/>
  <c r="DF527" i="8"/>
  <c r="T527" i="8" s="1"/>
  <c r="DE527" i="8"/>
  <c r="S527" i="8" s="1"/>
  <c r="DD527" i="8"/>
  <c r="R527" i="8" s="1"/>
  <c r="DC527" i="8"/>
  <c r="Q527" i="8" s="1"/>
  <c r="DB527" i="8"/>
  <c r="P527" i="8" s="1"/>
  <c r="DA527" i="8"/>
  <c r="O527" i="8" s="1"/>
  <c r="CZ527" i="8"/>
  <c r="N527" i="8" s="1"/>
  <c r="DP526" i="8"/>
  <c r="AD526" i="8" s="1"/>
  <c r="DO526" i="8"/>
  <c r="AC526" i="8" s="1"/>
  <c r="DN526" i="8"/>
  <c r="AB526" i="8" s="1"/>
  <c r="DM526" i="8"/>
  <c r="AA526" i="8" s="1"/>
  <c r="DL526" i="8"/>
  <c r="Z526" i="8" s="1"/>
  <c r="DK526" i="8"/>
  <c r="Y526" i="8" s="1"/>
  <c r="DJ526" i="8"/>
  <c r="X526" i="8" s="1"/>
  <c r="DI526" i="8"/>
  <c r="W526" i="8" s="1"/>
  <c r="DH526" i="8"/>
  <c r="V526" i="8" s="1"/>
  <c r="DG526" i="8"/>
  <c r="U526" i="8" s="1"/>
  <c r="DF526" i="8"/>
  <c r="T526" i="8" s="1"/>
  <c r="DE526" i="8"/>
  <c r="S526" i="8" s="1"/>
  <c r="DD526" i="8"/>
  <c r="R526" i="8" s="1"/>
  <c r="DC526" i="8"/>
  <c r="Q526" i="8" s="1"/>
  <c r="DB526" i="8"/>
  <c r="P526" i="8" s="1"/>
  <c r="DA526" i="8"/>
  <c r="O526" i="8" s="1"/>
  <c r="CZ526" i="8"/>
  <c r="N526" i="8" s="1"/>
  <c r="DP525" i="8"/>
  <c r="AD525" i="8" s="1"/>
  <c r="DO525" i="8"/>
  <c r="AC525" i="8" s="1"/>
  <c r="DN525" i="8"/>
  <c r="AB525" i="8" s="1"/>
  <c r="DM525" i="8"/>
  <c r="AA525" i="8" s="1"/>
  <c r="DL525" i="8"/>
  <c r="Z525" i="8" s="1"/>
  <c r="DK525" i="8"/>
  <c r="Y525" i="8" s="1"/>
  <c r="DJ525" i="8"/>
  <c r="X525" i="8" s="1"/>
  <c r="DI525" i="8"/>
  <c r="W525" i="8" s="1"/>
  <c r="DH525" i="8"/>
  <c r="V525" i="8" s="1"/>
  <c r="DG525" i="8"/>
  <c r="U525" i="8" s="1"/>
  <c r="DF525" i="8"/>
  <c r="T525" i="8" s="1"/>
  <c r="DE525" i="8"/>
  <c r="S525" i="8" s="1"/>
  <c r="DD525" i="8"/>
  <c r="R525" i="8" s="1"/>
  <c r="DC525" i="8"/>
  <c r="Q525" i="8" s="1"/>
  <c r="DB525" i="8"/>
  <c r="P525" i="8" s="1"/>
  <c r="DA525" i="8"/>
  <c r="O525" i="8" s="1"/>
  <c r="CZ525" i="8"/>
  <c r="N525" i="8" s="1"/>
  <c r="DP524" i="8"/>
  <c r="AD524" i="8" s="1"/>
  <c r="DO524" i="8"/>
  <c r="AC524" i="8" s="1"/>
  <c r="DN524" i="8"/>
  <c r="AB524" i="8" s="1"/>
  <c r="DM524" i="8"/>
  <c r="AA524" i="8" s="1"/>
  <c r="DL524" i="8"/>
  <c r="Z524" i="8" s="1"/>
  <c r="DK524" i="8"/>
  <c r="Y524" i="8" s="1"/>
  <c r="DJ524" i="8"/>
  <c r="X524" i="8" s="1"/>
  <c r="DI524" i="8"/>
  <c r="W524" i="8" s="1"/>
  <c r="DH524" i="8"/>
  <c r="V524" i="8" s="1"/>
  <c r="DG524" i="8"/>
  <c r="U524" i="8" s="1"/>
  <c r="DF524" i="8"/>
  <c r="T524" i="8" s="1"/>
  <c r="DE524" i="8"/>
  <c r="S524" i="8" s="1"/>
  <c r="DD524" i="8"/>
  <c r="R524" i="8" s="1"/>
  <c r="DC524" i="8"/>
  <c r="Q524" i="8" s="1"/>
  <c r="DB524" i="8"/>
  <c r="P524" i="8" s="1"/>
  <c r="DA524" i="8"/>
  <c r="O524" i="8" s="1"/>
  <c r="CZ524" i="8"/>
  <c r="N524" i="8" s="1"/>
  <c r="DP523" i="8"/>
  <c r="AD523" i="8" s="1"/>
  <c r="DO523" i="8"/>
  <c r="AC523" i="8" s="1"/>
  <c r="DN523" i="8"/>
  <c r="AB523" i="8" s="1"/>
  <c r="DM523" i="8"/>
  <c r="AA523" i="8" s="1"/>
  <c r="DL523" i="8"/>
  <c r="Z523" i="8" s="1"/>
  <c r="DK523" i="8"/>
  <c r="Y523" i="8" s="1"/>
  <c r="DJ523" i="8"/>
  <c r="X523" i="8" s="1"/>
  <c r="DI523" i="8"/>
  <c r="W523" i="8" s="1"/>
  <c r="DH523" i="8"/>
  <c r="V523" i="8" s="1"/>
  <c r="DG523" i="8"/>
  <c r="U523" i="8" s="1"/>
  <c r="DF523" i="8"/>
  <c r="T523" i="8" s="1"/>
  <c r="DE523" i="8"/>
  <c r="S523" i="8" s="1"/>
  <c r="DD523" i="8"/>
  <c r="R523" i="8" s="1"/>
  <c r="DC523" i="8"/>
  <c r="Q523" i="8" s="1"/>
  <c r="DB523" i="8"/>
  <c r="P523" i="8" s="1"/>
  <c r="DA523" i="8"/>
  <c r="O523" i="8" s="1"/>
  <c r="CZ523" i="8"/>
  <c r="N523" i="8" s="1"/>
  <c r="DP522" i="8"/>
  <c r="AD522" i="8" s="1"/>
  <c r="DO522" i="8"/>
  <c r="AC522" i="8" s="1"/>
  <c r="DN522" i="8"/>
  <c r="AB522" i="8" s="1"/>
  <c r="DM522" i="8"/>
  <c r="AA522" i="8" s="1"/>
  <c r="DL522" i="8"/>
  <c r="Z522" i="8" s="1"/>
  <c r="DK522" i="8"/>
  <c r="Y522" i="8" s="1"/>
  <c r="DJ522" i="8"/>
  <c r="X522" i="8" s="1"/>
  <c r="DI522" i="8"/>
  <c r="W522" i="8" s="1"/>
  <c r="DH522" i="8"/>
  <c r="V522" i="8" s="1"/>
  <c r="DG522" i="8"/>
  <c r="U522" i="8" s="1"/>
  <c r="DF522" i="8"/>
  <c r="T522" i="8" s="1"/>
  <c r="DE522" i="8"/>
  <c r="S522" i="8" s="1"/>
  <c r="DD522" i="8"/>
  <c r="R522" i="8" s="1"/>
  <c r="DC522" i="8"/>
  <c r="Q522" i="8" s="1"/>
  <c r="DB522" i="8"/>
  <c r="P522" i="8" s="1"/>
  <c r="DA522" i="8"/>
  <c r="O522" i="8" s="1"/>
  <c r="CZ522" i="8"/>
  <c r="N522" i="8" s="1"/>
  <c r="DP521" i="8"/>
  <c r="AD521" i="8" s="1"/>
  <c r="DO521" i="8"/>
  <c r="AC521" i="8" s="1"/>
  <c r="DN521" i="8"/>
  <c r="AB521" i="8" s="1"/>
  <c r="DM521" i="8"/>
  <c r="AA521" i="8" s="1"/>
  <c r="DL521" i="8"/>
  <c r="Z521" i="8" s="1"/>
  <c r="DK521" i="8"/>
  <c r="Y521" i="8" s="1"/>
  <c r="DJ521" i="8"/>
  <c r="X521" i="8" s="1"/>
  <c r="DI521" i="8"/>
  <c r="W521" i="8" s="1"/>
  <c r="DH521" i="8"/>
  <c r="V521" i="8" s="1"/>
  <c r="DG521" i="8"/>
  <c r="U521" i="8" s="1"/>
  <c r="DF521" i="8"/>
  <c r="T521" i="8" s="1"/>
  <c r="DE521" i="8"/>
  <c r="S521" i="8" s="1"/>
  <c r="DD521" i="8"/>
  <c r="R521" i="8" s="1"/>
  <c r="DC521" i="8"/>
  <c r="Q521" i="8" s="1"/>
  <c r="DB521" i="8"/>
  <c r="P521" i="8" s="1"/>
  <c r="DA521" i="8"/>
  <c r="O521" i="8" s="1"/>
  <c r="CZ521" i="8"/>
  <c r="N521" i="8" s="1"/>
  <c r="DP520" i="8"/>
  <c r="AD520" i="8" s="1"/>
  <c r="DO520" i="8"/>
  <c r="AC520" i="8" s="1"/>
  <c r="DN520" i="8"/>
  <c r="AB520" i="8" s="1"/>
  <c r="DM520" i="8"/>
  <c r="AA520" i="8" s="1"/>
  <c r="DL520" i="8"/>
  <c r="Z520" i="8" s="1"/>
  <c r="DK520" i="8"/>
  <c r="Y520" i="8" s="1"/>
  <c r="DJ520" i="8"/>
  <c r="X520" i="8" s="1"/>
  <c r="DI520" i="8"/>
  <c r="W520" i="8" s="1"/>
  <c r="DH520" i="8"/>
  <c r="V520" i="8" s="1"/>
  <c r="DG520" i="8"/>
  <c r="U520" i="8" s="1"/>
  <c r="DF520" i="8"/>
  <c r="T520" i="8" s="1"/>
  <c r="DE520" i="8"/>
  <c r="S520" i="8" s="1"/>
  <c r="DD520" i="8"/>
  <c r="R520" i="8" s="1"/>
  <c r="DC520" i="8"/>
  <c r="Q520" i="8" s="1"/>
  <c r="DB520" i="8"/>
  <c r="P520" i="8" s="1"/>
  <c r="DA520" i="8"/>
  <c r="O520" i="8" s="1"/>
  <c r="CZ520" i="8"/>
  <c r="N520" i="8" s="1"/>
  <c r="DP519" i="8"/>
  <c r="AD519" i="8" s="1"/>
  <c r="DO519" i="8"/>
  <c r="AC519" i="8" s="1"/>
  <c r="DN519" i="8"/>
  <c r="AB519" i="8" s="1"/>
  <c r="DM519" i="8"/>
  <c r="AA519" i="8" s="1"/>
  <c r="DL519" i="8"/>
  <c r="Z519" i="8" s="1"/>
  <c r="DK519" i="8"/>
  <c r="Y519" i="8" s="1"/>
  <c r="DJ519" i="8"/>
  <c r="X519" i="8" s="1"/>
  <c r="DI519" i="8"/>
  <c r="W519" i="8" s="1"/>
  <c r="DH519" i="8"/>
  <c r="V519" i="8" s="1"/>
  <c r="DG519" i="8"/>
  <c r="U519" i="8" s="1"/>
  <c r="DF519" i="8"/>
  <c r="T519" i="8" s="1"/>
  <c r="DE519" i="8"/>
  <c r="S519" i="8" s="1"/>
  <c r="DD519" i="8"/>
  <c r="R519" i="8" s="1"/>
  <c r="DC519" i="8"/>
  <c r="Q519" i="8" s="1"/>
  <c r="DB519" i="8"/>
  <c r="P519" i="8" s="1"/>
  <c r="DA519" i="8"/>
  <c r="O519" i="8" s="1"/>
  <c r="CZ519" i="8"/>
  <c r="N519" i="8" s="1"/>
  <c r="DP518" i="8"/>
  <c r="AD518" i="8" s="1"/>
  <c r="DO518" i="8"/>
  <c r="AC518" i="8" s="1"/>
  <c r="DN518" i="8"/>
  <c r="AB518" i="8" s="1"/>
  <c r="DM518" i="8"/>
  <c r="AA518" i="8" s="1"/>
  <c r="DL518" i="8"/>
  <c r="Z518" i="8" s="1"/>
  <c r="DK518" i="8"/>
  <c r="Y518" i="8" s="1"/>
  <c r="DJ518" i="8"/>
  <c r="X518" i="8" s="1"/>
  <c r="DI518" i="8"/>
  <c r="W518" i="8" s="1"/>
  <c r="DH518" i="8"/>
  <c r="V518" i="8" s="1"/>
  <c r="DG518" i="8"/>
  <c r="U518" i="8" s="1"/>
  <c r="DF518" i="8"/>
  <c r="T518" i="8" s="1"/>
  <c r="DE518" i="8"/>
  <c r="S518" i="8" s="1"/>
  <c r="DD518" i="8"/>
  <c r="R518" i="8" s="1"/>
  <c r="DC518" i="8"/>
  <c r="Q518" i="8" s="1"/>
  <c r="DB518" i="8"/>
  <c r="P518" i="8" s="1"/>
  <c r="DA518" i="8"/>
  <c r="O518" i="8" s="1"/>
  <c r="CZ518" i="8"/>
  <c r="N518" i="8" s="1"/>
  <c r="DP517" i="8"/>
  <c r="AD517" i="8" s="1"/>
  <c r="DO517" i="8"/>
  <c r="AC517" i="8" s="1"/>
  <c r="DN517" i="8"/>
  <c r="AB517" i="8" s="1"/>
  <c r="DM517" i="8"/>
  <c r="AA517" i="8" s="1"/>
  <c r="DL517" i="8"/>
  <c r="Z517" i="8" s="1"/>
  <c r="DK517" i="8"/>
  <c r="Y517" i="8" s="1"/>
  <c r="DJ517" i="8"/>
  <c r="X517" i="8" s="1"/>
  <c r="DI517" i="8"/>
  <c r="W517" i="8" s="1"/>
  <c r="DH517" i="8"/>
  <c r="V517" i="8" s="1"/>
  <c r="DG517" i="8"/>
  <c r="U517" i="8" s="1"/>
  <c r="DF517" i="8"/>
  <c r="T517" i="8" s="1"/>
  <c r="DE517" i="8"/>
  <c r="S517" i="8" s="1"/>
  <c r="DD517" i="8"/>
  <c r="R517" i="8" s="1"/>
  <c r="DC517" i="8"/>
  <c r="Q517" i="8" s="1"/>
  <c r="DB517" i="8"/>
  <c r="P517" i="8" s="1"/>
  <c r="DA517" i="8"/>
  <c r="O517" i="8" s="1"/>
  <c r="CZ517" i="8"/>
  <c r="N517" i="8" s="1"/>
  <c r="DP516" i="8"/>
  <c r="AD516" i="8" s="1"/>
  <c r="DO516" i="8"/>
  <c r="AC516" i="8" s="1"/>
  <c r="DN516" i="8"/>
  <c r="AB516" i="8" s="1"/>
  <c r="DM516" i="8"/>
  <c r="AA516" i="8" s="1"/>
  <c r="DL516" i="8"/>
  <c r="Z516" i="8" s="1"/>
  <c r="DK516" i="8"/>
  <c r="Y516" i="8" s="1"/>
  <c r="DJ516" i="8"/>
  <c r="X516" i="8" s="1"/>
  <c r="DI516" i="8"/>
  <c r="W516" i="8" s="1"/>
  <c r="DH516" i="8"/>
  <c r="V516" i="8" s="1"/>
  <c r="DG516" i="8"/>
  <c r="U516" i="8" s="1"/>
  <c r="DF516" i="8"/>
  <c r="T516" i="8" s="1"/>
  <c r="DE516" i="8"/>
  <c r="S516" i="8" s="1"/>
  <c r="DD516" i="8"/>
  <c r="R516" i="8" s="1"/>
  <c r="DC516" i="8"/>
  <c r="Q516" i="8" s="1"/>
  <c r="DB516" i="8"/>
  <c r="P516" i="8" s="1"/>
  <c r="DA516" i="8"/>
  <c r="O516" i="8" s="1"/>
  <c r="CZ516" i="8"/>
  <c r="N516" i="8" s="1"/>
  <c r="DP515" i="8"/>
  <c r="AD515" i="8" s="1"/>
  <c r="DO515" i="8"/>
  <c r="AC515" i="8" s="1"/>
  <c r="DN515" i="8"/>
  <c r="AB515" i="8" s="1"/>
  <c r="DM515" i="8"/>
  <c r="AA515" i="8" s="1"/>
  <c r="DL515" i="8"/>
  <c r="Z515" i="8" s="1"/>
  <c r="DK515" i="8"/>
  <c r="Y515" i="8" s="1"/>
  <c r="DJ515" i="8"/>
  <c r="X515" i="8" s="1"/>
  <c r="DI515" i="8"/>
  <c r="W515" i="8" s="1"/>
  <c r="DH515" i="8"/>
  <c r="V515" i="8" s="1"/>
  <c r="DG515" i="8"/>
  <c r="U515" i="8" s="1"/>
  <c r="DF515" i="8"/>
  <c r="T515" i="8" s="1"/>
  <c r="DE515" i="8"/>
  <c r="S515" i="8" s="1"/>
  <c r="DD515" i="8"/>
  <c r="R515" i="8" s="1"/>
  <c r="DC515" i="8"/>
  <c r="Q515" i="8" s="1"/>
  <c r="DB515" i="8"/>
  <c r="P515" i="8" s="1"/>
  <c r="DA515" i="8"/>
  <c r="O515" i="8" s="1"/>
  <c r="CZ515" i="8"/>
  <c r="N515" i="8" s="1"/>
  <c r="DP514" i="8"/>
  <c r="AD514" i="8" s="1"/>
  <c r="DO514" i="8"/>
  <c r="AC514" i="8" s="1"/>
  <c r="DN514" i="8"/>
  <c r="AB514" i="8" s="1"/>
  <c r="DM514" i="8"/>
  <c r="AA514" i="8" s="1"/>
  <c r="DL514" i="8"/>
  <c r="Z514" i="8" s="1"/>
  <c r="DK514" i="8"/>
  <c r="Y514" i="8" s="1"/>
  <c r="DJ514" i="8"/>
  <c r="X514" i="8" s="1"/>
  <c r="DI514" i="8"/>
  <c r="W514" i="8" s="1"/>
  <c r="DH514" i="8"/>
  <c r="V514" i="8" s="1"/>
  <c r="DG514" i="8"/>
  <c r="U514" i="8" s="1"/>
  <c r="DF514" i="8"/>
  <c r="T514" i="8" s="1"/>
  <c r="DE514" i="8"/>
  <c r="S514" i="8" s="1"/>
  <c r="DD514" i="8"/>
  <c r="R514" i="8" s="1"/>
  <c r="DC514" i="8"/>
  <c r="Q514" i="8" s="1"/>
  <c r="DB514" i="8"/>
  <c r="P514" i="8" s="1"/>
  <c r="DA514" i="8"/>
  <c r="O514" i="8" s="1"/>
  <c r="CZ514" i="8"/>
  <c r="N514" i="8" s="1"/>
  <c r="DP513" i="8"/>
  <c r="AD513" i="8" s="1"/>
  <c r="DO513" i="8"/>
  <c r="AC513" i="8" s="1"/>
  <c r="DN513" i="8"/>
  <c r="AB513" i="8" s="1"/>
  <c r="DM513" i="8"/>
  <c r="AA513" i="8" s="1"/>
  <c r="DL513" i="8"/>
  <c r="Z513" i="8" s="1"/>
  <c r="DK513" i="8"/>
  <c r="Y513" i="8" s="1"/>
  <c r="DJ513" i="8"/>
  <c r="X513" i="8" s="1"/>
  <c r="DI513" i="8"/>
  <c r="W513" i="8" s="1"/>
  <c r="DH513" i="8"/>
  <c r="V513" i="8" s="1"/>
  <c r="DG513" i="8"/>
  <c r="U513" i="8" s="1"/>
  <c r="DF513" i="8"/>
  <c r="T513" i="8" s="1"/>
  <c r="DE513" i="8"/>
  <c r="S513" i="8" s="1"/>
  <c r="DD513" i="8"/>
  <c r="R513" i="8" s="1"/>
  <c r="DC513" i="8"/>
  <c r="Q513" i="8" s="1"/>
  <c r="DB513" i="8"/>
  <c r="P513" i="8" s="1"/>
  <c r="DA513" i="8"/>
  <c r="O513" i="8" s="1"/>
  <c r="CZ513" i="8"/>
  <c r="N513" i="8" s="1"/>
  <c r="DP512" i="8"/>
  <c r="AD512" i="8" s="1"/>
  <c r="DO512" i="8"/>
  <c r="AC512" i="8" s="1"/>
  <c r="DN512" i="8"/>
  <c r="AB512" i="8" s="1"/>
  <c r="DM512" i="8"/>
  <c r="AA512" i="8" s="1"/>
  <c r="DL512" i="8"/>
  <c r="Z512" i="8" s="1"/>
  <c r="DK512" i="8"/>
  <c r="Y512" i="8" s="1"/>
  <c r="DJ512" i="8"/>
  <c r="X512" i="8" s="1"/>
  <c r="DI512" i="8"/>
  <c r="W512" i="8" s="1"/>
  <c r="DH512" i="8"/>
  <c r="V512" i="8" s="1"/>
  <c r="DG512" i="8"/>
  <c r="U512" i="8" s="1"/>
  <c r="DF512" i="8"/>
  <c r="T512" i="8" s="1"/>
  <c r="DE512" i="8"/>
  <c r="S512" i="8" s="1"/>
  <c r="DD512" i="8"/>
  <c r="R512" i="8" s="1"/>
  <c r="DC512" i="8"/>
  <c r="Q512" i="8" s="1"/>
  <c r="DB512" i="8"/>
  <c r="P512" i="8" s="1"/>
  <c r="DA512" i="8"/>
  <c r="O512" i="8" s="1"/>
  <c r="CZ512" i="8"/>
  <c r="N512" i="8" s="1"/>
  <c r="DP511" i="8"/>
  <c r="AD511" i="8" s="1"/>
  <c r="DO511" i="8"/>
  <c r="AC511" i="8" s="1"/>
  <c r="DN511" i="8"/>
  <c r="AB511" i="8" s="1"/>
  <c r="DM511" i="8"/>
  <c r="AA511" i="8" s="1"/>
  <c r="DL511" i="8"/>
  <c r="Z511" i="8" s="1"/>
  <c r="DK511" i="8"/>
  <c r="Y511" i="8" s="1"/>
  <c r="DJ511" i="8"/>
  <c r="X511" i="8" s="1"/>
  <c r="DI511" i="8"/>
  <c r="W511" i="8" s="1"/>
  <c r="DH511" i="8"/>
  <c r="V511" i="8" s="1"/>
  <c r="DG511" i="8"/>
  <c r="U511" i="8" s="1"/>
  <c r="DF511" i="8"/>
  <c r="T511" i="8" s="1"/>
  <c r="DE511" i="8"/>
  <c r="S511" i="8" s="1"/>
  <c r="DD511" i="8"/>
  <c r="R511" i="8" s="1"/>
  <c r="DC511" i="8"/>
  <c r="Q511" i="8" s="1"/>
  <c r="DB511" i="8"/>
  <c r="P511" i="8" s="1"/>
  <c r="DA511" i="8"/>
  <c r="O511" i="8" s="1"/>
  <c r="CZ511" i="8"/>
  <c r="N511" i="8" s="1"/>
  <c r="DP510" i="8"/>
  <c r="AD510" i="8" s="1"/>
  <c r="DO510" i="8"/>
  <c r="AC510" i="8" s="1"/>
  <c r="DN510" i="8"/>
  <c r="AB510" i="8" s="1"/>
  <c r="DM510" i="8"/>
  <c r="AA510" i="8" s="1"/>
  <c r="DL510" i="8"/>
  <c r="Z510" i="8" s="1"/>
  <c r="DK510" i="8"/>
  <c r="Y510" i="8" s="1"/>
  <c r="DJ510" i="8"/>
  <c r="X510" i="8" s="1"/>
  <c r="DI510" i="8"/>
  <c r="W510" i="8" s="1"/>
  <c r="DH510" i="8"/>
  <c r="V510" i="8" s="1"/>
  <c r="DG510" i="8"/>
  <c r="U510" i="8" s="1"/>
  <c r="DF510" i="8"/>
  <c r="T510" i="8" s="1"/>
  <c r="DE510" i="8"/>
  <c r="S510" i="8" s="1"/>
  <c r="DD510" i="8"/>
  <c r="R510" i="8" s="1"/>
  <c r="DC510" i="8"/>
  <c r="Q510" i="8" s="1"/>
  <c r="DB510" i="8"/>
  <c r="P510" i="8" s="1"/>
  <c r="DA510" i="8"/>
  <c r="O510" i="8" s="1"/>
  <c r="CZ510" i="8"/>
  <c r="N510" i="8" s="1"/>
  <c r="DP509" i="8"/>
  <c r="AD509" i="8" s="1"/>
  <c r="DO509" i="8"/>
  <c r="AC509" i="8" s="1"/>
  <c r="DN509" i="8"/>
  <c r="AB509" i="8" s="1"/>
  <c r="DM509" i="8"/>
  <c r="AA509" i="8" s="1"/>
  <c r="DL509" i="8"/>
  <c r="Z509" i="8" s="1"/>
  <c r="DK509" i="8"/>
  <c r="Y509" i="8" s="1"/>
  <c r="DJ509" i="8"/>
  <c r="X509" i="8" s="1"/>
  <c r="DI509" i="8"/>
  <c r="W509" i="8" s="1"/>
  <c r="DH509" i="8"/>
  <c r="V509" i="8" s="1"/>
  <c r="DG509" i="8"/>
  <c r="U509" i="8" s="1"/>
  <c r="DF509" i="8"/>
  <c r="T509" i="8" s="1"/>
  <c r="DE509" i="8"/>
  <c r="S509" i="8" s="1"/>
  <c r="DD509" i="8"/>
  <c r="R509" i="8" s="1"/>
  <c r="DC509" i="8"/>
  <c r="Q509" i="8" s="1"/>
  <c r="DB509" i="8"/>
  <c r="P509" i="8" s="1"/>
  <c r="DA509" i="8"/>
  <c r="O509" i="8" s="1"/>
  <c r="CZ509" i="8"/>
  <c r="N509" i="8" s="1"/>
  <c r="DP508" i="8"/>
  <c r="AD508" i="8" s="1"/>
  <c r="DO508" i="8"/>
  <c r="AC508" i="8" s="1"/>
  <c r="DN508" i="8"/>
  <c r="AB508" i="8" s="1"/>
  <c r="DM508" i="8"/>
  <c r="AA508" i="8" s="1"/>
  <c r="DL508" i="8"/>
  <c r="Z508" i="8" s="1"/>
  <c r="DK508" i="8"/>
  <c r="Y508" i="8" s="1"/>
  <c r="DJ508" i="8"/>
  <c r="X508" i="8" s="1"/>
  <c r="DI508" i="8"/>
  <c r="W508" i="8" s="1"/>
  <c r="DH508" i="8"/>
  <c r="V508" i="8" s="1"/>
  <c r="DG508" i="8"/>
  <c r="U508" i="8" s="1"/>
  <c r="DF508" i="8"/>
  <c r="T508" i="8" s="1"/>
  <c r="DE508" i="8"/>
  <c r="S508" i="8" s="1"/>
  <c r="DD508" i="8"/>
  <c r="R508" i="8" s="1"/>
  <c r="DC508" i="8"/>
  <c r="Q508" i="8" s="1"/>
  <c r="DB508" i="8"/>
  <c r="P508" i="8" s="1"/>
  <c r="DA508" i="8"/>
  <c r="O508" i="8" s="1"/>
  <c r="CZ508" i="8"/>
  <c r="N508" i="8" s="1"/>
  <c r="DP507" i="8"/>
  <c r="AD507" i="8" s="1"/>
  <c r="DO507" i="8"/>
  <c r="AC507" i="8" s="1"/>
  <c r="DN507" i="8"/>
  <c r="AB507" i="8" s="1"/>
  <c r="DM507" i="8"/>
  <c r="AA507" i="8" s="1"/>
  <c r="DL507" i="8"/>
  <c r="Z507" i="8" s="1"/>
  <c r="DK507" i="8"/>
  <c r="Y507" i="8" s="1"/>
  <c r="DJ507" i="8"/>
  <c r="X507" i="8" s="1"/>
  <c r="DI507" i="8"/>
  <c r="W507" i="8" s="1"/>
  <c r="DH507" i="8"/>
  <c r="V507" i="8" s="1"/>
  <c r="DG507" i="8"/>
  <c r="U507" i="8" s="1"/>
  <c r="DF507" i="8"/>
  <c r="T507" i="8" s="1"/>
  <c r="DE507" i="8"/>
  <c r="S507" i="8" s="1"/>
  <c r="DD507" i="8"/>
  <c r="R507" i="8" s="1"/>
  <c r="DC507" i="8"/>
  <c r="Q507" i="8" s="1"/>
  <c r="DB507" i="8"/>
  <c r="P507" i="8" s="1"/>
  <c r="DA507" i="8"/>
  <c r="O507" i="8" s="1"/>
  <c r="CZ507" i="8"/>
  <c r="N507" i="8" s="1"/>
  <c r="DP506" i="8"/>
  <c r="AD506" i="8" s="1"/>
  <c r="DO506" i="8"/>
  <c r="AC506" i="8" s="1"/>
  <c r="DN506" i="8"/>
  <c r="AB506" i="8" s="1"/>
  <c r="DM506" i="8"/>
  <c r="AA506" i="8" s="1"/>
  <c r="DL506" i="8"/>
  <c r="Z506" i="8" s="1"/>
  <c r="DK506" i="8"/>
  <c r="Y506" i="8" s="1"/>
  <c r="DJ506" i="8"/>
  <c r="X506" i="8" s="1"/>
  <c r="DI506" i="8"/>
  <c r="W506" i="8" s="1"/>
  <c r="DH506" i="8"/>
  <c r="V506" i="8" s="1"/>
  <c r="DG506" i="8"/>
  <c r="U506" i="8" s="1"/>
  <c r="DF506" i="8"/>
  <c r="T506" i="8" s="1"/>
  <c r="DE506" i="8"/>
  <c r="S506" i="8" s="1"/>
  <c r="DD506" i="8"/>
  <c r="R506" i="8" s="1"/>
  <c r="DC506" i="8"/>
  <c r="Q506" i="8" s="1"/>
  <c r="DB506" i="8"/>
  <c r="P506" i="8" s="1"/>
  <c r="DA506" i="8"/>
  <c r="O506" i="8" s="1"/>
  <c r="CZ506" i="8"/>
  <c r="N506" i="8" s="1"/>
  <c r="DP505" i="8"/>
  <c r="AD505" i="8" s="1"/>
  <c r="DO505" i="8"/>
  <c r="AC505" i="8" s="1"/>
  <c r="DN505" i="8"/>
  <c r="AB505" i="8" s="1"/>
  <c r="DM505" i="8"/>
  <c r="AA505" i="8" s="1"/>
  <c r="DL505" i="8"/>
  <c r="Z505" i="8" s="1"/>
  <c r="DK505" i="8"/>
  <c r="Y505" i="8" s="1"/>
  <c r="DJ505" i="8"/>
  <c r="X505" i="8" s="1"/>
  <c r="DI505" i="8"/>
  <c r="W505" i="8" s="1"/>
  <c r="DH505" i="8"/>
  <c r="V505" i="8" s="1"/>
  <c r="DG505" i="8"/>
  <c r="U505" i="8" s="1"/>
  <c r="DF505" i="8"/>
  <c r="T505" i="8" s="1"/>
  <c r="DE505" i="8"/>
  <c r="S505" i="8" s="1"/>
  <c r="DD505" i="8"/>
  <c r="R505" i="8" s="1"/>
  <c r="DC505" i="8"/>
  <c r="Q505" i="8" s="1"/>
  <c r="DB505" i="8"/>
  <c r="P505" i="8" s="1"/>
  <c r="DA505" i="8"/>
  <c r="O505" i="8" s="1"/>
  <c r="CZ505" i="8"/>
  <c r="N505" i="8" s="1"/>
  <c r="DP504" i="8"/>
  <c r="AD504" i="8" s="1"/>
  <c r="DO504" i="8"/>
  <c r="AC504" i="8" s="1"/>
  <c r="DN504" i="8"/>
  <c r="AB504" i="8" s="1"/>
  <c r="DM504" i="8"/>
  <c r="AA504" i="8" s="1"/>
  <c r="DL504" i="8"/>
  <c r="Z504" i="8" s="1"/>
  <c r="DK504" i="8"/>
  <c r="Y504" i="8" s="1"/>
  <c r="DJ504" i="8"/>
  <c r="X504" i="8" s="1"/>
  <c r="DI504" i="8"/>
  <c r="W504" i="8" s="1"/>
  <c r="DH504" i="8"/>
  <c r="V504" i="8" s="1"/>
  <c r="DG504" i="8"/>
  <c r="U504" i="8" s="1"/>
  <c r="DF504" i="8"/>
  <c r="T504" i="8" s="1"/>
  <c r="DE504" i="8"/>
  <c r="S504" i="8" s="1"/>
  <c r="DD504" i="8"/>
  <c r="R504" i="8" s="1"/>
  <c r="DC504" i="8"/>
  <c r="Q504" i="8" s="1"/>
  <c r="DB504" i="8"/>
  <c r="P504" i="8" s="1"/>
  <c r="DA504" i="8"/>
  <c r="O504" i="8" s="1"/>
  <c r="CZ504" i="8"/>
  <c r="N504" i="8" s="1"/>
  <c r="DP503" i="8"/>
  <c r="AD503" i="8" s="1"/>
  <c r="DO503" i="8"/>
  <c r="AC503" i="8" s="1"/>
  <c r="DN503" i="8"/>
  <c r="AB503" i="8" s="1"/>
  <c r="DM503" i="8"/>
  <c r="AA503" i="8" s="1"/>
  <c r="DL503" i="8"/>
  <c r="Z503" i="8" s="1"/>
  <c r="DK503" i="8"/>
  <c r="Y503" i="8" s="1"/>
  <c r="DJ503" i="8"/>
  <c r="X503" i="8" s="1"/>
  <c r="DI503" i="8"/>
  <c r="W503" i="8" s="1"/>
  <c r="DH503" i="8"/>
  <c r="V503" i="8" s="1"/>
  <c r="DG503" i="8"/>
  <c r="U503" i="8" s="1"/>
  <c r="DF503" i="8"/>
  <c r="T503" i="8" s="1"/>
  <c r="DE503" i="8"/>
  <c r="S503" i="8" s="1"/>
  <c r="DD503" i="8"/>
  <c r="R503" i="8" s="1"/>
  <c r="DC503" i="8"/>
  <c r="Q503" i="8" s="1"/>
  <c r="DB503" i="8"/>
  <c r="P503" i="8" s="1"/>
  <c r="DA503" i="8"/>
  <c r="O503" i="8" s="1"/>
  <c r="CZ503" i="8"/>
  <c r="N503" i="8" s="1"/>
  <c r="DP502" i="8"/>
  <c r="AD502" i="8" s="1"/>
  <c r="DO502" i="8"/>
  <c r="AC502" i="8" s="1"/>
  <c r="DN502" i="8"/>
  <c r="AB502" i="8" s="1"/>
  <c r="DM502" i="8"/>
  <c r="AA502" i="8" s="1"/>
  <c r="DL502" i="8"/>
  <c r="Z502" i="8" s="1"/>
  <c r="DK502" i="8"/>
  <c r="Y502" i="8" s="1"/>
  <c r="DJ502" i="8"/>
  <c r="X502" i="8" s="1"/>
  <c r="DI502" i="8"/>
  <c r="W502" i="8" s="1"/>
  <c r="DH502" i="8"/>
  <c r="V502" i="8" s="1"/>
  <c r="DG502" i="8"/>
  <c r="U502" i="8" s="1"/>
  <c r="DF502" i="8"/>
  <c r="T502" i="8" s="1"/>
  <c r="DE502" i="8"/>
  <c r="S502" i="8" s="1"/>
  <c r="DD502" i="8"/>
  <c r="R502" i="8" s="1"/>
  <c r="DC502" i="8"/>
  <c r="Q502" i="8" s="1"/>
  <c r="DB502" i="8"/>
  <c r="P502" i="8" s="1"/>
  <c r="DA502" i="8"/>
  <c r="O502" i="8" s="1"/>
  <c r="CZ502" i="8"/>
  <c r="N502" i="8" s="1"/>
  <c r="DP501" i="8"/>
  <c r="AD501" i="8" s="1"/>
  <c r="DO501" i="8"/>
  <c r="AC501" i="8" s="1"/>
  <c r="DN501" i="8"/>
  <c r="AB501" i="8" s="1"/>
  <c r="DM501" i="8"/>
  <c r="AA501" i="8" s="1"/>
  <c r="DL501" i="8"/>
  <c r="Z501" i="8" s="1"/>
  <c r="DK501" i="8"/>
  <c r="Y501" i="8" s="1"/>
  <c r="DJ501" i="8"/>
  <c r="X501" i="8" s="1"/>
  <c r="DI501" i="8"/>
  <c r="W501" i="8" s="1"/>
  <c r="DH501" i="8"/>
  <c r="V501" i="8" s="1"/>
  <c r="DG501" i="8"/>
  <c r="U501" i="8" s="1"/>
  <c r="DF501" i="8"/>
  <c r="T501" i="8" s="1"/>
  <c r="DE501" i="8"/>
  <c r="S501" i="8" s="1"/>
  <c r="DD501" i="8"/>
  <c r="R501" i="8" s="1"/>
  <c r="DC501" i="8"/>
  <c r="Q501" i="8" s="1"/>
  <c r="DB501" i="8"/>
  <c r="P501" i="8" s="1"/>
  <c r="DA501" i="8"/>
  <c r="O501" i="8" s="1"/>
  <c r="CZ501" i="8"/>
  <c r="N501" i="8" s="1"/>
  <c r="DP500" i="8"/>
  <c r="AD500" i="8" s="1"/>
  <c r="DO500" i="8"/>
  <c r="AC500" i="8" s="1"/>
  <c r="DN500" i="8"/>
  <c r="AB500" i="8" s="1"/>
  <c r="DM500" i="8"/>
  <c r="AA500" i="8" s="1"/>
  <c r="DL500" i="8"/>
  <c r="Z500" i="8" s="1"/>
  <c r="DK500" i="8"/>
  <c r="Y500" i="8" s="1"/>
  <c r="DJ500" i="8"/>
  <c r="X500" i="8" s="1"/>
  <c r="DI500" i="8"/>
  <c r="W500" i="8" s="1"/>
  <c r="DH500" i="8"/>
  <c r="V500" i="8" s="1"/>
  <c r="DG500" i="8"/>
  <c r="U500" i="8" s="1"/>
  <c r="DF500" i="8"/>
  <c r="T500" i="8" s="1"/>
  <c r="DE500" i="8"/>
  <c r="S500" i="8" s="1"/>
  <c r="DD500" i="8"/>
  <c r="R500" i="8" s="1"/>
  <c r="DC500" i="8"/>
  <c r="Q500" i="8" s="1"/>
  <c r="DB500" i="8"/>
  <c r="P500" i="8" s="1"/>
  <c r="DA500" i="8"/>
  <c r="O500" i="8" s="1"/>
  <c r="CZ500" i="8"/>
  <c r="N500" i="8" s="1"/>
  <c r="DP499" i="8"/>
  <c r="AD499" i="8" s="1"/>
  <c r="DO499" i="8"/>
  <c r="AC499" i="8" s="1"/>
  <c r="DN499" i="8"/>
  <c r="AB499" i="8" s="1"/>
  <c r="DM499" i="8"/>
  <c r="AA499" i="8" s="1"/>
  <c r="DL499" i="8"/>
  <c r="Z499" i="8" s="1"/>
  <c r="DK499" i="8"/>
  <c r="Y499" i="8" s="1"/>
  <c r="DJ499" i="8"/>
  <c r="X499" i="8" s="1"/>
  <c r="DI499" i="8"/>
  <c r="W499" i="8" s="1"/>
  <c r="DH499" i="8"/>
  <c r="V499" i="8" s="1"/>
  <c r="DG499" i="8"/>
  <c r="U499" i="8" s="1"/>
  <c r="DF499" i="8"/>
  <c r="T499" i="8" s="1"/>
  <c r="DE499" i="8"/>
  <c r="S499" i="8" s="1"/>
  <c r="DD499" i="8"/>
  <c r="R499" i="8" s="1"/>
  <c r="DC499" i="8"/>
  <c r="Q499" i="8" s="1"/>
  <c r="DB499" i="8"/>
  <c r="P499" i="8" s="1"/>
  <c r="DA499" i="8"/>
  <c r="O499" i="8" s="1"/>
  <c r="CZ499" i="8"/>
  <c r="N499" i="8" s="1"/>
  <c r="DP498" i="8"/>
  <c r="AD498" i="8" s="1"/>
  <c r="DO498" i="8"/>
  <c r="AC498" i="8" s="1"/>
  <c r="DN498" i="8"/>
  <c r="AB498" i="8" s="1"/>
  <c r="DM498" i="8"/>
  <c r="AA498" i="8" s="1"/>
  <c r="DL498" i="8"/>
  <c r="Z498" i="8" s="1"/>
  <c r="DK498" i="8"/>
  <c r="Y498" i="8" s="1"/>
  <c r="DJ498" i="8"/>
  <c r="X498" i="8" s="1"/>
  <c r="DI498" i="8"/>
  <c r="W498" i="8" s="1"/>
  <c r="DH498" i="8"/>
  <c r="V498" i="8" s="1"/>
  <c r="DG498" i="8"/>
  <c r="U498" i="8" s="1"/>
  <c r="DF498" i="8"/>
  <c r="T498" i="8" s="1"/>
  <c r="DE498" i="8"/>
  <c r="S498" i="8" s="1"/>
  <c r="DD498" i="8"/>
  <c r="R498" i="8" s="1"/>
  <c r="DC498" i="8"/>
  <c r="Q498" i="8" s="1"/>
  <c r="DB498" i="8"/>
  <c r="P498" i="8" s="1"/>
  <c r="DA498" i="8"/>
  <c r="O498" i="8" s="1"/>
  <c r="CZ498" i="8"/>
  <c r="N498" i="8" s="1"/>
  <c r="DP497" i="8"/>
  <c r="AD497" i="8" s="1"/>
  <c r="DO497" i="8"/>
  <c r="AC497" i="8" s="1"/>
  <c r="DN497" i="8"/>
  <c r="AB497" i="8" s="1"/>
  <c r="DM497" i="8"/>
  <c r="AA497" i="8" s="1"/>
  <c r="DL497" i="8"/>
  <c r="Z497" i="8" s="1"/>
  <c r="DK497" i="8"/>
  <c r="Y497" i="8" s="1"/>
  <c r="DJ497" i="8"/>
  <c r="X497" i="8" s="1"/>
  <c r="DI497" i="8"/>
  <c r="W497" i="8" s="1"/>
  <c r="DH497" i="8"/>
  <c r="V497" i="8" s="1"/>
  <c r="DG497" i="8"/>
  <c r="U497" i="8" s="1"/>
  <c r="DF497" i="8"/>
  <c r="T497" i="8" s="1"/>
  <c r="DE497" i="8"/>
  <c r="S497" i="8" s="1"/>
  <c r="DD497" i="8"/>
  <c r="R497" i="8" s="1"/>
  <c r="DC497" i="8"/>
  <c r="Q497" i="8" s="1"/>
  <c r="DB497" i="8"/>
  <c r="P497" i="8" s="1"/>
  <c r="DA497" i="8"/>
  <c r="O497" i="8" s="1"/>
  <c r="CZ497" i="8"/>
  <c r="N497" i="8" s="1"/>
  <c r="DP496" i="8"/>
  <c r="AD496" i="8" s="1"/>
  <c r="DO496" i="8"/>
  <c r="AC496" i="8" s="1"/>
  <c r="DN496" i="8"/>
  <c r="AB496" i="8" s="1"/>
  <c r="DM496" i="8"/>
  <c r="AA496" i="8" s="1"/>
  <c r="DL496" i="8"/>
  <c r="Z496" i="8" s="1"/>
  <c r="DK496" i="8"/>
  <c r="Y496" i="8" s="1"/>
  <c r="DJ496" i="8"/>
  <c r="X496" i="8" s="1"/>
  <c r="DI496" i="8"/>
  <c r="W496" i="8" s="1"/>
  <c r="DH496" i="8"/>
  <c r="V496" i="8" s="1"/>
  <c r="DG496" i="8"/>
  <c r="U496" i="8" s="1"/>
  <c r="DF496" i="8"/>
  <c r="T496" i="8" s="1"/>
  <c r="DE496" i="8"/>
  <c r="S496" i="8" s="1"/>
  <c r="DD496" i="8"/>
  <c r="R496" i="8" s="1"/>
  <c r="DC496" i="8"/>
  <c r="Q496" i="8" s="1"/>
  <c r="DB496" i="8"/>
  <c r="P496" i="8" s="1"/>
  <c r="DA496" i="8"/>
  <c r="O496" i="8" s="1"/>
  <c r="CZ496" i="8"/>
  <c r="N496" i="8" s="1"/>
  <c r="DP495" i="8"/>
  <c r="AD495" i="8" s="1"/>
  <c r="DO495" i="8"/>
  <c r="AC495" i="8" s="1"/>
  <c r="DN495" i="8"/>
  <c r="AB495" i="8" s="1"/>
  <c r="DM495" i="8"/>
  <c r="AA495" i="8" s="1"/>
  <c r="DL495" i="8"/>
  <c r="Z495" i="8" s="1"/>
  <c r="DK495" i="8"/>
  <c r="Y495" i="8" s="1"/>
  <c r="DJ495" i="8"/>
  <c r="X495" i="8" s="1"/>
  <c r="DI495" i="8"/>
  <c r="W495" i="8" s="1"/>
  <c r="DH495" i="8"/>
  <c r="V495" i="8" s="1"/>
  <c r="DG495" i="8"/>
  <c r="U495" i="8" s="1"/>
  <c r="DF495" i="8"/>
  <c r="T495" i="8" s="1"/>
  <c r="DE495" i="8"/>
  <c r="S495" i="8" s="1"/>
  <c r="DD495" i="8"/>
  <c r="R495" i="8" s="1"/>
  <c r="DC495" i="8"/>
  <c r="Q495" i="8" s="1"/>
  <c r="DB495" i="8"/>
  <c r="P495" i="8" s="1"/>
  <c r="DA495" i="8"/>
  <c r="O495" i="8" s="1"/>
  <c r="CZ495" i="8"/>
  <c r="N495" i="8" s="1"/>
  <c r="DP494" i="8"/>
  <c r="AD494" i="8" s="1"/>
  <c r="DO494" i="8"/>
  <c r="AC494" i="8" s="1"/>
  <c r="DN494" i="8"/>
  <c r="AB494" i="8" s="1"/>
  <c r="DM494" i="8"/>
  <c r="AA494" i="8" s="1"/>
  <c r="DL494" i="8"/>
  <c r="Z494" i="8" s="1"/>
  <c r="DK494" i="8"/>
  <c r="Y494" i="8" s="1"/>
  <c r="DJ494" i="8"/>
  <c r="X494" i="8" s="1"/>
  <c r="DI494" i="8"/>
  <c r="W494" i="8" s="1"/>
  <c r="DH494" i="8"/>
  <c r="V494" i="8" s="1"/>
  <c r="DG494" i="8"/>
  <c r="U494" i="8" s="1"/>
  <c r="DF494" i="8"/>
  <c r="T494" i="8" s="1"/>
  <c r="DE494" i="8"/>
  <c r="S494" i="8" s="1"/>
  <c r="DD494" i="8"/>
  <c r="R494" i="8" s="1"/>
  <c r="DC494" i="8"/>
  <c r="Q494" i="8" s="1"/>
  <c r="DB494" i="8"/>
  <c r="P494" i="8" s="1"/>
  <c r="DA494" i="8"/>
  <c r="O494" i="8" s="1"/>
  <c r="CZ494" i="8"/>
  <c r="N494" i="8" s="1"/>
  <c r="DP493" i="8"/>
  <c r="AD493" i="8" s="1"/>
  <c r="DO493" i="8"/>
  <c r="AC493" i="8" s="1"/>
  <c r="DN493" i="8"/>
  <c r="AB493" i="8" s="1"/>
  <c r="DM493" i="8"/>
  <c r="AA493" i="8" s="1"/>
  <c r="DL493" i="8"/>
  <c r="Z493" i="8" s="1"/>
  <c r="DK493" i="8"/>
  <c r="Y493" i="8" s="1"/>
  <c r="DJ493" i="8"/>
  <c r="X493" i="8" s="1"/>
  <c r="DI493" i="8"/>
  <c r="W493" i="8" s="1"/>
  <c r="DH493" i="8"/>
  <c r="V493" i="8" s="1"/>
  <c r="DG493" i="8"/>
  <c r="U493" i="8" s="1"/>
  <c r="DF493" i="8"/>
  <c r="T493" i="8" s="1"/>
  <c r="DE493" i="8"/>
  <c r="S493" i="8" s="1"/>
  <c r="DD493" i="8"/>
  <c r="R493" i="8" s="1"/>
  <c r="DC493" i="8"/>
  <c r="Q493" i="8" s="1"/>
  <c r="DB493" i="8"/>
  <c r="P493" i="8" s="1"/>
  <c r="DA493" i="8"/>
  <c r="O493" i="8" s="1"/>
  <c r="CZ493" i="8"/>
  <c r="N493" i="8" s="1"/>
  <c r="DP492" i="8"/>
  <c r="AD492" i="8" s="1"/>
  <c r="DO492" i="8"/>
  <c r="AC492" i="8" s="1"/>
  <c r="DN492" i="8"/>
  <c r="AB492" i="8" s="1"/>
  <c r="DM492" i="8"/>
  <c r="AA492" i="8" s="1"/>
  <c r="DL492" i="8"/>
  <c r="Z492" i="8" s="1"/>
  <c r="DK492" i="8"/>
  <c r="Y492" i="8" s="1"/>
  <c r="DJ492" i="8"/>
  <c r="X492" i="8" s="1"/>
  <c r="DI492" i="8"/>
  <c r="W492" i="8" s="1"/>
  <c r="DH492" i="8"/>
  <c r="V492" i="8" s="1"/>
  <c r="DG492" i="8"/>
  <c r="U492" i="8" s="1"/>
  <c r="DF492" i="8"/>
  <c r="T492" i="8" s="1"/>
  <c r="DE492" i="8"/>
  <c r="S492" i="8" s="1"/>
  <c r="DD492" i="8"/>
  <c r="R492" i="8" s="1"/>
  <c r="DC492" i="8"/>
  <c r="Q492" i="8" s="1"/>
  <c r="DB492" i="8"/>
  <c r="P492" i="8" s="1"/>
  <c r="DA492" i="8"/>
  <c r="O492" i="8" s="1"/>
  <c r="CZ492" i="8"/>
  <c r="N492" i="8" s="1"/>
  <c r="DP491" i="8"/>
  <c r="AD491" i="8" s="1"/>
  <c r="DO491" i="8"/>
  <c r="AC491" i="8" s="1"/>
  <c r="DN491" i="8"/>
  <c r="AB491" i="8" s="1"/>
  <c r="DM491" i="8"/>
  <c r="AA491" i="8" s="1"/>
  <c r="DL491" i="8"/>
  <c r="Z491" i="8" s="1"/>
  <c r="DK491" i="8"/>
  <c r="Y491" i="8" s="1"/>
  <c r="DJ491" i="8"/>
  <c r="X491" i="8" s="1"/>
  <c r="DI491" i="8"/>
  <c r="W491" i="8" s="1"/>
  <c r="DH491" i="8"/>
  <c r="V491" i="8" s="1"/>
  <c r="DG491" i="8"/>
  <c r="U491" i="8" s="1"/>
  <c r="DF491" i="8"/>
  <c r="T491" i="8" s="1"/>
  <c r="DE491" i="8"/>
  <c r="S491" i="8" s="1"/>
  <c r="DD491" i="8"/>
  <c r="R491" i="8" s="1"/>
  <c r="DC491" i="8"/>
  <c r="Q491" i="8" s="1"/>
  <c r="DB491" i="8"/>
  <c r="P491" i="8" s="1"/>
  <c r="DA491" i="8"/>
  <c r="O491" i="8" s="1"/>
  <c r="CZ491" i="8"/>
  <c r="N491" i="8" s="1"/>
  <c r="DP490" i="8"/>
  <c r="AD490" i="8" s="1"/>
  <c r="DO490" i="8"/>
  <c r="AC490" i="8" s="1"/>
  <c r="DN490" i="8"/>
  <c r="AB490" i="8" s="1"/>
  <c r="DM490" i="8"/>
  <c r="AA490" i="8" s="1"/>
  <c r="DL490" i="8"/>
  <c r="Z490" i="8" s="1"/>
  <c r="DK490" i="8"/>
  <c r="Y490" i="8" s="1"/>
  <c r="DJ490" i="8"/>
  <c r="X490" i="8" s="1"/>
  <c r="DI490" i="8"/>
  <c r="W490" i="8" s="1"/>
  <c r="DH490" i="8"/>
  <c r="V490" i="8" s="1"/>
  <c r="DG490" i="8"/>
  <c r="U490" i="8" s="1"/>
  <c r="DF490" i="8"/>
  <c r="T490" i="8" s="1"/>
  <c r="DE490" i="8"/>
  <c r="S490" i="8" s="1"/>
  <c r="DD490" i="8"/>
  <c r="R490" i="8" s="1"/>
  <c r="DC490" i="8"/>
  <c r="Q490" i="8" s="1"/>
  <c r="DB490" i="8"/>
  <c r="P490" i="8" s="1"/>
  <c r="DA490" i="8"/>
  <c r="O490" i="8" s="1"/>
  <c r="CZ490" i="8"/>
  <c r="N490" i="8" s="1"/>
  <c r="DP489" i="8"/>
  <c r="AD489" i="8" s="1"/>
  <c r="DO489" i="8"/>
  <c r="AC489" i="8" s="1"/>
  <c r="DN489" i="8"/>
  <c r="AB489" i="8" s="1"/>
  <c r="DM489" i="8"/>
  <c r="AA489" i="8" s="1"/>
  <c r="DL489" i="8"/>
  <c r="Z489" i="8" s="1"/>
  <c r="DK489" i="8"/>
  <c r="Y489" i="8" s="1"/>
  <c r="DJ489" i="8"/>
  <c r="X489" i="8" s="1"/>
  <c r="DI489" i="8"/>
  <c r="W489" i="8" s="1"/>
  <c r="DH489" i="8"/>
  <c r="V489" i="8" s="1"/>
  <c r="DG489" i="8"/>
  <c r="U489" i="8" s="1"/>
  <c r="DF489" i="8"/>
  <c r="T489" i="8" s="1"/>
  <c r="DE489" i="8"/>
  <c r="S489" i="8" s="1"/>
  <c r="DD489" i="8"/>
  <c r="R489" i="8" s="1"/>
  <c r="DC489" i="8"/>
  <c r="Q489" i="8" s="1"/>
  <c r="DB489" i="8"/>
  <c r="P489" i="8" s="1"/>
  <c r="DA489" i="8"/>
  <c r="O489" i="8" s="1"/>
  <c r="CZ489" i="8"/>
  <c r="N489" i="8" s="1"/>
  <c r="DP488" i="8"/>
  <c r="AD488" i="8" s="1"/>
  <c r="DO488" i="8"/>
  <c r="AC488" i="8" s="1"/>
  <c r="DN488" i="8"/>
  <c r="AB488" i="8" s="1"/>
  <c r="DM488" i="8"/>
  <c r="AA488" i="8" s="1"/>
  <c r="DL488" i="8"/>
  <c r="Z488" i="8" s="1"/>
  <c r="DK488" i="8"/>
  <c r="Y488" i="8" s="1"/>
  <c r="DJ488" i="8"/>
  <c r="X488" i="8" s="1"/>
  <c r="DI488" i="8"/>
  <c r="W488" i="8" s="1"/>
  <c r="DH488" i="8"/>
  <c r="V488" i="8" s="1"/>
  <c r="DG488" i="8"/>
  <c r="U488" i="8" s="1"/>
  <c r="DF488" i="8"/>
  <c r="T488" i="8" s="1"/>
  <c r="DE488" i="8"/>
  <c r="S488" i="8" s="1"/>
  <c r="DD488" i="8"/>
  <c r="R488" i="8" s="1"/>
  <c r="DC488" i="8"/>
  <c r="Q488" i="8" s="1"/>
  <c r="DB488" i="8"/>
  <c r="P488" i="8" s="1"/>
  <c r="DA488" i="8"/>
  <c r="O488" i="8" s="1"/>
  <c r="CZ488" i="8"/>
  <c r="N488" i="8" s="1"/>
  <c r="DP487" i="8"/>
  <c r="AD487" i="8" s="1"/>
  <c r="DO487" i="8"/>
  <c r="AC487" i="8" s="1"/>
  <c r="DN487" i="8"/>
  <c r="AB487" i="8" s="1"/>
  <c r="DM487" i="8"/>
  <c r="AA487" i="8" s="1"/>
  <c r="DL487" i="8"/>
  <c r="Z487" i="8" s="1"/>
  <c r="DK487" i="8"/>
  <c r="Y487" i="8" s="1"/>
  <c r="DJ487" i="8"/>
  <c r="X487" i="8" s="1"/>
  <c r="DI487" i="8"/>
  <c r="W487" i="8" s="1"/>
  <c r="DH487" i="8"/>
  <c r="V487" i="8" s="1"/>
  <c r="DG487" i="8"/>
  <c r="U487" i="8" s="1"/>
  <c r="DF487" i="8"/>
  <c r="T487" i="8" s="1"/>
  <c r="DE487" i="8"/>
  <c r="S487" i="8" s="1"/>
  <c r="DD487" i="8"/>
  <c r="R487" i="8" s="1"/>
  <c r="DC487" i="8"/>
  <c r="Q487" i="8" s="1"/>
  <c r="DB487" i="8"/>
  <c r="P487" i="8" s="1"/>
  <c r="DA487" i="8"/>
  <c r="O487" i="8" s="1"/>
  <c r="CZ487" i="8"/>
  <c r="N487" i="8" s="1"/>
  <c r="DP486" i="8"/>
  <c r="AD486" i="8" s="1"/>
  <c r="DO486" i="8"/>
  <c r="AC486" i="8" s="1"/>
  <c r="DN486" i="8"/>
  <c r="AB486" i="8" s="1"/>
  <c r="DM486" i="8"/>
  <c r="AA486" i="8" s="1"/>
  <c r="DL486" i="8"/>
  <c r="Z486" i="8" s="1"/>
  <c r="DK486" i="8"/>
  <c r="Y486" i="8" s="1"/>
  <c r="DJ486" i="8"/>
  <c r="X486" i="8" s="1"/>
  <c r="DI486" i="8"/>
  <c r="W486" i="8" s="1"/>
  <c r="DH486" i="8"/>
  <c r="V486" i="8" s="1"/>
  <c r="DG486" i="8"/>
  <c r="U486" i="8" s="1"/>
  <c r="DF486" i="8"/>
  <c r="T486" i="8" s="1"/>
  <c r="DE486" i="8"/>
  <c r="S486" i="8" s="1"/>
  <c r="DD486" i="8"/>
  <c r="R486" i="8" s="1"/>
  <c r="DC486" i="8"/>
  <c r="Q486" i="8" s="1"/>
  <c r="DB486" i="8"/>
  <c r="P486" i="8" s="1"/>
  <c r="DA486" i="8"/>
  <c r="O486" i="8" s="1"/>
  <c r="CZ486" i="8"/>
  <c r="N486" i="8" s="1"/>
  <c r="DP485" i="8"/>
  <c r="AD485" i="8" s="1"/>
  <c r="DO485" i="8"/>
  <c r="AC485" i="8" s="1"/>
  <c r="DN485" i="8"/>
  <c r="AB485" i="8" s="1"/>
  <c r="DM485" i="8"/>
  <c r="AA485" i="8" s="1"/>
  <c r="DL485" i="8"/>
  <c r="Z485" i="8" s="1"/>
  <c r="DK485" i="8"/>
  <c r="Y485" i="8" s="1"/>
  <c r="DJ485" i="8"/>
  <c r="X485" i="8" s="1"/>
  <c r="DI485" i="8"/>
  <c r="W485" i="8" s="1"/>
  <c r="DH485" i="8"/>
  <c r="V485" i="8" s="1"/>
  <c r="DG485" i="8"/>
  <c r="U485" i="8" s="1"/>
  <c r="DF485" i="8"/>
  <c r="T485" i="8" s="1"/>
  <c r="DE485" i="8"/>
  <c r="S485" i="8" s="1"/>
  <c r="DD485" i="8"/>
  <c r="R485" i="8" s="1"/>
  <c r="DC485" i="8"/>
  <c r="Q485" i="8" s="1"/>
  <c r="DB485" i="8"/>
  <c r="P485" i="8" s="1"/>
  <c r="DA485" i="8"/>
  <c r="O485" i="8" s="1"/>
  <c r="CZ485" i="8"/>
  <c r="N485" i="8" s="1"/>
  <c r="DP484" i="8"/>
  <c r="AD484" i="8" s="1"/>
  <c r="DO484" i="8"/>
  <c r="AC484" i="8" s="1"/>
  <c r="DN484" i="8"/>
  <c r="AB484" i="8" s="1"/>
  <c r="DM484" i="8"/>
  <c r="AA484" i="8" s="1"/>
  <c r="DL484" i="8"/>
  <c r="Z484" i="8" s="1"/>
  <c r="DK484" i="8"/>
  <c r="Y484" i="8" s="1"/>
  <c r="DJ484" i="8"/>
  <c r="X484" i="8" s="1"/>
  <c r="DI484" i="8"/>
  <c r="W484" i="8" s="1"/>
  <c r="DH484" i="8"/>
  <c r="V484" i="8" s="1"/>
  <c r="DG484" i="8"/>
  <c r="U484" i="8" s="1"/>
  <c r="DF484" i="8"/>
  <c r="T484" i="8" s="1"/>
  <c r="DE484" i="8"/>
  <c r="S484" i="8" s="1"/>
  <c r="DD484" i="8"/>
  <c r="R484" i="8" s="1"/>
  <c r="DC484" i="8"/>
  <c r="Q484" i="8" s="1"/>
  <c r="DB484" i="8"/>
  <c r="P484" i="8" s="1"/>
  <c r="DA484" i="8"/>
  <c r="O484" i="8" s="1"/>
  <c r="CZ484" i="8"/>
  <c r="N484" i="8" s="1"/>
  <c r="DP483" i="8"/>
  <c r="AD483" i="8" s="1"/>
  <c r="DO483" i="8"/>
  <c r="AC483" i="8" s="1"/>
  <c r="DN483" i="8"/>
  <c r="AB483" i="8" s="1"/>
  <c r="DM483" i="8"/>
  <c r="AA483" i="8" s="1"/>
  <c r="DL483" i="8"/>
  <c r="Z483" i="8" s="1"/>
  <c r="DK483" i="8"/>
  <c r="Y483" i="8" s="1"/>
  <c r="DJ483" i="8"/>
  <c r="X483" i="8" s="1"/>
  <c r="DI483" i="8"/>
  <c r="W483" i="8" s="1"/>
  <c r="DH483" i="8"/>
  <c r="V483" i="8" s="1"/>
  <c r="DG483" i="8"/>
  <c r="U483" i="8" s="1"/>
  <c r="DF483" i="8"/>
  <c r="T483" i="8" s="1"/>
  <c r="DE483" i="8"/>
  <c r="S483" i="8" s="1"/>
  <c r="DD483" i="8"/>
  <c r="R483" i="8" s="1"/>
  <c r="DC483" i="8"/>
  <c r="Q483" i="8" s="1"/>
  <c r="DB483" i="8"/>
  <c r="P483" i="8" s="1"/>
  <c r="DA483" i="8"/>
  <c r="O483" i="8" s="1"/>
  <c r="CZ483" i="8"/>
  <c r="N483" i="8" s="1"/>
  <c r="DP482" i="8"/>
  <c r="AD482" i="8" s="1"/>
  <c r="DO482" i="8"/>
  <c r="AC482" i="8" s="1"/>
  <c r="DN482" i="8"/>
  <c r="AB482" i="8" s="1"/>
  <c r="DM482" i="8"/>
  <c r="AA482" i="8" s="1"/>
  <c r="DL482" i="8"/>
  <c r="Z482" i="8" s="1"/>
  <c r="DK482" i="8"/>
  <c r="Y482" i="8" s="1"/>
  <c r="DJ482" i="8"/>
  <c r="X482" i="8" s="1"/>
  <c r="DI482" i="8"/>
  <c r="W482" i="8" s="1"/>
  <c r="DH482" i="8"/>
  <c r="V482" i="8" s="1"/>
  <c r="DG482" i="8"/>
  <c r="U482" i="8" s="1"/>
  <c r="DF482" i="8"/>
  <c r="T482" i="8" s="1"/>
  <c r="DE482" i="8"/>
  <c r="S482" i="8" s="1"/>
  <c r="DD482" i="8"/>
  <c r="R482" i="8" s="1"/>
  <c r="DC482" i="8"/>
  <c r="Q482" i="8" s="1"/>
  <c r="DB482" i="8"/>
  <c r="P482" i="8" s="1"/>
  <c r="DA482" i="8"/>
  <c r="O482" i="8" s="1"/>
  <c r="CZ482" i="8"/>
  <c r="N482" i="8" s="1"/>
  <c r="DP481" i="8"/>
  <c r="AD481" i="8" s="1"/>
  <c r="DO481" i="8"/>
  <c r="AC481" i="8" s="1"/>
  <c r="DN481" i="8"/>
  <c r="AB481" i="8" s="1"/>
  <c r="DM481" i="8"/>
  <c r="AA481" i="8" s="1"/>
  <c r="DL481" i="8"/>
  <c r="Z481" i="8" s="1"/>
  <c r="DK481" i="8"/>
  <c r="Y481" i="8" s="1"/>
  <c r="DJ481" i="8"/>
  <c r="X481" i="8" s="1"/>
  <c r="DI481" i="8"/>
  <c r="W481" i="8" s="1"/>
  <c r="DH481" i="8"/>
  <c r="V481" i="8" s="1"/>
  <c r="DG481" i="8"/>
  <c r="U481" i="8" s="1"/>
  <c r="DF481" i="8"/>
  <c r="T481" i="8" s="1"/>
  <c r="DE481" i="8"/>
  <c r="S481" i="8" s="1"/>
  <c r="DD481" i="8"/>
  <c r="R481" i="8" s="1"/>
  <c r="DC481" i="8"/>
  <c r="Q481" i="8" s="1"/>
  <c r="DB481" i="8"/>
  <c r="P481" i="8" s="1"/>
  <c r="DA481" i="8"/>
  <c r="O481" i="8" s="1"/>
  <c r="CZ481" i="8"/>
  <c r="N481" i="8" s="1"/>
  <c r="DP480" i="8"/>
  <c r="AD480" i="8" s="1"/>
  <c r="DO480" i="8"/>
  <c r="AC480" i="8" s="1"/>
  <c r="DN480" i="8"/>
  <c r="AB480" i="8" s="1"/>
  <c r="DM480" i="8"/>
  <c r="AA480" i="8" s="1"/>
  <c r="DL480" i="8"/>
  <c r="Z480" i="8" s="1"/>
  <c r="DK480" i="8"/>
  <c r="Y480" i="8" s="1"/>
  <c r="DJ480" i="8"/>
  <c r="X480" i="8" s="1"/>
  <c r="DI480" i="8"/>
  <c r="W480" i="8" s="1"/>
  <c r="DH480" i="8"/>
  <c r="V480" i="8" s="1"/>
  <c r="DG480" i="8"/>
  <c r="U480" i="8" s="1"/>
  <c r="DF480" i="8"/>
  <c r="T480" i="8" s="1"/>
  <c r="DE480" i="8"/>
  <c r="S480" i="8" s="1"/>
  <c r="DD480" i="8"/>
  <c r="R480" i="8" s="1"/>
  <c r="DC480" i="8"/>
  <c r="Q480" i="8" s="1"/>
  <c r="DB480" i="8"/>
  <c r="P480" i="8" s="1"/>
  <c r="DA480" i="8"/>
  <c r="O480" i="8" s="1"/>
  <c r="CZ480" i="8"/>
  <c r="N480" i="8" s="1"/>
  <c r="DP479" i="8"/>
  <c r="AD479" i="8" s="1"/>
  <c r="DO479" i="8"/>
  <c r="AC479" i="8" s="1"/>
  <c r="DN479" i="8"/>
  <c r="AB479" i="8" s="1"/>
  <c r="DM479" i="8"/>
  <c r="AA479" i="8" s="1"/>
  <c r="DL479" i="8"/>
  <c r="Z479" i="8" s="1"/>
  <c r="DK479" i="8"/>
  <c r="Y479" i="8" s="1"/>
  <c r="DJ479" i="8"/>
  <c r="X479" i="8" s="1"/>
  <c r="DI479" i="8"/>
  <c r="W479" i="8" s="1"/>
  <c r="DH479" i="8"/>
  <c r="V479" i="8" s="1"/>
  <c r="DG479" i="8"/>
  <c r="U479" i="8" s="1"/>
  <c r="DF479" i="8"/>
  <c r="T479" i="8" s="1"/>
  <c r="DE479" i="8"/>
  <c r="S479" i="8" s="1"/>
  <c r="DD479" i="8"/>
  <c r="R479" i="8" s="1"/>
  <c r="DC479" i="8"/>
  <c r="Q479" i="8" s="1"/>
  <c r="DB479" i="8"/>
  <c r="P479" i="8" s="1"/>
  <c r="DA479" i="8"/>
  <c r="O479" i="8" s="1"/>
  <c r="CZ479" i="8"/>
  <c r="N479" i="8" s="1"/>
  <c r="DP478" i="8"/>
  <c r="AD478" i="8" s="1"/>
  <c r="DO478" i="8"/>
  <c r="AC478" i="8" s="1"/>
  <c r="DN478" i="8"/>
  <c r="AB478" i="8" s="1"/>
  <c r="DM478" i="8"/>
  <c r="AA478" i="8" s="1"/>
  <c r="DL478" i="8"/>
  <c r="Z478" i="8" s="1"/>
  <c r="DK478" i="8"/>
  <c r="Y478" i="8" s="1"/>
  <c r="DJ478" i="8"/>
  <c r="X478" i="8" s="1"/>
  <c r="DI478" i="8"/>
  <c r="W478" i="8" s="1"/>
  <c r="DH478" i="8"/>
  <c r="V478" i="8" s="1"/>
  <c r="DG478" i="8"/>
  <c r="U478" i="8" s="1"/>
  <c r="DF478" i="8"/>
  <c r="T478" i="8" s="1"/>
  <c r="DE478" i="8"/>
  <c r="S478" i="8" s="1"/>
  <c r="DD478" i="8"/>
  <c r="R478" i="8" s="1"/>
  <c r="DC478" i="8"/>
  <c r="Q478" i="8" s="1"/>
  <c r="DB478" i="8"/>
  <c r="P478" i="8" s="1"/>
  <c r="DA478" i="8"/>
  <c r="O478" i="8" s="1"/>
  <c r="CZ478" i="8"/>
  <c r="N478" i="8" s="1"/>
  <c r="DP477" i="8"/>
  <c r="AD477" i="8" s="1"/>
  <c r="DO477" i="8"/>
  <c r="AC477" i="8" s="1"/>
  <c r="DN477" i="8"/>
  <c r="AB477" i="8" s="1"/>
  <c r="DM477" i="8"/>
  <c r="AA477" i="8" s="1"/>
  <c r="DL477" i="8"/>
  <c r="Z477" i="8" s="1"/>
  <c r="DK477" i="8"/>
  <c r="Y477" i="8" s="1"/>
  <c r="DJ477" i="8"/>
  <c r="X477" i="8" s="1"/>
  <c r="DI477" i="8"/>
  <c r="W477" i="8" s="1"/>
  <c r="DH477" i="8"/>
  <c r="V477" i="8" s="1"/>
  <c r="DG477" i="8"/>
  <c r="U477" i="8" s="1"/>
  <c r="DF477" i="8"/>
  <c r="T477" i="8" s="1"/>
  <c r="DE477" i="8"/>
  <c r="S477" i="8" s="1"/>
  <c r="DD477" i="8"/>
  <c r="R477" i="8" s="1"/>
  <c r="DC477" i="8"/>
  <c r="Q477" i="8" s="1"/>
  <c r="DB477" i="8"/>
  <c r="P477" i="8" s="1"/>
  <c r="DA477" i="8"/>
  <c r="O477" i="8" s="1"/>
  <c r="CZ477" i="8"/>
  <c r="N477" i="8" s="1"/>
  <c r="DP476" i="8"/>
  <c r="AD476" i="8" s="1"/>
  <c r="DO476" i="8"/>
  <c r="AC476" i="8" s="1"/>
  <c r="DN476" i="8"/>
  <c r="AB476" i="8" s="1"/>
  <c r="DM476" i="8"/>
  <c r="AA476" i="8" s="1"/>
  <c r="DL476" i="8"/>
  <c r="Z476" i="8" s="1"/>
  <c r="DK476" i="8"/>
  <c r="Y476" i="8" s="1"/>
  <c r="DJ476" i="8"/>
  <c r="X476" i="8" s="1"/>
  <c r="DI476" i="8"/>
  <c r="W476" i="8" s="1"/>
  <c r="DH476" i="8"/>
  <c r="V476" i="8" s="1"/>
  <c r="DG476" i="8"/>
  <c r="U476" i="8" s="1"/>
  <c r="DF476" i="8"/>
  <c r="T476" i="8" s="1"/>
  <c r="DE476" i="8"/>
  <c r="S476" i="8" s="1"/>
  <c r="DD476" i="8"/>
  <c r="R476" i="8" s="1"/>
  <c r="DC476" i="8"/>
  <c r="Q476" i="8" s="1"/>
  <c r="DB476" i="8"/>
  <c r="P476" i="8" s="1"/>
  <c r="DA476" i="8"/>
  <c r="O476" i="8" s="1"/>
  <c r="CZ476" i="8"/>
  <c r="N476" i="8" s="1"/>
  <c r="DP475" i="8"/>
  <c r="AD475" i="8" s="1"/>
  <c r="DO475" i="8"/>
  <c r="AC475" i="8" s="1"/>
  <c r="DN475" i="8"/>
  <c r="AB475" i="8" s="1"/>
  <c r="DM475" i="8"/>
  <c r="AA475" i="8" s="1"/>
  <c r="DL475" i="8"/>
  <c r="Z475" i="8" s="1"/>
  <c r="DK475" i="8"/>
  <c r="Y475" i="8" s="1"/>
  <c r="DJ475" i="8"/>
  <c r="X475" i="8" s="1"/>
  <c r="DI475" i="8"/>
  <c r="W475" i="8" s="1"/>
  <c r="DH475" i="8"/>
  <c r="V475" i="8" s="1"/>
  <c r="DG475" i="8"/>
  <c r="U475" i="8" s="1"/>
  <c r="DF475" i="8"/>
  <c r="T475" i="8" s="1"/>
  <c r="DE475" i="8"/>
  <c r="S475" i="8" s="1"/>
  <c r="DD475" i="8"/>
  <c r="R475" i="8" s="1"/>
  <c r="DC475" i="8"/>
  <c r="Q475" i="8" s="1"/>
  <c r="DB475" i="8"/>
  <c r="P475" i="8" s="1"/>
  <c r="DA475" i="8"/>
  <c r="O475" i="8" s="1"/>
  <c r="CZ475" i="8"/>
  <c r="N475" i="8" s="1"/>
  <c r="DP474" i="8"/>
  <c r="AD474" i="8" s="1"/>
  <c r="DO474" i="8"/>
  <c r="AC474" i="8" s="1"/>
  <c r="DN474" i="8"/>
  <c r="AB474" i="8" s="1"/>
  <c r="DM474" i="8"/>
  <c r="AA474" i="8" s="1"/>
  <c r="DL474" i="8"/>
  <c r="Z474" i="8" s="1"/>
  <c r="DK474" i="8"/>
  <c r="Y474" i="8" s="1"/>
  <c r="DJ474" i="8"/>
  <c r="X474" i="8" s="1"/>
  <c r="DI474" i="8"/>
  <c r="W474" i="8" s="1"/>
  <c r="DH474" i="8"/>
  <c r="V474" i="8" s="1"/>
  <c r="DG474" i="8"/>
  <c r="U474" i="8" s="1"/>
  <c r="DF474" i="8"/>
  <c r="T474" i="8" s="1"/>
  <c r="DE474" i="8"/>
  <c r="S474" i="8" s="1"/>
  <c r="DD474" i="8"/>
  <c r="R474" i="8" s="1"/>
  <c r="DC474" i="8"/>
  <c r="Q474" i="8" s="1"/>
  <c r="DB474" i="8"/>
  <c r="P474" i="8" s="1"/>
  <c r="DA474" i="8"/>
  <c r="O474" i="8" s="1"/>
  <c r="CZ474" i="8"/>
  <c r="N474" i="8" s="1"/>
  <c r="DP473" i="8"/>
  <c r="AD473" i="8" s="1"/>
  <c r="DO473" i="8"/>
  <c r="AC473" i="8" s="1"/>
  <c r="DN473" i="8"/>
  <c r="AB473" i="8" s="1"/>
  <c r="DM473" i="8"/>
  <c r="AA473" i="8" s="1"/>
  <c r="DL473" i="8"/>
  <c r="Z473" i="8" s="1"/>
  <c r="DK473" i="8"/>
  <c r="Y473" i="8" s="1"/>
  <c r="DJ473" i="8"/>
  <c r="X473" i="8" s="1"/>
  <c r="DI473" i="8"/>
  <c r="W473" i="8" s="1"/>
  <c r="DH473" i="8"/>
  <c r="V473" i="8" s="1"/>
  <c r="DG473" i="8"/>
  <c r="U473" i="8" s="1"/>
  <c r="DF473" i="8"/>
  <c r="T473" i="8" s="1"/>
  <c r="DE473" i="8"/>
  <c r="S473" i="8" s="1"/>
  <c r="DD473" i="8"/>
  <c r="R473" i="8" s="1"/>
  <c r="DC473" i="8"/>
  <c r="Q473" i="8" s="1"/>
  <c r="DB473" i="8"/>
  <c r="P473" i="8" s="1"/>
  <c r="DA473" i="8"/>
  <c r="O473" i="8" s="1"/>
  <c r="CZ473" i="8"/>
  <c r="N473" i="8" s="1"/>
  <c r="DP472" i="8"/>
  <c r="AD472" i="8" s="1"/>
  <c r="DO472" i="8"/>
  <c r="AC472" i="8" s="1"/>
  <c r="DN472" i="8"/>
  <c r="AB472" i="8" s="1"/>
  <c r="DM472" i="8"/>
  <c r="AA472" i="8" s="1"/>
  <c r="DL472" i="8"/>
  <c r="Z472" i="8" s="1"/>
  <c r="DK472" i="8"/>
  <c r="Y472" i="8" s="1"/>
  <c r="DJ472" i="8"/>
  <c r="X472" i="8" s="1"/>
  <c r="DI472" i="8"/>
  <c r="W472" i="8" s="1"/>
  <c r="DH472" i="8"/>
  <c r="V472" i="8" s="1"/>
  <c r="DG472" i="8"/>
  <c r="U472" i="8" s="1"/>
  <c r="DF472" i="8"/>
  <c r="T472" i="8" s="1"/>
  <c r="DE472" i="8"/>
  <c r="S472" i="8" s="1"/>
  <c r="DD472" i="8"/>
  <c r="R472" i="8" s="1"/>
  <c r="DC472" i="8"/>
  <c r="Q472" i="8" s="1"/>
  <c r="DB472" i="8"/>
  <c r="P472" i="8" s="1"/>
  <c r="DA472" i="8"/>
  <c r="O472" i="8" s="1"/>
  <c r="CZ472" i="8"/>
  <c r="N472" i="8" s="1"/>
  <c r="DP471" i="8"/>
  <c r="AD471" i="8" s="1"/>
  <c r="DO471" i="8"/>
  <c r="AC471" i="8" s="1"/>
  <c r="DN471" i="8"/>
  <c r="AB471" i="8" s="1"/>
  <c r="DM471" i="8"/>
  <c r="AA471" i="8" s="1"/>
  <c r="DL471" i="8"/>
  <c r="Z471" i="8" s="1"/>
  <c r="DK471" i="8"/>
  <c r="Y471" i="8" s="1"/>
  <c r="DJ471" i="8"/>
  <c r="X471" i="8" s="1"/>
  <c r="DI471" i="8"/>
  <c r="W471" i="8" s="1"/>
  <c r="DH471" i="8"/>
  <c r="V471" i="8" s="1"/>
  <c r="DG471" i="8"/>
  <c r="U471" i="8" s="1"/>
  <c r="DF471" i="8"/>
  <c r="T471" i="8" s="1"/>
  <c r="DE471" i="8"/>
  <c r="S471" i="8" s="1"/>
  <c r="DD471" i="8"/>
  <c r="R471" i="8" s="1"/>
  <c r="DC471" i="8"/>
  <c r="Q471" i="8" s="1"/>
  <c r="DB471" i="8"/>
  <c r="P471" i="8" s="1"/>
  <c r="DA471" i="8"/>
  <c r="O471" i="8" s="1"/>
  <c r="CZ471" i="8"/>
  <c r="N471" i="8" s="1"/>
  <c r="DP470" i="8"/>
  <c r="AD470" i="8" s="1"/>
  <c r="DO470" i="8"/>
  <c r="AC470" i="8" s="1"/>
  <c r="DN470" i="8"/>
  <c r="AB470" i="8" s="1"/>
  <c r="DM470" i="8"/>
  <c r="AA470" i="8" s="1"/>
  <c r="DL470" i="8"/>
  <c r="Z470" i="8" s="1"/>
  <c r="DK470" i="8"/>
  <c r="Y470" i="8" s="1"/>
  <c r="DJ470" i="8"/>
  <c r="X470" i="8" s="1"/>
  <c r="DI470" i="8"/>
  <c r="W470" i="8" s="1"/>
  <c r="DH470" i="8"/>
  <c r="V470" i="8" s="1"/>
  <c r="DG470" i="8"/>
  <c r="U470" i="8" s="1"/>
  <c r="DF470" i="8"/>
  <c r="T470" i="8" s="1"/>
  <c r="DE470" i="8"/>
  <c r="S470" i="8" s="1"/>
  <c r="DD470" i="8"/>
  <c r="R470" i="8" s="1"/>
  <c r="DC470" i="8"/>
  <c r="Q470" i="8" s="1"/>
  <c r="DB470" i="8"/>
  <c r="P470" i="8" s="1"/>
  <c r="DA470" i="8"/>
  <c r="O470" i="8" s="1"/>
  <c r="CZ470" i="8"/>
  <c r="N470" i="8" s="1"/>
  <c r="DP469" i="8"/>
  <c r="AD469" i="8" s="1"/>
  <c r="DO469" i="8"/>
  <c r="AC469" i="8" s="1"/>
  <c r="DN469" i="8"/>
  <c r="AB469" i="8" s="1"/>
  <c r="DM469" i="8"/>
  <c r="AA469" i="8" s="1"/>
  <c r="DL469" i="8"/>
  <c r="Z469" i="8" s="1"/>
  <c r="DK469" i="8"/>
  <c r="Y469" i="8" s="1"/>
  <c r="DJ469" i="8"/>
  <c r="X469" i="8" s="1"/>
  <c r="DI469" i="8"/>
  <c r="W469" i="8" s="1"/>
  <c r="DH469" i="8"/>
  <c r="V469" i="8" s="1"/>
  <c r="DG469" i="8"/>
  <c r="U469" i="8" s="1"/>
  <c r="DF469" i="8"/>
  <c r="T469" i="8" s="1"/>
  <c r="DE469" i="8"/>
  <c r="S469" i="8" s="1"/>
  <c r="DD469" i="8"/>
  <c r="R469" i="8" s="1"/>
  <c r="DC469" i="8"/>
  <c r="Q469" i="8" s="1"/>
  <c r="DB469" i="8"/>
  <c r="P469" i="8" s="1"/>
  <c r="DA469" i="8"/>
  <c r="O469" i="8" s="1"/>
  <c r="CZ469" i="8"/>
  <c r="N469" i="8" s="1"/>
  <c r="DP468" i="8"/>
  <c r="AD468" i="8" s="1"/>
  <c r="DO468" i="8"/>
  <c r="AC468" i="8" s="1"/>
  <c r="DN468" i="8"/>
  <c r="AB468" i="8" s="1"/>
  <c r="DM468" i="8"/>
  <c r="AA468" i="8" s="1"/>
  <c r="DL468" i="8"/>
  <c r="Z468" i="8" s="1"/>
  <c r="DK468" i="8"/>
  <c r="Y468" i="8" s="1"/>
  <c r="DJ468" i="8"/>
  <c r="X468" i="8" s="1"/>
  <c r="DI468" i="8"/>
  <c r="W468" i="8" s="1"/>
  <c r="DH468" i="8"/>
  <c r="V468" i="8" s="1"/>
  <c r="DG468" i="8"/>
  <c r="U468" i="8" s="1"/>
  <c r="DF468" i="8"/>
  <c r="T468" i="8" s="1"/>
  <c r="DE468" i="8"/>
  <c r="S468" i="8" s="1"/>
  <c r="DD468" i="8"/>
  <c r="R468" i="8" s="1"/>
  <c r="DC468" i="8"/>
  <c r="Q468" i="8" s="1"/>
  <c r="DB468" i="8"/>
  <c r="P468" i="8" s="1"/>
  <c r="DA468" i="8"/>
  <c r="O468" i="8" s="1"/>
  <c r="CZ468" i="8"/>
  <c r="N468" i="8" s="1"/>
  <c r="DP467" i="8"/>
  <c r="AD467" i="8" s="1"/>
  <c r="DO467" i="8"/>
  <c r="AC467" i="8" s="1"/>
  <c r="DN467" i="8"/>
  <c r="AB467" i="8" s="1"/>
  <c r="DM467" i="8"/>
  <c r="AA467" i="8" s="1"/>
  <c r="DL467" i="8"/>
  <c r="Z467" i="8" s="1"/>
  <c r="DK467" i="8"/>
  <c r="Y467" i="8" s="1"/>
  <c r="DJ467" i="8"/>
  <c r="X467" i="8" s="1"/>
  <c r="DI467" i="8"/>
  <c r="W467" i="8" s="1"/>
  <c r="DH467" i="8"/>
  <c r="V467" i="8" s="1"/>
  <c r="DG467" i="8"/>
  <c r="U467" i="8" s="1"/>
  <c r="DF467" i="8"/>
  <c r="T467" i="8" s="1"/>
  <c r="DE467" i="8"/>
  <c r="S467" i="8" s="1"/>
  <c r="DD467" i="8"/>
  <c r="R467" i="8" s="1"/>
  <c r="DC467" i="8"/>
  <c r="Q467" i="8" s="1"/>
  <c r="DB467" i="8"/>
  <c r="P467" i="8" s="1"/>
  <c r="DA467" i="8"/>
  <c r="O467" i="8" s="1"/>
  <c r="CZ467" i="8"/>
  <c r="N467" i="8" s="1"/>
  <c r="DP466" i="8"/>
  <c r="AD466" i="8" s="1"/>
  <c r="DO466" i="8"/>
  <c r="AC466" i="8" s="1"/>
  <c r="DN466" i="8"/>
  <c r="AB466" i="8" s="1"/>
  <c r="DM466" i="8"/>
  <c r="AA466" i="8" s="1"/>
  <c r="DL466" i="8"/>
  <c r="Z466" i="8" s="1"/>
  <c r="DK466" i="8"/>
  <c r="Y466" i="8" s="1"/>
  <c r="DJ466" i="8"/>
  <c r="X466" i="8" s="1"/>
  <c r="DI466" i="8"/>
  <c r="W466" i="8" s="1"/>
  <c r="DH466" i="8"/>
  <c r="V466" i="8" s="1"/>
  <c r="DG466" i="8"/>
  <c r="U466" i="8" s="1"/>
  <c r="DF466" i="8"/>
  <c r="T466" i="8" s="1"/>
  <c r="DE466" i="8"/>
  <c r="S466" i="8" s="1"/>
  <c r="DD466" i="8"/>
  <c r="R466" i="8" s="1"/>
  <c r="DC466" i="8"/>
  <c r="Q466" i="8" s="1"/>
  <c r="DB466" i="8"/>
  <c r="P466" i="8" s="1"/>
  <c r="DA466" i="8"/>
  <c r="O466" i="8" s="1"/>
  <c r="CZ466" i="8"/>
  <c r="N466" i="8" s="1"/>
  <c r="DP465" i="8"/>
  <c r="AD465" i="8" s="1"/>
  <c r="DO465" i="8"/>
  <c r="AC465" i="8" s="1"/>
  <c r="DN465" i="8"/>
  <c r="AB465" i="8" s="1"/>
  <c r="DM465" i="8"/>
  <c r="AA465" i="8" s="1"/>
  <c r="DL465" i="8"/>
  <c r="Z465" i="8" s="1"/>
  <c r="DK465" i="8"/>
  <c r="Y465" i="8" s="1"/>
  <c r="DJ465" i="8"/>
  <c r="X465" i="8" s="1"/>
  <c r="DI465" i="8"/>
  <c r="W465" i="8" s="1"/>
  <c r="DH465" i="8"/>
  <c r="V465" i="8" s="1"/>
  <c r="DG465" i="8"/>
  <c r="U465" i="8" s="1"/>
  <c r="DF465" i="8"/>
  <c r="T465" i="8" s="1"/>
  <c r="DE465" i="8"/>
  <c r="S465" i="8" s="1"/>
  <c r="DD465" i="8"/>
  <c r="R465" i="8" s="1"/>
  <c r="DC465" i="8"/>
  <c r="Q465" i="8" s="1"/>
  <c r="DB465" i="8"/>
  <c r="P465" i="8" s="1"/>
  <c r="DA465" i="8"/>
  <c r="O465" i="8" s="1"/>
  <c r="CZ465" i="8"/>
  <c r="N465" i="8" s="1"/>
  <c r="DP464" i="8"/>
  <c r="AD464" i="8" s="1"/>
  <c r="DO464" i="8"/>
  <c r="AC464" i="8" s="1"/>
  <c r="DN464" i="8"/>
  <c r="AB464" i="8" s="1"/>
  <c r="DM464" i="8"/>
  <c r="AA464" i="8" s="1"/>
  <c r="DL464" i="8"/>
  <c r="Z464" i="8" s="1"/>
  <c r="DK464" i="8"/>
  <c r="Y464" i="8" s="1"/>
  <c r="DJ464" i="8"/>
  <c r="X464" i="8" s="1"/>
  <c r="DI464" i="8"/>
  <c r="W464" i="8" s="1"/>
  <c r="DH464" i="8"/>
  <c r="V464" i="8" s="1"/>
  <c r="DG464" i="8"/>
  <c r="U464" i="8" s="1"/>
  <c r="DF464" i="8"/>
  <c r="T464" i="8" s="1"/>
  <c r="DE464" i="8"/>
  <c r="S464" i="8" s="1"/>
  <c r="DD464" i="8"/>
  <c r="R464" i="8" s="1"/>
  <c r="DC464" i="8"/>
  <c r="Q464" i="8" s="1"/>
  <c r="DB464" i="8"/>
  <c r="P464" i="8" s="1"/>
  <c r="DA464" i="8"/>
  <c r="O464" i="8" s="1"/>
  <c r="CZ464" i="8"/>
  <c r="N464" i="8" s="1"/>
  <c r="DP463" i="8"/>
  <c r="AD463" i="8" s="1"/>
  <c r="DO463" i="8"/>
  <c r="AC463" i="8" s="1"/>
  <c r="DN463" i="8"/>
  <c r="AB463" i="8" s="1"/>
  <c r="DM463" i="8"/>
  <c r="AA463" i="8" s="1"/>
  <c r="DL463" i="8"/>
  <c r="Z463" i="8" s="1"/>
  <c r="DK463" i="8"/>
  <c r="Y463" i="8" s="1"/>
  <c r="DJ463" i="8"/>
  <c r="X463" i="8" s="1"/>
  <c r="DI463" i="8"/>
  <c r="W463" i="8" s="1"/>
  <c r="DH463" i="8"/>
  <c r="V463" i="8" s="1"/>
  <c r="DG463" i="8"/>
  <c r="U463" i="8" s="1"/>
  <c r="DF463" i="8"/>
  <c r="T463" i="8" s="1"/>
  <c r="DE463" i="8"/>
  <c r="S463" i="8" s="1"/>
  <c r="DD463" i="8"/>
  <c r="R463" i="8" s="1"/>
  <c r="DC463" i="8"/>
  <c r="Q463" i="8" s="1"/>
  <c r="DB463" i="8"/>
  <c r="P463" i="8" s="1"/>
  <c r="DA463" i="8"/>
  <c r="O463" i="8" s="1"/>
  <c r="CZ463" i="8"/>
  <c r="N463" i="8" s="1"/>
  <c r="DP462" i="8"/>
  <c r="AD462" i="8" s="1"/>
  <c r="DO462" i="8"/>
  <c r="AC462" i="8" s="1"/>
  <c r="DN462" i="8"/>
  <c r="AB462" i="8" s="1"/>
  <c r="DM462" i="8"/>
  <c r="AA462" i="8" s="1"/>
  <c r="DL462" i="8"/>
  <c r="Z462" i="8" s="1"/>
  <c r="DK462" i="8"/>
  <c r="Y462" i="8" s="1"/>
  <c r="DJ462" i="8"/>
  <c r="X462" i="8" s="1"/>
  <c r="DI462" i="8"/>
  <c r="W462" i="8" s="1"/>
  <c r="DH462" i="8"/>
  <c r="V462" i="8" s="1"/>
  <c r="DG462" i="8"/>
  <c r="U462" i="8" s="1"/>
  <c r="DF462" i="8"/>
  <c r="T462" i="8" s="1"/>
  <c r="DE462" i="8"/>
  <c r="S462" i="8" s="1"/>
  <c r="DD462" i="8"/>
  <c r="R462" i="8" s="1"/>
  <c r="DC462" i="8"/>
  <c r="Q462" i="8" s="1"/>
  <c r="DB462" i="8"/>
  <c r="P462" i="8" s="1"/>
  <c r="DA462" i="8"/>
  <c r="O462" i="8" s="1"/>
  <c r="CZ462" i="8"/>
  <c r="N462" i="8" s="1"/>
  <c r="DP461" i="8"/>
  <c r="AD461" i="8" s="1"/>
  <c r="DO461" i="8"/>
  <c r="AC461" i="8" s="1"/>
  <c r="DN461" i="8"/>
  <c r="AB461" i="8" s="1"/>
  <c r="DM461" i="8"/>
  <c r="AA461" i="8" s="1"/>
  <c r="DL461" i="8"/>
  <c r="Z461" i="8" s="1"/>
  <c r="DK461" i="8"/>
  <c r="Y461" i="8" s="1"/>
  <c r="DJ461" i="8"/>
  <c r="X461" i="8" s="1"/>
  <c r="DI461" i="8"/>
  <c r="W461" i="8" s="1"/>
  <c r="DH461" i="8"/>
  <c r="V461" i="8" s="1"/>
  <c r="DG461" i="8"/>
  <c r="U461" i="8" s="1"/>
  <c r="DF461" i="8"/>
  <c r="T461" i="8" s="1"/>
  <c r="DE461" i="8"/>
  <c r="S461" i="8" s="1"/>
  <c r="DD461" i="8"/>
  <c r="R461" i="8" s="1"/>
  <c r="DC461" i="8"/>
  <c r="Q461" i="8" s="1"/>
  <c r="DB461" i="8"/>
  <c r="P461" i="8" s="1"/>
  <c r="DA461" i="8"/>
  <c r="O461" i="8" s="1"/>
  <c r="CZ461" i="8"/>
  <c r="N461" i="8" s="1"/>
  <c r="DP460" i="8"/>
  <c r="AD460" i="8" s="1"/>
  <c r="DO460" i="8"/>
  <c r="AC460" i="8" s="1"/>
  <c r="DN460" i="8"/>
  <c r="AB460" i="8" s="1"/>
  <c r="DM460" i="8"/>
  <c r="AA460" i="8" s="1"/>
  <c r="DL460" i="8"/>
  <c r="Z460" i="8" s="1"/>
  <c r="DK460" i="8"/>
  <c r="Y460" i="8" s="1"/>
  <c r="DJ460" i="8"/>
  <c r="X460" i="8" s="1"/>
  <c r="DI460" i="8"/>
  <c r="W460" i="8" s="1"/>
  <c r="DH460" i="8"/>
  <c r="V460" i="8" s="1"/>
  <c r="DG460" i="8"/>
  <c r="U460" i="8" s="1"/>
  <c r="DF460" i="8"/>
  <c r="T460" i="8" s="1"/>
  <c r="DE460" i="8"/>
  <c r="S460" i="8" s="1"/>
  <c r="DD460" i="8"/>
  <c r="R460" i="8" s="1"/>
  <c r="DC460" i="8"/>
  <c r="Q460" i="8" s="1"/>
  <c r="DB460" i="8"/>
  <c r="P460" i="8" s="1"/>
  <c r="DA460" i="8"/>
  <c r="O460" i="8" s="1"/>
  <c r="CZ460" i="8"/>
  <c r="N460" i="8" s="1"/>
  <c r="DP459" i="8"/>
  <c r="AD459" i="8" s="1"/>
  <c r="DO459" i="8"/>
  <c r="AC459" i="8" s="1"/>
  <c r="DN459" i="8"/>
  <c r="AB459" i="8" s="1"/>
  <c r="DM459" i="8"/>
  <c r="AA459" i="8" s="1"/>
  <c r="DL459" i="8"/>
  <c r="Z459" i="8" s="1"/>
  <c r="DK459" i="8"/>
  <c r="Y459" i="8" s="1"/>
  <c r="DJ459" i="8"/>
  <c r="X459" i="8" s="1"/>
  <c r="DI459" i="8"/>
  <c r="W459" i="8" s="1"/>
  <c r="DH459" i="8"/>
  <c r="V459" i="8" s="1"/>
  <c r="DG459" i="8"/>
  <c r="U459" i="8" s="1"/>
  <c r="DF459" i="8"/>
  <c r="T459" i="8" s="1"/>
  <c r="DE459" i="8"/>
  <c r="S459" i="8" s="1"/>
  <c r="DD459" i="8"/>
  <c r="R459" i="8" s="1"/>
  <c r="DC459" i="8"/>
  <c r="Q459" i="8" s="1"/>
  <c r="DB459" i="8"/>
  <c r="P459" i="8" s="1"/>
  <c r="DA459" i="8"/>
  <c r="O459" i="8" s="1"/>
  <c r="CZ459" i="8"/>
  <c r="N459" i="8" s="1"/>
  <c r="DP458" i="8"/>
  <c r="AD458" i="8" s="1"/>
  <c r="DO458" i="8"/>
  <c r="AC458" i="8" s="1"/>
  <c r="DN458" i="8"/>
  <c r="AB458" i="8" s="1"/>
  <c r="DM458" i="8"/>
  <c r="AA458" i="8" s="1"/>
  <c r="DL458" i="8"/>
  <c r="Z458" i="8" s="1"/>
  <c r="DK458" i="8"/>
  <c r="Y458" i="8" s="1"/>
  <c r="DJ458" i="8"/>
  <c r="X458" i="8" s="1"/>
  <c r="DI458" i="8"/>
  <c r="W458" i="8" s="1"/>
  <c r="DH458" i="8"/>
  <c r="V458" i="8" s="1"/>
  <c r="DG458" i="8"/>
  <c r="U458" i="8" s="1"/>
  <c r="DF458" i="8"/>
  <c r="T458" i="8" s="1"/>
  <c r="DE458" i="8"/>
  <c r="S458" i="8" s="1"/>
  <c r="DD458" i="8"/>
  <c r="R458" i="8" s="1"/>
  <c r="DC458" i="8"/>
  <c r="Q458" i="8" s="1"/>
  <c r="DB458" i="8"/>
  <c r="P458" i="8" s="1"/>
  <c r="DA458" i="8"/>
  <c r="O458" i="8" s="1"/>
  <c r="CZ458" i="8"/>
  <c r="N458" i="8" s="1"/>
  <c r="DP457" i="8"/>
  <c r="AD457" i="8" s="1"/>
  <c r="DO457" i="8"/>
  <c r="AC457" i="8" s="1"/>
  <c r="DN457" i="8"/>
  <c r="AB457" i="8" s="1"/>
  <c r="DM457" i="8"/>
  <c r="AA457" i="8" s="1"/>
  <c r="DL457" i="8"/>
  <c r="Z457" i="8" s="1"/>
  <c r="DK457" i="8"/>
  <c r="Y457" i="8" s="1"/>
  <c r="DJ457" i="8"/>
  <c r="X457" i="8" s="1"/>
  <c r="DI457" i="8"/>
  <c r="W457" i="8" s="1"/>
  <c r="DH457" i="8"/>
  <c r="V457" i="8" s="1"/>
  <c r="DG457" i="8"/>
  <c r="U457" i="8" s="1"/>
  <c r="DF457" i="8"/>
  <c r="T457" i="8" s="1"/>
  <c r="DE457" i="8"/>
  <c r="S457" i="8" s="1"/>
  <c r="DD457" i="8"/>
  <c r="R457" i="8" s="1"/>
  <c r="DC457" i="8"/>
  <c r="Q457" i="8" s="1"/>
  <c r="DB457" i="8"/>
  <c r="P457" i="8" s="1"/>
  <c r="DA457" i="8"/>
  <c r="O457" i="8" s="1"/>
  <c r="CZ457" i="8"/>
  <c r="N457" i="8" s="1"/>
  <c r="DP456" i="8"/>
  <c r="AD456" i="8" s="1"/>
  <c r="DO456" i="8"/>
  <c r="AC456" i="8" s="1"/>
  <c r="DN456" i="8"/>
  <c r="AB456" i="8" s="1"/>
  <c r="DM456" i="8"/>
  <c r="AA456" i="8" s="1"/>
  <c r="DL456" i="8"/>
  <c r="Z456" i="8" s="1"/>
  <c r="DK456" i="8"/>
  <c r="Y456" i="8" s="1"/>
  <c r="DJ456" i="8"/>
  <c r="X456" i="8" s="1"/>
  <c r="DI456" i="8"/>
  <c r="W456" i="8" s="1"/>
  <c r="DH456" i="8"/>
  <c r="V456" i="8" s="1"/>
  <c r="DG456" i="8"/>
  <c r="U456" i="8" s="1"/>
  <c r="DF456" i="8"/>
  <c r="T456" i="8" s="1"/>
  <c r="DE456" i="8"/>
  <c r="S456" i="8" s="1"/>
  <c r="DD456" i="8"/>
  <c r="R456" i="8" s="1"/>
  <c r="DC456" i="8"/>
  <c r="Q456" i="8" s="1"/>
  <c r="DB456" i="8"/>
  <c r="P456" i="8" s="1"/>
  <c r="DA456" i="8"/>
  <c r="O456" i="8" s="1"/>
  <c r="CZ456" i="8"/>
  <c r="N456" i="8" s="1"/>
  <c r="DP455" i="8"/>
  <c r="AD455" i="8" s="1"/>
  <c r="DO455" i="8"/>
  <c r="AC455" i="8" s="1"/>
  <c r="DN455" i="8"/>
  <c r="AB455" i="8" s="1"/>
  <c r="DM455" i="8"/>
  <c r="AA455" i="8" s="1"/>
  <c r="DL455" i="8"/>
  <c r="Z455" i="8" s="1"/>
  <c r="DK455" i="8"/>
  <c r="Y455" i="8" s="1"/>
  <c r="DJ455" i="8"/>
  <c r="X455" i="8" s="1"/>
  <c r="DI455" i="8"/>
  <c r="W455" i="8" s="1"/>
  <c r="DH455" i="8"/>
  <c r="V455" i="8" s="1"/>
  <c r="DG455" i="8"/>
  <c r="U455" i="8" s="1"/>
  <c r="DF455" i="8"/>
  <c r="T455" i="8" s="1"/>
  <c r="DE455" i="8"/>
  <c r="S455" i="8" s="1"/>
  <c r="DD455" i="8"/>
  <c r="R455" i="8" s="1"/>
  <c r="DC455" i="8"/>
  <c r="Q455" i="8" s="1"/>
  <c r="DB455" i="8"/>
  <c r="P455" i="8" s="1"/>
  <c r="DA455" i="8"/>
  <c r="O455" i="8" s="1"/>
  <c r="CZ455" i="8"/>
  <c r="N455" i="8" s="1"/>
  <c r="DP454" i="8"/>
  <c r="AD454" i="8" s="1"/>
  <c r="DO454" i="8"/>
  <c r="AC454" i="8" s="1"/>
  <c r="DN454" i="8"/>
  <c r="AB454" i="8" s="1"/>
  <c r="DM454" i="8"/>
  <c r="AA454" i="8" s="1"/>
  <c r="DL454" i="8"/>
  <c r="Z454" i="8" s="1"/>
  <c r="DK454" i="8"/>
  <c r="Y454" i="8" s="1"/>
  <c r="DJ454" i="8"/>
  <c r="X454" i="8" s="1"/>
  <c r="DI454" i="8"/>
  <c r="W454" i="8" s="1"/>
  <c r="DH454" i="8"/>
  <c r="V454" i="8" s="1"/>
  <c r="DG454" i="8"/>
  <c r="U454" i="8" s="1"/>
  <c r="DF454" i="8"/>
  <c r="T454" i="8" s="1"/>
  <c r="DE454" i="8"/>
  <c r="S454" i="8" s="1"/>
  <c r="DD454" i="8"/>
  <c r="R454" i="8" s="1"/>
  <c r="DC454" i="8"/>
  <c r="Q454" i="8" s="1"/>
  <c r="DB454" i="8"/>
  <c r="P454" i="8" s="1"/>
  <c r="DA454" i="8"/>
  <c r="O454" i="8" s="1"/>
  <c r="CZ454" i="8"/>
  <c r="N454" i="8" s="1"/>
  <c r="DP453" i="8"/>
  <c r="AD453" i="8" s="1"/>
  <c r="DO453" i="8"/>
  <c r="AC453" i="8" s="1"/>
  <c r="DN453" i="8"/>
  <c r="AB453" i="8" s="1"/>
  <c r="DM453" i="8"/>
  <c r="AA453" i="8" s="1"/>
  <c r="DL453" i="8"/>
  <c r="Z453" i="8" s="1"/>
  <c r="DK453" i="8"/>
  <c r="Y453" i="8" s="1"/>
  <c r="DJ453" i="8"/>
  <c r="X453" i="8" s="1"/>
  <c r="DI453" i="8"/>
  <c r="W453" i="8" s="1"/>
  <c r="DH453" i="8"/>
  <c r="V453" i="8" s="1"/>
  <c r="DG453" i="8"/>
  <c r="U453" i="8" s="1"/>
  <c r="DF453" i="8"/>
  <c r="T453" i="8" s="1"/>
  <c r="DE453" i="8"/>
  <c r="S453" i="8" s="1"/>
  <c r="DD453" i="8"/>
  <c r="R453" i="8" s="1"/>
  <c r="DC453" i="8"/>
  <c r="Q453" i="8" s="1"/>
  <c r="DB453" i="8"/>
  <c r="P453" i="8" s="1"/>
  <c r="DA453" i="8"/>
  <c r="O453" i="8" s="1"/>
  <c r="CZ453" i="8"/>
  <c r="N453" i="8" s="1"/>
  <c r="DP452" i="8"/>
  <c r="AD452" i="8" s="1"/>
  <c r="DO452" i="8"/>
  <c r="AC452" i="8" s="1"/>
  <c r="DN452" i="8"/>
  <c r="AB452" i="8" s="1"/>
  <c r="DM452" i="8"/>
  <c r="AA452" i="8" s="1"/>
  <c r="DL452" i="8"/>
  <c r="Z452" i="8" s="1"/>
  <c r="DK452" i="8"/>
  <c r="Y452" i="8" s="1"/>
  <c r="DJ452" i="8"/>
  <c r="X452" i="8" s="1"/>
  <c r="DI452" i="8"/>
  <c r="W452" i="8" s="1"/>
  <c r="DH452" i="8"/>
  <c r="V452" i="8" s="1"/>
  <c r="DG452" i="8"/>
  <c r="U452" i="8" s="1"/>
  <c r="DF452" i="8"/>
  <c r="T452" i="8" s="1"/>
  <c r="DE452" i="8"/>
  <c r="S452" i="8" s="1"/>
  <c r="DD452" i="8"/>
  <c r="R452" i="8" s="1"/>
  <c r="DC452" i="8"/>
  <c r="Q452" i="8" s="1"/>
  <c r="DB452" i="8"/>
  <c r="P452" i="8" s="1"/>
  <c r="DA452" i="8"/>
  <c r="O452" i="8" s="1"/>
  <c r="CZ452" i="8"/>
  <c r="N452" i="8" s="1"/>
  <c r="DP451" i="8"/>
  <c r="AD451" i="8" s="1"/>
  <c r="DO451" i="8"/>
  <c r="AC451" i="8" s="1"/>
  <c r="DN451" i="8"/>
  <c r="AB451" i="8" s="1"/>
  <c r="DM451" i="8"/>
  <c r="AA451" i="8" s="1"/>
  <c r="DL451" i="8"/>
  <c r="Z451" i="8" s="1"/>
  <c r="DK451" i="8"/>
  <c r="Y451" i="8" s="1"/>
  <c r="DJ451" i="8"/>
  <c r="X451" i="8" s="1"/>
  <c r="DI451" i="8"/>
  <c r="W451" i="8" s="1"/>
  <c r="DH451" i="8"/>
  <c r="V451" i="8" s="1"/>
  <c r="DG451" i="8"/>
  <c r="U451" i="8" s="1"/>
  <c r="DF451" i="8"/>
  <c r="T451" i="8" s="1"/>
  <c r="DE451" i="8"/>
  <c r="S451" i="8" s="1"/>
  <c r="DD451" i="8"/>
  <c r="R451" i="8" s="1"/>
  <c r="DC451" i="8"/>
  <c r="Q451" i="8" s="1"/>
  <c r="DB451" i="8"/>
  <c r="P451" i="8" s="1"/>
  <c r="DA451" i="8"/>
  <c r="O451" i="8" s="1"/>
  <c r="CZ451" i="8"/>
  <c r="N451" i="8" s="1"/>
  <c r="DP450" i="8"/>
  <c r="AD450" i="8" s="1"/>
  <c r="DO450" i="8"/>
  <c r="AC450" i="8" s="1"/>
  <c r="DN450" i="8"/>
  <c r="AB450" i="8" s="1"/>
  <c r="DM450" i="8"/>
  <c r="AA450" i="8" s="1"/>
  <c r="DL450" i="8"/>
  <c r="Z450" i="8" s="1"/>
  <c r="DK450" i="8"/>
  <c r="Y450" i="8" s="1"/>
  <c r="DJ450" i="8"/>
  <c r="X450" i="8" s="1"/>
  <c r="DI450" i="8"/>
  <c r="W450" i="8" s="1"/>
  <c r="DH450" i="8"/>
  <c r="V450" i="8" s="1"/>
  <c r="DG450" i="8"/>
  <c r="U450" i="8" s="1"/>
  <c r="DF450" i="8"/>
  <c r="T450" i="8" s="1"/>
  <c r="DE450" i="8"/>
  <c r="S450" i="8" s="1"/>
  <c r="DD450" i="8"/>
  <c r="R450" i="8" s="1"/>
  <c r="DC450" i="8"/>
  <c r="Q450" i="8" s="1"/>
  <c r="DB450" i="8"/>
  <c r="P450" i="8" s="1"/>
  <c r="DA450" i="8"/>
  <c r="O450" i="8" s="1"/>
  <c r="CZ450" i="8"/>
  <c r="N450" i="8" s="1"/>
  <c r="DP449" i="8"/>
  <c r="AD449" i="8" s="1"/>
  <c r="DO449" i="8"/>
  <c r="AC449" i="8" s="1"/>
  <c r="DN449" i="8"/>
  <c r="AB449" i="8" s="1"/>
  <c r="DM449" i="8"/>
  <c r="AA449" i="8" s="1"/>
  <c r="DL449" i="8"/>
  <c r="Z449" i="8" s="1"/>
  <c r="DK449" i="8"/>
  <c r="Y449" i="8" s="1"/>
  <c r="DJ449" i="8"/>
  <c r="X449" i="8" s="1"/>
  <c r="DI449" i="8"/>
  <c r="W449" i="8" s="1"/>
  <c r="DH449" i="8"/>
  <c r="V449" i="8" s="1"/>
  <c r="DG449" i="8"/>
  <c r="U449" i="8" s="1"/>
  <c r="DF449" i="8"/>
  <c r="T449" i="8" s="1"/>
  <c r="DE449" i="8"/>
  <c r="S449" i="8" s="1"/>
  <c r="DD449" i="8"/>
  <c r="R449" i="8" s="1"/>
  <c r="DC449" i="8"/>
  <c r="Q449" i="8" s="1"/>
  <c r="DB449" i="8"/>
  <c r="P449" i="8" s="1"/>
  <c r="DA449" i="8"/>
  <c r="O449" i="8" s="1"/>
  <c r="CZ449" i="8"/>
  <c r="N449" i="8" s="1"/>
  <c r="DP448" i="8"/>
  <c r="AD448" i="8" s="1"/>
  <c r="DO448" i="8"/>
  <c r="AC448" i="8" s="1"/>
  <c r="DN448" i="8"/>
  <c r="AB448" i="8" s="1"/>
  <c r="DM448" i="8"/>
  <c r="AA448" i="8" s="1"/>
  <c r="DL448" i="8"/>
  <c r="Z448" i="8" s="1"/>
  <c r="DK448" i="8"/>
  <c r="Y448" i="8" s="1"/>
  <c r="DJ448" i="8"/>
  <c r="X448" i="8" s="1"/>
  <c r="DI448" i="8"/>
  <c r="W448" i="8" s="1"/>
  <c r="DH448" i="8"/>
  <c r="V448" i="8" s="1"/>
  <c r="DG448" i="8"/>
  <c r="U448" i="8" s="1"/>
  <c r="DF448" i="8"/>
  <c r="T448" i="8" s="1"/>
  <c r="DE448" i="8"/>
  <c r="S448" i="8" s="1"/>
  <c r="DD448" i="8"/>
  <c r="R448" i="8" s="1"/>
  <c r="DC448" i="8"/>
  <c r="Q448" i="8" s="1"/>
  <c r="DB448" i="8"/>
  <c r="P448" i="8" s="1"/>
  <c r="DA448" i="8"/>
  <c r="O448" i="8" s="1"/>
  <c r="CZ448" i="8"/>
  <c r="N448" i="8" s="1"/>
  <c r="DP447" i="8"/>
  <c r="AD447" i="8" s="1"/>
  <c r="DO447" i="8"/>
  <c r="AC447" i="8" s="1"/>
  <c r="DN447" i="8"/>
  <c r="AB447" i="8" s="1"/>
  <c r="DM447" i="8"/>
  <c r="AA447" i="8" s="1"/>
  <c r="DL447" i="8"/>
  <c r="Z447" i="8" s="1"/>
  <c r="DK447" i="8"/>
  <c r="Y447" i="8" s="1"/>
  <c r="DJ447" i="8"/>
  <c r="X447" i="8" s="1"/>
  <c r="DI447" i="8"/>
  <c r="W447" i="8" s="1"/>
  <c r="DH447" i="8"/>
  <c r="V447" i="8" s="1"/>
  <c r="DG447" i="8"/>
  <c r="U447" i="8" s="1"/>
  <c r="DF447" i="8"/>
  <c r="T447" i="8" s="1"/>
  <c r="DE447" i="8"/>
  <c r="S447" i="8" s="1"/>
  <c r="DD447" i="8"/>
  <c r="R447" i="8" s="1"/>
  <c r="DC447" i="8"/>
  <c r="Q447" i="8" s="1"/>
  <c r="DB447" i="8"/>
  <c r="P447" i="8" s="1"/>
  <c r="DA447" i="8"/>
  <c r="O447" i="8" s="1"/>
  <c r="CZ447" i="8"/>
  <c r="N447" i="8" s="1"/>
  <c r="DP446" i="8"/>
  <c r="AD446" i="8" s="1"/>
  <c r="DO446" i="8"/>
  <c r="AC446" i="8" s="1"/>
  <c r="DN446" i="8"/>
  <c r="AB446" i="8" s="1"/>
  <c r="DM446" i="8"/>
  <c r="AA446" i="8" s="1"/>
  <c r="DL446" i="8"/>
  <c r="Z446" i="8" s="1"/>
  <c r="DK446" i="8"/>
  <c r="Y446" i="8" s="1"/>
  <c r="DJ446" i="8"/>
  <c r="X446" i="8" s="1"/>
  <c r="DI446" i="8"/>
  <c r="W446" i="8" s="1"/>
  <c r="DH446" i="8"/>
  <c r="V446" i="8" s="1"/>
  <c r="DG446" i="8"/>
  <c r="U446" i="8" s="1"/>
  <c r="DF446" i="8"/>
  <c r="T446" i="8" s="1"/>
  <c r="DE446" i="8"/>
  <c r="S446" i="8" s="1"/>
  <c r="DD446" i="8"/>
  <c r="R446" i="8" s="1"/>
  <c r="DC446" i="8"/>
  <c r="Q446" i="8" s="1"/>
  <c r="DB446" i="8"/>
  <c r="P446" i="8" s="1"/>
  <c r="DA446" i="8"/>
  <c r="O446" i="8" s="1"/>
  <c r="CZ446" i="8"/>
  <c r="N446" i="8" s="1"/>
  <c r="DP445" i="8"/>
  <c r="AD445" i="8" s="1"/>
  <c r="DO445" i="8"/>
  <c r="AC445" i="8" s="1"/>
  <c r="DN445" i="8"/>
  <c r="AB445" i="8" s="1"/>
  <c r="DM445" i="8"/>
  <c r="AA445" i="8" s="1"/>
  <c r="DL445" i="8"/>
  <c r="Z445" i="8" s="1"/>
  <c r="DK445" i="8"/>
  <c r="Y445" i="8" s="1"/>
  <c r="DJ445" i="8"/>
  <c r="X445" i="8" s="1"/>
  <c r="DI445" i="8"/>
  <c r="W445" i="8" s="1"/>
  <c r="DH445" i="8"/>
  <c r="V445" i="8" s="1"/>
  <c r="DG445" i="8"/>
  <c r="U445" i="8" s="1"/>
  <c r="DF445" i="8"/>
  <c r="T445" i="8" s="1"/>
  <c r="DE445" i="8"/>
  <c r="S445" i="8" s="1"/>
  <c r="DD445" i="8"/>
  <c r="R445" i="8" s="1"/>
  <c r="DC445" i="8"/>
  <c r="Q445" i="8" s="1"/>
  <c r="DB445" i="8"/>
  <c r="P445" i="8" s="1"/>
  <c r="DA445" i="8"/>
  <c r="O445" i="8" s="1"/>
  <c r="CZ445" i="8"/>
  <c r="N445" i="8" s="1"/>
  <c r="DP444" i="8"/>
  <c r="AD444" i="8" s="1"/>
  <c r="DO444" i="8"/>
  <c r="AC444" i="8" s="1"/>
  <c r="DN444" i="8"/>
  <c r="AB444" i="8" s="1"/>
  <c r="DM444" i="8"/>
  <c r="AA444" i="8" s="1"/>
  <c r="DL444" i="8"/>
  <c r="Z444" i="8" s="1"/>
  <c r="DK444" i="8"/>
  <c r="Y444" i="8" s="1"/>
  <c r="DJ444" i="8"/>
  <c r="X444" i="8" s="1"/>
  <c r="DI444" i="8"/>
  <c r="W444" i="8" s="1"/>
  <c r="DH444" i="8"/>
  <c r="V444" i="8" s="1"/>
  <c r="DG444" i="8"/>
  <c r="U444" i="8" s="1"/>
  <c r="DF444" i="8"/>
  <c r="T444" i="8" s="1"/>
  <c r="DE444" i="8"/>
  <c r="S444" i="8" s="1"/>
  <c r="DD444" i="8"/>
  <c r="R444" i="8" s="1"/>
  <c r="DC444" i="8"/>
  <c r="Q444" i="8" s="1"/>
  <c r="DB444" i="8"/>
  <c r="P444" i="8" s="1"/>
  <c r="DA444" i="8"/>
  <c r="O444" i="8" s="1"/>
  <c r="CZ444" i="8"/>
  <c r="N444" i="8" s="1"/>
  <c r="DP443" i="8"/>
  <c r="AD443" i="8" s="1"/>
  <c r="DO443" i="8"/>
  <c r="AC443" i="8" s="1"/>
  <c r="DN443" i="8"/>
  <c r="AB443" i="8" s="1"/>
  <c r="DM443" i="8"/>
  <c r="AA443" i="8" s="1"/>
  <c r="DL443" i="8"/>
  <c r="Z443" i="8" s="1"/>
  <c r="DK443" i="8"/>
  <c r="Y443" i="8" s="1"/>
  <c r="DJ443" i="8"/>
  <c r="X443" i="8" s="1"/>
  <c r="DI443" i="8"/>
  <c r="W443" i="8" s="1"/>
  <c r="DH443" i="8"/>
  <c r="V443" i="8" s="1"/>
  <c r="DG443" i="8"/>
  <c r="U443" i="8" s="1"/>
  <c r="DF443" i="8"/>
  <c r="T443" i="8" s="1"/>
  <c r="DE443" i="8"/>
  <c r="S443" i="8" s="1"/>
  <c r="DD443" i="8"/>
  <c r="R443" i="8" s="1"/>
  <c r="DC443" i="8"/>
  <c r="Q443" i="8" s="1"/>
  <c r="DB443" i="8"/>
  <c r="P443" i="8" s="1"/>
  <c r="DA443" i="8"/>
  <c r="O443" i="8" s="1"/>
  <c r="CZ443" i="8"/>
  <c r="N443" i="8" s="1"/>
  <c r="DP442" i="8"/>
  <c r="AD442" i="8" s="1"/>
  <c r="DO442" i="8"/>
  <c r="AC442" i="8" s="1"/>
  <c r="DN442" i="8"/>
  <c r="AB442" i="8" s="1"/>
  <c r="DM442" i="8"/>
  <c r="AA442" i="8" s="1"/>
  <c r="DL442" i="8"/>
  <c r="Z442" i="8" s="1"/>
  <c r="DK442" i="8"/>
  <c r="Y442" i="8" s="1"/>
  <c r="DJ442" i="8"/>
  <c r="X442" i="8" s="1"/>
  <c r="DI442" i="8"/>
  <c r="W442" i="8" s="1"/>
  <c r="DH442" i="8"/>
  <c r="V442" i="8" s="1"/>
  <c r="DG442" i="8"/>
  <c r="U442" i="8" s="1"/>
  <c r="DF442" i="8"/>
  <c r="T442" i="8" s="1"/>
  <c r="DE442" i="8"/>
  <c r="S442" i="8" s="1"/>
  <c r="DD442" i="8"/>
  <c r="R442" i="8" s="1"/>
  <c r="DC442" i="8"/>
  <c r="Q442" i="8" s="1"/>
  <c r="DB442" i="8"/>
  <c r="P442" i="8" s="1"/>
  <c r="DA442" i="8"/>
  <c r="O442" i="8" s="1"/>
  <c r="CZ442" i="8"/>
  <c r="N442" i="8" s="1"/>
  <c r="DP441" i="8"/>
  <c r="AD441" i="8" s="1"/>
  <c r="DO441" i="8"/>
  <c r="AC441" i="8" s="1"/>
  <c r="DN441" i="8"/>
  <c r="AB441" i="8" s="1"/>
  <c r="DM441" i="8"/>
  <c r="AA441" i="8" s="1"/>
  <c r="DL441" i="8"/>
  <c r="Z441" i="8" s="1"/>
  <c r="DK441" i="8"/>
  <c r="Y441" i="8" s="1"/>
  <c r="DJ441" i="8"/>
  <c r="X441" i="8" s="1"/>
  <c r="DI441" i="8"/>
  <c r="W441" i="8" s="1"/>
  <c r="DH441" i="8"/>
  <c r="V441" i="8" s="1"/>
  <c r="DG441" i="8"/>
  <c r="U441" i="8" s="1"/>
  <c r="DF441" i="8"/>
  <c r="T441" i="8" s="1"/>
  <c r="DE441" i="8"/>
  <c r="S441" i="8" s="1"/>
  <c r="DD441" i="8"/>
  <c r="R441" i="8" s="1"/>
  <c r="DC441" i="8"/>
  <c r="Q441" i="8" s="1"/>
  <c r="DB441" i="8"/>
  <c r="P441" i="8" s="1"/>
  <c r="DA441" i="8"/>
  <c r="O441" i="8" s="1"/>
  <c r="CZ441" i="8"/>
  <c r="N441" i="8" s="1"/>
  <c r="DP440" i="8"/>
  <c r="AD440" i="8" s="1"/>
  <c r="DO440" i="8"/>
  <c r="AC440" i="8" s="1"/>
  <c r="DN440" i="8"/>
  <c r="AB440" i="8" s="1"/>
  <c r="DM440" i="8"/>
  <c r="AA440" i="8" s="1"/>
  <c r="DL440" i="8"/>
  <c r="Z440" i="8" s="1"/>
  <c r="DK440" i="8"/>
  <c r="Y440" i="8" s="1"/>
  <c r="DJ440" i="8"/>
  <c r="X440" i="8" s="1"/>
  <c r="DI440" i="8"/>
  <c r="W440" i="8" s="1"/>
  <c r="DH440" i="8"/>
  <c r="V440" i="8" s="1"/>
  <c r="DG440" i="8"/>
  <c r="U440" i="8" s="1"/>
  <c r="DF440" i="8"/>
  <c r="T440" i="8" s="1"/>
  <c r="DE440" i="8"/>
  <c r="S440" i="8" s="1"/>
  <c r="DD440" i="8"/>
  <c r="R440" i="8" s="1"/>
  <c r="DC440" i="8"/>
  <c r="Q440" i="8" s="1"/>
  <c r="DB440" i="8"/>
  <c r="P440" i="8" s="1"/>
  <c r="DA440" i="8"/>
  <c r="O440" i="8" s="1"/>
  <c r="CZ440" i="8"/>
  <c r="N440" i="8" s="1"/>
  <c r="DP439" i="8"/>
  <c r="AD439" i="8" s="1"/>
  <c r="DO439" i="8"/>
  <c r="AC439" i="8" s="1"/>
  <c r="DN439" i="8"/>
  <c r="AB439" i="8" s="1"/>
  <c r="DM439" i="8"/>
  <c r="AA439" i="8" s="1"/>
  <c r="DL439" i="8"/>
  <c r="Z439" i="8" s="1"/>
  <c r="DK439" i="8"/>
  <c r="Y439" i="8" s="1"/>
  <c r="DJ439" i="8"/>
  <c r="X439" i="8" s="1"/>
  <c r="DI439" i="8"/>
  <c r="W439" i="8" s="1"/>
  <c r="DH439" i="8"/>
  <c r="V439" i="8" s="1"/>
  <c r="DG439" i="8"/>
  <c r="U439" i="8" s="1"/>
  <c r="DF439" i="8"/>
  <c r="T439" i="8" s="1"/>
  <c r="DE439" i="8"/>
  <c r="S439" i="8" s="1"/>
  <c r="DD439" i="8"/>
  <c r="R439" i="8" s="1"/>
  <c r="DC439" i="8"/>
  <c r="Q439" i="8" s="1"/>
  <c r="DB439" i="8"/>
  <c r="P439" i="8" s="1"/>
  <c r="DA439" i="8"/>
  <c r="O439" i="8" s="1"/>
  <c r="CZ439" i="8"/>
  <c r="N439" i="8" s="1"/>
  <c r="DP438" i="8"/>
  <c r="AD438" i="8" s="1"/>
  <c r="DO438" i="8"/>
  <c r="AC438" i="8" s="1"/>
  <c r="DN438" i="8"/>
  <c r="AB438" i="8" s="1"/>
  <c r="DM438" i="8"/>
  <c r="AA438" i="8" s="1"/>
  <c r="DL438" i="8"/>
  <c r="Z438" i="8" s="1"/>
  <c r="DK438" i="8"/>
  <c r="Y438" i="8" s="1"/>
  <c r="DJ438" i="8"/>
  <c r="X438" i="8" s="1"/>
  <c r="DI438" i="8"/>
  <c r="W438" i="8" s="1"/>
  <c r="DH438" i="8"/>
  <c r="V438" i="8" s="1"/>
  <c r="DG438" i="8"/>
  <c r="U438" i="8" s="1"/>
  <c r="DF438" i="8"/>
  <c r="T438" i="8" s="1"/>
  <c r="DE438" i="8"/>
  <c r="S438" i="8" s="1"/>
  <c r="DD438" i="8"/>
  <c r="R438" i="8" s="1"/>
  <c r="DC438" i="8"/>
  <c r="Q438" i="8" s="1"/>
  <c r="DB438" i="8"/>
  <c r="P438" i="8" s="1"/>
  <c r="DA438" i="8"/>
  <c r="O438" i="8" s="1"/>
  <c r="CZ438" i="8"/>
  <c r="N438" i="8" s="1"/>
  <c r="DP437" i="8"/>
  <c r="AD437" i="8" s="1"/>
  <c r="DO437" i="8"/>
  <c r="AC437" i="8" s="1"/>
  <c r="DN437" i="8"/>
  <c r="AB437" i="8" s="1"/>
  <c r="DM437" i="8"/>
  <c r="AA437" i="8" s="1"/>
  <c r="DL437" i="8"/>
  <c r="Z437" i="8" s="1"/>
  <c r="DK437" i="8"/>
  <c r="Y437" i="8" s="1"/>
  <c r="DJ437" i="8"/>
  <c r="X437" i="8" s="1"/>
  <c r="DI437" i="8"/>
  <c r="W437" i="8" s="1"/>
  <c r="DH437" i="8"/>
  <c r="V437" i="8" s="1"/>
  <c r="DG437" i="8"/>
  <c r="U437" i="8" s="1"/>
  <c r="DF437" i="8"/>
  <c r="T437" i="8" s="1"/>
  <c r="DE437" i="8"/>
  <c r="S437" i="8" s="1"/>
  <c r="DD437" i="8"/>
  <c r="R437" i="8" s="1"/>
  <c r="DC437" i="8"/>
  <c r="Q437" i="8" s="1"/>
  <c r="DB437" i="8"/>
  <c r="P437" i="8" s="1"/>
  <c r="DA437" i="8"/>
  <c r="O437" i="8" s="1"/>
  <c r="CZ437" i="8"/>
  <c r="N437" i="8" s="1"/>
  <c r="DP436" i="8"/>
  <c r="AD436" i="8" s="1"/>
  <c r="DO436" i="8"/>
  <c r="AC436" i="8" s="1"/>
  <c r="DN436" i="8"/>
  <c r="AB436" i="8" s="1"/>
  <c r="DM436" i="8"/>
  <c r="AA436" i="8" s="1"/>
  <c r="DL436" i="8"/>
  <c r="Z436" i="8" s="1"/>
  <c r="DK436" i="8"/>
  <c r="Y436" i="8" s="1"/>
  <c r="DJ436" i="8"/>
  <c r="X436" i="8" s="1"/>
  <c r="DI436" i="8"/>
  <c r="W436" i="8" s="1"/>
  <c r="DH436" i="8"/>
  <c r="V436" i="8" s="1"/>
  <c r="DG436" i="8"/>
  <c r="U436" i="8" s="1"/>
  <c r="DF436" i="8"/>
  <c r="T436" i="8" s="1"/>
  <c r="DE436" i="8"/>
  <c r="S436" i="8" s="1"/>
  <c r="DD436" i="8"/>
  <c r="R436" i="8" s="1"/>
  <c r="DC436" i="8"/>
  <c r="Q436" i="8" s="1"/>
  <c r="DB436" i="8"/>
  <c r="P436" i="8" s="1"/>
  <c r="DA436" i="8"/>
  <c r="O436" i="8" s="1"/>
  <c r="CZ436" i="8"/>
  <c r="N436" i="8" s="1"/>
  <c r="DP435" i="8"/>
  <c r="AD435" i="8" s="1"/>
  <c r="DO435" i="8"/>
  <c r="AC435" i="8" s="1"/>
  <c r="DN435" i="8"/>
  <c r="AB435" i="8" s="1"/>
  <c r="DM435" i="8"/>
  <c r="AA435" i="8" s="1"/>
  <c r="DL435" i="8"/>
  <c r="Z435" i="8" s="1"/>
  <c r="DK435" i="8"/>
  <c r="Y435" i="8" s="1"/>
  <c r="DJ435" i="8"/>
  <c r="X435" i="8" s="1"/>
  <c r="DI435" i="8"/>
  <c r="W435" i="8" s="1"/>
  <c r="DH435" i="8"/>
  <c r="V435" i="8" s="1"/>
  <c r="DG435" i="8"/>
  <c r="U435" i="8" s="1"/>
  <c r="DF435" i="8"/>
  <c r="T435" i="8" s="1"/>
  <c r="DE435" i="8"/>
  <c r="S435" i="8" s="1"/>
  <c r="DD435" i="8"/>
  <c r="R435" i="8" s="1"/>
  <c r="DC435" i="8"/>
  <c r="Q435" i="8" s="1"/>
  <c r="DB435" i="8"/>
  <c r="P435" i="8" s="1"/>
  <c r="DA435" i="8"/>
  <c r="O435" i="8" s="1"/>
  <c r="CZ435" i="8"/>
  <c r="N435" i="8" s="1"/>
  <c r="DP434" i="8"/>
  <c r="AD434" i="8" s="1"/>
  <c r="DO434" i="8"/>
  <c r="AC434" i="8" s="1"/>
  <c r="DN434" i="8"/>
  <c r="AB434" i="8" s="1"/>
  <c r="DM434" i="8"/>
  <c r="AA434" i="8" s="1"/>
  <c r="DL434" i="8"/>
  <c r="Z434" i="8" s="1"/>
  <c r="DK434" i="8"/>
  <c r="Y434" i="8" s="1"/>
  <c r="DJ434" i="8"/>
  <c r="X434" i="8" s="1"/>
  <c r="DI434" i="8"/>
  <c r="W434" i="8" s="1"/>
  <c r="DH434" i="8"/>
  <c r="V434" i="8" s="1"/>
  <c r="DG434" i="8"/>
  <c r="U434" i="8" s="1"/>
  <c r="DF434" i="8"/>
  <c r="T434" i="8" s="1"/>
  <c r="DE434" i="8"/>
  <c r="S434" i="8" s="1"/>
  <c r="DD434" i="8"/>
  <c r="R434" i="8" s="1"/>
  <c r="DC434" i="8"/>
  <c r="Q434" i="8" s="1"/>
  <c r="DB434" i="8"/>
  <c r="P434" i="8" s="1"/>
  <c r="DA434" i="8"/>
  <c r="O434" i="8" s="1"/>
  <c r="CZ434" i="8"/>
  <c r="N434" i="8" s="1"/>
  <c r="DP433" i="8"/>
  <c r="AD433" i="8" s="1"/>
  <c r="DO433" i="8"/>
  <c r="AC433" i="8" s="1"/>
  <c r="DN433" i="8"/>
  <c r="AB433" i="8" s="1"/>
  <c r="DM433" i="8"/>
  <c r="AA433" i="8" s="1"/>
  <c r="DL433" i="8"/>
  <c r="Z433" i="8" s="1"/>
  <c r="DK433" i="8"/>
  <c r="Y433" i="8" s="1"/>
  <c r="DJ433" i="8"/>
  <c r="X433" i="8" s="1"/>
  <c r="DI433" i="8"/>
  <c r="W433" i="8" s="1"/>
  <c r="DH433" i="8"/>
  <c r="V433" i="8" s="1"/>
  <c r="DG433" i="8"/>
  <c r="U433" i="8" s="1"/>
  <c r="DF433" i="8"/>
  <c r="T433" i="8" s="1"/>
  <c r="DE433" i="8"/>
  <c r="S433" i="8" s="1"/>
  <c r="DD433" i="8"/>
  <c r="R433" i="8" s="1"/>
  <c r="DC433" i="8"/>
  <c r="Q433" i="8" s="1"/>
  <c r="DB433" i="8"/>
  <c r="P433" i="8" s="1"/>
  <c r="DA433" i="8"/>
  <c r="O433" i="8" s="1"/>
  <c r="CZ433" i="8"/>
  <c r="N433" i="8" s="1"/>
  <c r="DP432" i="8"/>
  <c r="AD432" i="8" s="1"/>
  <c r="DO432" i="8"/>
  <c r="AC432" i="8" s="1"/>
  <c r="DN432" i="8"/>
  <c r="AB432" i="8" s="1"/>
  <c r="DM432" i="8"/>
  <c r="AA432" i="8" s="1"/>
  <c r="DL432" i="8"/>
  <c r="Z432" i="8" s="1"/>
  <c r="DK432" i="8"/>
  <c r="Y432" i="8" s="1"/>
  <c r="DJ432" i="8"/>
  <c r="X432" i="8" s="1"/>
  <c r="DI432" i="8"/>
  <c r="W432" i="8" s="1"/>
  <c r="DH432" i="8"/>
  <c r="V432" i="8" s="1"/>
  <c r="DG432" i="8"/>
  <c r="U432" i="8" s="1"/>
  <c r="DF432" i="8"/>
  <c r="T432" i="8" s="1"/>
  <c r="DE432" i="8"/>
  <c r="S432" i="8" s="1"/>
  <c r="DD432" i="8"/>
  <c r="R432" i="8" s="1"/>
  <c r="DC432" i="8"/>
  <c r="Q432" i="8" s="1"/>
  <c r="DB432" i="8"/>
  <c r="P432" i="8" s="1"/>
  <c r="DA432" i="8"/>
  <c r="O432" i="8" s="1"/>
  <c r="CZ432" i="8"/>
  <c r="N432" i="8" s="1"/>
  <c r="DP431" i="8"/>
  <c r="AD431" i="8" s="1"/>
  <c r="DO431" i="8"/>
  <c r="AC431" i="8" s="1"/>
  <c r="DN431" i="8"/>
  <c r="AB431" i="8" s="1"/>
  <c r="DM431" i="8"/>
  <c r="AA431" i="8" s="1"/>
  <c r="DL431" i="8"/>
  <c r="Z431" i="8" s="1"/>
  <c r="DK431" i="8"/>
  <c r="Y431" i="8" s="1"/>
  <c r="DJ431" i="8"/>
  <c r="X431" i="8" s="1"/>
  <c r="DI431" i="8"/>
  <c r="W431" i="8" s="1"/>
  <c r="DH431" i="8"/>
  <c r="V431" i="8" s="1"/>
  <c r="DG431" i="8"/>
  <c r="U431" i="8" s="1"/>
  <c r="DF431" i="8"/>
  <c r="T431" i="8" s="1"/>
  <c r="DE431" i="8"/>
  <c r="S431" i="8" s="1"/>
  <c r="DD431" i="8"/>
  <c r="R431" i="8" s="1"/>
  <c r="DC431" i="8"/>
  <c r="Q431" i="8" s="1"/>
  <c r="DB431" i="8"/>
  <c r="P431" i="8" s="1"/>
  <c r="DA431" i="8"/>
  <c r="O431" i="8" s="1"/>
  <c r="CZ431" i="8"/>
  <c r="N431" i="8" s="1"/>
  <c r="DP430" i="8"/>
  <c r="AD430" i="8" s="1"/>
  <c r="DN430" i="8"/>
  <c r="AB430" i="8" s="1"/>
  <c r="DM430" i="8"/>
  <c r="AA430" i="8" s="1"/>
  <c r="DL430" i="8"/>
  <c r="Z430" i="8" s="1"/>
  <c r="DK430" i="8"/>
  <c r="Y430" i="8" s="1"/>
  <c r="DJ430" i="8"/>
  <c r="X430" i="8" s="1"/>
  <c r="DI430" i="8"/>
  <c r="W430" i="8" s="1"/>
  <c r="DH430" i="8"/>
  <c r="V430" i="8" s="1"/>
  <c r="DG430" i="8"/>
  <c r="U430" i="8" s="1"/>
  <c r="DF430" i="8"/>
  <c r="T430" i="8" s="1"/>
  <c r="DE430" i="8"/>
  <c r="S430" i="8" s="1"/>
  <c r="DD430" i="8"/>
  <c r="R430" i="8" s="1"/>
  <c r="DC430" i="8"/>
  <c r="Q430" i="8" s="1"/>
  <c r="DB430" i="8"/>
  <c r="P430" i="8" s="1"/>
  <c r="DA430" i="8"/>
  <c r="O430" i="8" s="1"/>
  <c r="CZ430" i="8"/>
  <c r="N430" i="8" s="1"/>
  <c r="DP429" i="8"/>
  <c r="AD429" i="8" s="1"/>
  <c r="DN429" i="8"/>
  <c r="AB429" i="8" s="1"/>
  <c r="DM429" i="8"/>
  <c r="AA429" i="8" s="1"/>
  <c r="DL429" i="8"/>
  <c r="Z429" i="8" s="1"/>
  <c r="DK429" i="8"/>
  <c r="Y429" i="8" s="1"/>
  <c r="DJ429" i="8"/>
  <c r="X429" i="8" s="1"/>
  <c r="DI429" i="8"/>
  <c r="W429" i="8" s="1"/>
  <c r="DH429" i="8"/>
  <c r="V429" i="8" s="1"/>
  <c r="DG429" i="8"/>
  <c r="U429" i="8" s="1"/>
  <c r="DF429" i="8"/>
  <c r="T429" i="8" s="1"/>
  <c r="DE429" i="8"/>
  <c r="S429" i="8" s="1"/>
  <c r="DD429" i="8"/>
  <c r="R429" i="8" s="1"/>
  <c r="DC429" i="8"/>
  <c r="Q429" i="8" s="1"/>
  <c r="DB429" i="8"/>
  <c r="P429" i="8" s="1"/>
  <c r="DA429" i="8"/>
  <c r="O429" i="8" s="1"/>
  <c r="CZ429" i="8"/>
  <c r="N429" i="8" s="1"/>
  <c r="DP428" i="8"/>
  <c r="AD428" i="8" s="1"/>
  <c r="DN428" i="8"/>
  <c r="AB428" i="8" s="1"/>
  <c r="DM428" i="8"/>
  <c r="AA428" i="8" s="1"/>
  <c r="DL428" i="8"/>
  <c r="Z428" i="8" s="1"/>
  <c r="DK428" i="8"/>
  <c r="Y428" i="8" s="1"/>
  <c r="DJ428" i="8"/>
  <c r="X428" i="8" s="1"/>
  <c r="DI428" i="8"/>
  <c r="W428" i="8" s="1"/>
  <c r="DH428" i="8"/>
  <c r="V428" i="8" s="1"/>
  <c r="DG428" i="8"/>
  <c r="U428" i="8" s="1"/>
  <c r="DF428" i="8"/>
  <c r="T428" i="8" s="1"/>
  <c r="DE428" i="8"/>
  <c r="S428" i="8" s="1"/>
  <c r="DD428" i="8"/>
  <c r="R428" i="8" s="1"/>
  <c r="DC428" i="8"/>
  <c r="Q428" i="8" s="1"/>
  <c r="DB428" i="8"/>
  <c r="P428" i="8" s="1"/>
  <c r="DA428" i="8"/>
  <c r="O428" i="8" s="1"/>
  <c r="CZ428" i="8"/>
  <c r="N428" i="8" s="1"/>
  <c r="DP427" i="8"/>
  <c r="AD427" i="8" s="1"/>
  <c r="DN427" i="8"/>
  <c r="AB427" i="8" s="1"/>
  <c r="DM427" i="8"/>
  <c r="AA427" i="8" s="1"/>
  <c r="DL427" i="8"/>
  <c r="Z427" i="8" s="1"/>
  <c r="DK427" i="8"/>
  <c r="Y427" i="8" s="1"/>
  <c r="DJ427" i="8"/>
  <c r="X427" i="8" s="1"/>
  <c r="DI427" i="8"/>
  <c r="W427" i="8" s="1"/>
  <c r="DH427" i="8"/>
  <c r="V427" i="8" s="1"/>
  <c r="DG427" i="8"/>
  <c r="U427" i="8" s="1"/>
  <c r="DF427" i="8"/>
  <c r="T427" i="8" s="1"/>
  <c r="DE427" i="8"/>
  <c r="S427" i="8" s="1"/>
  <c r="DD427" i="8"/>
  <c r="R427" i="8" s="1"/>
  <c r="DC427" i="8"/>
  <c r="Q427" i="8" s="1"/>
  <c r="DB427" i="8"/>
  <c r="P427" i="8" s="1"/>
  <c r="DA427" i="8"/>
  <c r="O427" i="8" s="1"/>
  <c r="CZ427" i="8"/>
  <c r="N427" i="8" s="1"/>
  <c r="DP426" i="8"/>
  <c r="AD426" i="8" s="1"/>
  <c r="DN426" i="8"/>
  <c r="AB426" i="8" s="1"/>
  <c r="DM426" i="8"/>
  <c r="AA426" i="8" s="1"/>
  <c r="DL426" i="8"/>
  <c r="Z426" i="8" s="1"/>
  <c r="DK426" i="8"/>
  <c r="Y426" i="8" s="1"/>
  <c r="DJ426" i="8"/>
  <c r="X426" i="8" s="1"/>
  <c r="DI426" i="8"/>
  <c r="W426" i="8" s="1"/>
  <c r="DH426" i="8"/>
  <c r="V426" i="8" s="1"/>
  <c r="DG426" i="8"/>
  <c r="U426" i="8" s="1"/>
  <c r="DF426" i="8"/>
  <c r="T426" i="8" s="1"/>
  <c r="DE426" i="8"/>
  <c r="S426" i="8" s="1"/>
  <c r="DD426" i="8"/>
  <c r="R426" i="8" s="1"/>
  <c r="DC426" i="8"/>
  <c r="Q426" i="8" s="1"/>
  <c r="DB426" i="8"/>
  <c r="P426" i="8" s="1"/>
  <c r="DA426" i="8"/>
  <c r="O426" i="8" s="1"/>
  <c r="CZ426" i="8"/>
  <c r="N426" i="8" s="1"/>
  <c r="DP425" i="8"/>
  <c r="AD425" i="8" s="1"/>
  <c r="DN425" i="8"/>
  <c r="AB425" i="8" s="1"/>
  <c r="DM425" i="8"/>
  <c r="AA425" i="8" s="1"/>
  <c r="DL425" i="8"/>
  <c r="Z425" i="8" s="1"/>
  <c r="DK425" i="8"/>
  <c r="Y425" i="8" s="1"/>
  <c r="DJ425" i="8"/>
  <c r="X425" i="8" s="1"/>
  <c r="DI425" i="8"/>
  <c r="W425" i="8" s="1"/>
  <c r="DH425" i="8"/>
  <c r="V425" i="8" s="1"/>
  <c r="DG425" i="8"/>
  <c r="U425" i="8" s="1"/>
  <c r="DF425" i="8"/>
  <c r="T425" i="8" s="1"/>
  <c r="DE425" i="8"/>
  <c r="S425" i="8" s="1"/>
  <c r="DD425" i="8"/>
  <c r="R425" i="8" s="1"/>
  <c r="DC425" i="8"/>
  <c r="Q425" i="8" s="1"/>
  <c r="DB425" i="8"/>
  <c r="P425" i="8" s="1"/>
  <c r="DA425" i="8"/>
  <c r="O425" i="8" s="1"/>
  <c r="CZ425" i="8"/>
  <c r="N425" i="8" s="1"/>
  <c r="DP424" i="8"/>
  <c r="AD424" i="8" s="1"/>
  <c r="DN424" i="8"/>
  <c r="AB424" i="8" s="1"/>
  <c r="DM424" i="8"/>
  <c r="AA424" i="8" s="1"/>
  <c r="DL424" i="8"/>
  <c r="Z424" i="8" s="1"/>
  <c r="DK424" i="8"/>
  <c r="Y424" i="8" s="1"/>
  <c r="DJ424" i="8"/>
  <c r="X424" i="8" s="1"/>
  <c r="DI424" i="8"/>
  <c r="W424" i="8" s="1"/>
  <c r="DH424" i="8"/>
  <c r="V424" i="8" s="1"/>
  <c r="DG424" i="8"/>
  <c r="U424" i="8" s="1"/>
  <c r="DF424" i="8"/>
  <c r="T424" i="8" s="1"/>
  <c r="DE424" i="8"/>
  <c r="S424" i="8" s="1"/>
  <c r="DD424" i="8"/>
  <c r="R424" i="8" s="1"/>
  <c r="DC424" i="8"/>
  <c r="Q424" i="8" s="1"/>
  <c r="DB424" i="8"/>
  <c r="P424" i="8" s="1"/>
  <c r="DA424" i="8"/>
  <c r="O424" i="8" s="1"/>
  <c r="CZ424" i="8"/>
  <c r="N424" i="8" s="1"/>
  <c r="DP423" i="8"/>
  <c r="AD423" i="8" s="1"/>
  <c r="DN423" i="8"/>
  <c r="AB423" i="8" s="1"/>
  <c r="DM423" i="8"/>
  <c r="AA423" i="8" s="1"/>
  <c r="DL423" i="8"/>
  <c r="Z423" i="8" s="1"/>
  <c r="DK423" i="8"/>
  <c r="Y423" i="8" s="1"/>
  <c r="DJ423" i="8"/>
  <c r="X423" i="8" s="1"/>
  <c r="DI423" i="8"/>
  <c r="W423" i="8" s="1"/>
  <c r="DH423" i="8"/>
  <c r="V423" i="8" s="1"/>
  <c r="DG423" i="8"/>
  <c r="U423" i="8" s="1"/>
  <c r="DF423" i="8"/>
  <c r="T423" i="8" s="1"/>
  <c r="DE423" i="8"/>
  <c r="S423" i="8" s="1"/>
  <c r="DD423" i="8"/>
  <c r="R423" i="8" s="1"/>
  <c r="DC423" i="8"/>
  <c r="Q423" i="8" s="1"/>
  <c r="DB423" i="8"/>
  <c r="P423" i="8" s="1"/>
  <c r="DA423" i="8"/>
  <c r="O423" i="8" s="1"/>
  <c r="CZ423" i="8"/>
  <c r="N423" i="8" s="1"/>
  <c r="DP422" i="8"/>
  <c r="AD422" i="8" s="1"/>
  <c r="DN422" i="8"/>
  <c r="AB422" i="8" s="1"/>
  <c r="DM422" i="8"/>
  <c r="AA422" i="8" s="1"/>
  <c r="DL422" i="8"/>
  <c r="Z422" i="8" s="1"/>
  <c r="DK422" i="8"/>
  <c r="Y422" i="8" s="1"/>
  <c r="DJ422" i="8"/>
  <c r="X422" i="8" s="1"/>
  <c r="DI422" i="8"/>
  <c r="W422" i="8" s="1"/>
  <c r="DH422" i="8"/>
  <c r="V422" i="8" s="1"/>
  <c r="DG422" i="8"/>
  <c r="U422" i="8" s="1"/>
  <c r="DF422" i="8"/>
  <c r="T422" i="8" s="1"/>
  <c r="DE422" i="8"/>
  <c r="S422" i="8" s="1"/>
  <c r="DD422" i="8"/>
  <c r="R422" i="8" s="1"/>
  <c r="DC422" i="8"/>
  <c r="Q422" i="8" s="1"/>
  <c r="DB422" i="8"/>
  <c r="P422" i="8" s="1"/>
  <c r="DA422" i="8"/>
  <c r="O422" i="8" s="1"/>
  <c r="CZ422" i="8"/>
  <c r="N422" i="8" s="1"/>
  <c r="DP421" i="8"/>
  <c r="AD421" i="8" s="1"/>
  <c r="DN421" i="8"/>
  <c r="AB421" i="8" s="1"/>
  <c r="DM421" i="8"/>
  <c r="AA421" i="8" s="1"/>
  <c r="DL421" i="8"/>
  <c r="Z421" i="8" s="1"/>
  <c r="DK421" i="8"/>
  <c r="Y421" i="8" s="1"/>
  <c r="DJ421" i="8"/>
  <c r="X421" i="8" s="1"/>
  <c r="DI421" i="8"/>
  <c r="W421" i="8" s="1"/>
  <c r="DH421" i="8"/>
  <c r="V421" i="8" s="1"/>
  <c r="DG421" i="8"/>
  <c r="U421" i="8" s="1"/>
  <c r="DF421" i="8"/>
  <c r="T421" i="8" s="1"/>
  <c r="DE421" i="8"/>
  <c r="S421" i="8" s="1"/>
  <c r="DD421" i="8"/>
  <c r="R421" i="8" s="1"/>
  <c r="DC421" i="8"/>
  <c r="Q421" i="8" s="1"/>
  <c r="DB421" i="8"/>
  <c r="P421" i="8" s="1"/>
  <c r="DA421" i="8"/>
  <c r="O421" i="8" s="1"/>
  <c r="CZ421" i="8"/>
  <c r="N421" i="8" s="1"/>
  <c r="DP420" i="8"/>
  <c r="AD420" i="8" s="1"/>
  <c r="DN420" i="8"/>
  <c r="AB420" i="8" s="1"/>
  <c r="DM420" i="8"/>
  <c r="AA420" i="8" s="1"/>
  <c r="DL420" i="8"/>
  <c r="Z420" i="8" s="1"/>
  <c r="DK420" i="8"/>
  <c r="Y420" i="8" s="1"/>
  <c r="DJ420" i="8"/>
  <c r="X420" i="8" s="1"/>
  <c r="DI420" i="8"/>
  <c r="W420" i="8" s="1"/>
  <c r="DH420" i="8"/>
  <c r="V420" i="8" s="1"/>
  <c r="DG420" i="8"/>
  <c r="U420" i="8" s="1"/>
  <c r="DF420" i="8"/>
  <c r="T420" i="8" s="1"/>
  <c r="DE420" i="8"/>
  <c r="S420" i="8" s="1"/>
  <c r="DD420" i="8"/>
  <c r="R420" i="8" s="1"/>
  <c r="DC420" i="8"/>
  <c r="Q420" i="8" s="1"/>
  <c r="DB420" i="8"/>
  <c r="P420" i="8" s="1"/>
  <c r="DA420" i="8"/>
  <c r="O420" i="8" s="1"/>
  <c r="CZ420" i="8"/>
  <c r="N420" i="8" s="1"/>
  <c r="DP419" i="8"/>
  <c r="AD419" i="8" s="1"/>
  <c r="DN419" i="8"/>
  <c r="AB419" i="8" s="1"/>
  <c r="DM419" i="8"/>
  <c r="AA419" i="8" s="1"/>
  <c r="DL419" i="8"/>
  <c r="Z419" i="8" s="1"/>
  <c r="DK419" i="8"/>
  <c r="Y419" i="8" s="1"/>
  <c r="DJ419" i="8"/>
  <c r="X419" i="8" s="1"/>
  <c r="DI419" i="8"/>
  <c r="W419" i="8" s="1"/>
  <c r="DH419" i="8"/>
  <c r="V419" i="8" s="1"/>
  <c r="DG419" i="8"/>
  <c r="U419" i="8" s="1"/>
  <c r="DF419" i="8"/>
  <c r="T419" i="8" s="1"/>
  <c r="DE419" i="8"/>
  <c r="S419" i="8" s="1"/>
  <c r="DD419" i="8"/>
  <c r="R419" i="8" s="1"/>
  <c r="DC419" i="8"/>
  <c r="Q419" i="8" s="1"/>
  <c r="DB419" i="8"/>
  <c r="P419" i="8" s="1"/>
  <c r="DA419" i="8"/>
  <c r="O419" i="8" s="1"/>
  <c r="CZ419" i="8"/>
  <c r="N419" i="8" s="1"/>
  <c r="DP418" i="8"/>
  <c r="AD418" i="8" s="1"/>
  <c r="DN418" i="8"/>
  <c r="AB418" i="8" s="1"/>
  <c r="DM418" i="8"/>
  <c r="AA418" i="8" s="1"/>
  <c r="DL418" i="8"/>
  <c r="Z418" i="8" s="1"/>
  <c r="DK418" i="8"/>
  <c r="Y418" i="8" s="1"/>
  <c r="DJ418" i="8"/>
  <c r="X418" i="8" s="1"/>
  <c r="DI418" i="8"/>
  <c r="W418" i="8" s="1"/>
  <c r="DH418" i="8"/>
  <c r="V418" i="8" s="1"/>
  <c r="DG418" i="8"/>
  <c r="U418" i="8" s="1"/>
  <c r="DF418" i="8"/>
  <c r="T418" i="8" s="1"/>
  <c r="DE418" i="8"/>
  <c r="S418" i="8" s="1"/>
  <c r="DD418" i="8"/>
  <c r="R418" i="8" s="1"/>
  <c r="DC418" i="8"/>
  <c r="Q418" i="8" s="1"/>
  <c r="DB418" i="8"/>
  <c r="P418" i="8" s="1"/>
  <c r="DA418" i="8"/>
  <c r="O418" i="8" s="1"/>
  <c r="CZ418" i="8"/>
  <c r="N418" i="8" s="1"/>
  <c r="DP417" i="8"/>
  <c r="AD417" i="8" s="1"/>
  <c r="DN417" i="8"/>
  <c r="AB417" i="8" s="1"/>
  <c r="DM417" i="8"/>
  <c r="AA417" i="8" s="1"/>
  <c r="DL417" i="8"/>
  <c r="Z417" i="8" s="1"/>
  <c r="DK417" i="8"/>
  <c r="Y417" i="8" s="1"/>
  <c r="DJ417" i="8"/>
  <c r="X417" i="8" s="1"/>
  <c r="DI417" i="8"/>
  <c r="W417" i="8" s="1"/>
  <c r="DH417" i="8"/>
  <c r="V417" i="8" s="1"/>
  <c r="DG417" i="8"/>
  <c r="U417" i="8" s="1"/>
  <c r="DF417" i="8"/>
  <c r="T417" i="8" s="1"/>
  <c r="DE417" i="8"/>
  <c r="S417" i="8" s="1"/>
  <c r="DD417" i="8"/>
  <c r="R417" i="8" s="1"/>
  <c r="DC417" i="8"/>
  <c r="Q417" i="8" s="1"/>
  <c r="DB417" i="8"/>
  <c r="P417" i="8" s="1"/>
  <c r="DA417" i="8"/>
  <c r="O417" i="8" s="1"/>
  <c r="CZ417" i="8"/>
  <c r="N417" i="8" s="1"/>
  <c r="DP416" i="8"/>
  <c r="AD416" i="8" s="1"/>
  <c r="DN416" i="8"/>
  <c r="AB416" i="8" s="1"/>
  <c r="DM416" i="8"/>
  <c r="AA416" i="8" s="1"/>
  <c r="DL416" i="8"/>
  <c r="Z416" i="8" s="1"/>
  <c r="DK416" i="8"/>
  <c r="Y416" i="8" s="1"/>
  <c r="DJ416" i="8"/>
  <c r="X416" i="8" s="1"/>
  <c r="DI416" i="8"/>
  <c r="W416" i="8" s="1"/>
  <c r="DH416" i="8"/>
  <c r="V416" i="8" s="1"/>
  <c r="DG416" i="8"/>
  <c r="U416" i="8" s="1"/>
  <c r="DF416" i="8"/>
  <c r="T416" i="8" s="1"/>
  <c r="DE416" i="8"/>
  <c r="S416" i="8" s="1"/>
  <c r="DD416" i="8"/>
  <c r="R416" i="8" s="1"/>
  <c r="DC416" i="8"/>
  <c r="Q416" i="8" s="1"/>
  <c r="DB416" i="8"/>
  <c r="P416" i="8" s="1"/>
  <c r="DA416" i="8"/>
  <c r="O416" i="8" s="1"/>
  <c r="CZ416" i="8"/>
  <c r="N416" i="8" s="1"/>
  <c r="DP415" i="8"/>
  <c r="AD415" i="8" s="1"/>
  <c r="DN415" i="8"/>
  <c r="AB415" i="8" s="1"/>
  <c r="DM415" i="8"/>
  <c r="AA415" i="8" s="1"/>
  <c r="DL415" i="8"/>
  <c r="Z415" i="8" s="1"/>
  <c r="DK415" i="8"/>
  <c r="Y415" i="8" s="1"/>
  <c r="DJ415" i="8"/>
  <c r="X415" i="8" s="1"/>
  <c r="DI415" i="8"/>
  <c r="W415" i="8" s="1"/>
  <c r="DH415" i="8"/>
  <c r="V415" i="8" s="1"/>
  <c r="DG415" i="8"/>
  <c r="U415" i="8" s="1"/>
  <c r="DF415" i="8"/>
  <c r="T415" i="8" s="1"/>
  <c r="DE415" i="8"/>
  <c r="S415" i="8" s="1"/>
  <c r="DD415" i="8"/>
  <c r="R415" i="8" s="1"/>
  <c r="DC415" i="8"/>
  <c r="Q415" i="8" s="1"/>
  <c r="DB415" i="8"/>
  <c r="P415" i="8" s="1"/>
  <c r="DA415" i="8"/>
  <c r="O415" i="8" s="1"/>
  <c r="CZ415" i="8"/>
  <c r="N415" i="8" s="1"/>
  <c r="DP414" i="8"/>
  <c r="AD414" i="8" s="1"/>
  <c r="DN414" i="8"/>
  <c r="AB414" i="8" s="1"/>
  <c r="DM414" i="8"/>
  <c r="AA414" i="8" s="1"/>
  <c r="DL414" i="8"/>
  <c r="Z414" i="8" s="1"/>
  <c r="DK414" i="8"/>
  <c r="Y414" i="8" s="1"/>
  <c r="DJ414" i="8"/>
  <c r="X414" i="8" s="1"/>
  <c r="DI414" i="8"/>
  <c r="W414" i="8" s="1"/>
  <c r="DH414" i="8"/>
  <c r="V414" i="8" s="1"/>
  <c r="DG414" i="8"/>
  <c r="U414" i="8" s="1"/>
  <c r="DF414" i="8"/>
  <c r="T414" i="8" s="1"/>
  <c r="DE414" i="8"/>
  <c r="S414" i="8" s="1"/>
  <c r="DD414" i="8"/>
  <c r="R414" i="8" s="1"/>
  <c r="DC414" i="8"/>
  <c r="Q414" i="8" s="1"/>
  <c r="DB414" i="8"/>
  <c r="P414" i="8" s="1"/>
  <c r="DA414" i="8"/>
  <c r="O414" i="8" s="1"/>
  <c r="CZ414" i="8"/>
  <c r="N414" i="8" s="1"/>
  <c r="DP413" i="8"/>
  <c r="AD413" i="8" s="1"/>
  <c r="DN413" i="8"/>
  <c r="AB413" i="8" s="1"/>
  <c r="DM413" i="8"/>
  <c r="AA413" i="8" s="1"/>
  <c r="DL413" i="8"/>
  <c r="Z413" i="8" s="1"/>
  <c r="DK413" i="8"/>
  <c r="Y413" i="8" s="1"/>
  <c r="DJ413" i="8"/>
  <c r="X413" i="8" s="1"/>
  <c r="DI413" i="8"/>
  <c r="W413" i="8" s="1"/>
  <c r="DH413" i="8"/>
  <c r="V413" i="8" s="1"/>
  <c r="DG413" i="8"/>
  <c r="U413" i="8" s="1"/>
  <c r="DF413" i="8"/>
  <c r="T413" i="8" s="1"/>
  <c r="DE413" i="8"/>
  <c r="S413" i="8" s="1"/>
  <c r="DD413" i="8"/>
  <c r="R413" i="8" s="1"/>
  <c r="DC413" i="8"/>
  <c r="Q413" i="8" s="1"/>
  <c r="DB413" i="8"/>
  <c r="P413" i="8" s="1"/>
  <c r="DA413" i="8"/>
  <c r="O413" i="8" s="1"/>
  <c r="CZ413" i="8"/>
  <c r="N413" i="8" s="1"/>
  <c r="DP412" i="8"/>
  <c r="AD412" i="8" s="1"/>
  <c r="DN412" i="8"/>
  <c r="AB412" i="8" s="1"/>
  <c r="DM412" i="8"/>
  <c r="AA412" i="8" s="1"/>
  <c r="DL412" i="8"/>
  <c r="Z412" i="8" s="1"/>
  <c r="DK412" i="8"/>
  <c r="Y412" i="8" s="1"/>
  <c r="DJ412" i="8"/>
  <c r="X412" i="8" s="1"/>
  <c r="DI412" i="8"/>
  <c r="W412" i="8" s="1"/>
  <c r="DH412" i="8"/>
  <c r="V412" i="8" s="1"/>
  <c r="DG412" i="8"/>
  <c r="U412" i="8" s="1"/>
  <c r="DF412" i="8"/>
  <c r="T412" i="8" s="1"/>
  <c r="DE412" i="8"/>
  <c r="S412" i="8" s="1"/>
  <c r="DD412" i="8"/>
  <c r="R412" i="8" s="1"/>
  <c r="DC412" i="8"/>
  <c r="Q412" i="8" s="1"/>
  <c r="DB412" i="8"/>
  <c r="P412" i="8" s="1"/>
  <c r="DA412" i="8"/>
  <c r="O412" i="8" s="1"/>
  <c r="CZ412" i="8"/>
  <c r="N412" i="8" s="1"/>
  <c r="DP411" i="8"/>
  <c r="AD411" i="8" s="1"/>
  <c r="DN411" i="8"/>
  <c r="AB411" i="8" s="1"/>
  <c r="DM411" i="8"/>
  <c r="AA411" i="8" s="1"/>
  <c r="DL411" i="8"/>
  <c r="Z411" i="8" s="1"/>
  <c r="DK411" i="8"/>
  <c r="Y411" i="8" s="1"/>
  <c r="DJ411" i="8"/>
  <c r="X411" i="8" s="1"/>
  <c r="DI411" i="8"/>
  <c r="W411" i="8" s="1"/>
  <c r="DH411" i="8"/>
  <c r="V411" i="8" s="1"/>
  <c r="DG411" i="8"/>
  <c r="U411" i="8" s="1"/>
  <c r="DF411" i="8"/>
  <c r="T411" i="8" s="1"/>
  <c r="DE411" i="8"/>
  <c r="S411" i="8" s="1"/>
  <c r="DD411" i="8"/>
  <c r="R411" i="8" s="1"/>
  <c r="DC411" i="8"/>
  <c r="Q411" i="8" s="1"/>
  <c r="DB411" i="8"/>
  <c r="P411" i="8" s="1"/>
  <c r="DA411" i="8"/>
  <c r="O411" i="8" s="1"/>
  <c r="CZ411" i="8"/>
  <c r="N411" i="8" s="1"/>
  <c r="DP410" i="8"/>
  <c r="AD410" i="8" s="1"/>
  <c r="DN410" i="8"/>
  <c r="AB410" i="8" s="1"/>
  <c r="DM410" i="8"/>
  <c r="AA410" i="8" s="1"/>
  <c r="DL410" i="8"/>
  <c r="Z410" i="8" s="1"/>
  <c r="DK410" i="8"/>
  <c r="Y410" i="8" s="1"/>
  <c r="DJ410" i="8"/>
  <c r="X410" i="8" s="1"/>
  <c r="DI410" i="8"/>
  <c r="W410" i="8" s="1"/>
  <c r="DH410" i="8"/>
  <c r="V410" i="8" s="1"/>
  <c r="DG410" i="8"/>
  <c r="U410" i="8" s="1"/>
  <c r="DF410" i="8"/>
  <c r="T410" i="8" s="1"/>
  <c r="DE410" i="8"/>
  <c r="S410" i="8" s="1"/>
  <c r="DD410" i="8"/>
  <c r="R410" i="8" s="1"/>
  <c r="DC410" i="8"/>
  <c r="Q410" i="8" s="1"/>
  <c r="DB410" i="8"/>
  <c r="P410" i="8" s="1"/>
  <c r="DA410" i="8"/>
  <c r="O410" i="8" s="1"/>
  <c r="CZ410" i="8"/>
  <c r="N410" i="8" s="1"/>
  <c r="DP409" i="8"/>
  <c r="AD409" i="8" s="1"/>
  <c r="DN409" i="8"/>
  <c r="AB409" i="8" s="1"/>
  <c r="DM409" i="8"/>
  <c r="AA409" i="8" s="1"/>
  <c r="DL409" i="8"/>
  <c r="Z409" i="8" s="1"/>
  <c r="DK409" i="8"/>
  <c r="Y409" i="8" s="1"/>
  <c r="DJ409" i="8"/>
  <c r="X409" i="8" s="1"/>
  <c r="DI409" i="8"/>
  <c r="W409" i="8" s="1"/>
  <c r="DH409" i="8"/>
  <c r="V409" i="8" s="1"/>
  <c r="DG409" i="8"/>
  <c r="U409" i="8" s="1"/>
  <c r="DF409" i="8"/>
  <c r="T409" i="8" s="1"/>
  <c r="DE409" i="8"/>
  <c r="S409" i="8" s="1"/>
  <c r="DD409" i="8"/>
  <c r="R409" i="8" s="1"/>
  <c r="DC409" i="8"/>
  <c r="Q409" i="8" s="1"/>
  <c r="DB409" i="8"/>
  <c r="P409" i="8" s="1"/>
  <c r="DA409" i="8"/>
  <c r="O409" i="8" s="1"/>
  <c r="CZ409" i="8"/>
  <c r="N409" i="8" s="1"/>
  <c r="DP408" i="8"/>
  <c r="AD408" i="8" s="1"/>
  <c r="DN408" i="8"/>
  <c r="AB408" i="8" s="1"/>
  <c r="DM408" i="8"/>
  <c r="AA408" i="8" s="1"/>
  <c r="DL408" i="8"/>
  <c r="Z408" i="8" s="1"/>
  <c r="DK408" i="8"/>
  <c r="Y408" i="8" s="1"/>
  <c r="DJ408" i="8"/>
  <c r="X408" i="8" s="1"/>
  <c r="DI408" i="8"/>
  <c r="W408" i="8" s="1"/>
  <c r="DH408" i="8"/>
  <c r="V408" i="8" s="1"/>
  <c r="DG408" i="8"/>
  <c r="U408" i="8" s="1"/>
  <c r="DF408" i="8"/>
  <c r="T408" i="8" s="1"/>
  <c r="DE408" i="8"/>
  <c r="S408" i="8" s="1"/>
  <c r="DD408" i="8"/>
  <c r="R408" i="8" s="1"/>
  <c r="DC408" i="8"/>
  <c r="Q408" i="8" s="1"/>
  <c r="DB408" i="8"/>
  <c r="P408" i="8" s="1"/>
  <c r="DA408" i="8"/>
  <c r="O408" i="8" s="1"/>
  <c r="CZ408" i="8"/>
  <c r="N408" i="8" s="1"/>
  <c r="DP407" i="8"/>
  <c r="AD407" i="8" s="1"/>
  <c r="DN407" i="8"/>
  <c r="AB407" i="8" s="1"/>
  <c r="DM407" i="8"/>
  <c r="AA407" i="8" s="1"/>
  <c r="DL407" i="8"/>
  <c r="Z407" i="8" s="1"/>
  <c r="DK407" i="8"/>
  <c r="Y407" i="8" s="1"/>
  <c r="DJ407" i="8"/>
  <c r="X407" i="8" s="1"/>
  <c r="DI407" i="8"/>
  <c r="W407" i="8" s="1"/>
  <c r="DH407" i="8"/>
  <c r="V407" i="8" s="1"/>
  <c r="DG407" i="8"/>
  <c r="U407" i="8" s="1"/>
  <c r="DF407" i="8"/>
  <c r="T407" i="8" s="1"/>
  <c r="DE407" i="8"/>
  <c r="S407" i="8" s="1"/>
  <c r="DD407" i="8"/>
  <c r="R407" i="8" s="1"/>
  <c r="DC407" i="8"/>
  <c r="Q407" i="8" s="1"/>
  <c r="DB407" i="8"/>
  <c r="P407" i="8" s="1"/>
  <c r="DA407" i="8"/>
  <c r="O407" i="8" s="1"/>
  <c r="CZ407" i="8"/>
  <c r="N407" i="8" s="1"/>
  <c r="DP406" i="8"/>
  <c r="AD406" i="8" s="1"/>
  <c r="DN406" i="8"/>
  <c r="AB406" i="8" s="1"/>
  <c r="DM406" i="8"/>
  <c r="AA406" i="8" s="1"/>
  <c r="DL406" i="8"/>
  <c r="Z406" i="8" s="1"/>
  <c r="DK406" i="8"/>
  <c r="Y406" i="8" s="1"/>
  <c r="DJ406" i="8"/>
  <c r="X406" i="8" s="1"/>
  <c r="DI406" i="8"/>
  <c r="W406" i="8" s="1"/>
  <c r="DH406" i="8"/>
  <c r="V406" i="8" s="1"/>
  <c r="DG406" i="8"/>
  <c r="U406" i="8" s="1"/>
  <c r="DF406" i="8"/>
  <c r="T406" i="8" s="1"/>
  <c r="DE406" i="8"/>
  <c r="S406" i="8" s="1"/>
  <c r="DD406" i="8"/>
  <c r="R406" i="8" s="1"/>
  <c r="DC406" i="8"/>
  <c r="Q406" i="8" s="1"/>
  <c r="DB406" i="8"/>
  <c r="P406" i="8" s="1"/>
  <c r="DA406" i="8"/>
  <c r="O406" i="8" s="1"/>
  <c r="CZ406" i="8"/>
  <c r="N406" i="8" s="1"/>
  <c r="DP405" i="8"/>
  <c r="AD405" i="8" s="1"/>
  <c r="DN405" i="8"/>
  <c r="AB405" i="8" s="1"/>
  <c r="DM405" i="8"/>
  <c r="AA405" i="8" s="1"/>
  <c r="DL405" i="8"/>
  <c r="Z405" i="8" s="1"/>
  <c r="DK405" i="8"/>
  <c r="Y405" i="8" s="1"/>
  <c r="DJ405" i="8"/>
  <c r="X405" i="8" s="1"/>
  <c r="DI405" i="8"/>
  <c r="W405" i="8" s="1"/>
  <c r="DH405" i="8"/>
  <c r="V405" i="8" s="1"/>
  <c r="DG405" i="8"/>
  <c r="U405" i="8" s="1"/>
  <c r="DF405" i="8"/>
  <c r="T405" i="8" s="1"/>
  <c r="DE405" i="8"/>
  <c r="S405" i="8" s="1"/>
  <c r="DD405" i="8"/>
  <c r="R405" i="8" s="1"/>
  <c r="DC405" i="8"/>
  <c r="Q405" i="8" s="1"/>
  <c r="DB405" i="8"/>
  <c r="P405" i="8" s="1"/>
  <c r="DA405" i="8"/>
  <c r="O405" i="8" s="1"/>
  <c r="CZ405" i="8"/>
  <c r="N405" i="8" s="1"/>
  <c r="DP404" i="8"/>
  <c r="AD404" i="8" s="1"/>
  <c r="DN404" i="8"/>
  <c r="AB404" i="8" s="1"/>
  <c r="DM404" i="8"/>
  <c r="AA404" i="8" s="1"/>
  <c r="DL404" i="8"/>
  <c r="Z404" i="8" s="1"/>
  <c r="DK404" i="8"/>
  <c r="Y404" i="8" s="1"/>
  <c r="DJ404" i="8"/>
  <c r="X404" i="8" s="1"/>
  <c r="DI404" i="8"/>
  <c r="W404" i="8" s="1"/>
  <c r="DH404" i="8"/>
  <c r="V404" i="8" s="1"/>
  <c r="DG404" i="8"/>
  <c r="U404" i="8" s="1"/>
  <c r="DF404" i="8"/>
  <c r="T404" i="8" s="1"/>
  <c r="DE404" i="8"/>
  <c r="S404" i="8" s="1"/>
  <c r="DD404" i="8"/>
  <c r="R404" i="8" s="1"/>
  <c r="DC404" i="8"/>
  <c r="Q404" i="8" s="1"/>
  <c r="DB404" i="8"/>
  <c r="P404" i="8" s="1"/>
  <c r="DA404" i="8"/>
  <c r="O404" i="8" s="1"/>
  <c r="CZ404" i="8"/>
  <c r="N404" i="8" s="1"/>
  <c r="DP403" i="8"/>
  <c r="AD403" i="8" s="1"/>
  <c r="DN403" i="8"/>
  <c r="AB403" i="8" s="1"/>
  <c r="DM403" i="8"/>
  <c r="AA403" i="8" s="1"/>
  <c r="DL403" i="8"/>
  <c r="Z403" i="8" s="1"/>
  <c r="DK403" i="8"/>
  <c r="Y403" i="8" s="1"/>
  <c r="DJ403" i="8"/>
  <c r="X403" i="8" s="1"/>
  <c r="DI403" i="8"/>
  <c r="W403" i="8" s="1"/>
  <c r="DH403" i="8"/>
  <c r="V403" i="8" s="1"/>
  <c r="DG403" i="8"/>
  <c r="U403" i="8" s="1"/>
  <c r="DF403" i="8"/>
  <c r="T403" i="8" s="1"/>
  <c r="DE403" i="8"/>
  <c r="S403" i="8" s="1"/>
  <c r="DD403" i="8"/>
  <c r="R403" i="8" s="1"/>
  <c r="DC403" i="8"/>
  <c r="Q403" i="8" s="1"/>
  <c r="DB403" i="8"/>
  <c r="P403" i="8" s="1"/>
  <c r="DA403" i="8"/>
  <c r="O403" i="8" s="1"/>
  <c r="CZ403" i="8"/>
  <c r="N403" i="8" s="1"/>
  <c r="DP402" i="8"/>
  <c r="AD402" i="8" s="1"/>
  <c r="DN402" i="8"/>
  <c r="AB402" i="8" s="1"/>
  <c r="DM402" i="8"/>
  <c r="AA402" i="8" s="1"/>
  <c r="DL402" i="8"/>
  <c r="Z402" i="8" s="1"/>
  <c r="DK402" i="8"/>
  <c r="Y402" i="8" s="1"/>
  <c r="DJ402" i="8"/>
  <c r="X402" i="8" s="1"/>
  <c r="DI402" i="8"/>
  <c r="W402" i="8" s="1"/>
  <c r="DH402" i="8"/>
  <c r="V402" i="8" s="1"/>
  <c r="DG402" i="8"/>
  <c r="U402" i="8" s="1"/>
  <c r="DF402" i="8"/>
  <c r="T402" i="8" s="1"/>
  <c r="DE402" i="8"/>
  <c r="S402" i="8" s="1"/>
  <c r="DD402" i="8"/>
  <c r="R402" i="8" s="1"/>
  <c r="DC402" i="8"/>
  <c r="Q402" i="8" s="1"/>
  <c r="DB402" i="8"/>
  <c r="P402" i="8" s="1"/>
  <c r="DA402" i="8"/>
  <c r="O402" i="8" s="1"/>
  <c r="CZ402" i="8"/>
  <c r="N402" i="8" s="1"/>
  <c r="DP401" i="8"/>
  <c r="AD401" i="8" s="1"/>
  <c r="DN401" i="8"/>
  <c r="AB401" i="8" s="1"/>
  <c r="DM401" i="8"/>
  <c r="AA401" i="8" s="1"/>
  <c r="DL401" i="8"/>
  <c r="Z401" i="8" s="1"/>
  <c r="DK401" i="8"/>
  <c r="Y401" i="8" s="1"/>
  <c r="DJ401" i="8"/>
  <c r="X401" i="8" s="1"/>
  <c r="DI401" i="8"/>
  <c r="W401" i="8" s="1"/>
  <c r="DH401" i="8"/>
  <c r="V401" i="8" s="1"/>
  <c r="DG401" i="8"/>
  <c r="U401" i="8" s="1"/>
  <c r="DF401" i="8"/>
  <c r="T401" i="8" s="1"/>
  <c r="DE401" i="8"/>
  <c r="S401" i="8" s="1"/>
  <c r="DD401" i="8"/>
  <c r="R401" i="8" s="1"/>
  <c r="DC401" i="8"/>
  <c r="Q401" i="8" s="1"/>
  <c r="DB401" i="8"/>
  <c r="P401" i="8" s="1"/>
  <c r="DA401" i="8"/>
  <c r="O401" i="8" s="1"/>
  <c r="CZ401" i="8"/>
  <c r="N401" i="8" s="1"/>
  <c r="DP400" i="8"/>
  <c r="AD400" i="8" s="1"/>
  <c r="DN400" i="8"/>
  <c r="AB400" i="8" s="1"/>
  <c r="DM400" i="8"/>
  <c r="AA400" i="8" s="1"/>
  <c r="DL400" i="8"/>
  <c r="Z400" i="8" s="1"/>
  <c r="DK400" i="8"/>
  <c r="Y400" i="8" s="1"/>
  <c r="DJ400" i="8"/>
  <c r="X400" i="8" s="1"/>
  <c r="DI400" i="8"/>
  <c r="W400" i="8" s="1"/>
  <c r="DH400" i="8"/>
  <c r="V400" i="8" s="1"/>
  <c r="DG400" i="8"/>
  <c r="U400" i="8" s="1"/>
  <c r="DF400" i="8"/>
  <c r="T400" i="8" s="1"/>
  <c r="DE400" i="8"/>
  <c r="S400" i="8" s="1"/>
  <c r="DD400" i="8"/>
  <c r="R400" i="8" s="1"/>
  <c r="DC400" i="8"/>
  <c r="Q400" i="8" s="1"/>
  <c r="DB400" i="8"/>
  <c r="P400" i="8" s="1"/>
  <c r="DA400" i="8"/>
  <c r="O400" i="8" s="1"/>
  <c r="CZ400" i="8"/>
  <c r="N400" i="8" s="1"/>
  <c r="DP399" i="8"/>
  <c r="AD399" i="8" s="1"/>
  <c r="DN399" i="8"/>
  <c r="AB399" i="8" s="1"/>
  <c r="DM399" i="8"/>
  <c r="AA399" i="8" s="1"/>
  <c r="DL399" i="8"/>
  <c r="Z399" i="8" s="1"/>
  <c r="DK399" i="8"/>
  <c r="Y399" i="8" s="1"/>
  <c r="DJ399" i="8"/>
  <c r="X399" i="8" s="1"/>
  <c r="DI399" i="8"/>
  <c r="W399" i="8" s="1"/>
  <c r="DH399" i="8"/>
  <c r="V399" i="8" s="1"/>
  <c r="DG399" i="8"/>
  <c r="U399" i="8" s="1"/>
  <c r="DF399" i="8"/>
  <c r="T399" i="8" s="1"/>
  <c r="DE399" i="8"/>
  <c r="S399" i="8" s="1"/>
  <c r="DD399" i="8"/>
  <c r="R399" i="8" s="1"/>
  <c r="DC399" i="8"/>
  <c r="Q399" i="8" s="1"/>
  <c r="DB399" i="8"/>
  <c r="P399" i="8" s="1"/>
  <c r="DA399" i="8"/>
  <c r="O399" i="8" s="1"/>
  <c r="CZ399" i="8"/>
  <c r="N399" i="8" s="1"/>
  <c r="DP398" i="8"/>
  <c r="AD398" i="8" s="1"/>
  <c r="DN398" i="8"/>
  <c r="AB398" i="8" s="1"/>
  <c r="DM398" i="8"/>
  <c r="AA398" i="8" s="1"/>
  <c r="DL398" i="8"/>
  <c r="Z398" i="8" s="1"/>
  <c r="DK398" i="8"/>
  <c r="Y398" i="8" s="1"/>
  <c r="DJ398" i="8"/>
  <c r="X398" i="8" s="1"/>
  <c r="DI398" i="8"/>
  <c r="W398" i="8" s="1"/>
  <c r="DH398" i="8"/>
  <c r="V398" i="8" s="1"/>
  <c r="DG398" i="8"/>
  <c r="U398" i="8" s="1"/>
  <c r="DF398" i="8"/>
  <c r="T398" i="8" s="1"/>
  <c r="DE398" i="8"/>
  <c r="S398" i="8" s="1"/>
  <c r="DD398" i="8"/>
  <c r="R398" i="8" s="1"/>
  <c r="DC398" i="8"/>
  <c r="Q398" i="8" s="1"/>
  <c r="DB398" i="8"/>
  <c r="P398" i="8" s="1"/>
  <c r="DA398" i="8"/>
  <c r="O398" i="8" s="1"/>
  <c r="CZ398" i="8"/>
  <c r="N398" i="8" s="1"/>
  <c r="DP397" i="8"/>
  <c r="AD397" i="8" s="1"/>
  <c r="DN397" i="8"/>
  <c r="AB397" i="8" s="1"/>
  <c r="DM397" i="8"/>
  <c r="AA397" i="8" s="1"/>
  <c r="DL397" i="8"/>
  <c r="Z397" i="8" s="1"/>
  <c r="DK397" i="8"/>
  <c r="Y397" i="8" s="1"/>
  <c r="DJ397" i="8"/>
  <c r="X397" i="8" s="1"/>
  <c r="DI397" i="8"/>
  <c r="W397" i="8" s="1"/>
  <c r="DH397" i="8"/>
  <c r="V397" i="8" s="1"/>
  <c r="DG397" i="8"/>
  <c r="U397" i="8" s="1"/>
  <c r="DF397" i="8"/>
  <c r="T397" i="8" s="1"/>
  <c r="DE397" i="8"/>
  <c r="S397" i="8" s="1"/>
  <c r="DD397" i="8"/>
  <c r="R397" i="8" s="1"/>
  <c r="DC397" i="8"/>
  <c r="Q397" i="8" s="1"/>
  <c r="DB397" i="8"/>
  <c r="P397" i="8" s="1"/>
  <c r="DA397" i="8"/>
  <c r="O397" i="8" s="1"/>
  <c r="CZ397" i="8"/>
  <c r="N397" i="8" s="1"/>
  <c r="DP396" i="8"/>
  <c r="AD396" i="8" s="1"/>
  <c r="DN396" i="8"/>
  <c r="AB396" i="8" s="1"/>
  <c r="DM396" i="8"/>
  <c r="AA396" i="8" s="1"/>
  <c r="DL396" i="8"/>
  <c r="Z396" i="8" s="1"/>
  <c r="DK396" i="8"/>
  <c r="Y396" i="8" s="1"/>
  <c r="DJ396" i="8"/>
  <c r="X396" i="8" s="1"/>
  <c r="DI396" i="8"/>
  <c r="W396" i="8" s="1"/>
  <c r="DH396" i="8"/>
  <c r="V396" i="8" s="1"/>
  <c r="DG396" i="8"/>
  <c r="U396" i="8" s="1"/>
  <c r="DF396" i="8"/>
  <c r="T396" i="8" s="1"/>
  <c r="DE396" i="8"/>
  <c r="S396" i="8" s="1"/>
  <c r="DD396" i="8"/>
  <c r="R396" i="8" s="1"/>
  <c r="DC396" i="8"/>
  <c r="Q396" i="8" s="1"/>
  <c r="DB396" i="8"/>
  <c r="P396" i="8" s="1"/>
  <c r="DA396" i="8"/>
  <c r="O396" i="8" s="1"/>
  <c r="CZ396" i="8"/>
  <c r="N396" i="8" s="1"/>
  <c r="DP395" i="8"/>
  <c r="AD395" i="8" s="1"/>
  <c r="DN395" i="8"/>
  <c r="AB395" i="8" s="1"/>
  <c r="DM395" i="8"/>
  <c r="AA395" i="8" s="1"/>
  <c r="DL395" i="8"/>
  <c r="Z395" i="8" s="1"/>
  <c r="DK395" i="8"/>
  <c r="Y395" i="8" s="1"/>
  <c r="DJ395" i="8"/>
  <c r="X395" i="8" s="1"/>
  <c r="DI395" i="8"/>
  <c r="W395" i="8" s="1"/>
  <c r="DH395" i="8"/>
  <c r="V395" i="8" s="1"/>
  <c r="DG395" i="8"/>
  <c r="U395" i="8" s="1"/>
  <c r="DF395" i="8"/>
  <c r="T395" i="8" s="1"/>
  <c r="DE395" i="8"/>
  <c r="S395" i="8" s="1"/>
  <c r="DD395" i="8"/>
  <c r="R395" i="8" s="1"/>
  <c r="DC395" i="8"/>
  <c r="Q395" i="8" s="1"/>
  <c r="DB395" i="8"/>
  <c r="P395" i="8" s="1"/>
  <c r="DA395" i="8"/>
  <c r="O395" i="8" s="1"/>
  <c r="CZ395" i="8"/>
  <c r="N395" i="8" s="1"/>
  <c r="DP394" i="8"/>
  <c r="AD394" i="8" s="1"/>
  <c r="DN394" i="8"/>
  <c r="AB394" i="8" s="1"/>
  <c r="DM394" i="8"/>
  <c r="AA394" i="8" s="1"/>
  <c r="DL394" i="8"/>
  <c r="Z394" i="8" s="1"/>
  <c r="DK394" i="8"/>
  <c r="Y394" i="8" s="1"/>
  <c r="DJ394" i="8"/>
  <c r="X394" i="8" s="1"/>
  <c r="DI394" i="8"/>
  <c r="W394" i="8" s="1"/>
  <c r="DH394" i="8"/>
  <c r="V394" i="8" s="1"/>
  <c r="DG394" i="8"/>
  <c r="U394" i="8" s="1"/>
  <c r="DF394" i="8"/>
  <c r="T394" i="8" s="1"/>
  <c r="DE394" i="8"/>
  <c r="S394" i="8" s="1"/>
  <c r="DD394" i="8"/>
  <c r="R394" i="8" s="1"/>
  <c r="DC394" i="8"/>
  <c r="Q394" i="8" s="1"/>
  <c r="DB394" i="8"/>
  <c r="P394" i="8" s="1"/>
  <c r="DA394" i="8"/>
  <c r="O394" i="8" s="1"/>
  <c r="CZ394" i="8"/>
  <c r="N394" i="8" s="1"/>
  <c r="DP393" i="8"/>
  <c r="AD393" i="8" s="1"/>
  <c r="DN393" i="8"/>
  <c r="AB393" i="8" s="1"/>
  <c r="DM393" i="8"/>
  <c r="AA393" i="8" s="1"/>
  <c r="DL393" i="8"/>
  <c r="Z393" i="8" s="1"/>
  <c r="DK393" i="8"/>
  <c r="Y393" i="8" s="1"/>
  <c r="DJ393" i="8"/>
  <c r="X393" i="8" s="1"/>
  <c r="DI393" i="8"/>
  <c r="W393" i="8" s="1"/>
  <c r="DH393" i="8"/>
  <c r="V393" i="8" s="1"/>
  <c r="DG393" i="8"/>
  <c r="U393" i="8" s="1"/>
  <c r="DF393" i="8"/>
  <c r="T393" i="8" s="1"/>
  <c r="DE393" i="8"/>
  <c r="S393" i="8" s="1"/>
  <c r="DD393" i="8"/>
  <c r="R393" i="8" s="1"/>
  <c r="DC393" i="8"/>
  <c r="Q393" i="8" s="1"/>
  <c r="DB393" i="8"/>
  <c r="P393" i="8" s="1"/>
  <c r="DA393" i="8"/>
  <c r="O393" i="8" s="1"/>
  <c r="CZ393" i="8"/>
  <c r="N393" i="8" s="1"/>
  <c r="DP392" i="8"/>
  <c r="AD392" i="8" s="1"/>
  <c r="DN392" i="8"/>
  <c r="AB392" i="8" s="1"/>
  <c r="DM392" i="8"/>
  <c r="AA392" i="8" s="1"/>
  <c r="DL392" i="8"/>
  <c r="Z392" i="8" s="1"/>
  <c r="DK392" i="8"/>
  <c r="Y392" i="8" s="1"/>
  <c r="DJ392" i="8"/>
  <c r="X392" i="8" s="1"/>
  <c r="DI392" i="8"/>
  <c r="W392" i="8" s="1"/>
  <c r="DH392" i="8"/>
  <c r="V392" i="8" s="1"/>
  <c r="DG392" i="8"/>
  <c r="U392" i="8" s="1"/>
  <c r="DF392" i="8"/>
  <c r="T392" i="8" s="1"/>
  <c r="DE392" i="8"/>
  <c r="S392" i="8" s="1"/>
  <c r="DD392" i="8"/>
  <c r="R392" i="8" s="1"/>
  <c r="DC392" i="8"/>
  <c r="Q392" i="8" s="1"/>
  <c r="DB392" i="8"/>
  <c r="P392" i="8" s="1"/>
  <c r="DA392" i="8"/>
  <c r="O392" i="8" s="1"/>
  <c r="CZ392" i="8"/>
  <c r="N392" i="8" s="1"/>
  <c r="DP391" i="8"/>
  <c r="AD391" i="8" s="1"/>
  <c r="DN391" i="8"/>
  <c r="AB391" i="8" s="1"/>
  <c r="DM391" i="8"/>
  <c r="AA391" i="8" s="1"/>
  <c r="DL391" i="8"/>
  <c r="Z391" i="8" s="1"/>
  <c r="DK391" i="8"/>
  <c r="Y391" i="8" s="1"/>
  <c r="DJ391" i="8"/>
  <c r="X391" i="8" s="1"/>
  <c r="DI391" i="8"/>
  <c r="W391" i="8" s="1"/>
  <c r="DH391" i="8"/>
  <c r="V391" i="8" s="1"/>
  <c r="DG391" i="8"/>
  <c r="U391" i="8" s="1"/>
  <c r="DF391" i="8"/>
  <c r="T391" i="8" s="1"/>
  <c r="DE391" i="8"/>
  <c r="S391" i="8" s="1"/>
  <c r="DD391" i="8"/>
  <c r="R391" i="8" s="1"/>
  <c r="DC391" i="8"/>
  <c r="Q391" i="8" s="1"/>
  <c r="DB391" i="8"/>
  <c r="P391" i="8" s="1"/>
  <c r="DA391" i="8"/>
  <c r="O391" i="8" s="1"/>
  <c r="CZ391" i="8"/>
  <c r="N391" i="8" s="1"/>
  <c r="DP390" i="8"/>
  <c r="AD390" i="8" s="1"/>
  <c r="DN390" i="8"/>
  <c r="AB390" i="8" s="1"/>
  <c r="DM390" i="8"/>
  <c r="AA390" i="8" s="1"/>
  <c r="DL390" i="8"/>
  <c r="Z390" i="8" s="1"/>
  <c r="DK390" i="8"/>
  <c r="Y390" i="8" s="1"/>
  <c r="DJ390" i="8"/>
  <c r="X390" i="8" s="1"/>
  <c r="DI390" i="8"/>
  <c r="W390" i="8" s="1"/>
  <c r="DH390" i="8"/>
  <c r="V390" i="8" s="1"/>
  <c r="DG390" i="8"/>
  <c r="U390" i="8" s="1"/>
  <c r="DF390" i="8"/>
  <c r="T390" i="8" s="1"/>
  <c r="DE390" i="8"/>
  <c r="S390" i="8" s="1"/>
  <c r="DD390" i="8"/>
  <c r="R390" i="8" s="1"/>
  <c r="DC390" i="8"/>
  <c r="Q390" i="8" s="1"/>
  <c r="DB390" i="8"/>
  <c r="P390" i="8" s="1"/>
  <c r="DA390" i="8"/>
  <c r="O390" i="8" s="1"/>
  <c r="CZ390" i="8"/>
  <c r="N390" i="8" s="1"/>
  <c r="DP389" i="8"/>
  <c r="AD389" i="8" s="1"/>
  <c r="DN389" i="8"/>
  <c r="AB389" i="8" s="1"/>
  <c r="DM389" i="8"/>
  <c r="AA389" i="8" s="1"/>
  <c r="DL389" i="8"/>
  <c r="Z389" i="8" s="1"/>
  <c r="DK389" i="8"/>
  <c r="Y389" i="8" s="1"/>
  <c r="DJ389" i="8"/>
  <c r="X389" i="8" s="1"/>
  <c r="DI389" i="8"/>
  <c r="W389" i="8" s="1"/>
  <c r="DH389" i="8"/>
  <c r="V389" i="8" s="1"/>
  <c r="DG389" i="8"/>
  <c r="U389" i="8" s="1"/>
  <c r="DF389" i="8"/>
  <c r="T389" i="8" s="1"/>
  <c r="DE389" i="8"/>
  <c r="S389" i="8" s="1"/>
  <c r="DD389" i="8"/>
  <c r="R389" i="8" s="1"/>
  <c r="DC389" i="8"/>
  <c r="Q389" i="8" s="1"/>
  <c r="DB389" i="8"/>
  <c r="P389" i="8" s="1"/>
  <c r="DA389" i="8"/>
  <c r="O389" i="8" s="1"/>
  <c r="CZ389" i="8"/>
  <c r="N389" i="8" s="1"/>
  <c r="DP388" i="8"/>
  <c r="AD388" i="8" s="1"/>
  <c r="DN388" i="8"/>
  <c r="AB388" i="8" s="1"/>
  <c r="DM388" i="8"/>
  <c r="AA388" i="8" s="1"/>
  <c r="DL388" i="8"/>
  <c r="Z388" i="8" s="1"/>
  <c r="DK388" i="8"/>
  <c r="Y388" i="8" s="1"/>
  <c r="DJ388" i="8"/>
  <c r="X388" i="8" s="1"/>
  <c r="DI388" i="8"/>
  <c r="W388" i="8" s="1"/>
  <c r="DH388" i="8"/>
  <c r="V388" i="8" s="1"/>
  <c r="DG388" i="8"/>
  <c r="U388" i="8" s="1"/>
  <c r="DF388" i="8"/>
  <c r="T388" i="8" s="1"/>
  <c r="DE388" i="8"/>
  <c r="S388" i="8" s="1"/>
  <c r="DD388" i="8"/>
  <c r="R388" i="8" s="1"/>
  <c r="DC388" i="8"/>
  <c r="Q388" i="8" s="1"/>
  <c r="DB388" i="8"/>
  <c r="P388" i="8" s="1"/>
  <c r="DA388" i="8"/>
  <c r="O388" i="8" s="1"/>
  <c r="CZ388" i="8"/>
  <c r="N388" i="8" s="1"/>
  <c r="DP387" i="8"/>
  <c r="AD387" i="8" s="1"/>
  <c r="DN387" i="8"/>
  <c r="AB387" i="8" s="1"/>
  <c r="DM387" i="8"/>
  <c r="AA387" i="8" s="1"/>
  <c r="DL387" i="8"/>
  <c r="Z387" i="8" s="1"/>
  <c r="DK387" i="8"/>
  <c r="Y387" i="8" s="1"/>
  <c r="DJ387" i="8"/>
  <c r="X387" i="8" s="1"/>
  <c r="DI387" i="8"/>
  <c r="W387" i="8" s="1"/>
  <c r="DH387" i="8"/>
  <c r="V387" i="8" s="1"/>
  <c r="DG387" i="8"/>
  <c r="U387" i="8" s="1"/>
  <c r="DF387" i="8"/>
  <c r="T387" i="8" s="1"/>
  <c r="DE387" i="8"/>
  <c r="S387" i="8" s="1"/>
  <c r="DD387" i="8"/>
  <c r="R387" i="8" s="1"/>
  <c r="DC387" i="8"/>
  <c r="Q387" i="8" s="1"/>
  <c r="DB387" i="8"/>
  <c r="P387" i="8" s="1"/>
  <c r="DA387" i="8"/>
  <c r="O387" i="8" s="1"/>
  <c r="CZ387" i="8"/>
  <c r="N387" i="8" s="1"/>
  <c r="DP386" i="8"/>
  <c r="AD386" i="8" s="1"/>
  <c r="DN386" i="8"/>
  <c r="AB386" i="8" s="1"/>
  <c r="DM386" i="8"/>
  <c r="AA386" i="8" s="1"/>
  <c r="DL386" i="8"/>
  <c r="Z386" i="8" s="1"/>
  <c r="DK386" i="8"/>
  <c r="Y386" i="8" s="1"/>
  <c r="DJ386" i="8"/>
  <c r="X386" i="8" s="1"/>
  <c r="DI386" i="8"/>
  <c r="W386" i="8" s="1"/>
  <c r="DH386" i="8"/>
  <c r="V386" i="8" s="1"/>
  <c r="DG386" i="8"/>
  <c r="U386" i="8" s="1"/>
  <c r="DF386" i="8"/>
  <c r="T386" i="8" s="1"/>
  <c r="DE386" i="8"/>
  <c r="S386" i="8" s="1"/>
  <c r="DD386" i="8"/>
  <c r="R386" i="8" s="1"/>
  <c r="DC386" i="8"/>
  <c r="Q386" i="8" s="1"/>
  <c r="DB386" i="8"/>
  <c r="P386" i="8" s="1"/>
  <c r="DA386" i="8"/>
  <c r="O386" i="8" s="1"/>
  <c r="CZ386" i="8"/>
  <c r="N386" i="8" s="1"/>
  <c r="DP385" i="8"/>
  <c r="AD385" i="8" s="1"/>
  <c r="DN385" i="8"/>
  <c r="AB385" i="8" s="1"/>
  <c r="DM385" i="8"/>
  <c r="AA385" i="8" s="1"/>
  <c r="DL385" i="8"/>
  <c r="Z385" i="8" s="1"/>
  <c r="DK385" i="8"/>
  <c r="Y385" i="8" s="1"/>
  <c r="DJ385" i="8"/>
  <c r="X385" i="8" s="1"/>
  <c r="DI385" i="8"/>
  <c r="W385" i="8" s="1"/>
  <c r="DH385" i="8"/>
  <c r="V385" i="8" s="1"/>
  <c r="DG385" i="8"/>
  <c r="U385" i="8" s="1"/>
  <c r="DF385" i="8"/>
  <c r="T385" i="8" s="1"/>
  <c r="DE385" i="8"/>
  <c r="S385" i="8" s="1"/>
  <c r="DD385" i="8"/>
  <c r="R385" i="8" s="1"/>
  <c r="DC385" i="8"/>
  <c r="Q385" i="8" s="1"/>
  <c r="DB385" i="8"/>
  <c r="P385" i="8" s="1"/>
  <c r="DA385" i="8"/>
  <c r="O385" i="8" s="1"/>
  <c r="CZ385" i="8"/>
  <c r="N385" i="8" s="1"/>
  <c r="DP384" i="8"/>
  <c r="AD384" i="8" s="1"/>
  <c r="DN384" i="8"/>
  <c r="AB384" i="8" s="1"/>
  <c r="DM384" i="8"/>
  <c r="AA384" i="8" s="1"/>
  <c r="DL384" i="8"/>
  <c r="Z384" i="8" s="1"/>
  <c r="DK384" i="8"/>
  <c r="Y384" i="8" s="1"/>
  <c r="DJ384" i="8"/>
  <c r="X384" i="8" s="1"/>
  <c r="DI384" i="8"/>
  <c r="W384" i="8" s="1"/>
  <c r="DH384" i="8"/>
  <c r="V384" i="8" s="1"/>
  <c r="DG384" i="8"/>
  <c r="U384" i="8" s="1"/>
  <c r="DF384" i="8"/>
  <c r="T384" i="8" s="1"/>
  <c r="DE384" i="8"/>
  <c r="S384" i="8" s="1"/>
  <c r="DD384" i="8"/>
  <c r="R384" i="8" s="1"/>
  <c r="DC384" i="8"/>
  <c r="Q384" i="8" s="1"/>
  <c r="DB384" i="8"/>
  <c r="P384" i="8" s="1"/>
  <c r="DA384" i="8"/>
  <c r="O384" i="8" s="1"/>
  <c r="CZ384" i="8"/>
  <c r="N384" i="8" s="1"/>
  <c r="DP383" i="8"/>
  <c r="AD383" i="8" s="1"/>
  <c r="DN383" i="8"/>
  <c r="AB383" i="8" s="1"/>
  <c r="DM383" i="8"/>
  <c r="AA383" i="8" s="1"/>
  <c r="DL383" i="8"/>
  <c r="Z383" i="8" s="1"/>
  <c r="DK383" i="8"/>
  <c r="Y383" i="8" s="1"/>
  <c r="DJ383" i="8"/>
  <c r="X383" i="8" s="1"/>
  <c r="DI383" i="8"/>
  <c r="W383" i="8" s="1"/>
  <c r="DH383" i="8"/>
  <c r="V383" i="8" s="1"/>
  <c r="DG383" i="8"/>
  <c r="U383" i="8" s="1"/>
  <c r="DF383" i="8"/>
  <c r="T383" i="8" s="1"/>
  <c r="DE383" i="8"/>
  <c r="S383" i="8" s="1"/>
  <c r="DD383" i="8"/>
  <c r="R383" i="8" s="1"/>
  <c r="DC383" i="8"/>
  <c r="Q383" i="8" s="1"/>
  <c r="DB383" i="8"/>
  <c r="P383" i="8" s="1"/>
  <c r="DA383" i="8"/>
  <c r="O383" i="8" s="1"/>
  <c r="CZ383" i="8"/>
  <c r="N383" i="8" s="1"/>
  <c r="DP382" i="8"/>
  <c r="AD382" i="8" s="1"/>
  <c r="DN382" i="8"/>
  <c r="AB382" i="8" s="1"/>
  <c r="DM382" i="8"/>
  <c r="AA382" i="8" s="1"/>
  <c r="DL382" i="8"/>
  <c r="Z382" i="8" s="1"/>
  <c r="DK382" i="8"/>
  <c r="Y382" i="8" s="1"/>
  <c r="DJ382" i="8"/>
  <c r="X382" i="8" s="1"/>
  <c r="DI382" i="8"/>
  <c r="W382" i="8" s="1"/>
  <c r="DH382" i="8"/>
  <c r="V382" i="8" s="1"/>
  <c r="DG382" i="8"/>
  <c r="U382" i="8" s="1"/>
  <c r="DF382" i="8"/>
  <c r="T382" i="8" s="1"/>
  <c r="DE382" i="8"/>
  <c r="S382" i="8" s="1"/>
  <c r="DD382" i="8"/>
  <c r="R382" i="8" s="1"/>
  <c r="DC382" i="8"/>
  <c r="Q382" i="8" s="1"/>
  <c r="DB382" i="8"/>
  <c r="P382" i="8" s="1"/>
  <c r="DA382" i="8"/>
  <c r="O382" i="8" s="1"/>
  <c r="CZ382" i="8"/>
  <c r="N382" i="8" s="1"/>
  <c r="DP381" i="8"/>
  <c r="AD381" i="8" s="1"/>
  <c r="DN381" i="8"/>
  <c r="AB381" i="8" s="1"/>
  <c r="DM381" i="8"/>
  <c r="AA381" i="8" s="1"/>
  <c r="DL381" i="8"/>
  <c r="Z381" i="8" s="1"/>
  <c r="DK381" i="8"/>
  <c r="Y381" i="8" s="1"/>
  <c r="DJ381" i="8"/>
  <c r="X381" i="8" s="1"/>
  <c r="DI381" i="8"/>
  <c r="W381" i="8" s="1"/>
  <c r="DH381" i="8"/>
  <c r="V381" i="8" s="1"/>
  <c r="DG381" i="8"/>
  <c r="U381" i="8" s="1"/>
  <c r="DF381" i="8"/>
  <c r="T381" i="8" s="1"/>
  <c r="DE381" i="8"/>
  <c r="S381" i="8" s="1"/>
  <c r="DD381" i="8"/>
  <c r="R381" i="8" s="1"/>
  <c r="DC381" i="8"/>
  <c r="Q381" i="8" s="1"/>
  <c r="DB381" i="8"/>
  <c r="P381" i="8" s="1"/>
  <c r="DA381" i="8"/>
  <c r="O381" i="8" s="1"/>
  <c r="CZ381" i="8"/>
  <c r="N381" i="8" s="1"/>
  <c r="DP380" i="8"/>
  <c r="AD380" i="8" s="1"/>
  <c r="DN380" i="8"/>
  <c r="AB380" i="8" s="1"/>
  <c r="DM380" i="8"/>
  <c r="AA380" i="8" s="1"/>
  <c r="DL380" i="8"/>
  <c r="Z380" i="8" s="1"/>
  <c r="DK380" i="8"/>
  <c r="Y380" i="8" s="1"/>
  <c r="DJ380" i="8"/>
  <c r="X380" i="8" s="1"/>
  <c r="DI380" i="8"/>
  <c r="W380" i="8" s="1"/>
  <c r="DH380" i="8"/>
  <c r="V380" i="8" s="1"/>
  <c r="DG380" i="8"/>
  <c r="U380" i="8" s="1"/>
  <c r="DF380" i="8"/>
  <c r="T380" i="8" s="1"/>
  <c r="DE380" i="8"/>
  <c r="S380" i="8" s="1"/>
  <c r="DD380" i="8"/>
  <c r="R380" i="8" s="1"/>
  <c r="DC380" i="8"/>
  <c r="Q380" i="8" s="1"/>
  <c r="DB380" i="8"/>
  <c r="P380" i="8" s="1"/>
  <c r="DA380" i="8"/>
  <c r="O380" i="8" s="1"/>
  <c r="CZ380" i="8"/>
  <c r="N380" i="8" s="1"/>
  <c r="DP379" i="8"/>
  <c r="AD379" i="8" s="1"/>
  <c r="DN379" i="8"/>
  <c r="AB379" i="8" s="1"/>
  <c r="DM379" i="8"/>
  <c r="AA379" i="8" s="1"/>
  <c r="DL379" i="8"/>
  <c r="Z379" i="8" s="1"/>
  <c r="DK379" i="8"/>
  <c r="Y379" i="8" s="1"/>
  <c r="DJ379" i="8"/>
  <c r="X379" i="8" s="1"/>
  <c r="DI379" i="8"/>
  <c r="W379" i="8" s="1"/>
  <c r="DH379" i="8"/>
  <c r="V379" i="8" s="1"/>
  <c r="DG379" i="8"/>
  <c r="U379" i="8" s="1"/>
  <c r="DF379" i="8"/>
  <c r="T379" i="8" s="1"/>
  <c r="DE379" i="8"/>
  <c r="S379" i="8" s="1"/>
  <c r="DD379" i="8"/>
  <c r="R379" i="8" s="1"/>
  <c r="DC379" i="8"/>
  <c r="Q379" i="8" s="1"/>
  <c r="DB379" i="8"/>
  <c r="P379" i="8" s="1"/>
  <c r="DA379" i="8"/>
  <c r="O379" i="8" s="1"/>
  <c r="CZ379" i="8"/>
  <c r="N379" i="8" s="1"/>
  <c r="DP378" i="8"/>
  <c r="AD378" i="8" s="1"/>
  <c r="DN378" i="8"/>
  <c r="AB378" i="8" s="1"/>
  <c r="DM378" i="8"/>
  <c r="AA378" i="8" s="1"/>
  <c r="DL378" i="8"/>
  <c r="Z378" i="8" s="1"/>
  <c r="DK378" i="8"/>
  <c r="Y378" i="8" s="1"/>
  <c r="DJ378" i="8"/>
  <c r="X378" i="8" s="1"/>
  <c r="DI378" i="8"/>
  <c r="W378" i="8" s="1"/>
  <c r="DH378" i="8"/>
  <c r="V378" i="8" s="1"/>
  <c r="DG378" i="8"/>
  <c r="U378" i="8" s="1"/>
  <c r="DF378" i="8"/>
  <c r="T378" i="8" s="1"/>
  <c r="DE378" i="8"/>
  <c r="S378" i="8" s="1"/>
  <c r="DD378" i="8"/>
  <c r="R378" i="8" s="1"/>
  <c r="DC378" i="8"/>
  <c r="Q378" i="8" s="1"/>
  <c r="DB378" i="8"/>
  <c r="P378" i="8" s="1"/>
  <c r="DA378" i="8"/>
  <c r="O378" i="8" s="1"/>
  <c r="CZ378" i="8"/>
  <c r="N378" i="8" s="1"/>
  <c r="DP377" i="8"/>
  <c r="AD377" i="8" s="1"/>
  <c r="DN377" i="8"/>
  <c r="AB377" i="8" s="1"/>
  <c r="DM377" i="8"/>
  <c r="AA377" i="8" s="1"/>
  <c r="DL377" i="8"/>
  <c r="Z377" i="8" s="1"/>
  <c r="DK377" i="8"/>
  <c r="Y377" i="8" s="1"/>
  <c r="DJ377" i="8"/>
  <c r="X377" i="8" s="1"/>
  <c r="DI377" i="8"/>
  <c r="W377" i="8" s="1"/>
  <c r="DH377" i="8"/>
  <c r="V377" i="8" s="1"/>
  <c r="DG377" i="8"/>
  <c r="U377" i="8" s="1"/>
  <c r="DF377" i="8"/>
  <c r="T377" i="8" s="1"/>
  <c r="DE377" i="8"/>
  <c r="S377" i="8" s="1"/>
  <c r="DD377" i="8"/>
  <c r="R377" i="8" s="1"/>
  <c r="DC377" i="8"/>
  <c r="Q377" i="8" s="1"/>
  <c r="DB377" i="8"/>
  <c r="P377" i="8" s="1"/>
  <c r="DA377" i="8"/>
  <c r="O377" i="8" s="1"/>
  <c r="CZ377" i="8"/>
  <c r="N377" i="8" s="1"/>
  <c r="DP376" i="8"/>
  <c r="AD376" i="8" s="1"/>
  <c r="DN376" i="8"/>
  <c r="AB376" i="8" s="1"/>
  <c r="DM376" i="8"/>
  <c r="AA376" i="8" s="1"/>
  <c r="DL376" i="8"/>
  <c r="Z376" i="8" s="1"/>
  <c r="DK376" i="8"/>
  <c r="Y376" i="8" s="1"/>
  <c r="DJ376" i="8"/>
  <c r="X376" i="8" s="1"/>
  <c r="DI376" i="8"/>
  <c r="W376" i="8" s="1"/>
  <c r="DH376" i="8"/>
  <c r="V376" i="8" s="1"/>
  <c r="DG376" i="8"/>
  <c r="U376" i="8" s="1"/>
  <c r="DF376" i="8"/>
  <c r="T376" i="8" s="1"/>
  <c r="DE376" i="8"/>
  <c r="S376" i="8" s="1"/>
  <c r="DD376" i="8"/>
  <c r="R376" i="8" s="1"/>
  <c r="DC376" i="8"/>
  <c r="Q376" i="8" s="1"/>
  <c r="DB376" i="8"/>
  <c r="P376" i="8" s="1"/>
  <c r="DA376" i="8"/>
  <c r="O376" i="8" s="1"/>
  <c r="CZ376" i="8"/>
  <c r="N376" i="8" s="1"/>
  <c r="DP375" i="8"/>
  <c r="AD375" i="8" s="1"/>
  <c r="DN375" i="8"/>
  <c r="AB375" i="8" s="1"/>
  <c r="DM375" i="8"/>
  <c r="AA375" i="8" s="1"/>
  <c r="DL375" i="8"/>
  <c r="Z375" i="8" s="1"/>
  <c r="DK375" i="8"/>
  <c r="Y375" i="8" s="1"/>
  <c r="DJ375" i="8"/>
  <c r="X375" i="8" s="1"/>
  <c r="DI375" i="8"/>
  <c r="W375" i="8" s="1"/>
  <c r="DH375" i="8"/>
  <c r="V375" i="8" s="1"/>
  <c r="DG375" i="8"/>
  <c r="U375" i="8" s="1"/>
  <c r="DF375" i="8"/>
  <c r="T375" i="8" s="1"/>
  <c r="DE375" i="8"/>
  <c r="S375" i="8" s="1"/>
  <c r="DD375" i="8"/>
  <c r="R375" i="8" s="1"/>
  <c r="DC375" i="8"/>
  <c r="Q375" i="8" s="1"/>
  <c r="DB375" i="8"/>
  <c r="P375" i="8" s="1"/>
  <c r="DA375" i="8"/>
  <c r="O375" i="8" s="1"/>
  <c r="CZ375" i="8"/>
  <c r="N375" i="8" s="1"/>
  <c r="DP374" i="8"/>
  <c r="AD374" i="8" s="1"/>
  <c r="DN374" i="8"/>
  <c r="AB374" i="8" s="1"/>
  <c r="DM374" i="8"/>
  <c r="AA374" i="8" s="1"/>
  <c r="DL374" i="8"/>
  <c r="Z374" i="8" s="1"/>
  <c r="DK374" i="8"/>
  <c r="Y374" i="8" s="1"/>
  <c r="DJ374" i="8"/>
  <c r="X374" i="8" s="1"/>
  <c r="DI374" i="8"/>
  <c r="W374" i="8" s="1"/>
  <c r="DH374" i="8"/>
  <c r="V374" i="8" s="1"/>
  <c r="DG374" i="8"/>
  <c r="U374" i="8" s="1"/>
  <c r="DF374" i="8"/>
  <c r="T374" i="8" s="1"/>
  <c r="DE374" i="8"/>
  <c r="S374" i="8" s="1"/>
  <c r="DD374" i="8"/>
  <c r="R374" i="8" s="1"/>
  <c r="DC374" i="8"/>
  <c r="Q374" i="8" s="1"/>
  <c r="DB374" i="8"/>
  <c r="P374" i="8" s="1"/>
  <c r="DA374" i="8"/>
  <c r="O374" i="8" s="1"/>
  <c r="CZ374" i="8"/>
  <c r="N374" i="8" s="1"/>
  <c r="DP373" i="8"/>
  <c r="AD373" i="8" s="1"/>
  <c r="DN373" i="8"/>
  <c r="AB373" i="8" s="1"/>
  <c r="DM373" i="8"/>
  <c r="AA373" i="8" s="1"/>
  <c r="DL373" i="8"/>
  <c r="Z373" i="8" s="1"/>
  <c r="DK373" i="8"/>
  <c r="Y373" i="8" s="1"/>
  <c r="DJ373" i="8"/>
  <c r="X373" i="8" s="1"/>
  <c r="DI373" i="8"/>
  <c r="W373" i="8" s="1"/>
  <c r="DH373" i="8"/>
  <c r="V373" i="8" s="1"/>
  <c r="DG373" i="8"/>
  <c r="U373" i="8" s="1"/>
  <c r="DF373" i="8"/>
  <c r="T373" i="8" s="1"/>
  <c r="DE373" i="8"/>
  <c r="S373" i="8" s="1"/>
  <c r="DD373" i="8"/>
  <c r="R373" i="8" s="1"/>
  <c r="DC373" i="8"/>
  <c r="Q373" i="8" s="1"/>
  <c r="DB373" i="8"/>
  <c r="P373" i="8" s="1"/>
  <c r="DA373" i="8"/>
  <c r="O373" i="8" s="1"/>
  <c r="CZ373" i="8"/>
  <c r="N373" i="8" s="1"/>
  <c r="DP372" i="8"/>
  <c r="AD372" i="8" s="1"/>
  <c r="DN372" i="8"/>
  <c r="AB372" i="8" s="1"/>
  <c r="DM372" i="8"/>
  <c r="AA372" i="8" s="1"/>
  <c r="DL372" i="8"/>
  <c r="Z372" i="8" s="1"/>
  <c r="DK372" i="8"/>
  <c r="Y372" i="8" s="1"/>
  <c r="DJ372" i="8"/>
  <c r="X372" i="8" s="1"/>
  <c r="DI372" i="8"/>
  <c r="W372" i="8" s="1"/>
  <c r="DH372" i="8"/>
  <c r="V372" i="8" s="1"/>
  <c r="DG372" i="8"/>
  <c r="U372" i="8" s="1"/>
  <c r="DF372" i="8"/>
  <c r="T372" i="8" s="1"/>
  <c r="DE372" i="8"/>
  <c r="S372" i="8" s="1"/>
  <c r="DD372" i="8"/>
  <c r="R372" i="8" s="1"/>
  <c r="DC372" i="8"/>
  <c r="Q372" i="8" s="1"/>
  <c r="DB372" i="8"/>
  <c r="P372" i="8" s="1"/>
  <c r="DA372" i="8"/>
  <c r="O372" i="8" s="1"/>
  <c r="CZ372" i="8"/>
  <c r="N372" i="8" s="1"/>
  <c r="DP371" i="8"/>
  <c r="AD371" i="8" s="1"/>
  <c r="DN371" i="8"/>
  <c r="AB371" i="8" s="1"/>
  <c r="DM371" i="8"/>
  <c r="AA371" i="8" s="1"/>
  <c r="DL371" i="8"/>
  <c r="Z371" i="8" s="1"/>
  <c r="DK371" i="8"/>
  <c r="Y371" i="8" s="1"/>
  <c r="DJ371" i="8"/>
  <c r="X371" i="8" s="1"/>
  <c r="DI371" i="8"/>
  <c r="W371" i="8" s="1"/>
  <c r="DH371" i="8"/>
  <c r="V371" i="8" s="1"/>
  <c r="DG371" i="8"/>
  <c r="U371" i="8" s="1"/>
  <c r="DF371" i="8"/>
  <c r="T371" i="8" s="1"/>
  <c r="DE371" i="8"/>
  <c r="S371" i="8" s="1"/>
  <c r="DD371" i="8"/>
  <c r="R371" i="8" s="1"/>
  <c r="DC371" i="8"/>
  <c r="Q371" i="8" s="1"/>
  <c r="DB371" i="8"/>
  <c r="P371" i="8" s="1"/>
  <c r="DA371" i="8"/>
  <c r="O371" i="8" s="1"/>
  <c r="CZ371" i="8"/>
  <c r="N371" i="8" s="1"/>
  <c r="DP370" i="8"/>
  <c r="AD370" i="8" s="1"/>
  <c r="DN370" i="8"/>
  <c r="AB370" i="8" s="1"/>
  <c r="DM370" i="8"/>
  <c r="AA370" i="8" s="1"/>
  <c r="DL370" i="8"/>
  <c r="Z370" i="8" s="1"/>
  <c r="DK370" i="8"/>
  <c r="Y370" i="8" s="1"/>
  <c r="DJ370" i="8"/>
  <c r="X370" i="8" s="1"/>
  <c r="DI370" i="8"/>
  <c r="W370" i="8" s="1"/>
  <c r="DH370" i="8"/>
  <c r="V370" i="8" s="1"/>
  <c r="DG370" i="8"/>
  <c r="U370" i="8" s="1"/>
  <c r="DF370" i="8"/>
  <c r="T370" i="8" s="1"/>
  <c r="DE370" i="8"/>
  <c r="S370" i="8" s="1"/>
  <c r="DD370" i="8"/>
  <c r="R370" i="8" s="1"/>
  <c r="DC370" i="8"/>
  <c r="Q370" i="8" s="1"/>
  <c r="DB370" i="8"/>
  <c r="P370" i="8" s="1"/>
  <c r="DA370" i="8"/>
  <c r="O370" i="8" s="1"/>
  <c r="CZ370" i="8"/>
  <c r="N370" i="8" s="1"/>
  <c r="DP369" i="8"/>
  <c r="AD369" i="8" s="1"/>
  <c r="DN369" i="8"/>
  <c r="AB369" i="8" s="1"/>
  <c r="DM369" i="8"/>
  <c r="AA369" i="8" s="1"/>
  <c r="DL369" i="8"/>
  <c r="Z369" i="8" s="1"/>
  <c r="DK369" i="8"/>
  <c r="Y369" i="8" s="1"/>
  <c r="DJ369" i="8"/>
  <c r="X369" i="8" s="1"/>
  <c r="DI369" i="8"/>
  <c r="W369" i="8" s="1"/>
  <c r="DH369" i="8"/>
  <c r="V369" i="8" s="1"/>
  <c r="DG369" i="8"/>
  <c r="U369" i="8" s="1"/>
  <c r="DF369" i="8"/>
  <c r="T369" i="8" s="1"/>
  <c r="DE369" i="8"/>
  <c r="S369" i="8" s="1"/>
  <c r="DD369" i="8"/>
  <c r="R369" i="8" s="1"/>
  <c r="DC369" i="8"/>
  <c r="Q369" i="8" s="1"/>
  <c r="DB369" i="8"/>
  <c r="P369" i="8" s="1"/>
  <c r="DA369" i="8"/>
  <c r="O369" i="8" s="1"/>
  <c r="CZ369" i="8"/>
  <c r="N369" i="8" s="1"/>
  <c r="DP368" i="8"/>
  <c r="AD368" i="8" s="1"/>
  <c r="DN368" i="8"/>
  <c r="AB368" i="8" s="1"/>
  <c r="DM368" i="8"/>
  <c r="AA368" i="8" s="1"/>
  <c r="DL368" i="8"/>
  <c r="Z368" i="8" s="1"/>
  <c r="DK368" i="8"/>
  <c r="Y368" i="8" s="1"/>
  <c r="DJ368" i="8"/>
  <c r="X368" i="8" s="1"/>
  <c r="DI368" i="8"/>
  <c r="W368" i="8" s="1"/>
  <c r="DH368" i="8"/>
  <c r="V368" i="8" s="1"/>
  <c r="DG368" i="8"/>
  <c r="U368" i="8" s="1"/>
  <c r="DF368" i="8"/>
  <c r="T368" i="8" s="1"/>
  <c r="DE368" i="8"/>
  <c r="S368" i="8" s="1"/>
  <c r="DD368" i="8"/>
  <c r="R368" i="8" s="1"/>
  <c r="DC368" i="8"/>
  <c r="Q368" i="8" s="1"/>
  <c r="DB368" i="8"/>
  <c r="P368" i="8" s="1"/>
  <c r="DA368" i="8"/>
  <c r="O368" i="8" s="1"/>
  <c r="CZ368" i="8"/>
  <c r="N368" i="8" s="1"/>
  <c r="DP367" i="8"/>
  <c r="AD367" i="8" s="1"/>
  <c r="DN367" i="8"/>
  <c r="AB367" i="8" s="1"/>
  <c r="DM367" i="8"/>
  <c r="AA367" i="8" s="1"/>
  <c r="DL367" i="8"/>
  <c r="Z367" i="8" s="1"/>
  <c r="DK367" i="8"/>
  <c r="Y367" i="8" s="1"/>
  <c r="DJ367" i="8"/>
  <c r="X367" i="8" s="1"/>
  <c r="DI367" i="8"/>
  <c r="W367" i="8" s="1"/>
  <c r="DH367" i="8"/>
  <c r="V367" i="8" s="1"/>
  <c r="DG367" i="8"/>
  <c r="U367" i="8" s="1"/>
  <c r="DF367" i="8"/>
  <c r="T367" i="8" s="1"/>
  <c r="DE367" i="8"/>
  <c r="S367" i="8" s="1"/>
  <c r="DD367" i="8"/>
  <c r="R367" i="8" s="1"/>
  <c r="DC367" i="8"/>
  <c r="Q367" i="8" s="1"/>
  <c r="DB367" i="8"/>
  <c r="P367" i="8" s="1"/>
  <c r="DA367" i="8"/>
  <c r="O367" i="8" s="1"/>
  <c r="CZ367" i="8"/>
  <c r="N367" i="8" s="1"/>
  <c r="DP366" i="8"/>
  <c r="AD366" i="8" s="1"/>
  <c r="DN366" i="8"/>
  <c r="AB366" i="8" s="1"/>
  <c r="DM366" i="8"/>
  <c r="AA366" i="8" s="1"/>
  <c r="DL366" i="8"/>
  <c r="Z366" i="8" s="1"/>
  <c r="DK366" i="8"/>
  <c r="Y366" i="8" s="1"/>
  <c r="DJ366" i="8"/>
  <c r="X366" i="8" s="1"/>
  <c r="DI366" i="8"/>
  <c r="W366" i="8" s="1"/>
  <c r="DH366" i="8"/>
  <c r="V366" i="8" s="1"/>
  <c r="DG366" i="8"/>
  <c r="U366" i="8" s="1"/>
  <c r="DF366" i="8"/>
  <c r="T366" i="8" s="1"/>
  <c r="DE366" i="8"/>
  <c r="S366" i="8" s="1"/>
  <c r="DD366" i="8"/>
  <c r="R366" i="8" s="1"/>
  <c r="DC366" i="8"/>
  <c r="Q366" i="8" s="1"/>
  <c r="DB366" i="8"/>
  <c r="P366" i="8" s="1"/>
  <c r="DA366" i="8"/>
  <c r="O366" i="8" s="1"/>
  <c r="CZ366" i="8"/>
  <c r="N366" i="8" s="1"/>
  <c r="DP365" i="8"/>
  <c r="AD365" i="8" s="1"/>
  <c r="DN365" i="8"/>
  <c r="AB365" i="8" s="1"/>
  <c r="DM365" i="8"/>
  <c r="AA365" i="8" s="1"/>
  <c r="DL365" i="8"/>
  <c r="Z365" i="8" s="1"/>
  <c r="DK365" i="8"/>
  <c r="Y365" i="8" s="1"/>
  <c r="DJ365" i="8"/>
  <c r="X365" i="8" s="1"/>
  <c r="DI365" i="8"/>
  <c r="W365" i="8" s="1"/>
  <c r="DH365" i="8"/>
  <c r="V365" i="8" s="1"/>
  <c r="DG365" i="8"/>
  <c r="U365" i="8" s="1"/>
  <c r="DF365" i="8"/>
  <c r="T365" i="8" s="1"/>
  <c r="DE365" i="8"/>
  <c r="S365" i="8" s="1"/>
  <c r="DD365" i="8"/>
  <c r="R365" i="8" s="1"/>
  <c r="DC365" i="8"/>
  <c r="Q365" i="8" s="1"/>
  <c r="DB365" i="8"/>
  <c r="P365" i="8" s="1"/>
  <c r="DA365" i="8"/>
  <c r="O365" i="8" s="1"/>
  <c r="CZ365" i="8"/>
  <c r="N365" i="8" s="1"/>
  <c r="DP364" i="8"/>
  <c r="AD364" i="8" s="1"/>
  <c r="DN364" i="8"/>
  <c r="AB364" i="8" s="1"/>
  <c r="DM364" i="8"/>
  <c r="AA364" i="8" s="1"/>
  <c r="DL364" i="8"/>
  <c r="Z364" i="8" s="1"/>
  <c r="DK364" i="8"/>
  <c r="Y364" i="8" s="1"/>
  <c r="DJ364" i="8"/>
  <c r="X364" i="8" s="1"/>
  <c r="DI364" i="8"/>
  <c r="W364" i="8" s="1"/>
  <c r="DH364" i="8"/>
  <c r="V364" i="8" s="1"/>
  <c r="DG364" i="8"/>
  <c r="U364" i="8" s="1"/>
  <c r="DF364" i="8"/>
  <c r="T364" i="8" s="1"/>
  <c r="DE364" i="8"/>
  <c r="S364" i="8" s="1"/>
  <c r="DD364" i="8"/>
  <c r="R364" i="8" s="1"/>
  <c r="DC364" i="8"/>
  <c r="Q364" i="8" s="1"/>
  <c r="DB364" i="8"/>
  <c r="P364" i="8" s="1"/>
  <c r="DA364" i="8"/>
  <c r="O364" i="8" s="1"/>
  <c r="CZ364" i="8"/>
  <c r="N364" i="8" s="1"/>
  <c r="DP363" i="8"/>
  <c r="AD363" i="8" s="1"/>
  <c r="DN363" i="8"/>
  <c r="AB363" i="8" s="1"/>
  <c r="DM363" i="8"/>
  <c r="AA363" i="8" s="1"/>
  <c r="DL363" i="8"/>
  <c r="Z363" i="8" s="1"/>
  <c r="DK363" i="8"/>
  <c r="Y363" i="8" s="1"/>
  <c r="DJ363" i="8"/>
  <c r="X363" i="8" s="1"/>
  <c r="DI363" i="8"/>
  <c r="W363" i="8" s="1"/>
  <c r="DH363" i="8"/>
  <c r="V363" i="8" s="1"/>
  <c r="DG363" i="8"/>
  <c r="U363" i="8" s="1"/>
  <c r="DF363" i="8"/>
  <c r="T363" i="8" s="1"/>
  <c r="DE363" i="8"/>
  <c r="S363" i="8" s="1"/>
  <c r="DD363" i="8"/>
  <c r="R363" i="8" s="1"/>
  <c r="DC363" i="8"/>
  <c r="Q363" i="8" s="1"/>
  <c r="DB363" i="8"/>
  <c r="P363" i="8" s="1"/>
  <c r="DA363" i="8"/>
  <c r="O363" i="8" s="1"/>
  <c r="CZ363" i="8"/>
  <c r="N363" i="8" s="1"/>
  <c r="DP362" i="8"/>
  <c r="AD362" i="8" s="1"/>
  <c r="DO362" i="8"/>
  <c r="AC362" i="8" s="1"/>
  <c r="DN362" i="8"/>
  <c r="AB362" i="8" s="1"/>
  <c r="DM362" i="8"/>
  <c r="AA362" i="8" s="1"/>
  <c r="DL362" i="8"/>
  <c r="Z362" i="8" s="1"/>
  <c r="DK362" i="8"/>
  <c r="Y362" i="8" s="1"/>
  <c r="DJ362" i="8"/>
  <c r="X362" i="8" s="1"/>
  <c r="DI362" i="8"/>
  <c r="W362" i="8" s="1"/>
  <c r="DH362" i="8"/>
  <c r="V362" i="8" s="1"/>
  <c r="DG362" i="8"/>
  <c r="U362" i="8" s="1"/>
  <c r="DF362" i="8"/>
  <c r="T362" i="8" s="1"/>
  <c r="DE362" i="8"/>
  <c r="S362" i="8" s="1"/>
  <c r="DD362" i="8"/>
  <c r="R362" i="8" s="1"/>
  <c r="DC362" i="8"/>
  <c r="Q362" i="8" s="1"/>
  <c r="DB362" i="8"/>
  <c r="P362" i="8" s="1"/>
  <c r="DA362" i="8"/>
  <c r="O362" i="8" s="1"/>
  <c r="CZ362" i="8"/>
  <c r="N362" i="8" s="1"/>
  <c r="DP361" i="8"/>
  <c r="AD361" i="8" s="1"/>
  <c r="DO361" i="8"/>
  <c r="AC361" i="8" s="1"/>
  <c r="DN361" i="8"/>
  <c r="AB361" i="8" s="1"/>
  <c r="DM361" i="8"/>
  <c r="AA361" i="8" s="1"/>
  <c r="DL361" i="8"/>
  <c r="Z361" i="8" s="1"/>
  <c r="DK361" i="8"/>
  <c r="Y361" i="8" s="1"/>
  <c r="DJ361" i="8"/>
  <c r="X361" i="8" s="1"/>
  <c r="DI361" i="8"/>
  <c r="W361" i="8" s="1"/>
  <c r="DH361" i="8"/>
  <c r="V361" i="8" s="1"/>
  <c r="DG361" i="8"/>
  <c r="U361" i="8" s="1"/>
  <c r="DF361" i="8"/>
  <c r="T361" i="8" s="1"/>
  <c r="DE361" i="8"/>
  <c r="S361" i="8" s="1"/>
  <c r="DD361" i="8"/>
  <c r="R361" i="8" s="1"/>
  <c r="DC361" i="8"/>
  <c r="Q361" i="8" s="1"/>
  <c r="DB361" i="8"/>
  <c r="P361" i="8" s="1"/>
  <c r="DA361" i="8"/>
  <c r="O361" i="8" s="1"/>
  <c r="CZ361" i="8"/>
  <c r="N361" i="8" s="1"/>
  <c r="DP360" i="8"/>
  <c r="AD360" i="8" s="1"/>
  <c r="DO360" i="8"/>
  <c r="AC360" i="8" s="1"/>
  <c r="DN360" i="8"/>
  <c r="AB360" i="8" s="1"/>
  <c r="DM360" i="8"/>
  <c r="AA360" i="8" s="1"/>
  <c r="DL360" i="8"/>
  <c r="Z360" i="8" s="1"/>
  <c r="DK360" i="8"/>
  <c r="Y360" i="8" s="1"/>
  <c r="DJ360" i="8"/>
  <c r="X360" i="8" s="1"/>
  <c r="DI360" i="8"/>
  <c r="W360" i="8" s="1"/>
  <c r="DH360" i="8"/>
  <c r="V360" i="8" s="1"/>
  <c r="DG360" i="8"/>
  <c r="U360" i="8" s="1"/>
  <c r="DF360" i="8"/>
  <c r="T360" i="8" s="1"/>
  <c r="DE360" i="8"/>
  <c r="S360" i="8" s="1"/>
  <c r="DD360" i="8"/>
  <c r="R360" i="8" s="1"/>
  <c r="DC360" i="8"/>
  <c r="Q360" i="8" s="1"/>
  <c r="DB360" i="8"/>
  <c r="P360" i="8" s="1"/>
  <c r="DA360" i="8"/>
  <c r="O360" i="8" s="1"/>
  <c r="CZ360" i="8"/>
  <c r="N360" i="8" s="1"/>
  <c r="DP359" i="8"/>
  <c r="AD359" i="8" s="1"/>
  <c r="DO359" i="8"/>
  <c r="AC359" i="8" s="1"/>
  <c r="DN359" i="8"/>
  <c r="AB359" i="8" s="1"/>
  <c r="DM359" i="8"/>
  <c r="AA359" i="8" s="1"/>
  <c r="DL359" i="8"/>
  <c r="Z359" i="8" s="1"/>
  <c r="DK359" i="8"/>
  <c r="Y359" i="8" s="1"/>
  <c r="DJ359" i="8"/>
  <c r="X359" i="8" s="1"/>
  <c r="DI359" i="8"/>
  <c r="W359" i="8" s="1"/>
  <c r="DH359" i="8"/>
  <c r="V359" i="8" s="1"/>
  <c r="DG359" i="8"/>
  <c r="U359" i="8" s="1"/>
  <c r="DF359" i="8"/>
  <c r="T359" i="8" s="1"/>
  <c r="DE359" i="8"/>
  <c r="S359" i="8" s="1"/>
  <c r="DD359" i="8"/>
  <c r="R359" i="8" s="1"/>
  <c r="DC359" i="8"/>
  <c r="Q359" i="8" s="1"/>
  <c r="DB359" i="8"/>
  <c r="P359" i="8" s="1"/>
  <c r="DA359" i="8"/>
  <c r="O359" i="8" s="1"/>
  <c r="CZ359" i="8"/>
  <c r="N359" i="8" s="1"/>
  <c r="DP358" i="8"/>
  <c r="AD358" i="8" s="1"/>
  <c r="DO358" i="8"/>
  <c r="AC358" i="8" s="1"/>
  <c r="DN358" i="8"/>
  <c r="AB358" i="8" s="1"/>
  <c r="DM358" i="8"/>
  <c r="AA358" i="8" s="1"/>
  <c r="DL358" i="8"/>
  <c r="Z358" i="8" s="1"/>
  <c r="DK358" i="8"/>
  <c r="Y358" i="8" s="1"/>
  <c r="DJ358" i="8"/>
  <c r="X358" i="8" s="1"/>
  <c r="DI358" i="8"/>
  <c r="W358" i="8" s="1"/>
  <c r="DH358" i="8"/>
  <c r="V358" i="8" s="1"/>
  <c r="DG358" i="8"/>
  <c r="U358" i="8" s="1"/>
  <c r="DF358" i="8"/>
  <c r="T358" i="8" s="1"/>
  <c r="DE358" i="8"/>
  <c r="S358" i="8" s="1"/>
  <c r="DD358" i="8"/>
  <c r="R358" i="8" s="1"/>
  <c r="DC358" i="8"/>
  <c r="Q358" i="8" s="1"/>
  <c r="DB358" i="8"/>
  <c r="P358" i="8" s="1"/>
  <c r="DA358" i="8"/>
  <c r="O358" i="8" s="1"/>
  <c r="CZ358" i="8"/>
  <c r="N358" i="8" s="1"/>
  <c r="DP357" i="8"/>
  <c r="AD357" i="8" s="1"/>
  <c r="DO357" i="8"/>
  <c r="AC357" i="8" s="1"/>
  <c r="DN357" i="8"/>
  <c r="AB357" i="8" s="1"/>
  <c r="DM357" i="8"/>
  <c r="AA357" i="8" s="1"/>
  <c r="DL357" i="8"/>
  <c r="Z357" i="8" s="1"/>
  <c r="DK357" i="8"/>
  <c r="Y357" i="8" s="1"/>
  <c r="DJ357" i="8"/>
  <c r="X357" i="8" s="1"/>
  <c r="DI357" i="8"/>
  <c r="W357" i="8" s="1"/>
  <c r="DH357" i="8"/>
  <c r="V357" i="8" s="1"/>
  <c r="DG357" i="8"/>
  <c r="U357" i="8" s="1"/>
  <c r="DF357" i="8"/>
  <c r="T357" i="8" s="1"/>
  <c r="DE357" i="8"/>
  <c r="S357" i="8" s="1"/>
  <c r="DD357" i="8"/>
  <c r="R357" i="8" s="1"/>
  <c r="DC357" i="8"/>
  <c r="Q357" i="8" s="1"/>
  <c r="DB357" i="8"/>
  <c r="P357" i="8" s="1"/>
  <c r="DA357" i="8"/>
  <c r="O357" i="8" s="1"/>
  <c r="CZ357" i="8"/>
  <c r="N357" i="8" s="1"/>
  <c r="DP356" i="8"/>
  <c r="AD356" i="8" s="1"/>
  <c r="DO356" i="8"/>
  <c r="AC356" i="8" s="1"/>
  <c r="DN356" i="8"/>
  <c r="AB356" i="8" s="1"/>
  <c r="DM356" i="8"/>
  <c r="AA356" i="8" s="1"/>
  <c r="DL356" i="8"/>
  <c r="Z356" i="8" s="1"/>
  <c r="DK356" i="8"/>
  <c r="Y356" i="8" s="1"/>
  <c r="DJ356" i="8"/>
  <c r="X356" i="8" s="1"/>
  <c r="DI356" i="8"/>
  <c r="W356" i="8" s="1"/>
  <c r="DH356" i="8"/>
  <c r="V356" i="8" s="1"/>
  <c r="DG356" i="8"/>
  <c r="U356" i="8" s="1"/>
  <c r="DF356" i="8"/>
  <c r="T356" i="8" s="1"/>
  <c r="DE356" i="8"/>
  <c r="S356" i="8" s="1"/>
  <c r="DD356" i="8"/>
  <c r="R356" i="8" s="1"/>
  <c r="DC356" i="8"/>
  <c r="Q356" i="8" s="1"/>
  <c r="DB356" i="8"/>
  <c r="P356" i="8" s="1"/>
  <c r="DA356" i="8"/>
  <c r="O356" i="8" s="1"/>
  <c r="CZ356" i="8"/>
  <c r="N356" i="8" s="1"/>
  <c r="DP355" i="8"/>
  <c r="AD355" i="8" s="1"/>
  <c r="DO355" i="8"/>
  <c r="AC355" i="8" s="1"/>
  <c r="DN355" i="8"/>
  <c r="AB355" i="8" s="1"/>
  <c r="DM355" i="8"/>
  <c r="AA355" i="8" s="1"/>
  <c r="DL355" i="8"/>
  <c r="Z355" i="8" s="1"/>
  <c r="DK355" i="8"/>
  <c r="Y355" i="8" s="1"/>
  <c r="DJ355" i="8"/>
  <c r="X355" i="8" s="1"/>
  <c r="DI355" i="8"/>
  <c r="W355" i="8" s="1"/>
  <c r="DH355" i="8"/>
  <c r="V355" i="8" s="1"/>
  <c r="DG355" i="8"/>
  <c r="U355" i="8" s="1"/>
  <c r="DF355" i="8"/>
  <c r="T355" i="8" s="1"/>
  <c r="DE355" i="8"/>
  <c r="S355" i="8" s="1"/>
  <c r="DD355" i="8"/>
  <c r="R355" i="8" s="1"/>
  <c r="DC355" i="8"/>
  <c r="Q355" i="8" s="1"/>
  <c r="DB355" i="8"/>
  <c r="P355" i="8" s="1"/>
  <c r="DA355" i="8"/>
  <c r="O355" i="8" s="1"/>
  <c r="CZ355" i="8"/>
  <c r="N355" i="8" s="1"/>
  <c r="DP354" i="8"/>
  <c r="AD354" i="8" s="1"/>
  <c r="DO354" i="8"/>
  <c r="AC354" i="8" s="1"/>
  <c r="DN354" i="8"/>
  <c r="AB354" i="8" s="1"/>
  <c r="DM354" i="8"/>
  <c r="AA354" i="8" s="1"/>
  <c r="DL354" i="8"/>
  <c r="Z354" i="8" s="1"/>
  <c r="DK354" i="8"/>
  <c r="Y354" i="8" s="1"/>
  <c r="DJ354" i="8"/>
  <c r="X354" i="8" s="1"/>
  <c r="DI354" i="8"/>
  <c r="W354" i="8" s="1"/>
  <c r="DH354" i="8"/>
  <c r="V354" i="8" s="1"/>
  <c r="DG354" i="8"/>
  <c r="U354" i="8" s="1"/>
  <c r="DF354" i="8"/>
  <c r="T354" i="8" s="1"/>
  <c r="DE354" i="8"/>
  <c r="S354" i="8" s="1"/>
  <c r="DD354" i="8"/>
  <c r="R354" i="8" s="1"/>
  <c r="DC354" i="8"/>
  <c r="Q354" i="8" s="1"/>
  <c r="DB354" i="8"/>
  <c r="P354" i="8" s="1"/>
  <c r="DA354" i="8"/>
  <c r="O354" i="8" s="1"/>
  <c r="CZ354" i="8"/>
  <c r="N354" i="8" s="1"/>
  <c r="DP353" i="8"/>
  <c r="AD353" i="8" s="1"/>
  <c r="DO353" i="8"/>
  <c r="AC353" i="8" s="1"/>
  <c r="DN353" i="8"/>
  <c r="AB353" i="8" s="1"/>
  <c r="DM353" i="8"/>
  <c r="AA353" i="8" s="1"/>
  <c r="DL353" i="8"/>
  <c r="Z353" i="8" s="1"/>
  <c r="DK353" i="8"/>
  <c r="Y353" i="8" s="1"/>
  <c r="DJ353" i="8"/>
  <c r="X353" i="8" s="1"/>
  <c r="DI353" i="8"/>
  <c r="W353" i="8" s="1"/>
  <c r="DH353" i="8"/>
  <c r="V353" i="8" s="1"/>
  <c r="DG353" i="8"/>
  <c r="U353" i="8" s="1"/>
  <c r="DF353" i="8"/>
  <c r="T353" i="8" s="1"/>
  <c r="DE353" i="8"/>
  <c r="S353" i="8" s="1"/>
  <c r="DD353" i="8"/>
  <c r="R353" i="8" s="1"/>
  <c r="DC353" i="8"/>
  <c r="Q353" i="8" s="1"/>
  <c r="DB353" i="8"/>
  <c r="P353" i="8" s="1"/>
  <c r="DA353" i="8"/>
  <c r="O353" i="8" s="1"/>
  <c r="CZ353" i="8"/>
  <c r="N353" i="8" s="1"/>
  <c r="DP352" i="8"/>
  <c r="AD352" i="8" s="1"/>
  <c r="DO352" i="8"/>
  <c r="AC352" i="8" s="1"/>
  <c r="DN352" i="8"/>
  <c r="AB352" i="8" s="1"/>
  <c r="DM352" i="8"/>
  <c r="AA352" i="8" s="1"/>
  <c r="DL352" i="8"/>
  <c r="Z352" i="8" s="1"/>
  <c r="DK352" i="8"/>
  <c r="Y352" i="8" s="1"/>
  <c r="DJ352" i="8"/>
  <c r="X352" i="8" s="1"/>
  <c r="DI352" i="8"/>
  <c r="W352" i="8" s="1"/>
  <c r="DH352" i="8"/>
  <c r="V352" i="8" s="1"/>
  <c r="DG352" i="8"/>
  <c r="U352" i="8" s="1"/>
  <c r="DF352" i="8"/>
  <c r="T352" i="8" s="1"/>
  <c r="DE352" i="8"/>
  <c r="S352" i="8" s="1"/>
  <c r="DD352" i="8"/>
  <c r="R352" i="8" s="1"/>
  <c r="DC352" i="8"/>
  <c r="Q352" i="8" s="1"/>
  <c r="DB352" i="8"/>
  <c r="P352" i="8" s="1"/>
  <c r="DA352" i="8"/>
  <c r="O352" i="8" s="1"/>
  <c r="CZ352" i="8"/>
  <c r="N352" i="8" s="1"/>
  <c r="DP351" i="8"/>
  <c r="AD351" i="8" s="1"/>
  <c r="DO351" i="8"/>
  <c r="AC351" i="8" s="1"/>
  <c r="DN351" i="8"/>
  <c r="AB351" i="8" s="1"/>
  <c r="DM351" i="8"/>
  <c r="AA351" i="8" s="1"/>
  <c r="DL351" i="8"/>
  <c r="Z351" i="8" s="1"/>
  <c r="DK351" i="8"/>
  <c r="Y351" i="8" s="1"/>
  <c r="DJ351" i="8"/>
  <c r="X351" i="8" s="1"/>
  <c r="DI351" i="8"/>
  <c r="W351" i="8" s="1"/>
  <c r="DH351" i="8"/>
  <c r="V351" i="8" s="1"/>
  <c r="DG351" i="8"/>
  <c r="U351" i="8" s="1"/>
  <c r="DF351" i="8"/>
  <c r="T351" i="8" s="1"/>
  <c r="DE351" i="8"/>
  <c r="S351" i="8" s="1"/>
  <c r="DD351" i="8"/>
  <c r="R351" i="8" s="1"/>
  <c r="DC351" i="8"/>
  <c r="Q351" i="8" s="1"/>
  <c r="DB351" i="8"/>
  <c r="P351" i="8" s="1"/>
  <c r="DA351" i="8"/>
  <c r="O351" i="8" s="1"/>
  <c r="CZ351" i="8"/>
  <c r="N351" i="8" s="1"/>
  <c r="DP349" i="8"/>
  <c r="AD349" i="8" s="1"/>
  <c r="DO349" i="8"/>
  <c r="AC349" i="8" s="1"/>
  <c r="DN349" i="8"/>
  <c r="AB349" i="8" s="1"/>
  <c r="DM349" i="8"/>
  <c r="AA349" i="8" s="1"/>
  <c r="DL349" i="8"/>
  <c r="Z349" i="8" s="1"/>
  <c r="DK349" i="8"/>
  <c r="Y349" i="8" s="1"/>
  <c r="DJ349" i="8"/>
  <c r="X349" i="8" s="1"/>
  <c r="DI349" i="8"/>
  <c r="W349" i="8" s="1"/>
  <c r="DH349" i="8"/>
  <c r="V349" i="8" s="1"/>
  <c r="DG349" i="8"/>
  <c r="U349" i="8" s="1"/>
  <c r="DF349" i="8"/>
  <c r="T349" i="8" s="1"/>
  <c r="DE349" i="8"/>
  <c r="S349" i="8" s="1"/>
  <c r="DD349" i="8"/>
  <c r="R349" i="8" s="1"/>
  <c r="DC349" i="8"/>
  <c r="Q349" i="8" s="1"/>
  <c r="DB349" i="8"/>
  <c r="P349" i="8" s="1"/>
  <c r="DA349" i="8"/>
  <c r="O349" i="8" s="1"/>
  <c r="CZ349" i="8"/>
  <c r="N349" i="8" s="1"/>
  <c r="DP348" i="8"/>
  <c r="AD348" i="8" s="1"/>
  <c r="DO348" i="8"/>
  <c r="AC348" i="8" s="1"/>
  <c r="DN348" i="8"/>
  <c r="AB348" i="8" s="1"/>
  <c r="DM348" i="8"/>
  <c r="AA348" i="8" s="1"/>
  <c r="DL348" i="8"/>
  <c r="Z348" i="8" s="1"/>
  <c r="DK348" i="8"/>
  <c r="Y348" i="8" s="1"/>
  <c r="DJ348" i="8"/>
  <c r="X348" i="8" s="1"/>
  <c r="DI348" i="8"/>
  <c r="W348" i="8" s="1"/>
  <c r="DH348" i="8"/>
  <c r="V348" i="8" s="1"/>
  <c r="DG348" i="8"/>
  <c r="U348" i="8" s="1"/>
  <c r="DF348" i="8"/>
  <c r="T348" i="8" s="1"/>
  <c r="DE348" i="8"/>
  <c r="S348" i="8" s="1"/>
  <c r="DD348" i="8"/>
  <c r="R348" i="8" s="1"/>
  <c r="DC348" i="8"/>
  <c r="Q348" i="8" s="1"/>
  <c r="DB348" i="8"/>
  <c r="P348" i="8" s="1"/>
  <c r="DA348" i="8"/>
  <c r="O348" i="8" s="1"/>
  <c r="CZ348" i="8"/>
  <c r="N348" i="8" s="1"/>
  <c r="DP347" i="8"/>
  <c r="AD347" i="8" s="1"/>
  <c r="DO347" i="8"/>
  <c r="AC347" i="8" s="1"/>
  <c r="DN347" i="8"/>
  <c r="AB347" i="8" s="1"/>
  <c r="DM347" i="8"/>
  <c r="AA347" i="8" s="1"/>
  <c r="DL347" i="8"/>
  <c r="Z347" i="8" s="1"/>
  <c r="DK347" i="8"/>
  <c r="Y347" i="8" s="1"/>
  <c r="DJ347" i="8"/>
  <c r="X347" i="8" s="1"/>
  <c r="DI347" i="8"/>
  <c r="W347" i="8" s="1"/>
  <c r="DH347" i="8"/>
  <c r="V347" i="8" s="1"/>
  <c r="DG347" i="8"/>
  <c r="U347" i="8" s="1"/>
  <c r="DF347" i="8"/>
  <c r="T347" i="8" s="1"/>
  <c r="DE347" i="8"/>
  <c r="S347" i="8" s="1"/>
  <c r="DD347" i="8"/>
  <c r="R347" i="8" s="1"/>
  <c r="DC347" i="8"/>
  <c r="Q347" i="8" s="1"/>
  <c r="DB347" i="8"/>
  <c r="P347" i="8" s="1"/>
  <c r="DA347" i="8"/>
  <c r="O347" i="8" s="1"/>
  <c r="CZ347" i="8"/>
  <c r="N347" i="8" s="1"/>
  <c r="DP346" i="8"/>
  <c r="AD346" i="8" s="1"/>
  <c r="DO346" i="8"/>
  <c r="AC346" i="8" s="1"/>
  <c r="DN346" i="8"/>
  <c r="AB346" i="8" s="1"/>
  <c r="DM346" i="8"/>
  <c r="AA346" i="8" s="1"/>
  <c r="DL346" i="8"/>
  <c r="Z346" i="8" s="1"/>
  <c r="DK346" i="8"/>
  <c r="Y346" i="8" s="1"/>
  <c r="DJ346" i="8"/>
  <c r="X346" i="8" s="1"/>
  <c r="DI346" i="8"/>
  <c r="W346" i="8" s="1"/>
  <c r="DH346" i="8"/>
  <c r="V346" i="8" s="1"/>
  <c r="DG346" i="8"/>
  <c r="U346" i="8" s="1"/>
  <c r="DF346" i="8"/>
  <c r="T346" i="8" s="1"/>
  <c r="DE346" i="8"/>
  <c r="S346" i="8" s="1"/>
  <c r="DD346" i="8"/>
  <c r="R346" i="8" s="1"/>
  <c r="DC346" i="8"/>
  <c r="Q346" i="8" s="1"/>
  <c r="DB346" i="8"/>
  <c r="P346" i="8" s="1"/>
  <c r="DA346" i="8"/>
  <c r="O346" i="8" s="1"/>
  <c r="CZ346" i="8"/>
  <c r="N346" i="8" s="1"/>
  <c r="DP345" i="8"/>
  <c r="AD345" i="8" s="1"/>
  <c r="DO345" i="8"/>
  <c r="AC345" i="8" s="1"/>
  <c r="DN345" i="8"/>
  <c r="AB345" i="8" s="1"/>
  <c r="DM345" i="8"/>
  <c r="AA345" i="8" s="1"/>
  <c r="DL345" i="8"/>
  <c r="Z345" i="8" s="1"/>
  <c r="DK345" i="8"/>
  <c r="Y345" i="8" s="1"/>
  <c r="DJ345" i="8"/>
  <c r="X345" i="8" s="1"/>
  <c r="DI345" i="8"/>
  <c r="W345" i="8" s="1"/>
  <c r="DH345" i="8"/>
  <c r="V345" i="8" s="1"/>
  <c r="DG345" i="8"/>
  <c r="U345" i="8" s="1"/>
  <c r="DF345" i="8"/>
  <c r="T345" i="8" s="1"/>
  <c r="DE345" i="8"/>
  <c r="S345" i="8" s="1"/>
  <c r="DD345" i="8"/>
  <c r="R345" i="8" s="1"/>
  <c r="DC345" i="8"/>
  <c r="Q345" i="8" s="1"/>
  <c r="DB345" i="8"/>
  <c r="P345" i="8" s="1"/>
  <c r="DA345" i="8"/>
  <c r="O345" i="8" s="1"/>
  <c r="CZ345" i="8"/>
  <c r="N345" i="8" s="1"/>
  <c r="DP344" i="8"/>
  <c r="AD344" i="8" s="1"/>
  <c r="DO344" i="8"/>
  <c r="AC344" i="8" s="1"/>
  <c r="DN344" i="8"/>
  <c r="AB344" i="8" s="1"/>
  <c r="DM344" i="8"/>
  <c r="AA344" i="8" s="1"/>
  <c r="DL344" i="8"/>
  <c r="Z344" i="8" s="1"/>
  <c r="DK344" i="8"/>
  <c r="Y344" i="8" s="1"/>
  <c r="DJ344" i="8"/>
  <c r="X344" i="8" s="1"/>
  <c r="DI344" i="8"/>
  <c r="W344" i="8" s="1"/>
  <c r="DH344" i="8"/>
  <c r="V344" i="8" s="1"/>
  <c r="DG344" i="8"/>
  <c r="U344" i="8" s="1"/>
  <c r="DF344" i="8"/>
  <c r="T344" i="8" s="1"/>
  <c r="DE344" i="8"/>
  <c r="S344" i="8" s="1"/>
  <c r="DD344" i="8"/>
  <c r="R344" i="8" s="1"/>
  <c r="DC344" i="8"/>
  <c r="Q344" i="8" s="1"/>
  <c r="DB344" i="8"/>
  <c r="P344" i="8" s="1"/>
  <c r="DA344" i="8"/>
  <c r="O344" i="8" s="1"/>
  <c r="CZ344" i="8"/>
  <c r="N344" i="8" s="1"/>
  <c r="DP343" i="8"/>
  <c r="AD343" i="8" s="1"/>
  <c r="DO343" i="8"/>
  <c r="AC343" i="8" s="1"/>
  <c r="DN343" i="8"/>
  <c r="AB343" i="8" s="1"/>
  <c r="DM343" i="8"/>
  <c r="AA343" i="8" s="1"/>
  <c r="DL343" i="8"/>
  <c r="Z343" i="8" s="1"/>
  <c r="DK343" i="8"/>
  <c r="Y343" i="8" s="1"/>
  <c r="DJ343" i="8"/>
  <c r="X343" i="8" s="1"/>
  <c r="DI343" i="8"/>
  <c r="W343" i="8" s="1"/>
  <c r="DH343" i="8"/>
  <c r="V343" i="8" s="1"/>
  <c r="DG343" i="8"/>
  <c r="U343" i="8" s="1"/>
  <c r="DF343" i="8"/>
  <c r="T343" i="8" s="1"/>
  <c r="DE343" i="8"/>
  <c r="S343" i="8" s="1"/>
  <c r="DD343" i="8"/>
  <c r="R343" i="8" s="1"/>
  <c r="DC343" i="8"/>
  <c r="Q343" i="8" s="1"/>
  <c r="DB343" i="8"/>
  <c r="P343" i="8" s="1"/>
  <c r="DA343" i="8"/>
  <c r="O343" i="8" s="1"/>
  <c r="CZ343" i="8"/>
  <c r="N343" i="8" s="1"/>
  <c r="DP342" i="8"/>
  <c r="AD342" i="8" s="1"/>
  <c r="DO342" i="8"/>
  <c r="AC342" i="8" s="1"/>
  <c r="DN342" i="8"/>
  <c r="AB342" i="8" s="1"/>
  <c r="DM342" i="8"/>
  <c r="AA342" i="8" s="1"/>
  <c r="DL342" i="8"/>
  <c r="Z342" i="8" s="1"/>
  <c r="DK342" i="8"/>
  <c r="Y342" i="8" s="1"/>
  <c r="DJ342" i="8"/>
  <c r="X342" i="8" s="1"/>
  <c r="DI342" i="8"/>
  <c r="W342" i="8" s="1"/>
  <c r="DH342" i="8"/>
  <c r="V342" i="8" s="1"/>
  <c r="DG342" i="8"/>
  <c r="U342" i="8" s="1"/>
  <c r="DF342" i="8"/>
  <c r="T342" i="8" s="1"/>
  <c r="DE342" i="8"/>
  <c r="S342" i="8" s="1"/>
  <c r="DD342" i="8"/>
  <c r="R342" i="8" s="1"/>
  <c r="DC342" i="8"/>
  <c r="Q342" i="8" s="1"/>
  <c r="DB342" i="8"/>
  <c r="P342" i="8" s="1"/>
  <c r="DA342" i="8"/>
  <c r="O342" i="8" s="1"/>
  <c r="CZ342" i="8"/>
  <c r="N342" i="8" s="1"/>
  <c r="DP341" i="8"/>
  <c r="AD341" i="8" s="1"/>
  <c r="DO341" i="8"/>
  <c r="AC341" i="8" s="1"/>
  <c r="DN341" i="8"/>
  <c r="AB341" i="8" s="1"/>
  <c r="DM341" i="8"/>
  <c r="AA341" i="8" s="1"/>
  <c r="DL341" i="8"/>
  <c r="Z341" i="8" s="1"/>
  <c r="DK341" i="8"/>
  <c r="Y341" i="8" s="1"/>
  <c r="DJ341" i="8"/>
  <c r="X341" i="8" s="1"/>
  <c r="DI341" i="8"/>
  <c r="W341" i="8" s="1"/>
  <c r="DH341" i="8"/>
  <c r="V341" i="8" s="1"/>
  <c r="DG341" i="8"/>
  <c r="U341" i="8" s="1"/>
  <c r="DF341" i="8"/>
  <c r="T341" i="8" s="1"/>
  <c r="DE341" i="8"/>
  <c r="S341" i="8" s="1"/>
  <c r="DD341" i="8"/>
  <c r="R341" i="8" s="1"/>
  <c r="DC341" i="8"/>
  <c r="Q341" i="8" s="1"/>
  <c r="DB341" i="8"/>
  <c r="P341" i="8" s="1"/>
  <c r="DA341" i="8"/>
  <c r="O341" i="8" s="1"/>
  <c r="CZ341" i="8"/>
  <c r="N341" i="8" s="1"/>
  <c r="DP340" i="8"/>
  <c r="AD340" i="8" s="1"/>
  <c r="DO340" i="8"/>
  <c r="AC340" i="8" s="1"/>
  <c r="DN340" i="8"/>
  <c r="AB340" i="8" s="1"/>
  <c r="DM340" i="8"/>
  <c r="AA340" i="8" s="1"/>
  <c r="DL340" i="8"/>
  <c r="Z340" i="8" s="1"/>
  <c r="DK340" i="8"/>
  <c r="Y340" i="8" s="1"/>
  <c r="DJ340" i="8"/>
  <c r="X340" i="8" s="1"/>
  <c r="DI340" i="8"/>
  <c r="W340" i="8" s="1"/>
  <c r="DH340" i="8"/>
  <c r="V340" i="8" s="1"/>
  <c r="DG340" i="8"/>
  <c r="U340" i="8" s="1"/>
  <c r="DF340" i="8"/>
  <c r="T340" i="8" s="1"/>
  <c r="DE340" i="8"/>
  <c r="S340" i="8" s="1"/>
  <c r="DD340" i="8"/>
  <c r="R340" i="8" s="1"/>
  <c r="DC340" i="8"/>
  <c r="Q340" i="8" s="1"/>
  <c r="DB340" i="8"/>
  <c r="P340" i="8" s="1"/>
  <c r="DA340" i="8"/>
  <c r="O340" i="8" s="1"/>
  <c r="CZ340" i="8"/>
  <c r="N340" i="8" s="1"/>
  <c r="DP339" i="8"/>
  <c r="AD339" i="8" s="1"/>
  <c r="DO339" i="8"/>
  <c r="AC339" i="8" s="1"/>
  <c r="DN339" i="8"/>
  <c r="AB339" i="8" s="1"/>
  <c r="DM339" i="8"/>
  <c r="AA339" i="8" s="1"/>
  <c r="DL339" i="8"/>
  <c r="Z339" i="8" s="1"/>
  <c r="DK339" i="8"/>
  <c r="Y339" i="8" s="1"/>
  <c r="DJ339" i="8"/>
  <c r="X339" i="8" s="1"/>
  <c r="DI339" i="8"/>
  <c r="W339" i="8" s="1"/>
  <c r="DH339" i="8"/>
  <c r="V339" i="8" s="1"/>
  <c r="DG339" i="8"/>
  <c r="U339" i="8" s="1"/>
  <c r="DF339" i="8"/>
  <c r="T339" i="8" s="1"/>
  <c r="DE339" i="8"/>
  <c r="S339" i="8" s="1"/>
  <c r="DD339" i="8"/>
  <c r="R339" i="8" s="1"/>
  <c r="DC339" i="8"/>
  <c r="Q339" i="8" s="1"/>
  <c r="DB339" i="8"/>
  <c r="P339" i="8" s="1"/>
  <c r="DA339" i="8"/>
  <c r="O339" i="8" s="1"/>
  <c r="CZ339" i="8"/>
  <c r="N339" i="8" s="1"/>
  <c r="DP338" i="8"/>
  <c r="AD338" i="8" s="1"/>
  <c r="DO338" i="8"/>
  <c r="AC338" i="8" s="1"/>
  <c r="DN338" i="8"/>
  <c r="AB338" i="8" s="1"/>
  <c r="DM338" i="8"/>
  <c r="AA338" i="8" s="1"/>
  <c r="DL338" i="8"/>
  <c r="Z338" i="8" s="1"/>
  <c r="DK338" i="8"/>
  <c r="Y338" i="8" s="1"/>
  <c r="DJ338" i="8"/>
  <c r="X338" i="8" s="1"/>
  <c r="DI338" i="8"/>
  <c r="W338" i="8" s="1"/>
  <c r="DH338" i="8"/>
  <c r="V338" i="8" s="1"/>
  <c r="DG338" i="8"/>
  <c r="U338" i="8" s="1"/>
  <c r="DF338" i="8"/>
  <c r="T338" i="8" s="1"/>
  <c r="DE338" i="8"/>
  <c r="S338" i="8" s="1"/>
  <c r="DD338" i="8"/>
  <c r="R338" i="8" s="1"/>
  <c r="DC338" i="8"/>
  <c r="Q338" i="8" s="1"/>
  <c r="DB338" i="8"/>
  <c r="P338" i="8" s="1"/>
  <c r="DA338" i="8"/>
  <c r="O338" i="8" s="1"/>
  <c r="CZ338" i="8"/>
  <c r="N338" i="8" s="1"/>
  <c r="DP337" i="8"/>
  <c r="AD337" i="8" s="1"/>
  <c r="DO337" i="8"/>
  <c r="AC337" i="8" s="1"/>
  <c r="DN337" i="8"/>
  <c r="AB337" i="8" s="1"/>
  <c r="DM337" i="8"/>
  <c r="AA337" i="8" s="1"/>
  <c r="DL337" i="8"/>
  <c r="Z337" i="8" s="1"/>
  <c r="DK337" i="8"/>
  <c r="Y337" i="8" s="1"/>
  <c r="DJ337" i="8"/>
  <c r="X337" i="8" s="1"/>
  <c r="DI337" i="8"/>
  <c r="W337" i="8" s="1"/>
  <c r="DH337" i="8"/>
  <c r="V337" i="8" s="1"/>
  <c r="DG337" i="8"/>
  <c r="U337" i="8" s="1"/>
  <c r="DF337" i="8"/>
  <c r="T337" i="8" s="1"/>
  <c r="DE337" i="8"/>
  <c r="S337" i="8" s="1"/>
  <c r="DD337" i="8"/>
  <c r="R337" i="8" s="1"/>
  <c r="DC337" i="8"/>
  <c r="Q337" i="8" s="1"/>
  <c r="DB337" i="8"/>
  <c r="P337" i="8" s="1"/>
  <c r="DA337" i="8"/>
  <c r="O337" i="8" s="1"/>
  <c r="CZ337" i="8"/>
  <c r="N337" i="8" s="1"/>
  <c r="DP336" i="8"/>
  <c r="AD336" i="8" s="1"/>
  <c r="DO336" i="8"/>
  <c r="AC336" i="8" s="1"/>
  <c r="DN336" i="8"/>
  <c r="AB336" i="8" s="1"/>
  <c r="DM336" i="8"/>
  <c r="AA336" i="8" s="1"/>
  <c r="DL336" i="8"/>
  <c r="Z336" i="8" s="1"/>
  <c r="DK336" i="8"/>
  <c r="Y336" i="8" s="1"/>
  <c r="DJ336" i="8"/>
  <c r="X336" i="8" s="1"/>
  <c r="DI336" i="8"/>
  <c r="W336" i="8" s="1"/>
  <c r="DH336" i="8"/>
  <c r="V336" i="8" s="1"/>
  <c r="DG336" i="8"/>
  <c r="U336" i="8" s="1"/>
  <c r="DF336" i="8"/>
  <c r="T336" i="8" s="1"/>
  <c r="DE336" i="8"/>
  <c r="S336" i="8" s="1"/>
  <c r="DD336" i="8"/>
  <c r="R336" i="8" s="1"/>
  <c r="DC336" i="8"/>
  <c r="Q336" i="8" s="1"/>
  <c r="DB336" i="8"/>
  <c r="P336" i="8" s="1"/>
  <c r="DA336" i="8"/>
  <c r="O336" i="8" s="1"/>
  <c r="CZ336" i="8"/>
  <c r="N336" i="8" s="1"/>
  <c r="DP335" i="8"/>
  <c r="AD335" i="8" s="1"/>
  <c r="DO335" i="8"/>
  <c r="AC335" i="8" s="1"/>
  <c r="DN335" i="8"/>
  <c r="AB335" i="8" s="1"/>
  <c r="DM335" i="8"/>
  <c r="AA335" i="8" s="1"/>
  <c r="DL335" i="8"/>
  <c r="Z335" i="8" s="1"/>
  <c r="DK335" i="8"/>
  <c r="Y335" i="8" s="1"/>
  <c r="DJ335" i="8"/>
  <c r="X335" i="8" s="1"/>
  <c r="DI335" i="8"/>
  <c r="W335" i="8" s="1"/>
  <c r="DH335" i="8"/>
  <c r="V335" i="8" s="1"/>
  <c r="DG335" i="8"/>
  <c r="U335" i="8" s="1"/>
  <c r="DF335" i="8"/>
  <c r="T335" i="8" s="1"/>
  <c r="DE335" i="8"/>
  <c r="S335" i="8" s="1"/>
  <c r="DD335" i="8"/>
  <c r="R335" i="8" s="1"/>
  <c r="DC335" i="8"/>
  <c r="Q335" i="8" s="1"/>
  <c r="DB335" i="8"/>
  <c r="P335" i="8" s="1"/>
  <c r="DA335" i="8"/>
  <c r="O335" i="8" s="1"/>
  <c r="CZ335" i="8"/>
  <c r="N335" i="8" s="1"/>
  <c r="DP334" i="8"/>
  <c r="AD334" i="8" s="1"/>
  <c r="DO334" i="8"/>
  <c r="AC334" i="8" s="1"/>
  <c r="DN334" i="8"/>
  <c r="AB334" i="8" s="1"/>
  <c r="DM334" i="8"/>
  <c r="AA334" i="8" s="1"/>
  <c r="DL334" i="8"/>
  <c r="Z334" i="8" s="1"/>
  <c r="DK334" i="8"/>
  <c r="Y334" i="8" s="1"/>
  <c r="DJ334" i="8"/>
  <c r="X334" i="8" s="1"/>
  <c r="DI334" i="8"/>
  <c r="W334" i="8" s="1"/>
  <c r="DH334" i="8"/>
  <c r="V334" i="8" s="1"/>
  <c r="DG334" i="8"/>
  <c r="U334" i="8" s="1"/>
  <c r="DF334" i="8"/>
  <c r="T334" i="8" s="1"/>
  <c r="DE334" i="8"/>
  <c r="S334" i="8" s="1"/>
  <c r="DD334" i="8"/>
  <c r="R334" i="8" s="1"/>
  <c r="DC334" i="8"/>
  <c r="Q334" i="8" s="1"/>
  <c r="DB334" i="8"/>
  <c r="P334" i="8" s="1"/>
  <c r="DA334" i="8"/>
  <c r="O334" i="8" s="1"/>
  <c r="CZ334" i="8"/>
  <c r="N334" i="8" s="1"/>
  <c r="DP333" i="8"/>
  <c r="AD333" i="8" s="1"/>
  <c r="DO333" i="8"/>
  <c r="AC333" i="8" s="1"/>
  <c r="DN333" i="8"/>
  <c r="AB333" i="8" s="1"/>
  <c r="DM333" i="8"/>
  <c r="AA333" i="8" s="1"/>
  <c r="DL333" i="8"/>
  <c r="Z333" i="8" s="1"/>
  <c r="DK333" i="8"/>
  <c r="Y333" i="8" s="1"/>
  <c r="DJ333" i="8"/>
  <c r="X333" i="8" s="1"/>
  <c r="DI333" i="8"/>
  <c r="W333" i="8" s="1"/>
  <c r="DH333" i="8"/>
  <c r="V333" i="8" s="1"/>
  <c r="DG333" i="8"/>
  <c r="U333" i="8" s="1"/>
  <c r="DF333" i="8"/>
  <c r="T333" i="8" s="1"/>
  <c r="DE333" i="8"/>
  <c r="S333" i="8" s="1"/>
  <c r="DD333" i="8"/>
  <c r="R333" i="8" s="1"/>
  <c r="DC333" i="8"/>
  <c r="Q333" i="8" s="1"/>
  <c r="DB333" i="8"/>
  <c r="P333" i="8" s="1"/>
  <c r="DA333" i="8"/>
  <c r="O333" i="8" s="1"/>
  <c r="CZ333" i="8"/>
  <c r="N333" i="8" s="1"/>
  <c r="DP332" i="8"/>
  <c r="AD332" i="8" s="1"/>
  <c r="DO332" i="8"/>
  <c r="AC332" i="8" s="1"/>
  <c r="DN332" i="8"/>
  <c r="AB332" i="8" s="1"/>
  <c r="DM332" i="8"/>
  <c r="AA332" i="8" s="1"/>
  <c r="DL332" i="8"/>
  <c r="Z332" i="8" s="1"/>
  <c r="DK332" i="8"/>
  <c r="Y332" i="8" s="1"/>
  <c r="DJ332" i="8"/>
  <c r="X332" i="8" s="1"/>
  <c r="DI332" i="8"/>
  <c r="W332" i="8" s="1"/>
  <c r="DH332" i="8"/>
  <c r="V332" i="8" s="1"/>
  <c r="DG332" i="8"/>
  <c r="U332" i="8" s="1"/>
  <c r="DF332" i="8"/>
  <c r="T332" i="8" s="1"/>
  <c r="DE332" i="8"/>
  <c r="S332" i="8" s="1"/>
  <c r="DD332" i="8"/>
  <c r="R332" i="8" s="1"/>
  <c r="DC332" i="8"/>
  <c r="Q332" i="8" s="1"/>
  <c r="DB332" i="8"/>
  <c r="P332" i="8" s="1"/>
  <c r="DA332" i="8"/>
  <c r="O332" i="8" s="1"/>
  <c r="CZ332" i="8"/>
  <c r="N332" i="8" s="1"/>
  <c r="DP331" i="8"/>
  <c r="AD331" i="8" s="1"/>
  <c r="DO331" i="8"/>
  <c r="AC331" i="8" s="1"/>
  <c r="DN331" i="8"/>
  <c r="AB331" i="8" s="1"/>
  <c r="DM331" i="8"/>
  <c r="AA331" i="8" s="1"/>
  <c r="DL331" i="8"/>
  <c r="Z331" i="8" s="1"/>
  <c r="DK331" i="8"/>
  <c r="Y331" i="8" s="1"/>
  <c r="DJ331" i="8"/>
  <c r="X331" i="8" s="1"/>
  <c r="DI331" i="8"/>
  <c r="W331" i="8" s="1"/>
  <c r="DH331" i="8"/>
  <c r="V331" i="8" s="1"/>
  <c r="DG331" i="8"/>
  <c r="U331" i="8" s="1"/>
  <c r="DF331" i="8"/>
  <c r="T331" i="8" s="1"/>
  <c r="DE331" i="8"/>
  <c r="S331" i="8" s="1"/>
  <c r="DD331" i="8"/>
  <c r="R331" i="8" s="1"/>
  <c r="DC331" i="8"/>
  <c r="Q331" i="8" s="1"/>
  <c r="DB331" i="8"/>
  <c r="P331" i="8" s="1"/>
  <c r="DA331" i="8"/>
  <c r="O331" i="8" s="1"/>
  <c r="CZ331" i="8"/>
  <c r="N331" i="8" s="1"/>
  <c r="DP330" i="8"/>
  <c r="AD330" i="8" s="1"/>
  <c r="DO330" i="8"/>
  <c r="AC330" i="8" s="1"/>
  <c r="DN330" i="8"/>
  <c r="AB330" i="8" s="1"/>
  <c r="DM330" i="8"/>
  <c r="AA330" i="8" s="1"/>
  <c r="DL330" i="8"/>
  <c r="Z330" i="8" s="1"/>
  <c r="DK330" i="8"/>
  <c r="Y330" i="8" s="1"/>
  <c r="DJ330" i="8"/>
  <c r="X330" i="8" s="1"/>
  <c r="DI330" i="8"/>
  <c r="W330" i="8" s="1"/>
  <c r="DH330" i="8"/>
  <c r="V330" i="8" s="1"/>
  <c r="DG330" i="8"/>
  <c r="U330" i="8" s="1"/>
  <c r="DF330" i="8"/>
  <c r="T330" i="8" s="1"/>
  <c r="DE330" i="8"/>
  <c r="S330" i="8" s="1"/>
  <c r="DD330" i="8"/>
  <c r="R330" i="8" s="1"/>
  <c r="DC330" i="8"/>
  <c r="Q330" i="8" s="1"/>
  <c r="DB330" i="8"/>
  <c r="P330" i="8" s="1"/>
  <c r="DA330" i="8"/>
  <c r="O330" i="8" s="1"/>
  <c r="CZ330" i="8"/>
  <c r="N330" i="8" s="1"/>
  <c r="DP329" i="8"/>
  <c r="AD329" i="8" s="1"/>
  <c r="DO329" i="8"/>
  <c r="AC329" i="8" s="1"/>
  <c r="DN329" i="8"/>
  <c r="AB329" i="8" s="1"/>
  <c r="DM329" i="8"/>
  <c r="AA329" i="8" s="1"/>
  <c r="DL329" i="8"/>
  <c r="Z329" i="8" s="1"/>
  <c r="DK329" i="8"/>
  <c r="Y329" i="8" s="1"/>
  <c r="DJ329" i="8"/>
  <c r="X329" i="8" s="1"/>
  <c r="DI329" i="8"/>
  <c r="W329" i="8" s="1"/>
  <c r="DH329" i="8"/>
  <c r="V329" i="8" s="1"/>
  <c r="DG329" i="8"/>
  <c r="U329" i="8" s="1"/>
  <c r="DF329" i="8"/>
  <c r="T329" i="8" s="1"/>
  <c r="DE329" i="8"/>
  <c r="S329" i="8" s="1"/>
  <c r="DD329" i="8"/>
  <c r="R329" i="8" s="1"/>
  <c r="DC329" i="8"/>
  <c r="Q329" i="8" s="1"/>
  <c r="DB329" i="8"/>
  <c r="P329" i="8" s="1"/>
  <c r="DA329" i="8"/>
  <c r="O329" i="8" s="1"/>
  <c r="CZ329" i="8"/>
  <c r="N329" i="8" s="1"/>
  <c r="DP328" i="8"/>
  <c r="AD328" i="8" s="1"/>
  <c r="DO328" i="8"/>
  <c r="AC328" i="8" s="1"/>
  <c r="DN328" i="8"/>
  <c r="AB328" i="8" s="1"/>
  <c r="DM328" i="8"/>
  <c r="AA328" i="8" s="1"/>
  <c r="DL328" i="8"/>
  <c r="Z328" i="8" s="1"/>
  <c r="DK328" i="8"/>
  <c r="Y328" i="8" s="1"/>
  <c r="DJ328" i="8"/>
  <c r="X328" i="8" s="1"/>
  <c r="DI328" i="8"/>
  <c r="W328" i="8" s="1"/>
  <c r="DH328" i="8"/>
  <c r="V328" i="8" s="1"/>
  <c r="DG328" i="8"/>
  <c r="U328" i="8" s="1"/>
  <c r="DF328" i="8"/>
  <c r="T328" i="8" s="1"/>
  <c r="DE328" i="8"/>
  <c r="S328" i="8" s="1"/>
  <c r="DD328" i="8"/>
  <c r="R328" i="8" s="1"/>
  <c r="DC328" i="8"/>
  <c r="Q328" i="8" s="1"/>
  <c r="DB328" i="8"/>
  <c r="P328" i="8" s="1"/>
  <c r="DA328" i="8"/>
  <c r="O328" i="8" s="1"/>
  <c r="CZ328" i="8"/>
  <c r="N328" i="8" s="1"/>
  <c r="DP327" i="8"/>
  <c r="AD327" i="8" s="1"/>
  <c r="DO327" i="8"/>
  <c r="AC327" i="8" s="1"/>
  <c r="DN327" i="8"/>
  <c r="AB327" i="8" s="1"/>
  <c r="DM327" i="8"/>
  <c r="AA327" i="8" s="1"/>
  <c r="DL327" i="8"/>
  <c r="Z327" i="8" s="1"/>
  <c r="DK327" i="8"/>
  <c r="Y327" i="8" s="1"/>
  <c r="DJ327" i="8"/>
  <c r="X327" i="8" s="1"/>
  <c r="DI327" i="8"/>
  <c r="W327" i="8" s="1"/>
  <c r="DH327" i="8"/>
  <c r="V327" i="8" s="1"/>
  <c r="DG327" i="8"/>
  <c r="U327" i="8" s="1"/>
  <c r="DF327" i="8"/>
  <c r="T327" i="8" s="1"/>
  <c r="DE327" i="8"/>
  <c r="S327" i="8" s="1"/>
  <c r="DD327" i="8"/>
  <c r="R327" i="8" s="1"/>
  <c r="DC327" i="8"/>
  <c r="Q327" i="8" s="1"/>
  <c r="DB327" i="8"/>
  <c r="P327" i="8" s="1"/>
  <c r="DA327" i="8"/>
  <c r="O327" i="8" s="1"/>
  <c r="CZ327" i="8"/>
  <c r="N327" i="8" s="1"/>
  <c r="DP326" i="8"/>
  <c r="AD326" i="8" s="1"/>
  <c r="DO326" i="8"/>
  <c r="AC326" i="8" s="1"/>
  <c r="DN326" i="8"/>
  <c r="AB326" i="8" s="1"/>
  <c r="DM326" i="8"/>
  <c r="AA326" i="8" s="1"/>
  <c r="DL326" i="8"/>
  <c r="Z326" i="8" s="1"/>
  <c r="DK326" i="8"/>
  <c r="Y326" i="8" s="1"/>
  <c r="DJ326" i="8"/>
  <c r="X326" i="8" s="1"/>
  <c r="DI326" i="8"/>
  <c r="W326" i="8" s="1"/>
  <c r="DH326" i="8"/>
  <c r="V326" i="8" s="1"/>
  <c r="DG326" i="8"/>
  <c r="U326" i="8" s="1"/>
  <c r="DF326" i="8"/>
  <c r="T326" i="8" s="1"/>
  <c r="DE326" i="8"/>
  <c r="S326" i="8" s="1"/>
  <c r="DD326" i="8"/>
  <c r="R326" i="8" s="1"/>
  <c r="DC326" i="8"/>
  <c r="Q326" i="8" s="1"/>
  <c r="DB326" i="8"/>
  <c r="P326" i="8" s="1"/>
  <c r="DA326" i="8"/>
  <c r="O326" i="8" s="1"/>
  <c r="CZ326" i="8"/>
  <c r="N326" i="8" s="1"/>
  <c r="DP325" i="8"/>
  <c r="AD325" i="8" s="1"/>
  <c r="DO325" i="8"/>
  <c r="AC325" i="8" s="1"/>
  <c r="DN325" i="8"/>
  <c r="AB325" i="8" s="1"/>
  <c r="DM325" i="8"/>
  <c r="AA325" i="8" s="1"/>
  <c r="DL325" i="8"/>
  <c r="Z325" i="8" s="1"/>
  <c r="DK325" i="8"/>
  <c r="Y325" i="8" s="1"/>
  <c r="DJ325" i="8"/>
  <c r="X325" i="8" s="1"/>
  <c r="DI325" i="8"/>
  <c r="W325" i="8" s="1"/>
  <c r="DH325" i="8"/>
  <c r="V325" i="8" s="1"/>
  <c r="DG325" i="8"/>
  <c r="U325" i="8" s="1"/>
  <c r="DF325" i="8"/>
  <c r="T325" i="8" s="1"/>
  <c r="DE325" i="8"/>
  <c r="S325" i="8" s="1"/>
  <c r="DD325" i="8"/>
  <c r="R325" i="8" s="1"/>
  <c r="DC325" i="8"/>
  <c r="Q325" i="8" s="1"/>
  <c r="DB325" i="8"/>
  <c r="P325" i="8" s="1"/>
  <c r="DA325" i="8"/>
  <c r="O325" i="8" s="1"/>
  <c r="CZ325" i="8"/>
  <c r="N325" i="8" s="1"/>
  <c r="DP324" i="8"/>
  <c r="AD324" i="8" s="1"/>
  <c r="DO324" i="8"/>
  <c r="AC324" i="8" s="1"/>
  <c r="DN324" i="8"/>
  <c r="AB324" i="8" s="1"/>
  <c r="DM324" i="8"/>
  <c r="AA324" i="8" s="1"/>
  <c r="DL324" i="8"/>
  <c r="Z324" i="8" s="1"/>
  <c r="DK324" i="8"/>
  <c r="Y324" i="8" s="1"/>
  <c r="DJ324" i="8"/>
  <c r="X324" i="8" s="1"/>
  <c r="DI324" i="8"/>
  <c r="W324" i="8" s="1"/>
  <c r="DH324" i="8"/>
  <c r="V324" i="8" s="1"/>
  <c r="DG324" i="8"/>
  <c r="U324" i="8" s="1"/>
  <c r="DF324" i="8"/>
  <c r="T324" i="8" s="1"/>
  <c r="DE324" i="8"/>
  <c r="S324" i="8" s="1"/>
  <c r="DD324" i="8"/>
  <c r="R324" i="8" s="1"/>
  <c r="DC324" i="8"/>
  <c r="Q324" i="8" s="1"/>
  <c r="DB324" i="8"/>
  <c r="P324" i="8" s="1"/>
  <c r="DA324" i="8"/>
  <c r="O324" i="8" s="1"/>
  <c r="CZ324" i="8"/>
  <c r="N324" i="8" s="1"/>
  <c r="DP323" i="8"/>
  <c r="AD323" i="8" s="1"/>
  <c r="DO323" i="8"/>
  <c r="AC323" i="8" s="1"/>
  <c r="DN323" i="8"/>
  <c r="AB323" i="8" s="1"/>
  <c r="DM323" i="8"/>
  <c r="AA323" i="8" s="1"/>
  <c r="DL323" i="8"/>
  <c r="Z323" i="8" s="1"/>
  <c r="DK323" i="8"/>
  <c r="Y323" i="8" s="1"/>
  <c r="DJ323" i="8"/>
  <c r="X323" i="8" s="1"/>
  <c r="DI323" i="8"/>
  <c r="W323" i="8" s="1"/>
  <c r="DH323" i="8"/>
  <c r="V323" i="8" s="1"/>
  <c r="DG323" i="8"/>
  <c r="U323" i="8" s="1"/>
  <c r="DF323" i="8"/>
  <c r="T323" i="8" s="1"/>
  <c r="DE323" i="8"/>
  <c r="S323" i="8" s="1"/>
  <c r="DD323" i="8"/>
  <c r="R323" i="8" s="1"/>
  <c r="DC323" i="8"/>
  <c r="Q323" i="8" s="1"/>
  <c r="DB323" i="8"/>
  <c r="P323" i="8" s="1"/>
  <c r="DA323" i="8"/>
  <c r="O323" i="8" s="1"/>
  <c r="CZ323" i="8"/>
  <c r="N323" i="8" s="1"/>
  <c r="DP322" i="8"/>
  <c r="AD322" i="8" s="1"/>
  <c r="DO322" i="8"/>
  <c r="AC322" i="8" s="1"/>
  <c r="DN322" i="8"/>
  <c r="AB322" i="8" s="1"/>
  <c r="DM322" i="8"/>
  <c r="AA322" i="8" s="1"/>
  <c r="DL322" i="8"/>
  <c r="Z322" i="8" s="1"/>
  <c r="DK322" i="8"/>
  <c r="Y322" i="8" s="1"/>
  <c r="DJ322" i="8"/>
  <c r="X322" i="8" s="1"/>
  <c r="DI322" i="8"/>
  <c r="W322" i="8" s="1"/>
  <c r="DH322" i="8"/>
  <c r="V322" i="8" s="1"/>
  <c r="DG322" i="8"/>
  <c r="U322" i="8" s="1"/>
  <c r="DF322" i="8"/>
  <c r="T322" i="8" s="1"/>
  <c r="DE322" i="8"/>
  <c r="S322" i="8" s="1"/>
  <c r="DD322" i="8"/>
  <c r="R322" i="8" s="1"/>
  <c r="DC322" i="8"/>
  <c r="Q322" i="8" s="1"/>
  <c r="DB322" i="8"/>
  <c r="P322" i="8" s="1"/>
  <c r="DA322" i="8"/>
  <c r="O322" i="8" s="1"/>
  <c r="CZ322" i="8"/>
  <c r="N322" i="8" s="1"/>
  <c r="DP321" i="8"/>
  <c r="AD321" i="8" s="1"/>
  <c r="DO321" i="8"/>
  <c r="AC321" i="8" s="1"/>
  <c r="DN321" i="8"/>
  <c r="AB321" i="8" s="1"/>
  <c r="DM321" i="8"/>
  <c r="AA321" i="8" s="1"/>
  <c r="DL321" i="8"/>
  <c r="Z321" i="8" s="1"/>
  <c r="DK321" i="8"/>
  <c r="Y321" i="8" s="1"/>
  <c r="DJ321" i="8"/>
  <c r="X321" i="8" s="1"/>
  <c r="DI321" i="8"/>
  <c r="W321" i="8" s="1"/>
  <c r="DH321" i="8"/>
  <c r="V321" i="8" s="1"/>
  <c r="DG321" i="8"/>
  <c r="U321" i="8" s="1"/>
  <c r="DF321" i="8"/>
  <c r="T321" i="8" s="1"/>
  <c r="DE321" i="8"/>
  <c r="S321" i="8" s="1"/>
  <c r="DD321" i="8"/>
  <c r="R321" i="8" s="1"/>
  <c r="DC321" i="8"/>
  <c r="Q321" i="8" s="1"/>
  <c r="DB321" i="8"/>
  <c r="P321" i="8" s="1"/>
  <c r="DA321" i="8"/>
  <c r="O321" i="8" s="1"/>
  <c r="CZ321" i="8"/>
  <c r="N321" i="8" s="1"/>
  <c r="DP320" i="8"/>
  <c r="AD320" i="8" s="1"/>
  <c r="DO320" i="8"/>
  <c r="AC320" i="8" s="1"/>
  <c r="DN320" i="8"/>
  <c r="AB320" i="8" s="1"/>
  <c r="DM320" i="8"/>
  <c r="AA320" i="8" s="1"/>
  <c r="DL320" i="8"/>
  <c r="Z320" i="8" s="1"/>
  <c r="DK320" i="8"/>
  <c r="Y320" i="8" s="1"/>
  <c r="DJ320" i="8"/>
  <c r="X320" i="8" s="1"/>
  <c r="DI320" i="8"/>
  <c r="W320" i="8" s="1"/>
  <c r="DH320" i="8"/>
  <c r="V320" i="8" s="1"/>
  <c r="DG320" i="8"/>
  <c r="U320" i="8" s="1"/>
  <c r="DF320" i="8"/>
  <c r="T320" i="8" s="1"/>
  <c r="DE320" i="8"/>
  <c r="S320" i="8" s="1"/>
  <c r="DD320" i="8"/>
  <c r="R320" i="8" s="1"/>
  <c r="DC320" i="8"/>
  <c r="Q320" i="8" s="1"/>
  <c r="DB320" i="8"/>
  <c r="P320" i="8" s="1"/>
  <c r="DA320" i="8"/>
  <c r="O320" i="8" s="1"/>
  <c r="CZ320" i="8"/>
  <c r="N320" i="8" s="1"/>
  <c r="DP318" i="8"/>
  <c r="AD318" i="8" s="1"/>
  <c r="DO318" i="8"/>
  <c r="AC318" i="8" s="1"/>
  <c r="DN318" i="8"/>
  <c r="AB318" i="8" s="1"/>
  <c r="DM318" i="8"/>
  <c r="AA318" i="8" s="1"/>
  <c r="DL318" i="8"/>
  <c r="Z318" i="8" s="1"/>
  <c r="DK318" i="8"/>
  <c r="Y318" i="8" s="1"/>
  <c r="DJ318" i="8"/>
  <c r="X318" i="8" s="1"/>
  <c r="DI318" i="8"/>
  <c r="W318" i="8" s="1"/>
  <c r="DH318" i="8"/>
  <c r="V318" i="8" s="1"/>
  <c r="DG318" i="8"/>
  <c r="U318" i="8" s="1"/>
  <c r="DF318" i="8"/>
  <c r="T318" i="8" s="1"/>
  <c r="DE318" i="8"/>
  <c r="S318" i="8" s="1"/>
  <c r="DD318" i="8"/>
  <c r="R318" i="8" s="1"/>
  <c r="DC318" i="8"/>
  <c r="Q318" i="8" s="1"/>
  <c r="DB318" i="8"/>
  <c r="P318" i="8" s="1"/>
  <c r="DA318" i="8"/>
  <c r="O318" i="8" s="1"/>
  <c r="CZ318" i="8"/>
  <c r="N318" i="8" s="1"/>
  <c r="DP317" i="8"/>
  <c r="AD317" i="8" s="1"/>
  <c r="DO317" i="8"/>
  <c r="AC317" i="8" s="1"/>
  <c r="DN317" i="8"/>
  <c r="AB317" i="8" s="1"/>
  <c r="DM317" i="8"/>
  <c r="AA317" i="8" s="1"/>
  <c r="DL317" i="8"/>
  <c r="Z317" i="8" s="1"/>
  <c r="DK317" i="8"/>
  <c r="Y317" i="8" s="1"/>
  <c r="DJ317" i="8"/>
  <c r="X317" i="8" s="1"/>
  <c r="DI317" i="8"/>
  <c r="W317" i="8" s="1"/>
  <c r="DH317" i="8"/>
  <c r="V317" i="8" s="1"/>
  <c r="DG317" i="8"/>
  <c r="U317" i="8" s="1"/>
  <c r="DF317" i="8"/>
  <c r="T317" i="8" s="1"/>
  <c r="DE317" i="8"/>
  <c r="S317" i="8" s="1"/>
  <c r="DD317" i="8"/>
  <c r="R317" i="8" s="1"/>
  <c r="DC317" i="8"/>
  <c r="Q317" i="8" s="1"/>
  <c r="DB317" i="8"/>
  <c r="P317" i="8" s="1"/>
  <c r="DA317" i="8"/>
  <c r="O317" i="8" s="1"/>
  <c r="CZ317" i="8"/>
  <c r="N317" i="8" s="1"/>
  <c r="DP316" i="8"/>
  <c r="AD316" i="8" s="1"/>
  <c r="DO316" i="8"/>
  <c r="AC316" i="8" s="1"/>
  <c r="DN316" i="8"/>
  <c r="AB316" i="8" s="1"/>
  <c r="DM316" i="8"/>
  <c r="AA316" i="8" s="1"/>
  <c r="DL316" i="8"/>
  <c r="Z316" i="8" s="1"/>
  <c r="DK316" i="8"/>
  <c r="Y316" i="8" s="1"/>
  <c r="DJ316" i="8"/>
  <c r="X316" i="8" s="1"/>
  <c r="DI316" i="8"/>
  <c r="W316" i="8" s="1"/>
  <c r="DH316" i="8"/>
  <c r="V316" i="8" s="1"/>
  <c r="DG316" i="8"/>
  <c r="U316" i="8" s="1"/>
  <c r="DF316" i="8"/>
  <c r="T316" i="8" s="1"/>
  <c r="DE316" i="8"/>
  <c r="S316" i="8" s="1"/>
  <c r="DD316" i="8"/>
  <c r="R316" i="8" s="1"/>
  <c r="DC316" i="8"/>
  <c r="Q316" i="8" s="1"/>
  <c r="DB316" i="8"/>
  <c r="P316" i="8" s="1"/>
  <c r="DA316" i="8"/>
  <c r="O316" i="8" s="1"/>
  <c r="CZ316" i="8"/>
  <c r="N316" i="8" s="1"/>
  <c r="DP315" i="8"/>
  <c r="AD315" i="8" s="1"/>
  <c r="DO315" i="8"/>
  <c r="AC315" i="8" s="1"/>
  <c r="DN315" i="8"/>
  <c r="AB315" i="8" s="1"/>
  <c r="DM315" i="8"/>
  <c r="AA315" i="8" s="1"/>
  <c r="DL315" i="8"/>
  <c r="Z315" i="8" s="1"/>
  <c r="DK315" i="8"/>
  <c r="Y315" i="8" s="1"/>
  <c r="DJ315" i="8"/>
  <c r="X315" i="8" s="1"/>
  <c r="DI315" i="8"/>
  <c r="W315" i="8" s="1"/>
  <c r="DH315" i="8"/>
  <c r="V315" i="8" s="1"/>
  <c r="DG315" i="8"/>
  <c r="U315" i="8" s="1"/>
  <c r="DF315" i="8"/>
  <c r="T315" i="8" s="1"/>
  <c r="DE315" i="8"/>
  <c r="S315" i="8" s="1"/>
  <c r="DD315" i="8"/>
  <c r="R315" i="8" s="1"/>
  <c r="DC315" i="8"/>
  <c r="Q315" i="8" s="1"/>
  <c r="DB315" i="8"/>
  <c r="P315" i="8" s="1"/>
  <c r="DA315" i="8"/>
  <c r="O315" i="8" s="1"/>
  <c r="CZ315" i="8"/>
  <c r="N315" i="8" s="1"/>
  <c r="DP314" i="8"/>
  <c r="AD314" i="8" s="1"/>
  <c r="DO314" i="8"/>
  <c r="AC314" i="8" s="1"/>
  <c r="DN314" i="8"/>
  <c r="AB314" i="8" s="1"/>
  <c r="DM314" i="8"/>
  <c r="AA314" i="8" s="1"/>
  <c r="DL314" i="8"/>
  <c r="Z314" i="8" s="1"/>
  <c r="DK314" i="8"/>
  <c r="Y314" i="8" s="1"/>
  <c r="DJ314" i="8"/>
  <c r="X314" i="8" s="1"/>
  <c r="DI314" i="8"/>
  <c r="W314" i="8" s="1"/>
  <c r="DH314" i="8"/>
  <c r="V314" i="8" s="1"/>
  <c r="DG314" i="8"/>
  <c r="U314" i="8" s="1"/>
  <c r="DF314" i="8"/>
  <c r="T314" i="8" s="1"/>
  <c r="DE314" i="8"/>
  <c r="S314" i="8" s="1"/>
  <c r="DD314" i="8"/>
  <c r="R314" i="8" s="1"/>
  <c r="DC314" i="8"/>
  <c r="Q314" i="8" s="1"/>
  <c r="DB314" i="8"/>
  <c r="P314" i="8" s="1"/>
  <c r="DA314" i="8"/>
  <c r="O314" i="8" s="1"/>
  <c r="CZ314" i="8"/>
  <c r="N314" i="8" s="1"/>
  <c r="DP313" i="8"/>
  <c r="AD313" i="8" s="1"/>
  <c r="DO313" i="8"/>
  <c r="AC313" i="8" s="1"/>
  <c r="DN313" i="8"/>
  <c r="AB313" i="8" s="1"/>
  <c r="DM313" i="8"/>
  <c r="AA313" i="8" s="1"/>
  <c r="DL313" i="8"/>
  <c r="Z313" i="8" s="1"/>
  <c r="DK313" i="8"/>
  <c r="Y313" i="8" s="1"/>
  <c r="DJ313" i="8"/>
  <c r="X313" i="8" s="1"/>
  <c r="DI313" i="8"/>
  <c r="W313" i="8" s="1"/>
  <c r="DH313" i="8"/>
  <c r="V313" i="8" s="1"/>
  <c r="DG313" i="8"/>
  <c r="U313" i="8" s="1"/>
  <c r="DF313" i="8"/>
  <c r="T313" i="8" s="1"/>
  <c r="DE313" i="8"/>
  <c r="S313" i="8" s="1"/>
  <c r="DD313" i="8"/>
  <c r="R313" i="8" s="1"/>
  <c r="DC313" i="8"/>
  <c r="Q313" i="8" s="1"/>
  <c r="DB313" i="8"/>
  <c r="P313" i="8" s="1"/>
  <c r="DA313" i="8"/>
  <c r="O313" i="8" s="1"/>
  <c r="CZ313" i="8"/>
  <c r="N313" i="8" s="1"/>
  <c r="DP312" i="8"/>
  <c r="AD312" i="8" s="1"/>
  <c r="DO312" i="8"/>
  <c r="AC312" i="8" s="1"/>
  <c r="DN312" i="8"/>
  <c r="AB312" i="8" s="1"/>
  <c r="DM312" i="8"/>
  <c r="AA312" i="8" s="1"/>
  <c r="DL312" i="8"/>
  <c r="Z312" i="8" s="1"/>
  <c r="DK312" i="8"/>
  <c r="Y312" i="8" s="1"/>
  <c r="DJ312" i="8"/>
  <c r="X312" i="8" s="1"/>
  <c r="DI312" i="8"/>
  <c r="W312" i="8" s="1"/>
  <c r="DH312" i="8"/>
  <c r="V312" i="8" s="1"/>
  <c r="DG312" i="8"/>
  <c r="U312" i="8" s="1"/>
  <c r="DF312" i="8"/>
  <c r="T312" i="8" s="1"/>
  <c r="DE312" i="8"/>
  <c r="S312" i="8" s="1"/>
  <c r="DD312" i="8"/>
  <c r="R312" i="8" s="1"/>
  <c r="DC312" i="8"/>
  <c r="Q312" i="8" s="1"/>
  <c r="DB312" i="8"/>
  <c r="P312" i="8" s="1"/>
  <c r="DA312" i="8"/>
  <c r="O312" i="8" s="1"/>
  <c r="CZ312" i="8"/>
  <c r="N312" i="8" s="1"/>
  <c r="DP311" i="8"/>
  <c r="AD311" i="8" s="1"/>
  <c r="DO311" i="8"/>
  <c r="AC311" i="8" s="1"/>
  <c r="DN311" i="8"/>
  <c r="AB311" i="8" s="1"/>
  <c r="DM311" i="8"/>
  <c r="AA311" i="8" s="1"/>
  <c r="DL311" i="8"/>
  <c r="Z311" i="8" s="1"/>
  <c r="DK311" i="8"/>
  <c r="Y311" i="8" s="1"/>
  <c r="DJ311" i="8"/>
  <c r="X311" i="8" s="1"/>
  <c r="DI311" i="8"/>
  <c r="W311" i="8" s="1"/>
  <c r="DH311" i="8"/>
  <c r="V311" i="8" s="1"/>
  <c r="DG311" i="8"/>
  <c r="U311" i="8" s="1"/>
  <c r="DF311" i="8"/>
  <c r="T311" i="8" s="1"/>
  <c r="DE311" i="8"/>
  <c r="S311" i="8" s="1"/>
  <c r="DD311" i="8"/>
  <c r="R311" i="8" s="1"/>
  <c r="DC311" i="8"/>
  <c r="Q311" i="8" s="1"/>
  <c r="DB311" i="8"/>
  <c r="P311" i="8" s="1"/>
  <c r="DA311" i="8"/>
  <c r="O311" i="8" s="1"/>
  <c r="CZ311" i="8"/>
  <c r="N311" i="8" s="1"/>
  <c r="DP310" i="8"/>
  <c r="AD310" i="8" s="1"/>
  <c r="DO310" i="8"/>
  <c r="AC310" i="8" s="1"/>
  <c r="DN310" i="8"/>
  <c r="AB310" i="8" s="1"/>
  <c r="DM310" i="8"/>
  <c r="AA310" i="8" s="1"/>
  <c r="DL310" i="8"/>
  <c r="Z310" i="8" s="1"/>
  <c r="DK310" i="8"/>
  <c r="Y310" i="8" s="1"/>
  <c r="DJ310" i="8"/>
  <c r="X310" i="8" s="1"/>
  <c r="DI310" i="8"/>
  <c r="W310" i="8" s="1"/>
  <c r="DH310" i="8"/>
  <c r="V310" i="8" s="1"/>
  <c r="DG310" i="8"/>
  <c r="U310" i="8" s="1"/>
  <c r="DF310" i="8"/>
  <c r="T310" i="8" s="1"/>
  <c r="DE310" i="8"/>
  <c r="S310" i="8" s="1"/>
  <c r="DD310" i="8"/>
  <c r="R310" i="8" s="1"/>
  <c r="DC310" i="8"/>
  <c r="Q310" i="8" s="1"/>
  <c r="DB310" i="8"/>
  <c r="P310" i="8" s="1"/>
  <c r="DA310" i="8"/>
  <c r="O310" i="8" s="1"/>
  <c r="CZ310" i="8"/>
  <c r="N310" i="8" s="1"/>
  <c r="DP309" i="8"/>
  <c r="AD309" i="8" s="1"/>
  <c r="DO309" i="8"/>
  <c r="AC309" i="8" s="1"/>
  <c r="DN309" i="8"/>
  <c r="AB309" i="8" s="1"/>
  <c r="DM309" i="8"/>
  <c r="AA309" i="8" s="1"/>
  <c r="DL309" i="8"/>
  <c r="Z309" i="8" s="1"/>
  <c r="DK309" i="8"/>
  <c r="Y309" i="8" s="1"/>
  <c r="DJ309" i="8"/>
  <c r="X309" i="8" s="1"/>
  <c r="DI309" i="8"/>
  <c r="W309" i="8" s="1"/>
  <c r="DH309" i="8"/>
  <c r="V309" i="8" s="1"/>
  <c r="DG309" i="8"/>
  <c r="U309" i="8" s="1"/>
  <c r="DF309" i="8"/>
  <c r="T309" i="8" s="1"/>
  <c r="DE309" i="8"/>
  <c r="S309" i="8" s="1"/>
  <c r="DD309" i="8"/>
  <c r="R309" i="8" s="1"/>
  <c r="DC309" i="8"/>
  <c r="Q309" i="8" s="1"/>
  <c r="DB309" i="8"/>
  <c r="P309" i="8" s="1"/>
  <c r="DA309" i="8"/>
  <c r="O309" i="8" s="1"/>
  <c r="CZ309" i="8"/>
  <c r="N309" i="8" s="1"/>
  <c r="DP308" i="8"/>
  <c r="AD308" i="8" s="1"/>
  <c r="DO308" i="8"/>
  <c r="AC308" i="8" s="1"/>
  <c r="DN308" i="8"/>
  <c r="AB308" i="8" s="1"/>
  <c r="DM308" i="8"/>
  <c r="AA308" i="8" s="1"/>
  <c r="DL308" i="8"/>
  <c r="Z308" i="8" s="1"/>
  <c r="DK308" i="8"/>
  <c r="Y308" i="8" s="1"/>
  <c r="DJ308" i="8"/>
  <c r="X308" i="8" s="1"/>
  <c r="DI308" i="8"/>
  <c r="W308" i="8" s="1"/>
  <c r="DH308" i="8"/>
  <c r="V308" i="8" s="1"/>
  <c r="DG308" i="8"/>
  <c r="U308" i="8" s="1"/>
  <c r="DF308" i="8"/>
  <c r="T308" i="8" s="1"/>
  <c r="DE308" i="8"/>
  <c r="S308" i="8" s="1"/>
  <c r="DD308" i="8"/>
  <c r="R308" i="8" s="1"/>
  <c r="DC308" i="8"/>
  <c r="Q308" i="8" s="1"/>
  <c r="DB308" i="8"/>
  <c r="P308" i="8" s="1"/>
  <c r="DA308" i="8"/>
  <c r="O308" i="8" s="1"/>
  <c r="CZ308" i="8"/>
  <c r="N308" i="8" s="1"/>
  <c r="DP307" i="8"/>
  <c r="AD307" i="8" s="1"/>
  <c r="DO307" i="8"/>
  <c r="AC307" i="8" s="1"/>
  <c r="DN307" i="8"/>
  <c r="AB307" i="8" s="1"/>
  <c r="DM307" i="8"/>
  <c r="AA307" i="8" s="1"/>
  <c r="DL307" i="8"/>
  <c r="Z307" i="8" s="1"/>
  <c r="DK307" i="8"/>
  <c r="Y307" i="8" s="1"/>
  <c r="DJ307" i="8"/>
  <c r="X307" i="8" s="1"/>
  <c r="DI307" i="8"/>
  <c r="W307" i="8" s="1"/>
  <c r="DH307" i="8"/>
  <c r="V307" i="8" s="1"/>
  <c r="DG307" i="8"/>
  <c r="U307" i="8" s="1"/>
  <c r="DF307" i="8"/>
  <c r="T307" i="8" s="1"/>
  <c r="DE307" i="8"/>
  <c r="S307" i="8" s="1"/>
  <c r="DD307" i="8"/>
  <c r="R307" i="8" s="1"/>
  <c r="DC307" i="8"/>
  <c r="Q307" i="8" s="1"/>
  <c r="DB307" i="8"/>
  <c r="P307" i="8" s="1"/>
  <c r="DA307" i="8"/>
  <c r="O307" i="8" s="1"/>
  <c r="CZ307" i="8"/>
  <c r="N307" i="8" s="1"/>
  <c r="DP306" i="8"/>
  <c r="AD306" i="8" s="1"/>
  <c r="DO306" i="8"/>
  <c r="AC306" i="8" s="1"/>
  <c r="DN306" i="8"/>
  <c r="AB306" i="8" s="1"/>
  <c r="DM306" i="8"/>
  <c r="AA306" i="8" s="1"/>
  <c r="DL306" i="8"/>
  <c r="Z306" i="8" s="1"/>
  <c r="DK306" i="8"/>
  <c r="Y306" i="8" s="1"/>
  <c r="DJ306" i="8"/>
  <c r="X306" i="8" s="1"/>
  <c r="DI306" i="8"/>
  <c r="W306" i="8" s="1"/>
  <c r="DH306" i="8"/>
  <c r="V306" i="8" s="1"/>
  <c r="DG306" i="8"/>
  <c r="U306" i="8" s="1"/>
  <c r="DF306" i="8"/>
  <c r="T306" i="8" s="1"/>
  <c r="DE306" i="8"/>
  <c r="S306" i="8" s="1"/>
  <c r="DD306" i="8"/>
  <c r="R306" i="8" s="1"/>
  <c r="DC306" i="8"/>
  <c r="Q306" i="8" s="1"/>
  <c r="DB306" i="8"/>
  <c r="P306" i="8" s="1"/>
  <c r="DA306" i="8"/>
  <c r="O306" i="8" s="1"/>
  <c r="CZ306" i="8"/>
  <c r="N306" i="8" s="1"/>
  <c r="DP305" i="8"/>
  <c r="AD305" i="8" s="1"/>
  <c r="DO305" i="8"/>
  <c r="AC305" i="8" s="1"/>
  <c r="DN305" i="8"/>
  <c r="AB305" i="8" s="1"/>
  <c r="DM305" i="8"/>
  <c r="AA305" i="8" s="1"/>
  <c r="DL305" i="8"/>
  <c r="Z305" i="8" s="1"/>
  <c r="DK305" i="8"/>
  <c r="Y305" i="8" s="1"/>
  <c r="DJ305" i="8"/>
  <c r="X305" i="8" s="1"/>
  <c r="DI305" i="8"/>
  <c r="W305" i="8" s="1"/>
  <c r="DH305" i="8"/>
  <c r="V305" i="8" s="1"/>
  <c r="DG305" i="8"/>
  <c r="U305" i="8" s="1"/>
  <c r="DF305" i="8"/>
  <c r="T305" i="8" s="1"/>
  <c r="DE305" i="8"/>
  <c r="S305" i="8" s="1"/>
  <c r="DD305" i="8"/>
  <c r="R305" i="8" s="1"/>
  <c r="DC305" i="8"/>
  <c r="Q305" i="8" s="1"/>
  <c r="DB305" i="8"/>
  <c r="P305" i="8" s="1"/>
  <c r="DA305" i="8"/>
  <c r="O305" i="8" s="1"/>
  <c r="CZ305" i="8"/>
  <c r="N305" i="8" s="1"/>
  <c r="DP304" i="8"/>
  <c r="AD304" i="8" s="1"/>
  <c r="DO304" i="8"/>
  <c r="AC304" i="8" s="1"/>
  <c r="DN304" i="8"/>
  <c r="AB304" i="8" s="1"/>
  <c r="DM304" i="8"/>
  <c r="AA304" i="8" s="1"/>
  <c r="DL304" i="8"/>
  <c r="Z304" i="8" s="1"/>
  <c r="DK304" i="8"/>
  <c r="Y304" i="8" s="1"/>
  <c r="DJ304" i="8"/>
  <c r="X304" i="8" s="1"/>
  <c r="DI304" i="8"/>
  <c r="W304" i="8" s="1"/>
  <c r="DH304" i="8"/>
  <c r="V304" i="8" s="1"/>
  <c r="DG304" i="8"/>
  <c r="U304" i="8" s="1"/>
  <c r="DF304" i="8"/>
  <c r="T304" i="8" s="1"/>
  <c r="DE304" i="8"/>
  <c r="S304" i="8" s="1"/>
  <c r="DD304" i="8"/>
  <c r="R304" i="8" s="1"/>
  <c r="DC304" i="8"/>
  <c r="Q304" i="8" s="1"/>
  <c r="DB304" i="8"/>
  <c r="P304" i="8" s="1"/>
  <c r="DA304" i="8"/>
  <c r="O304" i="8" s="1"/>
  <c r="CZ304" i="8"/>
  <c r="N304" i="8" s="1"/>
  <c r="DP303" i="8"/>
  <c r="AD303" i="8" s="1"/>
  <c r="DO303" i="8"/>
  <c r="AC303" i="8" s="1"/>
  <c r="DN303" i="8"/>
  <c r="AB303" i="8" s="1"/>
  <c r="DM303" i="8"/>
  <c r="AA303" i="8" s="1"/>
  <c r="DL303" i="8"/>
  <c r="Z303" i="8" s="1"/>
  <c r="DK303" i="8"/>
  <c r="Y303" i="8" s="1"/>
  <c r="DJ303" i="8"/>
  <c r="X303" i="8" s="1"/>
  <c r="DI303" i="8"/>
  <c r="W303" i="8" s="1"/>
  <c r="DH303" i="8"/>
  <c r="V303" i="8" s="1"/>
  <c r="DG303" i="8"/>
  <c r="U303" i="8" s="1"/>
  <c r="DF303" i="8"/>
  <c r="T303" i="8" s="1"/>
  <c r="DE303" i="8"/>
  <c r="S303" i="8" s="1"/>
  <c r="DD303" i="8"/>
  <c r="R303" i="8" s="1"/>
  <c r="DC303" i="8"/>
  <c r="Q303" i="8" s="1"/>
  <c r="DB303" i="8"/>
  <c r="P303" i="8" s="1"/>
  <c r="DA303" i="8"/>
  <c r="O303" i="8" s="1"/>
  <c r="CZ303" i="8"/>
  <c r="N303" i="8" s="1"/>
  <c r="DP302" i="8"/>
  <c r="AD302" i="8" s="1"/>
  <c r="DO302" i="8"/>
  <c r="AC302" i="8" s="1"/>
  <c r="DN302" i="8"/>
  <c r="AB302" i="8" s="1"/>
  <c r="DM302" i="8"/>
  <c r="AA302" i="8" s="1"/>
  <c r="DL302" i="8"/>
  <c r="Z302" i="8" s="1"/>
  <c r="DK302" i="8"/>
  <c r="Y302" i="8" s="1"/>
  <c r="DJ302" i="8"/>
  <c r="X302" i="8" s="1"/>
  <c r="DI302" i="8"/>
  <c r="W302" i="8" s="1"/>
  <c r="DH302" i="8"/>
  <c r="V302" i="8" s="1"/>
  <c r="DG302" i="8"/>
  <c r="U302" i="8" s="1"/>
  <c r="DF302" i="8"/>
  <c r="T302" i="8" s="1"/>
  <c r="DE302" i="8"/>
  <c r="S302" i="8" s="1"/>
  <c r="DD302" i="8"/>
  <c r="R302" i="8" s="1"/>
  <c r="DC302" i="8"/>
  <c r="Q302" i="8" s="1"/>
  <c r="DB302" i="8"/>
  <c r="P302" i="8" s="1"/>
  <c r="DA302" i="8"/>
  <c r="O302" i="8" s="1"/>
  <c r="CZ302" i="8"/>
  <c r="N302" i="8" s="1"/>
  <c r="DP301" i="8"/>
  <c r="AD301" i="8" s="1"/>
  <c r="DO301" i="8"/>
  <c r="AC301" i="8" s="1"/>
  <c r="DN301" i="8"/>
  <c r="AB301" i="8" s="1"/>
  <c r="DM301" i="8"/>
  <c r="AA301" i="8" s="1"/>
  <c r="DL301" i="8"/>
  <c r="Z301" i="8" s="1"/>
  <c r="DK301" i="8"/>
  <c r="Y301" i="8" s="1"/>
  <c r="DJ301" i="8"/>
  <c r="X301" i="8" s="1"/>
  <c r="DI301" i="8"/>
  <c r="W301" i="8" s="1"/>
  <c r="DH301" i="8"/>
  <c r="V301" i="8" s="1"/>
  <c r="DG301" i="8"/>
  <c r="U301" i="8" s="1"/>
  <c r="DF301" i="8"/>
  <c r="T301" i="8" s="1"/>
  <c r="DE301" i="8"/>
  <c r="S301" i="8" s="1"/>
  <c r="DD301" i="8"/>
  <c r="R301" i="8" s="1"/>
  <c r="DC301" i="8"/>
  <c r="Q301" i="8" s="1"/>
  <c r="DB301" i="8"/>
  <c r="P301" i="8" s="1"/>
  <c r="DA301" i="8"/>
  <c r="O301" i="8" s="1"/>
  <c r="CZ301" i="8"/>
  <c r="N301" i="8" s="1"/>
  <c r="DP300" i="8"/>
  <c r="AD300" i="8" s="1"/>
  <c r="DO300" i="8"/>
  <c r="AC300" i="8" s="1"/>
  <c r="DN300" i="8"/>
  <c r="AB300" i="8" s="1"/>
  <c r="DM300" i="8"/>
  <c r="AA300" i="8" s="1"/>
  <c r="DL300" i="8"/>
  <c r="Z300" i="8" s="1"/>
  <c r="DK300" i="8"/>
  <c r="Y300" i="8" s="1"/>
  <c r="DJ300" i="8"/>
  <c r="X300" i="8" s="1"/>
  <c r="DI300" i="8"/>
  <c r="W300" i="8" s="1"/>
  <c r="DH300" i="8"/>
  <c r="V300" i="8" s="1"/>
  <c r="DG300" i="8"/>
  <c r="U300" i="8" s="1"/>
  <c r="DF300" i="8"/>
  <c r="T300" i="8" s="1"/>
  <c r="DE300" i="8"/>
  <c r="S300" i="8" s="1"/>
  <c r="DD300" i="8"/>
  <c r="R300" i="8" s="1"/>
  <c r="DC300" i="8"/>
  <c r="Q300" i="8" s="1"/>
  <c r="DB300" i="8"/>
  <c r="P300" i="8" s="1"/>
  <c r="DA300" i="8"/>
  <c r="O300" i="8" s="1"/>
  <c r="CZ300" i="8"/>
  <c r="N300" i="8" s="1"/>
  <c r="DP299" i="8"/>
  <c r="AD299" i="8" s="1"/>
  <c r="DO299" i="8"/>
  <c r="AC299" i="8" s="1"/>
  <c r="DN299" i="8"/>
  <c r="AB299" i="8" s="1"/>
  <c r="DM299" i="8"/>
  <c r="AA299" i="8" s="1"/>
  <c r="DL299" i="8"/>
  <c r="Z299" i="8" s="1"/>
  <c r="DK299" i="8"/>
  <c r="Y299" i="8" s="1"/>
  <c r="DJ299" i="8"/>
  <c r="X299" i="8" s="1"/>
  <c r="DI299" i="8"/>
  <c r="W299" i="8" s="1"/>
  <c r="DH299" i="8"/>
  <c r="V299" i="8" s="1"/>
  <c r="DG299" i="8"/>
  <c r="U299" i="8" s="1"/>
  <c r="DF299" i="8"/>
  <c r="T299" i="8" s="1"/>
  <c r="DE299" i="8"/>
  <c r="S299" i="8" s="1"/>
  <c r="DD299" i="8"/>
  <c r="R299" i="8" s="1"/>
  <c r="DC299" i="8"/>
  <c r="Q299" i="8" s="1"/>
  <c r="DB299" i="8"/>
  <c r="P299" i="8" s="1"/>
  <c r="DA299" i="8"/>
  <c r="O299" i="8" s="1"/>
  <c r="CZ299" i="8"/>
  <c r="N299" i="8" s="1"/>
  <c r="DP298" i="8"/>
  <c r="AD298" i="8" s="1"/>
  <c r="DO298" i="8"/>
  <c r="AC298" i="8" s="1"/>
  <c r="DN298" i="8"/>
  <c r="AB298" i="8" s="1"/>
  <c r="DM298" i="8"/>
  <c r="AA298" i="8" s="1"/>
  <c r="DL298" i="8"/>
  <c r="Z298" i="8" s="1"/>
  <c r="DK298" i="8"/>
  <c r="Y298" i="8" s="1"/>
  <c r="DJ298" i="8"/>
  <c r="X298" i="8" s="1"/>
  <c r="DI298" i="8"/>
  <c r="W298" i="8" s="1"/>
  <c r="DH298" i="8"/>
  <c r="V298" i="8" s="1"/>
  <c r="DG298" i="8"/>
  <c r="U298" i="8" s="1"/>
  <c r="DF298" i="8"/>
  <c r="T298" i="8" s="1"/>
  <c r="DE298" i="8"/>
  <c r="S298" i="8" s="1"/>
  <c r="DD298" i="8"/>
  <c r="R298" i="8" s="1"/>
  <c r="DC298" i="8"/>
  <c r="Q298" i="8" s="1"/>
  <c r="DB298" i="8"/>
  <c r="P298" i="8" s="1"/>
  <c r="DA298" i="8"/>
  <c r="O298" i="8" s="1"/>
  <c r="CZ298" i="8"/>
  <c r="N298" i="8" s="1"/>
  <c r="DP297" i="8"/>
  <c r="AD297" i="8" s="1"/>
  <c r="DO297" i="8"/>
  <c r="AC297" i="8" s="1"/>
  <c r="DN297" i="8"/>
  <c r="AB297" i="8" s="1"/>
  <c r="DM297" i="8"/>
  <c r="AA297" i="8" s="1"/>
  <c r="DL297" i="8"/>
  <c r="Z297" i="8" s="1"/>
  <c r="DK297" i="8"/>
  <c r="Y297" i="8" s="1"/>
  <c r="DJ297" i="8"/>
  <c r="X297" i="8" s="1"/>
  <c r="DI297" i="8"/>
  <c r="W297" i="8" s="1"/>
  <c r="DH297" i="8"/>
  <c r="V297" i="8" s="1"/>
  <c r="DG297" i="8"/>
  <c r="U297" i="8" s="1"/>
  <c r="DF297" i="8"/>
  <c r="T297" i="8" s="1"/>
  <c r="DE297" i="8"/>
  <c r="S297" i="8" s="1"/>
  <c r="DD297" i="8"/>
  <c r="R297" i="8" s="1"/>
  <c r="DC297" i="8"/>
  <c r="Q297" i="8" s="1"/>
  <c r="DB297" i="8"/>
  <c r="P297" i="8" s="1"/>
  <c r="DA297" i="8"/>
  <c r="O297" i="8" s="1"/>
  <c r="CZ297" i="8"/>
  <c r="N297" i="8" s="1"/>
  <c r="DP296" i="8"/>
  <c r="AD296" i="8" s="1"/>
  <c r="DO296" i="8"/>
  <c r="AC296" i="8" s="1"/>
  <c r="DN296" i="8"/>
  <c r="AB296" i="8" s="1"/>
  <c r="DM296" i="8"/>
  <c r="AA296" i="8" s="1"/>
  <c r="DL296" i="8"/>
  <c r="Z296" i="8" s="1"/>
  <c r="DK296" i="8"/>
  <c r="Y296" i="8" s="1"/>
  <c r="DJ296" i="8"/>
  <c r="X296" i="8" s="1"/>
  <c r="DI296" i="8"/>
  <c r="W296" i="8" s="1"/>
  <c r="DH296" i="8"/>
  <c r="V296" i="8" s="1"/>
  <c r="DG296" i="8"/>
  <c r="U296" i="8" s="1"/>
  <c r="DF296" i="8"/>
  <c r="T296" i="8" s="1"/>
  <c r="DE296" i="8"/>
  <c r="S296" i="8" s="1"/>
  <c r="DD296" i="8"/>
  <c r="R296" i="8" s="1"/>
  <c r="DC296" i="8"/>
  <c r="Q296" i="8" s="1"/>
  <c r="DB296" i="8"/>
  <c r="P296" i="8" s="1"/>
  <c r="DA296" i="8"/>
  <c r="O296" i="8" s="1"/>
  <c r="CZ296" i="8"/>
  <c r="N296" i="8" s="1"/>
  <c r="DP295" i="8"/>
  <c r="AD295" i="8" s="1"/>
  <c r="DO295" i="8"/>
  <c r="AC295" i="8" s="1"/>
  <c r="DN295" i="8"/>
  <c r="AB295" i="8" s="1"/>
  <c r="DM295" i="8"/>
  <c r="AA295" i="8" s="1"/>
  <c r="DL295" i="8"/>
  <c r="Z295" i="8" s="1"/>
  <c r="DK295" i="8"/>
  <c r="Y295" i="8" s="1"/>
  <c r="DJ295" i="8"/>
  <c r="X295" i="8" s="1"/>
  <c r="DI295" i="8"/>
  <c r="W295" i="8" s="1"/>
  <c r="DH295" i="8"/>
  <c r="V295" i="8" s="1"/>
  <c r="DG295" i="8"/>
  <c r="U295" i="8" s="1"/>
  <c r="DF295" i="8"/>
  <c r="T295" i="8" s="1"/>
  <c r="DE295" i="8"/>
  <c r="S295" i="8" s="1"/>
  <c r="DD295" i="8"/>
  <c r="R295" i="8" s="1"/>
  <c r="DC295" i="8"/>
  <c r="Q295" i="8" s="1"/>
  <c r="DB295" i="8"/>
  <c r="P295" i="8" s="1"/>
  <c r="DA295" i="8"/>
  <c r="O295" i="8" s="1"/>
  <c r="CZ295" i="8"/>
  <c r="N295" i="8" s="1"/>
  <c r="DP294" i="8"/>
  <c r="AD294" i="8" s="1"/>
  <c r="DO294" i="8"/>
  <c r="AC294" i="8" s="1"/>
  <c r="DN294" i="8"/>
  <c r="AB294" i="8" s="1"/>
  <c r="DM294" i="8"/>
  <c r="AA294" i="8" s="1"/>
  <c r="DL294" i="8"/>
  <c r="Z294" i="8" s="1"/>
  <c r="DK294" i="8"/>
  <c r="Y294" i="8" s="1"/>
  <c r="DJ294" i="8"/>
  <c r="X294" i="8" s="1"/>
  <c r="DI294" i="8"/>
  <c r="W294" i="8" s="1"/>
  <c r="DH294" i="8"/>
  <c r="V294" i="8" s="1"/>
  <c r="DG294" i="8"/>
  <c r="U294" i="8" s="1"/>
  <c r="DF294" i="8"/>
  <c r="T294" i="8" s="1"/>
  <c r="DE294" i="8"/>
  <c r="S294" i="8" s="1"/>
  <c r="DD294" i="8"/>
  <c r="R294" i="8" s="1"/>
  <c r="DC294" i="8"/>
  <c r="Q294" i="8" s="1"/>
  <c r="DB294" i="8"/>
  <c r="P294" i="8" s="1"/>
  <c r="DA294" i="8"/>
  <c r="O294" i="8" s="1"/>
  <c r="CZ294" i="8"/>
  <c r="N294" i="8" s="1"/>
  <c r="DP293" i="8"/>
  <c r="AD293" i="8" s="1"/>
  <c r="DO293" i="8"/>
  <c r="AC293" i="8" s="1"/>
  <c r="DN293" i="8"/>
  <c r="AB293" i="8" s="1"/>
  <c r="DM293" i="8"/>
  <c r="AA293" i="8" s="1"/>
  <c r="DL293" i="8"/>
  <c r="Z293" i="8" s="1"/>
  <c r="DK293" i="8"/>
  <c r="Y293" i="8" s="1"/>
  <c r="DJ293" i="8"/>
  <c r="X293" i="8" s="1"/>
  <c r="DI293" i="8"/>
  <c r="W293" i="8" s="1"/>
  <c r="DH293" i="8"/>
  <c r="V293" i="8" s="1"/>
  <c r="DG293" i="8"/>
  <c r="U293" i="8" s="1"/>
  <c r="DF293" i="8"/>
  <c r="T293" i="8" s="1"/>
  <c r="DE293" i="8"/>
  <c r="S293" i="8" s="1"/>
  <c r="DD293" i="8"/>
  <c r="R293" i="8" s="1"/>
  <c r="DC293" i="8"/>
  <c r="Q293" i="8" s="1"/>
  <c r="DB293" i="8"/>
  <c r="P293" i="8" s="1"/>
  <c r="DA293" i="8"/>
  <c r="O293" i="8" s="1"/>
  <c r="CZ293" i="8"/>
  <c r="N293" i="8" s="1"/>
  <c r="DP292" i="8"/>
  <c r="AD292" i="8" s="1"/>
  <c r="DO292" i="8"/>
  <c r="AC292" i="8" s="1"/>
  <c r="DN292" i="8"/>
  <c r="AB292" i="8" s="1"/>
  <c r="DM292" i="8"/>
  <c r="AA292" i="8" s="1"/>
  <c r="DL292" i="8"/>
  <c r="Z292" i="8" s="1"/>
  <c r="DK292" i="8"/>
  <c r="Y292" i="8" s="1"/>
  <c r="DJ292" i="8"/>
  <c r="X292" i="8" s="1"/>
  <c r="DI292" i="8"/>
  <c r="W292" i="8" s="1"/>
  <c r="DH292" i="8"/>
  <c r="V292" i="8" s="1"/>
  <c r="DG292" i="8"/>
  <c r="U292" i="8" s="1"/>
  <c r="DF292" i="8"/>
  <c r="T292" i="8" s="1"/>
  <c r="DE292" i="8"/>
  <c r="S292" i="8" s="1"/>
  <c r="DD292" i="8"/>
  <c r="R292" i="8" s="1"/>
  <c r="DC292" i="8"/>
  <c r="Q292" i="8" s="1"/>
  <c r="DB292" i="8"/>
  <c r="P292" i="8" s="1"/>
  <c r="DA292" i="8"/>
  <c r="O292" i="8" s="1"/>
  <c r="CZ292" i="8"/>
  <c r="N292" i="8" s="1"/>
  <c r="DP291" i="8"/>
  <c r="AD291" i="8" s="1"/>
  <c r="DO291" i="8"/>
  <c r="AC291" i="8" s="1"/>
  <c r="DN291" i="8"/>
  <c r="AB291" i="8" s="1"/>
  <c r="DM291" i="8"/>
  <c r="AA291" i="8" s="1"/>
  <c r="DL291" i="8"/>
  <c r="Z291" i="8" s="1"/>
  <c r="DK291" i="8"/>
  <c r="Y291" i="8" s="1"/>
  <c r="DJ291" i="8"/>
  <c r="X291" i="8" s="1"/>
  <c r="DI291" i="8"/>
  <c r="W291" i="8" s="1"/>
  <c r="DH291" i="8"/>
  <c r="V291" i="8" s="1"/>
  <c r="DG291" i="8"/>
  <c r="U291" i="8" s="1"/>
  <c r="DF291" i="8"/>
  <c r="T291" i="8" s="1"/>
  <c r="DE291" i="8"/>
  <c r="S291" i="8" s="1"/>
  <c r="DD291" i="8"/>
  <c r="R291" i="8" s="1"/>
  <c r="DC291" i="8"/>
  <c r="Q291" i="8" s="1"/>
  <c r="DB291" i="8"/>
  <c r="P291" i="8" s="1"/>
  <c r="DA291" i="8"/>
  <c r="O291" i="8" s="1"/>
  <c r="CZ291" i="8"/>
  <c r="N291" i="8" s="1"/>
  <c r="DP290" i="8"/>
  <c r="AD290" i="8" s="1"/>
  <c r="DO290" i="8"/>
  <c r="AC290" i="8" s="1"/>
  <c r="DN290" i="8"/>
  <c r="AB290" i="8" s="1"/>
  <c r="DM290" i="8"/>
  <c r="AA290" i="8" s="1"/>
  <c r="DL290" i="8"/>
  <c r="Z290" i="8" s="1"/>
  <c r="DK290" i="8"/>
  <c r="Y290" i="8" s="1"/>
  <c r="DJ290" i="8"/>
  <c r="X290" i="8" s="1"/>
  <c r="DI290" i="8"/>
  <c r="W290" i="8" s="1"/>
  <c r="DH290" i="8"/>
  <c r="V290" i="8" s="1"/>
  <c r="DG290" i="8"/>
  <c r="U290" i="8" s="1"/>
  <c r="DF290" i="8"/>
  <c r="T290" i="8" s="1"/>
  <c r="DE290" i="8"/>
  <c r="S290" i="8" s="1"/>
  <c r="DD290" i="8"/>
  <c r="R290" i="8" s="1"/>
  <c r="DC290" i="8"/>
  <c r="Q290" i="8" s="1"/>
  <c r="DB290" i="8"/>
  <c r="P290" i="8" s="1"/>
  <c r="DA290" i="8"/>
  <c r="O290" i="8" s="1"/>
  <c r="CZ290" i="8"/>
  <c r="N290" i="8" s="1"/>
  <c r="DP289" i="8"/>
  <c r="AD289" i="8" s="1"/>
  <c r="DO289" i="8"/>
  <c r="AC289" i="8" s="1"/>
  <c r="DN289" i="8"/>
  <c r="AB289" i="8" s="1"/>
  <c r="DM289" i="8"/>
  <c r="AA289" i="8" s="1"/>
  <c r="DL289" i="8"/>
  <c r="Z289" i="8" s="1"/>
  <c r="DK289" i="8"/>
  <c r="Y289" i="8" s="1"/>
  <c r="DJ289" i="8"/>
  <c r="X289" i="8" s="1"/>
  <c r="DI289" i="8"/>
  <c r="W289" i="8" s="1"/>
  <c r="DH289" i="8"/>
  <c r="V289" i="8" s="1"/>
  <c r="DG289" i="8"/>
  <c r="U289" i="8" s="1"/>
  <c r="DF289" i="8"/>
  <c r="T289" i="8" s="1"/>
  <c r="DE289" i="8"/>
  <c r="S289" i="8" s="1"/>
  <c r="DD289" i="8"/>
  <c r="R289" i="8" s="1"/>
  <c r="DC289" i="8"/>
  <c r="Q289" i="8" s="1"/>
  <c r="DB289" i="8"/>
  <c r="P289" i="8" s="1"/>
  <c r="DA289" i="8"/>
  <c r="O289" i="8" s="1"/>
  <c r="CZ289" i="8"/>
  <c r="N289" i="8" s="1"/>
  <c r="DP288" i="8"/>
  <c r="AD288" i="8" s="1"/>
  <c r="DO288" i="8"/>
  <c r="AC288" i="8" s="1"/>
  <c r="DN288" i="8"/>
  <c r="AB288" i="8" s="1"/>
  <c r="DM288" i="8"/>
  <c r="AA288" i="8" s="1"/>
  <c r="DL288" i="8"/>
  <c r="Z288" i="8" s="1"/>
  <c r="DK288" i="8"/>
  <c r="Y288" i="8" s="1"/>
  <c r="DJ288" i="8"/>
  <c r="X288" i="8" s="1"/>
  <c r="DI288" i="8"/>
  <c r="W288" i="8" s="1"/>
  <c r="DH288" i="8"/>
  <c r="V288" i="8" s="1"/>
  <c r="DG288" i="8"/>
  <c r="U288" i="8" s="1"/>
  <c r="DF288" i="8"/>
  <c r="T288" i="8" s="1"/>
  <c r="DE288" i="8"/>
  <c r="S288" i="8" s="1"/>
  <c r="DD288" i="8"/>
  <c r="R288" i="8" s="1"/>
  <c r="DC288" i="8"/>
  <c r="Q288" i="8" s="1"/>
  <c r="DB288" i="8"/>
  <c r="P288" i="8" s="1"/>
  <c r="DA288" i="8"/>
  <c r="O288" i="8" s="1"/>
  <c r="CZ288" i="8"/>
  <c r="N288" i="8" s="1"/>
  <c r="DP287" i="8"/>
  <c r="AD287" i="8" s="1"/>
  <c r="DO287" i="8"/>
  <c r="AC287" i="8" s="1"/>
  <c r="DN287" i="8"/>
  <c r="AB287" i="8" s="1"/>
  <c r="DM287" i="8"/>
  <c r="AA287" i="8" s="1"/>
  <c r="DL287" i="8"/>
  <c r="Z287" i="8" s="1"/>
  <c r="DK287" i="8"/>
  <c r="Y287" i="8" s="1"/>
  <c r="DJ287" i="8"/>
  <c r="X287" i="8" s="1"/>
  <c r="DI287" i="8"/>
  <c r="W287" i="8" s="1"/>
  <c r="DH287" i="8"/>
  <c r="V287" i="8" s="1"/>
  <c r="DG287" i="8"/>
  <c r="U287" i="8" s="1"/>
  <c r="DF287" i="8"/>
  <c r="T287" i="8" s="1"/>
  <c r="DE287" i="8"/>
  <c r="S287" i="8" s="1"/>
  <c r="DD287" i="8"/>
  <c r="R287" i="8" s="1"/>
  <c r="DC287" i="8"/>
  <c r="Q287" i="8" s="1"/>
  <c r="DB287" i="8"/>
  <c r="P287" i="8" s="1"/>
  <c r="DA287" i="8"/>
  <c r="O287" i="8" s="1"/>
  <c r="CZ287" i="8"/>
  <c r="N287" i="8" s="1"/>
  <c r="DP286" i="8"/>
  <c r="AD286" i="8" s="1"/>
  <c r="DO286" i="8"/>
  <c r="AC286" i="8" s="1"/>
  <c r="DN286" i="8"/>
  <c r="AB286" i="8" s="1"/>
  <c r="DM286" i="8"/>
  <c r="AA286" i="8" s="1"/>
  <c r="DL286" i="8"/>
  <c r="Z286" i="8" s="1"/>
  <c r="DK286" i="8"/>
  <c r="Y286" i="8" s="1"/>
  <c r="DJ286" i="8"/>
  <c r="X286" i="8" s="1"/>
  <c r="DI286" i="8"/>
  <c r="W286" i="8" s="1"/>
  <c r="DH286" i="8"/>
  <c r="V286" i="8" s="1"/>
  <c r="DG286" i="8"/>
  <c r="U286" i="8" s="1"/>
  <c r="DF286" i="8"/>
  <c r="T286" i="8" s="1"/>
  <c r="DE286" i="8"/>
  <c r="S286" i="8" s="1"/>
  <c r="DD286" i="8"/>
  <c r="R286" i="8" s="1"/>
  <c r="DC286" i="8"/>
  <c r="Q286" i="8" s="1"/>
  <c r="DB286" i="8"/>
  <c r="P286" i="8" s="1"/>
  <c r="DA286" i="8"/>
  <c r="O286" i="8" s="1"/>
  <c r="CZ286" i="8"/>
  <c r="N286" i="8" s="1"/>
  <c r="DP285" i="8"/>
  <c r="AD285" i="8" s="1"/>
  <c r="DO285" i="8"/>
  <c r="AC285" i="8" s="1"/>
  <c r="DN285" i="8"/>
  <c r="AB285" i="8" s="1"/>
  <c r="DM285" i="8"/>
  <c r="AA285" i="8" s="1"/>
  <c r="DL285" i="8"/>
  <c r="Z285" i="8" s="1"/>
  <c r="DK285" i="8"/>
  <c r="Y285" i="8" s="1"/>
  <c r="DJ285" i="8"/>
  <c r="X285" i="8" s="1"/>
  <c r="DI285" i="8"/>
  <c r="W285" i="8" s="1"/>
  <c r="DH285" i="8"/>
  <c r="V285" i="8" s="1"/>
  <c r="DG285" i="8"/>
  <c r="U285" i="8" s="1"/>
  <c r="DF285" i="8"/>
  <c r="T285" i="8" s="1"/>
  <c r="DE285" i="8"/>
  <c r="S285" i="8" s="1"/>
  <c r="DD285" i="8"/>
  <c r="R285" i="8" s="1"/>
  <c r="DC285" i="8"/>
  <c r="Q285" i="8" s="1"/>
  <c r="DB285" i="8"/>
  <c r="P285" i="8" s="1"/>
  <c r="DA285" i="8"/>
  <c r="O285" i="8" s="1"/>
  <c r="CZ285" i="8"/>
  <c r="N285" i="8" s="1"/>
  <c r="DP284" i="8"/>
  <c r="AD284" i="8" s="1"/>
  <c r="DO284" i="8"/>
  <c r="AC284" i="8" s="1"/>
  <c r="DN284" i="8"/>
  <c r="AB284" i="8" s="1"/>
  <c r="DM284" i="8"/>
  <c r="AA284" i="8" s="1"/>
  <c r="DL284" i="8"/>
  <c r="Z284" i="8" s="1"/>
  <c r="DK284" i="8"/>
  <c r="Y284" i="8" s="1"/>
  <c r="DJ284" i="8"/>
  <c r="X284" i="8" s="1"/>
  <c r="DI284" i="8"/>
  <c r="W284" i="8" s="1"/>
  <c r="DH284" i="8"/>
  <c r="V284" i="8" s="1"/>
  <c r="DG284" i="8"/>
  <c r="U284" i="8" s="1"/>
  <c r="DF284" i="8"/>
  <c r="T284" i="8" s="1"/>
  <c r="DE284" i="8"/>
  <c r="S284" i="8" s="1"/>
  <c r="DD284" i="8"/>
  <c r="R284" i="8" s="1"/>
  <c r="DC284" i="8"/>
  <c r="Q284" i="8" s="1"/>
  <c r="DB284" i="8"/>
  <c r="P284" i="8" s="1"/>
  <c r="DA284" i="8"/>
  <c r="O284" i="8" s="1"/>
  <c r="CZ284" i="8"/>
  <c r="N284" i="8" s="1"/>
  <c r="DP283" i="8"/>
  <c r="AD283" i="8" s="1"/>
  <c r="DO283" i="8"/>
  <c r="AC283" i="8" s="1"/>
  <c r="DN283" i="8"/>
  <c r="AB283" i="8" s="1"/>
  <c r="DM283" i="8"/>
  <c r="AA283" i="8" s="1"/>
  <c r="DL283" i="8"/>
  <c r="Z283" i="8" s="1"/>
  <c r="DK283" i="8"/>
  <c r="Y283" i="8" s="1"/>
  <c r="DJ283" i="8"/>
  <c r="X283" i="8" s="1"/>
  <c r="DI283" i="8"/>
  <c r="W283" i="8" s="1"/>
  <c r="DH283" i="8"/>
  <c r="V283" i="8" s="1"/>
  <c r="DG283" i="8"/>
  <c r="U283" i="8" s="1"/>
  <c r="DF283" i="8"/>
  <c r="T283" i="8" s="1"/>
  <c r="DE283" i="8"/>
  <c r="S283" i="8" s="1"/>
  <c r="DD283" i="8"/>
  <c r="R283" i="8" s="1"/>
  <c r="DC283" i="8"/>
  <c r="Q283" i="8" s="1"/>
  <c r="DB283" i="8"/>
  <c r="P283" i="8" s="1"/>
  <c r="DA283" i="8"/>
  <c r="O283" i="8" s="1"/>
  <c r="CZ283" i="8"/>
  <c r="N283" i="8" s="1"/>
  <c r="DP282" i="8"/>
  <c r="AD282" i="8" s="1"/>
  <c r="DO282" i="8"/>
  <c r="AC282" i="8" s="1"/>
  <c r="DN282" i="8"/>
  <c r="AB282" i="8" s="1"/>
  <c r="DM282" i="8"/>
  <c r="AA282" i="8" s="1"/>
  <c r="DL282" i="8"/>
  <c r="Z282" i="8" s="1"/>
  <c r="DK282" i="8"/>
  <c r="Y282" i="8" s="1"/>
  <c r="DJ282" i="8"/>
  <c r="X282" i="8" s="1"/>
  <c r="DI282" i="8"/>
  <c r="W282" i="8" s="1"/>
  <c r="DH282" i="8"/>
  <c r="V282" i="8" s="1"/>
  <c r="DG282" i="8"/>
  <c r="U282" i="8" s="1"/>
  <c r="DF282" i="8"/>
  <c r="T282" i="8" s="1"/>
  <c r="DE282" i="8"/>
  <c r="S282" i="8" s="1"/>
  <c r="DD282" i="8"/>
  <c r="R282" i="8" s="1"/>
  <c r="DC282" i="8"/>
  <c r="Q282" i="8" s="1"/>
  <c r="DB282" i="8"/>
  <c r="P282" i="8" s="1"/>
  <c r="DA282" i="8"/>
  <c r="O282" i="8" s="1"/>
  <c r="CZ282" i="8"/>
  <c r="N282" i="8" s="1"/>
  <c r="DP281" i="8"/>
  <c r="AD281" i="8" s="1"/>
  <c r="DO281" i="8"/>
  <c r="AC281" i="8" s="1"/>
  <c r="DN281" i="8"/>
  <c r="AB281" i="8" s="1"/>
  <c r="DM281" i="8"/>
  <c r="AA281" i="8" s="1"/>
  <c r="DL281" i="8"/>
  <c r="Z281" i="8" s="1"/>
  <c r="DK281" i="8"/>
  <c r="Y281" i="8" s="1"/>
  <c r="DJ281" i="8"/>
  <c r="X281" i="8" s="1"/>
  <c r="DI281" i="8"/>
  <c r="W281" i="8" s="1"/>
  <c r="DH281" i="8"/>
  <c r="V281" i="8" s="1"/>
  <c r="DG281" i="8"/>
  <c r="U281" i="8" s="1"/>
  <c r="DF281" i="8"/>
  <c r="T281" i="8" s="1"/>
  <c r="DE281" i="8"/>
  <c r="S281" i="8" s="1"/>
  <c r="DD281" i="8"/>
  <c r="R281" i="8" s="1"/>
  <c r="DC281" i="8"/>
  <c r="Q281" i="8" s="1"/>
  <c r="DB281" i="8"/>
  <c r="P281" i="8" s="1"/>
  <c r="DA281" i="8"/>
  <c r="O281" i="8" s="1"/>
  <c r="CZ281" i="8"/>
  <c r="N281" i="8" s="1"/>
  <c r="DP280" i="8"/>
  <c r="AD280" i="8" s="1"/>
  <c r="DO280" i="8"/>
  <c r="AC280" i="8" s="1"/>
  <c r="DN280" i="8"/>
  <c r="AB280" i="8" s="1"/>
  <c r="DM280" i="8"/>
  <c r="AA280" i="8" s="1"/>
  <c r="DL280" i="8"/>
  <c r="Z280" i="8" s="1"/>
  <c r="DK280" i="8"/>
  <c r="Y280" i="8" s="1"/>
  <c r="DJ280" i="8"/>
  <c r="X280" i="8" s="1"/>
  <c r="DI280" i="8"/>
  <c r="W280" i="8" s="1"/>
  <c r="DH280" i="8"/>
  <c r="V280" i="8" s="1"/>
  <c r="DG280" i="8"/>
  <c r="U280" i="8" s="1"/>
  <c r="DF280" i="8"/>
  <c r="T280" i="8" s="1"/>
  <c r="DE280" i="8"/>
  <c r="S280" i="8" s="1"/>
  <c r="DD280" i="8"/>
  <c r="R280" i="8" s="1"/>
  <c r="DC280" i="8"/>
  <c r="Q280" i="8" s="1"/>
  <c r="DB280" i="8"/>
  <c r="P280" i="8" s="1"/>
  <c r="DA280" i="8"/>
  <c r="O280" i="8" s="1"/>
  <c r="CZ280" i="8"/>
  <c r="N280" i="8" s="1"/>
  <c r="DP279" i="8"/>
  <c r="AD279" i="8" s="1"/>
  <c r="DO279" i="8"/>
  <c r="AC279" i="8" s="1"/>
  <c r="DN279" i="8"/>
  <c r="AB279" i="8" s="1"/>
  <c r="DM279" i="8"/>
  <c r="AA279" i="8" s="1"/>
  <c r="DL279" i="8"/>
  <c r="Z279" i="8" s="1"/>
  <c r="DK279" i="8"/>
  <c r="Y279" i="8" s="1"/>
  <c r="DJ279" i="8"/>
  <c r="X279" i="8" s="1"/>
  <c r="DI279" i="8"/>
  <c r="W279" i="8" s="1"/>
  <c r="DH279" i="8"/>
  <c r="V279" i="8" s="1"/>
  <c r="DG279" i="8"/>
  <c r="U279" i="8" s="1"/>
  <c r="DF279" i="8"/>
  <c r="T279" i="8" s="1"/>
  <c r="DE279" i="8"/>
  <c r="S279" i="8" s="1"/>
  <c r="DD279" i="8"/>
  <c r="R279" i="8" s="1"/>
  <c r="DC279" i="8"/>
  <c r="Q279" i="8" s="1"/>
  <c r="DB279" i="8"/>
  <c r="P279" i="8" s="1"/>
  <c r="DA279" i="8"/>
  <c r="O279" i="8" s="1"/>
  <c r="CZ279" i="8"/>
  <c r="N279" i="8" s="1"/>
  <c r="DP278" i="8"/>
  <c r="AD278" i="8" s="1"/>
  <c r="DO278" i="8"/>
  <c r="AC278" i="8" s="1"/>
  <c r="DN278" i="8"/>
  <c r="AB278" i="8" s="1"/>
  <c r="DM278" i="8"/>
  <c r="AA278" i="8" s="1"/>
  <c r="DL278" i="8"/>
  <c r="Z278" i="8" s="1"/>
  <c r="DK278" i="8"/>
  <c r="Y278" i="8" s="1"/>
  <c r="DJ278" i="8"/>
  <c r="X278" i="8" s="1"/>
  <c r="DI278" i="8"/>
  <c r="W278" i="8" s="1"/>
  <c r="DH278" i="8"/>
  <c r="V278" i="8" s="1"/>
  <c r="DG278" i="8"/>
  <c r="U278" i="8" s="1"/>
  <c r="DF278" i="8"/>
  <c r="T278" i="8" s="1"/>
  <c r="DE278" i="8"/>
  <c r="S278" i="8" s="1"/>
  <c r="DD278" i="8"/>
  <c r="R278" i="8" s="1"/>
  <c r="DC278" i="8"/>
  <c r="Q278" i="8" s="1"/>
  <c r="DB278" i="8"/>
  <c r="P278" i="8" s="1"/>
  <c r="DA278" i="8"/>
  <c r="O278" i="8" s="1"/>
  <c r="CZ278" i="8"/>
  <c r="N278" i="8" s="1"/>
  <c r="DP277" i="8"/>
  <c r="AD277" i="8" s="1"/>
  <c r="DO277" i="8"/>
  <c r="AC277" i="8" s="1"/>
  <c r="DN277" i="8"/>
  <c r="AB277" i="8" s="1"/>
  <c r="DM277" i="8"/>
  <c r="AA277" i="8" s="1"/>
  <c r="DL277" i="8"/>
  <c r="Z277" i="8" s="1"/>
  <c r="DK277" i="8"/>
  <c r="Y277" i="8" s="1"/>
  <c r="DJ277" i="8"/>
  <c r="X277" i="8" s="1"/>
  <c r="DI277" i="8"/>
  <c r="W277" i="8" s="1"/>
  <c r="DH277" i="8"/>
  <c r="V277" i="8" s="1"/>
  <c r="DG277" i="8"/>
  <c r="U277" i="8" s="1"/>
  <c r="DF277" i="8"/>
  <c r="T277" i="8" s="1"/>
  <c r="DE277" i="8"/>
  <c r="S277" i="8" s="1"/>
  <c r="DD277" i="8"/>
  <c r="R277" i="8" s="1"/>
  <c r="DC277" i="8"/>
  <c r="Q277" i="8" s="1"/>
  <c r="DB277" i="8"/>
  <c r="P277" i="8" s="1"/>
  <c r="DA277" i="8"/>
  <c r="O277" i="8" s="1"/>
  <c r="CZ277" i="8"/>
  <c r="N277" i="8" s="1"/>
  <c r="DP276" i="8"/>
  <c r="AD276" i="8" s="1"/>
  <c r="DO276" i="8"/>
  <c r="AC276" i="8" s="1"/>
  <c r="DN276" i="8"/>
  <c r="AB276" i="8" s="1"/>
  <c r="DM276" i="8"/>
  <c r="AA276" i="8" s="1"/>
  <c r="DL276" i="8"/>
  <c r="Z276" i="8" s="1"/>
  <c r="DK276" i="8"/>
  <c r="Y276" i="8" s="1"/>
  <c r="DJ276" i="8"/>
  <c r="X276" i="8" s="1"/>
  <c r="DI276" i="8"/>
  <c r="W276" i="8" s="1"/>
  <c r="DH276" i="8"/>
  <c r="V276" i="8" s="1"/>
  <c r="DG276" i="8"/>
  <c r="U276" i="8" s="1"/>
  <c r="DF276" i="8"/>
  <c r="T276" i="8" s="1"/>
  <c r="DE276" i="8"/>
  <c r="S276" i="8" s="1"/>
  <c r="DD276" i="8"/>
  <c r="R276" i="8" s="1"/>
  <c r="DC276" i="8"/>
  <c r="Q276" i="8" s="1"/>
  <c r="DB276" i="8"/>
  <c r="P276" i="8" s="1"/>
  <c r="DA276" i="8"/>
  <c r="O276" i="8" s="1"/>
  <c r="CZ276" i="8"/>
  <c r="N276" i="8" s="1"/>
  <c r="DP275" i="8"/>
  <c r="AD275" i="8" s="1"/>
  <c r="DO275" i="8"/>
  <c r="AC275" i="8" s="1"/>
  <c r="DN275" i="8"/>
  <c r="AB275" i="8" s="1"/>
  <c r="DM275" i="8"/>
  <c r="AA275" i="8" s="1"/>
  <c r="DL275" i="8"/>
  <c r="Z275" i="8" s="1"/>
  <c r="DK275" i="8"/>
  <c r="Y275" i="8" s="1"/>
  <c r="DJ275" i="8"/>
  <c r="X275" i="8" s="1"/>
  <c r="DI275" i="8"/>
  <c r="W275" i="8" s="1"/>
  <c r="DH275" i="8"/>
  <c r="V275" i="8" s="1"/>
  <c r="DG275" i="8"/>
  <c r="U275" i="8" s="1"/>
  <c r="DF275" i="8"/>
  <c r="T275" i="8" s="1"/>
  <c r="DE275" i="8"/>
  <c r="S275" i="8" s="1"/>
  <c r="DD275" i="8"/>
  <c r="R275" i="8" s="1"/>
  <c r="DC275" i="8"/>
  <c r="Q275" i="8" s="1"/>
  <c r="DB275" i="8"/>
  <c r="P275" i="8" s="1"/>
  <c r="DA275" i="8"/>
  <c r="O275" i="8" s="1"/>
  <c r="CZ275" i="8"/>
  <c r="N275" i="8" s="1"/>
  <c r="DP274" i="8"/>
  <c r="AD274" i="8" s="1"/>
  <c r="DO274" i="8"/>
  <c r="AC274" i="8" s="1"/>
  <c r="DN274" i="8"/>
  <c r="AB274" i="8" s="1"/>
  <c r="DM274" i="8"/>
  <c r="AA274" i="8" s="1"/>
  <c r="DL274" i="8"/>
  <c r="Z274" i="8" s="1"/>
  <c r="DK274" i="8"/>
  <c r="Y274" i="8" s="1"/>
  <c r="DJ274" i="8"/>
  <c r="X274" i="8" s="1"/>
  <c r="DI274" i="8"/>
  <c r="W274" i="8" s="1"/>
  <c r="DH274" i="8"/>
  <c r="V274" i="8" s="1"/>
  <c r="DG274" i="8"/>
  <c r="U274" i="8" s="1"/>
  <c r="DF274" i="8"/>
  <c r="T274" i="8" s="1"/>
  <c r="DE274" i="8"/>
  <c r="S274" i="8" s="1"/>
  <c r="DD274" i="8"/>
  <c r="R274" i="8" s="1"/>
  <c r="DC274" i="8"/>
  <c r="Q274" i="8" s="1"/>
  <c r="DB274" i="8"/>
  <c r="P274" i="8" s="1"/>
  <c r="DA274" i="8"/>
  <c r="O274" i="8" s="1"/>
  <c r="CZ274" i="8"/>
  <c r="N274" i="8" s="1"/>
  <c r="DP273" i="8"/>
  <c r="AD273" i="8" s="1"/>
  <c r="DO273" i="8"/>
  <c r="AC273" i="8" s="1"/>
  <c r="DN273" i="8"/>
  <c r="AB273" i="8" s="1"/>
  <c r="DM273" i="8"/>
  <c r="AA273" i="8" s="1"/>
  <c r="DL273" i="8"/>
  <c r="Z273" i="8" s="1"/>
  <c r="DK273" i="8"/>
  <c r="Y273" i="8" s="1"/>
  <c r="DJ273" i="8"/>
  <c r="X273" i="8" s="1"/>
  <c r="DI273" i="8"/>
  <c r="W273" i="8" s="1"/>
  <c r="DH273" i="8"/>
  <c r="V273" i="8" s="1"/>
  <c r="DG273" i="8"/>
  <c r="U273" i="8" s="1"/>
  <c r="DF273" i="8"/>
  <c r="T273" i="8" s="1"/>
  <c r="DE273" i="8"/>
  <c r="S273" i="8" s="1"/>
  <c r="DD273" i="8"/>
  <c r="R273" i="8" s="1"/>
  <c r="DC273" i="8"/>
  <c r="Q273" i="8" s="1"/>
  <c r="DB273" i="8"/>
  <c r="P273" i="8" s="1"/>
  <c r="DA273" i="8"/>
  <c r="O273" i="8" s="1"/>
  <c r="CZ273" i="8"/>
  <c r="N273" i="8" s="1"/>
  <c r="DP272" i="8"/>
  <c r="AD272" i="8" s="1"/>
  <c r="DO272" i="8"/>
  <c r="AC272" i="8" s="1"/>
  <c r="DN272" i="8"/>
  <c r="AB272" i="8" s="1"/>
  <c r="DM272" i="8"/>
  <c r="AA272" i="8" s="1"/>
  <c r="DL272" i="8"/>
  <c r="Z272" i="8" s="1"/>
  <c r="DK272" i="8"/>
  <c r="Y272" i="8" s="1"/>
  <c r="DJ272" i="8"/>
  <c r="X272" i="8" s="1"/>
  <c r="DI272" i="8"/>
  <c r="W272" i="8" s="1"/>
  <c r="DH272" i="8"/>
  <c r="V272" i="8" s="1"/>
  <c r="DG272" i="8"/>
  <c r="U272" i="8" s="1"/>
  <c r="DF272" i="8"/>
  <c r="T272" i="8" s="1"/>
  <c r="DE272" i="8"/>
  <c r="S272" i="8" s="1"/>
  <c r="DD272" i="8"/>
  <c r="R272" i="8" s="1"/>
  <c r="DC272" i="8"/>
  <c r="Q272" i="8" s="1"/>
  <c r="DB272" i="8"/>
  <c r="P272" i="8" s="1"/>
  <c r="DA272" i="8"/>
  <c r="O272" i="8" s="1"/>
  <c r="CZ272" i="8"/>
  <c r="N272" i="8" s="1"/>
  <c r="DP271" i="8"/>
  <c r="AD271" i="8" s="1"/>
  <c r="DO271" i="8"/>
  <c r="AC271" i="8" s="1"/>
  <c r="DN271" i="8"/>
  <c r="AB271" i="8" s="1"/>
  <c r="DM271" i="8"/>
  <c r="AA271" i="8" s="1"/>
  <c r="DL271" i="8"/>
  <c r="Z271" i="8" s="1"/>
  <c r="DK271" i="8"/>
  <c r="Y271" i="8" s="1"/>
  <c r="DJ271" i="8"/>
  <c r="X271" i="8" s="1"/>
  <c r="DI271" i="8"/>
  <c r="W271" i="8" s="1"/>
  <c r="DH271" i="8"/>
  <c r="V271" i="8" s="1"/>
  <c r="DG271" i="8"/>
  <c r="U271" i="8" s="1"/>
  <c r="DF271" i="8"/>
  <c r="T271" i="8" s="1"/>
  <c r="DE271" i="8"/>
  <c r="S271" i="8" s="1"/>
  <c r="DD271" i="8"/>
  <c r="R271" i="8" s="1"/>
  <c r="DC271" i="8"/>
  <c r="Q271" i="8" s="1"/>
  <c r="DB271" i="8"/>
  <c r="P271" i="8" s="1"/>
  <c r="DA271" i="8"/>
  <c r="O271" i="8" s="1"/>
  <c r="CZ271" i="8"/>
  <c r="N271" i="8" s="1"/>
  <c r="DP270" i="8"/>
  <c r="AD270" i="8" s="1"/>
  <c r="DO270" i="8"/>
  <c r="AC270" i="8" s="1"/>
  <c r="DN270" i="8"/>
  <c r="AB270" i="8" s="1"/>
  <c r="DM270" i="8"/>
  <c r="AA270" i="8" s="1"/>
  <c r="DL270" i="8"/>
  <c r="Z270" i="8" s="1"/>
  <c r="DK270" i="8"/>
  <c r="Y270" i="8" s="1"/>
  <c r="DJ270" i="8"/>
  <c r="X270" i="8" s="1"/>
  <c r="DI270" i="8"/>
  <c r="W270" i="8" s="1"/>
  <c r="DH270" i="8"/>
  <c r="V270" i="8" s="1"/>
  <c r="DG270" i="8"/>
  <c r="U270" i="8" s="1"/>
  <c r="DF270" i="8"/>
  <c r="T270" i="8" s="1"/>
  <c r="DE270" i="8"/>
  <c r="S270" i="8" s="1"/>
  <c r="DD270" i="8"/>
  <c r="R270" i="8" s="1"/>
  <c r="DC270" i="8"/>
  <c r="Q270" i="8" s="1"/>
  <c r="DB270" i="8"/>
  <c r="P270" i="8" s="1"/>
  <c r="DA270" i="8"/>
  <c r="O270" i="8" s="1"/>
  <c r="CZ270" i="8"/>
  <c r="N270" i="8" s="1"/>
  <c r="DP269" i="8"/>
  <c r="AD269" i="8" s="1"/>
  <c r="DO269" i="8"/>
  <c r="AC269" i="8" s="1"/>
  <c r="DN269" i="8"/>
  <c r="AB269" i="8" s="1"/>
  <c r="DM269" i="8"/>
  <c r="AA269" i="8" s="1"/>
  <c r="DL269" i="8"/>
  <c r="Z269" i="8" s="1"/>
  <c r="DK269" i="8"/>
  <c r="Y269" i="8" s="1"/>
  <c r="DJ269" i="8"/>
  <c r="X269" i="8" s="1"/>
  <c r="DI269" i="8"/>
  <c r="W269" i="8" s="1"/>
  <c r="DH269" i="8"/>
  <c r="V269" i="8" s="1"/>
  <c r="DG269" i="8"/>
  <c r="U269" i="8" s="1"/>
  <c r="DF269" i="8"/>
  <c r="T269" i="8" s="1"/>
  <c r="DE269" i="8"/>
  <c r="S269" i="8" s="1"/>
  <c r="DD269" i="8"/>
  <c r="R269" i="8" s="1"/>
  <c r="DC269" i="8"/>
  <c r="Q269" i="8" s="1"/>
  <c r="DB269" i="8"/>
  <c r="P269" i="8" s="1"/>
  <c r="DA269" i="8"/>
  <c r="O269" i="8" s="1"/>
  <c r="CZ269" i="8"/>
  <c r="N269" i="8" s="1"/>
  <c r="DP268" i="8"/>
  <c r="AD268" i="8" s="1"/>
  <c r="DO268" i="8"/>
  <c r="AC268" i="8" s="1"/>
  <c r="DN268" i="8"/>
  <c r="AB268" i="8" s="1"/>
  <c r="DM268" i="8"/>
  <c r="AA268" i="8" s="1"/>
  <c r="DL268" i="8"/>
  <c r="Z268" i="8" s="1"/>
  <c r="DK268" i="8"/>
  <c r="Y268" i="8" s="1"/>
  <c r="DJ268" i="8"/>
  <c r="X268" i="8" s="1"/>
  <c r="DI268" i="8"/>
  <c r="W268" i="8" s="1"/>
  <c r="DH268" i="8"/>
  <c r="V268" i="8" s="1"/>
  <c r="DG268" i="8"/>
  <c r="U268" i="8" s="1"/>
  <c r="DF268" i="8"/>
  <c r="T268" i="8" s="1"/>
  <c r="DE268" i="8"/>
  <c r="S268" i="8" s="1"/>
  <c r="DD268" i="8"/>
  <c r="R268" i="8" s="1"/>
  <c r="DC268" i="8"/>
  <c r="Q268" i="8" s="1"/>
  <c r="DB268" i="8"/>
  <c r="P268" i="8" s="1"/>
  <c r="DA268" i="8"/>
  <c r="O268" i="8" s="1"/>
  <c r="CZ268" i="8"/>
  <c r="N268" i="8" s="1"/>
  <c r="DP267" i="8"/>
  <c r="AD267" i="8" s="1"/>
  <c r="DO267" i="8"/>
  <c r="AC267" i="8" s="1"/>
  <c r="DN267" i="8"/>
  <c r="AB267" i="8" s="1"/>
  <c r="DM267" i="8"/>
  <c r="AA267" i="8" s="1"/>
  <c r="DL267" i="8"/>
  <c r="Z267" i="8" s="1"/>
  <c r="DK267" i="8"/>
  <c r="Y267" i="8" s="1"/>
  <c r="DJ267" i="8"/>
  <c r="X267" i="8" s="1"/>
  <c r="DI267" i="8"/>
  <c r="W267" i="8" s="1"/>
  <c r="DH267" i="8"/>
  <c r="V267" i="8" s="1"/>
  <c r="DG267" i="8"/>
  <c r="U267" i="8" s="1"/>
  <c r="DF267" i="8"/>
  <c r="T267" i="8" s="1"/>
  <c r="DE267" i="8"/>
  <c r="S267" i="8" s="1"/>
  <c r="DD267" i="8"/>
  <c r="R267" i="8" s="1"/>
  <c r="DC267" i="8"/>
  <c r="Q267" i="8" s="1"/>
  <c r="DB267" i="8"/>
  <c r="P267" i="8" s="1"/>
  <c r="DA267" i="8"/>
  <c r="O267" i="8" s="1"/>
  <c r="CZ267" i="8"/>
  <c r="N267" i="8" s="1"/>
  <c r="DP266" i="8"/>
  <c r="AD266" i="8" s="1"/>
  <c r="DO266" i="8"/>
  <c r="AC266" i="8" s="1"/>
  <c r="DN266" i="8"/>
  <c r="AB266" i="8" s="1"/>
  <c r="DM266" i="8"/>
  <c r="AA266" i="8" s="1"/>
  <c r="DL266" i="8"/>
  <c r="Z266" i="8" s="1"/>
  <c r="DK266" i="8"/>
  <c r="Y266" i="8" s="1"/>
  <c r="DJ266" i="8"/>
  <c r="X266" i="8" s="1"/>
  <c r="DI266" i="8"/>
  <c r="W266" i="8" s="1"/>
  <c r="DH266" i="8"/>
  <c r="V266" i="8" s="1"/>
  <c r="DG266" i="8"/>
  <c r="U266" i="8" s="1"/>
  <c r="DF266" i="8"/>
  <c r="T266" i="8" s="1"/>
  <c r="DE266" i="8"/>
  <c r="S266" i="8" s="1"/>
  <c r="DD266" i="8"/>
  <c r="R266" i="8" s="1"/>
  <c r="DC266" i="8"/>
  <c r="Q266" i="8" s="1"/>
  <c r="DB266" i="8"/>
  <c r="P266" i="8" s="1"/>
  <c r="DA266" i="8"/>
  <c r="O266" i="8" s="1"/>
  <c r="CZ266" i="8"/>
  <c r="N266" i="8" s="1"/>
  <c r="DP265" i="8"/>
  <c r="AD265" i="8" s="1"/>
  <c r="DO265" i="8"/>
  <c r="AC265" i="8" s="1"/>
  <c r="DN265" i="8"/>
  <c r="AB265" i="8" s="1"/>
  <c r="DM265" i="8"/>
  <c r="AA265" i="8" s="1"/>
  <c r="DL265" i="8"/>
  <c r="Z265" i="8" s="1"/>
  <c r="DK265" i="8"/>
  <c r="Y265" i="8" s="1"/>
  <c r="DJ265" i="8"/>
  <c r="X265" i="8" s="1"/>
  <c r="DI265" i="8"/>
  <c r="W265" i="8" s="1"/>
  <c r="DH265" i="8"/>
  <c r="V265" i="8" s="1"/>
  <c r="DG265" i="8"/>
  <c r="U265" i="8" s="1"/>
  <c r="DF265" i="8"/>
  <c r="T265" i="8" s="1"/>
  <c r="DE265" i="8"/>
  <c r="S265" i="8" s="1"/>
  <c r="DD265" i="8"/>
  <c r="R265" i="8" s="1"/>
  <c r="DC265" i="8"/>
  <c r="Q265" i="8" s="1"/>
  <c r="DB265" i="8"/>
  <c r="P265" i="8" s="1"/>
  <c r="DA265" i="8"/>
  <c r="O265" i="8" s="1"/>
  <c r="CZ265" i="8"/>
  <c r="N265" i="8" s="1"/>
  <c r="DP264" i="8"/>
  <c r="AD264" i="8" s="1"/>
  <c r="DO264" i="8"/>
  <c r="AC264" i="8" s="1"/>
  <c r="DN264" i="8"/>
  <c r="AB264" i="8" s="1"/>
  <c r="DM264" i="8"/>
  <c r="AA264" i="8" s="1"/>
  <c r="DL264" i="8"/>
  <c r="Z264" i="8" s="1"/>
  <c r="DK264" i="8"/>
  <c r="Y264" i="8" s="1"/>
  <c r="DJ264" i="8"/>
  <c r="X264" i="8" s="1"/>
  <c r="DI264" i="8"/>
  <c r="W264" i="8" s="1"/>
  <c r="DH264" i="8"/>
  <c r="V264" i="8" s="1"/>
  <c r="DG264" i="8"/>
  <c r="U264" i="8" s="1"/>
  <c r="DF264" i="8"/>
  <c r="T264" i="8" s="1"/>
  <c r="DE264" i="8"/>
  <c r="S264" i="8" s="1"/>
  <c r="DD264" i="8"/>
  <c r="R264" i="8" s="1"/>
  <c r="DC264" i="8"/>
  <c r="Q264" i="8" s="1"/>
  <c r="DB264" i="8"/>
  <c r="P264" i="8" s="1"/>
  <c r="DA264" i="8"/>
  <c r="O264" i="8" s="1"/>
  <c r="CZ264" i="8"/>
  <c r="N264" i="8" s="1"/>
  <c r="DP263" i="8"/>
  <c r="AD263" i="8" s="1"/>
  <c r="DO263" i="8"/>
  <c r="AC263" i="8" s="1"/>
  <c r="DN263" i="8"/>
  <c r="AB263" i="8" s="1"/>
  <c r="DM263" i="8"/>
  <c r="AA263" i="8" s="1"/>
  <c r="DL263" i="8"/>
  <c r="Z263" i="8" s="1"/>
  <c r="DK263" i="8"/>
  <c r="Y263" i="8" s="1"/>
  <c r="DJ263" i="8"/>
  <c r="X263" i="8" s="1"/>
  <c r="DI263" i="8"/>
  <c r="W263" i="8" s="1"/>
  <c r="DH263" i="8"/>
  <c r="V263" i="8" s="1"/>
  <c r="DG263" i="8"/>
  <c r="U263" i="8" s="1"/>
  <c r="DF263" i="8"/>
  <c r="T263" i="8" s="1"/>
  <c r="DE263" i="8"/>
  <c r="S263" i="8" s="1"/>
  <c r="DD263" i="8"/>
  <c r="R263" i="8" s="1"/>
  <c r="DC263" i="8"/>
  <c r="Q263" i="8" s="1"/>
  <c r="DB263" i="8"/>
  <c r="P263" i="8" s="1"/>
  <c r="DA263" i="8"/>
  <c r="O263" i="8" s="1"/>
  <c r="CZ263" i="8"/>
  <c r="N263" i="8" s="1"/>
  <c r="DP262" i="8"/>
  <c r="AD262" i="8" s="1"/>
  <c r="DO262" i="8"/>
  <c r="AC262" i="8" s="1"/>
  <c r="DN262" i="8"/>
  <c r="AB262" i="8" s="1"/>
  <c r="DM262" i="8"/>
  <c r="AA262" i="8" s="1"/>
  <c r="DL262" i="8"/>
  <c r="Z262" i="8" s="1"/>
  <c r="DK262" i="8"/>
  <c r="Y262" i="8" s="1"/>
  <c r="DJ262" i="8"/>
  <c r="X262" i="8" s="1"/>
  <c r="DI262" i="8"/>
  <c r="W262" i="8" s="1"/>
  <c r="DH262" i="8"/>
  <c r="V262" i="8" s="1"/>
  <c r="DG262" i="8"/>
  <c r="U262" i="8" s="1"/>
  <c r="DF262" i="8"/>
  <c r="T262" i="8" s="1"/>
  <c r="DE262" i="8"/>
  <c r="S262" i="8" s="1"/>
  <c r="DD262" i="8"/>
  <c r="R262" i="8" s="1"/>
  <c r="DC262" i="8"/>
  <c r="Q262" i="8" s="1"/>
  <c r="DB262" i="8"/>
  <c r="P262" i="8" s="1"/>
  <c r="DA262" i="8"/>
  <c r="O262" i="8" s="1"/>
  <c r="CZ262" i="8"/>
  <c r="N262" i="8" s="1"/>
  <c r="DP261" i="8"/>
  <c r="AD261" i="8" s="1"/>
  <c r="DO261" i="8"/>
  <c r="AC261" i="8" s="1"/>
  <c r="DN261" i="8"/>
  <c r="AB261" i="8" s="1"/>
  <c r="DM261" i="8"/>
  <c r="AA261" i="8" s="1"/>
  <c r="DL261" i="8"/>
  <c r="Z261" i="8" s="1"/>
  <c r="DK261" i="8"/>
  <c r="Y261" i="8" s="1"/>
  <c r="DJ261" i="8"/>
  <c r="X261" i="8" s="1"/>
  <c r="DI261" i="8"/>
  <c r="W261" i="8" s="1"/>
  <c r="DH261" i="8"/>
  <c r="V261" i="8" s="1"/>
  <c r="DG261" i="8"/>
  <c r="U261" i="8" s="1"/>
  <c r="DF261" i="8"/>
  <c r="T261" i="8" s="1"/>
  <c r="DE261" i="8"/>
  <c r="S261" i="8" s="1"/>
  <c r="DD261" i="8"/>
  <c r="R261" i="8" s="1"/>
  <c r="DC261" i="8"/>
  <c r="Q261" i="8" s="1"/>
  <c r="DB261" i="8"/>
  <c r="P261" i="8" s="1"/>
  <c r="DA261" i="8"/>
  <c r="O261" i="8" s="1"/>
  <c r="CZ261" i="8"/>
  <c r="N261" i="8" s="1"/>
  <c r="DP260" i="8"/>
  <c r="AD260" i="8" s="1"/>
  <c r="DO260" i="8"/>
  <c r="AC260" i="8" s="1"/>
  <c r="DN260" i="8"/>
  <c r="AB260" i="8" s="1"/>
  <c r="DM260" i="8"/>
  <c r="AA260" i="8" s="1"/>
  <c r="DL260" i="8"/>
  <c r="Z260" i="8" s="1"/>
  <c r="DK260" i="8"/>
  <c r="Y260" i="8" s="1"/>
  <c r="DJ260" i="8"/>
  <c r="X260" i="8" s="1"/>
  <c r="DI260" i="8"/>
  <c r="W260" i="8" s="1"/>
  <c r="DH260" i="8"/>
  <c r="V260" i="8" s="1"/>
  <c r="DG260" i="8"/>
  <c r="U260" i="8" s="1"/>
  <c r="DF260" i="8"/>
  <c r="T260" i="8" s="1"/>
  <c r="DE260" i="8"/>
  <c r="S260" i="8" s="1"/>
  <c r="DD260" i="8"/>
  <c r="R260" i="8" s="1"/>
  <c r="DC260" i="8"/>
  <c r="Q260" i="8" s="1"/>
  <c r="DB260" i="8"/>
  <c r="P260" i="8" s="1"/>
  <c r="DA260" i="8"/>
  <c r="O260" i="8" s="1"/>
  <c r="CZ260" i="8"/>
  <c r="N260" i="8" s="1"/>
  <c r="DP259" i="8"/>
  <c r="AD259" i="8" s="1"/>
  <c r="DO259" i="8"/>
  <c r="AC259" i="8" s="1"/>
  <c r="DN259" i="8"/>
  <c r="AB259" i="8" s="1"/>
  <c r="DM259" i="8"/>
  <c r="AA259" i="8" s="1"/>
  <c r="DL259" i="8"/>
  <c r="Z259" i="8" s="1"/>
  <c r="DK259" i="8"/>
  <c r="Y259" i="8" s="1"/>
  <c r="DJ259" i="8"/>
  <c r="X259" i="8" s="1"/>
  <c r="DI259" i="8"/>
  <c r="W259" i="8" s="1"/>
  <c r="DH259" i="8"/>
  <c r="V259" i="8" s="1"/>
  <c r="DG259" i="8"/>
  <c r="U259" i="8" s="1"/>
  <c r="DF259" i="8"/>
  <c r="T259" i="8" s="1"/>
  <c r="DE259" i="8"/>
  <c r="S259" i="8" s="1"/>
  <c r="DD259" i="8"/>
  <c r="R259" i="8" s="1"/>
  <c r="DC259" i="8"/>
  <c r="Q259" i="8" s="1"/>
  <c r="DB259" i="8"/>
  <c r="P259" i="8" s="1"/>
  <c r="DA259" i="8"/>
  <c r="O259" i="8" s="1"/>
  <c r="CZ259" i="8"/>
  <c r="N259" i="8" s="1"/>
  <c r="DP258" i="8"/>
  <c r="AD258" i="8" s="1"/>
  <c r="DO258" i="8"/>
  <c r="AC258" i="8" s="1"/>
  <c r="DN258" i="8"/>
  <c r="AB258" i="8" s="1"/>
  <c r="DM258" i="8"/>
  <c r="AA258" i="8" s="1"/>
  <c r="DL258" i="8"/>
  <c r="Z258" i="8" s="1"/>
  <c r="DK258" i="8"/>
  <c r="Y258" i="8" s="1"/>
  <c r="DJ258" i="8"/>
  <c r="X258" i="8" s="1"/>
  <c r="DI258" i="8"/>
  <c r="W258" i="8" s="1"/>
  <c r="DH258" i="8"/>
  <c r="V258" i="8" s="1"/>
  <c r="DG258" i="8"/>
  <c r="U258" i="8" s="1"/>
  <c r="DF258" i="8"/>
  <c r="T258" i="8" s="1"/>
  <c r="DE258" i="8"/>
  <c r="S258" i="8" s="1"/>
  <c r="DD258" i="8"/>
  <c r="R258" i="8" s="1"/>
  <c r="DC258" i="8"/>
  <c r="Q258" i="8" s="1"/>
  <c r="DB258" i="8"/>
  <c r="P258" i="8" s="1"/>
  <c r="DA258" i="8"/>
  <c r="O258" i="8" s="1"/>
  <c r="CZ258" i="8"/>
  <c r="N258" i="8" s="1"/>
  <c r="DP257" i="8"/>
  <c r="AD257" i="8" s="1"/>
  <c r="DO257" i="8"/>
  <c r="AC257" i="8" s="1"/>
  <c r="DN257" i="8"/>
  <c r="AB257" i="8" s="1"/>
  <c r="DM257" i="8"/>
  <c r="AA257" i="8" s="1"/>
  <c r="DL257" i="8"/>
  <c r="Z257" i="8" s="1"/>
  <c r="DK257" i="8"/>
  <c r="Y257" i="8" s="1"/>
  <c r="DJ257" i="8"/>
  <c r="X257" i="8" s="1"/>
  <c r="DI257" i="8"/>
  <c r="W257" i="8" s="1"/>
  <c r="DH257" i="8"/>
  <c r="V257" i="8" s="1"/>
  <c r="DG257" i="8"/>
  <c r="U257" i="8" s="1"/>
  <c r="DF257" i="8"/>
  <c r="T257" i="8" s="1"/>
  <c r="DE257" i="8"/>
  <c r="S257" i="8" s="1"/>
  <c r="DD257" i="8"/>
  <c r="R257" i="8" s="1"/>
  <c r="DC257" i="8"/>
  <c r="Q257" i="8" s="1"/>
  <c r="DB257" i="8"/>
  <c r="P257" i="8" s="1"/>
  <c r="DA257" i="8"/>
  <c r="O257" i="8" s="1"/>
  <c r="CZ257" i="8"/>
  <c r="N257" i="8" s="1"/>
  <c r="DP256" i="8"/>
  <c r="AD256" i="8" s="1"/>
  <c r="DO256" i="8"/>
  <c r="AC256" i="8" s="1"/>
  <c r="DN256" i="8"/>
  <c r="AB256" i="8" s="1"/>
  <c r="DM256" i="8"/>
  <c r="AA256" i="8" s="1"/>
  <c r="DL256" i="8"/>
  <c r="Z256" i="8" s="1"/>
  <c r="DK256" i="8"/>
  <c r="Y256" i="8" s="1"/>
  <c r="DJ256" i="8"/>
  <c r="X256" i="8" s="1"/>
  <c r="DI256" i="8"/>
  <c r="W256" i="8" s="1"/>
  <c r="DH256" i="8"/>
  <c r="V256" i="8" s="1"/>
  <c r="DG256" i="8"/>
  <c r="U256" i="8" s="1"/>
  <c r="DF256" i="8"/>
  <c r="T256" i="8" s="1"/>
  <c r="DE256" i="8"/>
  <c r="S256" i="8" s="1"/>
  <c r="DD256" i="8"/>
  <c r="R256" i="8" s="1"/>
  <c r="DC256" i="8"/>
  <c r="Q256" i="8" s="1"/>
  <c r="DB256" i="8"/>
  <c r="P256" i="8" s="1"/>
  <c r="DA256" i="8"/>
  <c r="O256" i="8" s="1"/>
  <c r="CZ256" i="8"/>
  <c r="N256" i="8" s="1"/>
  <c r="DP255" i="8"/>
  <c r="AD255" i="8" s="1"/>
  <c r="DO255" i="8"/>
  <c r="AC255" i="8" s="1"/>
  <c r="DN255" i="8"/>
  <c r="AB255" i="8" s="1"/>
  <c r="DM255" i="8"/>
  <c r="AA255" i="8" s="1"/>
  <c r="DL255" i="8"/>
  <c r="Z255" i="8" s="1"/>
  <c r="DK255" i="8"/>
  <c r="Y255" i="8" s="1"/>
  <c r="DJ255" i="8"/>
  <c r="X255" i="8" s="1"/>
  <c r="DI255" i="8"/>
  <c r="W255" i="8" s="1"/>
  <c r="DH255" i="8"/>
  <c r="V255" i="8" s="1"/>
  <c r="DG255" i="8"/>
  <c r="U255" i="8" s="1"/>
  <c r="DF255" i="8"/>
  <c r="T255" i="8" s="1"/>
  <c r="DE255" i="8"/>
  <c r="S255" i="8" s="1"/>
  <c r="DD255" i="8"/>
  <c r="R255" i="8" s="1"/>
  <c r="DC255" i="8"/>
  <c r="Q255" i="8" s="1"/>
  <c r="DB255" i="8"/>
  <c r="P255" i="8" s="1"/>
  <c r="DA255" i="8"/>
  <c r="O255" i="8" s="1"/>
  <c r="CZ255" i="8"/>
  <c r="N255" i="8" s="1"/>
  <c r="DP254" i="8"/>
  <c r="AD254" i="8" s="1"/>
  <c r="DO254" i="8"/>
  <c r="AC254" i="8" s="1"/>
  <c r="DN254" i="8"/>
  <c r="AB254" i="8" s="1"/>
  <c r="DM254" i="8"/>
  <c r="AA254" i="8" s="1"/>
  <c r="DL254" i="8"/>
  <c r="Z254" i="8" s="1"/>
  <c r="DK254" i="8"/>
  <c r="Y254" i="8" s="1"/>
  <c r="DJ254" i="8"/>
  <c r="X254" i="8" s="1"/>
  <c r="DI254" i="8"/>
  <c r="W254" i="8" s="1"/>
  <c r="DH254" i="8"/>
  <c r="V254" i="8" s="1"/>
  <c r="DG254" i="8"/>
  <c r="U254" i="8" s="1"/>
  <c r="DF254" i="8"/>
  <c r="T254" i="8" s="1"/>
  <c r="DE254" i="8"/>
  <c r="S254" i="8" s="1"/>
  <c r="DD254" i="8"/>
  <c r="R254" i="8" s="1"/>
  <c r="DC254" i="8"/>
  <c r="Q254" i="8" s="1"/>
  <c r="DB254" i="8"/>
  <c r="P254" i="8" s="1"/>
  <c r="DA254" i="8"/>
  <c r="O254" i="8" s="1"/>
  <c r="CZ254" i="8"/>
  <c r="N254" i="8" s="1"/>
  <c r="DP253" i="8"/>
  <c r="AD253" i="8" s="1"/>
  <c r="DO253" i="8"/>
  <c r="AC253" i="8" s="1"/>
  <c r="DN253" i="8"/>
  <c r="AB253" i="8" s="1"/>
  <c r="DM253" i="8"/>
  <c r="AA253" i="8" s="1"/>
  <c r="DL253" i="8"/>
  <c r="Z253" i="8" s="1"/>
  <c r="DK253" i="8"/>
  <c r="Y253" i="8" s="1"/>
  <c r="DJ253" i="8"/>
  <c r="X253" i="8" s="1"/>
  <c r="DI253" i="8"/>
  <c r="W253" i="8" s="1"/>
  <c r="DH253" i="8"/>
  <c r="V253" i="8" s="1"/>
  <c r="DG253" i="8"/>
  <c r="U253" i="8" s="1"/>
  <c r="DF253" i="8"/>
  <c r="T253" i="8" s="1"/>
  <c r="DE253" i="8"/>
  <c r="S253" i="8" s="1"/>
  <c r="DD253" i="8"/>
  <c r="R253" i="8" s="1"/>
  <c r="DC253" i="8"/>
  <c r="Q253" i="8" s="1"/>
  <c r="DB253" i="8"/>
  <c r="P253" i="8" s="1"/>
  <c r="DA253" i="8"/>
  <c r="O253" i="8" s="1"/>
  <c r="CZ253" i="8"/>
  <c r="N253" i="8" s="1"/>
  <c r="DP252" i="8"/>
  <c r="AD252" i="8" s="1"/>
  <c r="DO252" i="8"/>
  <c r="AC252" i="8" s="1"/>
  <c r="DN252" i="8"/>
  <c r="AB252" i="8" s="1"/>
  <c r="DM252" i="8"/>
  <c r="AA252" i="8" s="1"/>
  <c r="DL252" i="8"/>
  <c r="Z252" i="8" s="1"/>
  <c r="DK252" i="8"/>
  <c r="Y252" i="8" s="1"/>
  <c r="DJ252" i="8"/>
  <c r="X252" i="8" s="1"/>
  <c r="DI252" i="8"/>
  <c r="W252" i="8" s="1"/>
  <c r="DH252" i="8"/>
  <c r="V252" i="8" s="1"/>
  <c r="DG252" i="8"/>
  <c r="U252" i="8" s="1"/>
  <c r="DF252" i="8"/>
  <c r="T252" i="8" s="1"/>
  <c r="DE252" i="8"/>
  <c r="S252" i="8" s="1"/>
  <c r="DD252" i="8"/>
  <c r="R252" i="8" s="1"/>
  <c r="DC252" i="8"/>
  <c r="Q252" i="8" s="1"/>
  <c r="DB252" i="8"/>
  <c r="P252" i="8" s="1"/>
  <c r="DA252" i="8"/>
  <c r="O252" i="8" s="1"/>
  <c r="CZ252" i="8"/>
  <c r="N252" i="8" s="1"/>
  <c r="DP251" i="8"/>
  <c r="AD251" i="8" s="1"/>
  <c r="DO251" i="8"/>
  <c r="AC251" i="8" s="1"/>
  <c r="DN251" i="8"/>
  <c r="AB251" i="8" s="1"/>
  <c r="DM251" i="8"/>
  <c r="AA251" i="8" s="1"/>
  <c r="DL251" i="8"/>
  <c r="Z251" i="8" s="1"/>
  <c r="DK251" i="8"/>
  <c r="Y251" i="8" s="1"/>
  <c r="DJ251" i="8"/>
  <c r="X251" i="8" s="1"/>
  <c r="DI251" i="8"/>
  <c r="W251" i="8" s="1"/>
  <c r="DH251" i="8"/>
  <c r="V251" i="8" s="1"/>
  <c r="DG251" i="8"/>
  <c r="U251" i="8" s="1"/>
  <c r="DF251" i="8"/>
  <c r="T251" i="8" s="1"/>
  <c r="DE251" i="8"/>
  <c r="S251" i="8" s="1"/>
  <c r="DD251" i="8"/>
  <c r="R251" i="8" s="1"/>
  <c r="DC251" i="8"/>
  <c r="Q251" i="8" s="1"/>
  <c r="DB251" i="8"/>
  <c r="P251" i="8" s="1"/>
  <c r="DA251" i="8"/>
  <c r="O251" i="8" s="1"/>
  <c r="CZ251" i="8"/>
  <c r="N251" i="8" s="1"/>
  <c r="DP250" i="8"/>
  <c r="AD250" i="8" s="1"/>
  <c r="DO250" i="8"/>
  <c r="AC250" i="8" s="1"/>
  <c r="DN250" i="8"/>
  <c r="AB250" i="8" s="1"/>
  <c r="DM250" i="8"/>
  <c r="AA250" i="8" s="1"/>
  <c r="DL250" i="8"/>
  <c r="Z250" i="8" s="1"/>
  <c r="DK250" i="8"/>
  <c r="Y250" i="8" s="1"/>
  <c r="DJ250" i="8"/>
  <c r="X250" i="8" s="1"/>
  <c r="DI250" i="8"/>
  <c r="W250" i="8" s="1"/>
  <c r="DH250" i="8"/>
  <c r="V250" i="8" s="1"/>
  <c r="DG250" i="8"/>
  <c r="U250" i="8" s="1"/>
  <c r="DF250" i="8"/>
  <c r="T250" i="8" s="1"/>
  <c r="DE250" i="8"/>
  <c r="S250" i="8" s="1"/>
  <c r="DD250" i="8"/>
  <c r="R250" i="8" s="1"/>
  <c r="DC250" i="8"/>
  <c r="Q250" i="8" s="1"/>
  <c r="DB250" i="8"/>
  <c r="P250" i="8" s="1"/>
  <c r="DA250" i="8"/>
  <c r="O250" i="8" s="1"/>
  <c r="CZ250" i="8"/>
  <c r="N250" i="8" s="1"/>
  <c r="DP249" i="8"/>
  <c r="AD249" i="8" s="1"/>
  <c r="DO249" i="8"/>
  <c r="AC249" i="8" s="1"/>
  <c r="DN249" i="8"/>
  <c r="AB249" i="8" s="1"/>
  <c r="DM249" i="8"/>
  <c r="AA249" i="8" s="1"/>
  <c r="DL249" i="8"/>
  <c r="Z249" i="8" s="1"/>
  <c r="DK249" i="8"/>
  <c r="Y249" i="8" s="1"/>
  <c r="DJ249" i="8"/>
  <c r="X249" i="8" s="1"/>
  <c r="DI249" i="8"/>
  <c r="W249" i="8" s="1"/>
  <c r="DH249" i="8"/>
  <c r="V249" i="8" s="1"/>
  <c r="DG249" i="8"/>
  <c r="U249" i="8" s="1"/>
  <c r="DF249" i="8"/>
  <c r="T249" i="8" s="1"/>
  <c r="DE249" i="8"/>
  <c r="S249" i="8" s="1"/>
  <c r="DD249" i="8"/>
  <c r="R249" i="8" s="1"/>
  <c r="DC249" i="8"/>
  <c r="Q249" i="8" s="1"/>
  <c r="DB249" i="8"/>
  <c r="P249" i="8" s="1"/>
  <c r="DA249" i="8"/>
  <c r="O249" i="8" s="1"/>
  <c r="CZ249" i="8"/>
  <c r="N249" i="8" s="1"/>
  <c r="DP248" i="8"/>
  <c r="AD248" i="8" s="1"/>
  <c r="DO248" i="8"/>
  <c r="AC248" i="8" s="1"/>
  <c r="DN248" i="8"/>
  <c r="AB248" i="8" s="1"/>
  <c r="DM248" i="8"/>
  <c r="AA248" i="8" s="1"/>
  <c r="DL248" i="8"/>
  <c r="Z248" i="8" s="1"/>
  <c r="DK248" i="8"/>
  <c r="Y248" i="8" s="1"/>
  <c r="DJ248" i="8"/>
  <c r="X248" i="8" s="1"/>
  <c r="DI248" i="8"/>
  <c r="W248" i="8" s="1"/>
  <c r="DH248" i="8"/>
  <c r="V248" i="8" s="1"/>
  <c r="DG248" i="8"/>
  <c r="U248" i="8" s="1"/>
  <c r="DF248" i="8"/>
  <c r="T248" i="8" s="1"/>
  <c r="DE248" i="8"/>
  <c r="S248" i="8" s="1"/>
  <c r="DD248" i="8"/>
  <c r="R248" i="8" s="1"/>
  <c r="DC248" i="8"/>
  <c r="Q248" i="8" s="1"/>
  <c r="DB248" i="8"/>
  <c r="P248" i="8" s="1"/>
  <c r="DA248" i="8"/>
  <c r="O248" i="8" s="1"/>
  <c r="CZ248" i="8"/>
  <c r="N248" i="8" s="1"/>
  <c r="DP247" i="8"/>
  <c r="AD247" i="8" s="1"/>
  <c r="DO247" i="8"/>
  <c r="AC247" i="8" s="1"/>
  <c r="DN247" i="8"/>
  <c r="AB247" i="8" s="1"/>
  <c r="DM247" i="8"/>
  <c r="AA247" i="8" s="1"/>
  <c r="DL247" i="8"/>
  <c r="Z247" i="8" s="1"/>
  <c r="DK247" i="8"/>
  <c r="Y247" i="8" s="1"/>
  <c r="DJ247" i="8"/>
  <c r="X247" i="8" s="1"/>
  <c r="DI247" i="8"/>
  <c r="W247" i="8" s="1"/>
  <c r="DH247" i="8"/>
  <c r="V247" i="8" s="1"/>
  <c r="DG247" i="8"/>
  <c r="U247" i="8" s="1"/>
  <c r="DF247" i="8"/>
  <c r="T247" i="8" s="1"/>
  <c r="DE247" i="8"/>
  <c r="S247" i="8" s="1"/>
  <c r="DD247" i="8"/>
  <c r="R247" i="8" s="1"/>
  <c r="DC247" i="8"/>
  <c r="Q247" i="8" s="1"/>
  <c r="DB247" i="8"/>
  <c r="P247" i="8" s="1"/>
  <c r="DA247" i="8"/>
  <c r="O247" i="8" s="1"/>
  <c r="CZ247" i="8"/>
  <c r="N247" i="8" s="1"/>
  <c r="DP246" i="8"/>
  <c r="AD246" i="8" s="1"/>
  <c r="DO246" i="8"/>
  <c r="AC246" i="8" s="1"/>
  <c r="DN246" i="8"/>
  <c r="AB246" i="8" s="1"/>
  <c r="DM246" i="8"/>
  <c r="AA246" i="8" s="1"/>
  <c r="DL246" i="8"/>
  <c r="Z246" i="8" s="1"/>
  <c r="DK246" i="8"/>
  <c r="Y246" i="8" s="1"/>
  <c r="DJ246" i="8"/>
  <c r="X246" i="8" s="1"/>
  <c r="DI246" i="8"/>
  <c r="W246" i="8" s="1"/>
  <c r="DH246" i="8"/>
  <c r="V246" i="8" s="1"/>
  <c r="DG246" i="8"/>
  <c r="U246" i="8" s="1"/>
  <c r="DF246" i="8"/>
  <c r="T246" i="8" s="1"/>
  <c r="DE246" i="8"/>
  <c r="S246" i="8" s="1"/>
  <c r="DD246" i="8"/>
  <c r="R246" i="8" s="1"/>
  <c r="DC246" i="8"/>
  <c r="Q246" i="8" s="1"/>
  <c r="DB246" i="8"/>
  <c r="P246" i="8" s="1"/>
  <c r="DA246" i="8"/>
  <c r="O246" i="8" s="1"/>
  <c r="CZ246" i="8"/>
  <c r="N246" i="8" s="1"/>
  <c r="DP245" i="8"/>
  <c r="AD245" i="8" s="1"/>
  <c r="DO245" i="8"/>
  <c r="AC245" i="8" s="1"/>
  <c r="DN245" i="8"/>
  <c r="AB245" i="8" s="1"/>
  <c r="DM245" i="8"/>
  <c r="AA245" i="8" s="1"/>
  <c r="DL245" i="8"/>
  <c r="Z245" i="8" s="1"/>
  <c r="DK245" i="8"/>
  <c r="Y245" i="8" s="1"/>
  <c r="DJ245" i="8"/>
  <c r="X245" i="8" s="1"/>
  <c r="DI245" i="8"/>
  <c r="W245" i="8" s="1"/>
  <c r="DH245" i="8"/>
  <c r="V245" i="8" s="1"/>
  <c r="DG245" i="8"/>
  <c r="U245" i="8" s="1"/>
  <c r="DF245" i="8"/>
  <c r="T245" i="8" s="1"/>
  <c r="DE245" i="8"/>
  <c r="S245" i="8" s="1"/>
  <c r="DD245" i="8"/>
  <c r="R245" i="8" s="1"/>
  <c r="DC245" i="8"/>
  <c r="Q245" i="8" s="1"/>
  <c r="DB245" i="8"/>
  <c r="P245" i="8" s="1"/>
  <c r="DA245" i="8"/>
  <c r="O245" i="8" s="1"/>
  <c r="CZ245" i="8"/>
  <c r="N245" i="8" s="1"/>
  <c r="DP244" i="8"/>
  <c r="AD244" i="8" s="1"/>
  <c r="DO244" i="8"/>
  <c r="AC244" i="8" s="1"/>
  <c r="DN244" i="8"/>
  <c r="AB244" i="8" s="1"/>
  <c r="DM244" i="8"/>
  <c r="AA244" i="8" s="1"/>
  <c r="DL244" i="8"/>
  <c r="Z244" i="8" s="1"/>
  <c r="DK244" i="8"/>
  <c r="Y244" i="8" s="1"/>
  <c r="DJ244" i="8"/>
  <c r="X244" i="8" s="1"/>
  <c r="DI244" i="8"/>
  <c r="W244" i="8" s="1"/>
  <c r="DH244" i="8"/>
  <c r="V244" i="8" s="1"/>
  <c r="DG244" i="8"/>
  <c r="U244" i="8" s="1"/>
  <c r="DF244" i="8"/>
  <c r="T244" i="8" s="1"/>
  <c r="DE244" i="8"/>
  <c r="S244" i="8" s="1"/>
  <c r="DD244" i="8"/>
  <c r="R244" i="8" s="1"/>
  <c r="DC244" i="8"/>
  <c r="Q244" i="8" s="1"/>
  <c r="DB244" i="8"/>
  <c r="P244" i="8" s="1"/>
  <c r="DA244" i="8"/>
  <c r="O244" i="8" s="1"/>
  <c r="CZ244" i="8"/>
  <c r="N244" i="8" s="1"/>
  <c r="DP243" i="8"/>
  <c r="AD243" i="8" s="1"/>
  <c r="DO243" i="8"/>
  <c r="AC243" i="8" s="1"/>
  <c r="DN243" i="8"/>
  <c r="AB243" i="8" s="1"/>
  <c r="DM243" i="8"/>
  <c r="AA243" i="8" s="1"/>
  <c r="DL243" i="8"/>
  <c r="Z243" i="8" s="1"/>
  <c r="DK243" i="8"/>
  <c r="Y243" i="8" s="1"/>
  <c r="DJ243" i="8"/>
  <c r="X243" i="8" s="1"/>
  <c r="DI243" i="8"/>
  <c r="W243" i="8" s="1"/>
  <c r="DH243" i="8"/>
  <c r="V243" i="8" s="1"/>
  <c r="DG243" i="8"/>
  <c r="U243" i="8" s="1"/>
  <c r="DF243" i="8"/>
  <c r="T243" i="8" s="1"/>
  <c r="DE243" i="8"/>
  <c r="S243" i="8" s="1"/>
  <c r="DD243" i="8"/>
  <c r="R243" i="8" s="1"/>
  <c r="DC243" i="8"/>
  <c r="Q243" i="8" s="1"/>
  <c r="DB243" i="8"/>
  <c r="P243" i="8" s="1"/>
  <c r="DA243" i="8"/>
  <c r="O243" i="8" s="1"/>
  <c r="CZ243" i="8"/>
  <c r="N243" i="8" s="1"/>
  <c r="DP242" i="8"/>
  <c r="AD242" i="8" s="1"/>
  <c r="DO242" i="8"/>
  <c r="AC242" i="8" s="1"/>
  <c r="DN242" i="8"/>
  <c r="AB242" i="8" s="1"/>
  <c r="DM242" i="8"/>
  <c r="AA242" i="8" s="1"/>
  <c r="DL242" i="8"/>
  <c r="Z242" i="8" s="1"/>
  <c r="DK242" i="8"/>
  <c r="Y242" i="8" s="1"/>
  <c r="DJ242" i="8"/>
  <c r="X242" i="8" s="1"/>
  <c r="DI242" i="8"/>
  <c r="W242" i="8" s="1"/>
  <c r="DH242" i="8"/>
  <c r="V242" i="8" s="1"/>
  <c r="DG242" i="8"/>
  <c r="U242" i="8" s="1"/>
  <c r="DF242" i="8"/>
  <c r="T242" i="8" s="1"/>
  <c r="DE242" i="8"/>
  <c r="S242" i="8" s="1"/>
  <c r="DD242" i="8"/>
  <c r="R242" i="8" s="1"/>
  <c r="DC242" i="8"/>
  <c r="Q242" i="8" s="1"/>
  <c r="DB242" i="8"/>
  <c r="P242" i="8" s="1"/>
  <c r="DA242" i="8"/>
  <c r="O242" i="8" s="1"/>
  <c r="CZ242" i="8"/>
  <c r="N242" i="8" s="1"/>
  <c r="DP241" i="8"/>
  <c r="AD241" i="8" s="1"/>
  <c r="DO241" i="8"/>
  <c r="AC241" i="8" s="1"/>
  <c r="DN241" i="8"/>
  <c r="AB241" i="8" s="1"/>
  <c r="DM241" i="8"/>
  <c r="AA241" i="8" s="1"/>
  <c r="DL241" i="8"/>
  <c r="Z241" i="8" s="1"/>
  <c r="DK241" i="8"/>
  <c r="Y241" i="8" s="1"/>
  <c r="DJ241" i="8"/>
  <c r="X241" i="8" s="1"/>
  <c r="DI241" i="8"/>
  <c r="W241" i="8" s="1"/>
  <c r="DH241" i="8"/>
  <c r="V241" i="8" s="1"/>
  <c r="DG241" i="8"/>
  <c r="U241" i="8" s="1"/>
  <c r="DF241" i="8"/>
  <c r="T241" i="8" s="1"/>
  <c r="DE241" i="8"/>
  <c r="S241" i="8" s="1"/>
  <c r="DD241" i="8"/>
  <c r="R241" i="8" s="1"/>
  <c r="DC241" i="8"/>
  <c r="Q241" i="8" s="1"/>
  <c r="DB241" i="8"/>
  <c r="P241" i="8" s="1"/>
  <c r="DA241" i="8"/>
  <c r="O241" i="8" s="1"/>
  <c r="CZ241" i="8"/>
  <c r="N241" i="8" s="1"/>
  <c r="DP240" i="8"/>
  <c r="AD240" i="8" s="1"/>
  <c r="DO240" i="8"/>
  <c r="AC240" i="8" s="1"/>
  <c r="DN240" i="8"/>
  <c r="AB240" i="8" s="1"/>
  <c r="DM240" i="8"/>
  <c r="AA240" i="8" s="1"/>
  <c r="DL240" i="8"/>
  <c r="Z240" i="8" s="1"/>
  <c r="DK240" i="8"/>
  <c r="Y240" i="8" s="1"/>
  <c r="DJ240" i="8"/>
  <c r="X240" i="8" s="1"/>
  <c r="DI240" i="8"/>
  <c r="W240" i="8" s="1"/>
  <c r="DH240" i="8"/>
  <c r="V240" i="8" s="1"/>
  <c r="DG240" i="8"/>
  <c r="U240" i="8" s="1"/>
  <c r="DF240" i="8"/>
  <c r="T240" i="8" s="1"/>
  <c r="DE240" i="8"/>
  <c r="S240" i="8" s="1"/>
  <c r="DD240" i="8"/>
  <c r="R240" i="8" s="1"/>
  <c r="DC240" i="8"/>
  <c r="Q240" i="8" s="1"/>
  <c r="DB240" i="8"/>
  <c r="P240" i="8" s="1"/>
  <c r="DA240" i="8"/>
  <c r="O240" i="8" s="1"/>
  <c r="CZ240" i="8"/>
  <c r="N240" i="8" s="1"/>
  <c r="DP239" i="8"/>
  <c r="AD239" i="8" s="1"/>
  <c r="DO239" i="8"/>
  <c r="AC239" i="8" s="1"/>
  <c r="DN239" i="8"/>
  <c r="AB239" i="8" s="1"/>
  <c r="DM239" i="8"/>
  <c r="AA239" i="8" s="1"/>
  <c r="DL239" i="8"/>
  <c r="Z239" i="8" s="1"/>
  <c r="DK239" i="8"/>
  <c r="Y239" i="8" s="1"/>
  <c r="DJ239" i="8"/>
  <c r="X239" i="8" s="1"/>
  <c r="DI239" i="8"/>
  <c r="W239" i="8" s="1"/>
  <c r="DH239" i="8"/>
  <c r="V239" i="8" s="1"/>
  <c r="DG239" i="8"/>
  <c r="U239" i="8" s="1"/>
  <c r="DF239" i="8"/>
  <c r="T239" i="8" s="1"/>
  <c r="DE239" i="8"/>
  <c r="S239" i="8" s="1"/>
  <c r="DD239" i="8"/>
  <c r="R239" i="8" s="1"/>
  <c r="DC239" i="8"/>
  <c r="Q239" i="8" s="1"/>
  <c r="DB239" i="8"/>
  <c r="P239" i="8" s="1"/>
  <c r="DA239" i="8"/>
  <c r="O239" i="8" s="1"/>
  <c r="CZ239" i="8"/>
  <c r="N239" i="8" s="1"/>
  <c r="DP238" i="8"/>
  <c r="AD238" i="8" s="1"/>
  <c r="DO238" i="8"/>
  <c r="AC238" i="8" s="1"/>
  <c r="DN238" i="8"/>
  <c r="AB238" i="8" s="1"/>
  <c r="DM238" i="8"/>
  <c r="AA238" i="8" s="1"/>
  <c r="DL238" i="8"/>
  <c r="Z238" i="8" s="1"/>
  <c r="DK238" i="8"/>
  <c r="Y238" i="8" s="1"/>
  <c r="DJ238" i="8"/>
  <c r="X238" i="8" s="1"/>
  <c r="DI238" i="8"/>
  <c r="W238" i="8" s="1"/>
  <c r="DH238" i="8"/>
  <c r="V238" i="8" s="1"/>
  <c r="DG238" i="8"/>
  <c r="U238" i="8" s="1"/>
  <c r="DF238" i="8"/>
  <c r="T238" i="8" s="1"/>
  <c r="DE238" i="8"/>
  <c r="S238" i="8" s="1"/>
  <c r="DD238" i="8"/>
  <c r="R238" i="8" s="1"/>
  <c r="DC238" i="8"/>
  <c r="Q238" i="8" s="1"/>
  <c r="DB238" i="8"/>
  <c r="P238" i="8" s="1"/>
  <c r="DA238" i="8"/>
  <c r="O238" i="8" s="1"/>
  <c r="CZ238" i="8"/>
  <c r="N238" i="8" s="1"/>
  <c r="DP237" i="8"/>
  <c r="AD237" i="8" s="1"/>
  <c r="DO237" i="8"/>
  <c r="AC237" i="8" s="1"/>
  <c r="DN237" i="8"/>
  <c r="AB237" i="8" s="1"/>
  <c r="DM237" i="8"/>
  <c r="AA237" i="8" s="1"/>
  <c r="DL237" i="8"/>
  <c r="Z237" i="8" s="1"/>
  <c r="DK237" i="8"/>
  <c r="Y237" i="8" s="1"/>
  <c r="DJ237" i="8"/>
  <c r="X237" i="8" s="1"/>
  <c r="DI237" i="8"/>
  <c r="W237" i="8" s="1"/>
  <c r="DH237" i="8"/>
  <c r="V237" i="8" s="1"/>
  <c r="DG237" i="8"/>
  <c r="U237" i="8" s="1"/>
  <c r="DF237" i="8"/>
  <c r="T237" i="8" s="1"/>
  <c r="DE237" i="8"/>
  <c r="S237" i="8" s="1"/>
  <c r="DD237" i="8"/>
  <c r="R237" i="8" s="1"/>
  <c r="DC237" i="8"/>
  <c r="Q237" i="8" s="1"/>
  <c r="DB237" i="8"/>
  <c r="P237" i="8" s="1"/>
  <c r="DA237" i="8"/>
  <c r="O237" i="8" s="1"/>
  <c r="CZ237" i="8"/>
  <c r="N237" i="8" s="1"/>
  <c r="DP236" i="8"/>
  <c r="AD236" i="8" s="1"/>
  <c r="DO236" i="8"/>
  <c r="AC236" i="8" s="1"/>
  <c r="DN236" i="8"/>
  <c r="AB236" i="8" s="1"/>
  <c r="DM236" i="8"/>
  <c r="AA236" i="8" s="1"/>
  <c r="DL236" i="8"/>
  <c r="Z236" i="8" s="1"/>
  <c r="DK236" i="8"/>
  <c r="Y236" i="8" s="1"/>
  <c r="DJ236" i="8"/>
  <c r="X236" i="8" s="1"/>
  <c r="DI236" i="8"/>
  <c r="W236" i="8" s="1"/>
  <c r="DH236" i="8"/>
  <c r="V236" i="8" s="1"/>
  <c r="DG236" i="8"/>
  <c r="U236" i="8" s="1"/>
  <c r="DF236" i="8"/>
  <c r="T236" i="8" s="1"/>
  <c r="DE236" i="8"/>
  <c r="S236" i="8" s="1"/>
  <c r="DD236" i="8"/>
  <c r="R236" i="8" s="1"/>
  <c r="DC236" i="8"/>
  <c r="Q236" i="8" s="1"/>
  <c r="DB236" i="8"/>
  <c r="P236" i="8" s="1"/>
  <c r="DA236" i="8"/>
  <c r="O236" i="8" s="1"/>
  <c r="CZ236" i="8"/>
  <c r="N236" i="8" s="1"/>
  <c r="DP235" i="8"/>
  <c r="AD235" i="8" s="1"/>
  <c r="DO235" i="8"/>
  <c r="AC235" i="8" s="1"/>
  <c r="DN235" i="8"/>
  <c r="AB235" i="8" s="1"/>
  <c r="DM235" i="8"/>
  <c r="AA235" i="8" s="1"/>
  <c r="DL235" i="8"/>
  <c r="Z235" i="8" s="1"/>
  <c r="DK235" i="8"/>
  <c r="Y235" i="8" s="1"/>
  <c r="DJ235" i="8"/>
  <c r="X235" i="8" s="1"/>
  <c r="DI235" i="8"/>
  <c r="W235" i="8" s="1"/>
  <c r="DH235" i="8"/>
  <c r="V235" i="8" s="1"/>
  <c r="DG235" i="8"/>
  <c r="U235" i="8" s="1"/>
  <c r="DF235" i="8"/>
  <c r="T235" i="8" s="1"/>
  <c r="DE235" i="8"/>
  <c r="S235" i="8" s="1"/>
  <c r="DD235" i="8"/>
  <c r="R235" i="8" s="1"/>
  <c r="DC235" i="8"/>
  <c r="Q235" i="8" s="1"/>
  <c r="DB235" i="8"/>
  <c r="P235" i="8" s="1"/>
  <c r="DA235" i="8"/>
  <c r="O235" i="8" s="1"/>
  <c r="CZ235" i="8"/>
  <c r="N235" i="8" s="1"/>
  <c r="DP234" i="8"/>
  <c r="AD234" i="8" s="1"/>
  <c r="DO234" i="8"/>
  <c r="AC234" i="8" s="1"/>
  <c r="DN234" i="8"/>
  <c r="AB234" i="8" s="1"/>
  <c r="DM234" i="8"/>
  <c r="AA234" i="8" s="1"/>
  <c r="DL234" i="8"/>
  <c r="Z234" i="8" s="1"/>
  <c r="DK234" i="8"/>
  <c r="Y234" i="8" s="1"/>
  <c r="DJ234" i="8"/>
  <c r="X234" i="8" s="1"/>
  <c r="DI234" i="8"/>
  <c r="W234" i="8" s="1"/>
  <c r="DH234" i="8"/>
  <c r="V234" i="8" s="1"/>
  <c r="DG234" i="8"/>
  <c r="U234" i="8" s="1"/>
  <c r="DF234" i="8"/>
  <c r="T234" i="8" s="1"/>
  <c r="DE234" i="8"/>
  <c r="S234" i="8" s="1"/>
  <c r="DD234" i="8"/>
  <c r="R234" i="8" s="1"/>
  <c r="DC234" i="8"/>
  <c r="Q234" i="8" s="1"/>
  <c r="DB234" i="8"/>
  <c r="P234" i="8" s="1"/>
  <c r="DA234" i="8"/>
  <c r="O234" i="8" s="1"/>
  <c r="CZ234" i="8"/>
  <c r="N234" i="8" s="1"/>
  <c r="DP221" i="8"/>
  <c r="AD221" i="8" s="1"/>
  <c r="DO221" i="8"/>
  <c r="AC221" i="8" s="1"/>
  <c r="DN221" i="8"/>
  <c r="AB221" i="8" s="1"/>
  <c r="DM221" i="8"/>
  <c r="AA221" i="8" s="1"/>
  <c r="DL221" i="8"/>
  <c r="Z221" i="8" s="1"/>
  <c r="DK221" i="8"/>
  <c r="Y221" i="8" s="1"/>
  <c r="DJ221" i="8"/>
  <c r="X221" i="8" s="1"/>
  <c r="DI221" i="8"/>
  <c r="W221" i="8" s="1"/>
  <c r="DH221" i="8"/>
  <c r="V221" i="8" s="1"/>
  <c r="DG221" i="8"/>
  <c r="U221" i="8" s="1"/>
  <c r="DF221" i="8"/>
  <c r="T221" i="8" s="1"/>
  <c r="DE221" i="8"/>
  <c r="S221" i="8" s="1"/>
  <c r="DD221" i="8"/>
  <c r="R221" i="8" s="1"/>
  <c r="DC221" i="8"/>
  <c r="Q221" i="8" s="1"/>
  <c r="DB221" i="8"/>
  <c r="P221" i="8" s="1"/>
  <c r="DA221" i="8"/>
  <c r="O221" i="8" s="1"/>
  <c r="CZ221" i="8"/>
  <c r="N221" i="8" s="1"/>
  <c r="DP220" i="8"/>
  <c r="AD220" i="8" s="1"/>
  <c r="DO220" i="8"/>
  <c r="AC220" i="8" s="1"/>
  <c r="DN220" i="8"/>
  <c r="AB220" i="8" s="1"/>
  <c r="DM220" i="8"/>
  <c r="AA220" i="8" s="1"/>
  <c r="DL220" i="8"/>
  <c r="Z220" i="8" s="1"/>
  <c r="DK220" i="8"/>
  <c r="Y220" i="8" s="1"/>
  <c r="DJ220" i="8"/>
  <c r="X220" i="8" s="1"/>
  <c r="DI220" i="8"/>
  <c r="W220" i="8" s="1"/>
  <c r="DH220" i="8"/>
  <c r="V220" i="8" s="1"/>
  <c r="DG220" i="8"/>
  <c r="U220" i="8" s="1"/>
  <c r="DF220" i="8"/>
  <c r="T220" i="8" s="1"/>
  <c r="DE220" i="8"/>
  <c r="S220" i="8" s="1"/>
  <c r="DD220" i="8"/>
  <c r="R220" i="8" s="1"/>
  <c r="DC220" i="8"/>
  <c r="Q220" i="8" s="1"/>
  <c r="DB220" i="8"/>
  <c r="P220" i="8" s="1"/>
  <c r="DA220" i="8"/>
  <c r="O220" i="8" s="1"/>
  <c r="CZ220" i="8"/>
  <c r="N220" i="8" s="1"/>
  <c r="DP219" i="8"/>
  <c r="AD219" i="8" s="1"/>
  <c r="DO219" i="8"/>
  <c r="AC219" i="8" s="1"/>
  <c r="DN219" i="8"/>
  <c r="AB219" i="8" s="1"/>
  <c r="DM219" i="8"/>
  <c r="AA219" i="8" s="1"/>
  <c r="DL219" i="8"/>
  <c r="Z219" i="8" s="1"/>
  <c r="DK219" i="8"/>
  <c r="Y219" i="8" s="1"/>
  <c r="DJ219" i="8"/>
  <c r="X219" i="8" s="1"/>
  <c r="DI219" i="8"/>
  <c r="W219" i="8" s="1"/>
  <c r="DH219" i="8"/>
  <c r="V219" i="8" s="1"/>
  <c r="DG219" i="8"/>
  <c r="U219" i="8" s="1"/>
  <c r="DF219" i="8"/>
  <c r="T219" i="8" s="1"/>
  <c r="DE219" i="8"/>
  <c r="S219" i="8" s="1"/>
  <c r="DD219" i="8"/>
  <c r="R219" i="8" s="1"/>
  <c r="DC219" i="8"/>
  <c r="Q219" i="8" s="1"/>
  <c r="DB219" i="8"/>
  <c r="P219" i="8" s="1"/>
  <c r="DA219" i="8"/>
  <c r="O219" i="8" s="1"/>
  <c r="CZ219" i="8"/>
  <c r="N219" i="8" s="1"/>
  <c r="DP218" i="8"/>
  <c r="AD218" i="8" s="1"/>
  <c r="DO218" i="8"/>
  <c r="AC218" i="8" s="1"/>
  <c r="DN218" i="8"/>
  <c r="AB218" i="8" s="1"/>
  <c r="DM218" i="8"/>
  <c r="AA218" i="8" s="1"/>
  <c r="DL218" i="8"/>
  <c r="Z218" i="8" s="1"/>
  <c r="DK218" i="8"/>
  <c r="Y218" i="8" s="1"/>
  <c r="DJ218" i="8"/>
  <c r="X218" i="8" s="1"/>
  <c r="DI218" i="8"/>
  <c r="W218" i="8" s="1"/>
  <c r="DH218" i="8"/>
  <c r="V218" i="8" s="1"/>
  <c r="DG218" i="8"/>
  <c r="U218" i="8" s="1"/>
  <c r="DF218" i="8"/>
  <c r="T218" i="8" s="1"/>
  <c r="DE218" i="8"/>
  <c r="S218" i="8" s="1"/>
  <c r="DD218" i="8"/>
  <c r="R218" i="8" s="1"/>
  <c r="DC218" i="8"/>
  <c r="Q218" i="8" s="1"/>
  <c r="DB218" i="8"/>
  <c r="P218" i="8" s="1"/>
  <c r="DA218" i="8"/>
  <c r="O218" i="8" s="1"/>
  <c r="CZ218" i="8"/>
  <c r="N218" i="8" s="1"/>
  <c r="DP217" i="8"/>
  <c r="AD217" i="8" s="1"/>
  <c r="DO217" i="8"/>
  <c r="AC217" i="8" s="1"/>
  <c r="DN217" i="8"/>
  <c r="AB217" i="8" s="1"/>
  <c r="DM217" i="8"/>
  <c r="AA217" i="8" s="1"/>
  <c r="DL217" i="8"/>
  <c r="Z217" i="8" s="1"/>
  <c r="DK217" i="8"/>
  <c r="Y217" i="8" s="1"/>
  <c r="DJ217" i="8"/>
  <c r="X217" i="8" s="1"/>
  <c r="DI217" i="8"/>
  <c r="W217" i="8" s="1"/>
  <c r="DH217" i="8"/>
  <c r="V217" i="8" s="1"/>
  <c r="DG217" i="8"/>
  <c r="U217" i="8" s="1"/>
  <c r="DF217" i="8"/>
  <c r="T217" i="8" s="1"/>
  <c r="DE217" i="8"/>
  <c r="S217" i="8" s="1"/>
  <c r="DD217" i="8"/>
  <c r="R217" i="8" s="1"/>
  <c r="DC217" i="8"/>
  <c r="Q217" i="8" s="1"/>
  <c r="DB217" i="8"/>
  <c r="P217" i="8" s="1"/>
  <c r="DA217" i="8"/>
  <c r="O217" i="8" s="1"/>
  <c r="CZ217" i="8"/>
  <c r="N217" i="8" s="1"/>
  <c r="DP216" i="8"/>
  <c r="AD216" i="8" s="1"/>
  <c r="DO216" i="8"/>
  <c r="AC216" i="8" s="1"/>
  <c r="DN216" i="8"/>
  <c r="AB216" i="8" s="1"/>
  <c r="DM216" i="8"/>
  <c r="AA216" i="8" s="1"/>
  <c r="DL216" i="8"/>
  <c r="Z216" i="8" s="1"/>
  <c r="DK216" i="8"/>
  <c r="Y216" i="8" s="1"/>
  <c r="DJ216" i="8"/>
  <c r="X216" i="8" s="1"/>
  <c r="DI216" i="8"/>
  <c r="W216" i="8" s="1"/>
  <c r="DH216" i="8"/>
  <c r="V216" i="8" s="1"/>
  <c r="DG216" i="8"/>
  <c r="U216" i="8" s="1"/>
  <c r="DF216" i="8"/>
  <c r="T216" i="8" s="1"/>
  <c r="DE216" i="8"/>
  <c r="S216" i="8" s="1"/>
  <c r="DD216" i="8"/>
  <c r="R216" i="8" s="1"/>
  <c r="DC216" i="8"/>
  <c r="Q216" i="8" s="1"/>
  <c r="DB216" i="8"/>
  <c r="P216" i="8" s="1"/>
  <c r="DA216" i="8"/>
  <c r="O216" i="8" s="1"/>
  <c r="CZ216" i="8"/>
  <c r="N216" i="8" s="1"/>
  <c r="DP215" i="8"/>
  <c r="AD215" i="8" s="1"/>
  <c r="DO215" i="8"/>
  <c r="AC215" i="8" s="1"/>
  <c r="DN215" i="8"/>
  <c r="AB215" i="8" s="1"/>
  <c r="DM215" i="8"/>
  <c r="AA215" i="8" s="1"/>
  <c r="DL215" i="8"/>
  <c r="Z215" i="8" s="1"/>
  <c r="DK215" i="8"/>
  <c r="Y215" i="8" s="1"/>
  <c r="DJ215" i="8"/>
  <c r="X215" i="8" s="1"/>
  <c r="DI215" i="8"/>
  <c r="W215" i="8" s="1"/>
  <c r="DH215" i="8"/>
  <c r="V215" i="8" s="1"/>
  <c r="DG215" i="8"/>
  <c r="U215" i="8" s="1"/>
  <c r="DF215" i="8"/>
  <c r="T215" i="8" s="1"/>
  <c r="DE215" i="8"/>
  <c r="S215" i="8" s="1"/>
  <c r="DD215" i="8"/>
  <c r="R215" i="8" s="1"/>
  <c r="DC215" i="8"/>
  <c r="Q215" i="8" s="1"/>
  <c r="DB215" i="8"/>
  <c r="P215" i="8" s="1"/>
  <c r="DA215" i="8"/>
  <c r="O215" i="8" s="1"/>
  <c r="CZ215" i="8"/>
  <c r="N215" i="8" s="1"/>
  <c r="DP214" i="8"/>
  <c r="AD214" i="8" s="1"/>
  <c r="DO214" i="8"/>
  <c r="AC214" i="8" s="1"/>
  <c r="DN214" i="8"/>
  <c r="AB214" i="8" s="1"/>
  <c r="DM214" i="8"/>
  <c r="AA214" i="8" s="1"/>
  <c r="DL214" i="8"/>
  <c r="Z214" i="8" s="1"/>
  <c r="DK214" i="8"/>
  <c r="Y214" i="8" s="1"/>
  <c r="DJ214" i="8"/>
  <c r="X214" i="8" s="1"/>
  <c r="DI214" i="8"/>
  <c r="W214" i="8" s="1"/>
  <c r="DH214" i="8"/>
  <c r="V214" i="8" s="1"/>
  <c r="DG214" i="8"/>
  <c r="U214" i="8" s="1"/>
  <c r="DF214" i="8"/>
  <c r="T214" i="8" s="1"/>
  <c r="DE214" i="8"/>
  <c r="S214" i="8" s="1"/>
  <c r="DD214" i="8"/>
  <c r="R214" i="8" s="1"/>
  <c r="DC214" i="8"/>
  <c r="Q214" i="8" s="1"/>
  <c r="DB214" i="8"/>
  <c r="P214" i="8" s="1"/>
  <c r="DA214" i="8"/>
  <c r="O214" i="8" s="1"/>
  <c r="CZ214" i="8"/>
  <c r="N214" i="8" s="1"/>
  <c r="DP213" i="8"/>
  <c r="AD213" i="8" s="1"/>
  <c r="DO213" i="8"/>
  <c r="AC213" i="8" s="1"/>
  <c r="DN213" i="8"/>
  <c r="AB213" i="8" s="1"/>
  <c r="DM213" i="8"/>
  <c r="AA213" i="8" s="1"/>
  <c r="DL213" i="8"/>
  <c r="Z213" i="8" s="1"/>
  <c r="DK213" i="8"/>
  <c r="Y213" i="8" s="1"/>
  <c r="DJ213" i="8"/>
  <c r="X213" i="8" s="1"/>
  <c r="DI213" i="8"/>
  <c r="W213" i="8" s="1"/>
  <c r="DH213" i="8"/>
  <c r="V213" i="8" s="1"/>
  <c r="DG213" i="8"/>
  <c r="U213" i="8" s="1"/>
  <c r="DF213" i="8"/>
  <c r="T213" i="8" s="1"/>
  <c r="DE213" i="8"/>
  <c r="S213" i="8" s="1"/>
  <c r="DD213" i="8"/>
  <c r="R213" i="8" s="1"/>
  <c r="DC213" i="8"/>
  <c r="Q213" i="8" s="1"/>
  <c r="DB213" i="8"/>
  <c r="P213" i="8" s="1"/>
  <c r="DA213" i="8"/>
  <c r="O213" i="8" s="1"/>
  <c r="CZ213" i="8"/>
  <c r="N213" i="8" s="1"/>
  <c r="DP212" i="8"/>
  <c r="AD212" i="8" s="1"/>
  <c r="DO212" i="8"/>
  <c r="AC212" i="8" s="1"/>
  <c r="DN212" i="8"/>
  <c r="AB212" i="8" s="1"/>
  <c r="DM212" i="8"/>
  <c r="AA212" i="8" s="1"/>
  <c r="DL212" i="8"/>
  <c r="Z212" i="8" s="1"/>
  <c r="DK212" i="8"/>
  <c r="Y212" i="8" s="1"/>
  <c r="DJ212" i="8"/>
  <c r="X212" i="8" s="1"/>
  <c r="DI212" i="8"/>
  <c r="W212" i="8" s="1"/>
  <c r="DH212" i="8"/>
  <c r="V212" i="8" s="1"/>
  <c r="DG212" i="8"/>
  <c r="U212" i="8" s="1"/>
  <c r="DF212" i="8"/>
  <c r="T212" i="8" s="1"/>
  <c r="DE212" i="8"/>
  <c r="S212" i="8" s="1"/>
  <c r="DD212" i="8"/>
  <c r="R212" i="8" s="1"/>
  <c r="DC212" i="8"/>
  <c r="Q212" i="8" s="1"/>
  <c r="DB212" i="8"/>
  <c r="P212" i="8" s="1"/>
  <c r="DA212" i="8"/>
  <c r="O212" i="8" s="1"/>
  <c r="CZ212" i="8"/>
  <c r="N212" i="8" s="1"/>
  <c r="DP211" i="8"/>
  <c r="AD211" i="8" s="1"/>
  <c r="DO211" i="8"/>
  <c r="AC211" i="8" s="1"/>
  <c r="DN211" i="8"/>
  <c r="AB211" i="8" s="1"/>
  <c r="DM211" i="8"/>
  <c r="AA211" i="8" s="1"/>
  <c r="DL211" i="8"/>
  <c r="Z211" i="8" s="1"/>
  <c r="DK211" i="8"/>
  <c r="Y211" i="8" s="1"/>
  <c r="DJ211" i="8"/>
  <c r="X211" i="8" s="1"/>
  <c r="DI211" i="8"/>
  <c r="W211" i="8" s="1"/>
  <c r="DH211" i="8"/>
  <c r="V211" i="8" s="1"/>
  <c r="DG211" i="8"/>
  <c r="U211" i="8" s="1"/>
  <c r="DF211" i="8"/>
  <c r="T211" i="8" s="1"/>
  <c r="DE211" i="8"/>
  <c r="S211" i="8" s="1"/>
  <c r="DD211" i="8"/>
  <c r="R211" i="8" s="1"/>
  <c r="DC211" i="8"/>
  <c r="Q211" i="8" s="1"/>
  <c r="DB211" i="8"/>
  <c r="P211" i="8" s="1"/>
  <c r="DA211" i="8"/>
  <c r="O211" i="8" s="1"/>
  <c r="CZ211" i="8"/>
  <c r="N211" i="8" s="1"/>
  <c r="DP210" i="8"/>
  <c r="AD210" i="8" s="1"/>
  <c r="DO210" i="8"/>
  <c r="AC210" i="8" s="1"/>
  <c r="DN210" i="8"/>
  <c r="AB210" i="8" s="1"/>
  <c r="DM210" i="8"/>
  <c r="AA210" i="8" s="1"/>
  <c r="DL210" i="8"/>
  <c r="Z210" i="8" s="1"/>
  <c r="DK210" i="8"/>
  <c r="Y210" i="8" s="1"/>
  <c r="DJ210" i="8"/>
  <c r="X210" i="8" s="1"/>
  <c r="DI210" i="8"/>
  <c r="W210" i="8" s="1"/>
  <c r="DH210" i="8"/>
  <c r="V210" i="8" s="1"/>
  <c r="DG210" i="8"/>
  <c r="U210" i="8" s="1"/>
  <c r="DF210" i="8"/>
  <c r="T210" i="8" s="1"/>
  <c r="DE210" i="8"/>
  <c r="S210" i="8" s="1"/>
  <c r="DD210" i="8"/>
  <c r="R210" i="8" s="1"/>
  <c r="DC210" i="8"/>
  <c r="Q210" i="8" s="1"/>
  <c r="DB210" i="8"/>
  <c r="P210" i="8" s="1"/>
  <c r="DA210" i="8"/>
  <c r="O210" i="8" s="1"/>
  <c r="CZ210" i="8"/>
  <c r="N210" i="8" s="1"/>
  <c r="DP209" i="8"/>
  <c r="AD209" i="8" s="1"/>
  <c r="DO209" i="8"/>
  <c r="AC209" i="8" s="1"/>
  <c r="DN209" i="8"/>
  <c r="AB209" i="8" s="1"/>
  <c r="DM209" i="8"/>
  <c r="AA209" i="8" s="1"/>
  <c r="DL209" i="8"/>
  <c r="Z209" i="8" s="1"/>
  <c r="DK209" i="8"/>
  <c r="Y209" i="8" s="1"/>
  <c r="DJ209" i="8"/>
  <c r="X209" i="8" s="1"/>
  <c r="DI209" i="8"/>
  <c r="W209" i="8" s="1"/>
  <c r="DH209" i="8"/>
  <c r="V209" i="8" s="1"/>
  <c r="DG209" i="8"/>
  <c r="U209" i="8" s="1"/>
  <c r="DF209" i="8"/>
  <c r="T209" i="8" s="1"/>
  <c r="DE209" i="8"/>
  <c r="S209" i="8" s="1"/>
  <c r="DD209" i="8"/>
  <c r="R209" i="8" s="1"/>
  <c r="DC209" i="8"/>
  <c r="Q209" i="8" s="1"/>
  <c r="DB209" i="8"/>
  <c r="P209" i="8" s="1"/>
  <c r="DA209" i="8"/>
  <c r="O209" i="8" s="1"/>
  <c r="CZ209" i="8"/>
  <c r="N209" i="8" s="1"/>
  <c r="DP208" i="8"/>
  <c r="AD208" i="8" s="1"/>
  <c r="DO208" i="8"/>
  <c r="AC208" i="8" s="1"/>
  <c r="DN208" i="8"/>
  <c r="AB208" i="8" s="1"/>
  <c r="DM208" i="8"/>
  <c r="AA208" i="8" s="1"/>
  <c r="DL208" i="8"/>
  <c r="Z208" i="8" s="1"/>
  <c r="DK208" i="8"/>
  <c r="Y208" i="8" s="1"/>
  <c r="DJ208" i="8"/>
  <c r="X208" i="8" s="1"/>
  <c r="DI208" i="8"/>
  <c r="W208" i="8" s="1"/>
  <c r="DH208" i="8"/>
  <c r="V208" i="8" s="1"/>
  <c r="DG208" i="8"/>
  <c r="U208" i="8" s="1"/>
  <c r="DF208" i="8"/>
  <c r="T208" i="8" s="1"/>
  <c r="DE208" i="8"/>
  <c r="S208" i="8" s="1"/>
  <c r="DD208" i="8"/>
  <c r="R208" i="8" s="1"/>
  <c r="DC208" i="8"/>
  <c r="Q208" i="8" s="1"/>
  <c r="DB208" i="8"/>
  <c r="P208" i="8" s="1"/>
  <c r="DA208" i="8"/>
  <c r="O208" i="8" s="1"/>
  <c r="CZ208" i="8"/>
  <c r="N208" i="8" s="1"/>
  <c r="DP207" i="8"/>
  <c r="AD207" i="8" s="1"/>
  <c r="DO207" i="8"/>
  <c r="AC207" i="8" s="1"/>
  <c r="DN207" i="8"/>
  <c r="AB207" i="8" s="1"/>
  <c r="DM207" i="8"/>
  <c r="AA207" i="8" s="1"/>
  <c r="DL207" i="8"/>
  <c r="Z207" i="8" s="1"/>
  <c r="DK207" i="8"/>
  <c r="Y207" i="8" s="1"/>
  <c r="DJ207" i="8"/>
  <c r="X207" i="8" s="1"/>
  <c r="DI207" i="8"/>
  <c r="W207" i="8" s="1"/>
  <c r="DH207" i="8"/>
  <c r="V207" i="8" s="1"/>
  <c r="DG207" i="8"/>
  <c r="U207" i="8" s="1"/>
  <c r="DF207" i="8"/>
  <c r="T207" i="8" s="1"/>
  <c r="DE207" i="8"/>
  <c r="S207" i="8" s="1"/>
  <c r="DD207" i="8"/>
  <c r="R207" i="8" s="1"/>
  <c r="DC207" i="8"/>
  <c r="Q207" i="8" s="1"/>
  <c r="DB207" i="8"/>
  <c r="P207" i="8" s="1"/>
  <c r="DA207" i="8"/>
  <c r="O207" i="8" s="1"/>
  <c r="CZ207" i="8"/>
  <c r="N207" i="8" s="1"/>
  <c r="DP206" i="8"/>
  <c r="AD206" i="8" s="1"/>
  <c r="DO206" i="8"/>
  <c r="AC206" i="8" s="1"/>
  <c r="DN206" i="8"/>
  <c r="AB206" i="8" s="1"/>
  <c r="DM206" i="8"/>
  <c r="AA206" i="8" s="1"/>
  <c r="DL206" i="8"/>
  <c r="Z206" i="8" s="1"/>
  <c r="DK206" i="8"/>
  <c r="Y206" i="8" s="1"/>
  <c r="DJ206" i="8"/>
  <c r="X206" i="8" s="1"/>
  <c r="DI206" i="8"/>
  <c r="W206" i="8" s="1"/>
  <c r="DH206" i="8"/>
  <c r="V206" i="8" s="1"/>
  <c r="DG206" i="8"/>
  <c r="U206" i="8" s="1"/>
  <c r="DF206" i="8"/>
  <c r="T206" i="8" s="1"/>
  <c r="DE206" i="8"/>
  <c r="S206" i="8" s="1"/>
  <c r="DD206" i="8"/>
  <c r="R206" i="8" s="1"/>
  <c r="DC206" i="8"/>
  <c r="Q206" i="8" s="1"/>
  <c r="DB206" i="8"/>
  <c r="P206" i="8" s="1"/>
  <c r="DA206" i="8"/>
  <c r="O206" i="8" s="1"/>
  <c r="CZ206" i="8"/>
  <c r="N206" i="8" s="1"/>
  <c r="DP205" i="8"/>
  <c r="AD205" i="8" s="1"/>
  <c r="DO205" i="8"/>
  <c r="AC205" i="8" s="1"/>
  <c r="DN205" i="8"/>
  <c r="AB205" i="8" s="1"/>
  <c r="DM205" i="8"/>
  <c r="AA205" i="8" s="1"/>
  <c r="DL205" i="8"/>
  <c r="Z205" i="8" s="1"/>
  <c r="DK205" i="8"/>
  <c r="Y205" i="8" s="1"/>
  <c r="DJ205" i="8"/>
  <c r="X205" i="8" s="1"/>
  <c r="DI205" i="8"/>
  <c r="W205" i="8" s="1"/>
  <c r="DH205" i="8"/>
  <c r="V205" i="8" s="1"/>
  <c r="DG205" i="8"/>
  <c r="U205" i="8" s="1"/>
  <c r="DF205" i="8"/>
  <c r="T205" i="8" s="1"/>
  <c r="DE205" i="8"/>
  <c r="S205" i="8" s="1"/>
  <c r="DD205" i="8"/>
  <c r="R205" i="8" s="1"/>
  <c r="DC205" i="8"/>
  <c r="Q205" i="8" s="1"/>
  <c r="DB205" i="8"/>
  <c r="P205" i="8" s="1"/>
  <c r="DA205" i="8"/>
  <c r="O205" i="8" s="1"/>
  <c r="CZ205" i="8"/>
  <c r="N205" i="8" s="1"/>
  <c r="DP204" i="8"/>
  <c r="AD204" i="8" s="1"/>
  <c r="DO204" i="8"/>
  <c r="AC204" i="8" s="1"/>
  <c r="DN204" i="8"/>
  <c r="AB204" i="8" s="1"/>
  <c r="DM204" i="8"/>
  <c r="AA204" i="8" s="1"/>
  <c r="DL204" i="8"/>
  <c r="Z204" i="8" s="1"/>
  <c r="DK204" i="8"/>
  <c r="Y204" i="8" s="1"/>
  <c r="DJ204" i="8"/>
  <c r="X204" i="8" s="1"/>
  <c r="DI204" i="8"/>
  <c r="W204" i="8" s="1"/>
  <c r="DH204" i="8"/>
  <c r="V204" i="8" s="1"/>
  <c r="DG204" i="8"/>
  <c r="U204" i="8" s="1"/>
  <c r="DF204" i="8"/>
  <c r="T204" i="8" s="1"/>
  <c r="DE204" i="8"/>
  <c r="S204" i="8" s="1"/>
  <c r="DD204" i="8"/>
  <c r="R204" i="8" s="1"/>
  <c r="DC204" i="8"/>
  <c r="Q204" i="8" s="1"/>
  <c r="DB204" i="8"/>
  <c r="P204" i="8" s="1"/>
  <c r="DA204" i="8"/>
  <c r="O204" i="8" s="1"/>
  <c r="CZ204" i="8"/>
  <c r="N204" i="8" s="1"/>
  <c r="DP203" i="8"/>
  <c r="AD203" i="8" s="1"/>
  <c r="DO203" i="8"/>
  <c r="AC203" i="8" s="1"/>
  <c r="DN203" i="8"/>
  <c r="AB203" i="8" s="1"/>
  <c r="DM203" i="8"/>
  <c r="AA203" i="8" s="1"/>
  <c r="DL203" i="8"/>
  <c r="Z203" i="8" s="1"/>
  <c r="DK203" i="8"/>
  <c r="Y203" i="8" s="1"/>
  <c r="DJ203" i="8"/>
  <c r="X203" i="8" s="1"/>
  <c r="DI203" i="8"/>
  <c r="W203" i="8" s="1"/>
  <c r="DH203" i="8"/>
  <c r="V203" i="8" s="1"/>
  <c r="DG203" i="8"/>
  <c r="U203" i="8" s="1"/>
  <c r="DF203" i="8"/>
  <c r="T203" i="8" s="1"/>
  <c r="DE203" i="8"/>
  <c r="S203" i="8" s="1"/>
  <c r="DD203" i="8"/>
  <c r="R203" i="8" s="1"/>
  <c r="DC203" i="8"/>
  <c r="Q203" i="8" s="1"/>
  <c r="DB203" i="8"/>
  <c r="P203" i="8" s="1"/>
  <c r="DA203" i="8"/>
  <c r="O203" i="8" s="1"/>
  <c r="CZ203" i="8"/>
  <c r="N203" i="8" s="1"/>
  <c r="DP202" i="8"/>
  <c r="AD202" i="8" s="1"/>
  <c r="DO202" i="8"/>
  <c r="AC202" i="8" s="1"/>
  <c r="DN202" i="8"/>
  <c r="AB202" i="8" s="1"/>
  <c r="DM202" i="8"/>
  <c r="AA202" i="8" s="1"/>
  <c r="DL202" i="8"/>
  <c r="Z202" i="8" s="1"/>
  <c r="DK202" i="8"/>
  <c r="Y202" i="8" s="1"/>
  <c r="DJ202" i="8"/>
  <c r="X202" i="8" s="1"/>
  <c r="DI202" i="8"/>
  <c r="W202" i="8" s="1"/>
  <c r="DH202" i="8"/>
  <c r="V202" i="8" s="1"/>
  <c r="DG202" i="8"/>
  <c r="U202" i="8" s="1"/>
  <c r="DF202" i="8"/>
  <c r="T202" i="8" s="1"/>
  <c r="DE202" i="8"/>
  <c r="S202" i="8" s="1"/>
  <c r="DD202" i="8"/>
  <c r="R202" i="8" s="1"/>
  <c r="DC202" i="8"/>
  <c r="Q202" i="8" s="1"/>
  <c r="DB202" i="8"/>
  <c r="P202" i="8" s="1"/>
  <c r="DA202" i="8"/>
  <c r="O202" i="8" s="1"/>
  <c r="CZ202" i="8"/>
  <c r="N202" i="8" s="1"/>
  <c r="DP201" i="8"/>
  <c r="AD201" i="8" s="1"/>
  <c r="DO201" i="8"/>
  <c r="AC201" i="8" s="1"/>
  <c r="DN201" i="8"/>
  <c r="AB201" i="8" s="1"/>
  <c r="DM201" i="8"/>
  <c r="AA201" i="8" s="1"/>
  <c r="DL201" i="8"/>
  <c r="Z201" i="8" s="1"/>
  <c r="DK201" i="8"/>
  <c r="Y201" i="8" s="1"/>
  <c r="DJ201" i="8"/>
  <c r="X201" i="8" s="1"/>
  <c r="DI201" i="8"/>
  <c r="W201" i="8" s="1"/>
  <c r="DH201" i="8"/>
  <c r="V201" i="8" s="1"/>
  <c r="DG201" i="8"/>
  <c r="U201" i="8" s="1"/>
  <c r="DF201" i="8"/>
  <c r="T201" i="8" s="1"/>
  <c r="DE201" i="8"/>
  <c r="S201" i="8" s="1"/>
  <c r="DD201" i="8"/>
  <c r="R201" i="8" s="1"/>
  <c r="DC201" i="8"/>
  <c r="Q201" i="8" s="1"/>
  <c r="DB201" i="8"/>
  <c r="P201" i="8" s="1"/>
  <c r="DA201" i="8"/>
  <c r="O201" i="8" s="1"/>
  <c r="CZ201" i="8"/>
  <c r="N201" i="8" s="1"/>
  <c r="DP200" i="8"/>
  <c r="AD200" i="8" s="1"/>
  <c r="DO200" i="8"/>
  <c r="AC200" i="8" s="1"/>
  <c r="DN200" i="8"/>
  <c r="AB200" i="8" s="1"/>
  <c r="DM200" i="8"/>
  <c r="AA200" i="8" s="1"/>
  <c r="DL200" i="8"/>
  <c r="Z200" i="8" s="1"/>
  <c r="DK200" i="8"/>
  <c r="Y200" i="8" s="1"/>
  <c r="DJ200" i="8"/>
  <c r="X200" i="8" s="1"/>
  <c r="DI200" i="8"/>
  <c r="W200" i="8" s="1"/>
  <c r="DH200" i="8"/>
  <c r="V200" i="8" s="1"/>
  <c r="DG200" i="8"/>
  <c r="U200" i="8" s="1"/>
  <c r="DF200" i="8"/>
  <c r="T200" i="8" s="1"/>
  <c r="DE200" i="8"/>
  <c r="S200" i="8" s="1"/>
  <c r="DD200" i="8"/>
  <c r="R200" i="8" s="1"/>
  <c r="DC200" i="8"/>
  <c r="Q200" i="8" s="1"/>
  <c r="DB200" i="8"/>
  <c r="P200" i="8" s="1"/>
  <c r="DA200" i="8"/>
  <c r="O200" i="8" s="1"/>
  <c r="CZ200" i="8"/>
  <c r="N200" i="8" s="1"/>
  <c r="DP199" i="8"/>
  <c r="AD199" i="8" s="1"/>
  <c r="DO199" i="8"/>
  <c r="AC199" i="8" s="1"/>
  <c r="DN199" i="8"/>
  <c r="AB199" i="8" s="1"/>
  <c r="DM199" i="8"/>
  <c r="AA199" i="8" s="1"/>
  <c r="DL199" i="8"/>
  <c r="Z199" i="8" s="1"/>
  <c r="DK199" i="8"/>
  <c r="Y199" i="8" s="1"/>
  <c r="DJ199" i="8"/>
  <c r="X199" i="8" s="1"/>
  <c r="DI199" i="8"/>
  <c r="W199" i="8" s="1"/>
  <c r="DH199" i="8"/>
  <c r="V199" i="8" s="1"/>
  <c r="DG199" i="8"/>
  <c r="U199" i="8" s="1"/>
  <c r="DF199" i="8"/>
  <c r="T199" i="8" s="1"/>
  <c r="DE199" i="8"/>
  <c r="S199" i="8" s="1"/>
  <c r="DD199" i="8"/>
  <c r="R199" i="8" s="1"/>
  <c r="DC199" i="8"/>
  <c r="Q199" i="8" s="1"/>
  <c r="DB199" i="8"/>
  <c r="P199" i="8" s="1"/>
  <c r="DA199" i="8"/>
  <c r="O199" i="8" s="1"/>
  <c r="CZ199" i="8"/>
  <c r="N199" i="8" s="1"/>
  <c r="DP198" i="8"/>
  <c r="AD198" i="8" s="1"/>
  <c r="DO198" i="8"/>
  <c r="AC198" i="8" s="1"/>
  <c r="DN198" i="8"/>
  <c r="AB198" i="8" s="1"/>
  <c r="DM198" i="8"/>
  <c r="AA198" i="8" s="1"/>
  <c r="DL198" i="8"/>
  <c r="Z198" i="8" s="1"/>
  <c r="DK198" i="8"/>
  <c r="Y198" i="8" s="1"/>
  <c r="DJ198" i="8"/>
  <c r="X198" i="8" s="1"/>
  <c r="DI198" i="8"/>
  <c r="W198" i="8" s="1"/>
  <c r="DH198" i="8"/>
  <c r="V198" i="8" s="1"/>
  <c r="DG198" i="8"/>
  <c r="U198" i="8" s="1"/>
  <c r="DF198" i="8"/>
  <c r="T198" i="8" s="1"/>
  <c r="DE198" i="8"/>
  <c r="S198" i="8" s="1"/>
  <c r="DD198" i="8"/>
  <c r="R198" i="8" s="1"/>
  <c r="DC198" i="8"/>
  <c r="Q198" i="8" s="1"/>
  <c r="DB198" i="8"/>
  <c r="P198" i="8" s="1"/>
  <c r="DA198" i="8"/>
  <c r="O198" i="8" s="1"/>
  <c r="CZ198" i="8"/>
  <c r="N198" i="8" s="1"/>
  <c r="DP197" i="8"/>
  <c r="AD197" i="8" s="1"/>
  <c r="DO197" i="8"/>
  <c r="AC197" i="8" s="1"/>
  <c r="DN197" i="8"/>
  <c r="AB197" i="8" s="1"/>
  <c r="DM197" i="8"/>
  <c r="AA197" i="8" s="1"/>
  <c r="DL197" i="8"/>
  <c r="Z197" i="8" s="1"/>
  <c r="DK197" i="8"/>
  <c r="Y197" i="8" s="1"/>
  <c r="DJ197" i="8"/>
  <c r="X197" i="8" s="1"/>
  <c r="DI197" i="8"/>
  <c r="W197" i="8" s="1"/>
  <c r="DH197" i="8"/>
  <c r="V197" i="8" s="1"/>
  <c r="DG197" i="8"/>
  <c r="U197" i="8" s="1"/>
  <c r="DF197" i="8"/>
  <c r="T197" i="8" s="1"/>
  <c r="DE197" i="8"/>
  <c r="S197" i="8" s="1"/>
  <c r="DD197" i="8"/>
  <c r="R197" i="8" s="1"/>
  <c r="DC197" i="8"/>
  <c r="Q197" i="8" s="1"/>
  <c r="DB197" i="8"/>
  <c r="P197" i="8" s="1"/>
  <c r="DA197" i="8"/>
  <c r="O197" i="8" s="1"/>
  <c r="CZ197" i="8"/>
  <c r="N197" i="8" s="1"/>
  <c r="DP196" i="8"/>
  <c r="AD196" i="8" s="1"/>
  <c r="DO196" i="8"/>
  <c r="AC196" i="8" s="1"/>
  <c r="DN196" i="8"/>
  <c r="AB196" i="8" s="1"/>
  <c r="DM196" i="8"/>
  <c r="AA196" i="8" s="1"/>
  <c r="DL196" i="8"/>
  <c r="Z196" i="8" s="1"/>
  <c r="DK196" i="8"/>
  <c r="Y196" i="8" s="1"/>
  <c r="DJ196" i="8"/>
  <c r="X196" i="8" s="1"/>
  <c r="DI196" i="8"/>
  <c r="W196" i="8" s="1"/>
  <c r="DH196" i="8"/>
  <c r="V196" i="8" s="1"/>
  <c r="DG196" i="8"/>
  <c r="U196" i="8" s="1"/>
  <c r="DF196" i="8"/>
  <c r="T196" i="8" s="1"/>
  <c r="DE196" i="8"/>
  <c r="S196" i="8" s="1"/>
  <c r="DD196" i="8"/>
  <c r="R196" i="8" s="1"/>
  <c r="DC196" i="8"/>
  <c r="Q196" i="8" s="1"/>
  <c r="DB196" i="8"/>
  <c r="P196" i="8" s="1"/>
  <c r="DA196" i="8"/>
  <c r="O196" i="8" s="1"/>
  <c r="CZ196" i="8"/>
  <c r="N196" i="8" s="1"/>
  <c r="DP195" i="8"/>
  <c r="AD195" i="8" s="1"/>
  <c r="DO195" i="8"/>
  <c r="AC195" i="8" s="1"/>
  <c r="DN195" i="8"/>
  <c r="AB195" i="8" s="1"/>
  <c r="DM195" i="8"/>
  <c r="AA195" i="8" s="1"/>
  <c r="DL195" i="8"/>
  <c r="Z195" i="8" s="1"/>
  <c r="DK195" i="8"/>
  <c r="Y195" i="8" s="1"/>
  <c r="DJ195" i="8"/>
  <c r="X195" i="8" s="1"/>
  <c r="DI195" i="8"/>
  <c r="W195" i="8" s="1"/>
  <c r="DH195" i="8"/>
  <c r="V195" i="8" s="1"/>
  <c r="DG195" i="8"/>
  <c r="U195" i="8" s="1"/>
  <c r="DF195" i="8"/>
  <c r="T195" i="8" s="1"/>
  <c r="DE195" i="8"/>
  <c r="S195" i="8" s="1"/>
  <c r="DD195" i="8"/>
  <c r="R195" i="8" s="1"/>
  <c r="DC195" i="8"/>
  <c r="Q195" i="8" s="1"/>
  <c r="DB195" i="8"/>
  <c r="P195" i="8" s="1"/>
  <c r="DA195" i="8"/>
  <c r="O195" i="8" s="1"/>
  <c r="CZ195" i="8"/>
  <c r="N195" i="8" s="1"/>
  <c r="DP194" i="8"/>
  <c r="AD194" i="8" s="1"/>
  <c r="DO194" i="8"/>
  <c r="AC194" i="8" s="1"/>
  <c r="DN194" i="8"/>
  <c r="AB194" i="8" s="1"/>
  <c r="DM194" i="8"/>
  <c r="AA194" i="8" s="1"/>
  <c r="DL194" i="8"/>
  <c r="Z194" i="8" s="1"/>
  <c r="DK194" i="8"/>
  <c r="Y194" i="8" s="1"/>
  <c r="DJ194" i="8"/>
  <c r="X194" i="8" s="1"/>
  <c r="DI194" i="8"/>
  <c r="W194" i="8" s="1"/>
  <c r="DH194" i="8"/>
  <c r="V194" i="8" s="1"/>
  <c r="DG194" i="8"/>
  <c r="U194" i="8" s="1"/>
  <c r="DF194" i="8"/>
  <c r="T194" i="8" s="1"/>
  <c r="DE194" i="8"/>
  <c r="S194" i="8" s="1"/>
  <c r="DD194" i="8"/>
  <c r="R194" i="8" s="1"/>
  <c r="DC194" i="8"/>
  <c r="Q194" i="8" s="1"/>
  <c r="DB194" i="8"/>
  <c r="P194" i="8" s="1"/>
  <c r="DA194" i="8"/>
  <c r="O194" i="8" s="1"/>
  <c r="CZ194" i="8"/>
  <c r="N194" i="8" s="1"/>
  <c r="DP193" i="8"/>
  <c r="AD193" i="8" s="1"/>
  <c r="DO193" i="8"/>
  <c r="AC193" i="8" s="1"/>
  <c r="DN193" i="8"/>
  <c r="AB193" i="8" s="1"/>
  <c r="DM193" i="8"/>
  <c r="AA193" i="8" s="1"/>
  <c r="DL193" i="8"/>
  <c r="Z193" i="8" s="1"/>
  <c r="DK193" i="8"/>
  <c r="Y193" i="8" s="1"/>
  <c r="DJ193" i="8"/>
  <c r="X193" i="8" s="1"/>
  <c r="DI193" i="8"/>
  <c r="W193" i="8" s="1"/>
  <c r="DH193" i="8"/>
  <c r="V193" i="8" s="1"/>
  <c r="DG193" i="8"/>
  <c r="U193" i="8" s="1"/>
  <c r="DF193" i="8"/>
  <c r="T193" i="8" s="1"/>
  <c r="DE193" i="8"/>
  <c r="S193" i="8" s="1"/>
  <c r="DD193" i="8"/>
  <c r="R193" i="8" s="1"/>
  <c r="DC193" i="8"/>
  <c r="Q193" i="8" s="1"/>
  <c r="DB193" i="8"/>
  <c r="P193" i="8" s="1"/>
  <c r="DA193" i="8"/>
  <c r="O193" i="8" s="1"/>
  <c r="CZ193" i="8"/>
  <c r="N193" i="8" s="1"/>
  <c r="DP192" i="8"/>
  <c r="AD192" i="8" s="1"/>
  <c r="DO192" i="8"/>
  <c r="AC192" i="8" s="1"/>
  <c r="DN192" i="8"/>
  <c r="AB192" i="8" s="1"/>
  <c r="DM192" i="8"/>
  <c r="AA192" i="8" s="1"/>
  <c r="DL192" i="8"/>
  <c r="Z192" i="8" s="1"/>
  <c r="DK192" i="8"/>
  <c r="Y192" i="8" s="1"/>
  <c r="DJ192" i="8"/>
  <c r="X192" i="8" s="1"/>
  <c r="DI192" i="8"/>
  <c r="W192" i="8" s="1"/>
  <c r="DH192" i="8"/>
  <c r="V192" i="8" s="1"/>
  <c r="DG192" i="8"/>
  <c r="U192" i="8" s="1"/>
  <c r="DF192" i="8"/>
  <c r="T192" i="8" s="1"/>
  <c r="DE192" i="8"/>
  <c r="S192" i="8" s="1"/>
  <c r="DD192" i="8"/>
  <c r="R192" i="8" s="1"/>
  <c r="DC192" i="8"/>
  <c r="Q192" i="8" s="1"/>
  <c r="DB192" i="8"/>
  <c r="P192" i="8" s="1"/>
  <c r="DA192" i="8"/>
  <c r="O192" i="8" s="1"/>
  <c r="CZ192" i="8"/>
  <c r="N192" i="8" s="1"/>
  <c r="DP191" i="8"/>
  <c r="AD191" i="8" s="1"/>
  <c r="DO191" i="8"/>
  <c r="AC191" i="8" s="1"/>
  <c r="DN191" i="8"/>
  <c r="AB191" i="8" s="1"/>
  <c r="DM191" i="8"/>
  <c r="AA191" i="8" s="1"/>
  <c r="DL191" i="8"/>
  <c r="Z191" i="8" s="1"/>
  <c r="DK191" i="8"/>
  <c r="Y191" i="8" s="1"/>
  <c r="DJ191" i="8"/>
  <c r="X191" i="8" s="1"/>
  <c r="DI191" i="8"/>
  <c r="W191" i="8" s="1"/>
  <c r="DH191" i="8"/>
  <c r="V191" i="8" s="1"/>
  <c r="DG191" i="8"/>
  <c r="U191" i="8" s="1"/>
  <c r="DF191" i="8"/>
  <c r="T191" i="8" s="1"/>
  <c r="DE191" i="8"/>
  <c r="S191" i="8" s="1"/>
  <c r="DD191" i="8"/>
  <c r="R191" i="8" s="1"/>
  <c r="DC191" i="8"/>
  <c r="Q191" i="8" s="1"/>
  <c r="DB191" i="8"/>
  <c r="P191" i="8" s="1"/>
  <c r="DA191" i="8"/>
  <c r="O191" i="8" s="1"/>
  <c r="CZ191" i="8"/>
  <c r="N191" i="8" s="1"/>
  <c r="DP190" i="8"/>
  <c r="AD190" i="8" s="1"/>
  <c r="DO190" i="8"/>
  <c r="AC190" i="8" s="1"/>
  <c r="DN190" i="8"/>
  <c r="AB190" i="8" s="1"/>
  <c r="DM190" i="8"/>
  <c r="AA190" i="8" s="1"/>
  <c r="DL190" i="8"/>
  <c r="Z190" i="8" s="1"/>
  <c r="DK190" i="8"/>
  <c r="Y190" i="8" s="1"/>
  <c r="DJ190" i="8"/>
  <c r="X190" i="8" s="1"/>
  <c r="DI190" i="8"/>
  <c r="W190" i="8" s="1"/>
  <c r="DH190" i="8"/>
  <c r="V190" i="8" s="1"/>
  <c r="DG190" i="8"/>
  <c r="U190" i="8" s="1"/>
  <c r="DF190" i="8"/>
  <c r="T190" i="8" s="1"/>
  <c r="DE190" i="8"/>
  <c r="S190" i="8" s="1"/>
  <c r="DD190" i="8"/>
  <c r="R190" i="8" s="1"/>
  <c r="DC190" i="8"/>
  <c r="Q190" i="8" s="1"/>
  <c r="DB190" i="8"/>
  <c r="P190" i="8" s="1"/>
  <c r="DA190" i="8"/>
  <c r="O190" i="8" s="1"/>
  <c r="CZ190" i="8"/>
  <c r="N190" i="8" s="1"/>
  <c r="DP189" i="8"/>
  <c r="AD189" i="8" s="1"/>
  <c r="DO189" i="8"/>
  <c r="AC189" i="8" s="1"/>
  <c r="DN189" i="8"/>
  <c r="AB189" i="8" s="1"/>
  <c r="DM189" i="8"/>
  <c r="AA189" i="8" s="1"/>
  <c r="DL189" i="8"/>
  <c r="Z189" i="8" s="1"/>
  <c r="DK189" i="8"/>
  <c r="Y189" i="8" s="1"/>
  <c r="DJ189" i="8"/>
  <c r="X189" i="8" s="1"/>
  <c r="DI189" i="8"/>
  <c r="W189" i="8" s="1"/>
  <c r="DH189" i="8"/>
  <c r="V189" i="8" s="1"/>
  <c r="DG189" i="8"/>
  <c r="U189" i="8" s="1"/>
  <c r="DF189" i="8"/>
  <c r="T189" i="8" s="1"/>
  <c r="DE189" i="8"/>
  <c r="S189" i="8" s="1"/>
  <c r="DD189" i="8"/>
  <c r="R189" i="8" s="1"/>
  <c r="DC189" i="8"/>
  <c r="Q189" i="8" s="1"/>
  <c r="DB189" i="8"/>
  <c r="P189" i="8" s="1"/>
  <c r="DA189" i="8"/>
  <c r="O189" i="8" s="1"/>
  <c r="CZ189" i="8"/>
  <c r="N189" i="8" s="1"/>
  <c r="DP188" i="8"/>
  <c r="AD188" i="8" s="1"/>
  <c r="DO188" i="8"/>
  <c r="AC188" i="8" s="1"/>
  <c r="DN188" i="8"/>
  <c r="AB188" i="8" s="1"/>
  <c r="DM188" i="8"/>
  <c r="AA188" i="8" s="1"/>
  <c r="DL188" i="8"/>
  <c r="Z188" i="8" s="1"/>
  <c r="DK188" i="8"/>
  <c r="Y188" i="8" s="1"/>
  <c r="DJ188" i="8"/>
  <c r="X188" i="8" s="1"/>
  <c r="DI188" i="8"/>
  <c r="W188" i="8" s="1"/>
  <c r="DH188" i="8"/>
  <c r="V188" i="8" s="1"/>
  <c r="DG188" i="8"/>
  <c r="U188" i="8" s="1"/>
  <c r="DF188" i="8"/>
  <c r="T188" i="8" s="1"/>
  <c r="DE188" i="8"/>
  <c r="S188" i="8" s="1"/>
  <c r="DD188" i="8"/>
  <c r="R188" i="8" s="1"/>
  <c r="DC188" i="8"/>
  <c r="Q188" i="8" s="1"/>
  <c r="DB188" i="8"/>
  <c r="P188" i="8" s="1"/>
  <c r="DA188" i="8"/>
  <c r="O188" i="8" s="1"/>
  <c r="CZ188" i="8"/>
  <c r="N188" i="8" s="1"/>
  <c r="DP187" i="8"/>
  <c r="AD187" i="8" s="1"/>
  <c r="DO187" i="8"/>
  <c r="AC187" i="8" s="1"/>
  <c r="DN187" i="8"/>
  <c r="AB187" i="8" s="1"/>
  <c r="DM187" i="8"/>
  <c r="AA187" i="8" s="1"/>
  <c r="DL187" i="8"/>
  <c r="Z187" i="8" s="1"/>
  <c r="DK187" i="8"/>
  <c r="Y187" i="8" s="1"/>
  <c r="DJ187" i="8"/>
  <c r="X187" i="8" s="1"/>
  <c r="DI187" i="8"/>
  <c r="W187" i="8" s="1"/>
  <c r="DH187" i="8"/>
  <c r="V187" i="8" s="1"/>
  <c r="DG187" i="8"/>
  <c r="U187" i="8" s="1"/>
  <c r="DF187" i="8"/>
  <c r="T187" i="8" s="1"/>
  <c r="DE187" i="8"/>
  <c r="S187" i="8" s="1"/>
  <c r="DD187" i="8"/>
  <c r="R187" i="8" s="1"/>
  <c r="DC187" i="8"/>
  <c r="Q187" i="8" s="1"/>
  <c r="DB187" i="8"/>
  <c r="P187" i="8" s="1"/>
  <c r="DA187" i="8"/>
  <c r="O187" i="8" s="1"/>
  <c r="CZ187" i="8"/>
  <c r="N187" i="8" s="1"/>
  <c r="DP185" i="8"/>
  <c r="AD185" i="8" s="1"/>
  <c r="DO185" i="8"/>
  <c r="AC185" i="8" s="1"/>
  <c r="DN185" i="8"/>
  <c r="AB185" i="8" s="1"/>
  <c r="DM185" i="8"/>
  <c r="AA185" i="8" s="1"/>
  <c r="DL185" i="8"/>
  <c r="Z185" i="8" s="1"/>
  <c r="DK185" i="8"/>
  <c r="Y185" i="8" s="1"/>
  <c r="DJ185" i="8"/>
  <c r="X185" i="8" s="1"/>
  <c r="DI185" i="8"/>
  <c r="W185" i="8" s="1"/>
  <c r="DH185" i="8"/>
  <c r="V185" i="8" s="1"/>
  <c r="DG185" i="8"/>
  <c r="U185" i="8" s="1"/>
  <c r="DF185" i="8"/>
  <c r="T185" i="8" s="1"/>
  <c r="DE185" i="8"/>
  <c r="S185" i="8" s="1"/>
  <c r="DD185" i="8"/>
  <c r="R185" i="8" s="1"/>
  <c r="DC185" i="8"/>
  <c r="Q185" i="8" s="1"/>
  <c r="DB185" i="8"/>
  <c r="P185" i="8" s="1"/>
  <c r="DA185" i="8"/>
  <c r="O185" i="8" s="1"/>
  <c r="CZ185" i="8"/>
  <c r="N185" i="8" s="1"/>
  <c r="DP184" i="8"/>
  <c r="AD184" i="8" s="1"/>
  <c r="DO184" i="8"/>
  <c r="AC184" i="8" s="1"/>
  <c r="DN184" i="8"/>
  <c r="AB184" i="8" s="1"/>
  <c r="DM184" i="8"/>
  <c r="AA184" i="8" s="1"/>
  <c r="DL184" i="8"/>
  <c r="Z184" i="8" s="1"/>
  <c r="DK184" i="8"/>
  <c r="Y184" i="8" s="1"/>
  <c r="DJ184" i="8"/>
  <c r="X184" i="8" s="1"/>
  <c r="DI184" i="8"/>
  <c r="W184" i="8" s="1"/>
  <c r="DH184" i="8"/>
  <c r="V184" i="8" s="1"/>
  <c r="DG184" i="8"/>
  <c r="U184" i="8" s="1"/>
  <c r="DF184" i="8"/>
  <c r="T184" i="8" s="1"/>
  <c r="DE184" i="8"/>
  <c r="S184" i="8" s="1"/>
  <c r="DD184" i="8"/>
  <c r="R184" i="8" s="1"/>
  <c r="DC184" i="8"/>
  <c r="Q184" i="8" s="1"/>
  <c r="DB184" i="8"/>
  <c r="P184" i="8" s="1"/>
  <c r="DA184" i="8"/>
  <c r="O184" i="8" s="1"/>
  <c r="CZ184" i="8"/>
  <c r="N184" i="8" s="1"/>
  <c r="DP183" i="8"/>
  <c r="AD183" i="8" s="1"/>
  <c r="DO183" i="8"/>
  <c r="AC183" i="8" s="1"/>
  <c r="DN183" i="8"/>
  <c r="AB183" i="8" s="1"/>
  <c r="DM183" i="8"/>
  <c r="AA183" i="8" s="1"/>
  <c r="DL183" i="8"/>
  <c r="Z183" i="8" s="1"/>
  <c r="DK183" i="8"/>
  <c r="Y183" i="8" s="1"/>
  <c r="DJ183" i="8"/>
  <c r="X183" i="8" s="1"/>
  <c r="DI183" i="8"/>
  <c r="W183" i="8" s="1"/>
  <c r="DH183" i="8"/>
  <c r="V183" i="8" s="1"/>
  <c r="DG183" i="8"/>
  <c r="U183" i="8" s="1"/>
  <c r="DF183" i="8"/>
  <c r="T183" i="8" s="1"/>
  <c r="DE183" i="8"/>
  <c r="S183" i="8" s="1"/>
  <c r="DD183" i="8"/>
  <c r="R183" i="8" s="1"/>
  <c r="DC183" i="8"/>
  <c r="Q183" i="8" s="1"/>
  <c r="DB183" i="8"/>
  <c r="P183" i="8" s="1"/>
  <c r="DA183" i="8"/>
  <c r="O183" i="8" s="1"/>
  <c r="CZ183" i="8"/>
  <c r="N183" i="8" s="1"/>
  <c r="DP182" i="8"/>
  <c r="AD182" i="8" s="1"/>
  <c r="DO182" i="8"/>
  <c r="AC182" i="8" s="1"/>
  <c r="DN182" i="8"/>
  <c r="AB182" i="8" s="1"/>
  <c r="DM182" i="8"/>
  <c r="AA182" i="8" s="1"/>
  <c r="DL182" i="8"/>
  <c r="Z182" i="8" s="1"/>
  <c r="DK182" i="8"/>
  <c r="Y182" i="8" s="1"/>
  <c r="DJ182" i="8"/>
  <c r="X182" i="8" s="1"/>
  <c r="DI182" i="8"/>
  <c r="W182" i="8" s="1"/>
  <c r="DH182" i="8"/>
  <c r="V182" i="8" s="1"/>
  <c r="DG182" i="8"/>
  <c r="U182" i="8" s="1"/>
  <c r="DF182" i="8"/>
  <c r="T182" i="8" s="1"/>
  <c r="DE182" i="8"/>
  <c r="S182" i="8" s="1"/>
  <c r="DD182" i="8"/>
  <c r="R182" i="8" s="1"/>
  <c r="DC182" i="8"/>
  <c r="Q182" i="8" s="1"/>
  <c r="DB182" i="8"/>
  <c r="P182" i="8" s="1"/>
  <c r="DA182" i="8"/>
  <c r="O182" i="8" s="1"/>
  <c r="CZ182" i="8"/>
  <c r="N182" i="8" s="1"/>
  <c r="DP181" i="8"/>
  <c r="AD181" i="8" s="1"/>
  <c r="DO181" i="8"/>
  <c r="AC181" i="8" s="1"/>
  <c r="DN181" i="8"/>
  <c r="AB181" i="8" s="1"/>
  <c r="DM181" i="8"/>
  <c r="AA181" i="8" s="1"/>
  <c r="DL181" i="8"/>
  <c r="Z181" i="8" s="1"/>
  <c r="DK181" i="8"/>
  <c r="Y181" i="8" s="1"/>
  <c r="DJ181" i="8"/>
  <c r="X181" i="8" s="1"/>
  <c r="DI181" i="8"/>
  <c r="W181" i="8" s="1"/>
  <c r="DH181" i="8"/>
  <c r="V181" i="8" s="1"/>
  <c r="DG181" i="8"/>
  <c r="U181" i="8" s="1"/>
  <c r="DF181" i="8"/>
  <c r="T181" i="8" s="1"/>
  <c r="DE181" i="8"/>
  <c r="S181" i="8" s="1"/>
  <c r="DD181" i="8"/>
  <c r="R181" i="8" s="1"/>
  <c r="DC181" i="8"/>
  <c r="Q181" i="8" s="1"/>
  <c r="DB181" i="8"/>
  <c r="P181" i="8" s="1"/>
  <c r="DA181" i="8"/>
  <c r="O181" i="8" s="1"/>
  <c r="CZ181" i="8"/>
  <c r="N181" i="8" s="1"/>
  <c r="DP180" i="8"/>
  <c r="AD180" i="8" s="1"/>
  <c r="DO180" i="8"/>
  <c r="AC180" i="8" s="1"/>
  <c r="DN180" i="8"/>
  <c r="AB180" i="8" s="1"/>
  <c r="DM180" i="8"/>
  <c r="AA180" i="8" s="1"/>
  <c r="DL180" i="8"/>
  <c r="Z180" i="8" s="1"/>
  <c r="DK180" i="8"/>
  <c r="Y180" i="8" s="1"/>
  <c r="DJ180" i="8"/>
  <c r="X180" i="8" s="1"/>
  <c r="DI180" i="8"/>
  <c r="W180" i="8" s="1"/>
  <c r="DH180" i="8"/>
  <c r="V180" i="8" s="1"/>
  <c r="DG180" i="8"/>
  <c r="U180" i="8" s="1"/>
  <c r="DF180" i="8"/>
  <c r="T180" i="8" s="1"/>
  <c r="DE180" i="8"/>
  <c r="S180" i="8" s="1"/>
  <c r="DD180" i="8"/>
  <c r="R180" i="8" s="1"/>
  <c r="DC180" i="8"/>
  <c r="Q180" i="8" s="1"/>
  <c r="DB180" i="8"/>
  <c r="P180" i="8" s="1"/>
  <c r="DA180" i="8"/>
  <c r="O180" i="8" s="1"/>
  <c r="CZ180" i="8"/>
  <c r="N180" i="8" s="1"/>
  <c r="DP179" i="8"/>
  <c r="AD179" i="8" s="1"/>
  <c r="DO179" i="8"/>
  <c r="AC179" i="8" s="1"/>
  <c r="DN179" i="8"/>
  <c r="AB179" i="8" s="1"/>
  <c r="DM179" i="8"/>
  <c r="AA179" i="8" s="1"/>
  <c r="DL179" i="8"/>
  <c r="Z179" i="8" s="1"/>
  <c r="DK179" i="8"/>
  <c r="Y179" i="8" s="1"/>
  <c r="DJ179" i="8"/>
  <c r="X179" i="8" s="1"/>
  <c r="DI179" i="8"/>
  <c r="W179" i="8" s="1"/>
  <c r="DH179" i="8"/>
  <c r="V179" i="8" s="1"/>
  <c r="DG179" i="8"/>
  <c r="U179" i="8" s="1"/>
  <c r="DF179" i="8"/>
  <c r="T179" i="8" s="1"/>
  <c r="DE179" i="8"/>
  <c r="S179" i="8" s="1"/>
  <c r="DD179" i="8"/>
  <c r="R179" i="8" s="1"/>
  <c r="DC179" i="8"/>
  <c r="Q179" i="8" s="1"/>
  <c r="DB179" i="8"/>
  <c r="P179" i="8" s="1"/>
  <c r="DA179" i="8"/>
  <c r="O179" i="8" s="1"/>
  <c r="CZ179" i="8"/>
  <c r="N179" i="8" s="1"/>
  <c r="DP178" i="8"/>
  <c r="AD178" i="8" s="1"/>
  <c r="DO178" i="8"/>
  <c r="AC178" i="8" s="1"/>
  <c r="DN178" i="8"/>
  <c r="AB178" i="8" s="1"/>
  <c r="DM178" i="8"/>
  <c r="AA178" i="8" s="1"/>
  <c r="DL178" i="8"/>
  <c r="Z178" i="8" s="1"/>
  <c r="DK178" i="8"/>
  <c r="Y178" i="8" s="1"/>
  <c r="DJ178" i="8"/>
  <c r="X178" i="8" s="1"/>
  <c r="DI178" i="8"/>
  <c r="W178" i="8" s="1"/>
  <c r="DH178" i="8"/>
  <c r="V178" i="8" s="1"/>
  <c r="DG178" i="8"/>
  <c r="U178" i="8" s="1"/>
  <c r="DF178" i="8"/>
  <c r="T178" i="8" s="1"/>
  <c r="DE178" i="8"/>
  <c r="S178" i="8" s="1"/>
  <c r="DD178" i="8"/>
  <c r="R178" i="8" s="1"/>
  <c r="DC178" i="8"/>
  <c r="Q178" i="8" s="1"/>
  <c r="DB178" i="8"/>
  <c r="P178" i="8" s="1"/>
  <c r="DA178" i="8"/>
  <c r="O178" i="8" s="1"/>
  <c r="CZ178" i="8"/>
  <c r="N178" i="8" s="1"/>
  <c r="DP177" i="8"/>
  <c r="AD177" i="8" s="1"/>
  <c r="DO177" i="8"/>
  <c r="AC177" i="8" s="1"/>
  <c r="DN177" i="8"/>
  <c r="AB177" i="8" s="1"/>
  <c r="DM177" i="8"/>
  <c r="AA177" i="8" s="1"/>
  <c r="DL177" i="8"/>
  <c r="Z177" i="8" s="1"/>
  <c r="DK177" i="8"/>
  <c r="Y177" i="8" s="1"/>
  <c r="DJ177" i="8"/>
  <c r="X177" i="8" s="1"/>
  <c r="DI177" i="8"/>
  <c r="W177" i="8" s="1"/>
  <c r="DH177" i="8"/>
  <c r="V177" i="8" s="1"/>
  <c r="DG177" i="8"/>
  <c r="U177" i="8" s="1"/>
  <c r="DF177" i="8"/>
  <c r="T177" i="8" s="1"/>
  <c r="DE177" i="8"/>
  <c r="S177" i="8" s="1"/>
  <c r="DD177" i="8"/>
  <c r="R177" i="8" s="1"/>
  <c r="DC177" i="8"/>
  <c r="Q177" i="8" s="1"/>
  <c r="DB177" i="8"/>
  <c r="P177" i="8" s="1"/>
  <c r="DA177" i="8"/>
  <c r="O177" i="8" s="1"/>
  <c r="CZ177" i="8"/>
  <c r="N177" i="8" s="1"/>
  <c r="DP176" i="8"/>
  <c r="AD176" i="8" s="1"/>
  <c r="DO176" i="8"/>
  <c r="AC176" i="8" s="1"/>
  <c r="DN176" i="8"/>
  <c r="AB176" i="8" s="1"/>
  <c r="DM176" i="8"/>
  <c r="AA176" i="8" s="1"/>
  <c r="DL176" i="8"/>
  <c r="Z176" i="8" s="1"/>
  <c r="DK176" i="8"/>
  <c r="Y176" i="8" s="1"/>
  <c r="DJ176" i="8"/>
  <c r="X176" i="8" s="1"/>
  <c r="DI176" i="8"/>
  <c r="W176" i="8" s="1"/>
  <c r="DH176" i="8"/>
  <c r="V176" i="8" s="1"/>
  <c r="DG176" i="8"/>
  <c r="U176" i="8" s="1"/>
  <c r="DF176" i="8"/>
  <c r="T176" i="8" s="1"/>
  <c r="DE176" i="8"/>
  <c r="S176" i="8" s="1"/>
  <c r="DD176" i="8"/>
  <c r="R176" i="8" s="1"/>
  <c r="DC176" i="8"/>
  <c r="Q176" i="8" s="1"/>
  <c r="DB176" i="8"/>
  <c r="P176" i="8" s="1"/>
  <c r="DA176" i="8"/>
  <c r="O176" i="8" s="1"/>
  <c r="CZ176" i="8"/>
  <c r="N176" i="8" s="1"/>
  <c r="DP175" i="8"/>
  <c r="AD175" i="8" s="1"/>
  <c r="DO175" i="8"/>
  <c r="AC175" i="8" s="1"/>
  <c r="DN175" i="8"/>
  <c r="AB175" i="8" s="1"/>
  <c r="DM175" i="8"/>
  <c r="AA175" i="8" s="1"/>
  <c r="DL175" i="8"/>
  <c r="Z175" i="8" s="1"/>
  <c r="DK175" i="8"/>
  <c r="Y175" i="8" s="1"/>
  <c r="DJ175" i="8"/>
  <c r="X175" i="8" s="1"/>
  <c r="DI175" i="8"/>
  <c r="W175" i="8" s="1"/>
  <c r="DH175" i="8"/>
  <c r="V175" i="8" s="1"/>
  <c r="DG175" i="8"/>
  <c r="U175" i="8" s="1"/>
  <c r="DF175" i="8"/>
  <c r="T175" i="8" s="1"/>
  <c r="DE175" i="8"/>
  <c r="S175" i="8" s="1"/>
  <c r="DD175" i="8"/>
  <c r="R175" i="8" s="1"/>
  <c r="DC175" i="8"/>
  <c r="Q175" i="8" s="1"/>
  <c r="DB175" i="8"/>
  <c r="P175" i="8" s="1"/>
  <c r="DA175" i="8"/>
  <c r="O175" i="8" s="1"/>
  <c r="CZ175" i="8"/>
  <c r="N175" i="8" s="1"/>
  <c r="DP174" i="8"/>
  <c r="AD174" i="8" s="1"/>
  <c r="DO174" i="8"/>
  <c r="AC174" i="8" s="1"/>
  <c r="DN174" i="8"/>
  <c r="AB174" i="8" s="1"/>
  <c r="DM174" i="8"/>
  <c r="AA174" i="8" s="1"/>
  <c r="DL174" i="8"/>
  <c r="Z174" i="8" s="1"/>
  <c r="DK174" i="8"/>
  <c r="Y174" i="8" s="1"/>
  <c r="DJ174" i="8"/>
  <c r="X174" i="8" s="1"/>
  <c r="DI174" i="8"/>
  <c r="W174" i="8" s="1"/>
  <c r="DH174" i="8"/>
  <c r="V174" i="8" s="1"/>
  <c r="DG174" i="8"/>
  <c r="U174" i="8" s="1"/>
  <c r="DF174" i="8"/>
  <c r="T174" i="8" s="1"/>
  <c r="DE174" i="8"/>
  <c r="S174" i="8" s="1"/>
  <c r="DD174" i="8"/>
  <c r="R174" i="8" s="1"/>
  <c r="DC174" i="8"/>
  <c r="Q174" i="8" s="1"/>
  <c r="DB174" i="8"/>
  <c r="P174" i="8" s="1"/>
  <c r="DA174" i="8"/>
  <c r="O174" i="8" s="1"/>
  <c r="CZ174" i="8"/>
  <c r="N174" i="8" s="1"/>
  <c r="DP173" i="8"/>
  <c r="AD173" i="8" s="1"/>
  <c r="DO173" i="8"/>
  <c r="AC173" i="8" s="1"/>
  <c r="DN173" i="8"/>
  <c r="AB173" i="8" s="1"/>
  <c r="DM173" i="8"/>
  <c r="AA173" i="8" s="1"/>
  <c r="DL173" i="8"/>
  <c r="Z173" i="8" s="1"/>
  <c r="DK173" i="8"/>
  <c r="Y173" i="8" s="1"/>
  <c r="DJ173" i="8"/>
  <c r="X173" i="8" s="1"/>
  <c r="DI173" i="8"/>
  <c r="W173" i="8" s="1"/>
  <c r="DH173" i="8"/>
  <c r="V173" i="8" s="1"/>
  <c r="DG173" i="8"/>
  <c r="U173" i="8" s="1"/>
  <c r="DF173" i="8"/>
  <c r="T173" i="8" s="1"/>
  <c r="DE173" i="8"/>
  <c r="S173" i="8" s="1"/>
  <c r="DD173" i="8"/>
  <c r="R173" i="8" s="1"/>
  <c r="DC173" i="8"/>
  <c r="Q173" i="8" s="1"/>
  <c r="DB173" i="8"/>
  <c r="P173" i="8" s="1"/>
  <c r="DA173" i="8"/>
  <c r="O173" i="8" s="1"/>
  <c r="CZ173" i="8"/>
  <c r="N173" i="8" s="1"/>
  <c r="DP172" i="8"/>
  <c r="AD172" i="8" s="1"/>
  <c r="DO172" i="8"/>
  <c r="AC172" i="8" s="1"/>
  <c r="DN172" i="8"/>
  <c r="AB172" i="8" s="1"/>
  <c r="DM172" i="8"/>
  <c r="AA172" i="8" s="1"/>
  <c r="DL172" i="8"/>
  <c r="Z172" i="8" s="1"/>
  <c r="DK172" i="8"/>
  <c r="Y172" i="8" s="1"/>
  <c r="DJ172" i="8"/>
  <c r="X172" i="8" s="1"/>
  <c r="DI172" i="8"/>
  <c r="W172" i="8" s="1"/>
  <c r="DH172" i="8"/>
  <c r="V172" i="8" s="1"/>
  <c r="DG172" i="8"/>
  <c r="U172" i="8" s="1"/>
  <c r="DF172" i="8"/>
  <c r="T172" i="8" s="1"/>
  <c r="DE172" i="8"/>
  <c r="S172" i="8" s="1"/>
  <c r="DD172" i="8"/>
  <c r="R172" i="8" s="1"/>
  <c r="DC172" i="8"/>
  <c r="Q172" i="8" s="1"/>
  <c r="DB172" i="8"/>
  <c r="P172" i="8" s="1"/>
  <c r="DA172" i="8"/>
  <c r="O172" i="8" s="1"/>
  <c r="CZ172" i="8"/>
  <c r="N172" i="8" s="1"/>
  <c r="DP171" i="8"/>
  <c r="AD171" i="8" s="1"/>
  <c r="DO171" i="8"/>
  <c r="AC171" i="8" s="1"/>
  <c r="DN171" i="8"/>
  <c r="AB171" i="8" s="1"/>
  <c r="DM171" i="8"/>
  <c r="AA171" i="8" s="1"/>
  <c r="DL171" i="8"/>
  <c r="Z171" i="8" s="1"/>
  <c r="DK171" i="8"/>
  <c r="Y171" i="8" s="1"/>
  <c r="DJ171" i="8"/>
  <c r="X171" i="8" s="1"/>
  <c r="DI171" i="8"/>
  <c r="W171" i="8" s="1"/>
  <c r="DH171" i="8"/>
  <c r="V171" i="8" s="1"/>
  <c r="DG171" i="8"/>
  <c r="U171" i="8" s="1"/>
  <c r="DF171" i="8"/>
  <c r="T171" i="8" s="1"/>
  <c r="DE171" i="8"/>
  <c r="S171" i="8" s="1"/>
  <c r="DD171" i="8"/>
  <c r="R171" i="8" s="1"/>
  <c r="DC171" i="8"/>
  <c r="Q171" i="8" s="1"/>
  <c r="DB171" i="8"/>
  <c r="P171" i="8" s="1"/>
  <c r="DA171" i="8"/>
  <c r="O171" i="8" s="1"/>
  <c r="CZ171" i="8"/>
  <c r="N171" i="8" s="1"/>
  <c r="DP170" i="8"/>
  <c r="AD170" i="8" s="1"/>
  <c r="DO170" i="8"/>
  <c r="AC170" i="8" s="1"/>
  <c r="DN170" i="8"/>
  <c r="AB170" i="8" s="1"/>
  <c r="DM170" i="8"/>
  <c r="AA170" i="8" s="1"/>
  <c r="DL170" i="8"/>
  <c r="Z170" i="8" s="1"/>
  <c r="DK170" i="8"/>
  <c r="Y170" i="8" s="1"/>
  <c r="DJ170" i="8"/>
  <c r="X170" i="8" s="1"/>
  <c r="DI170" i="8"/>
  <c r="W170" i="8" s="1"/>
  <c r="DH170" i="8"/>
  <c r="V170" i="8" s="1"/>
  <c r="DG170" i="8"/>
  <c r="U170" i="8" s="1"/>
  <c r="DF170" i="8"/>
  <c r="T170" i="8" s="1"/>
  <c r="DE170" i="8"/>
  <c r="S170" i="8" s="1"/>
  <c r="DD170" i="8"/>
  <c r="R170" i="8" s="1"/>
  <c r="DC170" i="8"/>
  <c r="Q170" i="8" s="1"/>
  <c r="DB170" i="8"/>
  <c r="P170" i="8" s="1"/>
  <c r="DA170" i="8"/>
  <c r="O170" i="8" s="1"/>
  <c r="CZ170" i="8"/>
  <c r="N170" i="8" s="1"/>
  <c r="DP169" i="8"/>
  <c r="AD169" i="8" s="1"/>
  <c r="DO169" i="8"/>
  <c r="AC169" i="8" s="1"/>
  <c r="DN169" i="8"/>
  <c r="AB169" i="8" s="1"/>
  <c r="DM169" i="8"/>
  <c r="AA169" i="8" s="1"/>
  <c r="DL169" i="8"/>
  <c r="Z169" i="8" s="1"/>
  <c r="DK169" i="8"/>
  <c r="Y169" i="8" s="1"/>
  <c r="DJ169" i="8"/>
  <c r="X169" i="8" s="1"/>
  <c r="DI169" i="8"/>
  <c r="W169" i="8" s="1"/>
  <c r="DH169" i="8"/>
  <c r="V169" i="8" s="1"/>
  <c r="DG169" i="8"/>
  <c r="U169" i="8" s="1"/>
  <c r="DF169" i="8"/>
  <c r="T169" i="8" s="1"/>
  <c r="DE169" i="8"/>
  <c r="S169" i="8" s="1"/>
  <c r="DD169" i="8"/>
  <c r="R169" i="8" s="1"/>
  <c r="DC169" i="8"/>
  <c r="Q169" i="8" s="1"/>
  <c r="DB169" i="8"/>
  <c r="P169" i="8" s="1"/>
  <c r="DA169" i="8"/>
  <c r="O169" i="8" s="1"/>
  <c r="CZ169" i="8"/>
  <c r="N169" i="8" s="1"/>
  <c r="DP168" i="8"/>
  <c r="AD168" i="8" s="1"/>
  <c r="DO168" i="8"/>
  <c r="AC168" i="8" s="1"/>
  <c r="DN168" i="8"/>
  <c r="AB168" i="8" s="1"/>
  <c r="DM168" i="8"/>
  <c r="AA168" i="8" s="1"/>
  <c r="DL168" i="8"/>
  <c r="Z168" i="8" s="1"/>
  <c r="DK168" i="8"/>
  <c r="Y168" i="8" s="1"/>
  <c r="DJ168" i="8"/>
  <c r="X168" i="8" s="1"/>
  <c r="DI168" i="8"/>
  <c r="W168" i="8" s="1"/>
  <c r="DH168" i="8"/>
  <c r="V168" i="8" s="1"/>
  <c r="DG168" i="8"/>
  <c r="U168" i="8" s="1"/>
  <c r="DF168" i="8"/>
  <c r="T168" i="8" s="1"/>
  <c r="DE168" i="8"/>
  <c r="S168" i="8" s="1"/>
  <c r="DD168" i="8"/>
  <c r="R168" i="8" s="1"/>
  <c r="DC168" i="8"/>
  <c r="Q168" i="8" s="1"/>
  <c r="DB168" i="8"/>
  <c r="P168" i="8" s="1"/>
  <c r="DA168" i="8"/>
  <c r="O168" i="8" s="1"/>
  <c r="CZ168" i="8"/>
  <c r="N168" i="8" s="1"/>
  <c r="DP167" i="8"/>
  <c r="AD167" i="8" s="1"/>
  <c r="DO167" i="8"/>
  <c r="AC167" i="8" s="1"/>
  <c r="DN167" i="8"/>
  <c r="AB167" i="8" s="1"/>
  <c r="DM167" i="8"/>
  <c r="AA167" i="8" s="1"/>
  <c r="DL167" i="8"/>
  <c r="Z167" i="8" s="1"/>
  <c r="DK167" i="8"/>
  <c r="Y167" i="8" s="1"/>
  <c r="DJ167" i="8"/>
  <c r="X167" i="8" s="1"/>
  <c r="DI167" i="8"/>
  <c r="W167" i="8" s="1"/>
  <c r="DH167" i="8"/>
  <c r="V167" i="8" s="1"/>
  <c r="DG167" i="8"/>
  <c r="U167" i="8" s="1"/>
  <c r="DF167" i="8"/>
  <c r="T167" i="8" s="1"/>
  <c r="DE167" i="8"/>
  <c r="S167" i="8" s="1"/>
  <c r="DD167" i="8"/>
  <c r="R167" i="8" s="1"/>
  <c r="DC167" i="8"/>
  <c r="Q167" i="8" s="1"/>
  <c r="DB167" i="8"/>
  <c r="P167" i="8" s="1"/>
  <c r="DA167" i="8"/>
  <c r="O167" i="8" s="1"/>
  <c r="CZ167" i="8"/>
  <c r="N167" i="8" s="1"/>
  <c r="DP166" i="8"/>
  <c r="AD166" i="8" s="1"/>
  <c r="DO166" i="8"/>
  <c r="AC166" i="8" s="1"/>
  <c r="DN166" i="8"/>
  <c r="AB166" i="8" s="1"/>
  <c r="DM166" i="8"/>
  <c r="AA166" i="8" s="1"/>
  <c r="DL166" i="8"/>
  <c r="Z166" i="8" s="1"/>
  <c r="DK166" i="8"/>
  <c r="Y166" i="8" s="1"/>
  <c r="DJ166" i="8"/>
  <c r="X166" i="8" s="1"/>
  <c r="DI166" i="8"/>
  <c r="W166" i="8" s="1"/>
  <c r="DH166" i="8"/>
  <c r="V166" i="8" s="1"/>
  <c r="DG166" i="8"/>
  <c r="U166" i="8" s="1"/>
  <c r="DF166" i="8"/>
  <c r="T166" i="8" s="1"/>
  <c r="DE166" i="8"/>
  <c r="S166" i="8" s="1"/>
  <c r="DD166" i="8"/>
  <c r="R166" i="8" s="1"/>
  <c r="DC166" i="8"/>
  <c r="Q166" i="8" s="1"/>
  <c r="DB166" i="8"/>
  <c r="P166" i="8" s="1"/>
  <c r="DA166" i="8"/>
  <c r="O166" i="8" s="1"/>
  <c r="CZ166" i="8"/>
  <c r="N166" i="8" s="1"/>
  <c r="DP165" i="8"/>
  <c r="AD165" i="8" s="1"/>
  <c r="DO165" i="8"/>
  <c r="AC165" i="8" s="1"/>
  <c r="DN165" i="8"/>
  <c r="AB165" i="8" s="1"/>
  <c r="DM165" i="8"/>
  <c r="AA165" i="8" s="1"/>
  <c r="DL165" i="8"/>
  <c r="Z165" i="8" s="1"/>
  <c r="DK165" i="8"/>
  <c r="Y165" i="8" s="1"/>
  <c r="DJ165" i="8"/>
  <c r="X165" i="8" s="1"/>
  <c r="DI165" i="8"/>
  <c r="W165" i="8" s="1"/>
  <c r="DH165" i="8"/>
  <c r="V165" i="8" s="1"/>
  <c r="DG165" i="8"/>
  <c r="U165" i="8" s="1"/>
  <c r="DF165" i="8"/>
  <c r="T165" i="8" s="1"/>
  <c r="DE165" i="8"/>
  <c r="S165" i="8" s="1"/>
  <c r="DD165" i="8"/>
  <c r="R165" i="8" s="1"/>
  <c r="DC165" i="8"/>
  <c r="Q165" i="8" s="1"/>
  <c r="DB165" i="8"/>
  <c r="P165" i="8" s="1"/>
  <c r="DA165" i="8"/>
  <c r="O165" i="8" s="1"/>
  <c r="CZ165" i="8"/>
  <c r="N165" i="8" s="1"/>
  <c r="DP164" i="8"/>
  <c r="AD164" i="8" s="1"/>
  <c r="DO164" i="8"/>
  <c r="AC164" i="8" s="1"/>
  <c r="DN164" i="8"/>
  <c r="AB164" i="8" s="1"/>
  <c r="DM164" i="8"/>
  <c r="AA164" i="8" s="1"/>
  <c r="DL164" i="8"/>
  <c r="Z164" i="8" s="1"/>
  <c r="DK164" i="8"/>
  <c r="Y164" i="8" s="1"/>
  <c r="DJ164" i="8"/>
  <c r="X164" i="8" s="1"/>
  <c r="DI164" i="8"/>
  <c r="W164" i="8" s="1"/>
  <c r="DH164" i="8"/>
  <c r="V164" i="8" s="1"/>
  <c r="DG164" i="8"/>
  <c r="U164" i="8" s="1"/>
  <c r="DF164" i="8"/>
  <c r="T164" i="8" s="1"/>
  <c r="DE164" i="8"/>
  <c r="S164" i="8" s="1"/>
  <c r="DD164" i="8"/>
  <c r="R164" i="8" s="1"/>
  <c r="DC164" i="8"/>
  <c r="Q164" i="8" s="1"/>
  <c r="DB164" i="8"/>
  <c r="P164" i="8" s="1"/>
  <c r="DA164" i="8"/>
  <c r="O164" i="8" s="1"/>
  <c r="CZ164" i="8"/>
  <c r="N164" i="8" s="1"/>
  <c r="DP163" i="8"/>
  <c r="AD163" i="8" s="1"/>
  <c r="DO163" i="8"/>
  <c r="AC163" i="8" s="1"/>
  <c r="DN163" i="8"/>
  <c r="AB163" i="8" s="1"/>
  <c r="DM163" i="8"/>
  <c r="AA163" i="8" s="1"/>
  <c r="DL163" i="8"/>
  <c r="Z163" i="8" s="1"/>
  <c r="DK163" i="8"/>
  <c r="Y163" i="8" s="1"/>
  <c r="DJ163" i="8"/>
  <c r="X163" i="8" s="1"/>
  <c r="DI163" i="8"/>
  <c r="W163" i="8" s="1"/>
  <c r="DH163" i="8"/>
  <c r="V163" i="8" s="1"/>
  <c r="DG163" i="8"/>
  <c r="U163" i="8" s="1"/>
  <c r="DF163" i="8"/>
  <c r="T163" i="8" s="1"/>
  <c r="DE163" i="8"/>
  <c r="S163" i="8" s="1"/>
  <c r="DD163" i="8"/>
  <c r="R163" i="8" s="1"/>
  <c r="DC163" i="8"/>
  <c r="Q163" i="8" s="1"/>
  <c r="DB163" i="8"/>
  <c r="P163" i="8" s="1"/>
  <c r="DA163" i="8"/>
  <c r="O163" i="8" s="1"/>
  <c r="CZ163" i="8"/>
  <c r="N163" i="8" s="1"/>
  <c r="DP162" i="8"/>
  <c r="AD162" i="8" s="1"/>
  <c r="DO162" i="8"/>
  <c r="AC162" i="8" s="1"/>
  <c r="DN162" i="8"/>
  <c r="AB162" i="8" s="1"/>
  <c r="DM162" i="8"/>
  <c r="AA162" i="8" s="1"/>
  <c r="DL162" i="8"/>
  <c r="Z162" i="8" s="1"/>
  <c r="DK162" i="8"/>
  <c r="Y162" i="8" s="1"/>
  <c r="DJ162" i="8"/>
  <c r="X162" i="8" s="1"/>
  <c r="DI162" i="8"/>
  <c r="W162" i="8" s="1"/>
  <c r="DH162" i="8"/>
  <c r="V162" i="8" s="1"/>
  <c r="DG162" i="8"/>
  <c r="U162" i="8" s="1"/>
  <c r="DF162" i="8"/>
  <c r="T162" i="8" s="1"/>
  <c r="DE162" i="8"/>
  <c r="S162" i="8" s="1"/>
  <c r="DD162" i="8"/>
  <c r="R162" i="8" s="1"/>
  <c r="DC162" i="8"/>
  <c r="Q162" i="8" s="1"/>
  <c r="DB162" i="8"/>
  <c r="P162" i="8" s="1"/>
  <c r="DA162" i="8"/>
  <c r="O162" i="8" s="1"/>
  <c r="CZ162" i="8"/>
  <c r="N162" i="8" s="1"/>
  <c r="DP161" i="8"/>
  <c r="AD161" i="8" s="1"/>
  <c r="DO161" i="8"/>
  <c r="AC161" i="8" s="1"/>
  <c r="DN161" i="8"/>
  <c r="AB161" i="8" s="1"/>
  <c r="DM161" i="8"/>
  <c r="AA161" i="8" s="1"/>
  <c r="DL161" i="8"/>
  <c r="Z161" i="8" s="1"/>
  <c r="DK161" i="8"/>
  <c r="Y161" i="8" s="1"/>
  <c r="DJ161" i="8"/>
  <c r="X161" i="8" s="1"/>
  <c r="DI161" i="8"/>
  <c r="W161" i="8" s="1"/>
  <c r="DH161" i="8"/>
  <c r="V161" i="8" s="1"/>
  <c r="DG161" i="8"/>
  <c r="U161" i="8" s="1"/>
  <c r="DF161" i="8"/>
  <c r="T161" i="8" s="1"/>
  <c r="DE161" i="8"/>
  <c r="S161" i="8" s="1"/>
  <c r="DD161" i="8"/>
  <c r="R161" i="8" s="1"/>
  <c r="DC161" i="8"/>
  <c r="Q161" i="8" s="1"/>
  <c r="DB161" i="8"/>
  <c r="P161" i="8" s="1"/>
  <c r="DA161" i="8"/>
  <c r="O161" i="8" s="1"/>
  <c r="CZ161" i="8"/>
  <c r="N161" i="8" s="1"/>
  <c r="DP160" i="8"/>
  <c r="AD160" i="8" s="1"/>
  <c r="DO160" i="8"/>
  <c r="AC160" i="8" s="1"/>
  <c r="DN160" i="8"/>
  <c r="AB160" i="8" s="1"/>
  <c r="DM160" i="8"/>
  <c r="AA160" i="8" s="1"/>
  <c r="DL160" i="8"/>
  <c r="Z160" i="8" s="1"/>
  <c r="DK160" i="8"/>
  <c r="Y160" i="8" s="1"/>
  <c r="DJ160" i="8"/>
  <c r="X160" i="8" s="1"/>
  <c r="DI160" i="8"/>
  <c r="W160" i="8" s="1"/>
  <c r="DH160" i="8"/>
  <c r="V160" i="8" s="1"/>
  <c r="DG160" i="8"/>
  <c r="U160" i="8" s="1"/>
  <c r="DF160" i="8"/>
  <c r="T160" i="8" s="1"/>
  <c r="DE160" i="8"/>
  <c r="S160" i="8" s="1"/>
  <c r="DD160" i="8"/>
  <c r="R160" i="8" s="1"/>
  <c r="DC160" i="8"/>
  <c r="Q160" i="8" s="1"/>
  <c r="DB160" i="8"/>
  <c r="P160" i="8" s="1"/>
  <c r="DA160" i="8"/>
  <c r="O160" i="8" s="1"/>
  <c r="CZ160" i="8"/>
  <c r="N160" i="8" s="1"/>
  <c r="DP159" i="8"/>
  <c r="AD159" i="8" s="1"/>
  <c r="DO159" i="8"/>
  <c r="AC159" i="8" s="1"/>
  <c r="DN159" i="8"/>
  <c r="AB159" i="8" s="1"/>
  <c r="DM159" i="8"/>
  <c r="AA159" i="8" s="1"/>
  <c r="DL159" i="8"/>
  <c r="Z159" i="8" s="1"/>
  <c r="DK159" i="8"/>
  <c r="Y159" i="8" s="1"/>
  <c r="DJ159" i="8"/>
  <c r="X159" i="8" s="1"/>
  <c r="DI159" i="8"/>
  <c r="W159" i="8" s="1"/>
  <c r="DH159" i="8"/>
  <c r="V159" i="8" s="1"/>
  <c r="DG159" i="8"/>
  <c r="U159" i="8" s="1"/>
  <c r="DF159" i="8"/>
  <c r="T159" i="8" s="1"/>
  <c r="DE159" i="8"/>
  <c r="S159" i="8" s="1"/>
  <c r="DD159" i="8"/>
  <c r="R159" i="8" s="1"/>
  <c r="DC159" i="8"/>
  <c r="Q159" i="8" s="1"/>
  <c r="DB159" i="8"/>
  <c r="P159" i="8" s="1"/>
  <c r="DA159" i="8"/>
  <c r="O159" i="8" s="1"/>
  <c r="CZ159" i="8"/>
  <c r="N159" i="8" s="1"/>
  <c r="DP158" i="8"/>
  <c r="AD158" i="8" s="1"/>
  <c r="DO158" i="8"/>
  <c r="AC158" i="8" s="1"/>
  <c r="DN158" i="8"/>
  <c r="AB158" i="8" s="1"/>
  <c r="DM158" i="8"/>
  <c r="AA158" i="8" s="1"/>
  <c r="DL158" i="8"/>
  <c r="Z158" i="8" s="1"/>
  <c r="DK158" i="8"/>
  <c r="Y158" i="8" s="1"/>
  <c r="DJ158" i="8"/>
  <c r="X158" i="8" s="1"/>
  <c r="DI158" i="8"/>
  <c r="W158" i="8" s="1"/>
  <c r="DH158" i="8"/>
  <c r="V158" i="8" s="1"/>
  <c r="DG158" i="8"/>
  <c r="U158" i="8" s="1"/>
  <c r="DF158" i="8"/>
  <c r="T158" i="8" s="1"/>
  <c r="DE158" i="8"/>
  <c r="S158" i="8" s="1"/>
  <c r="DD158" i="8"/>
  <c r="R158" i="8" s="1"/>
  <c r="DC158" i="8"/>
  <c r="Q158" i="8" s="1"/>
  <c r="DB158" i="8"/>
  <c r="P158" i="8" s="1"/>
  <c r="DA158" i="8"/>
  <c r="O158" i="8" s="1"/>
  <c r="CZ158" i="8"/>
  <c r="N158" i="8" s="1"/>
  <c r="DP157" i="8"/>
  <c r="AD157" i="8" s="1"/>
  <c r="DO157" i="8"/>
  <c r="AC157" i="8" s="1"/>
  <c r="DN157" i="8"/>
  <c r="AB157" i="8" s="1"/>
  <c r="DM157" i="8"/>
  <c r="AA157" i="8" s="1"/>
  <c r="DL157" i="8"/>
  <c r="Z157" i="8" s="1"/>
  <c r="DK157" i="8"/>
  <c r="Y157" i="8" s="1"/>
  <c r="DJ157" i="8"/>
  <c r="X157" i="8" s="1"/>
  <c r="DI157" i="8"/>
  <c r="W157" i="8" s="1"/>
  <c r="DH157" i="8"/>
  <c r="V157" i="8" s="1"/>
  <c r="DG157" i="8"/>
  <c r="U157" i="8" s="1"/>
  <c r="DF157" i="8"/>
  <c r="T157" i="8" s="1"/>
  <c r="DE157" i="8"/>
  <c r="S157" i="8" s="1"/>
  <c r="DD157" i="8"/>
  <c r="R157" i="8" s="1"/>
  <c r="DC157" i="8"/>
  <c r="Q157" i="8" s="1"/>
  <c r="DB157" i="8"/>
  <c r="P157" i="8" s="1"/>
  <c r="DA157" i="8"/>
  <c r="O157" i="8" s="1"/>
  <c r="CZ157" i="8"/>
  <c r="N157" i="8" s="1"/>
  <c r="DP156" i="8"/>
  <c r="AD156" i="8" s="1"/>
  <c r="DO156" i="8"/>
  <c r="AC156" i="8" s="1"/>
  <c r="DN156" i="8"/>
  <c r="AB156" i="8" s="1"/>
  <c r="DM156" i="8"/>
  <c r="AA156" i="8" s="1"/>
  <c r="DL156" i="8"/>
  <c r="Z156" i="8" s="1"/>
  <c r="DK156" i="8"/>
  <c r="Y156" i="8" s="1"/>
  <c r="DJ156" i="8"/>
  <c r="X156" i="8" s="1"/>
  <c r="DI156" i="8"/>
  <c r="W156" i="8" s="1"/>
  <c r="DH156" i="8"/>
  <c r="V156" i="8" s="1"/>
  <c r="DG156" i="8"/>
  <c r="U156" i="8" s="1"/>
  <c r="DF156" i="8"/>
  <c r="T156" i="8" s="1"/>
  <c r="DE156" i="8"/>
  <c r="S156" i="8" s="1"/>
  <c r="DD156" i="8"/>
  <c r="R156" i="8" s="1"/>
  <c r="DC156" i="8"/>
  <c r="Q156" i="8" s="1"/>
  <c r="DB156" i="8"/>
  <c r="P156" i="8" s="1"/>
  <c r="DA156" i="8"/>
  <c r="O156" i="8" s="1"/>
  <c r="CZ156" i="8"/>
  <c r="N156" i="8" s="1"/>
  <c r="DP155" i="8"/>
  <c r="AD155" i="8" s="1"/>
  <c r="DO155" i="8"/>
  <c r="AC155" i="8" s="1"/>
  <c r="DN155" i="8"/>
  <c r="AB155" i="8" s="1"/>
  <c r="DM155" i="8"/>
  <c r="AA155" i="8" s="1"/>
  <c r="DL155" i="8"/>
  <c r="Z155" i="8" s="1"/>
  <c r="DK155" i="8"/>
  <c r="Y155" i="8" s="1"/>
  <c r="DJ155" i="8"/>
  <c r="X155" i="8" s="1"/>
  <c r="DI155" i="8"/>
  <c r="W155" i="8" s="1"/>
  <c r="DH155" i="8"/>
  <c r="V155" i="8" s="1"/>
  <c r="DG155" i="8"/>
  <c r="U155" i="8" s="1"/>
  <c r="DF155" i="8"/>
  <c r="T155" i="8" s="1"/>
  <c r="DE155" i="8"/>
  <c r="S155" i="8" s="1"/>
  <c r="DD155" i="8"/>
  <c r="R155" i="8" s="1"/>
  <c r="DC155" i="8"/>
  <c r="Q155" i="8" s="1"/>
  <c r="DB155" i="8"/>
  <c r="P155" i="8" s="1"/>
  <c r="DA155" i="8"/>
  <c r="O155" i="8" s="1"/>
  <c r="CZ155" i="8"/>
  <c r="N155" i="8" s="1"/>
  <c r="DP154" i="8"/>
  <c r="AD154" i="8" s="1"/>
  <c r="DO154" i="8"/>
  <c r="AC154" i="8" s="1"/>
  <c r="DN154" i="8"/>
  <c r="AB154" i="8" s="1"/>
  <c r="DM154" i="8"/>
  <c r="AA154" i="8" s="1"/>
  <c r="DL154" i="8"/>
  <c r="Z154" i="8" s="1"/>
  <c r="DK154" i="8"/>
  <c r="Y154" i="8" s="1"/>
  <c r="DJ154" i="8"/>
  <c r="X154" i="8" s="1"/>
  <c r="DI154" i="8"/>
  <c r="W154" i="8" s="1"/>
  <c r="DH154" i="8"/>
  <c r="V154" i="8" s="1"/>
  <c r="DG154" i="8"/>
  <c r="U154" i="8" s="1"/>
  <c r="DF154" i="8"/>
  <c r="T154" i="8" s="1"/>
  <c r="DE154" i="8"/>
  <c r="S154" i="8" s="1"/>
  <c r="DD154" i="8"/>
  <c r="R154" i="8" s="1"/>
  <c r="DC154" i="8"/>
  <c r="Q154" i="8" s="1"/>
  <c r="DB154" i="8"/>
  <c r="P154" i="8" s="1"/>
  <c r="DA154" i="8"/>
  <c r="O154" i="8" s="1"/>
  <c r="CZ154" i="8"/>
  <c r="N154" i="8" s="1"/>
  <c r="DP153" i="8"/>
  <c r="AD153" i="8" s="1"/>
  <c r="DO153" i="8"/>
  <c r="AC153" i="8" s="1"/>
  <c r="DN153" i="8"/>
  <c r="AB153" i="8" s="1"/>
  <c r="DM153" i="8"/>
  <c r="AA153" i="8" s="1"/>
  <c r="DL153" i="8"/>
  <c r="Z153" i="8" s="1"/>
  <c r="DK153" i="8"/>
  <c r="Y153" i="8" s="1"/>
  <c r="DJ153" i="8"/>
  <c r="X153" i="8" s="1"/>
  <c r="DI153" i="8"/>
  <c r="W153" i="8" s="1"/>
  <c r="DH153" i="8"/>
  <c r="V153" i="8" s="1"/>
  <c r="DG153" i="8"/>
  <c r="U153" i="8" s="1"/>
  <c r="DF153" i="8"/>
  <c r="T153" i="8" s="1"/>
  <c r="DE153" i="8"/>
  <c r="S153" i="8" s="1"/>
  <c r="DD153" i="8"/>
  <c r="R153" i="8" s="1"/>
  <c r="DC153" i="8"/>
  <c r="Q153" i="8" s="1"/>
  <c r="DB153" i="8"/>
  <c r="P153" i="8" s="1"/>
  <c r="DA153" i="8"/>
  <c r="O153" i="8" s="1"/>
  <c r="CZ153" i="8"/>
  <c r="N153" i="8" s="1"/>
  <c r="DP152" i="8"/>
  <c r="AD152" i="8" s="1"/>
  <c r="DO152" i="8"/>
  <c r="AC152" i="8" s="1"/>
  <c r="DN152" i="8"/>
  <c r="AB152" i="8" s="1"/>
  <c r="DM152" i="8"/>
  <c r="AA152" i="8" s="1"/>
  <c r="DL152" i="8"/>
  <c r="Z152" i="8" s="1"/>
  <c r="DK152" i="8"/>
  <c r="Y152" i="8" s="1"/>
  <c r="DJ152" i="8"/>
  <c r="X152" i="8" s="1"/>
  <c r="DI152" i="8"/>
  <c r="W152" i="8" s="1"/>
  <c r="DH152" i="8"/>
  <c r="V152" i="8" s="1"/>
  <c r="DG152" i="8"/>
  <c r="U152" i="8" s="1"/>
  <c r="DF152" i="8"/>
  <c r="T152" i="8" s="1"/>
  <c r="DE152" i="8"/>
  <c r="S152" i="8" s="1"/>
  <c r="DD152" i="8"/>
  <c r="R152" i="8" s="1"/>
  <c r="DC152" i="8"/>
  <c r="Q152" i="8" s="1"/>
  <c r="DB152" i="8"/>
  <c r="P152" i="8" s="1"/>
  <c r="DA152" i="8"/>
  <c r="O152" i="8" s="1"/>
  <c r="CZ152" i="8"/>
  <c r="N152" i="8" s="1"/>
  <c r="DP151" i="8"/>
  <c r="AD151" i="8" s="1"/>
  <c r="DO151" i="8"/>
  <c r="AC151" i="8" s="1"/>
  <c r="DN151" i="8"/>
  <c r="AB151" i="8" s="1"/>
  <c r="DM151" i="8"/>
  <c r="AA151" i="8" s="1"/>
  <c r="DL151" i="8"/>
  <c r="Z151" i="8" s="1"/>
  <c r="DK151" i="8"/>
  <c r="Y151" i="8" s="1"/>
  <c r="DJ151" i="8"/>
  <c r="X151" i="8" s="1"/>
  <c r="DI151" i="8"/>
  <c r="W151" i="8" s="1"/>
  <c r="DH151" i="8"/>
  <c r="V151" i="8" s="1"/>
  <c r="DG151" i="8"/>
  <c r="U151" i="8" s="1"/>
  <c r="DF151" i="8"/>
  <c r="T151" i="8" s="1"/>
  <c r="DE151" i="8"/>
  <c r="S151" i="8" s="1"/>
  <c r="DD151" i="8"/>
  <c r="R151" i="8" s="1"/>
  <c r="DC151" i="8"/>
  <c r="Q151" i="8" s="1"/>
  <c r="DB151" i="8"/>
  <c r="P151" i="8" s="1"/>
  <c r="DA151" i="8"/>
  <c r="O151" i="8" s="1"/>
  <c r="CZ151" i="8"/>
  <c r="N151" i="8" s="1"/>
  <c r="DP150" i="8"/>
  <c r="AD150" i="8" s="1"/>
  <c r="DO150" i="8"/>
  <c r="AC150" i="8" s="1"/>
  <c r="DN150" i="8"/>
  <c r="AB150" i="8" s="1"/>
  <c r="DM150" i="8"/>
  <c r="AA150" i="8" s="1"/>
  <c r="DL150" i="8"/>
  <c r="Z150" i="8" s="1"/>
  <c r="DK150" i="8"/>
  <c r="Y150" i="8" s="1"/>
  <c r="DJ150" i="8"/>
  <c r="X150" i="8" s="1"/>
  <c r="DI150" i="8"/>
  <c r="W150" i="8" s="1"/>
  <c r="DH150" i="8"/>
  <c r="V150" i="8" s="1"/>
  <c r="DG150" i="8"/>
  <c r="U150" i="8" s="1"/>
  <c r="DF150" i="8"/>
  <c r="T150" i="8" s="1"/>
  <c r="DE150" i="8"/>
  <c r="S150" i="8" s="1"/>
  <c r="DD150" i="8"/>
  <c r="R150" i="8" s="1"/>
  <c r="DC150" i="8"/>
  <c r="Q150" i="8" s="1"/>
  <c r="DB150" i="8"/>
  <c r="P150" i="8" s="1"/>
  <c r="DA150" i="8"/>
  <c r="O150" i="8" s="1"/>
  <c r="CZ150" i="8"/>
  <c r="N150" i="8" s="1"/>
  <c r="DP149" i="8"/>
  <c r="AD149" i="8" s="1"/>
  <c r="DO149" i="8"/>
  <c r="AC149" i="8" s="1"/>
  <c r="DN149" i="8"/>
  <c r="AB149" i="8" s="1"/>
  <c r="DM149" i="8"/>
  <c r="AA149" i="8" s="1"/>
  <c r="DL149" i="8"/>
  <c r="Z149" i="8" s="1"/>
  <c r="DK149" i="8"/>
  <c r="Y149" i="8" s="1"/>
  <c r="DJ149" i="8"/>
  <c r="X149" i="8" s="1"/>
  <c r="DI149" i="8"/>
  <c r="W149" i="8" s="1"/>
  <c r="DH149" i="8"/>
  <c r="V149" i="8" s="1"/>
  <c r="DG149" i="8"/>
  <c r="U149" i="8" s="1"/>
  <c r="DF149" i="8"/>
  <c r="T149" i="8" s="1"/>
  <c r="DE149" i="8"/>
  <c r="S149" i="8" s="1"/>
  <c r="DD149" i="8"/>
  <c r="R149" i="8" s="1"/>
  <c r="DC149" i="8"/>
  <c r="Q149" i="8" s="1"/>
  <c r="DB149" i="8"/>
  <c r="P149" i="8" s="1"/>
  <c r="DA149" i="8"/>
  <c r="O149" i="8" s="1"/>
  <c r="CZ149" i="8"/>
  <c r="N149" i="8" s="1"/>
  <c r="DP148" i="8"/>
  <c r="AD148" i="8" s="1"/>
  <c r="DO148" i="8"/>
  <c r="AC148" i="8" s="1"/>
  <c r="DN148" i="8"/>
  <c r="AB148" i="8" s="1"/>
  <c r="DM148" i="8"/>
  <c r="AA148" i="8" s="1"/>
  <c r="DL148" i="8"/>
  <c r="Z148" i="8" s="1"/>
  <c r="DK148" i="8"/>
  <c r="Y148" i="8" s="1"/>
  <c r="DJ148" i="8"/>
  <c r="X148" i="8" s="1"/>
  <c r="DI148" i="8"/>
  <c r="W148" i="8" s="1"/>
  <c r="DH148" i="8"/>
  <c r="V148" i="8" s="1"/>
  <c r="DG148" i="8"/>
  <c r="U148" i="8" s="1"/>
  <c r="DF148" i="8"/>
  <c r="T148" i="8" s="1"/>
  <c r="DE148" i="8"/>
  <c r="S148" i="8" s="1"/>
  <c r="DD148" i="8"/>
  <c r="R148" i="8" s="1"/>
  <c r="DC148" i="8"/>
  <c r="Q148" i="8" s="1"/>
  <c r="DB148" i="8"/>
  <c r="P148" i="8" s="1"/>
  <c r="DA148" i="8"/>
  <c r="O148" i="8" s="1"/>
  <c r="CZ148" i="8"/>
  <c r="N148" i="8" s="1"/>
  <c r="DP147" i="8"/>
  <c r="AD147" i="8" s="1"/>
  <c r="DO147" i="8"/>
  <c r="AC147" i="8" s="1"/>
  <c r="DN147" i="8"/>
  <c r="AB147" i="8" s="1"/>
  <c r="DM147" i="8"/>
  <c r="AA147" i="8" s="1"/>
  <c r="DL147" i="8"/>
  <c r="Z147" i="8" s="1"/>
  <c r="DK147" i="8"/>
  <c r="Y147" i="8" s="1"/>
  <c r="DJ147" i="8"/>
  <c r="X147" i="8" s="1"/>
  <c r="DI147" i="8"/>
  <c r="W147" i="8" s="1"/>
  <c r="DH147" i="8"/>
  <c r="V147" i="8" s="1"/>
  <c r="DG147" i="8"/>
  <c r="U147" i="8" s="1"/>
  <c r="DF147" i="8"/>
  <c r="T147" i="8" s="1"/>
  <c r="DE147" i="8"/>
  <c r="S147" i="8" s="1"/>
  <c r="DD147" i="8"/>
  <c r="R147" i="8" s="1"/>
  <c r="DC147" i="8"/>
  <c r="Q147" i="8" s="1"/>
  <c r="DB147" i="8"/>
  <c r="P147" i="8" s="1"/>
  <c r="DA147" i="8"/>
  <c r="O147" i="8" s="1"/>
  <c r="CZ147" i="8"/>
  <c r="N147" i="8" s="1"/>
  <c r="DP146" i="8"/>
  <c r="AD146" i="8" s="1"/>
  <c r="DO146" i="8"/>
  <c r="AC146" i="8" s="1"/>
  <c r="DN146" i="8"/>
  <c r="AB146" i="8" s="1"/>
  <c r="DM146" i="8"/>
  <c r="AA146" i="8" s="1"/>
  <c r="DL146" i="8"/>
  <c r="Z146" i="8" s="1"/>
  <c r="DK146" i="8"/>
  <c r="Y146" i="8" s="1"/>
  <c r="DJ146" i="8"/>
  <c r="X146" i="8" s="1"/>
  <c r="DI146" i="8"/>
  <c r="W146" i="8" s="1"/>
  <c r="DH146" i="8"/>
  <c r="V146" i="8" s="1"/>
  <c r="DG146" i="8"/>
  <c r="U146" i="8" s="1"/>
  <c r="DF146" i="8"/>
  <c r="T146" i="8" s="1"/>
  <c r="DE146" i="8"/>
  <c r="S146" i="8" s="1"/>
  <c r="DD146" i="8"/>
  <c r="R146" i="8" s="1"/>
  <c r="DC146" i="8"/>
  <c r="Q146" i="8" s="1"/>
  <c r="DB146" i="8"/>
  <c r="P146" i="8" s="1"/>
  <c r="DA146" i="8"/>
  <c r="O146" i="8" s="1"/>
  <c r="CZ146" i="8"/>
  <c r="N146" i="8" s="1"/>
  <c r="DP145" i="8"/>
  <c r="AD145" i="8" s="1"/>
  <c r="DO145" i="8"/>
  <c r="AC145" i="8" s="1"/>
  <c r="DN145" i="8"/>
  <c r="AB145" i="8" s="1"/>
  <c r="DM145" i="8"/>
  <c r="AA145" i="8" s="1"/>
  <c r="DL145" i="8"/>
  <c r="Z145" i="8" s="1"/>
  <c r="DK145" i="8"/>
  <c r="Y145" i="8" s="1"/>
  <c r="DJ145" i="8"/>
  <c r="X145" i="8" s="1"/>
  <c r="DI145" i="8"/>
  <c r="W145" i="8" s="1"/>
  <c r="DH145" i="8"/>
  <c r="V145" i="8" s="1"/>
  <c r="DG145" i="8"/>
  <c r="U145" i="8" s="1"/>
  <c r="DF145" i="8"/>
  <c r="T145" i="8" s="1"/>
  <c r="DE145" i="8"/>
  <c r="S145" i="8" s="1"/>
  <c r="DD145" i="8"/>
  <c r="R145" i="8" s="1"/>
  <c r="DC145" i="8"/>
  <c r="Q145" i="8" s="1"/>
  <c r="DB145" i="8"/>
  <c r="P145" i="8" s="1"/>
  <c r="DA145" i="8"/>
  <c r="O145" i="8" s="1"/>
  <c r="CZ145" i="8"/>
  <c r="N145" i="8" s="1"/>
  <c r="DP144" i="8"/>
  <c r="AD144" i="8" s="1"/>
  <c r="DO144" i="8"/>
  <c r="AC144" i="8" s="1"/>
  <c r="DN144" i="8"/>
  <c r="AB144" i="8" s="1"/>
  <c r="DM144" i="8"/>
  <c r="AA144" i="8" s="1"/>
  <c r="DL144" i="8"/>
  <c r="Z144" i="8" s="1"/>
  <c r="DK144" i="8"/>
  <c r="Y144" i="8" s="1"/>
  <c r="DJ144" i="8"/>
  <c r="X144" i="8" s="1"/>
  <c r="DI144" i="8"/>
  <c r="W144" i="8" s="1"/>
  <c r="DH144" i="8"/>
  <c r="V144" i="8" s="1"/>
  <c r="DG144" i="8"/>
  <c r="U144" i="8" s="1"/>
  <c r="DF144" i="8"/>
  <c r="T144" i="8" s="1"/>
  <c r="DE144" i="8"/>
  <c r="S144" i="8" s="1"/>
  <c r="DD144" i="8"/>
  <c r="R144" i="8" s="1"/>
  <c r="DC144" i="8"/>
  <c r="Q144" i="8" s="1"/>
  <c r="DB144" i="8"/>
  <c r="P144" i="8" s="1"/>
  <c r="DA144" i="8"/>
  <c r="O144" i="8" s="1"/>
  <c r="CZ144" i="8"/>
  <c r="N144" i="8" s="1"/>
  <c r="DP143" i="8"/>
  <c r="AD143" i="8" s="1"/>
  <c r="DO143" i="8"/>
  <c r="AC143" i="8" s="1"/>
  <c r="DN143" i="8"/>
  <c r="AB143" i="8" s="1"/>
  <c r="DM143" i="8"/>
  <c r="AA143" i="8" s="1"/>
  <c r="DL143" i="8"/>
  <c r="Z143" i="8" s="1"/>
  <c r="DK143" i="8"/>
  <c r="Y143" i="8" s="1"/>
  <c r="DJ143" i="8"/>
  <c r="X143" i="8" s="1"/>
  <c r="DI143" i="8"/>
  <c r="W143" i="8" s="1"/>
  <c r="DH143" i="8"/>
  <c r="V143" i="8" s="1"/>
  <c r="DG143" i="8"/>
  <c r="U143" i="8" s="1"/>
  <c r="DF143" i="8"/>
  <c r="T143" i="8" s="1"/>
  <c r="DE143" i="8"/>
  <c r="S143" i="8" s="1"/>
  <c r="DD143" i="8"/>
  <c r="R143" i="8" s="1"/>
  <c r="DC143" i="8"/>
  <c r="Q143" i="8" s="1"/>
  <c r="DB143" i="8"/>
  <c r="P143" i="8" s="1"/>
  <c r="DA143" i="8"/>
  <c r="O143" i="8" s="1"/>
  <c r="CZ143" i="8"/>
  <c r="N143" i="8" s="1"/>
  <c r="DP142" i="8"/>
  <c r="AD142" i="8" s="1"/>
  <c r="DO142" i="8"/>
  <c r="AC142" i="8" s="1"/>
  <c r="DN142" i="8"/>
  <c r="AB142" i="8" s="1"/>
  <c r="DM142" i="8"/>
  <c r="AA142" i="8" s="1"/>
  <c r="DL142" i="8"/>
  <c r="Z142" i="8" s="1"/>
  <c r="DK142" i="8"/>
  <c r="Y142" i="8" s="1"/>
  <c r="DJ142" i="8"/>
  <c r="X142" i="8" s="1"/>
  <c r="DI142" i="8"/>
  <c r="W142" i="8" s="1"/>
  <c r="DH142" i="8"/>
  <c r="V142" i="8" s="1"/>
  <c r="DG142" i="8"/>
  <c r="U142" i="8" s="1"/>
  <c r="DF142" i="8"/>
  <c r="T142" i="8" s="1"/>
  <c r="DE142" i="8"/>
  <c r="S142" i="8" s="1"/>
  <c r="DD142" i="8"/>
  <c r="R142" i="8" s="1"/>
  <c r="DC142" i="8"/>
  <c r="Q142" i="8" s="1"/>
  <c r="DB142" i="8"/>
  <c r="P142" i="8" s="1"/>
  <c r="DA142" i="8"/>
  <c r="O142" i="8" s="1"/>
  <c r="CZ142" i="8"/>
  <c r="N142" i="8" s="1"/>
  <c r="DP141" i="8"/>
  <c r="AD141" i="8" s="1"/>
  <c r="DO141" i="8"/>
  <c r="AC141" i="8" s="1"/>
  <c r="DN141" i="8"/>
  <c r="AB141" i="8" s="1"/>
  <c r="DM141" i="8"/>
  <c r="AA141" i="8" s="1"/>
  <c r="DL141" i="8"/>
  <c r="Z141" i="8" s="1"/>
  <c r="DK141" i="8"/>
  <c r="Y141" i="8" s="1"/>
  <c r="DJ141" i="8"/>
  <c r="X141" i="8" s="1"/>
  <c r="DI141" i="8"/>
  <c r="W141" i="8" s="1"/>
  <c r="DH141" i="8"/>
  <c r="V141" i="8" s="1"/>
  <c r="DG141" i="8"/>
  <c r="U141" i="8" s="1"/>
  <c r="DF141" i="8"/>
  <c r="T141" i="8" s="1"/>
  <c r="DE141" i="8"/>
  <c r="S141" i="8" s="1"/>
  <c r="DD141" i="8"/>
  <c r="R141" i="8" s="1"/>
  <c r="DC141" i="8"/>
  <c r="Q141" i="8" s="1"/>
  <c r="DB141" i="8"/>
  <c r="P141" i="8" s="1"/>
  <c r="DA141" i="8"/>
  <c r="O141" i="8" s="1"/>
  <c r="CZ141" i="8"/>
  <c r="N141" i="8" s="1"/>
  <c r="DP140" i="8"/>
  <c r="AD140" i="8" s="1"/>
  <c r="DO140" i="8"/>
  <c r="AC140" i="8" s="1"/>
  <c r="DN140" i="8"/>
  <c r="AB140" i="8" s="1"/>
  <c r="DM140" i="8"/>
  <c r="AA140" i="8" s="1"/>
  <c r="DL140" i="8"/>
  <c r="Z140" i="8" s="1"/>
  <c r="DK140" i="8"/>
  <c r="Y140" i="8" s="1"/>
  <c r="DJ140" i="8"/>
  <c r="X140" i="8" s="1"/>
  <c r="DI140" i="8"/>
  <c r="W140" i="8" s="1"/>
  <c r="DH140" i="8"/>
  <c r="V140" i="8" s="1"/>
  <c r="DG140" i="8"/>
  <c r="U140" i="8" s="1"/>
  <c r="DF140" i="8"/>
  <c r="T140" i="8" s="1"/>
  <c r="DE140" i="8"/>
  <c r="S140" i="8" s="1"/>
  <c r="DD140" i="8"/>
  <c r="R140" i="8" s="1"/>
  <c r="DC140" i="8"/>
  <c r="Q140" i="8" s="1"/>
  <c r="DB140" i="8"/>
  <c r="P140" i="8" s="1"/>
  <c r="DA140" i="8"/>
  <c r="O140" i="8" s="1"/>
  <c r="CZ140" i="8"/>
  <c r="N140" i="8" s="1"/>
  <c r="DP139" i="8"/>
  <c r="AD139" i="8" s="1"/>
  <c r="DO139" i="8"/>
  <c r="AC139" i="8" s="1"/>
  <c r="DN139" i="8"/>
  <c r="AB139" i="8" s="1"/>
  <c r="DM139" i="8"/>
  <c r="AA139" i="8" s="1"/>
  <c r="DL139" i="8"/>
  <c r="Z139" i="8" s="1"/>
  <c r="DK139" i="8"/>
  <c r="Y139" i="8" s="1"/>
  <c r="DJ139" i="8"/>
  <c r="X139" i="8" s="1"/>
  <c r="DI139" i="8"/>
  <c r="W139" i="8" s="1"/>
  <c r="DH139" i="8"/>
  <c r="V139" i="8" s="1"/>
  <c r="DG139" i="8"/>
  <c r="U139" i="8" s="1"/>
  <c r="DF139" i="8"/>
  <c r="T139" i="8" s="1"/>
  <c r="DE139" i="8"/>
  <c r="S139" i="8" s="1"/>
  <c r="DD139" i="8"/>
  <c r="R139" i="8" s="1"/>
  <c r="DC139" i="8"/>
  <c r="Q139" i="8" s="1"/>
  <c r="DB139" i="8"/>
  <c r="P139" i="8" s="1"/>
  <c r="DA139" i="8"/>
  <c r="O139" i="8" s="1"/>
  <c r="CZ139" i="8"/>
  <c r="N139" i="8" s="1"/>
  <c r="DP138" i="8"/>
  <c r="AD138" i="8" s="1"/>
  <c r="DO138" i="8"/>
  <c r="AC138" i="8" s="1"/>
  <c r="DN138" i="8"/>
  <c r="AB138" i="8" s="1"/>
  <c r="DM138" i="8"/>
  <c r="AA138" i="8" s="1"/>
  <c r="DL138" i="8"/>
  <c r="Z138" i="8" s="1"/>
  <c r="DK138" i="8"/>
  <c r="Y138" i="8" s="1"/>
  <c r="DJ138" i="8"/>
  <c r="X138" i="8" s="1"/>
  <c r="DI138" i="8"/>
  <c r="W138" i="8" s="1"/>
  <c r="DH138" i="8"/>
  <c r="V138" i="8" s="1"/>
  <c r="DG138" i="8"/>
  <c r="U138" i="8" s="1"/>
  <c r="DF138" i="8"/>
  <c r="T138" i="8" s="1"/>
  <c r="DE138" i="8"/>
  <c r="S138" i="8" s="1"/>
  <c r="DD138" i="8"/>
  <c r="R138" i="8" s="1"/>
  <c r="DC138" i="8"/>
  <c r="Q138" i="8" s="1"/>
  <c r="DB138" i="8"/>
  <c r="P138" i="8" s="1"/>
  <c r="DA138" i="8"/>
  <c r="O138" i="8" s="1"/>
  <c r="CZ138" i="8"/>
  <c r="N138" i="8" s="1"/>
  <c r="DP137" i="8"/>
  <c r="AD137" i="8" s="1"/>
  <c r="DO137" i="8"/>
  <c r="AC137" i="8" s="1"/>
  <c r="DN137" i="8"/>
  <c r="AB137" i="8" s="1"/>
  <c r="DM137" i="8"/>
  <c r="AA137" i="8" s="1"/>
  <c r="DL137" i="8"/>
  <c r="Z137" i="8" s="1"/>
  <c r="DK137" i="8"/>
  <c r="Y137" i="8" s="1"/>
  <c r="DJ137" i="8"/>
  <c r="X137" i="8" s="1"/>
  <c r="DI137" i="8"/>
  <c r="W137" i="8" s="1"/>
  <c r="DH137" i="8"/>
  <c r="V137" i="8" s="1"/>
  <c r="DG137" i="8"/>
  <c r="U137" i="8" s="1"/>
  <c r="DF137" i="8"/>
  <c r="T137" i="8" s="1"/>
  <c r="DE137" i="8"/>
  <c r="S137" i="8" s="1"/>
  <c r="DD137" i="8"/>
  <c r="R137" i="8" s="1"/>
  <c r="DC137" i="8"/>
  <c r="Q137" i="8" s="1"/>
  <c r="DB137" i="8"/>
  <c r="P137" i="8" s="1"/>
  <c r="DA137" i="8"/>
  <c r="O137" i="8" s="1"/>
  <c r="CZ137" i="8"/>
  <c r="N137" i="8" s="1"/>
  <c r="DP136" i="8"/>
  <c r="AD136" i="8" s="1"/>
  <c r="DO136" i="8"/>
  <c r="AC136" i="8" s="1"/>
  <c r="DN136" i="8"/>
  <c r="AB136" i="8" s="1"/>
  <c r="DM136" i="8"/>
  <c r="AA136" i="8" s="1"/>
  <c r="DL136" i="8"/>
  <c r="Z136" i="8" s="1"/>
  <c r="DK136" i="8"/>
  <c r="Y136" i="8" s="1"/>
  <c r="DJ136" i="8"/>
  <c r="X136" i="8" s="1"/>
  <c r="DI136" i="8"/>
  <c r="W136" i="8" s="1"/>
  <c r="DH136" i="8"/>
  <c r="V136" i="8" s="1"/>
  <c r="DG136" i="8"/>
  <c r="U136" i="8" s="1"/>
  <c r="DF136" i="8"/>
  <c r="T136" i="8" s="1"/>
  <c r="DE136" i="8"/>
  <c r="S136" i="8" s="1"/>
  <c r="DD136" i="8"/>
  <c r="R136" i="8" s="1"/>
  <c r="DC136" i="8"/>
  <c r="Q136" i="8" s="1"/>
  <c r="DB136" i="8"/>
  <c r="P136" i="8" s="1"/>
  <c r="DA136" i="8"/>
  <c r="O136" i="8" s="1"/>
  <c r="CZ136" i="8"/>
  <c r="N136" i="8" s="1"/>
  <c r="DP135" i="8"/>
  <c r="AD135" i="8" s="1"/>
  <c r="DO135" i="8"/>
  <c r="AC135" i="8" s="1"/>
  <c r="DN135" i="8"/>
  <c r="AB135" i="8" s="1"/>
  <c r="DM135" i="8"/>
  <c r="AA135" i="8" s="1"/>
  <c r="DL135" i="8"/>
  <c r="Z135" i="8" s="1"/>
  <c r="DK135" i="8"/>
  <c r="Y135" i="8" s="1"/>
  <c r="DJ135" i="8"/>
  <c r="X135" i="8" s="1"/>
  <c r="DI135" i="8"/>
  <c r="W135" i="8" s="1"/>
  <c r="DH135" i="8"/>
  <c r="V135" i="8" s="1"/>
  <c r="DG135" i="8"/>
  <c r="U135" i="8" s="1"/>
  <c r="DF135" i="8"/>
  <c r="T135" i="8" s="1"/>
  <c r="DE135" i="8"/>
  <c r="S135" i="8" s="1"/>
  <c r="DD135" i="8"/>
  <c r="R135" i="8" s="1"/>
  <c r="DC135" i="8"/>
  <c r="Q135" i="8" s="1"/>
  <c r="DB135" i="8"/>
  <c r="P135" i="8" s="1"/>
  <c r="DA135" i="8"/>
  <c r="O135" i="8" s="1"/>
  <c r="CZ135" i="8"/>
  <c r="N135" i="8" s="1"/>
  <c r="DP134" i="8"/>
  <c r="AD134" i="8" s="1"/>
  <c r="DO134" i="8"/>
  <c r="AC134" i="8" s="1"/>
  <c r="DN134" i="8"/>
  <c r="AB134" i="8" s="1"/>
  <c r="DM134" i="8"/>
  <c r="AA134" i="8" s="1"/>
  <c r="DL134" i="8"/>
  <c r="Z134" i="8" s="1"/>
  <c r="DK134" i="8"/>
  <c r="Y134" i="8" s="1"/>
  <c r="DJ134" i="8"/>
  <c r="X134" i="8" s="1"/>
  <c r="DI134" i="8"/>
  <c r="W134" i="8" s="1"/>
  <c r="DH134" i="8"/>
  <c r="V134" i="8" s="1"/>
  <c r="DG134" i="8"/>
  <c r="U134" i="8" s="1"/>
  <c r="DF134" i="8"/>
  <c r="T134" i="8" s="1"/>
  <c r="DE134" i="8"/>
  <c r="S134" i="8" s="1"/>
  <c r="DD134" i="8"/>
  <c r="R134" i="8" s="1"/>
  <c r="DC134" i="8"/>
  <c r="Q134" i="8" s="1"/>
  <c r="DB134" i="8"/>
  <c r="P134" i="8" s="1"/>
  <c r="DA134" i="8"/>
  <c r="O134" i="8" s="1"/>
  <c r="CZ134" i="8"/>
  <c r="N134" i="8" s="1"/>
  <c r="DP133" i="8"/>
  <c r="AD133" i="8" s="1"/>
  <c r="DO133" i="8"/>
  <c r="AC133" i="8" s="1"/>
  <c r="DN133" i="8"/>
  <c r="AB133" i="8" s="1"/>
  <c r="DM133" i="8"/>
  <c r="AA133" i="8" s="1"/>
  <c r="DL133" i="8"/>
  <c r="Z133" i="8" s="1"/>
  <c r="DK133" i="8"/>
  <c r="Y133" i="8" s="1"/>
  <c r="DJ133" i="8"/>
  <c r="X133" i="8" s="1"/>
  <c r="DI133" i="8"/>
  <c r="W133" i="8" s="1"/>
  <c r="DH133" i="8"/>
  <c r="V133" i="8" s="1"/>
  <c r="DG133" i="8"/>
  <c r="U133" i="8" s="1"/>
  <c r="DF133" i="8"/>
  <c r="T133" i="8" s="1"/>
  <c r="DE133" i="8"/>
  <c r="S133" i="8" s="1"/>
  <c r="DD133" i="8"/>
  <c r="R133" i="8" s="1"/>
  <c r="DC133" i="8"/>
  <c r="Q133" i="8" s="1"/>
  <c r="DB133" i="8"/>
  <c r="P133" i="8" s="1"/>
  <c r="DA133" i="8"/>
  <c r="O133" i="8" s="1"/>
  <c r="CZ133" i="8"/>
  <c r="N133" i="8" s="1"/>
  <c r="DP130" i="8"/>
  <c r="AD130" i="8" s="1"/>
  <c r="DO130" i="8"/>
  <c r="AC130" i="8" s="1"/>
  <c r="DN130" i="8"/>
  <c r="AB130" i="8" s="1"/>
  <c r="DM130" i="8"/>
  <c r="AA130" i="8" s="1"/>
  <c r="DL130" i="8"/>
  <c r="Z130" i="8" s="1"/>
  <c r="DK130" i="8"/>
  <c r="Y130" i="8" s="1"/>
  <c r="DJ130" i="8"/>
  <c r="X130" i="8" s="1"/>
  <c r="DI130" i="8"/>
  <c r="W130" i="8" s="1"/>
  <c r="DH130" i="8"/>
  <c r="V130" i="8" s="1"/>
  <c r="DG130" i="8"/>
  <c r="U130" i="8" s="1"/>
  <c r="DF130" i="8"/>
  <c r="T130" i="8" s="1"/>
  <c r="DE130" i="8"/>
  <c r="S130" i="8" s="1"/>
  <c r="DD130" i="8"/>
  <c r="R130" i="8" s="1"/>
  <c r="DC130" i="8"/>
  <c r="Q130" i="8" s="1"/>
  <c r="DB130" i="8"/>
  <c r="P130" i="8" s="1"/>
  <c r="DA130" i="8"/>
  <c r="O130" i="8" s="1"/>
  <c r="CZ130" i="8"/>
  <c r="N130" i="8" s="1"/>
  <c r="DP129" i="8"/>
  <c r="AD129" i="8" s="1"/>
  <c r="DO129" i="8"/>
  <c r="AC129" i="8" s="1"/>
  <c r="DN129" i="8"/>
  <c r="AB129" i="8" s="1"/>
  <c r="DM129" i="8"/>
  <c r="AA129" i="8" s="1"/>
  <c r="DL129" i="8"/>
  <c r="Z129" i="8" s="1"/>
  <c r="DK129" i="8"/>
  <c r="Y129" i="8" s="1"/>
  <c r="DJ129" i="8"/>
  <c r="X129" i="8" s="1"/>
  <c r="DI129" i="8"/>
  <c r="W129" i="8" s="1"/>
  <c r="DH129" i="8"/>
  <c r="V129" i="8" s="1"/>
  <c r="DG129" i="8"/>
  <c r="U129" i="8" s="1"/>
  <c r="DF129" i="8"/>
  <c r="T129" i="8" s="1"/>
  <c r="DE129" i="8"/>
  <c r="S129" i="8" s="1"/>
  <c r="DD129" i="8"/>
  <c r="R129" i="8" s="1"/>
  <c r="DC129" i="8"/>
  <c r="Q129" i="8" s="1"/>
  <c r="DB129" i="8"/>
  <c r="P129" i="8" s="1"/>
  <c r="DA129" i="8"/>
  <c r="O129" i="8" s="1"/>
  <c r="CZ129" i="8"/>
  <c r="N129" i="8" s="1"/>
  <c r="DP128" i="8"/>
  <c r="AD128" i="8" s="1"/>
  <c r="DO128" i="8"/>
  <c r="AC128" i="8" s="1"/>
  <c r="DN128" i="8"/>
  <c r="AB128" i="8" s="1"/>
  <c r="DM128" i="8"/>
  <c r="AA128" i="8" s="1"/>
  <c r="DL128" i="8"/>
  <c r="Z128" i="8" s="1"/>
  <c r="DK128" i="8"/>
  <c r="Y128" i="8" s="1"/>
  <c r="DJ128" i="8"/>
  <c r="X128" i="8" s="1"/>
  <c r="DI128" i="8"/>
  <c r="W128" i="8" s="1"/>
  <c r="DH128" i="8"/>
  <c r="V128" i="8" s="1"/>
  <c r="DG128" i="8"/>
  <c r="U128" i="8" s="1"/>
  <c r="DF128" i="8"/>
  <c r="T128" i="8" s="1"/>
  <c r="DE128" i="8"/>
  <c r="S128" i="8" s="1"/>
  <c r="DD128" i="8"/>
  <c r="R128" i="8" s="1"/>
  <c r="DC128" i="8"/>
  <c r="Q128" i="8" s="1"/>
  <c r="DB128" i="8"/>
  <c r="P128" i="8" s="1"/>
  <c r="DA128" i="8"/>
  <c r="O128" i="8" s="1"/>
  <c r="CZ128" i="8"/>
  <c r="N128" i="8" s="1"/>
  <c r="DP127" i="8"/>
  <c r="AD127" i="8" s="1"/>
  <c r="DO127" i="8"/>
  <c r="AC127" i="8" s="1"/>
  <c r="DN127" i="8"/>
  <c r="AB127" i="8" s="1"/>
  <c r="DM127" i="8"/>
  <c r="AA127" i="8" s="1"/>
  <c r="DL127" i="8"/>
  <c r="Z127" i="8" s="1"/>
  <c r="DK127" i="8"/>
  <c r="Y127" i="8" s="1"/>
  <c r="DJ127" i="8"/>
  <c r="X127" i="8" s="1"/>
  <c r="DI127" i="8"/>
  <c r="W127" i="8" s="1"/>
  <c r="DH127" i="8"/>
  <c r="V127" i="8" s="1"/>
  <c r="DG127" i="8"/>
  <c r="U127" i="8" s="1"/>
  <c r="DF127" i="8"/>
  <c r="T127" i="8" s="1"/>
  <c r="DE127" i="8"/>
  <c r="S127" i="8" s="1"/>
  <c r="DD127" i="8"/>
  <c r="R127" i="8" s="1"/>
  <c r="DC127" i="8"/>
  <c r="Q127" i="8" s="1"/>
  <c r="DB127" i="8"/>
  <c r="P127" i="8" s="1"/>
  <c r="DA127" i="8"/>
  <c r="O127" i="8" s="1"/>
  <c r="CZ127" i="8"/>
  <c r="N127" i="8" s="1"/>
  <c r="DP126" i="8"/>
  <c r="AD126" i="8" s="1"/>
  <c r="DO126" i="8"/>
  <c r="AC126" i="8" s="1"/>
  <c r="DN126" i="8"/>
  <c r="AB126" i="8" s="1"/>
  <c r="DM126" i="8"/>
  <c r="AA126" i="8" s="1"/>
  <c r="DL126" i="8"/>
  <c r="Z126" i="8" s="1"/>
  <c r="DK126" i="8"/>
  <c r="Y126" i="8" s="1"/>
  <c r="DJ126" i="8"/>
  <c r="X126" i="8" s="1"/>
  <c r="DI126" i="8"/>
  <c r="W126" i="8" s="1"/>
  <c r="DH126" i="8"/>
  <c r="V126" i="8" s="1"/>
  <c r="DG126" i="8"/>
  <c r="U126" i="8" s="1"/>
  <c r="DF126" i="8"/>
  <c r="T126" i="8" s="1"/>
  <c r="DE126" i="8"/>
  <c r="S126" i="8" s="1"/>
  <c r="DD126" i="8"/>
  <c r="R126" i="8" s="1"/>
  <c r="DC126" i="8"/>
  <c r="Q126" i="8" s="1"/>
  <c r="DB126" i="8"/>
  <c r="P126" i="8" s="1"/>
  <c r="DA126" i="8"/>
  <c r="O126" i="8" s="1"/>
  <c r="CZ126" i="8"/>
  <c r="N126" i="8" s="1"/>
  <c r="DP125" i="8"/>
  <c r="AD125" i="8" s="1"/>
  <c r="DO125" i="8"/>
  <c r="AC125" i="8" s="1"/>
  <c r="DN125" i="8"/>
  <c r="AB125" i="8" s="1"/>
  <c r="DM125" i="8"/>
  <c r="AA125" i="8" s="1"/>
  <c r="DL125" i="8"/>
  <c r="Z125" i="8" s="1"/>
  <c r="DK125" i="8"/>
  <c r="Y125" i="8" s="1"/>
  <c r="DJ125" i="8"/>
  <c r="X125" i="8" s="1"/>
  <c r="DI125" i="8"/>
  <c r="W125" i="8" s="1"/>
  <c r="DH125" i="8"/>
  <c r="V125" i="8" s="1"/>
  <c r="DG125" i="8"/>
  <c r="U125" i="8" s="1"/>
  <c r="DF125" i="8"/>
  <c r="T125" i="8" s="1"/>
  <c r="DE125" i="8"/>
  <c r="S125" i="8" s="1"/>
  <c r="DD125" i="8"/>
  <c r="R125" i="8" s="1"/>
  <c r="DC125" i="8"/>
  <c r="Q125" i="8" s="1"/>
  <c r="DB125" i="8"/>
  <c r="P125" i="8" s="1"/>
  <c r="DA125" i="8"/>
  <c r="O125" i="8" s="1"/>
  <c r="CZ125" i="8"/>
  <c r="N125" i="8" s="1"/>
  <c r="DP124" i="8"/>
  <c r="AD124" i="8" s="1"/>
  <c r="DO124" i="8"/>
  <c r="AC124" i="8" s="1"/>
  <c r="DN124" i="8"/>
  <c r="AB124" i="8" s="1"/>
  <c r="DM124" i="8"/>
  <c r="AA124" i="8" s="1"/>
  <c r="DL124" i="8"/>
  <c r="Z124" i="8" s="1"/>
  <c r="DK124" i="8"/>
  <c r="Y124" i="8" s="1"/>
  <c r="DJ124" i="8"/>
  <c r="X124" i="8" s="1"/>
  <c r="DI124" i="8"/>
  <c r="W124" i="8" s="1"/>
  <c r="DH124" i="8"/>
  <c r="V124" i="8" s="1"/>
  <c r="DG124" i="8"/>
  <c r="U124" i="8" s="1"/>
  <c r="DF124" i="8"/>
  <c r="T124" i="8" s="1"/>
  <c r="DE124" i="8"/>
  <c r="S124" i="8" s="1"/>
  <c r="DD124" i="8"/>
  <c r="R124" i="8" s="1"/>
  <c r="DC124" i="8"/>
  <c r="Q124" i="8" s="1"/>
  <c r="DB124" i="8"/>
  <c r="P124" i="8" s="1"/>
  <c r="DA124" i="8"/>
  <c r="O124" i="8" s="1"/>
  <c r="CZ124" i="8"/>
  <c r="N124" i="8" s="1"/>
  <c r="DP123" i="8"/>
  <c r="AD123" i="8" s="1"/>
  <c r="DO123" i="8"/>
  <c r="AC123" i="8" s="1"/>
  <c r="DN123" i="8"/>
  <c r="AB123" i="8" s="1"/>
  <c r="DM123" i="8"/>
  <c r="AA123" i="8" s="1"/>
  <c r="DL123" i="8"/>
  <c r="Z123" i="8" s="1"/>
  <c r="DK123" i="8"/>
  <c r="Y123" i="8" s="1"/>
  <c r="DJ123" i="8"/>
  <c r="X123" i="8" s="1"/>
  <c r="DI123" i="8"/>
  <c r="W123" i="8" s="1"/>
  <c r="DH123" i="8"/>
  <c r="V123" i="8" s="1"/>
  <c r="DG123" i="8"/>
  <c r="U123" i="8" s="1"/>
  <c r="DF123" i="8"/>
  <c r="T123" i="8" s="1"/>
  <c r="DE123" i="8"/>
  <c r="S123" i="8" s="1"/>
  <c r="DD123" i="8"/>
  <c r="R123" i="8" s="1"/>
  <c r="DC123" i="8"/>
  <c r="Q123" i="8" s="1"/>
  <c r="DB123" i="8"/>
  <c r="P123" i="8" s="1"/>
  <c r="DA123" i="8"/>
  <c r="O123" i="8" s="1"/>
  <c r="CZ123" i="8"/>
  <c r="N123" i="8" s="1"/>
  <c r="DP122" i="8"/>
  <c r="AD122" i="8" s="1"/>
  <c r="DO122" i="8"/>
  <c r="AC122" i="8" s="1"/>
  <c r="DN122" i="8"/>
  <c r="AB122" i="8" s="1"/>
  <c r="DM122" i="8"/>
  <c r="AA122" i="8" s="1"/>
  <c r="DL122" i="8"/>
  <c r="Z122" i="8" s="1"/>
  <c r="DK122" i="8"/>
  <c r="Y122" i="8" s="1"/>
  <c r="DJ122" i="8"/>
  <c r="X122" i="8" s="1"/>
  <c r="DI122" i="8"/>
  <c r="W122" i="8" s="1"/>
  <c r="DH122" i="8"/>
  <c r="V122" i="8" s="1"/>
  <c r="DG122" i="8"/>
  <c r="U122" i="8" s="1"/>
  <c r="DF122" i="8"/>
  <c r="T122" i="8" s="1"/>
  <c r="DE122" i="8"/>
  <c r="S122" i="8" s="1"/>
  <c r="DD122" i="8"/>
  <c r="R122" i="8" s="1"/>
  <c r="DC122" i="8"/>
  <c r="Q122" i="8" s="1"/>
  <c r="DB122" i="8"/>
  <c r="P122" i="8" s="1"/>
  <c r="DA122" i="8"/>
  <c r="O122" i="8" s="1"/>
  <c r="CZ122" i="8"/>
  <c r="N122" i="8" s="1"/>
  <c r="DP121" i="8"/>
  <c r="AD121" i="8" s="1"/>
  <c r="DO121" i="8"/>
  <c r="AC121" i="8" s="1"/>
  <c r="DN121" i="8"/>
  <c r="AB121" i="8" s="1"/>
  <c r="DM121" i="8"/>
  <c r="AA121" i="8" s="1"/>
  <c r="DL121" i="8"/>
  <c r="Z121" i="8" s="1"/>
  <c r="DK121" i="8"/>
  <c r="Y121" i="8" s="1"/>
  <c r="DJ121" i="8"/>
  <c r="X121" i="8" s="1"/>
  <c r="DI121" i="8"/>
  <c r="W121" i="8" s="1"/>
  <c r="DH121" i="8"/>
  <c r="V121" i="8" s="1"/>
  <c r="DG121" i="8"/>
  <c r="U121" i="8" s="1"/>
  <c r="DF121" i="8"/>
  <c r="T121" i="8" s="1"/>
  <c r="DE121" i="8"/>
  <c r="S121" i="8" s="1"/>
  <c r="DD121" i="8"/>
  <c r="R121" i="8" s="1"/>
  <c r="DC121" i="8"/>
  <c r="Q121" i="8" s="1"/>
  <c r="DB121" i="8"/>
  <c r="P121" i="8" s="1"/>
  <c r="DA121" i="8"/>
  <c r="O121" i="8" s="1"/>
  <c r="CZ121" i="8"/>
  <c r="N121" i="8" s="1"/>
  <c r="DP120" i="8"/>
  <c r="AD120" i="8" s="1"/>
  <c r="DO120" i="8"/>
  <c r="AC120" i="8" s="1"/>
  <c r="DN120" i="8"/>
  <c r="AB120" i="8" s="1"/>
  <c r="DM120" i="8"/>
  <c r="AA120" i="8" s="1"/>
  <c r="DL120" i="8"/>
  <c r="Z120" i="8" s="1"/>
  <c r="DK120" i="8"/>
  <c r="Y120" i="8" s="1"/>
  <c r="DJ120" i="8"/>
  <c r="X120" i="8" s="1"/>
  <c r="DI120" i="8"/>
  <c r="W120" i="8" s="1"/>
  <c r="DH120" i="8"/>
  <c r="V120" i="8" s="1"/>
  <c r="DG120" i="8"/>
  <c r="U120" i="8" s="1"/>
  <c r="DF120" i="8"/>
  <c r="T120" i="8" s="1"/>
  <c r="DE120" i="8"/>
  <c r="S120" i="8" s="1"/>
  <c r="DD120" i="8"/>
  <c r="R120" i="8" s="1"/>
  <c r="DC120" i="8"/>
  <c r="Q120" i="8" s="1"/>
  <c r="DB120" i="8"/>
  <c r="P120" i="8" s="1"/>
  <c r="DA120" i="8"/>
  <c r="O120" i="8" s="1"/>
  <c r="CZ120" i="8"/>
  <c r="N120" i="8" s="1"/>
  <c r="DP119" i="8"/>
  <c r="AD119" i="8" s="1"/>
  <c r="DO119" i="8"/>
  <c r="AC119" i="8" s="1"/>
  <c r="DN119" i="8"/>
  <c r="AB119" i="8" s="1"/>
  <c r="DM119" i="8"/>
  <c r="AA119" i="8" s="1"/>
  <c r="DL119" i="8"/>
  <c r="Z119" i="8" s="1"/>
  <c r="DK119" i="8"/>
  <c r="Y119" i="8" s="1"/>
  <c r="DJ119" i="8"/>
  <c r="X119" i="8" s="1"/>
  <c r="DI119" i="8"/>
  <c r="W119" i="8" s="1"/>
  <c r="DH119" i="8"/>
  <c r="V119" i="8" s="1"/>
  <c r="DG119" i="8"/>
  <c r="U119" i="8" s="1"/>
  <c r="DF119" i="8"/>
  <c r="T119" i="8" s="1"/>
  <c r="DE119" i="8"/>
  <c r="S119" i="8" s="1"/>
  <c r="DD119" i="8"/>
  <c r="R119" i="8" s="1"/>
  <c r="DC119" i="8"/>
  <c r="Q119" i="8" s="1"/>
  <c r="DB119" i="8"/>
  <c r="P119" i="8" s="1"/>
  <c r="DA119" i="8"/>
  <c r="O119" i="8" s="1"/>
  <c r="CZ119" i="8"/>
  <c r="N119" i="8" s="1"/>
  <c r="DP118" i="8"/>
  <c r="AD118" i="8" s="1"/>
  <c r="DO118" i="8"/>
  <c r="AC118" i="8" s="1"/>
  <c r="DN118" i="8"/>
  <c r="AB118" i="8" s="1"/>
  <c r="DM118" i="8"/>
  <c r="AA118" i="8" s="1"/>
  <c r="DL118" i="8"/>
  <c r="Z118" i="8" s="1"/>
  <c r="DK118" i="8"/>
  <c r="Y118" i="8" s="1"/>
  <c r="DJ118" i="8"/>
  <c r="X118" i="8" s="1"/>
  <c r="DI118" i="8"/>
  <c r="W118" i="8" s="1"/>
  <c r="DH118" i="8"/>
  <c r="V118" i="8" s="1"/>
  <c r="DG118" i="8"/>
  <c r="U118" i="8" s="1"/>
  <c r="DF118" i="8"/>
  <c r="T118" i="8" s="1"/>
  <c r="DE118" i="8"/>
  <c r="S118" i="8" s="1"/>
  <c r="DD118" i="8"/>
  <c r="R118" i="8" s="1"/>
  <c r="DC118" i="8"/>
  <c r="Q118" i="8" s="1"/>
  <c r="DB118" i="8"/>
  <c r="P118" i="8" s="1"/>
  <c r="DA118" i="8"/>
  <c r="O118" i="8" s="1"/>
  <c r="CZ118" i="8"/>
  <c r="N118" i="8" s="1"/>
  <c r="DP117" i="8"/>
  <c r="AD117" i="8" s="1"/>
  <c r="DO117" i="8"/>
  <c r="AC117" i="8" s="1"/>
  <c r="DN117" i="8"/>
  <c r="AB117" i="8" s="1"/>
  <c r="DM117" i="8"/>
  <c r="AA117" i="8" s="1"/>
  <c r="DL117" i="8"/>
  <c r="Z117" i="8" s="1"/>
  <c r="DK117" i="8"/>
  <c r="Y117" i="8" s="1"/>
  <c r="DJ117" i="8"/>
  <c r="X117" i="8" s="1"/>
  <c r="DI117" i="8"/>
  <c r="W117" i="8" s="1"/>
  <c r="DH117" i="8"/>
  <c r="V117" i="8" s="1"/>
  <c r="DG117" i="8"/>
  <c r="U117" i="8" s="1"/>
  <c r="DF117" i="8"/>
  <c r="T117" i="8" s="1"/>
  <c r="DE117" i="8"/>
  <c r="S117" i="8" s="1"/>
  <c r="DD117" i="8"/>
  <c r="R117" i="8" s="1"/>
  <c r="DC117" i="8"/>
  <c r="Q117" i="8" s="1"/>
  <c r="DB117" i="8"/>
  <c r="P117" i="8" s="1"/>
  <c r="DA117" i="8"/>
  <c r="O117" i="8" s="1"/>
  <c r="CZ117" i="8"/>
  <c r="N117" i="8" s="1"/>
  <c r="DP116" i="8"/>
  <c r="AD116" i="8" s="1"/>
  <c r="DO116" i="8"/>
  <c r="AC116" i="8" s="1"/>
  <c r="DN116" i="8"/>
  <c r="AB116" i="8" s="1"/>
  <c r="DM116" i="8"/>
  <c r="AA116" i="8" s="1"/>
  <c r="DL116" i="8"/>
  <c r="Z116" i="8" s="1"/>
  <c r="DK116" i="8"/>
  <c r="Y116" i="8" s="1"/>
  <c r="DJ116" i="8"/>
  <c r="X116" i="8" s="1"/>
  <c r="DI116" i="8"/>
  <c r="W116" i="8" s="1"/>
  <c r="DH116" i="8"/>
  <c r="V116" i="8" s="1"/>
  <c r="DG116" i="8"/>
  <c r="U116" i="8" s="1"/>
  <c r="DF116" i="8"/>
  <c r="T116" i="8" s="1"/>
  <c r="DE116" i="8"/>
  <c r="S116" i="8" s="1"/>
  <c r="DD116" i="8"/>
  <c r="R116" i="8" s="1"/>
  <c r="DC116" i="8"/>
  <c r="Q116" i="8" s="1"/>
  <c r="DB116" i="8"/>
  <c r="P116" i="8" s="1"/>
  <c r="DA116" i="8"/>
  <c r="O116" i="8" s="1"/>
  <c r="CZ116" i="8"/>
  <c r="N116" i="8" s="1"/>
  <c r="DP115" i="8"/>
  <c r="AD115" i="8" s="1"/>
  <c r="DO115" i="8"/>
  <c r="AC115" i="8" s="1"/>
  <c r="DN115" i="8"/>
  <c r="AB115" i="8" s="1"/>
  <c r="DM115" i="8"/>
  <c r="AA115" i="8" s="1"/>
  <c r="DL115" i="8"/>
  <c r="Z115" i="8" s="1"/>
  <c r="DK115" i="8"/>
  <c r="Y115" i="8" s="1"/>
  <c r="DJ115" i="8"/>
  <c r="X115" i="8" s="1"/>
  <c r="DI115" i="8"/>
  <c r="W115" i="8" s="1"/>
  <c r="DH115" i="8"/>
  <c r="V115" i="8" s="1"/>
  <c r="DG115" i="8"/>
  <c r="U115" i="8" s="1"/>
  <c r="DF115" i="8"/>
  <c r="T115" i="8" s="1"/>
  <c r="DE115" i="8"/>
  <c r="S115" i="8" s="1"/>
  <c r="DD115" i="8"/>
  <c r="R115" i="8" s="1"/>
  <c r="DC115" i="8"/>
  <c r="Q115" i="8" s="1"/>
  <c r="DB115" i="8"/>
  <c r="P115" i="8" s="1"/>
  <c r="DA115" i="8"/>
  <c r="O115" i="8" s="1"/>
  <c r="CZ115" i="8"/>
  <c r="N115" i="8" s="1"/>
  <c r="DP114" i="8"/>
  <c r="AD114" i="8" s="1"/>
  <c r="DO114" i="8"/>
  <c r="AC114" i="8" s="1"/>
  <c r="DN114" i="8"/>
  <c r="AB114" i="8" s="1"/>
  <c r="DM114" i="8"/>
  <c r="AA114" i="8" s="1"/>
  <c r="DL114" i="8"/>
  <c r="Z114" i="8" s="1"/>
  <c r="DK114" i="8"/>
  <c r="Y114" i="8" s="1"/>
  <c r="DJ114" i="8"/>
  <c r="X114" i="8" s="1"/>
  <c r="DI114" i="8"/>
  <c r="W114" i="8" s="1"/>
  <c r="DH114" i="8"/>
  <c r="V114" i="8" s="1"/>
  <c r="DG114" i="8"/>
  <c r="U114" i="8" s="1"/>
  <c r="DF114" i="8"/>
  <c r="T114" i="8" s="1"/>
  <c r="DE114" i="8"/>
  <c r="S114" i="8" s="1"/>
  <c r="DD114" i="8"/>
  <c r="R114" i="8" s="1"/>
  <c r="DC114" i="8"/>
  <c r="Q114" i="8" s="1"/>
  <c r="DB114" i="8"/>
  <c r="P114" i="8" s="1"/>
  <c r="DA114" i="8"/>
  <c r="O114" i="8" s="1"/>
  <c r="CZ114" i="8"/>
  <c r="N114" i="8" s="1"/>
  <c r="DP113" i="8"/>
  <c r="AD113" i="8" s="1"/>
  <c r="DO113" i="8"/>
  <c r="AC113" i="8" s="1"/>
  <c r="DN113" i="8"/>
  <c r="AB113" i="8" s="1"/>
  <c r="DM113" i="8"/>
  <c r="AA113" i="8" s="1"/>
  <c r="DL113" i="8"/>
  <c r="Z113" i="8" s="1"/>
  <c r="DK113" i="8"/>
  <c r="Y113" i="8" s="1"/>
  <c r="DJ113" i="8"/>
  <c r="X113" i="8" s="1"/>
  <c r="DI113" i="8"/>
  <c r="W113" i="8" s="1"/>
  <c r="DH113" i="8"/>
  <c r="V113" i="8" s="1"/>
  <c r="DG113" i="8"/>
  <c r="U113" i="8" s="1"/>
  <c r="DF113" i="8"/>
  <c r="T113" i="8" s="1"/>
  <c r="DE113" i="8"/>
  <c r="S113" i="8" s="1"/>
  <c r="DD113" i="8"/>
  <c r="R113" i="8" s="1"/>
  <c r="DC113" i="8"/>
  <c r="Q113" i="8" s="1"/>
  <c r="DB113" i="8"/>
  <c r="P113" i="8" s="1"/>
  <c r="DA113" i="8"/>
  <c r="O113" i="8" s="1"/>
  <c r="CZ113" i="8"/>
  <c r="N113" i="8" s="1"/>
  <c r="DP112" i="8"/>
  <c r="AD112" i="8" s="1"/>
  <c r="DO112" i="8"/>
  <c r="AC112" i="8" s="1"/>
  <c r="DN112" i="8"/>
  <c r="AB112" i="8" s="1"/>
  <c r="DM112" i="8"/>
  <c r="AA112" i="8" s="1"/>
  <c r="DL112" i="8"/>
  <c r="Z112" i="8" s="1"/>
  <c r="DK112" i="8"/>
  <c r="Y112" i="8" s="1"/>
  <c r="DJ112" i="8"/>
  <c r="X112" i="8" s="1"/>
  <c r="DI112" i="8"/>
  <c r="W112" i="8" s="1"/>
  <c r="DH112" i="8"/>
  <c r="V112" i="8" s="1"/>
  <c r="DG112" i="8"/>
  <c r="U112" i="8" s="1"/>
  <c r="DF112" i="8"/>
  <c r="T112" i="8" s="1"/>
  <c r="DE112" i="8"/>
  <c r="S112" i="8" s="1"/>
  <c r="DD112" i="8"/>
  <c r="R112" i="8" s="1"/>
  <c r="DC112" i="8"/>
  <c r="Q112" i="8" s="1"/>
  <c r="DB112" i="8"/>
  <c r="P112" i="8" s="1"/>
  <c r="DA112" i="8"/>
  <c r="O112" i="8" s="1"/>
  <c r="CZ112" i="8"/>
  <c r="N112" i="8" s="1"/>
  <c r="DP111" i="8"/>
  <c r="AD111" i="8" s="1"/>
  <c r="DO111" i="8"/>
  <c r="AC111" i="8" s="1"/>
  <c r="DN111" i="8"/>
  <c r="AB111" i="8" s="1"/>
  <c r="DM111" i="8"/>
  <c r="AA111" i="8" s="1"/>
  <c r="DL111" i="8"/>
  <c r="Z111" i="8" s="1"/>
  <c r="DK111" i="8"/>
  <c r="Y111" i="8" s="1"/>
  <c r="DJ111" i="8"/>
  <c r="X111" i="8" s="1"/>
  <c r="DI111" i="8"/>
  <c r="W111" i="8" s="1"/>
  <c r="DH111" i="8"/>
  <c r="V111" i="8" s="1"/>
  <c r="DG111" i="8"/>
  <c r="U111" i="8" s="1"/>
  <c r="DF111" i="8"/>
  <c r="T111" i="8" s="1"/>
  <c r="DE111" i="8"/>
  <c r="S111" i="8" s="1"/>
  <c r="DD111" i="8"/>
  <c r="R111" i="8" s="1"/>
  <c r="DC111" i="8"/>
  <c r="Q111" i="8" s="1"/>
  <c r="DB111" i="8"/>
  <c r="P111" i="8" s="1"/>
  <c r="DA111" i="8"/>
  <c r="O111" i="8" s="1"/>
  <c r="CZ111" i="8"/>
  <c r="N111" i="8" s="1"/>
  <c r="DP110" i="8"/>
  <c r="AD110" i="8" s="1"/>
  <c r="DO110" i="8"/>
  <c r="AC110" i="8" s="1"/>
  <c r="DN110" i="8"/>
  <c r="AB110" i="8" s="1"/>
  <c r="DM110" i="8"/>
  <c r="AA110" i="8" s="1"/>
  <c r="DL110" i="8"/>
  <c r="Z110" i="8" s="1"/>
  <c r="DK110" i="8"/>
  <c r="Y110" i="8" s="1"/>
  <c r="DJ110" i="8"/>
  <c r="X110" i="8" s="1"/>
  <c r="DI110" i="8"/>
  <c r="W110" i="8" s="1"/>
  <c r="DH110" i="8"/>
  <c r="V110" i="8" s="1"/>
  <c r="DG110" i="8"/>
  <c r="U110" i="8" s="1"/>
  <c r="DF110" i="8"/>
  <c r="T110" i="8" s="1"/>
  <c r="DE110" i="8"/>
  <c r="S110" i="8" s="1"/>
  <c r="DD110" i="8"/>
  <c r="R110" i="8" s="1"/>
  <c r="DC110" i="8"/>
  <c r="Q110" i="8" s="1"/>
  <c r="DB110" i="8"/>
  <c r="P110" i="8" s="1"/>
  <c r="DA110" i="8"/>
  <c r="O110" i="8" s="1"/>
  <c r="CZ110" i="8"/>
  <c r="N110" i="8" s="1"/>
  <c r="DP109" i="8"/>
  <c r="AD109" i="8" s="1"/>
  <c r="DO109" i="8"/>
  <c r="AC109" i="8" s="1"/>
  <c r="DN109" i="8"/>
  <c r="AB109" i="8" s="1"/>
  <c r="DM109" i="8"/>
  <c r="AA109" i="8" s="1"/>
  <c r="DL109" i="8"/>
  <c r="Z109" i="8" s="1"/>
  <c r="DK109" i="8"/>
  <c r="Y109" i="8" s="1"/>
  <c r="DJ109" i="8"/>
  <c r="X109" i="8" s="1"/>
  <c r="DI109" i="8"/>
  <c r="W109" i="8" s="1"/>
  <c r="DH109" i="8"/>
  <c r="V109" i="8" s="1"/>
  <c r="DG109" i="8"/>
  <c r="U109" i="8" s="1"/>
  <c r="DF109" i="8"/>
  <c r="T109" i="8" s="1"/>
  <c r="DE109" i="8"/>
  <c r="S109" i="8" s="1"/>
  <c r="DD109" i="8"/>
  <c r="R109" i="8" s="1"/>
  <c r="DC109" i="8"/>
  <c r="Q109" i="8" s="1"/>
  <c r="DB109" i="8"/>
  <c r="P109" i="8" s="1"/>
  <c r="DA109" i="8"/>
  <c r="O109" i="8" s="1"/>
  <c r="CZ109" i="8"/>
  <c r="N109" i="8" s="1"/>
  <c r="DP108" i="8"/>
  <c r="AD108" i="8" s="1"/>
  <c r="DO108" i="8"/>
  <c r="AC108" i="8" s="1"/>
  <c r="DN108" i="8"/>
  <c r="AB108" i="8" s="1"/>
  <c r="DM108" i="8"/>
  <c r="AA108" i="8" s="1"/>
  <c r="DL108" i="8"/>
  <c r="Z108" i="8" s="1"/>
  <c r="DK108" i="8"/>
  <c r="Y108" i="8" s="1"/>
  <c r="DJ108" i="8"/>
  <c r="X108" i="8" s="1"/>
  <c r="DI108" i="8"/>
  <c r="W108" i="8" s="1"/>
  <c r="DH108" i="8"/>
  <c r="V108" i="8" s="1"/>
  <c r="DG108" i="8"/>
  <c r="U108" i="8" s="1"/>
  <c r="DF108" i="8"/>
  <c r="T108" i="8" s="1"/>
  <c r="DE108" i="8"/>
  <c r="S108" i="8" s="1"/>
  <c r="DD108" i="8"/>
  <c r="R108" i="8" s="1"/>
  <c r="DC108" i="8"/>
  <c r="Q108" i="8" s="1"/>
  <c r="DB108" i="8"/>
  <c r="P108" i="8" s="1"/>
  <c r="DA108" i="8"/>
  <c r="O108" i="8" s="1"/>
  <c r="CZ108" i="8"/>
  <c r="N108" i="8" s="1"/>
  <c r="DP107" i="8"/>
  <c r="AD107" i="8" s="1"/>
  <c r="DO107" i="8"/>
  <c r="AC107" i="8" s="1"/>
  <c r="DN107" i="8"/>
  <c r="AB107" i="8" s="1"/>
  <c r="DM107" i="8"/>
  <c r="AA107" i="8" s="1"/>
  <c r="DL107" i="8"/>
  <c r="Z107" i="8" s="1"/>
  <c r="DK107" i="8"/>
  <c r="Y107" i="8" s="1"/>
  <c r="DJ107" i="8"/>
  <c r="X107" i="8" s="1"/>
  <c r="DI107" i="8"/>
  <c r="W107" i="8" s="1"/>
  <c r="DH107" i="8"/>
  <c r="V107" i="8" s="1"/>
  <c r="DG107" i="8"/>
  <c r="U107" i="8" s="1"/>
  <c r="DF107" i="8"/>
  <c r="T107" i="8" s="1"/>
  <c r="DE107" i="8"/>
  <c r="S107" i="8" s="1"/>
  <c r="DD107" i="8"/>
  <c r="R107" i="8" s="1"/>
  <c r="DC107" i="8"/>
  <c r="Q107" i="8" s="1"/>
  <c r="DB107" i="8"/>
  <c r="P107" i="8" s="1"/>
  <c r="DA107" i="8"/>
  <c r="O107" i="8" s="1"/>
  <c r="CZ107" i="8"/>
  <c r="N107" i="8" s="1"/>
  <c r="DP106" i="8"/>
  <c r="AD106" i="8" s="1"/>
  <c r="DO106" i="8"/>
  <c r="AC106" i="8" s="1"/>
  <c r="DN106" i="8"/>
  <c r="AB106" i="8" s="1"/>
  <c r="DM106" i="8"/>
  <c r="AA106" i="8" s="1"/>
  <c r="DL106" i="8"/>
  <c r="Z106" i="8" s="1"/>
  <c r="DK106" i="8"/>
  <c r="Y106" i="8" s="1"/>
  <c r="DJ106" i="8"/>
  <c r="X106" i="8" s="1"/>
  <c r="DI106" i="8"/>
  <c r="W106" i="8" s="1"/>
  <c r="DH106" i="8"/>
  <c r="V106" i="8" s="1"/>
  <c r="DG106" i="8"/>
  <c r="U106" i="8" s="1"/>
  <c r="DF106" i="8"/>
  <c r="T106" i="8" s="1"/>
  <c r="DE106" i="8"/>
  <c r="S106" i="8" s="1"/>
  <c r="DD106" i="8"/>
  <c r="R106" i="8" s="1"/>
  <c r="DC106" i="8"/>
  <c r="Q106" i="8" s="1"/>
  <c r="DB106" i="8"/>
  <c r="P106" i="8" s="1"/>
  <c r="DA106" i="8"/>
  <c r="O106" i="8" s="1"/>
  <c r="CZ106" i="8"/>
  <c r="N106" i="8" s="1"/>
  <c r="DP105" i="8"/>
  <c r="AD105" i="8" s="1"/>
  <c r="DO105" i="8"/>
  <c r="AC105" i="8" s="1"/>
  <c r="DN105" i="8"/>
  <c r="AB105" i="8" s="1"/>
  <c r="DM105" i="8"/>
  <c r="AA105" i="8" s="1"/>
  <c r="DL105" i="8"/>
  <c r="Z105" i="8" s="1"/>
  <c r="DK105" i="8"/>
  <c r="Y105" i="8" s="1"/>
  <c r="DJ105" i="8"/>
  <c r="X105" i="8" s="1"/>
  <c r="DI105" i="8"/>
  <c r="W105" i="8" s="1"/>
  <c r="DH105" i="8"/>
  <c r="V105" i="8" s="1"/>
  <c r="DG105" i="8"/>
  <c r="U105" i="8" s="1"/>
  <c r="DF105" i="8"/>
  <c r="T105" i="8" s="1"/>
  <c r="DE105" i="8"/>
  <c r="S105" i="8" s="1"/>
  <c r="DD105" i="8"/>
  <c r="R105" i="8" s="1"/>
  <c r="DC105" i="8"/>
  <c r="Q105" i="8" s="1"/>
  <c r="DB105" i="8"/>
  <c r="P105" i="8" s="1"/>
  <c r="DA105" i="8"/>
  <c r="O105" i="8" s="1"/>
  <c r="CZ105" i="8"/>
  <c r="N105" i="8" s="1"/>
  <c r="DP104" i="8"/>
  <c r="AD104" i="8" s="1"/>
  <c r="DO104" i="8"/>
  <c r="AC104" i="8" s="1"/>
  <c r="DN104" i="8"/>
  <c r="AB104" i="8" s="1"/>
  <c r="DM104" i="8"/>
  <c r="AA104" i="8" s="1"/>
  <c r="DL104" i="8"/>
  <c r="Z104" i="8" s="1"/>
  <c r="DK104" i="8"/>
  <c r="Y104" i="8" s="1"/>
  <c r="DJ104" i="8"/>
  <c r="X104" i="8" s="1"/>
  <c r="DI104" i="8"/>
  <c r="W104" i="8" s="1"/>
  <c r="DH104" i="8"/>
  <c r="V104" i="8" s="1"/>
  <c r="DG104" i="8"/>
  <c r="U104" i="8" s="1"/>
  <c r="DF104" i="8"/>
  <c r="T104" i="8" s="1"/>
  <c r="DE104" i="8"/>
  <c r="S104" i="8" s="1"/>
  <c r="DD104" i="8"/>
  <c r="R104" i="8" s="1"/>
  <c r="DC104" i="8"/>
  <c r="Q104" i="8" s="1"/>
  <c r="DB104" i="8"/>
  <c r="P104" i="8" s="1"/>
  <c r="DA104" i="8"/>
  <c r="O104" i="8" s="1"/>
  <c r="CZ104" i="8"/>
  <c r="N104" i="8" s="1"/>
  <c r="DP103" i="8"/>
  <c r="AD103" i="8" s="1"/>
  <c r="DO103" i="8"/>
  <c r="AC103" i="8" s="1"/>
  <c r="DN103" i="8"/>
  <c r="AB103" i="8" s="1"/>
  <c r="DM103" i="8"/>
  <c r="AA103" i="8" s="1"/>
  <c r="DL103" i="8"/>
  <c r="Z103" i="8" s="1"/>
  <c r="DK103" i="8"/>
  <c r="Y103" i="8" s="1"/>
  <c r="DJ103" i="8"/>
  <c r="X103" i="8" s="1"/>
  <c r="DI103" i="8"/>
  <c r="W103" i="8" s="1"/>
  <c r="DH103" i="8"/>
  <c r="V103" i="8" s="1"/>
  <c r="DG103" i="8"/>
  <c r="U103" i="8" s="1"/>
  <c r="DF103" i="8"/>
  <c r="T103" i="8" s="1"/>
  <c r="DE103" i="8"/>
  <c r="S103" i="8" s="1"/>
  <c r="DD103" i="8"/>
  <c r="R103" i="8" s="1"/>
  <c r="DC103" i="8"/>
  <c r="Q103" i="8" s="1"/>
  <c r="DB103" i="8"/>
  <c r="P103" i="8" s="1"/>
  <c r="DA103" i="8"/>
  <c r="O103" i="8" s="1"/>
  <c r="CZ103" i="8"/>
  <c r="N103" i="8" s="1"/>
  <c r="DP102" i="8"/>
  <c r="AD102" i="8" s="1"/>
  <c r="DO102" i="8"/>
  <c r="AC102" i="8" s="1"/>
  <c r="DN102" i="8"/>
  <c r="AB102" i="8" s="1"/>
  <c r="DM102" i="8"/>
  <c r="AA102" i="8" s="1"/>
  <c r="DL102" i="8"/>
  <c r="Z102" i="8" s="1"/>
  <c r="DK102" i="8"/>
  <c r="Y102" i="8" s="1"/>
  <c r="DJ102" i="8"/>
  <c r="X102" i="8" s="1"/>
  <c r="DI102" i="8"/>
  <c r="W102" i="8" s="1"/>
  <c r="DH102" i="8"/>
  <c r="V102" i="8" s="1"/>
  <c r="DG102" i="8"/>
  <c r="U102" i="8" s="1"/>
  <c r="DF102" i="8"/>
  <c r="T102" i="8" s="1"/>
  <c r="DE102" i="8"/>
  <c r="S102" i="8" s="1"/>
  <c r="DD102" i="8"/>
  <c r="R102" i="8" s="1"/>
  <c r="DC102" i="8"/>
  <c r="Q102" i="8" s="1"/>
  <c r="DB102" i="8"/>
  <c r="P102" i="8" s="1"/>
  <c r="DA102" i="8"/>
  <c r="O102" i="8" s="1"/>
  <c r="CZ102" i="8"/>
  <c r="N102" i="8" s="1"/>
  <c r="DP101" i="8"/>
  <c r="AD101" i="8" s="1"/>
  <c r="DO101" i="8"/>
  <c r="AC101" i="8" s="1"/>
  <c r="DN101" i="8"/>
  <c r="AB101" i="8" s="1"/>
  <c r="DM101" i="8"/>
  <c r="AA101" i="8" s="1"/>
  <c r="DL101" i="8"/>
  <c r="Z101" i="8" s="1"/>
  <c r="DK101" i="8"/>
  <c r="Y101" i="8" s="1"/>
  <c r="DJ101" i="8"/>
  <c r="X101" i="8" s="1"/>
  <c r="DI101" i="8"/>
  <c r="W101" i="8" s="1"/>
  <c r="DH101" i="8"/>
  <c r="V101" i="8" s="1"/>
  <c r="DG101" i="8"/>
  <c r="U101" i="8" s="1"/>
  <c r="DF101" i="8"/>
  <c r="T101" i="8" s="1"/>
  <c r="DE101" i="8"/>
  <c r="S101" i="8" s="1"/>
  <c r="DD101" i="8"/>
  <c r="R101" i="8" s="1"/>
  <c r="DC101" i="8"/>
  <c r="Q101" i="8" s="1"/>
  <c r="DB101" i="8"/>
  <c r="P101" i="8" s="1"/>
  <c r="DA101" i="8"/>
  <c r="O101" i="8" s="1"/>
  <c r="CZ101" i="8"/>
  <c r="N101" i="8" s="1"/>
  <c r="DP100" i="8"/>
  <c r="AD100" i="8" s="1"/>
  <c r="DO100" i="8"/>
  <c r="AC100" i="8" s="1"/>
  <c r="DN100" i="8"/>
  <c r="AB100" i="8" s="1"/>
  <c r="DM100" i="8"/>
  <c r="AA100" i="8" s="1"/>
  <c r="DL100" i="8"/>
  <c r="Z100" i="8" s="1"/>
  <c r="DK100" i="8"/>
  <c r="Y100" i="8" s="1"/>
  <c r="DJ100" i="8"/>
  <c r="X100" i="8" s="1"/>
  <c r="DI100" i="8"/>
  <c r="W100" i="8" s="1"/>
  <c r="DH100" i="8"/>
  <c r="V100" i="8" s="1"/>
  <c r="DG100" i="8"/>
  <c r="U100" i="8" s="1"/>
  <c r="DF100" i="8"/>
  <c r="T100" i="8" s="1"/>
  <c r="DE100" i="8"/>
  <c r="S100" i="8" s="1"/>
  <c r="DD100" i="8"/>
  <c r="R100" i="8" s="1"/>
  <c r="DC100" i="8"/>
  <c r="Q100" i="8" s="1"/>
  <c r="DB100" i="8"/>
  <c r="P100" i="8" s="1"/>
  <c r="DA100" i="8"/>
  <c r="O100" i="8" s="1"/>
  <c r="CZ100" i="8"/>
  <c r="N100" i="8" s="1"/>
  <c r="DP99" i="8"/>
  <c r="AD99" i="8" s="1"/>
  <c r="DO99" i="8"/>
  <c r="AC99" i="8" s="1"/>
  <c r="DN99" i="8"/>
  <c r="AB99" i="8" s="1"/>
  <c r="DM99" i="8"/>
  <c r="AA99" i="8" s="1"/>
  <c r="DL99" i="8"/>
  <c r="Z99" i="8" s="1"/>
  <c r="DK99" i="8"/>
  <c r="Y99" i="8" s="1"/>
  <c r="DJ99" i="8"/>
  <c r="X99" i="8" s="1"/>
  <c r="DI99" i="8"/>
  <c r="W99" i="8" s="1"/>
  <c r="DH99" i="8"/>
  <c r="V99" i="8" s="1"/>
  <c r="DG99" i="8"/>
  <c r="U99" i="8" s="1"/>
  <c r="DF99" i="8"/>
  <c r="T99" i="8" s="1"/>
  <c r="DE99" i="8"/>
  <c r="S99" i="8" s="1"/>
  <c r="DD99" i="8"/>
  <c r="R99" i="8" s="1"/>
  <c r="DC99" i="8"/>
  <c r="Q99" i="8" s="1"/>
  <c r="DB99" i="8"/>
  <c r="P99" i="8" s="1"/>
  <c r="DA99" i="8"/>
  <c r="O99" i="8" s="1"/>
  <c r="CZ99" i="8"/>
  <c r="N99" i="8" s="1"/>
  <c r="DP98" i="8"/>
  <c r="AD98" i="8" s="1"/>
  <c r="DO98" i="8"/>
  <c r="AC98" i="8" s="1"/>
  <c r="DN98" i="8"/>
  <c r="AB98" i="8" s="1"/>
  <c r="DM98" i="8"/>
  <c r="AA98" i="8" s="1"/>
  <c r="DL98" i="8"/>
  <c r="Z98" i="8" s="1"/>
  <c r="DK98" i="8"/>
  <c r="Y98" i="8" s="1"/>
  <c r="DJ98" i="8"/>
  <c r="X98" i="8" s="1"/>
  <c r="DI98" i="8"/>
  <c r="W98" i="8" s="1"/>
  <c r="DH98" i="8"/>
  <c r="V98" i="8" s="1"/>
  <c r="DG98" i="8"/>
  <c r="U98" i="8" s="1"/>
  <c r="DF98" i="8"/>
  <c r="T98" i="8" s="1"/>
  <c r="DE98" i="8"/>
  <c r="S98" i="8" s="1"/>
  <c r="DD98" i="8"/>
  <c r="R98" i="8" s="1"/>
  <c r="DC98" i="8"/>
  <c r="Q98" i="8" s="1"/>
  <c r="DB98" i="8"/>
  <c r="P98" i="8" s="1"/>
  <c r="DA98" i="8"/>
  <c r="O98" i="8" s="1"/>
  <c r="CZ98" i="8"/>
  <c r="N98" i="8" s="1"/>
  <c r="DP97" i="8"/>
  <c r="AD97" i="8" s="1"/>
  <c r="DO97" i="8"/>
  <c r="AC97" i="8" s="1"/>
  <c r="DN97" i="8"/>
  <c r="AB97" i="8" s="1"/>
  <c r="DM97" i="8"/>
  <c r="AA97" i="8" s="1"/>
  <c r="DL97" i="8"/>
  <c r="Z97" i="8" s="1"/>
  <c r="DK97" i="8"/>
  <c r="Y97" i="8" s="1"/>
  <c r="DJ97" i="8"/>
  <c r="X97" i="8" s="1"/>
  <c r="DI97" i="8"/>
  <c r="W97" i="8" s="1"/>
  <c r="DH97" i="8"/>
  <c r="V97" i="8" s="1"/>
  <c r="DG97" i="8"/>
  <c r="U97" i="8" s="1"/>
  <c r="DF97" i="8"/>
  <c r="T97" i="8" s="1"/>
  <c r="DE97" i="8"/>
  <c r="S97" i="8" s="1"/>
  <c r="DD97" i="8"/>
  <c r="R97" i="8" s="1"/>
  <c r="DC97" i="8"/>
  <c r="Q97" i="8" s="1"/>
  <c r="DB97" i="8"/>
  <c r="P97" i="8" s="1"/>
  <c r="DA97" i="8"/>
  <c r="O97" i="8" s="1"/>
  <c r="CZ97" i="8"/>
  <c r="N97" i="8" s="1"/>
  <c r="DP96" i="8"/>
  <c r="AD96" i="8" s="1"/>
  <c r="DO96" i="8"/>
  <c r="AC96" i="8" s="1"/>
  <c r="DN96" i="8"/>
  <c r="AB96" i="8" s="1"/>
  <c r="DM96" i="8"/>
  <c r="AA96" i="8" s="1"/>
  <c r="DL96" i="8"/>
  <c r="Z96" i="8" s="1"/>
  <c r="DK96" i="8"/>
  <c r="Y96" i="8" s="1"/>
  <c r="DJ96" i="8"/>
  <c r="X96" i="8" s="1"/>
  <c r="DI96" i="8"/>
  <c r="W96" i="8" s="1"/>
  <c r="DH96" i="8"/>
  <c r="V96" i="8" s="1"/>
  <c r="DG96" i="8"/>
  <c r="U96" i="8" s="1"/>
  <c r="DF96" i="8"/>
  <c r="T96" i="8" s="1"/>
  <c r="DE96" i="8"/>
  <c r="S96" i="8" s="1"/>
  <c r="DD96" i="8"/>
  <c r="R96" i="8" s="1"/>
  <c r="DC96" i="8"/>
  <c r="Q96" i="8" s="1"/>
  <c r="DB96" i="8"/>
  <c r="P96" i="8" s="1"/>
  <c r="DA96" i="8"/>
  <c r="O96" i="8" s="1"/>
  <c r="CZ96" i="8"/>
  <c r="N96" i="8" s="1"/>
  <c r="DP95" i="8"/>
  <c r="AD95" i="8" s="1"/>
  <c r="DO95" i="8"/>
  <c r="AC95" i="8" s="1"/>
  <c r="DN95" i="8"/>
  <c r="AB95" i="8" s="1"/>
  <c r="DM95" i="8"/>
  <c r="AA95" i="8" s="1"/>
  <c r="DL95" i="8"/>
  <c r="Z95" i="8" s="1"/>
  <c r="DK95" i="8"/>
  <c r="Y95" i="8" s="1"/>
  <c r="DJ95" i="8"/>
  <c r="X95" i="8" s="1"/>
  <c r="DI95" i="8"/>
  <c r="W95" i="8" s="1"/>
  <c r="DH95" i="8"/>
  <c r="V95" i="8" s="1"/>
  <c r="DG95" i="8"/>
  <c r="U95" i="8" s="1"/>
  <c r="DF95" i="8"/>
  <c r="T95" i="8" s="1"/>
  <c r="DE95" i="8"/>
  <c r="S95" i="8" s="1"/>
  <c r="DD95" i="8"/>
  <c r="R95" i="8" s="1"/>
  <c r="DC95" i="8"/>
  <c r="Q95" i="8" s="1"/>
  <c r="DB95" i="8"/>
  <c r="P95" i="8" s="1"/>
  <c r="DA95" i="8"/>
  <c r="O95" i="8" s="1"/>
  <c r="CZ95" i="8"/>
  <c r="N95" i="8" s="1"/>
  <c r="DP94" i="8"/>
  <c r="AD94" i="8" s="1"/>
  <c r="DO94" i="8"/>
  <c r="AC94" i="8" s="1"/>
  <c r="DN94" i="8"/>
  <c r="AB94" i="8" s="1"/>
  <c r="DM94" i="8"/>
  <c r="AA94" i="8" s="1"/>
  <c r="DL94" i="8"/>
  <c r="Z94" i="8" s="1"/>
  <c r="DK94" i="8"/>
  <c r="Y94" i="8" s="1"/>
  <c r="DJ94" i="8"/>
  <c r="X94" i="8" s="1"/>
  <c r="DI94" i="8"/>
  <c r="W94" i="8" s="1"/>
  <c r="DH94" i="8"/>
  <c r="V94" i="8" s="1"/>
  <c r="DG94" i="8"/>
  <c r="U94" i="8" s="1"/>
  <c r="DF94" i="8"/>
  <c r="T94" i="8" s="1"/>
  <c r="DE94" i="8"/>
  <c r="S94" i="8" s="1"/>
  <c r="DD94" i="8"/>
  <c r="R94" i="8" s="1"/>
  <c r="DC94" i="8"/>
  <c r="Q94" i="8" s="1"/>
  <c r="DB94" i="8"/>
  <c r="P94" i="8" s="1"/>
  <c r="DA94" i="8"/>
  <c r="O94" i="8" s="1"/>
  <c r="CZ94" i="8"/>
  <c r="N94" i="8" s="1"/>
  <c r="DP93" i="8"/>
  <c r="AD93" i="8" s="1"/>
  <c r="DO93" i="8"/>
  <c r="AC93" i="8" s="1"/>
  <c r="DN93" i="8"/>
  <c r="AB93" i="8" s="1"/>
  <c r="DM93" i="8"/>
  <c r="AA93" i="8" s="1"/>
  <c r="DL93" i="8"/>
  <c r="Z93" i="8" s="1"/>
  <c r="DK93" i="8"/>
  <c r="Y93" i="8" s="1"/>
  <c r="DJ93" i="8"/>
  <c r="X93" i="8" s="1"/>
  <c r="DI93" i="8"/>
  <c r="W93" i="8" s="1"/>
  <c r="DH93" i="8"/>
  <c r="V93" i="8" s="1"/>
  <c r="DG93" i="8"/>
  <c r="U93" i="8" s="1"/>
  <c r="DF93" i="8"/>
  <c r="T93" i="8" s="1"/>
  <c r="DE93" i="8"/>
  <c r="S93" i="8" s="1"/>
  <c r="DD93" i="8"/>
  <c r="R93" i="8" s="1"/>
  <c r="DC93" i="8"/>
  <c r="Q93" i="8" s="1"/>
  <c r="DB93" i="8"/>
  <c r="P93" i="8" s="1"/>
  <c r="DA93" i="8"/>
  <c r="O93" i="8" s="1"/>
  <c r="CZ93" i="8"/>
  <c r="N93" i="8" s="1"/>
  <c r="DP92" i="8"/>
  <c r="AD92" i="8" s="1"/>
  <c r="DO92" i="8"/>
  <c r="AC92" i="8" s="1"/>
  <c r="DN92" i="8"/>
  <c r="AB92" i="8" s="1"/>
  <c r="DM92" i="8"/>
  <c r="AA92" i="8" s="1"/>
  <c r="DL92" i="8"/>
  <c r="Z92" i="8" s="1"/>
  <c r="DK92" i="8"/>
  <c r="Y92" i="8" s="1"/>
  <c r="DJ92" i="8"/>
  <c r="X92" i="8" s="1"/>
  <c r="DI92" i="8"/>
  <c r="W92" i="8" s="1"/>
  <c r="DH92" i="8"/>
  <c r="V92" i="8" s="1"/>
  <c r="DG92" i="8"/>
  <c r="U92" i="8" s="1"/>
  <c r="DF92" i="8"/>
  <c r="T92" i="8" s="1"/>
  <c r="DE92" i="8"/>
  <c r="S92" i="8" s="1"/>
  <c r="DD92" i="8"/>
  <c r="R92" i="8" s="1"/>
  <c r="DC92" i="8"/>
  <c r="Q92" i="8" s="1"/>
  <c r="DB92" i="8"/>
  <c r="P92" i="8" s="1"/>
  <c r="DA92" i="8"/>
  <c r="O92" i="8" s="1"/>
  <c r="CZ92" i="8"/>
  <c r="N92" i="8" s="1"/>
  <c r="DP91" i="8"/>
  <c r="AD91" i="8" s="1"/>
  <c r="DO91" i="8"/>
  <c r="AC91" i="8" s="1"/>
  <c r="DN91" i="8"/>
  <c r="AB91" i="8" s="1"/>
  <c r="DM91" i="8"/>
  <c r="AA91" i="8" s="1"/>
  <c r="DL91" i="8"/>
  <c r="Z91" i="8" s="1"/>
  <c r="DK91" i="8"/>
  <c r="Y91" i="8" s="1"/>
  <c r="DJ91" i="8"/>
  <c r="X91" i="8" s="1"/>
  <c r="DI91" i="8"/>
  <c r="W91" i="8" s="1"/>
  <c r="DH91" i="8"/>
  <c r="V91" i="8" s="1"/>
  <c r="DG91" i="8"/>
  <c r="U91" i="8" s="1"/>
  <c r="DF91" i="8"/>
  <c r="T91" i="8" s="1"/>
  <c r="DE91" i="8"/>
  <c r="S91" i="8" s="1"/>
  <c r="DD91" i="8"/>
  <c r="R91" i="8" s="1"/>
  <c r="DC91" i="8"/>
  <c r="Q91" i="8" s="1"/>
  <c r="DB91" i="8"/>
  <c r="P91" i="8" s="1"/>
  <c r="DA91" i="8"/>
  <c r="O91" i="8" s="1"/>
  <c r="CZ91" i="8"/>
  <c r="N91" i="8" s="1"/>
  <c r="DP87" i="8"/>
  <c r="AD87" i="8" s="1"/>
  <c r="DO87" i="8"/>
  <c r="AC87" i="8" s="1"/>
  <c r="DN87" i="8"/>
  <c r="AB87" i="8" s="1"/>
  <c r="DM87" i="8"/>
  <c r="AA87" i="8" s="1"/>
  <c r="DL87" i="8"/>
  <c r="Z87" i="8" s="1"/>
  <c r="DK87" i="8"/>
  <c r="Y87" i="8" s="1"/>
  <c r="DJ87" i="8"/>
  <c r="X87" i="8" s="1"/>
  <c r="DI87" i="8"/>
  <c r="W87" i="8" s="1"/>
  <c r="DH87" i="8"/>
  <c r="V87" i="8" s="1"/>
  <c r="DG87" i="8"/>
  <c r="U87" i="8" s="1"/>
  <c r="DF87" i="8"/>
  <c r="T87" i="8" s="1"/>
  <c r="DE87" i="8"/>
  <c r="S87" i="8" s="1"/>
  <c r="DD87" i="8"/>
  <c r="R87" i="8" s="1"/>
  <c r="DC87" i="8"/>
  <c r="Q87" i="8" s="1"/>
  <c r="DB87" i="8"/>
  <c r="P87" i="8" s="1"/>
  <c r="DA87" i="8"/>
  <c r="O87" i="8" s="1"/>
  <c r="CZ87" i="8"/>
  <c r="N87" i="8" s="1"/>
  <c r="DP86" i="8"/>
  <c r="AD86" i="8" s="1"/>
  <c r="DO86" i="8"/>
  <c r="AC86" i="8" s="1"/>
  <c r="DN86" i="8"/>
  <c r="AB86" i="8" s="1"/>
  <c r="DM86" i="8"/>
  <c r="AA86" i="8" s="1"/>
  <c r="DL86" i="8"/>
  <c r="Z86" i="8" s="1"/>
  <c r="DK86" i="8"/>
  <c r="Y86" i="8" s="1"/>
  <c r="DJ86" i="8"/>
  <c r="X86" i="8" s="1"/>
  <c r="DI86" i="8"/>
  <c r="W86" i="8" s="1"/>
  <c r="DH86" i="8"/>
  <c r="V86" i="8" s="1"/>
  <c r="DG86" i="8"/>
  <c r="U86" i="8" s="1"/>
  <c r="DF86" i="8"/>
  <c r="T86" i="8" s="1"/>
  <c r="DE86" i="8"/>
  <c r="S86" i="8" s="1"/>
  <c r="DD86" i="8"/>
  <c r="R86" i="8" s="1"/>
  <c r="DC86" i="8"/>
  <c r="Q86" i="8" s="1"/>
  <c r="DB86" i="8"/>
  <c r="P86" i="8" s="1"/>
  <c r="DA86" i="8"/>
  <c r="O86" i="8" s="1"/>
  <c r="CZ86" i="8"/>
  <c r="N86" i="8" s="1"/>
  <c r="DP85" i="8"/>
  <c r="AD85" i="8" s="1"/>
  <c r="DO85" i="8"/>
  <c r="AC85" i="8" s="1"/>
  <c r="DN85" i="8"/>
  <c r="AB85" i="8" s="1"/>
  <c r="DM85" i="8"/>
  <c r="AA85" i="8" s="1"/>
  <c r="DL85" i="8"/>
  <c r="Z85" i="8" s="1"/>
  <c r="DK85" i="8"/>
  <c r="Y85" i="8" s="1"/>
  <c r="DJ85" i="8"/>
  <c r="X85" i="8" s="1"/>
  <c r="DI85" i="8"/>
  <c r="W85" i="8" s="1"/>
  <c r="DH85" i="8"/>
  <c r="V85" i="8" s="1"/>
  <c r="DG85" i="8"/>
  <c r="U85" i="8" s="1"/>
  <c r="DF85" i="8"/>
  <c r="T85" i="8" s="1"/>
  <c r="DE85" i="8"/>
  <c r="S85" i="8" s="1"/>
  <c r="DD85" i="8"/>
  <c r="R85" i="8" s="1"/>
  <c r="DC85" i="8"/>
  <c r="Q85" i="8" s="1"/>
  <c r="DB85" i="8"/>
  <c r="P85" i="8" s="1"/>
  <c r="DA85" i="8"/>
  <c r="O85" i="8" s="1"/>
  <c r="CZ85" i="8"/>
  <c r="N85" i="8" s="1"/>
  <c r="DP84" i="8"/>
  <c r="AD84" i="8" s="1"/>
  <c r="DO84" i="8"/>
  <c r="AC84" i="8" s="1"/>
  <c r="DN84" i="8"/>
  <c r="AB84" i="8" s="1"/>
  <c r="DM84" i="8"/>
  <c r="AA84" i="8" s="1"/>
  <c r="DL84" i="8"/>
  <c r="Z84" i="8" s="1"/>
  <c r="DK84" i="8"/>
  <c r="Y84" i="8" s="1"/>
  <c r="DJ84" i="8"/>
  <c r="X84" i="8" s="1"/>
  <c r="DI84" i="8"/>
  <c r="W84" i="8" s="1"/>
  <c r="DH84" i="8"/>
  <c r="V84" i="8" s="1"/>
  <c r="DG84" i="8"/>
  <c r="U84" i="8" s="1"/>
  <c r="DF84" i="8"/>
  <c r="T84" i="8" s="1"/>
  <c r="DE84" i="8"/>
  <c r="S84" i="8" s="1"/>
  <c r="DD84" i="8"/>
  <c r="R84" i="8" s="1"/>
  <c r="DC84" i="8"/>
  <c r="Q84" i="8" s="1"/>
  <c r="DB84" i="8"/>
  <c r="P84" i="8" s="1"/>
  <c r="DA84" i="8"/>
  <c r="O84" i="8" s="1"/>
  <c r="CZ84" i="8"/>
  <c r="N84" i="8" s="1"/>
  <c r="DP83" i="8"/>
  <c r="AD83" i="8" s="1"/>
  <c r="DO83" i="8"/>
  <c r="AC83" i="8" s="1"/>
  <c r="DN83" i="8"/>
  <c r="AB83" i="8" s="1"/>
  <c r="DM83" i="8"/>
  <c r="AA83" i="8" s="1"/>
  <c r="DL83" i="8"/>
  <c r="Z83" i="8" s="1"/>
  <c r="DK83" i="8"/>
  <c r="Y83" i="8" s="1"/>
  <c r="DJ83" i="8"/>
  <c r="X83" i="8" s="1"/>
  <c r="DI83" i="8"/>
  <c r="W83" i="8" s="1"/>
  <c r="DH83" i="8"/>
  <c r="V83" i="8" s="1"/>
  <c r="DG83" i="8"/>
  <c r="U83" i="8" s="1"/>
  <c r="DF83" i="8"/>
  <c r="T83" i="8" s="1"/>
  <c r="DE83" i="8"/>
  <c r="S83" i="8" s="1"/>
  <c r="DD83" i="8"/>
  <c r="R83" i="8" s="1"/>
  <c r="DC83" i="8"/>
  <c r="Q83" i="8" s="1"/>
  <c r="DB83" i="8"/>
  <c r="P83" i="8" s="1"/>
  <c r="DA83" i="8"/>
  <c r="O83" i="8" s="1"/>
  <c r="CZ83" i="8"/>
  <c r="N83" i="8" s="1"/>
  <c r="DP82" i="8"/>
  <c r="AD82" i="8" s="1"/>
  <c r="DO82" i="8"/>
  <c r="AC82" i="8" s="1"/>
  <c r="DN82" i="8"/>
  <c r="AB82" i="8" s="1"/>
  <c r="DM82" i="8"/>
  <c r="AA82" i="8" s="1"/>
  <c r="DL82" i="8"/>
  <c r="Z82" i="8" s="1"/>
  <c r="DK82" i="8"/>
  <c r="Y82" i="8" s="1"/>
  <c r="DJ82" i="8"/>
  <c r="X82" i="8" s="1"/>
  <c r="DI82" i="8"/>
  <c r="W82" i="8" s="1"/>
  <c r="DH82" i="8"/>
  <c r="V82" i="8" s="1"/>
  <c r="DG82" i="8"/>
  <c r="U82" i="8" s="1"/>
  <c r="DF82" i="8"/>
  <c r="T82" i="8" s="1"/>
  <c r="DE82" i="8"/>
  <c r="S82" i="8" s="1"/>
  <c r="DD82" i="8"/>
  <c r="R82" i="8" s="1"/>
  <c r="DC82" i="8"/>
  <c r="Q82" i="8" s="1"/>
  <c r="DB82" i="8"/>
  <c r="P82" i="8" s="1"/>
  <c r="DA82" i="8"/>
  <c r="O82" i="8" s="1"/>
  <c r="CZ82" i="8"/>
  <c r="N82" i="8" s="1"/>
  <c r="DP81" i="8"/>
  <c r="AD81" i="8" s="1"/>
  <c r="DO81" i="8"/>
  <c r="AC81" i="8" s="1"/>
  <c r="DN81" i="8"/>
  <c r="AB81" i="8" s="1"/>
  <c r="DM81" i="8"/>
  <c r="AA81" i="8" s="1"/>
  <c r="DL81" i="8"/>
  <c r="Z81" i="8" s="1"/>
  <c r="DK81" i="8"/>
  <c r="Y81" i="8" s="1"/>
  <c r="DJ81" i="8"/>
  <c r="X81" i="8" s="1"/>
  <c r="DI81" i="8"/>
  <c r="W81" i="8" s="1"/>
  <c r="DH81" i="8"/>
  <c r="V81" i="8" s="1"/>
  <c r="DG81" i="8"/>
  <c r="U81" i="8" s="1"/>
  <c r="DF81" i="8"/>
  <c r="T81" i="8" s="1"/>
  <c r="DE81" i="8"/>
  <c r="S81" i="8" s="1"/>
  <c r="DD81" i="8"/>
  <c r="R81" i="8" s="1"/>
  <c r="DC81" i="8"/>
  <c r="Q81" i="8" s="1"/>
  <c r="DB81" i="8"/>
  <c r="P81" i="8" s="1"/>
  <c r="DA81" i="8"/>
  <c r="O81" i="8" s="1"/>
  <c r="CZ81" i="8"/>
  <c r="N81" i="8" s="1"/>
  <c r="DP80" i="8"/>
  <c r="AD80" i="8" s="1"/>
  <c r="DO80" i="8"/>
  <c r="AC80" i="8" s="1"/>
  <c r="DN80" i="8"/>
  <c r="AB80" i="8" s="1"/>
  <c r="DM80" i="8"/>
  <c r="AA80" i="8" s="1"/>
  <c r="DL80" i="8"/>
  <c r="Z80" i="8" s="1"/>
  <c r="DK80" i="8"/>
  <c r="Y80" i="8" s="1"/>
  <c r="DJ80" i="8"/>
  <c r="X80" i="8" s="1"/>
  <c r="DI80" i="8"/>
  <c r="W80" i="8" s="1"/>
  <c r="DH80" i="8"/>
  <c r="V80" i="8" s="1"/>
  <c r="DG80" i="8"/>
  <c r="U80" i="8" s="1"/>
  <c r="DF80" i="8"/>
  <c r="T80" i="8" s="1"/>
  <c r="DE80" i="8"/>
  <c r="S80" i="8" s="1"/>
  <c r="DD80" i="8"/>
  <c r="R80" i="8" s="1"/>
  <c r="DC80" i="8"/>
  <c r="Q80" i="8" s="1"/>
  <c r="DB80" i="8"/>
  <c r="P80" i="8" s="1"/>
  <c r="DA80" i="8"/>
  <c r="O80" i="8" s="1"/>
  <c r="CZ80" i="8"/>
  <c r="N80" i="8" s="1"/>
  <c r="DP79" i="8"/>
  <c r="AD79" i="8" s="1"/>
  <c r="DO79" i="8"/>
  <c r="AC79" i="8" s="1"/>
  <c r="DN79" i="8"/>
  <c r="AB79" i="8" s="1"/>
  <c r="DM79" i="8"/>
  <c r="AA79" i="8" s="1"/>
  <c r="DL79" i="8"/>
  <c r="Z79" i="8" s="1"/>
  <c r="DK79" i="8"/>
  <c r="Y79" i="8" s="1"/>
  <c r="DJ79" i="8"/>
  <c r="X79" i="8" s="1"/>
  <c r="DI79" i="8"/>
  <c r="W79" i="8" s="1"/>
  <c r="DH79" i="8"/>
  <c r="V79" i="8" s="1"/>
  <c r="DG79" i="8"/>
  <c r="U79" i="8" s="1"/>
  <c r="DF79" i="8"/>
  <c r="T79" i="8" s="1"/>
  <c r="DE79" i="8"/>
  <c r="S79" i="8" s="1"/>
  <c r="DD79" i="8"/>
  <c r="R79" i="8" s="1"/>
  <c r="DC79" i="8"/>
  <c r="Q79" i="8" s="1"/>
  <c r="DB79" i="8"/>
  <c r="P79" i="8" s="1"/>
  <c r="DA79" i="8"/>
  <c r="O79" i="8" s="1"/>
  <c r="CZ79" i="8"/>
  <c r="N79" i="8" s="1"/>
  <c r="DP78" i="8"/>
  <c r="AD78" i="8" s="1"/>
  <c r="DO78" i="8"/>
  <c r="AC78" i="8" s="1"/>
  <c r="DN78" i="8"/>
  <c r="AB78" i="8" s="1"/>
  <c r="DM78" i="8"/>
  <c r="AA78" i="8" s="1"/>
  <c r="DL78" i="8"/>
  <c r="Z78" i="8" s="1"/>
  <c r="DK78" i="8"/>
  <c r="Y78" i="8" s="1"/>
  <c r="DJ78" i="8"/>
  <c r="X78" i="8" s="1"/>
  <c r="DI78" i="8"/>
  <c r="W78" i="8" s="1"/>
  <c r="DH78" i="8"/>
  <c r="V78" i="8" s="1"/>
  <c r="DG78" i="8"/>
  <c r="U78" i="8" s="1"/>
  <c r="DF78" i="8"/>
  <c r="T78" i="8" s="1"/>
  <c r="DE78" i="8"/>
  <c r="S78" i="8" s="1"/>
  <c r="DD78" i="8"/>
  <c r="R78" i="8" s="1"/>
  <c r="DC78" i="8"/>
  <c r="Q78" i="8" s="1"/>
  <c r="DB78" i="8"/>
  <c r="P78" i="8" s="1"/>
  <c r="DA78" i="8"/>
  <c r="O78" i="8" s="1"/>
  <c r="CZ78" i="8"/>
  <c r="N78" i="8" s="1"/>
  <c r="DP77" i="8"/>
  <c r="AD77" i="8" s="1"/>
  <c r="DO77" i="8"/>
  <c r="AC77" i="8" s="1"/>
  <c r="DN77" i="8"/>
  <c r="AB77" i="8" s="1"/>
  <c r="DM77" i="8"/>
  <c r="AA77" i="8" s="1"/>
  <c r="DL77" i="8"/>
  <c r="Z77" i="8" s="1"/>
  <c r="DK77" i="8"/>
  <c r="Y77" i="8" s="1"/>
  <c r="DJ77" i="8"/>
  <c r="X77" i="8" s="1"/>
  <c r="DI77" i="8"/>
  <c r="W77" i="8" s="1"/>
  <c r="DH77" i="8"/>
  <c r="V77" i="8" s="1"/>
  <c r="DG77" i="8"/>
  <c r="U77" i="8" s="1"/>
  <c r="DF77" i="8"/>
  <c r="T77" i="8" s="1"/>
  <c r="DE77" i="8"/>
  <c r="S77" i="8" s="1"/>
  <c r="DD77" i="8"/>
  <c r="R77" i="8" s="1"/>
  <c r="DC77" i="8"/>
  <c r="Q77" i="8" s="1"/>
  <c r="DB77" i="8"/>
  <c r="P77" i="8" s="1"/>
  <c r="DA77" i="8"/>
  <c r="O77" i="8" s="1"/>
  <c r="CZ77" i="8"/>
  <c r="N77" i="8" s="1"/>
  <c r="DP76" i="8"/>
  <c r="AD76" i="8" s="1"/>
  <c r="DO76" i="8"/>
  <c r="AC76" i="8" s="1"/>
  <c r="DN76" i="8"/>
  <c r="AB76" i="8" s="1"/>
  <c r="DM76" i="8"/>
  <c r="AA76" i="8" s="1"/>
  <c r="DL76" i="8"/>
  <c r="Z76" i="8" s="1"/>
  <c r="DK76" i="8"/>
  <c r="Y76" i="8" s="1"/>
  <c r="DJ76" i="8"/>
  <c r="X76" i="8" s="1"/>
  <c r="DI76" i="8"/>
  <c r="W76" i="8" s="1"/>
  <c r="DH76" i="8"/>
  <c r="V76" i="8" s="1"/>
  <c r="DG76" i="8"/>
  <c r="U76" i="8" s="1"/>
  <c r="DF76" i="8"/>
  <c r="T76" i="8" s="1"/>
  <c r="DE76" i="8"/>
  <c r="S76" i="8" s="1"/>
  <c r="DD76" i="8"/>
  <c r="R76" i="8" s="1"/>
  <c r="DC76" i="8"/>
  <c r="Q76" i="8" s="1"/>
  <c r="DB76" i="8"/>
  <c r="P76" i="8" s="1"/>
  <c r="DA76" i="8"/>
  <c r="O76" i="8" s="1"/>
  <c r="CZ76" i="8"/>
  <c r="N76" i="8" s="1"/>
  <c r="DP75" i="8"/>
  <c r="AD75" i="8" s="1"/>
  <c r="DO75" i="8"/>
  <c r="AC75" i="8" s="1"/>
  <c r="DN75" i="8"/>
  <c r="AB75" i="8" s="1"/>
  <c r="DM75" i="8"/>
  <c r="AA75" i="8" s="1"/>
  <c r="DL75" i="8"/>
  <c r="Z75" i="8" s="1"/>
  <c r="DK75" i="8"/>
  <c r="Y75" i="8" s="1"/>
  <c r="DJ75" i="8"/>
  <c r="X75" i="8" s="1"/>
  <c r="DI75" i="8"/>
  <c r="W75" i="8" s="1"/>
  <c r="DH75" i="8"/>
  <c r="V75" i="8" s="1"/>
  <c r="DG75" i="8"/>
  <c r="U75" i="8" s="1"/>
  <c r="DF75" i="8"/>
  <c r="T75" i="8" s="1"/>
  <c r="DE75" i="8"/>
  <c r="S75" i="8" s="1"/>
  <c r="DD75" i="8"/>
  <c r="R75" i="8" s="1"/>
  <c r="DC75" i="8"/>
  <c r="Q75" i="8" s="1"/>
  <c r="DB75" i="8"/>
  <c r="P75" i="8" s="1"/>
  <c r="DA75" i="8"/>
  <c r="O75" i="8" s="1"/>
  <c r="CZ75" i="8"/>
  <c r="N75" i="8" s="1"/>
  <c r="DP74" i="8"/>
  <c r="AD74" i="8" s="1"/>
  <c r="DO74" i="8"/>
  <c r="AC74" i="8" s="1"/>
  <c r="DN74" i="8"/>
  <c r="AB74" i="8" s="1"/>
  <c r="DM74" i="8"/>
  <c r="AA74" i="8" s="1"/>
  <c r="DL74" i="8"/>
  <c r="Z74" i="8" s="1"/>
  <c r="DK74" i="8"/>
  <c r="Y74" i="8" s="1"/>
  <c r="DJ74" i="8"/>
  <c r="X74" i="8" s="1"/>
  <c r="DI74" i="8"/>
  <c r="W74" i="8" s="1"/>
  <c r="DH74" i="8"/>
  <c r="V74" i="8" s="1"/>
  <c r="DG74" i="8"/>
  <c r="U74" i="8" s="1"/>
  <c r="DF74" i="8"/>
  <c r="T74" i="8" s="1"/>
  <c r="DE74" i="8"/>
  <c r="S74" i="8" s="1"/>
  <c r="DD74" i="8"/>
  <c r="R74" i="8" s="1"/>
  <c r="DC74" i="8"/>
  <c r="Q74" i="8" s="1"/>
  <c r="DB74" i="8"/>
  <c r="P74" i="8" s="1"/>
  <c r="DA74" i="8"/>
  <c r="O74" i="8" s="1"/>
  <c r="CZ74" i="8"/>
  <c r="N74" i="8" s="1"/>
  <c r="DP73" i="8"/>
  <c r="AD73" i="8" s="1"/>
  <c r="DO73" i="8"/>
  <c r="AC73" i="8" s="1"/>
  <c r="DN73" i="8"/>
  <c r="AB73" i="8" s="1"/>
  <c r="DM73" i="8"/>
  <c r="AA73" i="8" s="1"/>
  <c r="DL73" i="8"/>
  <c r="Z73" i="8" s="1"/>
  <c r="DK73" i="8"/>
  <c r="Y73" i="8" s="1"/>
  <c r="DJ73" i="8"/>
  <c r="X73" i="8" s="1"/>
  <c r="DI73" i="8"/>
  <c r="W73" i="8" s="1"/>
  <c r="DH73" i="8"/>
  <c r="V73" i="8" s="1"/>
  <c r="DG73" i="8"/>
  <c r="U73" i="8" s="1"/>
  <c r="DF73" i="8"/>
  <c r="T73" i="8" s="1"/>
  <c r="DE73" i="8"/>
  <c r="S73" i="8" s="1"/>
  <c r="DD73" i="8"/>
  <c r="R73" i="8" s="1"/>
  <c r="DC73" i="8"/>
  <c r="Q73" i="8" s="1"/>
  <c r="DB73" i="8"/>
  <c r="P73" i="8" s="1"/>
  <c r="DA73" i="8"/>
  <c r="O73" i="8" s="1"/>
  <c r="CZ73" i="8"/>
  <c r="N73" i="8" s="1"/>
  <c r="DP72" i="8"/>
  <c r="AD72" i="8" s="1"/>
  <c r="DO72" i="8"/>
  <c r="AC72" i="8" s="1"/>
  <c r="DN72" i="8"/>
  <c r="AB72" i="8" s="1"/>
  <c r="DM72" i="8"/>
  <c r="AA72" i="8" s="1"/>
  <c r="DL72" i="8"/>
  <c r="Z72" i="8" s="1"/>
  <c r="DK72" i="8"/>
  <c r="Y72" i="8" s="1"/>
  <c r="DJ72" i="8"/>
  <c r="X72" i="8" s="1"/>
  <c r="DI72" i="8"/>
  <c r="W72" i="8" s="1"/>
  <c r="DH72" i="8"/>
  <c r="V72" i="8" s="1"/>
  <c r="DG72" i="8"/>
  <c r="U72" i="8" s="1"/>
  <c r="DF72" i="8"/>
  <c r="T72" i="8" s="1"/>
  <c r="DE72" i="8"/>
  <c r="S72" i="8" s="1"/>
  <c r="DD72" i="8"/>
  <c r="R72" i="8" s="1"/>
  <c r="DC72" i="8"/>
  <c r="Q72" i="8" s="1"/>
  <c r="DB72" i="8"/>
  <c r="P72" i="8" s="1"/>
  <c r="DA72" i="8"/>
  <c r="O72" i="8" s="1"/>
  <c r="CZ72" i="8"/>
  <c r="N72" i="8" s="1"/>
  <c r="DP71" i="8"/>
  <c r="AD71" i="8" s="1"/>
  <c r="DO71" i="8"/>
  <c r="AC71" i="8" s="1"/>
  <c r="DN71" i="8"/>
  <c r="AB71" i="8" s="1"/>
  <c r="DM71" i="8"/>
  <c r="AA71" i="8" s="1"/>
  <c r="DL71" i="8"/>
  <c r="Z71" i="8" s="1"/>
  <c r="DK71" i="8"/>
  <c r="Y71" i="8" s="1"/>
  <c r="DJ71" i="8"/>
  <c r="X71" i="8" s="1"/>
  <c r="DI71" i="8"/>
  <c r="W71" i="8" s="1"/>
  <c r="DH71" i="8"/>
  <c r="V71" i="8" s="1"/>
  <c r="DG71" i="8"/>
  <c r="U71" i="8" s="1"/>
  <c r="DF71" i="8"/>
  <c r="T71" i="8" s="1"/>
  <c r="DE71" i="8"/>
  <c r="S71" i="8" s="1"/>
  <c r="DD71" i="8"/>
  <c r="R71" i="8" s="1"/>
  <c r="DC71" i="8"/>
  <c r="Q71" i="8" s="1"/>
  <c r="DB71" i="8"/>
  <c r="P71" i="8" s="1"/>
  <c r="DA71" i="8"/>
  <c r="O71" i="8" s="1"/>
  <c r="CZ71" i="8"/>
  <c r="N71" i="8" s="1"/>
  <c r="DP55" i="8"/>
  <c r="AD55" i="8" s="1"/>
  <c r="DO55" i="8"/>
  <c r="AC55" i="8" s="1"/>
  <c r="DN55" i="8"/>
  <c r="AB55" i="8" s="1"/>
  <c r="DM55" i="8"/>
  <c r="AA55" i="8" s="1"/>
  <c r="DL55" i="8"/>
  <c r="Z55" i="8" s="1"/>
  <c r="DK55" i="8"/>
  <c r="Y55" i="8" s="1"/>
  <c r="DJ55" i="8"/>
  <c r="X55" i="8" s="1"/>
  <c r="DI55" i="8"/>
  <c r="W55" i="8" s="1"/>
  <c r="DH55" i="8"/>
  <c r="V55" i="8" s="1"/>
  <c r="DG55" i="8"/>
  <c r="U55" i="8" s="1"/>
  <c r="DF55" i="8"/>
  <c r="T55" i="8" s="1"/>
  <c r="DE55" i="8"/>
  <c r="S55" i="8" s="1"/>
  <c r="DD55" i="8"/>
  <c r="R55" i="8" s="1"/>
  <c r="DC55" i="8"/>
  <c r="Q55" i="8" s="1"/>
  <c r="DB55" i="8"/>
  <c r="P55" i="8" s="1"/>
  <c r="DA55" i="8"/>
  <c r="O55" i="8" s="1"/>
  <c r="CZ55" i="8"/>
  <c r="N55" i="8" s="1"/>
  <c r="DP54" i="8"/>
  <c r="AD54" i="8" s="1"/>
  <c r="DO54" i="8"/>
  <c r="AC54" i="8" s="1"/>
  <c r="DN54" i="8"/>
  <c r="AB54" i="8" s="1"/>
  <c r="DM54" i="8"/>
  <c r="AA54" i="8" s="1"/>
  <c r="DL54" i="8"/>
  <c r="Z54" i="8" s="1"/>
  <c r="DK54" i="8"/>
  <c r="Y54" i="8" s="1"/>
  <c r="DJ54" i="8"/>
  <c r="X54" i="8" s="1"/>
  <c r="DI54" i="8"/>
  <c r="W54" i="8" s="1"/>
  <c r="DH54" i="8"/>
  <c r="V54" i="8" s="1"/>
  <c r="DG54" i="8"/>
  <c r="U54" i="8" s="1"/>
  <c r="DF54" i="8"/>
  <c r="T54" i="8" s="1"/>
  <c r="DE54" i="8"/>
  <c r="S54" i="8" s="1"/>
  <c r="DD54" i="8"/>
  <c r="R54" i="8" s="1"/>
  <c r="DC54" i="8"/>
  <c r="Q54" i="8" s="1"/>
  <c r="DB54" i="8"/>
  <c r="P54" i="8" s="1"/>
  <c r="DA54" i="8"/>
  <c r="O54" i="8" s="1"/>
  <c r="CZ54" i="8"/>
  <c r="N54" i="8" s="1"/>
  <c r="DP53" i="8"/>
  <c r="AD53" i="8" s="1"/>
  <c r="DO53" i="8"/>
  <c r="AC53" i="8" s="1"/>
  <c r="DN53" i="8"/>
  <c r="AB53" i="8" s="1"/>
  <c r="DM53" i="8"/>
  <c r="AA53" i="8" s="1"/>
  <c r="DL53" i="8"/>
  <c r="Z53" i="8" s="1"/>
  <c r="DK53" i="8"/>
  <c r="Y53" i="8" s="1"/>
  <c r="DJ53" i="8"/>
  <c r="X53" i="8" s="1"/>
  <c r="DI53" i="8"/>
  <c r="W53" i="8" s="1"/>
  <c r="DH53" i="8"/>
  <c r="V53" i="8" s="1"/>
  <c r="DG53" i="8"/>
  <c r="U53" i="8" s="1"/>
  <c r="DF53" i="8"/>
  <c r="T53" i="8" s="1"/>
  <c r="DE53" i="8"/>
  <c r="S53" i="8" s="1"/>
  <c r="DD53" i="8"/>
  <c r="R53" i="8" s="1"/>
  <c r="DC53" i="8"/>
  <c r="Q53" i="8" s="1"/>
  <c r="DB53" i="8"/>
  <c r="P53" i="8" s="1"/>
  <c r="DA53" i="8"/>
  <c r="O53" i="8" s="1"/>
  <c r="CZ53" i="8"/>
  <c r="N53" i="8" s="1"/>
  <c r="DP52" i="8"/>
  <c r="AD52" i="8" s="1"/>
  <c r="DO52" i="8"/>
  <c r="AC52" i="8" s="1"/>
  <c r="DN52" i="8"/>
  <c r="AB52" i="8" s="1"/>
  <c r="DM52" i="8"/>
  <c r="AA52" i="8" s="1"/>
  <c r="DL52" i="8"/>
  <c r="Z52" i="8" s="1"/>
  <c r="DK52" i="8"/>
  <c r="Y52" i="8" s="1"/>
  <c r="DJ52" i="8"/>
  <c r="X52" i="8" s="1"/>
  <c r="DI52" i="8"/>
  <c r="W52" i="8" s="1"/>
  <c r="DH52" i="8"/>
  <c r="V52" i="8" s="1"/>
  <c r="DG52" i="8"/>
  <c r="U52" i="8" s="1"/>
  <c r="DF52" i="8"/>
  <c r="T52" i="8" s="1"/>
  <c r="DE52" i="8"/>
  <c r="S52" i="8" s="1"/>
  <c r="DD52" i="8"/>
  <c r="R52" i="8" s="1"/>
  <c r="DC52" i="8"/>
  <c r="Q52" i="8" s="1"/>
  <c r="DB52" i="8"/>
  <c r="P52" i="8" s="1"/>
  <c r="DA52" i="8"/>
  <c r="O52" i="8" s="1"/>
  <c r="CZ52" i="8"/>
  <c r="N52" i="8" s="1"/>
  <c r="DP51" i="8"/>
  <c r="AD51" i="8" s="1"/>
  <c r="DO51" i="8"/>
  <c r="AC51" i="8" s="1"/>
  <c r="DN51" i="8"/>
  <c r="AB51" i="8" s="1"/>
  <c r="DM51" i="8"/>
  <c r="AA51" i="8" s="1"/>
  <c r="DL51" i="8"/>
  <c r="Z51" i="8" s="1"/>
  <c r="DK51" i="8"/>
  <c r="Y51" i="8" s="1"/>
  <c r="DJ51" i="8"/>
  <c r="X51" i="8" s="1"/>
  <c r="DI51" i="8"/>
  <c r="W51" i="8" s="1"/>
  <c r="DH51" i="8"/>
  <c r="V51" i="8" s="1"/>
  <c r="DG51" i="8"/>
  <c r="U51" i="8" s="1"/>
  <c r="DF51" i="8"/>
  <c r="T51" i="8" s="1"/>
  <c r="DE51" i="8"/>
  <c r="S51" i="8" s="1"/>
  <c r="DD51" i="8"/>
  <c r="R51" i="8" s="1"/>
  <c r="DC51" i="8"/>
  <c r="Q51" i="8" s="1"/>
  <c r="DB51" i="8"/>
  <c r="P51" i="8" s="1"/>
  <c r="DA51" i="8"/>
  <c r="O51" i="8" s="1"/>
  <c r="CZ51" i="8"/>
  <c r="N51" i="8" s="1"/>
  <c r="DP50" i="8"/>
  <c r="AD50" i="8" s="1"/>
  <c r="DO50" i="8"/>
  <c r="AC50" i="8" s="1"/>
  <c r="DN50" i="8"/>
  <c r="AB50" i="8" s="1"/>
  <c r="DM50" i="8"/>
  <c r="AA50" i="8" s="1"/>
  <c r="DL50" i="8"/>
  <c r="Z50" i="8" s="1"/>
  <c r="DK50" i="8"/>
  <c r="Y50" i="8" s="1"/>
  <c r="DJ50" i="8"/>
  <c r="X50" i="8" s="1"/>
  <c r="DI50" i="8"/>
  <c r="W50" i="8" s="1"/>
  <c r="DH50" i="8"/>
  <c r="V50" i="8" s="1"/>
  <c r="DG50" i="8"/>
  <c r="U50" i="8" s="1"/>
  <c r="DF50" i="8"/>
  <c r="T50" i="8" s="1"/>
  <c r="DE50" i="8"/>
  <c r="S50" i="8" s="1"/>
  <c r="DD50" i="8"/>
  <c r="R50" i="8" s="1"/>
  <c r="DC50" i="8"/>
  <c r="Q50" i="8" s="1"/>
  <c r="DB50" i="8"/>
  <c r="P50" i="8" s="1"/>
  <c r="DA50" i="8"/>
  <c r="O50" i="8" s="1"/>
  <c r="CZ50" i="8"/>
  <c r="N50" i="8" s="1"/>
  <c r="DP49" i="8"/>
  <c r="AD49" i="8" s="1"/>
  <c r="DO49" i="8"/>
  <c r="AC49" i="8" s="1"/>
  <c r="DN49" i="8"/>
  <c r="AB49" i="8" s="1"/>
  <c r="DM49" i="8"/>
  <c r="AA49" i="8" s="1"/>
  <c r="DL49" i="8"/>
  <c r="Z49" i="8" s="1"/>
  <c r="DK49" i="8"/>
  <c r="Y49" i="8" s="1"/>
  <c r="DJ49" i="8"/>
  <c r="X49" i="8" s="1"/>
  <c r="DI49" i="8"/>
  <c r="W49" i="8" s="1"/>
  <c r="DH49" i="8"/>
  <c r="V49" i="8" s="1"/>
  <c r="DG49" i="8"/>
  <c r="U49" i="8" s="1"/>
  <c r="DF49" i="8"/>
  <c r="T49" i="8" s="1"/>
  <c r="DE49" i="8"/>
  <c r="S49" i="8" s="1"/>
  <c r="DD49" i="8"/>
  <c r="R49" i="8" s="1"/>
  <c r="DC49" i="8"/>
  <c r="Q49" i="8" s="1"/>
  <c r="DB49" i="8"/>
  <c r="P49" i="8" s="1"/>
  <c r="DA49" i="8"/>
  <c r="O49" i="8" s="1"/>
  <c r="CZ49" i="8"/>
  <c r="N49" i="8" s="1"/>
  <c r="DP48" i="8"/>
  <c r="AD48" i="8" s="1"/>
  <c r="DO48" i="8"/>
  <c r="AC48" i="8" s="1"/>
  <c r="DN48" i="8"/>
  <c r="AB48" i="8" s="1"/>
  <c r="DM48" i="8"/>
  <c r="AA48" i="8" s="1"/>
  <c r="DL48" i="8"/>
  <c r="Z48" i="8" s="1"/>
  <c r="DK48" i="8"/>
  <c r="Y48" i="8" s="1"/>
  <c r="DJ48" i="8"/>
  <c r="X48" i="8" s="1"/>
  <c r="DI48" i="8"/>
  <c r="W48" i="8" s="1"/>
  <c r="DH48" i="8"/>
  <c r="V48" i="8" s="1"/>
  <c r="DG48" i="8"/>
  <c r="U48" i="8" s="1"/>
  <c r="DF48" i="8"/>
  <c r="T48" i="8" s="1"/>
  <c r="DE48" i="8"/>
  <c r="S48" i="8" s="1"/>
  <c r="DD48" i="8"/>
  <c r="R48" i="8" s="1"/>
  <c r="DC48" i="8"/>
  <c r="Q48" i="8" s="1"/>
  <c r="DB48" i="8"/>
  <c r="P48" i="8" s="1"/>
  <c r="DA48" i="8"/>
  <c r="O48" i="8" s="1"/>
  <c r="CZ48" i="8"/>
  <c r="N48" i="8" s="1"/>
  <c r="DP47" i="8"/>
  <c r="AD47" i="8" s="1"/>
  <c r="DO47" i="8"/>
  <c r="AC47" i="8" s="1"/>
  <c r="DN47" i="8"/>
  <c r="AB47" i="8" s="1"/>
  <c r="DM47" i="8"/>
  <c r="AA47" i="8" s="1"/>
  <c r="DL47" i="8"/>
  <c r="Z47" i="8" s="1"/>
  <c r="DK47" i="8"/>
  <c r="Y47" i="8" s="1"/>
  <c r="DJ47" i="8"/>
  <c r="X47" i="8" s="1"/>
  <c r="DI47" i="8"/>
  <c r="W47" i="8" s="1"/>
  <c r="DH47" i="8"/>
  <c r="V47" i="8" s="1"/>
  <c r="DG47" i="8"/>
  <c r="U47" i="8" s="1"/>
  <c r="DF47" i="8"/>
  <c r="T47" i="8" s="1"/>
  <c r="DE47" i="8"/>
  <c r="S47" i="8" s="1"/>
  <c r="DD47" i="8"/>
  <c r="R47" i="8" s="1"/>
  <c r="DC47" i="8"/>
  <c r="Q47" i="8" s="1"/>
  <c r="DB47" i="8"/>
  <c r="P47" i="8" s="1"/>
  <c r="DA47" i="8"/>
  <c r="O47" i="8" s="1"/>
  <c r="CZ47" i="8"/>
  <c r="N47" i="8" s="1"/>
  <c r="DP46" i="8"/>
  <c r="AD46" i="8" s="1"/>
  <c r="DO46" i="8"/>
  <c r="AC46" i="8" s="1"/>
  <c r="DN46" i="8"/>
  <c r="AB46" i="8" s="1"/>
  <c r="DM46" i="8"/>
  <c r="AA46" i="8" s="1"/>
  <c r="DL46" i="8"/>
  <c r="Z46" i="8" s="1"/>
  <c r="DK46" i="8"/>
  <c r="Y46" i="8" s="1"/>
  <c r="DJ46" i="8"/>
  <c r="X46" i="8" s="1"/>
  <c r="DI46" i="8"/>
  <c r="W46" i="8" s="1"/>
  <c r="DH46" i="8"/>
  <c r="V46" i="8" s="1"/>
  <c r="DG46" i="8"/>
  <c r="U46" i="8" s="1"/>
  <c r="DF46" i="8"/>
  <c r="T46" i="8" s="1"/>
  <c r="DE46" i="8"/>
  <c r="S46" i="8" s="1"/>
  <c r="DD46" i="8"/>
  <c r="R46" i="8" s="1"/>
  <c r="DC46" i="8"/>
  <c r="Q46" i="8" s="1"/>
  <c r="DB46" i="8"/>
  <c r="P46" i="8" s="1"/>
  <c r="DA46" i="8"/>
  <c r="O46" i="8" s="1"/>
  <c r="CZ46" i="8"/>
  <c r="N46" i="8" s="1"/>
  <c r="DP45" i="8"/>
  <c r="AD45" i="8" s="1"/>
  <c r="DO45" i="8"/>
  <c r="AC45" i="8" s="1"/>
  <c r="DN45" i="8"/>
  <c r="AB45" i="8" s="1"/>
  <c r="DM45" i="8"/>
  <c r="AA45" i="8" s="1"/>
  <c r="DL45" i="8"/>
  <c r="Z45" i="8" s="1"/>
  <c r="DK45" i="8"/>
  <c r="Y45" i="8" s="1"/>
  <c r="DJ45" i="8"/>
  <c r="X45" i="8" s="1"/>
  <c r="DI45" i="8"/>
  <c r="W45" i="8" s="1"/>
  <c r="DH45" i="8"/>
  <c r="V45" i="8" s="1"/>
  <c r="DG45" i="8"/>
  <c r="U45" i="8" s="1"/>
  <c r="DF45" i="8"/>
  <c r="T45" i="8" s="1"/>
  <c r="DE45" i="8"/>
  <c r="S45" i="8" s="1"/>
  <c r="DD45" i="8"/>
  <c r="R45" i="8" s="1"/>
  <c r="DC45" i="8"/>
  <c r="Q45" i="8" s="1"/>
  <c r="DB45" i="8"/>
  <c r="P45" i="8" s="1"/>
  <c r="DA45" i="8"/>
  <c r="O45" i="8" s="1"/>
  <c r="CZ45" i="8"/>
  <c r="N45" i="8" s="1"/>
  <c r="DP44" i="8"/>
  <c r="AD44" i="8" s="1"/>
  <c r="DO44" i="8"/>
  <c r="AC44" i="8" s="1"/>
  <c r="DN44" i="8"/>
  <c r="AB44" i="8" s="1"/>
  <c r="DM44" i="8"/>
  <c r="AA44" i="8" s="1"/>
  <c r="DL44" i="8"/>
  <c r="Z44" i="8" s="1"/>
  <c r="DK44" i="8"/>
  <c r="Y44" i="8" s="1"/>
  <c r="DJ44" i="8"/>
  <c r="X44" i="8" s="1"/>
  <c r="DI44" i="8"/>
  <c r="W44" i="8" s="1"/>
  <c r="DH44" i="8"/>
  <c r="V44" i="8" s="1"/>
  <c r="DG44" i="8"/>
  <c r="U44" i="8" s="1"/>
  <c r="DF44" i="8"/>
  <c r="T44" i="8" s="1"/>
  <c r="DE44" i="8"/>
  <c r="S44" i="8" s="1"/>
  <c r="DD44" i="8"/>
  <c r="R44" i="8" s="1"/>
  <c r="DC44" i="8"/>
  <c r="Q44" i="8" s="1"/>
  <c r="DB44" i="8"/>
  <c r="P44" i="8" s="1"/>
  <c r="DA44" i="8"/>
  <c r="O44" i="8" s="1"/>
  <c r="CZ44" i="8"/>
  <c r="N44" i="8" s="1"/>
  <c r="DP43" i="8"/>
  <c r="AD43" i="8" s="1"/>
  <c r="DO43" i="8"/>
  <c r="AC43" i="8" s="1"/>
  <c r="DN43" i="8"/>
  <c r="AB43" i="8" s="1"/>
  <c r="DM43" i="8"/>
  <c r="AA43" i="8" s="1"/>
  <c r="DL43" i="8"/>
  <c r="Z43" i="8" s="1"/>
  <c r="DK43" i="8"/>
  <c r="Y43" i="8" s="1"/>
  <c r="DJ43" i="8"/>
  <c r="X43" i="8" s="1"/>
  <c r="DI43" i="8"/>
  <c r="W43" i="8" s="1"/>
  <c r="DH43" i="8"/>
  <c r="V43" i="8" s="1"/>
  <c r="DG43" i="8"/>
  <c r="U43" i="8" s="1"/>
  <c r="DF43" i="8"/>
  <c r="T43" i="8" s="1"/>
  <c r="DE43" i="8"/>
  <c r="S43" i="8" s="1"/>
  <c r="DD43" i="8"/>
  <c r="R43" i="8" s="1"/>
  <c r="DC43" i="8"/>
  <c r="Q43" i="8" s="1"/>
  <c r="DB43" i="8"/>
  <c r="P43" i="8" s="1"/>
  <c r="DA43" i="8"/>
  <c r="O43" i="8" s="1"/>
  <c r="CZ43" i="8"/>
  <c r="N43" i="8" s="1"/>
  <c r="DP42" i="8"/>
  <c r="AD42" i="8" s="1"/>
  <c r="DO42" i="8"/>
  <c r="AC42" i="8" s="1"/>
  <c r="DN42" i="8"/>
  <c r="AB42" i="8" s="1"/>
  <c r="DM42" i="8"/>
  <c r="AA42" i="8" s="1"/>
  <c r="DL42" i="8"/>
  <c r="Z42" i="8" s="1"/>
  <c r="DK42" i="8"/>
  <c r="Y42" i="8" s="1"/>
  <c r="DJ42" i="8"/>
  <c r="X42" i="8" s="1"/>
  <c r="DI42" i="8"/>
  <c r="W42" i="8" s="1"/>
  <c r="DH42" i="8"/>
  <c r="V42" i="8" s="1"/>
  <c r="DG42" i="8"/>
  <c r="U42" i="8" s="1"/>
  <c r="DF42" i="8"/>
  <c r="T42" i="8" s="1"/>
  <c r="DE42" i="8"/>
  <c r="S42" i="8" s="1"/>
  <c r="DD42" i="8"/>
  <c r="R42" i="8" s="1"/>
  <c r="DC42" i="8"/>
  <c r="Q42" i="8" s="1"/>
  <c r="DB42" i="8"/>
  <c r="P42" i="8" s="1"/>
  <c r="DA42" i="8"/>
  <c r="O42" i="8" s="1"/>
  <c r="CZ42" i="8"/>
  <c r="N42" i="8" s="1"/>
  <c r="DP41" i="8"/>
  <c r="AD41" i="8" s="1"/>
  <c r="DO41" i="8"/>
  <c r="AC41" i="8" s="1"/>
  <c r="DN41" i="8"/>
  <c r="AB41" i="8" s="1"/>
  <c r="DM41" i="8"/>
  <c r="AA41" i="8" s="1"/>
  <c r="DL41" i="8"/>
  <c r="Z41" i="8" s="1"/>
  <c r="DK41" i="8"/>
  <c r="Y41" i="8" s="1"/>
  <c r="DJ41" i="8"/>
  <c r="X41" i="8" s="1"/>
  <c r="DI41" i="8"/>
  <c r="W41" i="8" s="1"/>
  <c r="DH41" i="8"/>
  <c r="V41" i="8" s="1"/>
  <c r="DG41" i="8"/>
  <c r="U41" i="8" s="1"/>
  <c r="DF41" i="8"/>
  <c r="T41" i="8" s="1"/>
  <c r="DE41" i="8"/>
  <c r="S41" i="8" s="1"/>
  <c r="DD41" i="8"/>
  <c r="R41" i="8" s="1"/>
  <c r="DC41" i="8"/>
  <c r="Q41" i="8" s="1"/>
  <c r="DB41" i="8"/>
  <c r="P41" i="8" s="1"/>
  <c r="DA41" i="8"/>
  <c r="O41" i="8" s="1"/>
  <c r="CZ41" i="8"/>
  <c r="N41" i="8" s="1"/>
  <c r="AG3" i="7" l="1"/>
  <c r="AL64" i="1"/>
  <c r="AN19" i="5"/>
  <c r="AE12" i="9"/>
  <c r="AL7" i="3"/>
  <c r="AL3" i="7"/>
  <c r="AE34" i="9"/>
  <c r="AP104" i="1"/>
  <c r="AE11" i="9"/>
  <c r="AL6" i="3"/>
  <c r="AG3" i="3"/>
  <c r="AG4" i="3"/>
  <c r="AL5" i="3"/>
  <c r="AE10" i="9"/>
  <c r="AL51" i="5"/>
  <c r="AL4" i="4"/>
  <c r="AE25" i="9"/>
  <c r="AL7" i="6"/>
  <c r="AE22" i="9"/>
  <c r="AL103" i="1"/>
  <c r="AG102" i="1"/>
  <c r="AL86" i="1"/>
  <c r="AL8" i="2"/>
  <c r="AE32" i="9"/>
  <c r="AG3" i="6"/>
  <c r="AL4" i="6"/>
  <c r="AE19" i="9"/>
  <c r="AL105" i="1"/>
  <c r="AL6" i="2"/>
  <c r="AE30" i="9"/>
  <c r="AV27" i="2"/>
  <c r="AL9" i="7"/>
  <c r="AL26" i="6"/>
  <c r="AP26" i="6"/>
  <c r="AO26" i="6"/>
  <c r="AN26" i="6"/>
  <c r="AE56" i="9"/>
  <c r="AT26" i="6"/>
  <c r="AL8" i="4"/>
  <c r="AW26" i="4"/>
  <c r="AL31" i="7"/>
  <c r="AP31" i="7"/>
  <c r="AO31" i="7"/>
  <c r="AN31" i="7"/>
  <c r="AT31" i="7"/>
  <c r="AL6" i="6"/>
  <c r="AE21" i="9"/>
  <c r="AL62" i="5"/>
  <c r="AP62" i="5"/>
  <c r="AO62" i="5"/>
  <c r="AN62" i="5"/>
  <c r="AT62" i="5"/>
  <c r="AP64" i="1"/>
  <c r="AO64" i="1"/>
  <c r="AN64" i="1"/>
  <c r="AL8" i="7"/>
  <c r="AL47" i="1"/>
  <c r="AN104" i="1"/>
  <c r="AL104" i="1"/>
  <c r="AL85" i="1"/>
  <c r="AG84" i="1"/>
  <c r="AL19" i="5"/>
  <c r="AP19" i="5"/>
  <c r="AL44" i="1"/>
  <c r="AF48" i="1"/>
  <c r="AF42" i="1" s="1"/>
  <c r="AG3" i="2"/>
  <c r="AL4" i="2"/>
  <c r="AE28" i="9"/>
  <c r="AL45" i="1"/>
  <c r="AL8" i="5"/>
  <c r="AL7" i="7"/>
  <c r="AJ70" i="9"/>
  <c r="AP70" i="9"/>
  <c r="AL6" i="7"/>
  <c r="AL9" i="5"/>
  <c r="AL8" i="3"/>
  <c r="AE13" i="9"/>
  <c r="AG6" i="5"/>
  <c r="AG5" i="4"/>
  <c r="AG3" i="4" s="1"/>
  <c r="AL6" i="4"/>
  <c r="AL5" i="2"/>
  <c r="AE29" i="9"/>
  <c r="AG48" i="1"/>
  <c r="AL46" i="1"/>
  <c r="AG30" i="5"/>
  <c r="AL31" i="5"/>
  <c r="AL5" i="6"/>
  <c r="AE20" i="9"/>
  <c r="AL7" i="2"/>
  <c r="AE31" i="9"/>
  <c r="AL10" i="7"/>
  <c r="AW37" i="7"/>
  <c r="AL32" i="5"/>
  <c r="AO104" i="1"/>
  <c r="AL11" i="7"/>
  <c r="AL5" i="7"/>
  <c r="AL7" i="4"/>
  <c r="AG48" i="5"/>
  <c r="AL49" i="5"/>
  <c r="AF102" i="1"/>
  <c r="AF7" i="3"/>
  <c r="AS35" i="7"/>
  <c r="AF30" i="5"/>
  <c r="AF48" i="5"/>
  <c r="AS26" i="4"/>
  <c r="AW95" i="1"/>
  <c r="AS95" i="1"/>
  <c r="AV95" i="1"/>
  <c r="AD21" i="9"/>
  <c r="AF84" i="1"/>
  <c r="AF3" i="2"/>
  <c r="AD28" i="9"/>
  <c r="AW26" i="6"/>
  <c r="AD56" i="9"/>
  <c r="AV26" i="6"/>
  <c r="AS26" i="6"/>
  <c r="AD29" i="9"/>
  <c r="AD13" i="9"/>
  <c r="AD20" i="9"/>
  <c r="AV62" i="5"/>
  <c r="AS62" i="5"/>
  <c r="AW62" i="5"/>
  <c r="AF3" i="6"/>
  <c r="AD19" i="9"/>
  <c r="AF5" i="4"/>
  <c r="AF3" i="4" s="1"/>
  <c r="AD11" i="9"/>
  <c r="AD31" i="9"/>
  <c r="AS25" i="4"/>
  <c r="AF3" i="7"/>
  <c r="AS37" i="7"/>
  <c r="AD25" i="9"/>
  <c r="AF6" i="5"/>
  <c r="AD32" i="9"/>
  <c r="AF4" i="3"/>
  <c r="AD10" i="9"/>
  <c r="AD22" i="9"/>
  <c r="AR104" i="1"/>
  <c r="AB19" i="9"/>
  <c r="AB21" i="9"/>
  <c r="AV104" i="1"/>
  <c r="AS104" i="1"/>
  <c r="AB20" i="9"/>
  <c r="AT104" i="1"/>
  <c r="AW104" i="1"/>
  <c r="AQ104" i="1"/>
  <c r="AU104" i="1"/>
  <c r="AE3" i="7"/>
  <c r="AC30" i="9"/>
  <c r="AC25" i="9"/>
  <c r="AC22" i="9"/>
  <c r="AE84" i="1"/>
  <c r="AE3" i="2"/>
  <c r="AC28" i="9"/>
  <c r="AE5" i="4"/>
  <c r="AE103" i="1"/>
  <c r="AC63" i="9"/>
  <c r="AC13" i="9"/>
  <c r="AE6" i="5"/>
  <c r="AC12" i="9"/>
  <c r="AC32" i="9"/>
  <c r="AE48" i="1"/>
  <c r="AE30" i="5"/>
  <c r="AC31" i="9"/>
  <c r="AC56" i="9"/>
  <c r="AE48" i="5"/>
  <c r="AC29" i="9"/>
  <c r="AE4" i="3"/>
  <c r="AE3" i="3"/>
  <c r="AC10" i="9"/>
  <c r="AC20" i="9"/>
  <c r="AC21" i="9"/>
  <c r="AC11" i="9"/>
  <c r="AE3" i="6"/>
  <c r="AC19" i="9"/>
  <c r="AB23" i="9"/>
  <c r="AB22" i="9"/>
  <c r="AB54" i="9"/>
  <c r="AD48" i="5"/>
  <c r="AD3" i="7"/>
  <c r="AB25" i="9"/>
  <c r="AD5" i="4"/>
  <c r="AB56" i="9"/>
  <c r="AB52" i="9"/>
  <c r="AD30" i="5"/>
  <c r="AD6" i="5"/>
  <c r="AD3" i="6"/>
  <c r="AD84" i="1"/>
  <c r="AB70" i="9"/>
  <c r="AL70" i="9" s="1"/>
  <c r="AD102" i="1"/>
  <c r="AD4" i="3"/>
  <c r="AD7" i="3"/>
  <c r="AD48" i="1"/>
  <c r="AB13" i="9"/>
  <c r="AB10" i="9"/>
  <c r="AB11" i="9"/>
  <c r="AD3" i="2"/>
  <c r="AB28" i="9"/>
  <c r="AB31" i="9"/>
  <c r="AB30" i="9"/>
  <c r="AB32" i="9"/>
  <c r="AB29" i="9"/>
  <c r="H50" i="5"/>
  <c r="S50" i="5"/>
  <c r="O50" i="5"/>
  <c r="Q50" i="5"/>
  <c r="T50" i="5"/>
  <c r="G50" i="5"/>
  <c r="F50" i="5"/>
  <c r="U50" i="5"/>
  <c r="AN50" i="5" s="1"/>
  <c r="V50" i="5"/>
  <c r="W50" i="5"/>
  <c r="X50" i="5"/>
  <c r="Y50" i="5"/>
  <c r="L50" i="5"/>
  <c r="Z50" i="5"/>
  <c r="K50" i="5"/>
  <c r="M50" i="5"/>
  <c r="AA50" i="5"/>
  <c r="J50" i="5"/>
  <c r="P50" i="5"/>
  <c r="R50" i="5"/>
  <c r="N50" i="5"/>
  <c r="AB50" i="5"/>
  <c r="I50" i="5"/>
  <c r="X51" i="5"/>
  <c r="P6" i="3"/>
  <c r="N11" i="9" s="1"/>
  <c r="X8" i="3"/>
  <c r="Q7" i="3"/>
  <c r="O12" i="9" s="1"/>
  <c r="F7" i="3"/>
  <c r="D12" i="9" s="1"/>
  <c r="F8" i="3"/>
  <c r="D13" i="9" s="1"/>
  <c r="J6" i="3"/>
  <c r="H11" i="9" s="1"/>
  <c r="H5" i="3"/>
  <c r="F10" i="9" s="1"/>
  <c r="J49" i="5"/>
  <c r="J31" i="5"/>
  <c r="J32" i="5"/>
  <c r="AB32" i="5"/>
  <c r="U49" i="5"/>
  <c r="AN49" i="5" s="1"/>
  <c r="Y51" i="5"/>
  <c r="V49" i="5"/>
  <c r="U5" i="3"/>
  <c r="AN5" i="3" s="1"/>
  <c r="Q6" i="3"/>
  <c r="O11" i="9" s="1"/>
  <c r="Y8" i="3"/>
  <c r="W13" i="9" s="1"/>
  <c r="I6" i="3"/>
  <c r="G11" i="9" s="1"/>
  <c r="G5" i="3"/>
  <c r="E10" i="9" s="1"/>
  <c r="I32" i="5"/>
  <c r="N32" i="5"/>
  <c r="U31" i="5"/>
  <c r="AN31" i="5" s="1"/>
  <c r="T5" i="3"/>
  <c r="V31" i="5"/>
  <c r="L51" i="5"/>
  <c r="Z51" i="5"/>
  <c r="G6" i="3"/>
  <c r="AA6" i="3"/>
  <c r="S7" i="3"/>
  <c r="Q12" i="9" s="1"/>
  <c r="T7" i="3"/>
  <c r="T6" i="3"/>
  <c r="N8" i="3"/>
  <c r="L13" i="9" s="1"/>
  <c r="AB8" i="3"/>
  <c r="Z13" i="9" s="1"/>
  <c r="U7" i="3"/>
  <c r="AN7" i="3" s="1"/>
  <c r="F6" i="3"/>
  <c r="D11" i="9" s="1"/>
  <c r="AC8" i="3"/>
  <c r="AA13" i="9" s="1"/>
  <c r="AA11" i="9"/>
  <c r="AC5" i="3"/>
  <c r="AA10" i="9" s="1"/>
  <c r="Y5" i="3"/>
  <c r="W10" i="9" s="1"/>
  <c r="U6" i="3"/>
  <c r="AN6" i="3" s="1"/>
  <c r="O8" i="3"/>
  <c r="M13" i="9" s="1"/>
  <c r="V7" i="3"/>
  <c r="T12" i="9" s="1"/>
  <c r="W5" i="3"/>
  <c r="U10" i="9" s="1"/>
  <c r="M8" i="3"/>
  <c r="K13" i="9" s="1"/>
  <c r="L5" i="3"/>
  <c r="J10" i="9" s="1"/>
  <c r="Z5" i="3"/>
  <c r="X10" i="9" s="1"/>
  <c r="V6" i="3"/>
  <c r="T11" i="9" s="1"/>
  <c r="P8" i="3"/>
  <c r="N13" i="9" s="1"/>
  <c r="W7" i="3"/>
  <c r="U12" i="9" s="1"/>
  <c r="R7" i="3"/>
  <c r="S6" i="3"/>
  <c r="Q11" i="9" s="1"/>
  <c r="AA8" i="3"/>
  <c r="M5" i="3"/>
  <c r="K10" i="9" s="1"/>
  <c r="AB5" i="3"/>
  <c r="Z10" i="9" s="1"/>
  <c r="W6" i="3"/>
  <c r="U11" i="9" s="1"/>
  <c r="Q8" i="3"/>
  <c r="O13" i="9" s="1"/>
  <c r="X7" i="3"/>
  <c r="L8" i="3"/>
  <c r="J13" i="9" s="1"/>
  <c r="N5" i="3"/>
  <c r="L10" i="9" s="1"/>
  <c r="X6" i="3"/>
  <c r="R8" i="3"/>
  <c r="Y7" i="3"/>
  <c r="W12" i="9" s="1"/>
  <c r="O5" i="3"/>
  <c r="M10" i="9" s="1"/>
  <c r="Y6" i="3"/>
  <c r="W11" i="9" s="1"/>
  <c r="S8" i="3"/>
  <c r="Q13" i="9" s="1"/>
  <c r="L7" i="3"/>
  <c r="J12" i="9" s="1"/>
  <c r="Z7" i="3"/>
  <c r="X12" i="9" s="1"/>
  <c r="K7" i="3"/>
  <c r="I12" i="9" s="1"/>
  <c r="K8" i="3"/>
  <c r="I13" i="9" s="1"/>
  <c r="P5" i="3"/>
  <c r="N10" i="9" s="1"/>
  <c r="L6" i="3"/>
  <c r="J11" i="9" s="1"/>
  <c r="Z6" i="3"/>
  <c r="X11" i="9" s="1"/>
  <c r="T8" i="3"/>
  <c r="M7" i="3"/>
  <c r="K12" i="9" s="1"/>
  <c r="AA7" i="3"/>
  <c r="J7" i="3"/>
  <c r="H12" i="9" s="1"/>
  <c r="J8" i="3"/>
  <c r="H13" i="9" s="1"/>
  <c r="V5" i="3"/>
  <c r="T10" i="9" s="1"/>
  <c r="Z8" i="3"/>
  <c r="X13" i="9" s="1"/>
  <c r="F5" i="3"/>
  <c r="D10" i="9" s="1"/>
  <c r="Q5" i="3"/>
  <c r="O10" i="9" s="1"/>
  <c r="M6" i="3"/>
  <c r="K11" i="9" s="1"/>
  <c r="AB6" i="3"/>
  <c r="Z11" i="9" s="1"/>
  <c r="U8" i="3"/>
  <c r="AN8" i="3" s="1"/>
  <c r="N7" i="3"/>
  <c r="L12" i="9" s="1"/>
  <c r="AB7" i="3"/>
  <c r="Z12" i="9" s="1"/>
  <c r="I7" i="3"/>
  <c r="G12" i="9" s="1"/>
  <c r="I8" i="3"/>
  <c r="G13" i="9" s="1"/>
  <c r="K5" i="3"/>
  <c r="I10" i="9" s="1"/>
  <c r="AC7" i="3"/>
  <c r="R6" i="3"/>
  <c r="R5" i="3"/>
  <c r="N6" i="3"/>
  <c r="L11" i="9" s="1"/>
  <c r="V8" i="3"/>
  <c r="T13" i="9" s="1"/>
  <c r="O7" i="3"/>
  <c r="M12" i="9" s="1"/>
  <c r="H7" i="3"/>
  <c r="F12" i="9" s="1"/>
  <c r="H8" i="3"/>
  <c r="F13" i="9" s="1"/>
  <c r="J5" i="3"/>
  <c r="H10" i="9" s="1"/>
  <c r="H6" i="3"/>
  <c r="F11" i="9" s="1"/>
  <c r="X5" i="3"/>
  <c r="S5" i="3"/>
  <c r="Q10" i="9" s="1"/>
  <c r="O6" i="3"/>
  <c r="M11" i="9" s="1"/>
  <c r="W8" i="3"/>
  <c r="U13" i="9" s="1"/>
  <c r="P7" i="3"/>
  <c r="N12" i="9" s="1"/>
  <c r="G7" i="3"/>
  <c r="E12" i="9" s="1"/>
  <c r="G8" i="3"/>
  <c r="E13" i="9" s="1"/>
  <c r="K6" i="3"/>
  <c r="I11" i="9" s="1"/>
  <c r="I5" i="3"/>
  <c r="G10" i="9" s="1"/>
  <c r="I49" i="5"/>
  <c r="I31" i="5"/>
  <c r="X49" i="5"/>
  <c r="G49" i="5"/>
  <c r="G31" i="5"/>
  <c r="G32" i="5"/>
  <c r="H49" i="5"/>
  <c r="H32" i="5"/>
  <c r="Q32" i="5"/>
  <c r="M51" i="5"/>
  <c r="AA51" i="5"/>
  <c r="X31" i="5"/>
  <c r="R32" i="5"/>
  <c r="N51" i="5"/>
  <c r="AB51" i="5"/>
  <c r="Y31" i="5"/>
  <c r="Y49" i="5"/>
  <c r="F49" i="5"/>
  <c r="F31" i="5"/>
  <c r="F32" i="5"/>
  <c r="AC51" i="5"/>
  <c r="AC32" i="5"/>
  <c r="I51" i="5"/>
  <c r="L31" i="5"/>
  <c r="AB31" i="5"/>
  <c r="N49" i="5"/>
  <c r="AB49" i="5"/>
  <c r="V32" i="5"/>
  <c r="R51" i="5"/>
  <c r="O31" i="5"/>
  <c r="O49" i="5"/>
  <c r="H51" i="5"/>
  <c r="W31" i="5"/>
  <c r="H31" i="5"/>
  <c r="AA49" i="5"/>
  <c r="Q51" i="5"/>
  <c r="S51" i="5"/>
  <c r="P49" i="5"/>
  <c r="G51" i="5"/>
  <c r="S32" i="5"/>
  <c r="L49" i="5"/>
  <c r="M49" i="5"/>
  <c r="W32" i="5"/>
  <c r="P31" i="5"/>
  <c r="X32" i="5"/>
  <c r="T51" i="5"/>
  <c r="Q31" i="5"/>
  <c r="Q49" i="5"/>
  <c r="F51" i="5"/>
  <c r="O51" i="5"/>
  <c r="Z49" i="5"/>
  <c r="K51" i="5"/>
  <c r="AA31" i="5"/>
  <c r="J51" i="5"/>
  <c r="N31" i="5"/>
  <c r="Y32" i="5"/>
  <c r="U51" i="5"/>
  <c r="AN51" i="5" s="1"/>
  <c r="R31" i="5"/>
  <c r="R49" i="5"/>
  <c r="AC49" i="5"/>
  <c r="AC31" i="5"/>
  <c r="W49" i="5"/>
  <c r="T32" i="5"/>
  <c r="P51" i="5"/>
  <c r="U32" i="5"/>
  <c r="AN32" i="5" s="1"/>
  <c r="L32" i="5"/>
  <c r="Z32" i="5"/>
  <c r="V51" i="5"/>
  <c r="S31" i="5"/>
  <c r="S49" i="5"/>
  <c r="O32" i="5"/>
  <c r="P32" i="5"/>
  <c r="Z31" i="5"/>
  <c r="M31" i="5"/>
  <c r="M32" i="5"/>
  <c r="AA32" i="5"/>
  <c r="W51" i="5"/>
  <c r="T31" i="5"/>
  <c r="T49" i="5"/>
  <c r="K49" i="5"/>
  <c r="K31" i="5"/>
  <c r="K32" i="5"/>
  <c r="DS2" i="8"/>
  <c r="DB2" i="8"/>
  <c r="DJ2" i="8"/>
  <c r="AK2" i="8"/>
  <c r="AJ2" i="8"/>
  <c r="BG2" i="8"/>
  <c r="AI2" i="8"/>
  <c r="DC2" i="8"/>
  <c r="DM2" i="8"/>
  <c r="DK2" i="8"/>
  <c r="DL2" i="8"/>
  <c r="DG2" i="8"/>
  <c r="DF2" i="8"/>
  <c r="CZ2" i="8"/>
  <c r="DH2" i="8"/>
  <c r="DP2" i="8"/>
  <c r="AE2" i="8"/>
  <c r="DD2" i="8"/>
  <c r="DE2" i="8"/>
  <c r="DN2" i="8"/>
  <c r="DA2" i="8"/>
  <c r="DI2" i="8"/>
  <c r="F10" i="1"/>
  <c r="I10" i="1"/>
  <c r="CU58" i="8"/>
  <c r="I58" i="8" s="1"/>
  <c r="CY56" i="8"/>
  <c r="M56" i="8" s="1"/>
  <c r="CT58" i="8"/>
  <c r="H58" i="8" s="1"/>
  <c r="CX56" i="8"/>
  <c r="L56" i="8" s="1"/>
  <c r="CY57" i="8"/>
  <c r="M57" i="8" s="1"/>
  <c r="CW56" i="8"/>
  <c r="K56" i="8" s="1"/>
  <c r="CX57" i="8"/>
  <c r="L57" i="8" s="1"/>
  <c r="CV56" i="8"/>
  <c r="J56" i="8" s="1"/>
  <c r="CY58" i="8"/>
  <c r="M58" i="8" s="1"/>
  <c r="CW57" i="8"/>
  <c r="K57" i="8" s="1"/>
  <c r="CU56" i="8"/>
  <c r="I56" i="8" s="1"/>
  <c r="CX58" i="8"/>
  <c r="L58" i="8" s="1"/>
  <c r="CV57" i="8"/>
  <c r="J57" i="8" s="1"/>
  <c r="CT56" i="8"/>
  <c r="H56" i="8" s="1"/>
  <c r="CW58" i="8"/>
  <c r="K58" i="8" s="1"/>
  <c r="CU57" i="8"/>
  <c r="I57" i="8" s="1"/>
  <c r="AC8" i="7"/>
  <c r="CV58" i="8"/>
  <c r="J58" i="8" s="1"/>
  <c r="CT57" i="8"/>
  <c r="H57" i="8" s="1"/>
  <c r="AC4" i="6"/>
  <c r="AA19" i="9" s="1"/>
  <c r="AC8" i="6"/>
  <c r="AA23" i="9" s="1"/>
  <c r="AC4" i="4"/>
  <c r="AA25" i="9" s="1"/>
  <c r="AC9" i="7"/>
  <c r="AC9" i="5"/>
  <c r="AC6" i="4"/>
  <c r="AC4" i="2"/>
  <c r="AA28" i="9" s="1"/>
  <c r="AC4" i="7"/>
  <c r="AC6" i="7"/>
  <c r="AC7" i="2"/>
  <c r="AA31" i="9" s="1"/>
  <c r="AC11" i="7"/>
  <c r="AC7" i="7"/>
  <c r="AC8" i="5"/>
  <c r="AC7" i="6"/>
  <c r="AA22" i="9" s="1"/>
  <c r="AC5" i="2"/>
  <c r="AA29" i="9" s="1"/>
  <c r="AC8" i="4"/>
  <c r="AC10" i="7"/>
  <c r="AC7" i="5"/>
  <c r="AC5" i="6"/>
  <c r="AA20" i="9" s="1"/>
  <c r="AC6" i="6"/>
  <c r="AA21" i="9" s="1"/>
  <c r="AC8" i="2"/>
  <c r="AA32" i="9" s="1"/>
  <c r="AC7" i="4"/>
  <c r="AC5" i="7"/>
  <c r="AC6" i="2"/>
  <c r="AA30" i="9" s="1"/>
  <c r="AC46" i="1"/>
  <c r="AC7" i="1"/>
  <c r="AC105" i="1"/>
  <c r="DO363" i="8"/>
  <c r="AC363" i="8" s="1"/>
  <c r="CY41" i="8"/>
  <c r="M41" i="8" s="1"/>
  <c r="CX41" i="8"/>
  <c r="L41" i="8" s="1"/>
  <c r="CT41" i="8"/>
  <c r="H41" i="8" s="1"/>
  <c r="O2" i="8"/>
  <c r="CU41" i="8"/>
  <c r="I41" i="8" s="1"/>
  <c r="CW41" i="8"/>
  <c r="K41" i="8" s="1"/>
  <c r="CV41" i="8"/>
  <c r="J41" i="8" s="1"/>
  <c r="AC86" i="1"/>
  <c r="AC47" i="1"/>
  <c r="AC43" i="1"/>
  <c r="AC85" i="1"/>
  <c r="AC45" i="1"/>
  <c r="AC44" i="1"/>
  <c r="AC103" i="1"/>
  <c r="F11" i="7"/>
  <c r="S5" i="7"/>
  <c r="AA5" i="7"/>
  <c r="L8" i="7"/>
  <c r="T8" i="7"/>
  <c r="AB8" i="7"/>
  <c r="P4" i="7"/>
  <c r="X4" i="7"/>
  <c r="H4" i="7"/>
  <c r="N8" i="7"/>
  <c r="V8" i="7"/>
  <c r="L4" i="7"/>
  <c r="T4" i="7"/>
  <c r="AB4" i="7"/>
  <c r="P10" i="7"/>
  <c r="X10" i="7"/>
  <c r="R11" i="7"/>
  <c r="Z11" i="7"/>
  <c r="R5" i="7"/>
  <c r="Z5" i="7"/>
  <c r="M7" i="7"/>
  <c r="U7" i="7"/>
  <c r="AN7" i="7" s="1"/>
  <c r="O6" i="7"/>
  <c r="W6" i="7"/>
  <c r="S8" i="7"/>
  <c r="AA8" i="7"/>
  <c r="Q9" i="7"/>
  <c r="Y9" i="7"/>
  <c r="O4" i="7"/>
  <c r="W4" i="7"/>
  <c r="S10" i="7"/>
  <c r="AA10" i="7"/>
  <c r="M11" i="7"/>
  <c r="U11" i="7"/>
  <c r="AN11" i="7" s="1"/>
  <c r="N7" i="7"/>
  <c r="P6" i="7"/>
  <c r="X6" i="7"/>
  <c r="L10" i="7"/>
  <c r="T10" i="7"/>
  <c r="AB10" i="7"/>
  <c r="N11" i="7"/>
  <c r="V11" i="7"/>
  <c r="K11" i="7"/>
  <c r="G10" i="7"/>
  <c r="G4" i="7"/>
  <c r="K9" i="7"/>
  <c r="G8" i="7"/>
  <c r="K7" i="7"/>
  <c r="Q5" i="7"/>
  <c r="Y5" i="7"/>
  <c r="L7" i="7"/>
  <c r="T7" i="7"/>
  <c r="AB7" i="7"/>
  <c r="N6" i="7"/>
  <c r="V6" i="7"/>
  <c r="R8" i="7"/>
  <c r="Z8" i="7"/>
  <c r="P9" i="7"/>
  <c r="X9" i="7"/>
  <c r="N4" i="7"/>
  <c r="V4" i="7"/>
  <c r="R10" i="7"/>
  <c r="Z10" i="7"/>
  <c r="L11" i="7"/>
  <c r="T11" i="7"/>
  <c r="AB11" i="7"/>
  <c r="H10" i="7"/>
  <c r="H8" i="7"/>
  <c r="H6" i="7"/>
  <c r="J5" i="7"/>
  <c r="V7" i="7"/>
  <c r="R9" i="7"/>
  <c r="Z9" i="7"/>
  <c r="J11" i="7"/>
  <c r="F10" i="7"/>
  <c r="F4" i="7"/>
  <c r="J9" i="7"/>
  <c r="F8" i="7"/>
  <c r="F6" i="7"/>
  <c r="J7" i="7"/>
  <c r="H5" i="7"/>
  <c r="L5" i="7"/>
  <c r="T5" i="7"/>
  <c r="AB5" i="7"/>
  <c r="O7" i="7"/>
  <c r="W7" i="7"/>
  <c r="Q6" i="7"/>
  <c r="Y6" i="7"/>
  <c r="M8" i="7"/>
  <c r="U8" i="7"/>
  <c r="AN8" i="7" s="1"/>
  <c r="S9" i="7"/>
  <c r="AA9" i="7"/>
  <c r="Q4" i="7"/>
  <c r="Y4" i="7"/>
  <c r="M10" i="7"/>
  <c r="U10" i="7"/>
  <c r="AN10" i="7" s="1"/>
  <c r="O11" i="7"/>
  <c r="W11" i="7"/>
  <c r="I11" i="7"/>
  <c r="I9" i="7"/>
  <c r="I7" i="7"/>
  <c r="G5" i="7"/>
  <c r="I5" i="7"/>
  <c r="M5" i="7"/>
  <c r="U5" i="7"/>
  <c r="AN5" i="7" s="1"/>
  <c r="P7" i="7"/>
  <c r="X7" i="7"/>
  <c r="R6" i="7"/>
  <c r="Z6" i="7"/>
  <c r="L9" i="7"/>
  <c r="T9" i="7"/>
  <c r="AB9" i="7"/>
  <c r="R4" i="7"/>
  <c r="Z4" i="7"/>
  <c r="N10" i="7"/>
  <c r="V10" i="7"/>
  <c r="P11" i="7"/>
  <c r="X11" i="7"/>
  <c r="H11" i="7"/>
  <c r="H9" i="7"/>
  <c r="H7" i="7"/>
  <c r="F5" i="7"/>
  <c r="G6" i="7"/>
  <c r="N5" i="7"/>
  <c r="V5" i="7"/>
  <c r="Q7" i="7"/>
  <c r="Y7" i="7"/>
  <c r="S6" i="7"/>
  <c r="AA6" i="7"/>
  <c r="O8" i="7"/>
  <c r="W8" i="7"/>
  <c r="M9" i="7"/>
  <c r="U9" i="7"/>
  <c r="AN9" i="7" s="1"/>
  <c r="S4" i="7"/>
  <c r="AA4" i="7"/>
  <c r="O10" i="7"/>
  <c r="W10" i="7"/>
  <c r="Q11" i="7"/>
  <c r="Y11" i="7"/>
  <c r="G11" i="7"/>
  <c r="K10" i="7"/>
  <c r="K4" i="7"/>
  <c r="G9" i="7"/>
  <c r="K8" i="7"/>
  <c r="K6" i="7"/>
  <c r="G7" i="7"/>
  <c r="O5" i="7"/>
  <c r="W5" i="7"/>
  <c r="Z7" i="7"/>
  <c r="L6" i="7"/>
  <c r="AB6" i="7"/>
  <c r="P8" i="7"/>
  <c r="X8" i="7"/>
  <c r="N9" i="7"/>
  <c r="V9" i="7"/>
  <c r="F4" i="4"/>
  <c r="D25" i="9" s="1"/>
  <c r="J10" i="7"/>
  <c r="J4" i="7"/>
  <c r="F9" i="7"/>
  <c r="J8" i="7"/>
  <c r="J6" i="7"/>
  <c r="F7" i="7"/>
  <c r="F4" i="6"/>
  <c r="D19" i="9" s="1"/>
  <c r="R7" i="7"/>
  <c r="T6" i="7"/>
  <c r="P5" i="7"/>
  <c r="X5" i="7"/>
  <c r="S7" i="7"/>
  <c r="AA7" i="7"/>
  <c r="M6" i="7"/>
  <c r="U6" i="7"/>
  <c r="AN6" i="7" s="1"/>
  <c r="Q8" i="7"/>
  <c r="Y8" i="7"/>
  <c r="O9" i="7"/>
  <c r="W9" i="7"/>
  <c r="M4" i="7"/>
  <c r="U4" i="7"/>
  <c r="AN4" i="7" s="1"/>
  <c r="Q10" i="7"/>
  <c r="Y10" i="7"/>
  <c r="S11" i="7"/>
  <c r="AA11" i="7"/>
  <c r="I10" i="7"/>
  <c r="I4" i="7"/>
  <c r="I8" i="7"/>
  <c r="I6" i="7"/>
  <c r="K5" i="7"/>
  <c r="G8" i="6"/>
  <c r="E23" i="9" s="1"/>
  <c r="F8" i="6"/>
  <c r="D23" i="9" s="1"/>
  <c r="P8" i="6"/>
  <c r="N23" i="9" s="1"/>
  <c r="X8" i="6"/>
  <c r="J8" i="6"/>
  <c r="H23" i="9" s="1"/>
  <c r="L4" i="6"/>
  <c r="J19" i="9" s="1"/>
  <c r="T4" i="6"/>
  <c r="AB4" i="6"/>
  <c r="Z19" i="9" s="1"/>
  <c r="S8" i="6"/>
  <c r="Q23" i="9" s="1"/>
  <c r="AA8" i="6"/>
  <c r="M8" i="6"/>
  <c r="K23" i="9" s="1"/>
  <c r="I7" i="6"/>
  <c r="G22" i="9" s="1"/>
  <c r="G4" i="6"/>
  <c r="E19" i="9" s="1"/>
  <c r="I8" i="6"/>
  <c r="G23" i="9" s="1"/>
  <c r="O8" i="6"/>
  <c r="M23" i="9" s="1"/>
  <c r="W8" i="6"/>
  <c r="U23" i="9" s="1"/>
  <c r="M6" i="6"/>
  <c r="K21" i="9" s="1"/>
  <c r="U6" i="6"/>
  <c r="AN6" i="6" s="1"/>
  <c r="S4" i="6"/>
  <c r="Q19" i="9" s="1"/>
  <c r="AA4" i="6"/>
  <c r="M5" i="6"/>
  <c r="K20" i="9" s="1"/>
  <c r="U5" i="6"/>
  <c r="AN5" i="6" s="1"/>
  <c r="N7" i="6"/>
  <c r="L22" i="9" s="1"/>
  <c r="V7" i="6"/>
  <c r="T22" i="9" s="1"/>
  <c r="O7" i="6"/>
  <c r="M22" i="9" s="1"/>
  <c r="W7" i="6"/>
  <c r="U22" i="9" s="1"/>
  <c r="Q8" i="6"/>
  <c r="O23" i="9" s="1"/>
  <c r="Y8" i="6"/>
  <c r="W23" i="9" s="1"/>
  <c r="K8" i="6"/>
  <c r="I23" i="9" s="1"/>
  <c r="H7" i="6"/>
  <c r="F22" i="9" s="1"/>
  <c r="J5" i="6"/>
  <c r="H20" i="9" s="1"/>
  <c r="J6" i="6"/>
  <c r="H21" i="9" s="1"/>
  <c r="K5" i="6"/>
  <c r="I20" i="9" s="1"/>
  <c r="O6" i="6"/>
  <c r="M21" i="9" s="1"/>
  <c r="W6" i="6"/>
  <c r="U21" i="9" s="1"/>
  <c r="G7" i="6"/>
  <c r="E22" i="9" s="1"/>
  <c r="I5" i="6"/>
  <c r="G20" i="9" s="1"/>
  <c r="I6" i="6"/>
  <c r="G21" i="9" s="1"/>
  <c r="K6" i="6"/>
  <c r="I21" i="9" s="1"/>
  <c r="M4" i="6"/>
  <c r="K19" i="9" s="1"/>
  <c r="U4" i="6"/>
  <c r="AN4" i="6" s="1"/>
  <c r="O5" i="6"/>
  <c r="M20" i="9" s="1"/>
  <c r="W5" i="6"/>
  <c r="U20" i="9" s="1"/>
  <c r="P7" i="6"/>
  <c r="N22" i="9" s="1"/>
  <c r="X7" i="6"/>
  <c r="R8" i="6"/>
  <c r="Z8" i="6"/>
  <c r="X23" i="9" s="1"/>
  <c r="P6" i="6"/>
  <c r="N21" i="9" s="1"/>
  <c r="X6" i="6"/>
  <c r="N4" i="6"/>
  <c r="L19" i="9" s="1"/>
  <c r="V4" i="6"/>
  <c r="T19" i="9" s="1"/>
  <c r="P5" i="6"/>
  <c r="N20" i="9" s="1"/>
  <c r="X5" i="6"/>
  <c r="Q7" i="6"/>
  <c r="O22" i="9" s="1"/>
  <c r="Y7" i="6"/>
  <c r="W22" i="9" s="1"/>
  <c r="F7" i="6"/>
  <c r="D22" i="9" s="1"/>
  <c r="H5" i="6"/>
  <c r="F20" i="9" s="1"/>
  <c r="V5" i="6"/>
  <c r="T20" i="9" s="1"/>
  <c r="O4" i="6"/>
  <c r="M19" i="9" s="1"/>
  <c r="Y5" i="6"/>
  <c r="W20" i="9" s="1"/>
  <c r="G5" i="6"/>
  <c r="E20" i="9" s="1"/>
  <c r="K4" i="6"/>
  <c r="I19" i="9" s="1"/>
  <c r="G6" i="6"/>
  <c r="E21" i="9" s="1"/>
  <c r="V6" i="6"/>
  <c r="T21" i="9" s="1"/>
  <c r="L8" i="6"/>
  <c r="J23" i="9" s="1"/>
  <c r="T8" i="6"/>
  <c r="AB8" i="6"/>
  <c r="Z23" i="9" s="1"/>
  <c r="R6" i="6"/>
  <c r="Z6" i="6"/>
  <c r="X21" i="9" s="1"/>
  <c r="P4" i="6"/>
  <c r="N19" i="9" s="1"/>
  <c r="X4" i="6"/>
  <c r="R5" i="6"/>
  <c r="Z5" i="6"/>
  <c r="X20" i="9" s="1"/>
  <c r="S7" i="6"/>
  <c r="Q22" i="9" s="1"/>
  <c r="AA7" i="6"/>
  <c r="F7" i="5"/>
  <c r="H6" i="6"/>
  <c r="F21" i="9" s="1"/>
  <c r="J4" i="6"/>
  <c r="H19" i="9" s="1"/>
  <c r="F6" i="6"/>
  <c r="D21" i="9" s="1"/>
  <c r="N6" i="6"/>
  <c r="L21" i="9" s="1"/>
  <c r="Y6" i="6"/>
  <c r="W21" i="9" s="1"/>
  <c r="Q5" i="6"/>
  <c r="O20" i="9" s="1"/>
  <c r="R7" i="6"/>
  <c r="U8" i="6"/>
  <c r="AN8" i="6" s="1"/>
  <c r="S6" i="6"/>
  <c r="Q21" i="9" s="1"/>
  <c r="AA6" i="6"/>
  <c r="Q4" i="6"/>
  <c r="O19" i="9" s="1"/>
  <c r="Y4" i="6"/>
  <c r="W19" i="9" s="1"/>
  <c r="S5" i="6"/>
  <c r="Q20" i="9" s="1"/>
  <c r="AA5" i="6"/>
  <c r="L7" i="6"/>
  <c r="J22" i="9" s="1"/>
  <c r="T7" i="6"/>
  <c r="AB7" i="6"/>
  <c r="Z22" i="9" s="1"/>
  <c r="K7" i="6"/>
  <c r="I22" i="9" s="1"/>
  <c r="I4" i="6"/>
  <c r="G19" i="9" s="1"/>
  <c r="N5" i="6"/>
  <c r="L20" i="9" s="1"/>
  <c r="Q6" i="6"/>
  <c r="O21" i="9" s="1"/>
  <c r="W4" i="6"/>
  <c r="U19" i="9" s="1"/>
  <c r="Z7" i="6"/>
  <c r="X22" i="9" s="1"/>
  <c r="N8" i="6"/>
  <c r="L23" i="9" s="1"/>
  <c r="V8" i="6"/>
  <c r="T23" i="9" s="1"/>
  <c r="L6" i="6"/>
  <c r="J21" i="9" s="1"/>
  <c r="T6" i="6"/>
  <c r="AB6" i="6"/>
  <c r="Z21" i="9" s="1"/>
  <c r="R4" i="6"/>
  <c r="Z4" i="6"/>
  <c r="X19" i="9" s="1"/>
  <c r="L5" i="6"/>
  <c r="J20" i="9" s="1"/>
  <c r="T5" i="6"/>
  <c r="AB5" i="6"/>
  <c r="Z20" i="9" s="1"/>
  <c r="M7" i="6"/>
  <c r="K22" i="9" s="1"/>
  <c r="U7" i="6"/>
  <c r="AN7" i="6" s="1"/>
  <c r="J7" i="6"/>
  <c r="H22" i="9" s="1"/>
  <c r="F5" i="6"/>
  <c r="D20" i="9" s="1"/>
  <c r="H4" i="6"/>
  <c r="F19" i="9" s="1"/>
  <c r="H8" i="6"/>
  <c r="F23" i="9" s="1"/>
  <c r="L7" i="5"/>
  <c r="AB7" i="5"/>
  <c r="R9" i="5"/>
  <c r="Z9" i="5"/>
  <c r="N8" i="5"/>
  <c r="V8" i="5"/>
  <c r="M7" i="5"/>
  <c r="K8" i="5"/>
  <c r="K9" i="5"/>
  <c r="G7" i="5"/>
  <c r="H7" i="5"/>
  <c r="F5" i="2"/>
  <c r="D29" i="9" s="1"/>
  <c r="T9" i="5"/>
  <c r="X8" i="5"/>
  <c r="J8" i="5"/>
  <c r="J9" i="5"/>
  <c r="W8" i="5"/>
  <c r="L9" i="5"/>
  <c r="P8" i="5"/>
  <c r="O7" i="5"/>
  <c r="W7" i="5"/>
  <c r="M9" i="5"/>
  <c r="U9" i="5"/>
  <c r="AN9" i="5" s="1"/>
  <c r="Q8" i="5"/>
  <c r="Y8" i="5"/>
  <c r="I8" i="5"/>
  <c r="I9" i="5"/>
  <c r="AA9" i="5"/>
  <c r="N7" i="5"/>
  <c r="AB9" i="5"/>
  <c r="P7" i="5"/>
  <c r="X7" i="5"/>
  <c r="N9" i="5"/>
  <c r="V9" i="5"/>
  <c r="R8" i="5"/>
  <c r="Z8" i="5"/>
  <c r="H8" i="5"/>
  <c r="H9" i="5"/>
  <c r="S9" i="5"/>
  <c r="Y7" i="5"/>
  <c r="W9" i="5"/>
  <c r="S8" i="5"/>
  <c r="G8" i="5"/>
  <c r="G9" i="5"/>
  <c r="K7" i="5"/>
  <c r="Q7" i="5"/>
  <c r="O9" i="5"/>
  <c r="AA8" i="5"/>
  <c r="R7" i="5"/>
  <c r="Z7" i="5"/>
  <c r="P9" i="5"/>
  <c r="X9" i="5"/>
  <c r="L8" i="5"/>
  <c r="T8" i="5"/>
  <c r="AB8" i="5"/>
  <c r="F7" i="4"/>
  <c r="F8" i="5"/>
  <c r="F9" i="5"/>
  <c r="J7" i="5"/>
  <c r="O8" i="5"/>
  <c r="S7" i="5"/>
  <c r="AA7" i="5"/>
  <c r="Q9" i="5"/>
  <c r="Y9" i="5"/>
  <c r="M8" i="5"/>
  <c r="U8" i="5"/>
  <c r="AN8" i="5" s="1"/>
  <c r="I7" i="5"/>
  <c r="F6" i="4"/>
  <c r="V7" i="5"/>
  <c r="U7" i="5"/>
  <c r="AN7" i="5" s="1"/>
  <c r="T7" i="5"/>
  <c r="R6" i="4"/>
  <c r="Z6" i="4"/>
  <c r="L7" i="4"/>
  <c r="T7" i="4"/>
  <c r="AB7" i="4"/>
  <c r="M8" i="4"/>
  <c r="U8" i="4"/>
  <c r="AN8" i="4" s="1"/>
  <c r="G7" i="4"/>
  <c r="AA4" i="4"/>
  <c r="J6" i="4"/>
  <c r="H4" i="4"/>
  <c r="F25" i="9" s="1"/>
  <c r="S4" i="4"/>
  <c r="Q25" i="9" s="1"/>
  <c r="O7" i="4"/>
  <c r="W7" i="4"/>
  <c r="P8" i="4"/>
  <c r="P7" i="4"/>
  <c r="X7" i="4"/>
  <c r="Q8" i="4"/>
  <c r="Y8" i="4"/>
  <c r="L4" i="4"/>
  <c r="J25" i="9" s="1"/>
  <c r="T4" i="4"/>
  <c r="AB4" i="4"/>
  <c r="Z25" i="9" s="1"/>
  <c r="S6" i="4"/>
  <c r="AA6" i="4"/>
  <c r="M7" i="4"/>
  <c r="U7" i="4"/>
  <c r="AN7" i="4" s="1"/>
  <c r="N8" i="4"/>
  <c r="V8" i="4"/>
  <c r="K8" i="4"/>
  <c r="I6" i="4"/>
  <c r="G4" i="4"/>
  <c r="E25" i="9" s="1"/>
  <c r="M4" i="4"/>
  <c r="K25" i="9" s="1"/>
  <c r="U4" i="4"/>
  <c r="AN4" i="4" s="1"/>
  <c r="L6" i="4"/>
  <c r="T6" i="4"/>
  <c r="AB6" i="4"/>
  <c r="N7" i="4"/>
  <c r="V7" i="4"/>
  <c r="O8" i="4"/>
  <c r="W8" i="4"/>
  <c r="J8" i="4"/>
  <c r="H6" i="4"/>
  <c r="N4" i="4"/>
  <c r="L25" i="9" s="1"/>
  <c r="V4" i="4"/>
  <c r="T25" i="9" s="1"/>
  <c r="M6" i="4"/>
  <c r="U6" i="4"/>
  <c r="AN6" i="4" s="1"/>
  <c r="X8" i="4"/>
  <c r="I8" i="4"/>
  <c r="K7" i="4"/>
  <c r="G6" i="4"/>
  <c r="O4" i="4"/>
  <c r="M25" i="9" s="1"/>
  <c r="W4" i="4"/>
  <c r="U25" i="9" s="1"/>
  <c r="N6" i="4"/>
  <c r="V6" i="4"/>
  <c r="H8" i="4"/>
  <c r="J7" i="4"/>
  <c r="P4" i="4"/>
  <c r="N25" i="9" s="1"/>
  <c r="X4" i="4"/>
  <c r="O6" i="4"/>
  <c r="W6" i="4"/>
  <c r="Q7" i="4"/>
  <c r="Y7" i="4"/>
  <c r="R8" i="4"/>
  <c r="Z8" i="4"/>
  <c r="G8" i="4"/>
  <c r="I7" i="4"/>
  <c r="K4" i="4"/>
  <c r="I25" i="9" s="1"/>
  <c r="Q4" i="4"/>
  <c r="O25" i="9" s="1"/>
  <c r="Y4" i="4"/>
  <c r="W25" i="9" s="1"/>
  <c r="X6" i="4"/>
  <c r="R7" i="4"/>
  <c r="Z7" i="4"/>
  <c r="S8" i="4"/>
  <c r="AA8" i="4"/>
  <c r="F8" i="4"/>
  <c r="H7" i="4"/>
  <c r="J4" i="4"/>
  <c r="H25" i="9" s="1"/>
  <c r="P6" i="4"/>
  <c r="R4" i="4"/>
  <c r="Z4" i="4"/>
  <c r="X25" i="9" s="1"/>
  <c r="Q6" i="4"/>
  <c r="Y6" i="4"/>
  <c r="S7" i="4"/>
  <c r="AA7" i="4"/>
  <c r="L8" i="4"/>
  <c r="T8" i="4"/>
  <c r="AB8" i="4"/>
  <c r="K6" i="4"/>
  <c r="I4" i="4"/>
  <c r="G25" i="9" s="1"/>
  <c r="S5" i="2"/>
  <c r="Q29" i="9" s="1"/>
  <c r="R5" i="2"/>
  <c r="P29" i="9" s="1"/>
  <c r="Z5" i="2"/>
  <c r="X29" i="9" s="1"/>
  <c r="Q6" i="2"/>
  <c r="O30" i="9" s="1"/>
  <c r="L4" i="2"/>
  <c r="T4" i="2"/>
  <c r="AB4" i="2"/>
  <c r="Z28" i="9" s="1"/>
  <c r="N4" i="2"/>
  <c r="L28" i="9" s="1"/>
  <c r="V4" i="2"/>
  <c r="T28" i="9" s="1"/>
  <c r="L7" i="2"/>
  <c r="J31" i="9" s="1"/>
  <c r="T7" i="2"/>
  <c r="AB7" i="2"/>
  <c r="Z31" i="9" s="1"/>
  <c r="Q8" i="2"/>
  <c r="O32" i="9" s="1"/>
  <c r="Y8" i="2"/>
  <c r="W32" i="9" s="1"/>
  <c r="P6" i="2"/>
  <c r="N30" i="9" s="1"/>
  <c r="X6" i="2"/>
  <c r="K4" i="2"/>
  <c r="I28" i="9" s="1"/>
  <c r="F6" i="2"/>
  <c r="D30" i="9" s="1"/>
  <c r="R4" i="2"/>
  <c r="P28" i="9" s="1"/>
  <c r="Z4" i="2"/>
  <c r="X28" i="9" s="1"/>
  <c r="P7" i="2"/>
  <c r="N31" i="9" s="1"/>
  <c r="X7" i="2"/>
  <c r="P5" i="2"/>
  <c r="N29" i="9" s="1"/>
  <c r="X5" i="2"/>
  <c r="Q5" i="2"/>
  <c r="O29" i="9" s="1"/>
  <c r="O4" i="2"/>
  <c r="M28" i="9" s="1"/>
  <c r="Q4" i="2"/>
  <c r="O28" i="9" s="1"/>
  <c r="Y4" i="2"/>
  <c r="W28" i="9" s="1"/>
  <c r="O7" i="2"/>
  <c r="M31" i="9" s="1"/>
  <c r="W7" i="2"/>
  <c r="U31" i="9" s="1"/>
  <c r="M5" i="2"/>
  <c r="K29" i="9" s="1"/>
  <c r="U5" i="2"/>
  <c r="AN5" i="2" s="1"/>
  <c r="L8" i="2"/>
  <c r="J32" i="9" s="1"/>
  <c r="T8" i="2"/>
  <c r="AB8" i="2"/>
  <c r="Z32" i="9" s="1"/>
  <c r="S6" i="2"/>
  <c r="Q30" i="9" s="1"/>
  <c r="AA6" i="2"/>
  <c r="H6" i="2"/>
  <c r="F30" i="9" s="1"/>
  <c r="F8" i="2"/>
  <c r="D32" i="9" s="1"/>
  <c r="H7" i="2"/>
  <c r="F31" i="9" s="1"/>
  <c r="N5" i="2"/>
  <c r="L29" i="9" s="1"/>
  <c r="V5" i="2"/>
  <c r="T29" i="9" s="1"/>
  <c r="M8" i="2"/>
  <c r="K32" i="9" s="1"/>
  <c r="U8" i="2"/>
  <c r="AN8" i="2" s="1"/>
  <c r="L6" i="2"/>
  <c r="J30" i="9" s="1"/>
  <c r="T6" i="2"/>
  <c r="AB6" i="2"/>
  <c r="Z30" i="9" s="1"/>
  <c r="G6" i="2"/>
  <c r="E30" i="9" s="1"/>
  <c r="K5" i="2"/>
  <c r="I29" i="9" s="1"/>
  <c r="G7" i="2"/>
  <c r="E31" i="9" s="1"/>
  <c r="S4" i="2"/>
  <c r="Q28" i="9" s="1"/>
  <c r="AA4" i="2"/>
  <c r="Q7" i="2"/>
  <c r="O31" i="9" s="1"/>
  <c r="Y7" i="2"/>
  <c r="W31" i="9" s="1"/>
  <c r="O5" i="2"/>
  <c r="M29" i="9" s="1"/>
  <c r="W5" i="2"/>
  <c r="U29" i="9" s="1"/>
  <c r="N8" i="2"/>
  <c r="L32" i="9" s="1"/>
  <c r="V8" i="2"/>
  <c r="T32" i="9" s="1"/>
  <c r="M6" i="2"/>
  <c r="K30" i="9" s="1"/>
  <c r="U6" i="2"/>
  <c r="AN6" i="2" s="1"/>
  <c r="J5" i="2"/>
  <c r="H29" i="9" s="1"/>
  <c r="F7" i="2"/>
  <c r="D31" i="9" s="1"/>
  <c r="J4" i="2"/>
  <c r="H28" i="9" s="1"/>
  <c r="R7" i="2"/>
  <c r="P31" i="9" s="1"/>
  <c r="O8" i="2"/>
  <c r="M32" i="9" s="1"/>
  <c r="W8" i="2"/>
  <c r="U32" i="9" s="1"/>
  <c r="N6" i="2"/>
  <c r="L30" i="9" s="1"/>
  <c r="V6" i="2"/>
  <c r="T30" i="9" s="1"/>
  <c r="K6" i="2"/>
  <c r="I30" i="9" s="1"/>
  <c r="G4" i="2"/>
  <c r="E28" i="9" s="1"/>
  <c r="G8" i="2"/>
  <c r="E32" i="9" s="1"/>
  <c r="K8" i="2"/>
  <c r="I32" i="9" s="1"/>
  <c r="I5" i="2"/>
  <c r="G29" i="9" s="1"/>
  <c r="I4" i="2"/>
  <c r="G28" i="9" s="1"/>
  <c r="Z7" i="2"/>
  <c r="X31" i="9" s="1"/>
  <c r="M4" i="2"/>
  <c r="K28" i="9" s="1"/>
  <c r="U4" i="2"/>
  <c r="AN4" i="2" s="1"/>
  <c r="S7" i="2"/>
  <c r="Q31" i="9" s="1"/>
  <c r="AA7" i="2"/>
  <c r="Y5" i="2"/>
  <c r="W29" i="9" s="1"/>
  <c r="P8" i="2"/>
  <c r="N32" i="9" s="1"/>
  <c r="X8" i="2"/>
  <c r="O6" i="2"/>
  <c r="M30" i="9" s="1"/>
  <c r="W6" i="2"/>
  <c r="U30" i="9" s="1"/>
  <c r="J8" i="2"/>
  <c r="H32" i="9" s="1"/>
  <c r="H5" i="2"/>
  <c r="F29" i="9" s="1"/>
  <c r="H4" i="2"/>
  <c r="F28" i="9" s="1"/>
  <c r="I8" i="2"/>
  <c r="G32" i="9" s="1"/>
  <c r="G5" i="2"/>
  <c r="E29" i="9" s="1"/>
  <c r="K7" i="2"/>
  <c r="I31" i="9" s="1"/>
  <c r="W4" i="2"/>
  <c r="U28" i="9" s="1"/>
  <c r="M7" i="2"/>
  <c r="K31" i="9" s="1"/>
  <c r="U7" i="2"/>
  <c r="AN7" i="2" s="1"/>
  <c r="AA5" i="2"/>
  <c r="R8" i="2"/>
  <c r="P32" i="9" s="1"/>
  <c r="Z8" i="2"/>
  <c r="X32" i="9" s="1"/>
  <c r="Y6" i="2"/>
  <c r="W30" i="9" s="1"/>
  <c r="J6" i="2"/>
  <c r="H30" i="9" s="1"/>
  <c r="H8" i="2"/>
  <c r="F32" i="9" s="1"/>
  <c r="J7" i="2"/>
  <c r="H31" i="9" s="1"/>
  <c r="P4" i="2"/>
  <c r="N28" i="9" s="1"/>
  <c r="X4" i="2"/>
  <c r="N7" i="2"/>
  <c r="L31" i="9" s="1"/>
  <c r="V7" i="2"/>
  <c r="T31" i="9" s="1"/>
  <c r="L5" i="2"/>
  <c r="J29" i="9" s="1"/>
  <c r="T5" i="2"/>
  <c r="AB5" i="2"/>
  <c r="Z29" i="9" s="1"/>
  <c r="S8" i="2"/>
  <c r="Q32" i="9" s="1"/>
  <c r="AA8" i="2"/>
  <c r="R6" i="2"/>
  <c r="P30" i="9" s="1"/>
  <c r="Z6" i="2"/>
  <c r="X30" i="9" s="1"/>
  <c r="I6" i="2"/>
  <c r="G30" i="9" s="1"/>
  <c r="I7" i="2"/>
  <c r="G31" i="9" s="1"/>
  <c r="F4" i="2"/>
  <c r="D28" i="9" s="1"/>
  <c r="J8" i="1"/>
  <c r="K86" i="1"/>
  <c r="I8" i="1"/>
  <c r="F45" i="1"/>
  <c r="F46" i="1"/>
  <c r="J44" i="1"/>
  <c r="F47" i="1"/>
  <c r="G45" i="1"/>
  <c r="G46" i="1"/>
  <c r="K44" i="1"/>
  <c r="G47" i="1"/>
  <c r="K8" i="1"/>
  <c r="G10" i="1"/>
  <c r="I44" i="1"/>
  <c r="K43" i="1"/>
  <c r="K85" i="1"/>
  <c r="K105" i="1"/>
  <c r="G105" i="1"/>
  <c r="H44" i="1"/>
  <c r="J43" i="1"/>
  <c r="J85" i="1"/>
  <c r="J86" i="1"/>
  <c r="H8" i="1"/>
  <c r="J105" i="1"/>
  <c r="K45" i="1"/>
  <c r="K46" i="1"/>
  <c r="G44" i="1"/>
  <c r="K47" i="1"/>
  <c r="I43" i="1"/>
  <c r="I85" i="1"/>
  <c r="I86" i="1"/>
  <c r="G8" i="1"/>
  <c r="K10" i="1"/>
  <c r="I105" i="1"/>
  <c r="J45" i="1"/>
  <c r="J46" i="1"/>
  <c r="F44" i="1"/>
  <c r="J47" i="1"/>
  <c r="H43" i="1"/>
  <c r="H85" i="1"/>
  <c r="H86" i="1"/>
  <c r="F8" i="1"/>
  <c r="J10" i="1"/>
  <c r="H105" i="1"/>
  <c r="I45" i="1"/>
  <c r="I46" i="1"/>
  <c r="I47" i="1"/>
  <c r="G43" i="1"/>
  <c r="G85" i="1"/>
  <c r="G86" i="1"/>
  <c r="H45" i="1"/>
  <c r="H46" i="1"/>
  <c r="H47" i="1"/>
  <c r="F43" i="1"/>
  <c r="F85" i="1"/>
  <c r="F86" i="1"/>
  <c r="H10" i="1"/>
  <c r="F105" i="1"/>
  <c r="T8" i="1"/>
  <c r="V47" i="1"/>
  <c r="V45" i="1"/>
  <c r="Q86" i="1"/>
  <c r="V105" i="1"/>
  <c r="R86" i="1"/>
  <c r="X8" i="1"/>
  <c r="S86" i="1"/>
  <c r="T86" i="1"/>
  <c r="W46" i="1"/>
  <c r="W43" i="1"/>
  <c r="R43" i="1"/>
  <c r="V46" i="1"/>
  <c r="Z8" i="1"/>
  <c r="X46" i="1"/>
  <c r="Y8" i="1"/>
  <c r="L8" i="1"/>
  <c r="N43" i="1"/>
  <c r="AB43" i="1"/>
  <c r="S85" i="1"/>
  <c r="N85" i="1"/>
  <c r="S46" i="1"/>
  <c r="U105" i="1"/>
  <c r="AN105" i="1" s="1"/>
  <c r="V44" i="1"/>
  <c r="T85" i="1"/>
  <c r="U46" i="1"/>
  <c r="AN46" i="1" s="1"/>
  <c r="U8" i="1"/>
  <c r="AN8" i="1" s="1"/>
  <c r="V8" i="1"/>
  <c r="X7" i="1"/>
  <c r="V85" i="1"/>
  <c r="M85" i="1"/>
  <c r="AA85" i="1"/>
  <c r="L43" i="1"/>
  <c r="Z43" i="1"/>
  <c r="Q43" i="1"/>
  <c r="Y47" i="1"/>
  <c r="S47" i="1"/>
  <c r="P47" i="1"/>
  <c r="P44" i="1"/>
  <c r="M44" i="1"/>
  <c r="AA44" i="1"/>
  <c r="Y45" i="1"/>
  <c r="L7" i="1"/>
  <c r="X47" i="1"/>
  <c r="T10" i="1"/>
  <c r="W8" i="1"/>
  <c r="N7" i="1"/>
  <c r="AB7" i="1"/>
  <c r="Y7" i="1"/>
  <c r="U86" i="1"/>
  <c r="AN86" i="1" s="1"/>
  <c r="W85" i="1"/>
  <c r="M43" i="1"/>
  <c r="AA43" i="1"/>
  <c r="L47" i="1"/>
  <c r="Z47" i="1"/>
  <c r="Z44" i="1"/>
  <c r="L45" i="1"/>
  <c r="Z45" i="1"/>
  <c r="W45" i="1"/>
  <c r="W10" i="1"/>
  <c r="W47" i="1"/>
  <c r="M47" i="1"/>
  <c r="Y46" i="1"/>
  <c r="M45" i="1"/>
  <c r="AA45" i="1"/>
  <c r="U10" i="1"/>
  <c r="AN10" i="1" s="1"/>
  <c r="W7" i="1"/>
  <c r="Y43" i="1"/>
  <c r="X44" i="1"/>
  <c r="Y10" i="1"/>
  <c r="L10" i="1"/>
  <c r="M8" i="1"/>
  <c r="AA47" i="1"/>
  <c r="M105" i="1"/>
  <c r="AA105" i="1"/>
  <c r="N10" i="1"/>
  <c r="AB10" i="1"/>
  <c r="N8" i="1"/>
  <c r="AB8" i="1"/>
  <c r="P7" i="1"/>
  <c r="W86" i="1"/>
  <c r="Y85" i="1"/>
  <c r="N47" i="1"/>
  <c r="AB47" i="1"/>
  <c r="N44" i="1"/>
  <c r="AB44" i="1"/>
  <c r="L46" i="1"/>
  <c r="Z46" i="1"/>
  <c r="T46" i="1"/>
  <c r="N45" i="1"/>
  <c r="AB45" i="1"/>
  <c r="AA7" i="1"/>
  <c r="X85" i="1"/>
  <c r="AA46" i="1"/>
  <c r="W44" i="1"/>
  <c r="U85" i="1"/>
  <c r="AN85" i="1" s="1"/>
  <c r="R47" i="1"/>
  <c r="V10" i="1"/>
  <c r="Z10" i="1"/>
  <c r="O7" i="1"/>
  <c r="O10" i="1"/>
  <c r="L85" i="1"/>
  <c r="O105" i="1"/>
  <c r="P10" i="1"/>
  <c r="P8" i="1"/>
  <c r="R7" i="1"/>
  <c r="Y86" i="1"/>
  <c r="N46" i="1"/>
  <c r="AB46" i="1"/>
  <c r="P45" i="1"/>
  <c r="R10" i="1"/>
  <c r="P43" i="1"/>
  <c r="M7" i="1"/>
  <c r="M10" i="1"/>
  <c r="O44" i="1"/>
  <c r="Q8" i="1"/>
  <c r="S7" i="1"/>
  <c r="L86" i="1"/>
  <c r="Z86" i="1"/>
  <c r="AB85" i="1"/>
  <c r="Q44" i="1"/>
  <c r="O46" i="1"/>
  <c r="Q45" i="1"/>
  <c r="Q47" i="1"/>
  <c r="AA10" i="1"/>
  <c r="AB105" i="1"/>
  <c r="M46" i="1"/>
  <c r="Q105" i="1"/>
  <c r="R8" i="1"/>
  <c r="T7" i="1"/>
  <c r="M86" i="1"/>
  <c r="AA86" i="1"/>
  <c r="R44" i="1"/>
  <c r="P46" i="1"/>
  <c r="R45" i="1"/>
  <c r="W105" i="1"/>
  <c r="R85" i="1"/>
  <c r="U47" i="1"/>
  <c r="AN47" i="1" s="1"/>
  <c r="AA8" i="1"/>
  <c r="Q7" i="1"/>
  <c r="O47" i="1"/>
  <c r="R105" i="1"/>
  <c r="S8" i="1"/>
  <c r="U7" i="1"/>
  <c r="AN7" i="1" s="1"/>
  <c r="N86" i="1"/>
  <c r="AB86" i="1"/>
  <c r="P85" i="1"/>
  <c r="T43" i="1"/>
  <c r="S44" i="1"/>
  <c r="Q46" i="1"/>
  <c r="S45" i="1"/>
  <c r="X10" i="1"/>
  <c r="Z7" i="1"/>
  <c r="O85" i="1"/>
  <c r="X45" i="1"/>
  <c r="S10" i="1"/>
  <c r="Z105" i="1"/>
  <c r="N105" i="1"/>
  <c r="Z85" i="1"/>
  <c r="S105" i="1"/>
  <c r="V7" i="1"/>
  <c r="O86" i="1"/>
  <c r="Q85" i="1"/>
  <c r="U43" i="1"/>
  <c r="AN43" i="1" s="1"/>
  <c r="T47" i="1"/>
  <c r="T44" i="1"/>
  <c r="R46" i="1"/>
  <c r="T45" i="1"/>
  <c r="X43" i="1"/>
  <c r="Q10" i="1"/>
  <c r="S43" i="1"/>
  <c r="L44" i="1"/>
  <c r="Y44" i="1"/>
  <c r="O43" i="1"/>
  <c r="X105" i="1"/>
  <c r="Y105" i="1"/>
  <c r="L105" i="1"/>
  <c r="V86" i="1"/>
  <c r="O8" i="1"/>
  <c r="X86" i="1"/>
  <c r="O45" i="1"/>
  <c r="P105" i="1"/>
  <c r="T105" i="1"/>
  <c r="P86" i="1"/>
  <c r="V43" i="1"/>
  <c r="U44" i="1"/>
  <c r="AN44" i="1" s="1"/>
  <c r="U45" i="1"/>
  <c r="AN45" i="1" s="1"/>
  <c r="AO19" i="5" l="1"/>
  <c r="AP7" i="5"/>
  <c r="AT19" i="5"/>
  <c r="AT64" i="1"/>
  <c r="AP8" i="5"/>
  <c r="AP85" i="1"/>
  <c r="AP4" i="6"/>
  <c r="AP86" i="1"/>
  <c r="AP8" i="6"/>
  <c r="AP31" i="5"/>
  <c r="AP51" i="5"/>
  <c r="AP46" i="1"/>
  <c r="AP32" i="5"/>
  <c r="AP9" i="7"/>
  <c r="AP43" i="1"/>
  <c r="AP8" i="4"/>
  <c r="AP4" i="7"/>
  <c r="AP45" i="1"/>
  <c r="AP9" i="5"/>
  <c r="AP7" i="7"/>
  <c r="AP6" i="7"/>
  <c r="AP8" i="3"/>
  <c r="AP44" i="1"/>
  <c r="AP7" i="4"/>
  <c r="AP6" i="4"/>
  <c r="AG30" i="7"/>
  <c r="AL30" i="7" s="1"/>
  <c r="AP47" i="1"/>
  <c r="AO7" i="6"/>
  <c r="AV37" i="7"/>
  <c r="AP5" i="6"/>
  <c r="AO11" i="7"/>
  <c r="AP10" i="7"/>
  <c r="AP5" i="7"/>
  <c r="AP6" i="3"/>
  <c r="AP105" i="1"/>
  <c r="AP49" i="5"/>
  <c r="AP4" i="4"/>
  <c r="AP7" i="6"/>
  <c r="AP11" i="7"/>
  <c r="AS70" i="9"/>
  <c r="AK70" i="9"/>
  <c r="AO70" i="9"/>
  <c r="AR70" i="9"/>
  <c r="AO5" i="2"/>
  <c r="AO7" i="7"/>
  <c r="AO6" i="7"/>
  <c r="AO6" i="3"/>
  <c r="AL26" i="2"/>
  <c r="AN26" i="2"/>
  <c r="AP26" i="2"/>
  <c r="AO26" i="2"/>
  <c r="AE62" i="9"/>
  <c r="AT26" i="2"/>
  <c r="AP95" i="1"/>
  <c r="AO95" i="1"/>
  <c r="AN95" i="1"/>
  <c r="AT95" i="1"/>
  <c r="AL95" i="1"/>
  <c r="AO4" i="4"/>
  <c r="AO6" i="4"/>
  <c r="AO8" i="6"/>
  <c r="AO4" i="7"/>
  <c r="AP61" i="5"/>
  <c r="AO61" i="5"/>
  <c r="AN61" i="5"/>
  <c r="AG60" i="5"/>
  <c r="AL61" i="5"/>
  <c r="AT61" i="5"/>
  <c r="AP8" i="2"/>
  <c r="AP34" i="7"/>
  <c r="AO34" i="7"/>
  <c r="AN34" i="7"/>
  <c r="AL34" i="7"/>
  <c r="AT34" i="7"/>
  <c r="AL3" i="4"/>
  <c r="AE24" i="9"/>
  <c r="AP24" i="3"/>
  <c r="AO24" i="3"/>
  <c r="AN24" i="3"/>
  <c r="AT24" i="3"/>
  <c r="AL24" i="3"/>
  <c r="AE44" i="9"/>
  <c r="AL21" i="5"/>
  <c r="AP21" i="5"/>
  <c r="AO21" i="5"/>
  <c r="AN21" i="5"/>
  <c r="AT21" i="5"/>
  <c r="AE17" i="9"/>
  <c r="AL48" i="5"/>
  <c r="AO51" i="5"/>
  <c r="AP25" i="4"/>
  <c r="AO25" i="4"/>
  <c r="AN25" i="4"/>
  <c r="AT25" i="4"/>
  <c r="AL25" i="4"/>
  <c r="AL41" i="5"/>
  <c r="AP41" i="5"/>
  <c r="AO41" i="5"/>
  <c r="AN41" i="5"/>
  <c r="AT41" i="5"/>
  <c r="AL20" i="5"/>
  <c r="AP20" i="5"/>
  <c r="AO20" i="5"/>
  <c r="AN20" i="5"/>
  <c r="AT20" i="5"/>
  <c r="AL84" i="1"/>
  <c r="AE6" i="9"/>
  <c r="AP5" i="3"/>
  <c r="AL102" i="1"/>
  <c r="AE7" i="9"/>
  <c r="AP6" i="6"/>
  <c r="AO43" i="1"/>
  <c r="AO45" i="1"/>
  <c r="AO7" i="1"/>
  <c r="AO46" i="1"/>
  <c r="AO32" i="5"/>
  <c r="AO49" i="5"/>
  <c r="AV25" i="4"/>
  <c r="AL63" i="5"/>
  <c r="AP63" i="5"/>
  <c r="AO63" i="5"/>
  <c r="AN63" i="5"/>
  <c r="AT63" i="5"/>
  <c r="AL22" i="6"/>
  <c r="AP22" i="6"/>
  <c r="AO22" i="6"/>
  <c r="AN22" i="6"/>
  <c r="AG21" i="6"/>
  <c r="AT22" i="6"/>
  <c r="AE52" i="9"/>
  <c r="AP8" i="1"/>
  <c r="AO7" i="3"/>
  <c r="AO4" i="6"/>
  <c r="AO4" i="2"/>
  <c r="AO9" i="7"/>
  <c r="AW25" i="4"/>
  <c r="AL37" i="7"/>
  <c r="AP37" i="7"/>
  <c r="AO37" i="7"/>
  <c r="AN37" i="7"/>
  <c r="AT37" i="7"/>
  <c r="AP6" i="2"/>
  <c r="AL3" i="6"/>
  <c r="AE18" i="9"/>
  <c r="AO8" i="5"/>
  <c r="AL36" i="7"/>
  <c r="AP36" i="7"/>
  <c r="AO36" i="7"/>
  <c r="AN36" i="7"/>
  <c r="AT36" i="7"/>
  <c r="AO9" i="5"/>
  <c r="AP10" i="1"/>
  <c r="AO44" i="1"/>
  <c r="AO10" i="7"/>
  <c r="AL32" i="7"/>
  <c r="AP32" i="7"/>
  <c r="AO32" i="7"/>
  <c r="AN32" i="7"/>
  <c r="AT32" i="7"/>
  <c r="AL40" i="5"/>
  <c r="AP40" i="5"/>
  <c r="AO40" i="5"/>
  <c r="AN40" i="5"/>
  <c r="AG39" i="5"/>
  <c r="AT40" i="5"/>
  <c r="AL24" i="4"/>
  <c r="AP24" i="4"/>
  <c r="AO24" i="4"/>
  <c r="AN24" i="4"/>
  <c r="AT24" i="4"/>
  <c r="AP5" i="2"/>
  <c r="AP4" i="2"/>
  <c r="AL116" i="1"/>
  <c r="AP116" i="1"/>
  <c r="AO116" i="1"/>
  <c r="AN116" i="1"/>
  <c r="AV116" i="1"/>
  <c r="AT116" i="1"/>
  <c r="AW116" i="1"/>
  <c r="AL26" i="4"/>
  <c r="AP26" i="4"/>
  <c r="AO26" i="4"/>
  <c r="AN26" i="4"/>
  <c r="AT26" i="4"/>
  <c r="AL29" i="2"/>
  <c r="AP29" i="2"/>
  <c r="AO29" i="2"/>
  <c r="AN29" i="2"/>
  <c r="AE65" i="9"/>
  <c r="AT29" i="2"/>
  <c r="AL25" i="6"/>
  <c r="AP25" i="6"/>
  <c r="AO25" i="6"/>
  <c r="AN25" i="6"/>
  <c r="AE55" i="9"/>
  <c r="AT25" i="6"/>
  <c r="AO50" i="5"/>
  <c r="AO86" i="1"/>
  <c r="AO10" i="1"/>
  <c r="AO6" i="2"/>
  <c r="AO5" i="6"/>
  <c r="AP50" i="5"/>
  <c r="AL33" i="7"/>
  <c r="AP33" i="7"/>
  <c r="AO33" i="7"/>
  <c r="AN33" i="7"/>
  <c r="AT33" i="7"/>
  <c r="AL65" i="1"/>
  <c r="AP65" i="1"/>
  <c r="AO65" i="1"/>
  <c r="AN65" i="1"/>
  <c r="AT65" i="1"/>
  <c r="AN35" i="7"/>
  <c r="AP35" i="7"/>
  <c r="AO35" i="7"/>
  <c r="AT35" i="7"/>
  <c r="AL35" i="7"/>
  <c r="AL115" i="1"/>
  <c r="AN115" i="1"/>
  <c r="AP115" i="1"/>
  <c r="AO115" i="1"/>
  <c r="AT115" i="1"/>
  <c r="AG114" i="1"/>
  <c r="AL28" i="2"/>
  <c r="AP28" i="2"/>
  <c r="AO28" i="2"/>
  <c r="AN28" i="2"/>
  <c r="AE64" i="9"/>
  <c r="AT28" i="2"/>
  <c r="AE16" i="9"/>
  <c r="AL30" i="5"/>
  <c r="AP7" i="2"/>
  <c r="AL27" i="2"/>
  <c r="AP27" i="2"/>
  <c r="AO27" i="2"/>
  <c r="AN27" i="2"/>
  <c r="AT27" i="2"/>
  <c r="AV48" i="2"/>
  <c r="AE63" i="9"/>
  <c r="AO8" i="3"/>
  <c r="AL3" i="2"/>
  <c r="AE27" i="9"/>
  <c r="AL94" i="1"/>
  <c r="AP94" i="1"/>
  <c r="AO94" i="1"/>
  <c r="AN94" i="1"/>
  <c r="AG93" i="1"/>
  <c r="AT94" i="1"/>
  <c r="AP8" i="7"/>
  <c r="AO47" i="1"/>
  <c r="AO8" i="4"/>
  <c r="AO5" i="7"/>
  <c r="AO8" i="7"/>
  <c r="AO31" i="5"/>
  <c r="AP7" i="3"/>
  <c r="AW35" i="7"/>
  <c r="AP38" i="7"/>
  <c r="AO38" i="7"/>
  <c r="AN38" i="7"/>
  <c r="AT38" i="7"/>
  <c r="AL38" i="7"/>
  <c r="AN67" i="1"/>
  <c r="AP67" i="1"/>
  <c r="AO67" i="1"/>
  <c r="AL67" i="1"/>
  <c r="AT67" i="1"/>
  <c r="AL5" i="4"/>
  <c r="AE26" i="9"/>
  <c r="AG21" i="4"/>
  <c r="AL23" i="3"/>
  <c r="AP23" i="3"/>
  <c r="AO23" i="3"/>
  <c r="AN23" i="3"/>
  <c r="AE43" i="9"/>
  <c r="AT23" i="3"/>
  <c r="AG21" i="3"/>
  <c r="AG22" i="3"/>
  <c r="AO85" i="1"/>
  <c r="AG3" i="5"/>
  <c r="AL6" i="5"/>
  <c r="AE15" i="9"/>
  <c r="AP66" i="1"/>
  <c r="AO66" i="1"/>
  <c r="AN66" i="1"/>
  <c r="AL66" i="1"/>
  <c r="AT66" i="1"/>
  <c r="AG18" i="5"/>
  <c r="AL24" i="6"/>
  <c r="AP24" i="6"/>
  <c r="AO24" i="6"/>
  <c r="AN24" i="6"/>
  <c r="AE54" i="9"/>
  <c r="AT24" i="6"/>
  <c r="AP44" i="6"/>
  <c r="AO44" i="6"/>
  <c r="AN44" i="6"/>
  <c r="AE89" i="9"/>
  <c r="AL44" i="6"/>
  <c r="AT44" i="6"/>
  <c r="AL22" i="4"/>
  <c r="AP22" i="4"/>
  <c r="AO22" i="4"/>
  <c r="AN22" i="4"/>
  <c r="AE58" i="9"/>
  <c r="AT22" i="4"/>
  <c r="AL4" i="3"/>
  <c r="AE9" i="9"/>
  <c r="AO7" i="2"/>
  <c r="AP7" i="1"/>
  <c r="AO8" i="2"/>
  <c r="AO7" i="4"/>
  <c r="AO7" i="5"/>
  <c r="AO6" i="6"/>
  <c r="AL56" i="9"/>
  <c r="AK56" i="9"/>
  <c r="AJ56" i="9"/>
  <c r="AP56" i="9"/>
  <c r="AP25" i="3"/>
  <c r="AO25" i="3"/>
  <c r="AN25" i="3"/>
  <c r="AL25" i="3"/>
  <c r="AT25" i="3"/>
  <c r="AE45" i="9"/>
  <c r="AO105" i="1"/>
  <c r="AO8" i="1"/>
  <c r="AL23" i="6"/>
  <c r="AP23" i="6"/>
  <c r="AO23" i="6"/>
  <c r="AN23" i="6"/>
  <c r="AT23" i="6"/>
  <c r="AE53" i="9"/>
  <c r="AG42" i="1"/>
  <c r="AL48" i="1"/>
  <c r="AG63" i="1"/>
  <c r="AP26" i="3"/>
  <c r="AO26" i="3"/>
  <c r="AN26" i="3"/>
  <c r="AE46" i="9"/>
  <c r="AL26" i="3"/>
  <c r="AT26" i="3"/>
  <c r="AP25" i="2"/>
  <c r="AO25" i="2"/>
  <c r="AN25" i="2"/>
  <c r="AL25" i="2"/>
  <c r="AE61" i="9"/>
  <c r="AG24" i="2"/>
  <c r="AT25" i="2"/>
  <c r="AP68" i="1"/>
  <c r="AO68" i="1"/>
  <c r="AN68" i="1"/>
  <c r="AL68" i="1"/>
  <c r="AT68" i="1"/>
  <c r="AL117" i="1"/>
  <c r="AP117" i="1"/>
  <c r="AO117" i="1"/>
  <c r="AN117" i="1"/>
  <c r="AW117" i="1"/>
  <c r="AT117" i="1"/>
  <c r="AV117" i="1"/>
  <c r="AL3" i="3"/>
  <c r="AE8" i="9"/>
  <c r="AS21" i="5"/>
  <c r="AF3" i="3"/>
  <c r="AD8" i="9" s="1"/>
  <c r="AV26" i="4"/>
  <c r="AS27" i="2"/>
  <c r="AD63" i="9"/>
  <c r="AD12" i="9"/>
  <c r="AV21" i="5"/>
  <c r="AW27" i="2"/>
  <c r="AV35" i="7"/>
  <c r="AV68" i="1"/>
  <c r="AW68" i="1"/>
  <c r="AW21" i="5"/>
  <c r="AS68" i="1"/>
  <c r="AD24" i="9"/>
  <c r="AD34" i="9"/>
  <c r="AV29" i="2"/>
  <c r="AW29" i="2"/>
  <c r="AS29" i="2"/>
  <c r="AD65" i="9"/>
  <c r="AV28" i="2"/>
  <c r="AD64" i="9"/>
  <c r="AS28" i="2"/>
  <c r="AW28" i="2"/>
  <c r="AD16" i="9"/>
  <c r="AS26" i="2"/>
  <c r="AW26" i="2"/>
  <c r="AV26" i="2"/>
  <c r="AD62" i="9"/>
  <c r="AD15" i="9"/>
  <c r="AF3" i="5"/>
  <c r="AD44" i="9"/>
  <c r="AV24" i="3"/>
  <c r="AS24" i="3"/>
  <c r="AW24" i="3"/>
  <c r="AS65" i="1"/>
  <c r="AV65" i="1"/>
  <c r="AW65" i="1"/>
  <c r="AD89" i="9"/>
  <c r="AS44" i="6"/>
  <c r="AW44" i="6"/>
  <c r="AV44" i="6"/>
  <c r="AW64" i="1"/>
  <c r="AV64" i="1"/>
  <c r="AS64" i="1"/>
  <c r="AF30" i="7"/>
  <c r="AW31" i="7"/>
  <c r="AS31" i="7"/>
  <c r="AV31" i="7"/>
  <c r="AW33" i="7"/>
  <c r="AV33" i="7"/>
  <c r="AS33" i="7"/>
  <c r="AD53" i="9"/>
  <c r="AW23" i="6"/>
  <c r="AV23" i="6"/>
  <c r="AS23" i="6"/>
  <c r="AS56" i="9"/>
  <c r="AR56" i="9"/>
  <c r="AO56" i="9"/>
  <c r="AV20" i="5"/>
  <c r="AS20" i="5"/>
  <c r="AW20" i="5"/>
  <c r="AD7" i="9"/>
  <c r="AW115" i="1"/>
  <c r="AV115" i="1"/>
  <c r="AF114" i="1"/>
  <c r="AS115" i="1"/>
  <c r="AV24" i="4"/>
  <c r="AS24" i="4"/>
  <c r="AW24" i="4"/>
  <c r="AV94" i="1"/>
  <c r="AF93" i="1"/>
  <c r="AW94" i="1"/>
  <c r="AS94" i="1"/>
  <c r="AS22" i="4"/>
  <c r="AW22" i="4"/>
  <c r="AD58" i="9"/>
  <c r="AV22" i="4"/>
  <c r="AW66" i="1"/>
  <c r="AV66" i="1"/>
  <c r="AS66" i="1"/>
  <c r="AD61" i="9"/>
  <c r="AF24" i="2"/>
  <c r="AV25" i="2"/>
  <c r="AS25" i="2"/>
  <c r="AW25" i="2"/>
  <c r="AF18" i="5"/>
  <c r="AS19" i="5"/>
  <c r="AW19" i="5"/>
  <c r="AV19" i="5"/>
  <c r="AS34" i="7"/>
  <c r="AW34" i="7"/>
  <c r="AV34" i="7"/>
  <c r="AF21" i="6"/>
  <c r="AS22" i="6"/>
  <c r="AW22" i="6"/>
  <c r="AD52" i="9"/>
  <c r="AV22" i="6"/>
  <c r="AV26" i="3"/>
  <c r="AS26" i="3"/>
  <c r="AD46" i="9"/>
  <c r="AW26" i="3"/>
  <c r="AD17" i="9"/>
  <c r="AD6" i="9"/>
  <c r="AW63" i="5"/>
  <c r="AV63" i="5"/>
  <c r="AS63" i="5"/>
  <c r="AW24" i="6"/>
  <c r="AD54" i="9"/>
  <c r="AV24" i="6"/>
  <c r="AS24" i="6"/>
  <c r="AS61" i="5"/>
  <c r="AW61" i="5"/>
  <c r="AF60" i="5"/>
  <c r="AV61" i="5"/>
  <c r="AD18" i="9"/>
  <c r="AS36" i="7"/>
  <c r="AW36" i="7"/>
  <c r="AV36" i="7"/>
  <c r="AD9" i="9"/>
  <c r="AS41" i="5"/>
  <c r="AW41" i="5"/>
  <c r="AV41" i="5"/>
  <c r="AD55" i="9"/>
  <c r="AS25" i="6"/>
  <c r="AV25" i="6"/>
  <c r="AW25" i="6"/>
  <c r="AW38" i="7"/>
  <c r="AS38" i="7"/>
  <c r="AV38" i="7"/>
  <c r="AS32" i="7"/>
  <c r="AV32" i="7"/>
  <c r="AW32" i="7"/>
  <c r="AS23" i="3"/>
  <c r="AF21" i="3"/>
  <c r="AW23" i="3"/>
  <c r="AV23" i="3"/>
  <c r="AD43" i="9"/>
  <c r="AD26" i="9"/>
  <c r="AD27" i="9"/>
  <c r="AV67" i="1"/>
  <c r="AW67" i="1"/>
  <c r="AS67" i="1"/>
  <c r="AW25" i="3"/>
  <c r="AD45" i="9"/>
  <c r="AV25" i="3"/>
  <c r="AS25" i="3"/>
  <c r="AS48" i="2"/>
  <c r="AO48" i="2"/>
  <c r="AD96" i="9"/>
  <c r="AN48" i="2"/>
  <c r="AW48" i="2"/>
  <c r="AP48" i="2"/>
  <c r="AF39" i="5"/>
  <c r="AV40" i="5"/>
  <c r="AS40" i="5"/>
  <c r="AW40" i="5"/>
  <c r="AT45" i="1"/>
  <c r="AV9" i="7"/>
  <c r="AV7" i="2"/>
  <c r="AS47" i="1"/>
  <c r="AS44" i="1"/>
  <c r="AS9" i="5"/>
  <c r="AV6" i="6"/>
  <c r="AS8" i="4"/>
  <c r="AR43" i="1"/>
  <c r="AT43" i="1"/>
  <c r="AT10" i="1"/>
  <c r="AT4" i="4"/>
  <c r="AR7" i="5"/>
  <c r="AR8" i="5"/>
  <c r="AR11" i="7"/>
  <c r="AT5" i="6"/>
  <c r="AT10" i="7"/>
  <c r="AR31" i="5"/>
  <c r="AV4" i="7"/>
  <c r="AV49" i="5"/>
  <c r="AS45" i="1"/>
  <c r="AV4" i="4"/>
  <c r="AT7" i="6"/>
  <c r="AS7" i="6"/>
  <c r="AV11" i="7"/>
  <c r="AS31" i="5"/>
  <c r="AV7" i="5"/>
  <c r="AV8" i="5"/>
  <c r="AV8" i="7"/>
  <c r="AS32" i="5"/>
  <c r="AT31" i="5"/>
  <c r="AR51" i="5"/>
  <c r="AV32" i="5"/>
  <c r="AS7" i="7"/>
  <c r="AT32" i="5"/>
  <c r="AV8" i="3"/>
  <c r="AV8" i="4"/>
  <c r="AV44" i="1"/>
  <c r="AR8" i="4"/>
  <c r="AS51" i="5"/>
  <c r="AT7" i="7"/>
  <c r="AT7" i="5"/>
  <c r="AR32" i="5"/>
  <c r="AV5" i="3"/>
  <c r="AT7" i="2"/>
  <c r="AS5" i="6"/>
  <c r="AV10" i="7"/>
  <c r="AS7" i="4"/>
  <c r="AV51" i="5"/>
  <c r="AR45" i="1"/>
  <c r="AS7" i="1"/>
  <c r="AV7" i="1"/>
  <c r="AU8" i="2"/>
  <c r="AQ8" i="2"/>
  <c r="AW8" i="2"/>
  <c r="AQ45" i="1"/>
  <c r="AW45" i="1"/>
  <c r="AU45" i="1"/>
  <c r="AQ7" i="1"/>
  <c r="AW7" i="1"/>
  <c r="AU7" i="1"/>
  <c r="AW86" i="1"/>
  <c r="AU86" i="1"/>
  <c r="AQ86" i="1"/>
  <c r="AQ10" i="1"/>
  <c r="AU10" i="1"/>
  <c r="AW10" i="1"/>
  <c r="AT47" i="1"/>
  <c r="AT85" i="1"/>
  <c r="AT46" i="1"/>
  <c r="AT8" i="2"/>
  <c r="AQ6" i="2"/>
  <c r="AW6" i="2"/>
  <c r="AU6" i="2"/>
  <c r="R25" i="9"/>
  <c r="AT8" i="4"/>
  <c r="AQ5" i="6"/>
  <c r="AW5" i="6"/>
  <c r="AU5" i="6"/>
  <c r="AR7" i="7"/>
  <c r="AR8" i="3"/>
  <c r="AV50" i="5"/>
  <c r="AS50" i="5"/>
  <c r="AV7" i="4"/>
  <c r="AS46" i="1"/>
  <c r="AS6" i="7"/>
  <c r="AS8" i="3"/>
  <c r="AV8" i="6"/>
  <c r="AV9" i="5"/>
  <c r="R20" i="9"/>
  <c r="R23" i="9"/>
  <c r="AR8" i="6"/>
  <c r="R10" i="9"/>
  <c r="AV31" i="5"/>
  <c r="AV46" i="1"/>
  <c r="AS7" i="2"/>
  <c r="AV7" i="3"/>
  <c r="AS7" i="3"/>
  <c r="R19" i="9"/>
  <c r="AW105" i="1"/>
  <c r="AU105" i="1"/>
  <c r="AQ105" i="1"/>
  <c r="AR8" i="2"/>
  <c r="R31" i="9"/>
  <c r="AO31" i="9" s="1"/>
  <c r="AQ4" i="4"/>
  <c r="AW4" i="4"/>
  <c r="AU4" i="4"/>
  <c r="AR5" i="6"/>
  <c r="AR4" i="6"/>
  <c r="AR7" i="3"/>
  <c r="AS85" i="1"/>
  <c r="AS11" i="7"/>
  <c r="AS10" i="7"/>
  <c r="AV105" i="1"/>
  <c r="AV6" i="3"/>
  <c r="AV4" i="6"/>
  <c r="AW8" i="7"/>
  <c r="AU8" i="7"/>
  <c r="AQ8" i="7"/>
  <c r="AT6" i="4"/>
  <c r="AW6" i="6"/>
  <c r="AU6" i="6"/>
  <c r="AQ6" i="6"/>
  <c r="AT7" i="3"/>
  <c r="AS4" i="7"/>
  <c r="AS105" i="1"/>
  <c r="AS5" i="3"/>
  <c r="AS6" i="3"/>
  <c r="AS4" i="6"/>
  <c r="AW8" i="1"/>
  <c r="AU8" i="1"/>
  <c r="AQ8" i="1"/>
  <c r="AR86" i="1"/>
  <c r="AR5" i="2"/>
  <c r="AR4" i="2"/>
  <c r="AW5" i="2"/>
  <c r="AU5" i="2"/>
  <c r="AQ5" i="2"/>
  <c r="R21" i="9"/>
  <c r="AR7" i="6"/>
  <c r="AT4" i="7"/>
  <c r="AR4" i="7"/>
  <c r="AW7" i="7"/>
  <c r="AQ7" i="7"/>
  <c r="AU7" i="7"/>
  <c r="AW6" i="7"/>
  <c r="AU6" i="7"/>
  <c r="AQ6" i="7"/>
  <c r="AU6" i="3"/>
  <c r="AW6" i="3"/>
  <c r="AQ6" i="3"/>
  <c r="AV85" i="1"/>
  <c r="AS43" i="1"/>
  <c r="AV4" i="2"/>
  <c r="AV45" i="1"/>
  <c r="AT105" i="1"/>
  <c r="AR8" i="7"/>
  <c r="AU7" i="5"/>
  <c r="AQ7" i="5"/>
  <c r="AW7" i="5"/>
  <c r="AR7" i="2"/>
  <c r="AR6" i="2"/>
  <c r="AR7" i="4"/>
  <c r="AW6" i="4"/>
  <c r="AQ6" i="4"/>
  <c r="AU6" i="4"/>
  <c r="AT6" i="6"/>
  <c r="AQ8" i="6"/>
  <c r="AW8" i="6"/>
  <c r="AU8" i="6"/>
  <c r="AR9" i="7"/>
  <c r="AU4" i="7"/>
  <c r="AW4" i="7"/>
  <c r="AQ4" i="7"/>
  <c r="AR49" i="5"/>
  <c r="R13" i="9"/>
  <c r="R11" i="9"/>
  <c r="AS5" i="2"/>
  <c r="AV43" i="1"/>
  <c r="AV5" i="6"/>
  <c r="AS6" i="6"/>
  <c r="AW8" i="4"/>
  <c r="AQ8" i="4"/>
  <c r="AU8" i="4"/>
  <c r="AR105" i="1"/>
  <c r="AT44" i="1"/>
  <c r="AR9" i="5"/>
  <c r="AQ8" i="5"/>
  <c r="AU8" i="5"/>
  <c r="AW8" i="5"/>
  <c r="AW7" i="6"/>
  <c r="AU7" i="6"/>
  <c r="AQ7" i="6"/>
  <c r="AT9" i="7"/>
  <c r="AT5" i="7"/>
  <c r="AQ5" i="3"/>
  <c r="R12" i="9"/>
  <c r="AW8" i="3"/>
  <c r="AQ8" i="3"/>
  <c r="AU8" i="3"/>
  <c r="AS9" i="7"/>
  <c r="AS4" i="4"/>
  <c r="AV5" i="2"/>
  <c r="AS4" i="2"/>
  <c r="AR46" i="1"/>
  <c r="AR7" i="1"/>
  <c r="AW7" i="4"/>
  <c r="AQ7" i="4"/>
  <c r="AU7" i="4"/>
  <c r="AT7" i="1"/>
  <c r="AR85" i="1"/>
  <c r="R29" i="9"/>
  <c r="AV8" i="1"/>
  <c r="AS8" i="1"/>
  <c r="AR47" i="1"/>
  <c r="AT4" i="2"/>
  <c r="AT7" i="4"/>
  <c r="AR6" i="6"/>
  <c r="AU11" i="7"/>
  <c r="AQ11" i="7"/>
  <c r="AW11" i="7"/>
  <c r="AT8" i="7"/>
  <c r="AT11" i="7"/>
  <c r="AW7" i="3"/>
  <c r="AQ7" i="3"/>
  <c r="AU7" i="3"/>
  <c r="AT5" i="3"/>
  <c r="AQ50" i="5"/>
  <c r="AW50" i="5"/>
  <c r="AU50" i="5"/>
  <c r="AS49" i="5"/>
  <c r="AS6" i="4"/>
  <c r="AV7" i="7"/>
  <c r="AS8" i="7"/>
  <c r="R22" i="9"/>
  <c r="AR50" i="5"/>
  <c r="AV7" i="6"/>
  <c r="AU7" i="2"/>
  <c r="AQ7" i="2"/>
  <c r="AW7" i="2"/>
  <c r="AQ47" i="1"/>
  <c r="AU47" i="1"/>
  <c r="AW47" i="1"/>
  <c r="R32" i="9"/>
  <c r="R28" i="9"/>
  <c r="AO28" i="9" s="1"/>
  <c r="AU4" i="6"/>
  <c r="AW4" i="6"/>
  <c r="AQ4" i="6"/>
  <c r="AT8" i="3"/>
  <c r="AR6" i="3"/>
  <c r="AU51" i="5"/>
  <c r="AW51" i="5"/>
  <c r="AQ51" i="5"/>
  <c r="AS86" i="1"/>
  <c r="AS5" i="7"/>
  <c r="AV6" i="4"/>
  <c r="AS7" i="5"/>
  <c r="AT86" i="1"/>
  <c r="AR6" i="4"/>
  <c r="AT8" i="6"/>
  <c r="AR10" i="7"/>
  <c r="AU32" i="5"/>
  <c r="AW32" i="5"/>
  <c r="AQ32" i="5"/>
  <c r="AW49" i="5"/>
  <c r="AU49" i="5"/>
  <c r="AQ49" i="5"/>
  <c r="AV86" i="1"/>
  <c r="AV6" i="2"/>
  <c r="AV5" i="7"/>
  <c r="AS8" i="5"/>
  <c r="AV47" i="1"/>
  <c r="AW85" i="1"/>
  <c r="AU85" i="1"/>
  <c r="AQ85" i="1"/>
  <c r="AW43" i="1"/>
  <c r="AU43" i="1"/>
  <c r="AQ43" i="1"/>
  <c r="AT5" i="2"/>
  <c r="AR4" i="4"/>
  <c r="AT8" i="5"/>
  <c r="AU9" i="5"/>
  <c r="AW9" i="5"/>
  <c r="AQ9" i="5"/>
  <c r="AT4" i="6"/>
  <c r="AT6" i="7"/>
  <c r="AR6" i="7"/>
  <c r="AQ9" i="7"/>
  <c r="AU9" i="7"/>
  <c r="AW9" i="7"/>
  <c r="AR5" i="7"/>
  <c r="AT6" i="3"/>
  <c r="AT49" i="5"/>
  <c r="AT50" i="5"/>
  <c r="AD3" i="4"/>
  <c r="AS8" i="2"/>
  <c r="AV6" i="7"/>
  <c r="AS8" i="6"/>
  <c r="AW5" i="7"/>
  <c r="AU5" i="7"/>
  <c r="AQ5" i="7"/>
  <c r="AQ31" i="5"/>
  <c r="AU31" i="5"/>
  <c r="AW31" i="5"/>
  <c r="AW46" i="1"/>
  <c r="AU46" i="1"/>
  <c r="AQ46" i="1"/>
  <c r="AW4" i="2"/>
  <c r="AQ4" i="2"/>
  <c r="AU4" i="2"/>
  <c r="AT6" i="2"/>
  <c r="R30" i="9"/>
  <c r="AR8" i="1"/>
  <c r="AR10" i="1"/>
  <c r="AV10" i="1"/>
  <c r="AS10" i="1"/>
  <c r="AW44" i="1"/>
  <c r="AU44" i="1"/>
  <c r="AQ44" i="1"/>
  <c r="AR44" i="1"/>
  <c r="AT8" i="1"/>
  <c r="AT9" i="5"/>
  <c r="AU10" i="7"/>
  <c r="AQ10" i="7"/>
  <c r="AW10" i="7"/>
  <c r="AT51" i="5"/>
  <c r="AV8" i="2"/>
  <c r="AS6" i="2"/>
  <c r="AC18" i="9"/>
  <c r="AC44" i="9"/>
  <c r="AC17" i="9"/>
  <c r="AE42" i="1"/>
  <c r="AE102" i="1"/>
  <c r="AC6" i="9"/>
  <c r="AC8" i="9"/>
  <c r="AC64" i="9"/>
  <c r="AC15" i="9"/>
  <c r="AE3" i="5"/>
  <c r="AE3" i="4"/>
  <c r="AC26" i="9"/>
  <c r="AC89" i="9"/>
  <c r="AC9" i="9"/>
  <c r="AC46" i="9"/>
  <c r="AC61" i="9"/>
  <c r="AC62" i="9"/>
  <c r="AC58" i="9"/>
  <c r="AC55" i="9"/>
  <c r="AC34" i="9"/>
  <c r="AC54" i="9"/>
  <c r="AC16" i="9"/>
  <c r="AC27" i="9"/>
  <c r="AC52" i="9"/>
  <c r="AC65" i="9"/>
  <c r="AC43" i="9"/>
  <c r="AC45" i="9"/>
  <c r="AC96" i="9"/>
  <c r="AB85" i="9"/>
  <c r="AB58" i="9"/>
  <c r="AD3" i="5"/>
  <c r="AB15" i="9"/>
  <c r="AB55" i="9"/>
  <c r="AB34" i="9"/>
  <c r="AB87" i="9"/>
  <c r="AB26" i="9"/>
  <c r="AB17" i="9"/>
  <c r="AB16" i="9"/>
  <c r="AB18" i="9"/>
  <c r="AB89" i="9"/>
  <c r="AD3" i="3"/>
  <c r="AB12" i="9"/>
  <c r="AB44" i="9"/>
  <c r="AB43" i="9"/>
  <c r="AB9" i="9"/>
  <c r="AB46" i="9"/>
  <c r="AB6" i="9"/>
  <c r="V2" i="8"/>
  <c r="S28" i="9"/>
  <c r="AP28" i="9" s="1"/>
  <c r="P20" i="9"/>
  <c r="V10" i="9"/>
  <c r="V13" i="9"/>
  <c r="S10" i="9"/>
  <c r="AP10" i="9" s="1"/>
  <c r="S23" i="9"/>
  <c r="S13" i="9"/>
  <c r="AP13" i="9" s="1"/>
  <c r="V31" i="9"/>
  <c r="V12" i="9"/>
  <c r="V28" i="9"/>
  <c r="S30" i="9"/>
  <c r="AP30" i="9" s="1"/>
  <c r="S29" i="9"/>
  <c r="AP29" i="9" s="1"/>
  <c r="P25" i="9"/>
  <c r="S22" i="9"/>
  <c r="AP22" i="9" s="1"/>
  <c r="P22" i="9"/>
  <c r="S19" i="9"/>
  <c r="AP19" i="9" s="1"/>
  <c r="P21" i="9"/>
  <c r="S11" i="9"/>
  <c r="AP11" i="9" s="1"/>
  <c r="S32" i="9"/>
  <c r="AP32" i="9" s="1"/>
  <c r="V30" i="9"/>
  <c r="S25" i="9"/>
  <c r="AP25" i="9" s="1"/>
  <c r="S20" i="9"/>
  <c r="AP20" i="9" s="1"/>
  <c r="P10" i="9"/>
  <c r="P12" i="9"/>
  <c r="V32" i="9"/>
  <c r="P19" i="9"/>
  <c r="P11" i="9"/>
  <c r="V25" i="9"/>
  <c r="S12" i="9"/>
  <c r="AP12" i="9" s="1"/>
  <c r="V29" i="9"/>
  <c r="P13" i="9"/>
  <c r="S31" i="9"/>
  <c r="AP31" i="9" s="1"/>
  <c r="P23" i="9"/>
  <c r="S21" i="9"/>
  <c r="AP21" i="9" s="1"/>
  <c r="V11" i="9"/>
  <c r="Y19" i="9"/>
  <c r="AN19" i="9" s="1"/>
  <c r="Y12" i="9"/>
  <c r="Y30" i="9"/>
  <c r="AN30" i="9" s="1"/>
  <c r="Y21" i="9"/>
  <c r="AN21" i="9" s="1"/>
  <c r="Y28" i="9"/>
  <c r="AN28" i="9" s="1"/>
  <c r="Y11" i="9"/>
  <c r="AN11" i="9" s="1"/>
  <c r="Y31" i="9"/>
  <c r="AN31" i="9" s="1"/>
  <c r="Y25" i="9"/>
  <c r="AN25" i="9" s="1"/>
  <c r="Y32" i="9"/>
  <c r="AN32" i="9" s="1"/>
  <c r="Y22" i="9"/>
  <c r="AN22" i="9" s="1"/>
  <c r="Y20" i="9"/>
  <c r="AN20" i="9" s="1"/>
  <c r="Y29" i="9"/>
  <c r="AN29" i="9" s="1"/>
  <c r="Y23" i="9"/>
  <c r="AN23" i="9" s="1"/>
  <c r="Y13" i="9"/>
  <c r="AN13" i="9" s="1"/>
  <c r="AB63" i="9"/>
  <c r="AB62" i="9"/>
  <c r="AB61" i="9"/>
  <c r="AD24" i="2"/>
  <c r="AB65" i="9"/>
  <c r="AB27" i="9"/>
  <c r="AB64" i="9"/>
  <c r="AD42" i="1"/>
  <c r="AB7" i="9"/>
  <c r="T2" i="8"/>
  <c r="R2" i="8"/>
  <c r="U2" i="8"/>
  <c r="Q2" i="8"/>
  <c r="S2" i="8"/>
  <c r="V22" i="9"/>
  <c r="V23" i="9"/>
  <c r="V19" i="9"/>
  <c r="J28" i="9"/>
  <c r="L3" i="2"/>
  <c r="J27" i="9" s="1"/>
  <c r="V20" i="9"/>
  <c r="V21" i="9"/>
  <c r="AB2" i="8"/>
  <c r="N2" i="8"/>
  <c r="AA2" i="8"/>
  <c r="Z2" i="8"/>
  <c r="X2" i="8"/>
  <c r="Y2" i="8"/>
  <c r="AD2" i="8"/>
  <c r="W2" i="8"/>
  <c r="P2" i="8"/>
  <c r="V48" i="5"/>
  <c r="AA5" i="3"/>
  <c r="AR5" i="3" s="1"/>
  <c r="I30" i="5"/>
  <c r="G16" i="9" s="1"/>
  <c r="AA12" i="9"/>
  <c r="G4" i="3"/>
  <c r="E9" i="9" s="1"/>
  <c r="E11" i="9"/>
  <c r="U3" i="3"/>
  <c r="AN3" i="3" s="1"/>
  <c r="N30" i="5"/>
  <c r="L16" i="9" s="1"/>
  <c r="T4" i="3"/>
  <c r="T3" i="3"/>
  <c r="V30" i="5"/>
  <c r="J48" i="5"/>
  <c r="H17" i="9" s="1"/>
  <c r="G48" i="5"/>
  <c r="E17" i="9" s="1"/>
  <c r="J30" i="5"/>
  <c r="H16" i="9" s="1"/>
  <c r="L48" i="5"/>
  <c r="J17" i="9" s="1"/>
  <c r="AB30" i="5"/>
  <c r="P48" i="5"/>
  <c r="N17" i="9" s="1"/>
  <c r="Z48" i="5"/>
  <c r="X17" i="9" s="1"/>
  <c r="G3" i="3"/>
  <c r="E8" i="9" s="1"/>
  <c r="H3" i="3"/>
  <c r="F8" i="9" s="1"/>
  <c r="Y48" i="5"/>
  <c r="AB48" i="5"/>
  <c r="V3" i="3"/>
  <c r="T8" i="9" s="1"/>
  <c r="V4" i="3"/>
  <c r="T9" i="9" s="1"/>
  <c r="AB3" i="3"/>
  <c r="Z8" i="9" s="1"/>
  <c r="AB4" i="3"/>
  <c r="Z9" i="9" s="1"/>
  <c r="U48" i="5"/>
  <c r="AN48" i="5" s="1"/>
  <c r="W3" i="3"/>
  <c r="U8" i="9" s="1"/>
  <c r="W4" i="3"/>
  <c r="U9" i="9" s="1"/>
  <c r="O3" i="3"/>
  <c r="M8" i="9" s="1"/>
  <c r="O4" i="3"/>
  <c r="M9" i="9" s="1"/>
  <c r="M3" i="3"/>
  <c r="K8" i="9" s="1"/>
  <c r="M4" i="3"/>
  <c r="K9" i="9" s="1"/>
  <c r="I4" i="3"/>
  <c r="G9" i="9" s="1"/>
  <c r="I3" i="3"/>
  <c r="G8" i="9" s="1"/>
  <c r="U30" i="5"/>
  <c r="AN30" i="5" s="1"/>
  <c r="J4" i="3"/>
  <c r="H9" i="9" s="1"/>
  <c r="J3" i="3"/>
  <c r="H8" i="9" s="1"/>
  <c r="F3" i="3"/>
  <c r="D8" i="9" s="1"/>
  <c r="F4" i="3"/>
  <c r="D9" i="9" s="1"/>
  <c r="R4" i="3"/>
  <c r="R3" i="3"/>
  <c r="K4" i="3"/>
  <c r="I9" i="9" s="1"/>
  <c r="K3" i="3"/>
  <c r="I8" i="9" s="1"/>
  <c r="I48" i="5"/>
  <c r="G17" i="9" s="1"/>
  <c r="U4" i="3"/>
  <c r="AN4" i="3" s="1"/>
  <c r="Q4" i="3"/>
  <c r="O9" i="9" s="1"/>
  <c r="Q3" i="3"/>
  <c r="O8" i="9" s="1"/>
  <c r="S3" i="3"/>
  <c r="Q8" i="9" s="1"/>
  <c r="S4" i="3"/>
  <c r="Q9" i="9" s="1"/>
  <c r="H4" i="3"/>
  <c r="F9" i="9" s="1"/>
  <c r="X48" i="5"/>
  <c r="X4" i="3"/>
  <c r="X3" i="3"/>
  <c r="Y3" i="3"/>
  <c r="W8" i="9" s="1"/>
  <c r="Y4" i="3"/>
  <c r="W9" i="9" s="1"/>
  <c r="R48" i="5"/>
  <c r="P4" i="3"/>
  <c r="N9" i="9" s="1"/>
  <c r="P3" i="3"/>
  <c r="N8" i="9" s="1"/>
  <c r="N3" i="3"/>
  <c r="L8" i="9" s="1"/>
  <c r="N4" i="3"/>
  <c r="L9" i="9" s="1"/>
  <c r="Z3" i="3"/>
  <c r="X8" i="9" s="1"/>
  <c r="Z4" i="3"/>
  <c r="X9" i="9" s="1"/>
  <c r="AC3" i="3"/>
  <c r="AA8" i="9" s="1"/>
  <c r="AC4" i="3"/>
  <c r="AA9" i="9" s="1"/>
  <c r="L3" i="3"/>
  <c r="J8" i="9" s="1"/>
  <c r="L4" i="3"/>
  <c r="J9" i="9" s="1"/>
  <c r="AA6" i="5"/>
  <c r="M48" i="5"/>
  <c r="K17" i="9" s="1"/>
  <c r="AA48" i="5"/>
  <c r="H48" i="5"/>
  <c r="F17" i="9" s="1"/>
  <c r="S48" i="5"/>
  <c r="N48" i="5"/>
  <c r="L17" i="9" s="1"/>
  <c r="T30" i="5"/>
  <c r="M103" i="1"/>
  <c r="M102" i="1" s="1"/>
  <c r="K7" i="9" s="1"/>
  <c r="AC30" i="5"/>
  <c r="AA16" i="9" s="1"/>
  <c r="Q48" i="5"/>
  <c r="O17" i="9" s="1"/>
  <c r="H30" i="5"/>
  <c r="F16" i="9" s="1"/>
  <c r="AC48" i="5"/>
  <c r="AA17" i="9" s="1"/>
  <c r="L30" i="5"/>
  <c r="J16" i="9" s="1"/>
  <c r="Q11" i="1"/>
  <c r="Q6" i="1" s="1"/>
  <c r="O4" i="9" s="1"/>
  <c r="K6" i="5"/>
  <c r="I15" i="9" s="1"/>
  <c r="R6" i="5"/>
  <c r="Z30" i="5"/>
  <c r="X16" i="9" s="1"/>
  <c r="N6" i="5"/>
  <c r="L15" i="9" s="1"/>
  <c r="W30" i="5"/>
  <c r="U16" i="9" s="1"/>
  <c r="Y6" i="5"/>
  <c r="F48" i="5"/>
  <c r="D17" i="9" s="1"/>
  <c r="X30" i="5"/>
  <c r="J6" i="5"/>
  <c r="H15" i="9" s="1"/>
  <c r="M30" i="5"/>
  <c r="K16" i="9" s="1"/>
  <c r="CT2" i="8"/>
  <c r="W48" i="5"/>
  <c r="U17" i="9" s="1"/>
  <c r="H6" i="5"/>
  <c r="F15" i="9" s="1"/>
  <c r="K30" i="5"/>
  <c r="I16" i="9" s="1"/>
  <c r="O48" i="5"/>
  <c r="M17" i="9" s="1"/>
  <c r="F30" i="5"/>
  <c r="D16" i="9" s="1"/>
  <c r="R30" i="5"/>
  <c r="G6" i="5"/>
  <c r="E15" i="9" s="1"/>
  <c r="K48" i="5"/>
  <c r="I17" i="9" s="1"/>
  <c r="S30" i="5"/>
  <c r="P30" i="5"/>
  <c r="N16" i="9" s="1"/>
  <c r="O30" i="5"/>
  <c r="M16" i="9" s="1"/>
  <c r="Q30" i="5"/>
  <c r="O16" i="9" s="1"/>
  <c r="G30" i="5"/>
  <c r="E16" i="9" s="1"/>
  <c r="V6" i="5"/>
  <c r="Z6" i="5"/>
  <c r="X15" i="9" s="1"/>
  <c r="T48" i="5"/>
  <c r="Y30" i="5"/>
  <c r="AC6" i="5"/>
  <c r="AA15" i="9" s="1"/>
  <c r="AA30" i="5"/>
  <c r="W6" i="5"/>
  <c r="U15" i="9" s="1"/>
  <c r="M6" i="5"/>
  <c r="K15" i="9" s="1"/>
  <c r="O6" i="5"/>
  <c r="M15" i="9" s="1"/>
  <c r="S6" i="5"/>
  <c r="I6" i="5"/>
  <c r="G15" i="9" s="1"/>
  <c r="Q6" i="5"/>
  <c r="O15" i="9" s="1"/>
  <c r="X6" i="5"/>
  <c r="P6" i="5"/>
  <c r="N15" i="9" s="1"/>
  <c r="F6" i="5"/>
  <c r="D15" i="9" s="1"/>
  <c r="T6" i="5"/>
  <c r="AB6" i="5"/>
  <c r="L6" i="5"/>
  <c r="J15" i="9" s="1"/>
  <c r="U6" i="5"/>
  <c r="AN6" i="5" s="1"/>
  <c r="CX2" i="8"/>
  <c r="Z11" i="1"/>
  <c r="Z6" i="1" s="1"/>
  <c r="X4" i="9" s="1"/>
  <c r="V11" i="1"/>
  <c r="V6" i="1" s="1"/>
  <c r="T4" i="9" s="1"/>
  <c r="CV2" i="8"/>
  <c r="CW2" i="8"/>
  <c r="DO2" i="8"/>
  <c r="CU2" i="8"/>
  <c r="CY2" i="8"/>
  <c r="U11" i="1"/>
  <c r="AN11" i="1" s="1"/>
  <c r="X11" i="1"/>
  <c r="AB11" i="1"/>
  <c r="W11" i="1"/>
  <c r="W6" i="1" s="1"/>
  <c r="U4" i="9" s="1"/>
  <c r="M11" i="1"/>
  <c r="M6" i="1" s="1"/>
  <c r="K4" i="9" s="1"/>
  <c r="L11" i="1"/>
  <c r="Y11" i="1"/>
  <c r="Y6" i="1" s="1"/>
  <c r="W4" i="9" s="1"/>
  <c r="AC11" i="1"/>
  <c r="N11" i="1"/>
  <c r="N6" i="1" s="1"/>
  <c r="L4" i="9" s="1"/>
  <c r="P11" i="1"/>
  <c r="P6" i="1" s="1"/>
  <c r="N4" i="9" s="1"/>
  <c r="S11" i="1"/>
  <c r="S6" i="1" s="1"/>
  <c r="Q4" i="9" s="1"/>
  <c r="O11" i="1"/>
  <c r="O6" i="1" s="1"/>
  <c r="M4" i="9" s="1"/>
  <c r="AA11" i="1"/>
  <c r="T11" i="1"/>
  <c r="R11" i="1"/>
  <c r="X103" i="1"/>
  <c r="P103" i="1"/>
  <c r="P102" i="1" s="1"/>
  <c r="N7" i="9" s="1"/>
  <c r="AB103" i="1"/>
  <c r="AB102" i="1" s="1"/>
  <c r="Z7" i="9" s="1"/>
  <c r="J7" i="1"/>
  <c r="N103" i="1"/>
  <c r="N102" i="1" s="1"/>
  <c r="L7" i="9" s="1"/>
  <c r="K7" i="1"/>
  <c r="H7" i="1"/>
  <c r="G7" i="1"/>
  <c r="F7" i="1"/>
  <c r="F11" i="1" s="1"/>
  <c r="I7" i="1"/>
  <c r="T103" i="1"/>
  <c r="U103" i="1"/>
  <c r="AN103" i="1" s="1"/>
  <c r="V84" i="1"/>
  <c r="T6" i="9" s="1"/>
  <c r="AC3" i="6"/>
  <c r="AA18" i="9" s="1"/>
  <c r="AC102" i="1"/>
  <c r="AA7" i="9" s="1"/>
  <c r="AC3" i="7"/>
  <c r="AC5" i="4"/>
  <c r="AA26" i="9" s="1"/>
  <c r="AC3" i="2"/>
  <c r="AA27" i="9" s="1"/>
  <c r="Y103" i="1"/>
  <c r="Y102" i="1" s="1"/>
  <c r="W7" i="9" s="1"/>
  <c r="AA103" i="1"/>
  <c r="Z103" i="1"/>
  <c r="Z102" i="1" s="1"/>
  <c r="X7" i="9" s="1"/>
  <c r="V103" i="1"/>
  <c r="V102" i="1" s="1"/>
  <c r="T7" i="9" s="1"/>
  <c r="L103" i="1"/>
  <c r="L102" i="1" s="1"/>
  <c r="J7" i="9" s="1"/>
  <c r="R103" i="1"/>
  <c r="W103" i="1"/>
  <c r="W102" i="1" s="1"/>
  <c r="U7" i="9" s="1"/>
  <c r="I2" i="8"/>
  <c r="O103" i="1"/>
  <c r="O102" i="1" s="1"/>
  <c r="M7" i="9" s="1"/>
  <c r="L2" i="8"/>
  <c r="M2" i="8"/>
  <c r="Q103" i="1"/>
  <c r="S103" i="1"/>
  <c r="S102" i="1" s="1"/>
  <c r="Q7" i="9" s="1"/>
  <c r="J2" i="8"/>
  <c r="K2" i="8"/>
  <c r="H2" i="8"/>
  <c r="AC48" i="1"/>
  <c r="AC84" i="1"/>
  <c r="AA6" i="9" s="1"/>
  <c r="V3" i="7"/>
  <c r="T34" i="9" s="1"/>
  <c r="G3" i="7"/>
  <c r="E34" i="9" s="1"/>
  <c r="F3" i="7"/>
  <c r="D34" i="9" s="1"/>
  <c r="F3" i="6"/>
  <c r="D18" i="9" s="1"/>
  <c r="I3" i="7"/>
  <c r="G34" i="9" s="1"/>
  <c r="O3" i="7"/>
  <c r="M34" i="9" s="1"/>
  <c r="H3" i="7"/>
  <c r="F34" i="9" s="1"/>
  <c r="Z3" i="7"/>
  <c r="X34" i="9" s="1"/>
  <c r="N3" i="7"/>
  <c r="L34" i="9" s="1"/>
  <c r="W3" i="7"/>
  <c r="U34" i="9" s="1"/>
  <c r="S3" i="7"/>
  <c r="Q34" i="9" s="1"/>
  <c r="M3" i="7"/>
  <c r="K34" i="9" s="1"/>
  <c r="J3" i="7"/>
  <c r="H34" i="9" s="1"/>
  <c r="T3" i="7"/>
  <c r="Q3" i="7"/>
  <c r="O34" i="9" s="1"/>
  <c r="U3" i="7"/>
  <c r="AN3" i="7" s="1"/>
  <c r="K3" i="7"/>
  <c r="I34" i="9" s="1"/>
  <c r="AA3" i="7"/>
  <c r="Y3" i="7"/>
  <c r="W34" i="9" s="1"/>
  <c r="X3" i="7"/>
  <c r="L3" i="7"/>
  <c r="J34" i="9" s="1"/>
  <c r="AB3" i="7"/>
  <c r="Z34" i="9" s="1"/>
  <c r="R3" i="7"/>
  <c r="P3" i="7"/>
  <c r="N34" i="9" s="1"/>
  <c r="L5" i="4"/>
  <c r="L3" i="6"/>
  <c r="J18" i="9" s="1"/>
  <c r="F5" i="4"/>
  <c r="H3" i="2"/>
  <c r="F27" i="9" s="1"/>
  <c r="H3" i="6"/>
  <c r="F18" i="9" s="1"/>
  <c r="K3" i="6"/>
  <c r="I18" i="9" s="1"/>
  <c r="X3" i="6"/>
  <c r="Q3" i="6"/>
  <c r="O18" i="9" s="1"/>
  <c r="I3" i="6"/>
  <c r="G18" i="9" s="1"/>
  <c r="N3" i="6"/>
  <c r="L18" i="9" s="1"/>
  <c r="W3" i="6"/>
  <c r="U18" i="9" s="1"/>
  <c r="O3" i="6"/>
  <c r="M18" i="9" s="1"/>
  <c r="R3" i="6"/>
  <c r="S3" i="6"/>
  <c r="Q18" i="9" s="1"/>
  <c r="AA3" i="6"/>
  <c r="U3" i="6"/>
  <c r="AN3" i="6" s="1"/>
  <c r="J3" i="6"/>
  <c r="H18" i="9" s="1"/>
  <c r="P3" i="6"/>
  <c r="N18" i="9" s="1"/>
  <c r="G3" i="6"/>
  <c r="E18" i="9" s="1"/>
  <c r="Z3" i="6"/>
  <c r="X18" i="9" s="1"/>
  <c r="Y3" i="6"/>
  <c r="W18" i="9" s="1"/>
  <c r="M3" i="6"/>
  <c r="K18" i="9" s="1"/>
  <c r="V3" i="6"/>
  <c r="T18" i="9" s="1"/>
  <c r="AB3" i="6"/>
  <c r="Z18" i="9" s="1"/>
  <c r="T3" i="6"/>
  <c r="J5" i="4"/>
  <c r="R5" i="4"/>
  <c r="Z5" i="4"/>
  <c r="K5" i="4"/>
  <c r="AB5" i="4"/>
  <c r="P5" i="4"/>
  <c r="Y5" i="4"/>
  <c r="I5" i="4"/>
  <c r="V5" i="4"/>
  <c r="N5" i="4"/>
  <c r="X5" i="4"/>
  <c r="H5" i="4"/>
  <c r="O5" i="4"/>
  <c r="S5" i="4"/>
  <c r="G5" i="4"/>
  <c r="W5" i="4"/>
  <c r="AA5" i="4"/>
  <c r="Q5" i="4"/>
  <c r="M5" i="4"/>
  <c r="U5" i="4"/>
  <c r="T5" i="4"/>
  <c r="F3" i="2"/>
  <c r="D27" i="9" s="1"/>
  <c r="W3" i="2"/>
  <c r="U27" i="9" s="1"/>
  <c r="Y3" i="2"/>
  <c r="W27" i="9" s="1"/>
  <c r="P3" i="2"/>
  <c r="N27" i="9" s="1"/>
  <c r="Q3" i="2"/>
  <c r="O27" i="9" s="1"/>
  <c r="K3" i="2"/>
  <c r="I27" i="9" s="1"/>
  <c r="V3" i="2"/>
  <c r="T27" i="9" s="1"/>
  <c r="X3" i="2"/>
  <c r="N3" i="2"/>
  <c r="L27" i="9" s="1"/>
  <c r="R3" i="2"/>
  <c r="P27" i="9" s="1"/>
  <c r="T3" i="2"/>
  <c r="O3" i="2"/>
  <c r="M27" i="9" s="1"/>
  <c r="G3" i="2"/>
  <c r="E27" i="9" s="1"/>
  <c r="U3" i="2"/>
  <c r="AN3" i="2" s="1"/>
  <c r="AB3" i="2"/>
  <c r="Z27" i="9" s="1"/>
  <c r="AA3" i="2"/>
  <c r="Z3" i="2"/>
  <c r="X27" i="9" s="1"/>
  <c r="J3" i="2"/>
  <c r="H27" i="9" s="1"/>
  <c r="M3" i="2"/>
  <c r="K27" i="9" s="1"/>
  <c r="S3" i="2"/>
  <c r="Q27" i="9" s="1"/>
  <c r="I3" i="2"/>
  <c r="G27" i="9" s="1"/>
  <c r="K84" i="1"/>
  <c r="I6" i="9" s="1"/>
  <c r="F84" i="1"/>
  <c r="D6" i="9" s="1"/>
  <c r="J84" i="1"/>
  <c r="H6" i="9" s="1"/>
  <c r="J48" i="1"/>
  <c r="J42" i="1" s="1"/>
  <c r="H5" i="9" s="1"/>
  <c r="I84" i="1"/>
  <c r="G6" i="9" s="1"/>
  <c r="F48" i="1"/>
  <c r="F42" i="1" s="1"/>
  <c r="D5" i="9" s="1"/>
  <c r="K48" i="1"/>
  <c r="K42" i="1" s="1"/>
  <c r="I5" i="9" s="1"/>
  <c r="G48" i="1"/>
  <c r="G42" i="1" s="1"/>
  <c r="E5" i="9" s="1"/>
  <c r="P84" i="1"/>
  <c r="N6" i="9" s="1"/>
  <c r="H48" i="1"/>
  <c r="H42" i="1" s="1"/>
  <c r="F5" i="9" s="1"/>
  <c r="G84" i="1"/>
  <c r="E6" i="9" s="1"/>
  <c r="I48" i="1"/>
  <c r="I42" i="1" s="1"/>
  <c r="G5" i="9" s="1"/>
  <c r="H84" i="1"/>
  <c r="F6" i="9" s="1"/>
  <c r="Q84" i="1"/>
  <c r="O6" i="9" s="1"/>
  <c r="AB84" i="1"/>
  <c r="Z6" i="9" s="1"/>
  <c r="S84" i="1"/>
  <c r="Q6" i="9" s="1"/>
  <c r="AA84" i="1"/>
  <c r="N48" i="1"/>
  <c r="N42" i="1" s="1"/>
  <c r="L5" i="9" s="1"/>
  <c r="Y84" i="1"/>
  <c r="W6" i="9" s="1"/>
  <c r="T84" i="1"/>
  <c r="Z48" i="1"/>
  <c r="Z42" i="1" s="1"/>
  <c r="X5" i="9" s="1"/>
  <c r="R84" i="1"/>
  <c r="P6" i="9" s="1"/>
  <c r="O48" i="1"/>
  <c r="O42" i="1" s="1"/>
  <c r="M5" i="9" s="1"/>
  <c r="T48" i="1"/>
  <c r="X84" i="1"/>
  <c r="M48" i="1"/>
  <c r="M42" i="1" s="1"/>
  <c r="K5" i="9" s="1"/>
  <c r="N84" i="1"/>
  <c r="L6" i="9" s="1"/>
  <c r="L48" i="1"/>
  <c r="L42" i="1" s="1"/>
  <c r="J5" i="9" s="1"/>
  <c r="Z84" i="1"/>
  <c r="X6" i="9" s="1"/>
  <c r="L84" i="1"/>
  <c r="J6" i="9" s="1"/>
  <c r="S48" i="1"/>
  <c r="S42" i="1" s="1"/>
  <c r="Q5" i="9" s="1"/>
  <c r="AB48" i="1"/>
  <c r="W48" i="1"/>
  <c r="W42" i="1" s="1"/>
  <c r="U5" i="9" s="1"/>
  <c r="W84" i="1"/>
  <c r="U6" i="9" s="1"/>
  <c r="V48" i="1"/>
  <c r="V42" i="1" s="1"/>
  <c r="T5" i="9" s="1"/>
  <c r="R48" i="1"/>
  <c r="O84" i="1"/>
  <c r="M6" i="9" s="1"/>
  <c r="X48" i="1"/>
  <c r="Q48" i="1"/>
  <c r="Q42" i="1" s="1"/>
  <c r="O5" i="9" s="1"/>
  <c r="U48" i="1"/>
  <c r="AN48" i="1" s="1"/>
  <c r="AA48" i="1"/>
  <c r="Y48" i="1"/>
  <c r="Y42" i="1" s="1"/>
  <c r="W5" i="9" s="1"/>
  <c r="P48" i="1"/>
  <c r="P42" i="1" s="1"/>
  <c r="N5" i="9" s="1"/>
  <c r="U84" i="1"/>
  <c r="AN84" i="1" s="1"/>
  <c r="M84" i="1"/>
  <c r="K6" i="9" s="1"/>
  <c r="AJ12" i="9" l="1"/>
  <c r="AP4" i="3"/>
  <c r="AK22" i="9"/>
  <c r="AL32" i="9"/>
  <c r="AJ22" i="9"/>
  <c r="AP103" i="1"/>
  <c r="AP48" i="1"/>
  <c r="AP48" i="5"/>
  <c r="AK31" i="9"/>
  <c r="AP3" i="6"/>
  <c r="AP5" i="4"/>
  <c r="AP30" i="5"/>
  <c r="AJ10" i="9"/>
  <c r="AT30" i="7"/>
  <c r="AE67" i="9"/>
  <c r="AJ67" i="9" s="1"/>
  <c r="AL30" i="9"/>
  <c r="AP30" i="7"/>
  <c r="AL12" i="9"/>
  <c r="AN30" i="7"/>
  <c r="AL29" i="9"/>
  <c r="AO30" i="7"/>
  <c r="AO5" i="3"/>
  <c r="AP11" i="1"/>
  <c r="AP6" i="5"/>
  <c r="AL22" i="9"/>
  <c r="AK23" i="9"/>
  <c r="AL10" i="9"/>
  <c r="AK13" i="9"/>
  <c r="AL13" i="9"/>
  <c r="AL20" i="9"/>
  <c r="AL23" i="9"/>
  <c r="AJ25" i="9"/>
  <c r="AL25" i="9"/>
  <c r="AL19" i="9"/>
  <c r="AL21" i="9"/>
  <c r="AL46" i="2"/>
  <c r="AG45" i="2"/>
  <c r="AE94" i="9"/>
  <c r="AT46" i="2"/>
  <c r="AO103" i="1"/>
  <c r="AJ43" i="9"/>
  <c r="AL43" i="9"/>
  <c r="AK43" i="9"/>
  <c r="AP43" i="9"/>
  <c r="AO3" i="7"/>
  <c r="AK32" i="9"/>
  <c r="AJ45" i="9"/>
  <c r="AP45" i="9"/>
  <c r="AL40" i="4"/>
  <c r="AN40" i="4"/>
  <c r="AP40" i="4"/>
  <c r="AO40" i="4"/>
  <c r="AT40" i="4"/>
  <c r="AE91" i="9"/>
  <c r="AL42" i="6"/>
  <c r="AP42" i="6"/>
  <c r="AO42" i="6"/>
  <c r="AN42" i="6"/>
  <c r="AT42" i="6"/>
  <c r="AE87" i="9"/>
  <c r="AL23" i="4"/>
  <c r="AP23" i="4"/>
  <c r="AO23" i="4"/>
  <c r="AN23" i="4"/>
  <c r="AG39" i="4"/>
  <c r="AE59" i="9"/>
  <c r="AT23" i="4"/>
  <c r="AL21" i="6"/>
  <c r="AP21" i="6"/>
  <c r="AO21" i="6"/>
  <c r="AN21" i="6"/>
  <c r="AE51" i="9"/>
  <c r="AT21" i="6"/>
  <c r="AL44" i="9"/>
  <c r="AK44" i="9"/>
  <c r="AJ44" i="9"/>
  <c r="AP44" i="9"/>
  <c r="AJ29" i="9"/>
  <c r="AP84" i="1"/>
  <c r="AN5" i="4"/>
  <c r="AK19" i="9"/>
  <c r="AK28" i="9"/>
  <c r="AL24" i="2"/>
  <c r="AP24" i="2"/>
  <c r="AO24" i="2"/>
  <c r="AN24" i="2"/>
  <c r="AT24" i="2"/>
  <c r="AE60" i="9"/>
  <c r="AL69" i="1"/>
  <c r="AP69" i="1"/>
  <c r="AO69" i="1"/>
  <c r="AN69" i="1"/>
  <c r="AT69" i="1"/>
  <c r="AO43" i="3"/>
  <c r="AN43" i="3"/>
  <c r="AP43" i="3"/>
  <c r="AE78" i="9"/>
  <c r="AT43" i="3"/>
  <c r="AL43" i="3"/>
  <c r="AL58" i="9"/>
  <c r="AK58" i="9"/>
  <c r="AJ58" i="9"/>
  <c r="AP58" i="9"/>
  <c r="AJ19" i="9"/>
  <c r="AP3" i="3"/>
  <c r="AE5" i="9"/>
  <c r="AL42" i="1"/>
  <c r="AG3" i="1"/>
  <c r="AL11" i="9"/>
  <c r="AG4" i="5"/>
  <c r="AP60" i="5"/>
  <c r="AO60" i="5"/>
  <c r="AN60" i="5"/>
  <c r="AE50" i="9"/>
  <c r="AL60" i="5"/>
  <c r="AT60" i="5"/>
  <c r="AK30" i="9"/>
  <c r="AP23" i="9"/>
  <c r="AJ23" i="9"/>
  <c r="AJ53" i="9"/>
  <c r="AP53" i="9"/>
  <c r="AP18" i="5"/>
  <c r="AO18" i="5"/>
  <c r="AN18" i="5"/>
  <c r="AL18" i="5"/>
  <c r="AE48" i="9"/>
  <c r="AT18" i="5"/>
  <c r="AP21" i="3"/>
  <c r="AO21" i="3"/>
  <c r="AN21" i="3"/>
  <c r="AL21" i="3"/>
  <c r="AE41" i="9"/>
  <c r="AT21" i="3"/>
  <c r="AL63" i="9"/>
  <c r="AK63" i="9"/>
  <c r="AJ63" i="9"/>
  <c r="AP63" i="9"/>
  <c r="AJ32" i="9"/>
  <c r="AL55" i="9"/>
  <c r="AK55" i="9"/>
  <c r="AJ55" i="9"/>
  <c r="AP55" i="9"/>
  <c r="AJ28" i="9"/>
  <c r="AK11" i="9"/>
  <c r="AN22" i="3"/>
  <c r="AP22" i="3"/>
  <c r="AO22" i="3"/>
  <c r="AE42" i="9"/>
  <c r="AL22" i="3"/>
  <c r="AT22" i="3"/>
  <c r="AL49" i="2"/>
  <c r="AE97" i="9"/>
  <c r="AT49" i="2"/>
  <c r="AO48" i="5"/>
  <c r="AP41" i="3"/>
  <c r="AO41" i="3"/>
  <c r="AN41" i="3"/>
  <c r="AT41" i="3"/>
  <c r="AG40" i="3"/>
  <c r="AG39" i="3"/>
  <c r="AE76" i="9"/>
  <c r="AL41" i="3"/>
  <c r="AL48" i="2"/>
  <c r="AE96" i="9"/>
  <c r="AT48" i="2"/>
  <c r="AJ11" i="9"/>
  <c r="AL47" i="2"/>
  <c r="AT47" i="2"/>
  <c r="AE95" i="9"/>
  <c r="AB24" i="9"/>
  <c r="AL89" i="9"/>
  <c r="AK89" i="9"/>
  <c r="AJ89" i="9"/>
  <c r="AP89" i="9"/>
  <c r="AL62" i="9"/>
  <c r="AK62" i="9"/>
  <c r="AJ62" i="9"/>
  <c r="AP62" i="9"/>
  <c r="AP67" i="9"/>
  <c r="AK29" i="9"/>
  <c r="AJ31" i="9"/>
  <c r="AP39" i="5"/>
  <c r="AO39" i="5"/>
  <c r="AN39" i="5"/>
  <c r="AE49" i="9"/>
  <c r="AL39" i="5"/>
  <c r="AT39" i="5"/>
  <c r="AL57" i="7"/>
  <c r="AP57" i="7"/>
  <c r="AO57" i="7"/>
  <c r="AN57" i="7"/>
  <c r="AE100" i="9"/>
  <c r="AT57" i="7"/>
  <c r="AK12" i="9"/>
  <c r="AL64" i="9"/>
  <c r="AK64" i="9"/>
  <c r="AJ64" i="9"/>
  <c r="AP64" i="9"/>
  <c r="AO6" i="5"/>
  <c r="AP44" i="3"/>
  <c r="AO44" i="3"/>
  <c r="AN44" i="3"/>
  <c r="AT44" i="3"/>
  <c r="AL44" i="3"/>
  <c r="AE79" i="9"/>
  <c r="AP93" i="1"/>
  <c r="AO93" i="1"/>
  <c r="AN93" i="1"/>
  <c r="AT93" i="1"/>
  <c r="AL93" i="1"/>
  <c r="AE39" i="9"/>
  <c r="AL50" i="2"/>
  <c r="AT50" i="2"/>
  <c r="AE98" i="9"/>
  <c r="AL61" i="9"/>
  <c r="AK61" i="9"/>
  <c r="AJ61" i="9"/>
  <c r="AP61" i="9"/>
  <c r="AP3" i="7"/>
  <c r="AK21" i="9"/>
  <c r="AK25" i="9"/>
  <c r="AL46" i="9"/>
  <c r="AK46" i="9"/>
  <c r="AJ46" i="9"/>
  <c r="AP46" i="9"/>
  <c r="AP114" i="1"/>
  <c r="AO114" i="1"/>
  <c r="AN114" i="1"/>
  <c r="AL114" i="1"/>
  <c r="AT114" i="1"/>
  <c r="AE40" i="9"/>
  <c r="AL40" i="6"/>
  <c r="AP40" i="6"/>
  <c r="AO40" i="6"/>
  <c r="AN40" i="6"/>
  <c r="AE85" i="9"/>
  <c r="AG39" i="6"/>
  <c r="AT40" i="6"/>
  <c r="AP3" i="2"/>
  <c r="AL43" i="6"/>
  <c r="AP43" i="6"/>
  <c r="AO43" i="6"/>
  <c r="AN43" i="6"/>
  <c r="AT43" i="6"/>
  <c r="AE88" i="9"/>
  <c r="AO3" i="2"/>
  <c r="AO11" i="1"/>
  <c r="AN63" i="1"/>
  <c r="AT63" i="1"/>
  <c r="AE38" i="9"/>
  <c r="AL63" i="1"/>
  <c r="AG4" i="1"/>
  <c r="AL31" i="9"/>
  <c r="AO84" i="1"/>
  <c r="AO5" i="4"/>
  <c r="AO30" i="5"/>
  <c r="AO48" i="1"/>
  <c r="AO3" i="6"/>
  <c r="AK20" i="9"/>
  <c r="AJ21" i="9"/>
  <c r="AL65" i="9"/>
  <c r="AK65" i="9"/>
  <c r="AJ65" i="9"/>
  <c r="AP65" i="9"/>
  <c r="AK52" i="9"/>
  <c r="AJ52" i="9"/>
  <c r="AL52" i="9"/>
  <c r="AP52" i="9"/>
  <c r="AL41" i="6"/>
  <c r="AO41" i="6"/>
  <c r="AN41" i="6"/>
  <c r="AP41" i="6"/>
  <c r="AE86" i="9"/>
  <c r="AT41" i="6"/>
  <c r="AJ13" i="9"/>
  <c r="AP21" i="4"/>
  <c r="AO21" i="4"/>
  <c r="AN21" i="4"/>
  <c r="AE57" i="9"/>
  <c r="AL21" i="4"/>
  <c r="AT21" i="4"/>
  <c r="AL54" i="9"/>
  <c r="AK54" i="9"/>
  <c r="AJ54" i="9"/>
  <c r="AP54" i="9"/>
  <c r="AL3" i="5"/>
  <c r="AE14" i="9"/>
  <c r="AJ30" i="9"/>
  <c r="AL28" i="9"/>
  <c r="AP42" i="3"/>
  <c r="AO42" i="3"/>
  <c r="AN42" i="3"/>
  <c r="AE77" i="9"/>
  <c r="AL42" i="3"/>
  <c r="AT42" i="3"/>
  <c r="AJ20" i="9"/>
  <c r="AS63" i="9"/>
  <c r="AO63" i="9"/>
  <c r="AR63" i="9"/>
  <c r="AD59" i="9"/>
  <c r="AS44" i="3"/>
  <c r="AV44" i="3"/>
  <c r="AW44" i="3"/>
  <c r="AD79" i="9"/>
  <c r="AD49" i="9"/>
  <c r="AS39" i="5"/>
  <c r="AW39" i="5"/>
  <c r="AV39" i="5"/>
  <c r="AD78" i="9"/>
  <c r="AV43" i="3"/>
  <c r="AW43" i="3"/>
  <c r="AS43" i="3"/>
  <c r="AV30" i="7"/>
  <c r="AW30" i="7"/>
  <c r="AS30" i="7"/>
  <c r="AD67" i="9"/>
  <c r="AD95" i="9"/>
  <c r="AP47" i="2"/>
  <c r="AO47" i="2"/>
  <c r="AV47" i="2"/>
  <c r="AS47" i="2"/>
  <c r="AN47" i="2"/>
  <c r="AW47" i="2"/>
  <c r="AO43" i="9"/>
  <c r="AS43" i="9"/>
  <c r="AR43" i="9"/>
  <c r="AW93" i="1"/>
  <c r="AV93" i="1"/>
  <c r="AD39" i="9"/>
  <c r="AS93" i="1"/>
  <c r="AS114" i="1"/>
  <c r="AV114" i="1"/>
  <c r="AW114" i="1"/>
  <c r="AD40" i="9"/>
  <c r="AR65" i="9"/>
  <c r="AO65" i="9"/>
  <c r="AS65" i="9"/>
  <c r="AD88" i="9"/>
  <c r="AV43" i="6"/>
  <c r="AW43" i="6"/>
  <c r="AS43" i="6"/>
  <c r="AF39" i="6"/>
  <c r="AV40" i="6"/>
  <c r="AW40" i="6"/>
  <c r="AS40" i="6"/>
  <c r="AD85" i="9"/>
  <c r="AS54" i="9"/>
  <c r="AO54" i="9"/>
  <c r="AR54" i="9"/>
  <c r="AS52" i="9"/>
  <c r="AR52" i="9"/>
  <c r="AO52" i="9"/>
  <c r="AD91" i="9"/>
  <c r="AS40" i="4"/>
  <c r="AV40" i="4"/>
  <c r="AW40" i="4"/>
  <c r="AR62" i="9"/>
  <c r="AO62" i="9"/>
  <c r="AS62" i="9"/>
  <c r="AO50" i="2"/>
  <c r="AP50" i="2"/>
  <c r="AN50" i="2"/>
  <c r="AD98" i="9"/>
  <c r="AV50" i="2"/>
  <c r="AW50" i="2"/>
  <c r="AS50" i="2"/>
  <c r="AD41" i="9"/>
  <c r="AV21" i="3"/>
  <c r="AW21" i="3"/>
  <c r="AS21" i="3"/>
  <c r="AP46" i="2"/>
  <c r="AD94" i="9"/>
  <c r="AV46" i="2"/>
  <c r="AN46" i="2"/>
  <c r="AW46" i="2"/>
  <c r="AF45" i="2"/>
  <c r="AO46" i="2"/>
  <c r="AS46" i="2"/>
  <c r="AR58" i="9"/>
  <c r="AO58" i="9"/>
  <c r="AS58" i="9"/>
  <c r="AW49" i="2"/>
  <c r="AS49" i="2"/>
  <c r="AP49" i="2"/>
  <c r="AN49" i="2"/>
  <c r="AO49" i="2"/>
  <c r="AV49" i="2"/>
  <c r="AD97" i="9"/>
  <c r="AR55" i="9"/>
  <c r="AO55" i="9"/>
  <c r="AS55" i="9"/>
  <c r="AW42" i="6"/>
  <c r="AD87" i="9"/>
  <c r="AV42" i="6"/>
  <c r="AS42" i="6"/>
  <c r="AD60" i="9"/>
  <c r="AS24" i="2"/>
  <c r="AV24" i="2"/>
  <c r="AW24" i="2"/>
  <c r="AF40" i="3"/>
  <c r="AW41" i="3"/>
  <c r="AD76" i="9"/>
  <c r="AV41" i="3"/>
  <c r="AF39" i="3"/>
  <c r="AS41" i="3"/>
  <c r="AS89" i="9"/>
  <c r="AO89" i="9"/>
  <c r="AR89" i="9"/>
  <c r="AO46" i="9"/>
  <c r="AS46" i="9"/>
  <c r="AR46" i="9"/>
  <c r="AO44" i="9"/>
  <c r="AS44" i="9"/>
  <c r="AR44" i="9"/>
  <c r="AD42" i="9"/>
  <c r="AS22" i="3"/>
  <c r="AW22" i="3"/>
  <c r="AV22" i="3"/>
  <c r="AS60" i="5"/>
  <c r="AV60" i="5"/>
  <c r="AD50" i="9"/>
  <c r="AW60" i="5"/>
  <c r="AS61" i="9"/>
  <c r="AR61" i="9"/>
  <c r="AO61" i="9"/>
  <c r="AD51" i="9"/>
  <c r="AS21" i="6"/>
  <c r="AW21" i="6"/>
  <c r="AV21" i="6"/>
  <c r="AW41" i="6"/>
  <c r="AD86" i="9"/>
  <c r="AS41" i="6"/>
  <c r="AV41" i="6"/>
  <c r="AD5" i="9"/>
  <c r="AF3" i="1"/>
  <c r="AD77" i="9"/>
  <c r="AW42" i="3"/>
  <c r="AV42" i="3"/>
  <c r="AS42" i="3"/>
  <c r="AS69" i="1"/>
  <c r="AW69" i="1"/>
  <c r="AV69" i="1"/>
  <c r="AF63" i="1"/>
  <c r="AP63" i="1" s="1"/>
  <c r="AS18" i="5"/>
  <c r="AW18" i="5"/>
  <c r="AV18" i="5"/>
  <c r="AD48" i="9"/>
  <c r="AF4" i="5"/>
  <c r="AD14" i="9"/>
  <c r="AS64" i="9"/>
  <c r="AR64" i="9"/>
  <c r="AO64" i="9"/>
  <c r="AO11" i="9"/>
  <c r="AO13" i="9"/>
  <c r="AW5" i="3"/>
  <c r="AN12" i="9"/>
  <c r="AT3" i="6"/>
  <c r="AR103" i="1"/>
  <c r="AR30" i="5"/>
  <c r="AV4" i="3"/>
  <c r="AR29" i="9"/>
  <c r="AO25" i="9"/>
  <c r="AT3" i="7"/>
  <c r="AR19" i="9"/>
  <c r="AV48" i="1"/>
  <c r="AR28" i="9"/>
  <c r="AV6" i="5"/>
  <c r="AT3" i="2"/>
  <c r="AT6" i="5"/>
  <c r="AS30" i="5"/>
  <c r="AV5" i="4"/>
  <c r="AR21" i="9"/>
  <c r="AR48" i="1"/>
  <c r="AT3" i="3"/>
  <c r="AO20" i="9"/>
  <c r="AR25" i="9"/>
  <c r="AO23" i="9"/>
  <c r="AV3" i="7"/>
  <c r="AT48" i="1"/>
  <c r="AQ48" i="1"/>
  <c r="AW48" i="1"/>
  <c r="AU48" i="1"/>
  <c r="T42" i="1"/>
  <c r="AW3" i="6"/>
  <c r="AU3" i="6"/>
  <c r="AQ3" i="6"/>
  <c r="T102" i="1"/>
  <c r="R16" i="9"/>
  <c r="AT4" i="3"/>
  <c r="AM20" i="9"/>
  <c r="AS20" i="9"/>
  <c r="AQ20" i="9"/>
  <c r="AO10" i="9"/>
  <c r="AR31" i="9"/>
  <c r="AS48" i="5"/>
  <c r="AR3" i="2"/>
  <c r="AV103" i="1"/>
  <c r="AS103" i="1"/>
  <c r="AR10" i="9"/>
  <c r="AV48" i="5"/>
  <c r="AS32" i="9"/>
  <c r="AQ32" i="9"/>
  <c r="AM32" i="9"/>
  <c r="AV3" i="2"/>
  <c r="AU5" i="3"/>
  <c r="AS4" i="3"/>
  <c r="AS48" i="1"/>
  <c r="R6" i="9"/>
  <c r="AT5" i="4"/>
  <c r="AR48" i="5"/>
  <c r="AM23" i="9"/>
  <c r="AS23" i="9"/>
  <c r="AQ23" i="9"/>
  <c r="AQ12" i="9"/>
  <c r="AS12" i="9"/>
  <c r="AM12" i="9"/>
  <c r="AS3" i="2"/>
  <c r="AO21" i="9"/>
  <c r="AO22" i="9"/>
  <c r="AS6" i="5"/>
  <c r="AR23" i="9"/>
  <c r="AQ31" i="9"/>
  <c r="AM31" i="9"/>
  <c r="AS31" i="9"/>
  <c r="R27" i="9"/>
  <c r="AO27" i="9" s="1"/>
  <c r="AR6" i="5"/>
  <c r="AQ3" i="3"/>
  <c r="AS11" i="9"/>
  <c r="AM11" i="9"/>
  <c r="AQ11" i="9"/>
  <c r="AV3" i="3"/>
  <c r="AS3" i="3"/>
  <c r="AS5" i="4"/>
  <c r="AR22" i="9"/>
  <c r="AS3" i="6"/>
  <c r="AS84" i="1"/>
  <c r="AS3" i="7"/>
  <c r="AM19" i="9"/>
  <c r="AS19" i="9"/>
  <c r="AQ19" i="9"/>
  <c r="AS22" i="9"/>
  <c r="AQ22" i="9"/>
  <c r="AM22" i="9"/>
  <c r="AR12" i="9"/>
  <c r="AO12" i="9"/>
  <c r="AR3" i="6"/>
  <c r="Y6" i="9"/>
  <c r="AN6" i="9" s="1"/>
  <c r="AR84" i="1"/>
  <c r="AR5" i="4"/>
  <c r="AQ4" i="3"/>
  <c r="AM30" i="9"/>
  <c r="AS30" i="9"/>
  <c r="AQ30" i="9"/>
  <c r="AO30" i="9"/>
  <c r="AV3" i="6"/>
  <c r="AV84" i="1"/>
  <c r="AT48" i="5"/>
  <c r="R17" i="9"/>
  <c r="AW48" i="5"/>
  <c r="AU48" i="5"/>
  <c r="AQ48" i="5"/>
  <c r="R8" i="9"/>
  <c r="AE21" i="4"/>
  <c r="AV23" i="4"/>
  <c r="AW23" i="4"/>
  <c r="AS23" i="4"/>
  <c r="AR20" i="9"/>
  <c r="AS28" i="9"/>
  <c r="AQ28" i="9"/>
  <c r="AM28" i="9"/>
  <c r="AU3" i="2"/>
  <c r="AQ3" i="2"/>
  <c r="AW3" i="2"/>
  <c r="R15" i="9"/>
  <c r="R9" i="9"/>
  <c r="AM13" i="9"/>
  <c r="AS13" i="9"/>
  <c r="AQ13" i="9"/>
  <c r="AV30" i="5"/>
  <c r="AR30" i="9"/>
  <c r="AO19" i="9"/>
  <c r="AO32" i="9"/>
  <c r="AO29" i="9"/>
  <c r="AR13" i="9"/>
  <c r="S6" i="9"/>
  <c r="AP6" i="9" s="1"/>
  <c r="AT84" i="1"/>
  <c r="R18" i="9"/>
  <c r="AU103" i="1"/>
  <c r="AW103" i="1"/>
  <c r="AQ103" i="1"/>
  <c r="AU11" i="1"/>
  <c r="AW11" i="1"/>
  <c r="AQ11" i="1"/>
  <c r="AT30" i="5"/>
  <c r="AM10" i="9"/>
  <c r="AR11" i="9"/>
  <c r="AR32" i="9"/>
  <c r="AV11" i="1"/>
  <c r="AS11" i="1"/>
  <c r="AT11" i="1"/>
  <c r="AQ29" i="9"/>
  <c r="AS29" i="9"/>
  <c r="AM29" i="9"/>
  <c r="R34" i="9"/>
  <c r="AU3" i="7"/>
  <c r="AQ3" i="7"/>
  <c r="AW3" i="7"/>
  <c r="T6" i="1"/>
  <c r="AW6" i="5"/>
  <c r="AU6" i="5"/>
  <c r="AQ6" i="5"/>
  <c r="V6" i="9"/>
  <c r="AU84" i="1"/>
  <c r="AW84" i="1"/>
  <c r="AQ84" i="1"/>
  <c r="AU5" i="4"/>
  <c r="AW5" i="4"/>
  <c r="AQ5" i="4"/>
  <c r="AR3" i="7"/>
  <c r="AT103" i="1"/>
  <c r="AR11" i="1"/>
  <c r="AU30" i="5"/>
  <c r="AQ30" i="5"/>
  <c r="AW30" i="5"/>
  <c r="AS21" i="9"/>
  <c r="AQ21" i="9"/>
  <c r="AM21" i="9"/>
  <c r="AS25" i="9"/>
  <c r="AQ25" i="9"/>
  <c r="AM25" i="9"/>
  <c r="AC88" i="9"/>
  <c r="AC98" i="9"/>
  <c r="AC67" i="9"/>
  <c r="AC60" i="9"/>
  <c r="AC14" i="9"/>
  <c r="AC48" i="9"/>
  <c r="AE4" i="5"/>
  <c r="AC7" i="9"/>
  <c r="AC42" i="9"/>
  <c r="AC50" i="9"/>
  <c r="AC85" i="9"/>
  <c r="AC5" i="9"/>
  <c r="AE3" i="1"/>
  <c r="AC97" i="9"/>
  <c r="AC91" i="9"/>
  <c r="AC41" i="9"/>
  <c r="AC78" i="9"/>
  <c r="AC49" i="9"/>
  <c r="AC77" i="9"/>
  <c r="AC79" i="9"/>
  <c r="AC95" i="9"/>
  <c r="AC87" i="9"/>
  <c r="AC59" i="9"/>
  <c r="AC76" i="9"/>
  <c r="AC39" i="9"/>
  <c r="AC94" i="9"/>
  <c r="AC24" i="9"/>
  <c r="AB57" i="9"/>
  <c r="AB50" i="9"/>
  <c r="AB91" i="9"/>
  <c r="AB59" i="9"/>
  <c r="AB67" i="9"/>
  <c r="AB88" i="9"/>
  <c r="AB14" i="9"/>
  <c r="AB49" i="9"/>
  <c r="AD4" i="5"/>
  <c r="AB48" i="9"/>
  <c r="AB79" i="9"/>
  <c r="AB42" i="9"/>
  <c r="AB8" i="9"/>
  <c r="AB77" i="9"/>
  <c r="AB76" i="9"/>
  <c r="AB39" i="9"/>
  <c r="AB45" i="9"/>
  <c r="AK45" i="9" s="1"/>
  <c r="S26" i="9"/>
  <c r="AJ26" i="9" s="1"/>
  <c r="P26" i="9"/>
  <c r="P18" i="9"/>
  <c r="P8" i="9"/>
  <c r="P9" i="9"/>
  <c r="V8" i="9"/>
  <c r="V26" i="9"/>
  <c r="V9" i="9"/>
  <c r="S8" i="9"/>
  <c r="AP8" i="9" s="1"/>
  <c r="S18" i="9"/>
  <c r="AP18" i="9" s="1"/>
  <c r="S9" i="9"/>
  <c r="AP9" i="9" s="1"/>
  <c r="S27" i="9"/>
  <c r="AP27" i="9" s="1"/>
  <c r="Y27" i="9"/>
  <c r="AN27" i="9" s="1"/>
  <c r="Y18" i="9"/>
  <c r="AN18" i="9" s="1"/>
  <c r="Y26" i="9"/>
  <c r="S17" i="9"/>
  <c r="AJ17" i="9" s="1"/>
  <c r="P17" i="9"/>
  <c r="V17" i="9"/>
  <c r="Y16" i="9"/>
  <c r="P16" i="9"/>
  <c r="S16" i="9"/>
  <c r="AJ16" i="9" s="1"/>
  <c r="P15" i="9"/>
  <c r="V15" i="9"/>
  <c r="V16" i="9"/>
  <c r="S15" i="9"/>
  <c r="AJ15" i="9" s="1"/>
  <c r="Y15" i="9"/>
  <c r="AB60" i="9"/>
  <c r="AB94" i="9"/>
  <c r="AD45" i="2"/>
  <c r="AB5" i="9"/>
  <c r="AD3" i="1"/>
  <c r="AB97" i="9"/>
  <c r="AB96" i="9"/>
  <c r="AB95" i="9"/>
  <c r="AB40" i="9"/>
  <c r="AB98" i="9"/>
  <c r="Z16" i="9"/>
  <c r="Q15" i="9"/>
  <c r="Q16" i="9"/>
  <c r="T16" i="9"/>
  <c r="W15" i="9"/>
  <c r="Q17" i="9"/>
  <c r="T17" i="9"/>
  <c r="W16" i="9"/>
  <c r="W17" i="9"/>
  <c r="T15" i="9"/>
  <c r="Z15" i="9"/>
  <c r="L6" i="1"/>
  <c r="J4" i="9" s="1"/>
  <c r="AC2" i="8"/>
  <c r="Y17" i="9"/>
  <c r="Z17" i="9"/>
  <c r="V18" i="9"/>
  <c r="V27" i="9"/>
  <c r="Y10" i="9"/>
  <c r="AN10" i="9" s="1"/>
  <c r="AA3" i="3"/>
  <c r="AR3" i="3" s="1"/>
  <c r="AA4" i="3"/>
  <c r="AR4" i="3" s="1"/>
  <c r="P3" i="4"/>
  <c r="N24" i="9" s="1"/>
  <c r="N26" i="9"/>
  <c r="F3" i="4"/>
  <c r="D24" i="9" s="1"/>
  <c r="D26" i="9"/>
  <c r="Y3" i="4"/>
  <c r="W24" i="9" s="1"/>
  <c r="W26" i="9"/>
  <c r="V3" i="4"/>
  <c r="T24" i="9" s="1"/>
  <c r="T26" i="9"/>
  <c r="Q3" i="4"/>
  <c r="O24" i="9" s="1"/>
  <c r="O26" i="9"/>
  <c r="K3" i="4"/>
  <c r="I24" i="9" s="1"/>
  <c r="I26" i="9"/>
  <c r="L3" i="4"/>
  <c r="J24" i="9" s="1"/>
  <c r="J26" i="9"/>
  <c r="M3" i="4"/>
  <c r="K24" i="9" s="1"/>
  <c r="K26" i="9"/>
  <c r="T3" i="4"/>
  <c r="R26" i="9"/>
  <c r="I3" i="4"/>
  <c r="G24" i="9" s="1"/>
  <c r="G26" i="9"/>
  <c r="G3" i="4"/>
  <c r="E24" i="9" s="1"/>
  <c r="E26" i="9"/>
  <c r="J3" i="4"/>
  <c r="H24" i="9" s="1"/>
  <c r="H26" i="9"/>
  <c r="S3" i="4"/>
  <c r="Q24" i="9" s="1"/>
  <c r="Q26" i="9"/>
  <c r="O3" i="4"/>
  <c r="M24" i="9" s="1"/>
  <c r="M26" i="9"/>
  <c r="N3" i="4"/>
  <c r="L24" i="9" s="1"/>
  <c r="L26" i="9"/>
  <c r="AB3" i="4"/>
  <c r="Z24" i="9" s="1"/>
  <c r="Z26" i="9"/>
  <c r="Z3" i="4"/>
  <c r="X24" i="9" s="1"/>
  <c r="X26" i="9"/>
  <c r="W3" i="4"/>
  <c r="U24" i="9" s="1"/>
  <c r="U26" i="9"/>
  <c r="H3" i="4"/>
  <c r="F24" i="9" s="1"/>
  <c r="F26" i="9"/>
  <c r="V3" i="5"/>
  <c r="Y3" i="5"/>
  <c r="AB3" i="5"/>
  <c r="I3" i="5"/>
  <c r="G14" i="9" s="1"/>
  <c r="Z3" i="5"/>
  <c r="X14" i="9" s="1"/>
  <c r="AA34" i="9"/>
  <c r="V34" i="9"/>
  <c r="J3" i="5"/>
  <c r="H14" i="9" s="1"/>
  <c r="Y34" i="9"/>
  <c r="S34" i="9"/>
  <c r="P34" i="9"/>
  <c r="U3" i="4"/>
  <c r="AN3" i="4" s="1"/>
  <c r="AA3" i="5"/>
  <c r="U3" i="5"/>
  <c r="AN3" i="5" s="1"/>
  <c r="AA3" i="4"/>
  <c r="O3" i="5"/>
  <c r="M14" i="9" s="1"/>
  <c r="M3" i="5"/>
  <c r="K14" i="9" s="1"/>
  <c r="P3" i="5"/>
  <c r="N14" i="9" s="1"/>
  <c r="K3" i="5"/>
  <c r="I14" i="9" s="1"/>
  <c r="X3" i="5"/>
  <c r="Q3" i="5"/>
  <c r="O14" i="9" s="1"/>
  <c r="S3" i="5"/>
  <c r="W3" i="5"/>
  <c r="U14" i="9" s="1"/>
  <c r="G3" i="5"/>
  <c r="E14" i="9" s="1"/>
  <c r="AC3" i="5"/>
  <c r="AA14" i="9" s="1"/>
  <c r="L3" i="5"/>
  <c r="J14" i="9" s="1"/>
  <c r="N3" i="5"/>
  <c r="L14" i="9" s="1"/>
  <c r="T3" i="5"/>
  <c r="F3" i="5"/>
  <c r="D14" i="9" s="1"/>
  <c r="H3" i="5"/>
  <c r="F14" i="9" s="1"/>
  <c r="R3" i="5"/>
  <c r="W3" i="1"/>
  <c r="U3" i="9" s="1"/>
  <c r="X102" i="1"/>
  <c r="M3" i="1"/>
  <c r="K3" i="9" s="1"/>
  <c r="O3" i="1"/>
  <c r="M3" i="9" s="1"/>
  <c r="R102" i="1"/>
  <c r="S3" i="1"/>
  <c r="Q3" i="9" s="1"/>
  <c r="Z3" i="1"/>
  <c r="X3" i="9" s="1"/>
  <c r="P3" i="1"/>
  <c r="N3" i="9" s="1"/>
  <c r="N3" i="1"/>
  <c r="L3" i="9" s="1"/>
  <c r="U102" i="1"/>
  <c r="AC6" i="1"/>
  <c r="AA4" i="9" s="1"/>
  <c r="V3" i="1"/>
  <c r="T3" i="9" s="1"/>
  <c r="AA102" i="1"/>
  <c r="Y3" i="1"/>
  <c r="W3" i="9" s="1"/>
  <c r="J11" i="1"/>
  <c r="J6" i="1" s="1"/>
  <c r="H4" i="9" s="1"/>
  <c r="I11" i="1"/>
  <c r="I6" i="1" s="1"/>
  <c r="G4" i="9" s="1"/>
  <c r="G11" i="1"/>
  <c r="G6" i="1" s="1"/>
  <c r="E4" i="9" s="1"/>
  <c r="K11" i="1"/>
  <c r="K6" i="1" s="1"/>
  <c r="I4" i="9" s="1"/>
  <c r="H11" i="1"/>
  <c r="H6" i="1" s="1"/>
  <c r="F4" i="9" s="1"/>
  <c r="R3" i="4"/>
  <c r="X3" i="4"/>
  <c r="AC3" i="4"/>
  <c r="AA24" i="9" s="1"/>
  <c r="F6" i="1"/>
  <c r="D4" i="9" s="1"/>
  <c r="AC42" i="1"/>
  <c r="Q102" i="1"/>
  <c r="F103" i="1"/>
  <c r="K103" i="1"/>
  <c r="K102" i="1" s="1"/>
  <c r="I7" i="9" s="1"/>
  <c r="I103" i="1"/>
  <c r="I102" i="1" s="1"/>
  <c r="G7" i="9" s="1"/>
  <c r="J103" i="1"/>
  <c r="J102" i="1" s="1"/>
  <c r="H7" i="9" s="1"/>
  <c r="H103" i="1"/>
  <c r="H102" i="1" s="1"/>
  <c r="F7" i="9" s="1"/>
  <c r="G103" i="1"/>
  <c r="G102" i="1" s="1"/>
  <c r="E7" i="9" s="1"/>
  <c r="AA42" i="1"/>
  <c r="U42" i="1"/>
  <c r="AT42" i="1" s="1"/>
  <c r="X6" i="1"/>
  <c r="X42" i="1"/>
  <c r="U6" i="1"/>
  <c r="R6" i="1"/>
  <c r="AB42" i="1"/>
  <c r="Z5" i="9" s="1"/>
  <c r="AA6" i="1"/>
  <c r="R42" i="1"/>
  <c r="P5" i="9" s="1"/>
  <c r="AB6" i="1"/>
  <c r="Z4" i="9" s="1"/>
  <c r="AO63" i="1" l="1"/>
  <c r="AP102" i="1"/>
  <c r="AK67" i="9"/>
  <c r="AN42" i="1"/>
  <c r="AO4" i="3"/>
  <c r="AP6" i="1"/>
  <c r="AL34" i="9"/>
  <c r="AP3" i="4"/>
  <c r="AJ18" i="9"/>
  <c r="AP3" i="5"/>
  <c r="AL26" i="9"/>
  <c r="AL45" i="9"/>
  <c r="AL17" i="9"/>
  <c r="AL67" i="9"/>
  <c r="AL15" i="9"/>
  <c r="AL18" i="9"/>
  <c r="AL16" i="9"/>
  <c r="AL9" i="9"/>
  <c r="AP39" i="4"/>
  <c r="AO39" i="4"/>
  <c r="AN39" i="4"/>
  <c r="AT39" i="4"/>
  <c r="AL39" i="4"/>
  <c r="AE90" i="9"/>
  <c r="AO102" i="1"/>
  <c r="AL6" i="9"/>
  <c r="AJ85" i="9"/>
  <c r="AL85" i="9"/>
  <c r="AK85" i="9"/>
  <c r="AP85" i="9"/>
  <c r="AL39" i="9"/>
  <c r="AK39" i="9"/>
  <c r="AJ39" i="9"/>
  <c r="AP39" i="9"/>
  <c r="AL27" i="9"/>
  <c r="AL74" i="5"/>
  <c r="AO74" i="5"/>
  <c r="AN74" i="5"/>
  <c r="AP74" i="5"/>
  <c r="AE82" i="9"/>
  <c r="AT74" i="5"/>
  <c r="AL97" i="9"/>
  <c r="AK97" i="9"/>
  <c r="AJ97" i="9"/>
  <c r="AP97" i="9"/>
  <c r="AL48" i="9"/>
  <c r="AK48" i="9"/>
  <c r="AJ48" i="9"/>
  <c r="AP48" i="9"/>
  <c r="AL41" i="4"/>
  <c r="AP41" i="4"/>
  <c r="AO41" i="4"/>
  <c r="AN41" i="4"/>
  <c r="AE92" i="9"/>
  <c r="AT41" i="4"/>
  <c r="AK18" i="9"/>
  <c r="AK16" i="9"/>
  <c r="AL8" i="9"/>
  <c r="AJ57" i="9"/>
  <c r="AP57" i="9"/>
  <c r="AP88" i="9"/>
  <c r="AL88" i="9"/>
  <c r="AK88" i="9"/>
  <c r="AJ88" i="9"/>
  <c r="AJ40" i="9"/>
  <c r="AP40" i="9"/>
  <c r="AP96" i="9"/>
  <c r="AL96" i="9"/>
  <c r="AK96" i="9"/>
  <c r="AJ96" i="9"/>
  <c r="AJ27" i="9"/>
  <c r="AK15" i="9"/>
  <c r="AL72" i="5"/>
  <c r="AP72" i="5"/>
  <c r="AO72" i="5"/>
  <c r="AN72" i="5"/>
  <c r="AG5" i="5"/>
  <c r="AT72" i="5"/>
  <c r="AE81" i="9"/>
  <c r="AL50" i="9"/>
  <c r="AK50" i="9"/>
  <c r="AJ50" i="9"/>
  <c r="AP50" i="9"/>
  <c r="AK10" i="9"/>
  <c r="AK26" i="9"/>
  <c r="AL132" i="1"/>
  <c r="AP132" i="1"/>
  <c r="AO132" i="1"/>
  <c r="AN132" i="1"/>
  <c r="AE73" i="9"/>
  <c r="AT132" i="1"/>
  <c r="AP100" i="9"/>
  <c r="AJ100" i="9"/>
  <c r="AJ9" i="9"/>
  <c r="AL76" i="9"/>
  <c r="AK76" i="9"/>
  <c r="AJ76" i="9"/>
  <c r="AP76" i="9"/>
  <c r="AL42" i="9"/>
  <c r="AK42" i="9"/>
  <c r="AJ42" i="9"/>
  <c r="AP42" i="9"/>
  <c r="AL60" i="9"/>
  <c r="AK60" i="9"/>
  <c r="AJ60" i="9"/>
  <c r="AP60" i="9"/>
  <c r="AT102" i="1"/>
  <c r="AN102" i="1"/>
  <c r="AL79" i="9"/>
  <c r="AK79" i="9"/>
  <c r="AJ79" i="9"/>
  <c r="AP79" i="9"/>
  <c r="AO42" i="1"/>
  <c r="AO3" i="4"/>
  <c r="AL4" i="1"/>
  <c r="AN4" i="1"/>
  <c r="AT4" i="1"/>
  <c r="AE36" i="9"/>
  <c r="AL39" i="3"/>
  <c r="AP39" i="3"/>
  <c r="AO39" i="3"/>
  <c r="AN39" i="3"/>
  <c r="AE74" i="9"/>
  <c r="AT39" i="3"/>
  <c r="AP87" i="9"/>
  <c r="AL87" i="9"/>
  <c r="AK87" i="9"/>
  <c r="AJ87" i="9"/>
  <c r="AL49" i="9"/>
  <c r="AK49" i="9"/>
  <c r="AJ49" i="9"/>
  <c r="AP49" i="9"/>
  <c r="AK27" i="9"/>
  <c r="AL76" i="5"/>
  <c r="AP76" i="5"/>
  <c r="AO76" i="5"/>
  <c r="AN76" i="5"/>
  <c r="AT76" i="5"/>
  <c r="AE83" i="9"/>
  <c r="AP34" i="9"/>
  <c r="AJ34" i="9"/>
  <c r="AO6" i="1"/>
  <c r="AN128" i="1"/>
  <c r="AL128" i="1"/>
  <c r="AE71" i="9"/>
  <c r="AT128" i="1"/>
  <c r="AG5" i="1"/>
  <c r="AP40" i="3"/>
  <c r="AO40" i="3"/>
  <c r="AN40" i="3"/>
  <c r="AE75" i="9"/>
  <c r="AT40" i="3"/>
  <c r="AL40" i="3"/>
  <c r="AJ51" i="9"/>
  <c r="AP51" i="9"/>
  <c r="AK94" i="9"/>
  <c r="AJ94" i="9"/>
  <c r="AL94" i="9"/>
  <c r="AP94" i="9"/>
  <c r="AP130" i="1"/>
  <c r="AO130" i="1"/>
  <c r="AN130" i="1"/>
  <c r="AE72" i="9"/>
  <c r="AL130" i="1"/>
  <c r="AT130" i="1"/>
  <c r="AK6" i="9"/>
  <c r="AP98" i="9"/>
  <c r="AL98" i="9"/>
  <c r="AK98" i="9"/>
  <c r="AJ98" i="9"/>
  <c r="AP4" i="5"/>
  <c r="AO4" i="5"/>
  <c r="AN4" i="5"/>
  <c r="AE47" i="9"/>
  <c r="AL4" i="5"/>
  <c r="AT4" i="5"/>
  <c r="AL45" i="2"/>
  <c r="AE93" i="9"/>
  <c r="AT45" i="2"/>
  <c r="AL59" i="9"/>
  <c r="AK59" i="9"/>
  <c r="AJ59" i="9"/>
  <c r="AP59" i="9"/>
  <c r="AT6" i="1"/>
  <c r="AN6" i="1"/>
  <c r="AK34" i="9"/>
  <c r="AP38" i="9"/>
  <c r="AJ38" i="9"/>
  <c r="AP95" i="9"/>
  <c r="AL95" i="9"/>
  <c r="AK95" i="9"/>
  <c r="AJ95" i="9"/>
  <c r="AK41" i="9"/>
  <c r="AJ41" i="9"/>
  <c r="AP41" i="9"/>
  <c r="AP91" i="9"/>
  <c r="AL91" i="9"/>
  <c r="AK91" i="9"/>
  <c r="AJ91" i="9"/>
  <c r="AP77" i="9"/>
  <c r="AL77" i="9"/>
  <c r="AK77" i="9"/>
  <c r="AJ77" i="9"/>
  <c r="AK17" i="9"/>
  <c r="AO3" i="5"/>
  <c r="AJ86" i="9"/>
  <c r="AP86" i="9"/>
  <c r="AJ8" i="9"/>
  <c r="AL39" i="6"/>
  <c r="AP39" i="6"/>
  <c r="AO39" i="6"/>
  <c r="AN39" i="6"/>
  <c r="AE84" i="9"/>
  <c r="AT39" i="6"/>
  <c r="AP42" i="1"/>
  <c r="AJ6" i="9"/>
  <c r="AO3" i="3"/>
  <c r="AL3" i="1"/>
  <c r="AE3" i="9"/>
  <c r="AP78" i="9"/>
  <c r="AL78" i="9"/>
  <c r="AK78" i="9"/>
  <c r="AJ78" i="9"/>
  <c r="AO96" i="9"/>
  <c r="AR96" i="9"/>
  <c r="AS96" i="9"/>
  <c r="AO16" i="9"/>
  <c r="AO45" i="9"/>
  <c r="AS45" i="9"/>
  <c r="AR45" i="9"/>
  <c r="AD3" i="9"/>
  <c r="AD2" i="9" s="1"/>
  <c r="AR60" i="9"/>
  <c r="AS60" i="9"/>
  <c r="AO60" i="9"/>
  <c r="AR67" i="9"/>
  <c r="AS67" i="9"/>
  <c r="AO67" i="9"/>
  <c r="AD83" i="9"/>
  <c r="AW76" i="5"/>
  <c r="AV76" i="5"/>
  <c r="AS76" i="5"/>
  <c r="AO76" i="9"/>
  <c r="AS76" i="9"/>
  <c r="AR76" i="9"/>
  <c r="AV132" i="1"/>
  <c r="AS132" i="1"/>
  <c r="AD73" i="9"/>
  <c r="AW132" i="1"/>
  <c r="AR94" i="9"/>
  <c r="AO94" i="9"/>
  <c r="AS94" i="9"/>
  <c r="AD82" i="9"/>
  <c r="AV74" i="5"/>
  <c r="AS74" i="5"/>
  <c r="AW74" i="5"/>
  <c r="AW57" i="7"/>
  <c r="AD100" i="9"/>
  <c r="AS57" i="7"/>
  <c r="AV57" i="7"/>
  <c r="AR77" i="9"/>
  <c r="AO77" i="9"/>
  <c r="AS77" i="9"/>
  <c r="AS88" i="9"/>
  <c r="AR88" i="9"/>
  <c r="AO88" i="9"/>
  <c r="AS85" i="9"/>
  <c r="AR85" i="9"/>
  <c r="AO85" i="9"/>
  <c r="AD38" i="9"/>
  <c r="AF4" i="1"/>
  <c r="AV63" i="1"/>
  <c r="AS63" i="1"/>
  <c r="AW63" i="1"/>
  <c r="AS98" i="9"/>
  <c r="AR98" i="9"/>
  <c r="AO98" i="9"/>
  <c r="AD90" i="9"/>
  <c r="AS39" i="4"/>
  <c r="AV39" i="4"/>
  <c r="AW39" i="4"/>
  <c r="AS87" i="9"/>
  <c r="AR87" i="9"/>
  <c r="AO87" i="9"/>
  <c r="AR79" i="9"/>
  <c r="AO79" i="9"/>
  <c r="AS79" i="9"/>
  <c r="AV40" i="3"/>
  <c r="AW40" i="3"/>
  <c r="AS40" i="3"/>
  <c r="AD75" i="9"/>
  <c r="AO91" i="9"/>
  <c r="AR91" i="9"/>
  <c r="AS91" i="9"/>
  <c r="AO39" i="9"/>
  <c r="AR39" i="9"/>
  <c r="AS39" i="9"/>
  <c r="AD57" i="9"/>
  <c r="AO50" i="9"/>
  <c r="AS50" i="9"/>
  <c r="AR50" i="9"/>
  <c r="AO42" i="9"/>
  <c r="AS42" i="9"/>
  <c r="AR42" i="9"/>
  <c r="AO49" i="9"/>
  <c r="AS49" i="9"/>
  <c r="AR49" i="9"/>
  <c r="AV41" i="4"/>
  <c r="AS41" i="4"/>
  <c r="AW41" i="4"/>
  <c r="AD92" i="9"/>
  <c r="AS48" i="9"/>
  <c r="AO48" i="9"/>
  <c r="AR48" i="9"/>
  <c r="AD81" i="9"/>
  <c r="AF5" i="5"/>
  <c r="AW72" i="5"/>
  <c r="AS72" i="5"/>
  <c r="AV72" i="5"/>
  <c r="AS39" i="3"/>
  <c r="AW39" i="3"/>
  <c r="AV39" i="3"/>
  <c r="AD74" i="9"/>
  <c r="AW39" i="6"/>
  <c r="AD84" i="9"/>
  <c r="AV39" i="6"/>
  <c r="AS39" i="6"/>
  <c r="AW4" i="5"/>
  <c r="AD47" i="9"/>
  <c r="AV4" i="5"/>
  <c r="AS4" i="5"/>
  <c r="AS97" i="9"/>
  <c r="AR97" i="9"/>
  <c r="AO97" i="9"/>
  <c r="AD93" i="9"/>
  <c r="AW45" i="2"/>
  <c r="AV45" i="2"/>
  <c r="AO45" i="2"/>
  <c r="AS45" i="2"/>
  <c r="AP45" i="2"/>
  <c r="AN45" i="2"/>
  <c r="AV130" i="1"/>
  <c r="AW130" i="1"/>
  <c r="AD72" i="9"/>
  <c r="AS130" i="1"/>
  <c r="AS95" i="9"/>
  <c r="AO95" i="9"/>
  <c r="AR95" i="9"/>
  <c r="T3" i="1"/>
  <c r="R3" i="9" s="1"/>
  <c r="AR102" i="1"/>
  <c r="AS3" i="5"/>
  <c r="AR16" i="9"/>
  <c r="AP17" i="9"/>
  <c r="AP26" i="9"/>
  <c r="AO15" i="9"/>
  <c r="AR42" i="1"/>
  <c r="AS10" i="9"/>
  <c r="AR18" i="9"/>
  <c r="AO34" i="9"/>
  <c r="AN16" i="9"/>
  <c r="AO6" i="9"/>
  <c r="AO17" i="9"/>
  <c r="AO9" i="9"/>
  <c r="AR34" i="9"/>
  <c r="AR15" i="9"/>
  <c r="AV102" i="1"/>
  <c r="AU3" i="3"/>
  <c r="AN34" i="9"/>
  <c r="AR17" i="9"/>
  <c r="AV3" i="5"/>
  <c r="AU4" i="3"/>
  <c r="AR6" i="9"/>
  <c r="R7" i="9"/>
  <c r="R24" i="9"/>
  <c r="AN26" i="9"/>
  <c r="AQ10" i="9"/>
  <c r="AO18" i="9"/>
  <c r="AR27" i="9"/>
  <c r="AQ102" i="1"/>
  <c r="AW102" i="1"/>
  <c r="AU102" i="1"/>
  <c r="AW3" i="3"/>
  <c r="R4" i="9"/>
  <c r="AW21" i="4"/>
  <c r="AV21" i="4"/>
  <c r="AS21" i="4"/>
  <c r="AR9" i="9"/>
  <c r="R5" i="9"/>
  <c r="AQ17" i="9"/>
  <c r="AS17" i="9"/>
  <c r="AM17" i="9"/>
  <c r="AW3" i="5"/>
  <c r="AU3" i="5"/>
  <c r="AQ3" i="5"/>
  <c r="AS102" i="1"/>
  <c r="AN15" i="9"/>
  <c r="AR6" i="1"/>
  <c r="AR3" i="4"/>
  <c r="AM27" i="9"/>
  <c r="AS27" i="9"/>
  <c r="AQ27" i="9"/>
  <c r="AP15" i="9"/>
  <c r="AQ34" i="9"/>
  <c r="AM34" i="9"/>
  <c r="AS34" i="9"/>
  <c r="AT3" i="5"/>
  <c r="AS18" i="9"/>
  <c r="AQ18" i="9"/>
  <c r="AM18" i="9"/>
  <c r="AM16" i="9"/>
  <c r="AQ16" i="9"/>
  <c r="AS16" i="9"/>
  <c r="AR8" i="9"/>
  <c r="AO8" i="9"/>
  <c r="AS42" i="1"/>
  <c r="AR26" i="9"/>
  <c r="AV3" i="4"/>
  <c r="AS15" i="9"/>
  <c r="AQ15" i="9"/>
  <c r="AM15" i="9"/>
  <c r="AV42" i="1"/>
  <c r="AO26" i="9"/>
  <c r="AR3" i="5"/>
  <c r="AN17" i="9"/>
  <c r="AS3" i="4"/>
  <c r="AW4" i="3"/>
  <c r="AM6" i="9"/>
  <c r="AS6" i="9"/>
  <c r="AQ6" i="9"/>
  <c r="R14" i="9"/>
  <c r="AV6" i="1"/>
  <c r="AS6" i="1"/>
  <c r="AT3" i="4"/>
  <c r="AM9" i="9"/>
  <c r="AU42" i="1"/>
  <c r="AQ42" i="1"/>
  <c r="AW42" i="1"/>
  <c r="AU3" i="4"/>
  <c r="AQ3" i="4"/>
  <c r="AW3" i="4"/>
  <c r="AP16" i="9"/>
  <c r="AM26" i="9"/>
  <c r="AS26" i="9"/>
  <c r="AQ26" i="9"/>
  <c r="AR59" i="9"/>
  <c r="AS59" i="9"/>
  <c r="AO59" i="9"/>
  <c r="AQ6" i="1"/>
  <c r="AW6" i="1"/>
  <c r="AU6" i="1"/>
  <c r="AM8" i="9"/>
  <c r="AE128" i="1"/>
  <c r="AO128" i="1" s="1"/>
  <c r="AC38" i="9"/>
  <c r="AE4" i="1"/>
  <c r="AC47" i="9"/>
  <c r="AC74" i="9"/>
  <c r="AC82" i="9"/>
  <c r="AC57" i="9"/>
  <c r="AK57" i="9" s="1"/>
  <c r="AC92" i="9"/>
  <c r="AC81" i="9"/>
  <c r="AE5" i="5"/>
  <c r="AC72" i="9"/>
  <c r="AC93" i="9"/>
  <c r="AC40" i="9"/>
  <c r="AL40" i="9" s="1"/>
  <c r="AC3" i="9"/>
  <c r="AC83" i="9"/>
  <c r="AC75" i="9"/>
  <c r="AB92" i="9"/>
  <c r="AB90" i="9"/>
  <c r="AB82" i="9"/>
  <c r="AB100" i="9"/>
  <c r="AB83" i="9"/>
  <c r="AB47" i="9"/>
  <c r="AB81" i="9"/>
  <c r="AD5" i="5"/>
  <c r="AB75" i="9"/>
  <c r="AB41" i="9"/>
  <c r="AL41" i="9" s="1"/>
  <c r="AB72" i="9"/>
  <c r="AB78" i="9"/>
  <c r="S24" i="9"/>
  <c r="V24" i="9"/>
  <c r="P24" i="9"/>
  <c r="Y9" i="9"/>
  <c r="AN9" i="9" s="1"/>
  <c r="Y24" i="9"/>
  <c r="AN24" i="9" s="1"/>
  <c r="Y8" i="9"/>
  <c r="AN8" i="9" s="1"/>
  <c r="P7" i="9"/>
  <c r="Y5" i="9"/>
  <c r="V7" i="9"/>
  <c r="Y7" i="9"/>
  <c r="Y4" i="9"/>
  <c r="AN4" i="9" s="1"/>
  <c r="P4" i="9"/>
  <c r="S4" i="9"/>
  <c r="V5" i="9"/>
  <c r="S14" i="9"/>
  <c r="AJ14" i="9" s="1"/>
  <c r="Y14" i="9"/>
  <c r="P14" i="9"/>
  <c r="AB38" i="9"/>
  <c r="AD4" i="1"/>
  <c r="AP4" i="1" s="1"/>
  <c r="AB73" i="9"/>
  <c r="AB3" i="9"/>
  <c r="AB93" i="9"/>
  <c r="Z14" i="9"/>
  <c r="T14" i="9"/>
  <c r="T2" i="9" s="1"/>
  <c r="Q14" i="9"/>
  <c r="Q2" i="9" s="1"/>
  <c r="W14" i="9"/>
  <c r="W2" i="9" s="1"/>
  <c r="L3" i="1"/>
  <c r="J3" i="9" s="1"/>
  <c r="J2" i="9" s="1"/>
  <c r="N2" i="9"/>
  <c r="L2" i="9"/>
  <c r="M2" i="9"/>
  <c r="U2" i="9"/>
  <c r="K2" i="9"/>
  <c r="X2" i="9"/>
  <c r="V14" i="9"/>
  <c r="V4" i="9"/>
  <c r="Q3" i="1"/>
  <c r="O3" i="9" s="1"/>
  <c r="O2" i="9" s="1"/>
  <c r="O7" i="9"/>
  <c r="S7" i="9"/>
  <c r="S5" i="9"/>
  <c r="AP5" i="9" s="1"/>
  <c r="AA5" i="9"/>
  <c r="AB3" i="1"/>
  <c r="Z3" i="9" s="1"/>
  <c r="J3" i="1"/>
  <c r="H3" i="9" s="1"/>
  <c r="H2" i="9" s="1"/>
  <c r="AA3" i="1"/>
  <c r="I3" i="1"/>
  <c r="G3" i="9" s="1"/>
  <c r="G2" i="9" s="1"/>
  <c r="U3" i="1"/>
  <c r="AT3" i="1" s="1"/>
  <c r="AC3" i="1"/>
  <c r="X3" i="1"/>
  <c r="H3" i="1"/>
  <c r="F3" i="9" s="1"/>
  <c r="F2" i="9" s="1"/>
  <c r="K3" i="1"/>
  <c r="I3" i="9" s="1"/>
  <c r="I2" i="9" s="1"/>
  <c r="R3" i="1"/>
  <c r="P3" i="9" s="1"/>
  <c r="G3" i="1"/>
  <c r="E3" i="9" s="1"/>
  <c r="E2" i="9" s="1"/>
  <c r="F102" i="1"/>
  <c r="AL38" i="9" l="1"/>
  <c r="AK38" i="9"/>
  <c r="AP128" i="1"/>
  <c r="AO4" i="1"/>
  <c r="AY3" i="1"/>
  <c r="AK4" i="9"/>
  <c r="AL7" i="9"/>
  <c r="AL5" i="9"/>
  <c r="AK7" i="9"/>
  <c r="AL57" i="9"/>
  <c r="AL14" i="9"/>
  <c r="AJ5" i="9"/>
  <c r="AK40" i="9"/>
  <c r="AK8" i="9"/>
  <c r="AK9" i="9"/>
  <c r="AL24" i="9"/>
  <c r="AP71" i="9"/>
  <c r="AJ71" i="9"/>
  <c r="AP7" i="9"/>
  <c r="AJ7" i="9"/>
  <c r="AP5" i="5"/>
  <c r="AO5" i="5"/>
  <c r="AN5" i="5"/>
  <c r="AL5" i="5"/>
  <c r="AT5" i="5"/>
  <c r="AE80" i="9"/>
  <c r="AL82" i="9"/>
  <c r="AK82" i="9"/>
  <c r="AJ82" i="9"/>
  <c r="AP82" i="9"/>
  <c r="AP73" i="9"/>
  <c r="AJ73" i="9"/>
  <c r="AL93" i="9"/>
  <c r="AK93" i="9"/>
  <c r="AJ93" i="9"/>
  <c r="AP93" i="9"/>
  <c r="AL72" i="9"/>
  <c r="AK72" i="9"/>
  <c r="AJ72" i="9"/>
  <c r="AP72" i="9"/>
  <c r="AP75" i="9"/>
  <c r="AL75" i="9"/>
  <c r="AK75" i="9"/>
  <c r="AJ75" i="9"/>
  <c r="AK24" i="9"/>
  <c r="AL47" i="9"/>
  <c r="AK47" i="9"/>
  <c r="AJ47" i="9"/>
  <c r="AP47" i="9"/>
  <c r="AL83" i="9"/>
  <c r="AK83" i="9"/>
  <c r="AJ83" i="9"/>
  <c r="AP83" i="9"/>
  <c r="AE2" i="9"/>
  <c r="AP3" i="1"/>
  <c r="AE35" i="9"/>
  <c r="AJ36" i="9"/>
  <c r="AP36" i="9"/>
  <c r="AL81" i="9"/>
  <c r="AK81" i="9"/>
  <c r="AJ81" i="9"/>
  <c r="AP81" i="9"/>
  <c r="AL92" i="9"/>
  <c r="AK92" i="9"/>
  <c r="AJ92" i="9"/>
  <c r="AP92" i="9"/>
  <c r="AK14" i="9"/>
  <c r="AP90" i="9"/>
  <c r="AL90" i="9"/>
  <c r="AK90" i="9"/>
  <c r="AJ90" i="9"/>
  <c r="AP24" i="9"/>
  <c r="AJ24" i="9"/>
  <c r="AK5" i="9"/>
  <c r="AP74" i="9"/>
  <c r="AJ74" i="9"/>
  <c r="AJ84" i="9"/>
  <c r="AP84" i="9"/>
  <c r="AO3" i="1"/>
  <c r="AN5" i="1"/>
  <c r="AT5" i="1"/>
  <c r="AL5" i="1"/>
  <c r="AE69" i="9"/>
  <c r="AP4" i="9"/>
  <c r="AJ4" i="9"/>
  <c r="AN3" i="1"/>
  <c r="AL4" i="9"/>
  <c r="AR40" i="9"/>
  <c r="AS40" i="9"/>
  <c r="AO40" i="9"/>
  <c r="AO78" i="9"/>
  <c r="AS78" i="9"/>
  <c r="AS41" i="9"/>
  <c r="AR78" i="9"/>
  <c r="AO41" i="9"/>
  <c r="AR41" i="9"/>
  <c r="AR75" i="9"/>
  <c r="AO75" i="9"/>
  <c r="AS75" i="9"/>
  <c r="AW4" i="1"/>
  <c r="AV4" i="1"/>
  <c r="AD36" i="9"/>
  <c r="AS4" i="1"/>
  <c r="AF5" i="1"/>
  <c r="AS128" i="1"/>
  <c r="AW128" i="1"/>
  <c r="AV128" i="1"/>
  <c r="AD71" i="9"/>
  <c r="AS82" i="9"/>
  <c r="AO82" i="9"/>
  <c r="AR82" i="9"/>
  <c r="AO81" i="9"/>
  <c r="AR81" i="9"/>
  <c r="AS81" i="9"/>
  <c r="AR47" i="9"/>
  <c r="AO47" i="9"/>
  <c r="AS47" i="9"/>
  <c r="AO38" i="9"/>
  <c r="AS38" i="9"/>
  <c r="AR38" i="9"/>
  <c r="AS72" i="9"/>
  <c r="AR72" i="9"/>
  <c r="AO72" i="9"/>
  <c r="AS5" i="5"/>
  <c r="AV5" i="5"/>
  <c r="AD80" i="9"/>
  <c r="AW5" i="5"/>
  <c r="AR93" i="9"/>
  <c r="AS93" i="9"/>
  <c r="AO93" i="9"/>
  <c r="AO83" i="9"/>
  <c r="AS83" i="9"/>
  <c r="AR83" i="9"/>
  <c r="AO92" i="9"/>
  <c r="AS92" i="9"/>
  <c r="AR92" i="9"/>
  <c r="AS9" i="9"/>
  <c r="AQ9" i="9"/>
  <c r="AQ8" i="9"/>
  <c r="R2" i="9"/>
  <c r="AR5" i="9"/>
  <c r="AS8" i="9"/>
  <c r="AS5" i="9"/>
  <c r="AQ5" i="9"/>
  <c r="AM5" i="9"/>
  <c r="AC2" i="9"/>
  <c r="AR4" i="9"/>
  <c r="AO4" i="9"/>
  <c r="AS7" i="9"/>
  <c r="AQ7" i="9"/>
  <c r="AM7" i="9"/>
  <c r="AS4" i="9"/>
  <c r="AM4" i="9"/>
  <c r="AQ4" i="9"/>
  <c r="AN5" i="9"/>
  <c r="AR14" i="9"/>
  <c r="AB2" i="9"/>
  <c r="AO3" i="9"/>
  <c r="AO7" i="9"/>
  <c r="AR7" i="9"/>
  <c r="AN7" i="9"/>
  <c r="AS14" i="9"/>
  <c r="AQ14" i="9"/>
  <c r="AM14" i="9"/>
  <c r="AS57" i="9"/>
  <c r="AR57" i="9"/>
  <c r="AO57" i="9"/>
  <c r="AO5" i="9"/>
  <c r="AO14" i="9"/>
  <c r="AO24" i="9"/>
  <c r="AN14" i="9"/>
  <c r="AQ24" i="9"/>
  <c r="AS24" i="9"/>
  <c r="AM24" i="9"/>
  <c r="AP14" i="9"/>
  <c r="AR24" i="9"/>
  <c r="AC90" i="9"/>
  <c r="AC73" i="9"/>
  <c r="AK73" i="9" s="1"/>
  <c r="AC80" i="9"/>
  <c r="AC36" i="9"/>
  <c r="AC71" i="9"/>
  <c r="AE5" i="1"/>
  <c r="AB74" i="9"/>
  <c r="AL74" i="9" s="1"/>
  <c r="AB80" i="9"/>
  <c r="Z2" i="9"/>
  <c r="V3" i="9"/>
  <c r="AU3" i="1"/>
  <c r="AQ3" i="1"/>
  <c r="AS3" i="1"/>
  <c r="AV3" i="1"/>
  <c r="AW3" i="1"/>
  <c r="Y3" i="9"/>
  <c r="AR3" i="1"/>
  <c r="AB71" i="9"/>
  <c r="AD5" i="1"/>
  <c r="AB36" i="9"/>
  <c r="P2" i="9"/>
  <c r="S3" i="9"/>
  <c r="AP3" i="9" s="1"/>
  <c r="F3" i="1"/>
  <c r="D3" i="9" s="1"/>
  <c r="D7" i="9"/>
  <c r="AA3" i="9"/>
  <c r="AA2" i="9" s="1"/>
  <c r="AP5" i="1" l="1"/>
  <c r="AL71" i="9"/>
  <c r="AO5" i="1"/>
  <c r="AK36" i="9"/>
  <c r="AL73" i="9"/>
  <c r="AK71" i="9"/>
  <c r="AL36" i="9"/>
  <c r="AK74" i="9"/>
  <c r="AE68" i="9"/>
  <c r="AJ69" i="9"/>
  <c r="AP69" i="9"/>
  <c r="AL3" i="9"/>
  <c r="AJ35" i="9"/>
  <c r="AP35" i="9"/>
  <c r="AK80" i="9"/>
  <c r="AJ80" i="9"/>
  <c r="AL80" i="9"/>
  <c r="AP80" i="9"/>
  <c r="AK3" i="9"/>
  <c r="AJ3" i="9"/>
  <c r="AS90" i="9"/>
  <c r="AR90" i="9"/>
  <c r="AO90" i="9"/>
  <c r="AR73" i="9"/>
  <c r="AO73" i="9"/>
  <c r="AS73" i="9"/>
  <c r="AO74" i="9"/>
  <c r="AS74" i="9"/>
  <c r="AR74" i="9"/>
  <c r="AR36" i="9"/>
  <c r="AD35" i="9"/>
  <c r="AS36" i="9"/>
  <c r="AO36" i="9"/>
  <c r="AS80" i="9"/>
  <c r="AR80" i="9"/>
  <c r="AO80" i="9"/>
  <c r="AS71" i="9"/>
  <c r="AO71" i="9"/>
  <c r="AR71" i="9"/>
  <c r="AW5" i="1"/>
  <c r="AV5" i="1"/>
  <c r="AD69" i="9"/>
  <c r="AS5" i="1"/>
  <c r="AR3" i="9"/>
  <c r="V2" i="9"/>
  <c r="AQ3" i="9"/>
  <c r="AS3" i="9"/>
  <c r="AM3" i="9"/>
  <c r="Y2" i="9"/>
  <c r="AN3" i="9"/>
  <c r="AC69" i="9"/>
  <c r="AB69" i="9"/>
  <c r="D2" i="9"/>
  <c r="S2" i="9"/>
  <c r="AL2" i="9" s="1"/>
  <c r="AO2" i="9"/>
  <c r="AK69" i="9" l="1"/>
  <c r="AL69" i="9"/>
  <c r="AJ2" i="9"/>
  <c r="AK2" i="9"/>
  <c r="AJ68" i="9"/>
  <c r="AP68" i="9"/>
  <c r="AQ2" i="9"/>
  <c r="AD68" i="9"/>
  <c r="AO69" i="9"/>
  <c r="AR69" i="9"/>
  <c r="AS69" i="9"/>
  <c r="AS2" i="9"/>
  <c r="AP2" i="9"/>
  <c r="AN2" i="9"/>
  <c r="AM2" i="9"/>
  <c r="AR2" i="9"/>
  <c r="AE33" i="6" l="1"/>
  <c r="AD33" i="6"/>
  <c r="AP33" i="6" l="1"/>
  <c r="AO33" i="6"/>
  <c r="AC51" i="9"/>
  <c r="AB51" i="9"/>
  <c r="AC53" i="9"/>
  <c r="AB53" i="9"/>
  <c r="AL53" i="9" l="1"/>
  <c r="AK53" i="9"/>
  <c r="AB35" i="9"/>
  <c r="AL51" i="9"/>
  <c r="AK51" i="9"/>
  <c r="AS53" i="9"/>
  <c r="AR53" i="9"/>
  <c r="AO53" i="9"/>
  <c r="AO51" i="9"/>
  <c r="AR51" i="9"/>
  <c r="AS51" i="9"/>
  <c r="AC35" i="9"/>
  <c r="AS35" i="9" s="1"/>
  <c r="AB86" i="9"/>
  <c r="AB84" i="9"/>
  <c r="AC86" i="9"/>
  <c r="AL86" i="9" l="1"/>
  <c r="AK86" i="9"/>
  <c r="AL35" i="9"/>
  <c r="AK35" i="9"/>
  <c r="AL84" i="9"/>
  <c r="AK84" i="9"/>
  <c r="AS86" i="9"/>
  <c r="AO86" i="9"/>
  <c r="AR86" i="9"/>
  <c r="AO35" i="9"/>
  <c r="AR84" i="9"/>
  <c r="AO84" i="9"/>
  <c r="AS84" i="9"/>
  <c r="AR35" i="9"/>
  <c r="AC84" i="9"/>
  <c r="AB68" i="9"/>
  <c r="AC100" i="9" l="1"/>
  <c r="AL100" i="9" l="1"/>
  <c r="AK100" i="9"/>
  <c r="AR100" i="9"/>
  <c r="AS100" i="9"/>
  <c r="AO100" i="9"/>
  <c r="AC68" i="9"/>
  <c r="AK68" i="9" l="1"/>
  <c r="AL68" i="9"/>
  <c r="AO68" i="9"/>
  <c r="AS68" i="9"/>
  <c r="AR68" i="9"/>
</calcChain>
</file>

<file path=xl/sharedStrings.xml><?xml version="1.0" encoding="utf-8"?>
<sst xmlns="http://schemas.openxmlformats.org/spreadsheetml/2006/main" count="5408" uniqueCount="769">
  <si>
    <t>Category</t>
  </si>
  <si>
    <t>Barcode</t>
  </si>
  <si>
    <t>Customer Code</t>
  </si>
  <si>
    <t>Base Price</t>
  </si>
  <si>
    <t>Hair</t>
  </si>
  <si>
    <t>HR</t>
  </si>
  <si>
    <t>Fuji</t>
  </si>
  <si>
    <t>Gochiso</t>
  </si>
  <si>
    <t>Base</t>
  </si>
  <si>
    <t>Ironman</t>
  </si>
  <si>
    <t>PERT</t>
  </si>
  <si>
    <t>3MM</t>
  </si>
  <si>
    <t>Marilyn</t>
  </si>
  <si>
    <t>Miracles</t>
  </si>
  <si>
    <t>Core+</t>
  </si>
  <si>
    <t>Skin</t>
  </si>
  <si>
    <t>Olay</t>
  </si>
  <si>
    <t>RG</t>
  </si>
  <si>
    <t>WR</t>
  </si>
  <si>
    <t>Magic</t>
  </si>
  <si>
    <t>Ivory</t>
  </si>
  <si>
    <t>Delist</t>
  </si>
  <si>
    <t>Oral</t>
  </si>
  <si>
    <t>Floss</t>
  </si>
  <si>
    <t>Refill</t>
  </si>
  <si>
    <t>Gillete</t>
  </si>
  <si>
    <t>Proshield</t>
  </si>
  <si>
    <t>Fusion</t>
  </si>
  <si>
    <t>Proglide</t>
  </si>
  <si>
    <t>Skinguard</t>
  </si>
  <si>
    <t>Mach3</t>
  </si>
  <si>
    <t>Labs</t>
  </si>
  <si>
    <t>Disposable</t>
  </si>
  <si>
    <t>Laundry</t>
  </si>
  <si>
    <t>Ariel</t>
  </si>
  <si>
    <t>Ariel LIQ</t>
  </si>
  <si>
    <t>Ariel SUD</t>
  </si>
  <si>
    <t>Bold</t>
  </si>
  <si>
    <t>Lenor</t>
  </si>
  <si>
    <t>Home</t>
  </si>
  <si>
    <t>Febreze</t>
  </si>
  <si>
    <t>FR</t>
  </si>
  <si>
    <t>Merlion-AM</t>
  </si>
  <si>
    <t>Merlion- Entrance</t>
  </si>
  <si>
    <t>Pampers</t>
  </si>
  <si>
    <t>ICHIBAN</t>
  </si>
  <si>
    <t>ICHIBAN Pants</t>
  </si>
  <si>
    <t>OVN Pants</t>
  </si>
  <si>
    <t>Masstige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</si>
  <si>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</si>
  <si>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</si>
  <si>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</si>
  <si>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</si>
  <si>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</si>
  <si>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</si>
  <si>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</si>
  <si>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</si>
  <si>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</si>
  <si>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</si>
  <si>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</si>
  <si>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</si>
  <si>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</si>
  <si>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</si>
  <si>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</si>
  <si>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</si>
  <si>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</si>
  <si>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</si>
  <si>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202601</t>
  </si>
  <si>
    <t>202602</t>
  </si>
  <si>
    <t>202603</t>
  </si>
  <si>
    <t>202604</t>
  </si>
  <si>
    <t>202605</t>
  </si>
  <si>
    <t>202606</t>
  </si>
  <si>
    <t>O+O Qty</t>
  </si>
  <si>
    <t>Offline Qty</t>
  </si>
  <si>
    <t>Online Qty</t>
  </si>
  <si>
    <t>O+O GIV</t>
  </si>
  <si>
    <t>Offtake</t>
  </si>
  <si>
    <t>Type</t>
  </si>
  <si>
    <t>Brand</t>
  </si>
  <si>
    <t>Line-up</t>
  </si>
  <si>
    <t>HNS</t>
  </si>
  <si>
    <t>Bullseye</t>
  </si>
  <si>
    <t>Total</t>
  </si>
  <si>
    <t>Core</t>
  </si>
  <si>
    <t>PTN</t>
  </si>
  <si>
    <t>Others</t>
  </si>
  <si>
    <t>Pert</t>
  </si>
  <si>
    <t>Fuji-Oil</t>
  </si>
  <si>
    <t>BB</t>
  </si>
  <si>
    <t>Actual</t>
  </si>
  <si>
    <t>JAS</t>
  </si>
  <si>
    <t>OND</t>
  </si>
  <si>
    <t>JFM</t>
  </si>
  <si>
    <t>AMJ</t>
  </si>
  <si>
    <t>1H</t>
  </si>
  <si>
    <t>2H</t>
  </si>
  <si>
    <t>FY</t>
  </si>
  <si>
    <t xml:space="preserve">CM </t>
  </si>
  <si>
    <t xml:space="preserve">FYTD </t>
  </si>
  <si>
    <r>
      <t>EC)</t>
    </r>
    <r>
      <rPr>
        <sz val="11"/>
        <color theme="1"/>
        <rFont val="微軟正黑體"/>
        <family val="2"/>
        <charset val="136"/>
      </rPr>
      <t>歐樂</t>
    </r>
    <r>
      <rPr>
        <sz val="11"/>
        <color theme="1"/>
        <rFont val="Calibri"/>
        <family val="2"/>
      </rPr>
      <t>B Oral-B</t>
    </r>
    <r>
      <rPr>
        <sz val="11"/>
        <color theme="1"/>
        <rFont val="微軟正黑體"/>
        <family val="2"/>
        <charset val="136"/>
      </rPr>
      <t>精準多角度</t>
    </r>
    <r>
      <rPr>
        <sz val="11"/>
        <color theme="1"/>
        <rFont val="Calibri"/>
        <family val="2"/>
      </rPr>
      <t>^</t>
    </r>
    <r>
      <rPr>
        <sz val="11"/>
        <color theme="1"/>
        <rFont val="微軟正黑體"/>
        <family val="2"/>
        <charset val="136"/>
      </rPr>
      <t>牙刷</t>
    </r>
    <r>
      <rPr>
        <sz val="11"/>
        <color theme="1"/>
        <rFont val="Calibri"/>
        <family val="2"/>
      </rPr>
      <t>4</t>
    </r>
    <r>
      <rPr>
        <sz val="11"/>
        <color theme="1"/>
        <rFont val="微軟正黑體"/>
        <family val="2"/>
        <charset val="136"/>
      </rPr>
      <t>支入</t>
    </r>
  </si>
  <si>
    <r>
      <t>EC/</t>
    </r>
    <r>
      <rPr>
        <sz val="11"/>
        <color theme="1"/>
        <rFont val="微軟正黑體"/>
        <family val="2"/>
        <charset val="136"/>
      </rPr>
      <t>預</t>
    </r>
    <r>
      <rPr>
        <sz val="11"/>
        <color theme="1"/>
        <rFont val="Calibri"/>
        <family val="2"/>
      </rPr>
      <t>)</t>
    </r>
    <r>
      <rPr>
        <sz val="11"/>
        <color theme="1"/>
        <rFont val="微軟正黑體"/>
        <family val="2"/>
        <charset val="136"/>
      </rPr>
      <t>幫寶適極上守護黏貼型嬰兒紙尿褲</t>
    </r>
    <r>
      <rPr>
        <sz val="11"/>
        <color theme="1"/>
        <rFont val="Calibri"/>
        <family val="2"/>
      </rPr>
      <t>M 152</t>
    </r>
    <r>
      <rPr>
        <sz val="11"/>
        <color theme="1"/>
        <rFont val="微軟正黑體"/>
        <family val="2"/>
        <charset val="136"/>
      </rPr>
      <t>片</t>
    </r>
  </si>
  <si>
    <t>OLAYII</t>
  </si>
  <si>
    <t>Total</t>
    <phoneticPr fontId="5" type="noConversion"/>
  </si>
  <si>
    <t>Skin</t>
    <phoneticPr fontId="5" type="noConversion"/>
  </si>
  <si>
    <t>OLAY</t>
    <phoneticPr fontId="5" type="noConversion"/>
  </si>
  <si>
    <t>RG-T&amp;E</t>
    <phoneticPr fontId="5" type="noConversion"/>
  </si>
  <si>
    <t>Fabric</t>
  </si>
  <si>
    <t>Fabric</t>
    <phoneticPr fontId="5" type="noConversion"/>
  </si>
  <si>
    <t>Ariel</t>
    <phoneticPr fontId="5" type="noConversion"/>
  </si>
  <si>
    <t>FR</t>
    <phoneticPr fontId="5" type="noConversion"/>
  </si>
  <si>
    <t>Merlion-AB</t>
    <phoneticPr fontId="5" type="noConversion"/>
  </si>
  <si>
    <t>Merlion-AM</t>
    <phoneticPr fontId="5" type="noConversion"/>
  </si>
  <si>
    <t>Home</t>
    <phoneticPr fontId="5" type="noConversion"/>
  </si>
  <si>
    <t>Merlion Total</t>
    <phoneticPr fontId="5" type="noConversion"/>
  </si>
  <si>
    <t>Oral</t>
    <phoneticPr fontId="5" type="noConversion"/>
  </si>
  <si>
    <t>OCM</t>
    <phoneticPr fontId="5" type="noConversion"/>
  </si>
  <si>
    <t>OCP</t>
    <phoneticPr fontId="5" type="noConversion"/>
  </si>
  <si>
    <t>Crest</t>
    <phoneticPr fontId="5" type="noConversion"/>
  </si>
  <si>
    <t>Handle</t>
    <phoneticPr fontId="5" type="noConversion"/>
  </si>
  <si>
    <t>TP</t>
    <phoneticPr fontId="5" type="noConversion"/>
  </si>
  <si>
    <t>Floss</t>
    <phoneticPr fontId="5" type="noConversion"/>
  </si>
  <si>
    <t>Others</t>
    <phoneticPr fontId="5" type="noConversion"/>
  </si>
  <si>
    <t>Prowhite</t>
    <phoneticPr fontId="5" type="noConversion"/>
  </si>
  <si>
    <t>Premium day</t>
  </si>
  <si>
    <t>OVN Pads</t>
  </si>
  <si>
    <t>Fem</t>
    <phoneticPr fontId="5" type="noConversion"/>
  </si>
  <si>
    <t>WHP</t>
    <phoneticPr fontId="5" type="noConversion"/>
  </si>
  <si>
    <t>Labs</t>
    <phoneticPr fontId="5" type="noConversion"/>
  </si>
  <si>
    <t>Fusion</t>
    <phoneticPr fontId="5" type="noConversion"/>
  </si>
  <si>
    <t>Proglide</t>
    <phoneticPr fontId="5" type="noConversion"/>
  </si>
  <si>
    <t>Prep</t>
    <phoneticPr fontId="5" type="noConversion"/>
  </si>
  <si>
    <t>Gillette</t>
  </si>
  <si>
    <t>Gillette</t>
    <phoneticPr fontId="5" type="noConversion"/>
  </si>
  <si>
    <t>CYTD</t>
    <phoneticPr fontId="5" type="noConversion"/>
  </si>
  <si>
    <t xml:space="preserve">FYTD </t>
    <phoneticPr fontId="5" type="noConversion"/>
  </si>
  <si>
    <t>Skin</t>
    <phoneticPr fontId="5" type="noConversion"/>
  </si>
  <si>
    <t>Home</t>
    <phoneticPr fontId="5" type="noConversion"/>
  </si>
  <si>
    <t>Oral</t>
    <phoneticPr fontId="5" type="noConversion"/>
  </si>
  <si>
    <t>Fem</t>
    <phoneticPr fontId="5" type="noConversion"/>
  </si>
  <si>
    <t>Shave</t>
    <phoneticPr fontId="5" type="noConversion"/>
  </si>
  <si>
    <t>Total</t>
    <phoneticPr fontId="5" type="noConversion"/>
  </si>
  <si>
    <t>O+O GIV</t>
    <phoneticPr fontId="5" type="noConversion"/>
  </si>
  <si>
    <t>Fuji</t>
    <phoneticPr fontId="5" type="noConversion"/>
  </si>
  <si>
    <t>Gochiso</t>
    <phoneticPr fontId="5" type="noConversion"/>
  </si>
  <si>
    <t>Fuji-Oil</t>
    <phoneticPr fontId="5" type="noConversion"/>
  </si>
  <si>
    <t>Hair</t>
    <phoneticPr fontId="5" type="noConversion"/>
  </si>
  <si>
    <r>
      <rPr>
        <sz val="11"/>
        <color theme="1"/>
        <rFont val="微軟正黑體"/>
        <family val="2"/>
        <charset val="136"/>
      </rPr>
      <t>品牌</t>
    </r>
  </si>
  <si>
    <r>
      <rPr>
        <sz val="11"/>
        <color theme="1"/>
        <rFont val="微軟正黑體"/>
        <family val="2"/>
        <charset val="136"/>
      </rPr>
      <t>系列</t>
    </r>
  </si>
  <si>
    <r>
      <rPr>
        <sz val="11"/>
        <color theme="1"/>
        <rFont val="微軟正黑體"/>
        <family val="2"/>
        <charset val="136"/>
      </rPr>
      <t>品名</t>
    </r>
  </si>
  <si>
    <r>
      <t xml:space="preserve">Hair Recipe </t>
    </r>
    <r>
      <rPr>
        <sz val="11"/>
        <color theme="1"/>
        <rFont val="微軟正黑體"/>
        <family val="2"/>
        <charset val="136"/>
      </rPr>
      <t>奇異果控油營養洗髮露</t>
    </r>
    <r>
      <rPr>
        <sz val="11"/>
        <color theme="1"/>
        <rFont val="Calibri"/>
        <family val="2"/>
      </rPr>
      <t>530ml</t>
    </r>
  </si>
  <si>
    <r>
      <t xml:space="preserve">Hair Recipe </t>
    </r>
    <r>
      <rPr>
        <sz val="11"/>
        <color theme="1"/>
        <rFont val="微軟正黑體"/>
        <family val="2"/>
        <charset val="136"/>
      </rPr>
      <t>奇異果控油營養護髮精華素</t>
    </r>
    <r>
      <rPr>
        <sz val="11"/>
        <color theme="1"/>
        <rFont val="Calibri"/>
        <family val="2"/>
      </rPr>
      <t xml:space="preserve">530g </t>
    </r>
  </si>
  <si>
    <r>
      <t>HR</t>
    </r>
    <r>
      <rPr>
        <sz val="11"/>
        <color theme="1"/>
        <rFont val="微軟正黑體"/>
        <family val="2"/>
        <charset val="136"/>
      </rPr>
      <t>生薑蘋果防斷滋養護髮精華素</t>
    </r>
    <r>
      <rPr>
        <sz val="11"/>
        <color theme="1"/>
        <rFont val="Calibri"/>
        <family val="2"/>
      </rPr>
      <t>530ml</t>
    </r>
  </si>
  <si>
    <r>
      <t>HR</t>
    </r>
    <r>
      <rPr>
        <sz val="11"/>
        <color theme="1"/>
        <rFont val="微軟正黑體"/>
        <family val="2"/>
        <charset val="136"/>
      </rPr>
      <t>生薑蘋果防斷滋養洗髮露</t>
    </r>
    <r>
      <rPr>
        <sz val="11"/>
        <color theme="1"/>
        <rFont val="Calibri"/>
        <family val="2"/>
      </rPr>
      <t>530ml</t>
    </r>
  </si>
  <si>
    <r>
      <t>HR</t>
    </r>
    <r>
      <rPr>
        <sz val="11"/>
        <color theme="1"/>
        <rFont val="微軟正黑體"/>
        <family val="2"/>
        <charset val="136"/>
      </rPr>
      <t>髮の料理蜂蜜石榴水潤亮澤洗髮露</t>
    </r>
    <r>
      <rPr>
        <sz val="11"/>
        <color theme="1"/>
        <rFont val="Calibri"/>
        <family val="2"/>
      </rPr>
      <t>530</t>
    </r>
    <r>
      <rPr>
        <sz val="11"/>
        <color theme="1"/>
        <rFont val="微軟正黑體"/>
        <family val="2"/>
        <charset val="136"/>
      </rPr>
      <t>毫升</t>
    </r>
  </si>
  <si>
    <r>
      <t>HR</t>
    </r>
    <r>
      <rPr>
        <sz val="11"/>
        <color theme="1"/>
        <rFont val="微軟正黑體"/>
        <family val="2"/>
        <charset val="136"/>
      </rPr>
      <t>髮の料理蜂蜜石榴水潤亮澤潤髮乳</t>
    </r>
    <r>
      <rPr>
        <sz val="11"/>
        <color theme="1"/>
        <rFont val="Calibri"/>
        <family val="2"/>
      </rPr>
      <t>530</t>
    </r>
    <r>
      <rPr>
        <sz val="11"/>
        <color theme="1"/>
        <rFont val="微軟正黑體"/>
        <family val="2"/>
        <charset val="136"/>
      </rPr>
      <t>克</t>
    </r>
  </si>
  <si>
    <r>
      <t>HR</t>
    </r>
    <r>
      <rPr>
        <sz val="11"/>
        <color theme="1"/>
        <rFont val="微軟正黑體"/>
        <family val="2"/>
        <charset val="136"/>
      </rPr>
      <t>髮の食譜綠茶柚子淨油保濕水感洗髮露</t>
    </r>
    <r>
      <rPr>
        <sz val="11"/>
        <color theme="1"/>
        <rFont val="Calibri"/>
        <family val="2"/>
      </rPr>
      <t>530</t>
    </r>
    <r>
      <rPr>
        <sz val="11"/>
        <color theme="1"/>
        <rFont val="微軟正黑體"/>
        <family val="2"/>
        <charset val="136"/>
      </rPr>
      <t>毫升</t>
    </r>
  </si>
  <si>
    <r>
      <t>HR</t>
    </r>
    <r>
      <rPr>
        <sz val="11"/>
        <color theme="1"/>
        <rFont val="微軟正黑體"/>
        <family val="2"/>
        <charset val="136"/>
      </rPr>
      <t>髮の食譜綠茶柚子頭皮頭髮精華髮膜</t>
    </r>
    <r>
      <rPr>
        <sz val="11"/>
        <color theme="1"/>
        <rFont val="Calibri"/>
        <family val="2"/>
      </rPr>
      <t>12</t>
    </r>
    <r>
      <rPr>
        <sz val="11"/>
        <color theme="1"/>
        <rFont val="微軟正黑體"/>
        <family val="2"/>
        <charset val="136"/>
      </rPr>
      <t>毫升</t>
    </r>
    <r>
      <rPr>
        <sz val="11"/>
        <color theme="1"/>
        <rFont val="Calibri"/>
        <family val="2"/>
      </rPr>
      <t>*6</t>
    </r>
  </si>
  <si>
    <r>
      <t>HR</t>
    </r>
    <r>
      <rPr>
        <sz val="11"/>
        <color theme="1"/>
        <rFont val="微軟正黑體"/>
        <family val="2"/>
        <charset val="136"/>
      </rPr>
      <t>髮の食譜綠茶柚子頭皮頭髮精華髮膜</t>
    </r>
    <r>
      <rPr>
        <sz val="11"/>
        <color theme="1"/>
        <rFont val="Calibri"/>
        <family val="2"/>
      </rPr>
      <t>12</t>
    </r>
    <r>
      <rPr>
        <sz val="11"/>
        <color theme="1"/>
        <rFont val="微軟正黑體"/>
        <family val="2"/>
        <charset val="136"/>
      </rPr>
      <t>毫升</t>
    </r>
    <r>
      <rPr>
        <sz val="11"/>
        <color theme="1"/>
        <rFont val="Calibri"/>
        <family val="2"/>
      </rPr>
      <t>*2</t>
    </r>
  </si>
  <si>
    <r>
      <t>HR</t>
    </r>
    <r>
      <rPr>
        <sz val="11"/>
        <color theme="1"/>
        <rFont val="微軟正黑體"/>
        <family val="2"/>
        <charset val="136"/>
      </rPr>
      <t>髮の料理蘋果生薑洗潤組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洗</t>
    </r>
    <r>
      <rPr>
        <sz val="11"/>
        <color theme="1"/>
        <rFont val="Calibri"/>
        <family val="2"/>
      </rPr>
      <t>46</t>
    </r>
    <r>
      <rPr>
        <sz val="11"/>
        <color theme="1"/>
        <rFont val="微軟正黑體"/>
        <family val="2"/>
        <charset val="136"/>
      </rPr>
      <t>毫升</t>
    </r>
    <r>
      <rPr>
        <sz val="11"/>
        <color theme="1"/>
        <rFont val="Calibri"/>
        <family val="2"/>
      </rPr>
      <t>+</t>
    </r>
    <r>
      <rPr>
        <sz val="11"/>
        <color theme="1"/>
        <rFont val="微軟正黑體"/>
        <family val="2"/>
        <charset val="136"/>
      </rPr>
      <t>潤</t>
    </r>
    <r>
      <rPr>
        <sz val="11"/>
        <color theme="1"/>
        <rFont val="Calibri"/>
        <family val="2"/>
      </rPr>
      <t>46</t>
    </r>
    <r>
      <rPr>
        <sz val="11"/>
        <color theme="1"/>
        <rFont val="微軟正黑體"/>
        <family val="2"/>
        <charset val="136"/>
      </rPr>
      <t>克</t>
    </r>
    <r>
      <rPr>
        <sz val="11"/>
        <color theme="1"/>
        <rFont val="Calibri"/>
        <family val="2"/>
      </rPr>
      <t>)</t>
    </r>
  </si>
  <si>
    <r>
      <t>HR</t>
    </r>
    <r>
      <rPr>
        <sz val="11"/>
        <color theme="1"/>
        <rFont val="微軟正黑體"/>
        <family val="2"/>
        <charset val="136"/>
      </rPr>
      <t>米糠溫養修護洗髮精</t>
    </r>
    <r>
      <rPr>
        <sz val="11"/>
        <color theme="1"/>
        <rFont val="Calibri"/>
        <family val="2"/>
      </rPr>
      <t>350ML</t>
    </r>
  </si>
  <si>
    <r>
      <t>HR</t>
    </r>
    <r>
      <rPr>
        <sz val="11"/>
        <color theme="1"/>
        <rFont val="微軟正黑體"/>
        <family val="2"/>
        <charset val="136"/>
      </rPr>
      <t>米糠溫養豐盈洗髮精</t>
    </r>
    <r>
      <rPr>
        <sz val="11"/>
        <color theme="1"/>
        <rFont val="Calibri"/>
        <family val="2"/>
      </rPr>
      <t>350ML</t>
    </r>
  </si>
  <si>
    <r>
      <t>HR</t>
    </r>
    <r>
      <rPr>
        <sz val="11"/>
        <color theme="1"/>
        <rFont val="微軟正黑體"/>
        <family val="2"/>
        <charset val="136"/>
      </rPr>
      <t>米糠溫養修護護髮素</t>
    </r>
    <r>
      <rPr>
        <sz val="11"/>
        <color theme="1"/>
        <rFont val="Calibri"/>
        <family val="2"/>
      </rPr>
      <t>350G</t>
    </r>
  </si>
  <si>
    <r>
      <t>HR</t>
    </r>
    <r>
      <rPr>
        <sz val="11"/>
        <color theme="1"/>
        <rFont val="微軟正黑體"/>
        <family val="2"/>
        <charset val="136"/>
      </rPr>
      <t>米糠溫養豐盈護髮素</t>
    </r>
    <r>
      <rPr>
        <sz val="11"/>
        <color theme="1"/>
        <rFont val="Calibri"/>
        <family val="2"/>
      </rPr>
      <t>350G</t>
    </r>
  </si>
  <si>
    <r>
      <t>HR</t>
    </r>
    <r>
      <rPr>
        <sz val="11"/>
        <color theme="1"/>
        <rFont val="微軟正黑體"/>
        <family val="2"/>
        <charset val="136"/>
      </rPr>
      <t>米糠溫和養髮精油</t>
    </r>
    <r>
      <rPr>
        <sz val="11"/>
        <color theme="1"/>
        <rFont val="Calibri"/>
        <family val="2"/>
      </rPr>
      <t>53ML</t>
    </r>
  </si>
  <si>
    <r>
      <t>HR</t>
    </r>
    <r>
      <rPr>
        <sz val="11"/>
        <color theme="1"/>
        <rFont val="微軟正黑體"/>
        <family val="2"/>
        <charset val="136"/>
      </rPr>
      <t>髮の食譜綠茶柚子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洗髮露</t>
    </r>
    <r>
      <rPr>
        <sz val="11"/>
        <color theme="1"/>
        <rFont val="Calibri"/>
        <family val="2"/>
      </rPr>
      <t>*1+</t>
    </r>
    <r>
      <rPr>
        <sz val="11"/>
        <color theme="1"/>
        <rFont val="微軟正黑體"/>
        <family val="2"/>
        <charset val="136"/>
      </rPr>
      <t>精華髮膜</t>
    </r>
    <r>
      <rPr>
        <sz val="11"/>
        <color theme="1"/>
        <rFont val="Calibri"/>
        <family val="2"/>
      </rPr>
      <t>*2)</t>
    </r>
  </si>
  <si>
    <r>
      <t>HR</t>
    </r>
    <r>
      <rPr>
        <sz val="11"/>
        <color theme="1"/>
        <rFont val="微軟正黑體"/>
        <family val="2"/>
        <charset val="136"/>
      </rPr>
      <t>髮の食譜綠茶柚子清爽保濕洗髮露</t>
    </r>
    <r>
      <rPr>
        <sz val="11"/>
        <color theme="1"/>
        <rFont val="Calibri"/>
        <family val="2"/>
      </rPr>
      <t>280</t>
    </r>
    <r>
      <rPr>
        <sz val="11"/>
        <color theme="1"/>
        <rFont val="微軟正黑體"/>
        <family val="2"/>
        <charset val="136"/>
      </rPr>
      <t>毫升</t>
    </r>
  </si>
  <si>
    <r>
      <t>HR</t>
    </r>
    <r>
      <rPr>
        <sz val="11"/>
        <color theme="1"/>
        <rFont val="微軟正黑體"/>
        <family val="2"/>
        <charset val="136"/>
      </rPr>
      <t>髮の食譜生薑清茶防斷豐盈洗髮露</t>
    </r>
    <r>
      <rPr>
        <sz val="11"/>
        <color theme="1"/>
        <rFont val="Calibri"/>
        <family val="2"/>
      </rPr>
      <t>530</t>
    </r>
    <r>
      <rPr>
        <sz val="11"/>
        <color theme="1"/>
        <rFont val="微軟正黑體"/>
        <family val="2"/>
        <charset val="136"/>
      </rPr>
      <t>毫升</t>
    </r>
  </si>
  <si>
    <r>
      <t>HR</t>
    </r>
    <r>
      <rPr>
        <sz val="11"/>
        <color theme="1"/>
        <rFont val="微軟正黑體"/>
        <family val="2"/>
        <charset val="136"/>
      </rPr>
      <t>髮の食譜無花果白茶控油蓬鬆洗髮露</t>
    </r>
    <r>
      <rPr>
        <sz val="11"/>
        <color theme="1"/>
        <rFont val="Calibri"/>
        <family val="2"/>
      </rPr>
      <t>80</t>
    </r>
    <r>
      <rPr>
        <sz val="11"/>
        <color theme="1"/>
        <rFont val="微軟正黑體"/>
        <family val="2"/>
        <charset val="136"/>
      </rPr>
      <t>克</t>
    </r>
  </si>
  <si>
    <r>
      <t>HR</t>
    </r>
    <r>
      <rPr>
        <sz val="11"/>
        <color theme="1"/>
        <rFont val="微軟正黑體"/>
        <family val="2"/>
        <charset val="136"/>
      </rPr>
      <t>髮の食譜無花果白茶控油蓬鬆洗髮露</t>
    </r>
    <r>
      <rPr>
        <sz val="11"/>
        <color theme="1"/>
        <rFont val="Calibri"/>
        <family val="2"/>
      </rPr>
      <t>510</t>
    </r>
    <r>
      <rPr>
        <sz val="11"/>
        <color theme="1"/>
        <rFont val="微軟正黑體"/>
        <family val="2"/>
        <charset val="136"/>
      </rPr>
      <t>克</t>
    </r>
  </si>
  <si>
    <r>
      <t>HR</t>
    </r>
    <r>
      <rPr>
        <sz val="11"/>
        <color theme="1"/>
        <rFont val="微軟正黑體"/>
        <family val="2"/>
        <charset val="136"/>
      </rPr>
      <t>髮の食譜無花果白茶輕盈蓬鬆護髮精華</t>
    </r>
    <r>
      <rPr>
        <sz val="11"/>
        <color theme="1"/>
        <rFont val="Calibri"/>
        <family val="2"/>
      </rPr>
      <t>510</t>
    </r>
    <r>
      <rPr>
        <sz val="11"/>
        <color theme="1"/>
        <rFont val="微軟正黑體"/>
        <family val="2"/>
        <charset val="136"/>
      </rPr>
      <t>克</t>
    </r>
  </si>
  <si>
    <r>
      <t>HR</t>
    </r>
    <r>
      <rPr>
        <sz val="11"/>
        <color theme="1"/>
        <rFont val="微軟正黑體"/>
        <family val="2"/>
        <charset val="136"/>
      </rPr>
      <t>髮の食譜玫瑰蜜香茶滋養修護洗髮露</t>
    </r>
    <r>
      <rPr>
        <sz val="11"/>
        <color theme="1"/>
        <rFont val="Calibri"/>
        <family val="2"/>
      </rPr>
      <t>510</t>
    </r>
    <r>
      <rPr>
        <sz val="11"/>
        <color theme="1"/>
        <rFont val="微軟正黑體"/>
        <family val="2"/>
        <charset val="136"/>
      </rPr>
      <t>克</t>
    </r>
  </si>
  <si>
    <r>
      <t>HR</t>
    </r>
    <r>
      <rPr>
        <sz val="11"/>
        <color theme="1"/>
        <rFont val="微軟正黑體"/>
        <family val="2"/>
        <charset val="136"/>
      </rPr>
      <t>髮の食譜玫瑰蜜香茶滋養修護護髮精華</t>
    </r>
    <r>
      <rPr>
        <sz val="11"/>
        <color theme="1"/>
        <rFont val="Calibri"/>
        <family val="2"/>
      </rPr>
      <t>510</t>
    </r>
    <r>
      <rPr>
        <sz val="11"/>
        <color theme="1"/>
        <rFont val="微軟正黑體"/>
        <family val="2"/>
        <charset val="136"/>
      </rPr>
      <t>克</t>
    </r>
  </si>
  <si>
    <r>
      <t>HR</t>
    </r>
    <r>
      <rPr>
        <sz val="11"/>
        <color theme="1"/>
        <rFont val="微軟正黑體"/>
        <family val="2"/>
        <charset val="136"/>
      </rPr>
      <t>髮の食譜柚子清茶蓬鬆水潤洗髮露</t>
    </r>
    <r>
      <rPr>
        <sz val="11"/>
        <color theme="1"/>
        <rFont val="Calibri"/>
        <family val="2"/>
      </rPr>
      <t>510</t>
    </r>
    <r>
      <rPr>
        <sz val="11"/>
        <color theme="1"/>
        <rFont val="微軟正黑體"/>
        <family val="2"/>
        <charset val="136"/>
      </rPr>
      <t>克</t>
    </r>
  </si>
  <si>
    <r>
      <t>HR</t>
    </r>
    <r>
      <rPr>
        <sz val="11"/>
        <color theme="1"/>
        <rFont val="微軟正黑體"/>
        <family val="2"/>
        <charset val="136"/>
      </rPr>
      <t>髮の食譜柚子清茶蓬鬆水潤護髮精華</t>
    </r>
    <r>
      <rPr>
        <sz val="11"/>
        <color theme="1"/>
        <rFont val="Calibri"/>
        <family val="2"/>
      </rPr>
      <t>510</t>
    </r>
    <r>
      <rPr>
        <sz val="11"/>
        <color theme="1"/>
        <rFont val="微軟正黑體"/>
        <family val="2"/>
        <charset val="136"/>
      </rPr>
      <t>克</t>
    </r>
  </si>
  <si>
    <r>
      <t>HR</t>
    </r>
    <r>
      <rPr>
        <sz val="11"/>
        <color theme="1"/>
        <rFont val="微軟正黑體"/>
        <family val="2"/>
        <charset val="136"/>
      </rPr>
      <t>髮の食譜薑根清茶防斷豐盈洗髮露</t>
    </r>
    <r>
      <rPr>
        <sz val="11"/>
        <color theme="1"/>
        <rFont val="Calibri"/>
        <family val="2"/>
      </rPr>
      <t>510</t>
    </r>
    <r>
      <rPr>
        <sz val="11"/>
        <color theme="1"/>
        <rFont val="微軟正黑體"/>
        <family val="2"/>
        <charset val="136"/>
      </rPr>
      <t>克</t>
    </r>
  </si>
  <si>
    <r>
      <t>HR</t>
    </r>
    <r>
      <rPr>
        <sz val="11"/>
        <color theme="1"/>
        <rFont val="微軟正黑體"/>
        <family val="2"/>
        <charset val="136"/>
      </rPr>
      <t>髮の食譜柔潤修護生機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柔光精華油</t>
    </r>
    <r>
      <rPr>
        <sz val="11"/>
        <color theme="1"/>
        <rFont val="Calibri"/>
        <family val="2"/>
      </rPr>
      <t>40ML</t>
    </r>
  </si>
  <si>
    <r>
      <t>HR</t>
    </r>
    <r>
      <rPr>
        <sz val="11"/>
        <color theme="1"/>
        <rFont val="微軟正黑體"/>
        <family val="2"/>
        <charset val="136"/>
      </rPr>
      <t>髮の食譜煥活生機頭皮精華液</t>
    </r>
    <r>
      <rPr>
        <sz val="11"/>
        <color theme="1"/>
        <rFont val="Calibri"/>
        <family val="2"/>
      </rPr>
      <t>30ML</t>
    </r>
  </si>
  <si>
    <r>
      <t>HR</t>
    </r>
    <r>
      <rPr>
        <sz val="11"/>
        <color theme="1"/>
        <rFont val="微軟正黑體"/>
        <family val="2"/>
        <charset val="136"/>
      </rPr>
      <t>髮の食譜木質香調側柏葉養護防斷洗髮露</t>
    </r>
    <r>
      <rPr>
        <sz val="11"/>
        <color theme="1"/>
        <rFont val="Calibri"/>
        <family val="2"/>
      </rPr>
      <t>350</t>
    </r>
    <r>
      <rPr>
        <sz val="11"/>
        <color theme="1"/>
        <rFont val="微軟正黑體"/>
        <family val="2"/>
        <charset val="136"/>
      </rPr>
      <t>毫升</t>
    </r>
  </si>
  <si>
    <r>
      <t>HR</t>
    </r>
    <r>
      <rPr>
        <sz val="11"/>
        <color theme="1"/>
        <rFont val="微軟正黑體"/>
        <family val="2"/>
        <charset val="136"/>
      </rPr>
      <t>髮の食譜木質香調米糠溫養防斷護髮精華素</t>
    </r>
    <r>
      <rPr>
        <sz val="11"/>
        <color theme="1"/>
        <rFont val="Calibri"/>
        <family val="2"/>
      </rPr>
      <t>350</t>
    </r>
    <r>
      <rPr>
        <sz val="11"/>
        <color theme="1"/>
        <rFont val="微軟正黑體"/>
        <family val="2"/>
        <charset val="136"/>
      </rPr>
      <t>克</t>
    </r>
  </si>
  <si>
    <r>
      <rPr>
        <sz val="11"/>
        <color theme="1"/>
        <rFont val="微軟正黑體"/>
        <family val="2"/>
        <charset val="136"/>
      </rPr>
      <t>飛柔滋養修護瞬效柔順護髮精華</t>
    </r>
    <r>
      <rPr>
        <sz val="11"/>
        <color theme="1"/>
        <rFont val="Calibri"/>
        <family val="2"/>
      </rPr>
      <t>380</t>
    </r>
    <r>
      <rPr>
        <sz val="11"/>
        <color theme="1"/>
        <rFont val="微軟正黑體"/>
        <family val="2"/>
        <charset val="136"/>
      </rPr>
      <t>克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免沖洗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</si>
  <si>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微軟正黑體"/>
        <family val="2"/>
        <charset val="136"/>
      </rPr>
      <t>飛柔清爽修護瞬效柔順護髮精華</t>
    </r>
    <r>
      <rPr>
        <sz val="11"/>
        <color theme="1"/>
        <rFont val="Calibri"/>
        <family val="2"/>
      </rPr>
      <t>380</t>
    </r>
    <r>
      <rPr>
        <sz val="11"/>
        <color theme="1"/>
        <rFont val="微軟正黑體"/>
        <family val="2"/>
        <charset val="136"/>
      </rPr>
      <t>克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免沖洗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</si>
  <si>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微軟正黑體"/>
        <family val="2"/>
        <charset val="136"/>
      </rPr>
      <t>飛柔免沖洗瞬效柔順護髮精華</t>
    </r>
    <r>
      <rPr>
        <sz val="11"/>
        <color theme="1"/>
        <rFont val="Calibri"/>
        <family val="2"/>
      </rPr>
      <t>50</t>
    </r>
    <r>
      <rPr>
        <sz val="11"/>
        <color theme="1"/>
        <rFont val="微軟正黑體"/>
        <family val="2"/>
        <charset val="136"/>
      </rPr>
      <t>克</t>
    </r>
  </si>
  <si>
    <r>
      <rPr>
        <sz val="11"/>
        <color theme="1"/>
        <rFont val="微軟正黑體"/>
        <family val="2"/>
        <charset val="136"/>
      </rPr>
      <t>飛柔滋養修護瞬效柔順護髮精華</t>
    </r>
    <r>
      <rPr>
        <sz val="11"/>
        <color theme="1"/>
        <rFont val="Calibri"/>
        <family val="2"/>
      </rPr>
      <t>50</t>
    </r>
    <r>
      <rPr>
        <sz val="11"/>
        <color theme="1"/>
        <rFont val="微軟正黑體"/>
        <family val="2"/>
        <charset val="136"/>
      </rPr>
      <t>克</t>
    </r>
    <r>
      <rPr>
        <sz val="11"/>
        <color theme="1"/>
        <rFont val="Calibri"/>
        <family val="2"/>
      </rPr>
      <t>*2</t>
    </r>
  </si>
  <si>
    <r>
      <rPr>
        <sz val="11"/>
        <color theme="1"/>
        <rFont val="微軟正黑體"/>
        <family val="2"/>
        <charset val="136"/>
      </rPr>
      <t>飛柔精萃潤養洗髮露</t>
    </r>
    <r>
      <rPr>
        <sz val="11"/>
        <color theme="1"/>
        <rFont val="Calibri"/>
        <family val="2"/>
      </rPr>
      <t>750</t>
    </r>
    <r>
      <rPr>
        <sz val="11"/>
        <color theme="1"/>
        <rFont val="微軟正黑體"/>
        <family val="2"/>
        <charset val="136"/>
      </rPr>
      <t>克</t>
    </r>
  </si>
  <si>
    <r>
      <rPr>
        <sz val="11"/>
        <color theme="1"/>
        <rFont val="微軟正黑體"/>
        <family val="2"/>
        <charset val="136"/>
      </rPr>
      <t>飛柔控油止癢洗髮露</t>
    </r>
    <r>
      <rPr>
        <sz val="11"/>
        <color theme="1"/>
        <rFont val="Calibri"/>
        <family val="2"/>
      </rPr>
      <t>750</t>
    </r>
    <r>
      <rPr>
        <sz val="11"/>
        <color theme="1"/>
        <rFont val="微軟正黑體"/>
        <family val="2"/>
        <charset val="136"/>
      </rPr>
      <t>克</t>
    </r>
  </si>
  <si>
    <r>
      <rPr>
        <sz val="11"/>
        <color theme="1"/>
        <rFont val="微軟正黑體"/>
        <family val="2"/>
        <charset val="136"/>
      </rPr>
      <t>飛柔清爽去屑洗髮露</t>
    </r>
    <r>
      <rPr>
        <sz val="11"/>
        <color theme="1"/>
        <rFont val="Calibri"/>
        <family val="2"/>
      </rPr>
      <t>750</t>
    </r>
    <r>
      <rPr>
        <sz val="11"/>
        <color theme="1"/>
        <rFont val="微軟正黑體"/>
        <family val="2"/>
        <charset val="136"/>
      </rPr>
      <t>克</t>
    </r>
  </si>
  <si>
    <r>
      <rPr>
        <sz val="11"/>
        <color theme="1"/>
        <rFont val="微軟正黑體"/>
        <family val="2"/>
        <charset val="136"/>
      </rPr>
      <t>飛柔水感亮澤洗髮露</t>
    </r>
    <r>
      <rPr>
        <sz val="11"/>
        <color theme="1"/>
        <rFont val="Calibri"/>
        <family val="2"/>
      </rPr>
      <t>750</t>
    </r>
    <r>
      <rPr>
        <sz val="11"/>
        <color theme="1"/>
        <rFont val="微軟正黑體"/>
        <family val="2"/>
        <charset val="136"/>
      </rPr>
      <t>克</t>
    </r>
  </si>
  <si>
    <r>
      <rPr>
        <sz val="11"/>
        <color theme="1"/>
        <rFont val="微軟正黑體"/>
        <family val="2"/>
        <charset val="136"/>
      </rPr>
      <t>飛柔滋潤去屑洗髮露</t>
    </r>
    <r>
      <rPr>
        <sz val="11"/>
        <color theme="1"/>
        <rFont val="Calibri"/>
        <family val="2"/>
      </rPr>
      <t>750</t>
    </r>
    <r>
      <rPr>
        <sz val="11"/>
        <color theme="1"/>
        <rFont val="微軟正黑體"/>
        <family val="2"/>
        <charset val="136"/>
      </rPr>
      <t>克</t>
    </r>
  </si>
  <si>
    <r>
      <rPr>
        <sz val="11"/>
        <color theme="1"/>
        <rFont val="微軟正黑體"/>
        <family val="2"/>
        <charset val="136"/>
      </rPr>
      <t>飛柔人參萃取修護洗髮露</t>
    </r>
    <r>
      <rPr>
        <sz val="11"/>
        <color theme="1"/>
        <rFont val="Calibri"/>
        <family val="2"/>
      </rPr>
      <t>750</t>
    </r>
    <r>
      <rPr>
        <sz val="11"/>
        <color theme="1"/>
        <rFont val="微軟正黑體"/>
        <family val="2"/>
        <charset val="136"/>
      </rPr>
      <t>克</t>
    </r>
  </si>
  <si>
    <r>
      <rPr>
        <sz val="11"/>
        <color theme="1"/>
        <rFont val="微軟正黑體"/>
        <family val="2"/>
        <charset val="136"/>
      </rPr>
      <t>飛柔蓬鬆去屑洗髮露</t>
    </r>
    <r>
      <rPr>
        <sz val="11"/>
        <color theme="1"/>
        <rFont val="Calibri"/>
        <family val="2"/>
      </rPr>
      <t>600</t>
    </r>
    <r>
      <rPr>
        <sz val="11"/>
        <color theme="1"/>
        <rFont val="微軟正黑體"/>
        <family val="2"/>
        <charset val="136"/>
      </rPr>
      <t>克</t>
    </r>
  </si>
  <si>
    <r>
      <rPr>
        <sz val="11"/>
        <color theme="1"/>
        <rFont val="微軟正黑體"/>
        <family val="2"/>
        <charset val="136"/>
      </rPr>
      <t>飛柔控油去屑洗髮露</t>
    </r>
    <r>
      <rPr>
        <sz val="11"/>
        <color theme="1"/>
        <rFont val="Calibri"/>
        <family val="2"/>
      </rPr>
      <t>600</t>
    </r>
    <r>
      <rPr>
        <sz val="11"/>
        <color theme="1"/>
        <rFont val="微軟正黑體"/>
        <family val="2"/>
        <charset val="136"/>
      </rPr>
      <t>克</t>
    </r>
  </si>
  <si>
    <r>
      <rPr>
        <sz val="11"/>
        <color theme="1"/>
        <rFont val="微軟正黑體"/>
        <family val="2"/>
        <charset val="136"/>
      </rPr>
      <t>潘婷乳液修護護髮精華素</t>
    </r>
    <r>
      <rPr>
        <sz val="11"/>
        <color theme="1"/>
        <rFont val="Calibri"/>
        <family val="2"/>
      </rPr>
      <t>180ml</t>
    </r>
  </si>
  <si>
    <r>
      <rPr>
        <sz val="11"/>
        <color theme="1"/>
        <rFont val="微軟正黑體"/>
        <family val="2"/>
        <charset val="136"/>
      </rPr>
      <t>潘婷多效損傷護髮精華素</t>
    </r>
    <r>
      <rPr>
        <sz val="11"/>
        <color theme="1"/>
        <rFont val="Calibri"/>
        <family val="2"/>
      </rPr>
      <t>180ml</t>
    </r>
  </si>
  <si>
    <r>
      <rPr>
        <sz val="11"/>
        <color theme="1"/>
        <rFont val="微軟正黑體"/>
        <family val="2"/>
        <charset val="136"/>
      </rPr>
      <t>潘婷燙染護髮精華</t>
    </r>
    <r>
      <rPr>
        <sz val="11"/>
        <color theme="1"/>
        <rFont val="Calibri"/>
        <family val="2"/>
      </rPr>
      <t>180ML</t>
    </r>
  </si>
  <si>
    <r>
      <rPr>
        <sz val="11"/>
        <color theme="1"/>
        <rFont val="微軟正黑體"/>
        <family val="2"/>
        <charset val="136"/>
      </rPr>
      <t>潘婷</t>
    </r>
    <r>
      <rPr>
        <sz val="11"/>
        <color theme="1"/>
        <rFont val="Calibri"/>
        <family val="2"/>
      </rPr>
      <t>3</t>
    </r>
    <r>
      <rPr>
        <sz val="11"/>
        <color theme="1"/>
        <rFont val="微軟正黑體"/>
        <family val="2"/>
        <charset val="136"/>
      </rPr>
      <t>分鐘奇蹟護髮精華素水潤滋養</t>
    </r>
    <r>
      <rPr>
        <sz val="11"/>
        <color theme="1"/>
        <rFont val="Calibri"/>
        <family val="2"/>
      </rPr>
      <t>180</t>
    </r>
    <r>
      <rPr>
        <sz val="11"/>
        <color theme="1"/>
        <rFont val="微軟正黑體"/>
        <family val="2"/>
        <charset val="136"/>
      </rPr>
      <t>毫升</t>
    </r>
  </si>
  <si>
    <r>
      <rPr>
        <sz val="11"/>
        <color theme="1"/>
        <rFont val="微軟正黑體"/>
        <family val="2"/>
        <charset val="136"/>
      </rPr>
      <t>潘婷多效損傷護髮精華素</t>
    </r>
    <r>
      <rPr>
        <sz val="11"/>
        <color theme="1"/>
        <rFont val="Calibri"/>
        <family val="2"/>
      </rPr>
      <t>70ml</t>
    </r>
  </si>
  <si>
    <r>
      <rPr>
        <sz val="11"/>
        <color theme="1"/>
        <rFont val="微軟正黑體"/>
        <family val="2"/>
        <charset val="136"/>
      </rPr>
      <t>潘婷乳液修護洗髮乳</t>
    </r>
    <r>
      <rPr>
        <sz val="11"/>
        <color theme="1"/>
        <rFont val="Calibri"/>
        <family val="2"/>
      </rPr>
      <t>700ml</t>
    </r>
  </si>
  <si>
    <r>
      <rPr>
        <sz val="11"/>
        <color theme="1"/>
        <rFont val="微軟正黑體"/>
        <family val="2"/>
        <charset val="136"/>
      </rPr>
      <t>潘婷乳液修護潤髮精華素</t>
    </r>
    <r>
      <rPr>
        <sz val="11"/>
        <color theme="1"/>
        <rFont val="Calibri"/>
        <family val="2"/>
      </rPr>
      <t>700ml</t>
    </r>
  </si>
  <si>
    <r>
      <rPr>
        <sz val="11"/>
        <color theme="1"/>
        <rFont val="微軟正黑體"/>
        <family val="2"/>
        <charset val="136"/>
      </rPr>
      <t>潘婷絲質順滑潤髮精華素</t>
    </r>
    <r>
      <rPr>
        <sz val="11"/>
        <color theme="1"/>
        <rFont val="Calibri"/>
        <family val="2"/>
      </rPr>
      <t>700</t>
    </r>
    <r>
      <rPr>
        <sz val="11"/>
        <color theme="1"/>
        <rFont val="微軟正黑體"/>
        <family val="2"/>
        <charset val="136"/>
      </rPr>
      <t>克</t>
    </r>
  </si>
  <si>
    <r>
      <rPr>
        <sz val="11"/>
        <color theme="1"/>
        <rFont val="微軟正黑體"/>
        <family val="2"/>
        <charset val="136"/>
      </rPr>
      <t>潘婷染燙修護洗髮乳</t>
    </r>
    <r>
      <rPr>
        <sz val="11"/>
        <color theme="1"/>
        <rFont val="Calibri"/>
        <family val="2"/>
      </rPr>
      <t>700</t>
    </r>
    <r>
      <rPr>
        <sz val="11"/>
        <color theme="1"/>
        <rFont val="微軟正黑體"/>
        <family val="2"/>
        <charset val="136"/>
      </rPr>
      <t>克</t>
    </r>
  </si>
  <si>
    <r>
      <rPr>
        <sz val="11"/>
        <color theme="1"/>
        <rFont val="微軟正黑體"/>
        <family val="2"/>
        <charset val="136"/>
      </rPr>
      <t>潘婷染燙修護潤髮精華素</t>
    </r>
    <r>
      <rPr>
        <sz val="11"/>
        <color theme="1"/>
        <rFont val="Calibri"/>
        <family val="2"/>
      </rPr>
      <t>700</t>
    </r>
    <r>
      <rPr>
        <sz val="11"/>
        <color theme="1"/>
        <rFont val="微軟正黑體"/>
        <family val="2"/>
        <charset val="136"/>
      </rPr>
      <t>克</t>
    </r>
  </si>
  <si>
    <r>
      <rPr>
        <sz val="11"/>
        <color theme="1"/>
        <rFont val="微軟正黑體"/>
        <family val="2"/>
        <charset val="136"/>
      </rPr>
      <t>潘婷垂順直髮洗髮乳</t>
    </r>
    <r>
      <rPr>
        <sz val="11"/>
        <color theme="1"/>
        <rFont val="Calibri"/>
        <family val="2"/>
      </rPr>
      <t>700</t>
    </r>
    <r>
      <rPr>
        <sz val="11"/>
        <color theme="1"/>
        <rFont val="微軟正黑體"/>
        <family val="2"/>
        <charset val="136"/>
      </rPr>
      <t>克</t>
    </r>
  </si>
  <si>
    <r>
      <rPr>
        <sz val="11"/>
        <color theme="1"/>
        <rFont val="微軟正黑體"/>
        <family val="2"/>
        <charset val="136"/>
      </rPr>
      <t>潘婷水潤滋養洗髮乳</t>
    </r>
    <r>
      <rPr>
        <sz val="11"/>
        <color theme="1"/>
        <rFont val="Calibri"/>
        <family val="2"/>
      </rPr>
      <t>700</t>
    </r>
    <r>
      <rPr>
        <sz val="11"/>
        <color theme="1"/>
        <rFont val="微軟正黑體"/>
        <family val="2"/>
        <charset val="136"/>
      </rPr>
      <t>克</t>
    </r>
  </si>
  <si>
    <r>
      <rPr>
        <sz val="11"/>
        <color theme="1"/>
        <rFont val="微軟正黑體"/>
        <family val="2"/>
        <charset val="136"/>
      </rPr>
      <t>潘婷水潤滋養潤髮精華素</t>
    </r>
    <r>
      <rPr>
        <sz val="11"/>
        <color theme="1"/>
        <rFont val="Calibri"/>
        <family val="2"/>
      </rPr>
      <t>700</t>
    </r>
    <r>
      <rPr>
        <sz val="11"/>
        <color theme="1"/>
        <rFont val="微軟正黑體"/>
        <family val="2"/>
        <charset val="136"/>
      </rPr>
      <t>克</t>
    </r>
  </si>
  <si>
    <r>
      <rPr>
        <sz val="11"/>
        <color theme="1"/>
        <rFont val="微軟正黑體"/>
        <family val="2"/>
        <charset val="136"/>
      </rPr>
      <t>潘婷乳液修護去屑洗髮乳</t>
    </r>
    <r>
      <rPr>
        <sz val="11"/>
        <color theme="1"/>
        <rFont val="Calibri"/>
        <family val="2"/>
      </rPr>
      <t>700</t>
    </r>
    <r>
      <rPr>
        <sz val="11"/>
        <color theme="1"/>
        <rFont val="微軟正黑體"/>
        <family val="2"/>
        <charset val="136"/>
      </rPr>
      <t>克</t>
    </r>
  </si>
  <si>
    <r>
      <rPr>
        <sz val="11"/>
        <color theme="1"/>
        <rFont val="微軟正黑體"/>
        <family val="2"/>
        <charset val="136"/>
      </rPr>
      <t>潘婷強韌防斷髮洗髮乳</t>
    </r>
    <r>
      <rPr>
        <sz val="11"/>
        <color theme="1"/>
        <rFont val="Calibri"/>
        <family val="2"/>
      </rPr>
      <t>700</t>
    </r>
    <r>
      <rPr>
        <sz val="11"/>
        <color theme="1"/>
        <rFont val="微軟正黑體"/>
        <family val="2"/>
        <charset val="136"/>
      </rPr>
      <t>克</t>
    </r>
  </si>
  <si>
    <r>
      <rPr>
        <sz val="11"/>
        <color theme="1"/>
        <rFont val="微軟正黑體"/>
        <family val="2"/>
        <charset val="136"/>
      </rPr>
      <t>潘婷強韌防斷髮潤髮精華素</t>
    </r>
    <r>
      <rPr>
        <sz val="11"/>
        <color theme="1"/>
        <rFont val="Calibri"/>
        <family val="2"/>
      </rPr>
      <t>700</t>
    </r>
    <r>
      <rPr>
        <sz val="11"/>
        <color theme="1"/>
        <rFont val="微軟正黑體"/>
        <family val="2"/>
        <charset val="136"/>
      </rPr>
      <t>克</t>
    </r>
  </si>
  <si>
    <r>
      <rPr>
        <sz val="11"/>
        <color theme="1"/>
        <rFont val="微軟正黑體"/>
        <family val="2"/>
        <charset val="136"/>
      </rPr>
      <t>潘婷黑亮修護洗髮乳</t>
    </r>
    <r>
      <rPr>
        <sz val="11"/>
        <color theme="1"/>
        <rFont val="Calibri"/>
        <family val="2"/>
      </rPr>
      <t>700</t>
    </r>
    <r>
      <rPr>
        <sz val="11"/>
        <color theme="1"/>
        <rFont val="微軟正黑體"/>
        <family val="2"/>
        <charset val="136"/>
      </rPr>
      <t>克</t>
    </r>
  </si>
  <si>
    <r>
      <rPr>
        <sz val="11"/>
        <color theme="1"/>
        <rFont val="微軟正黑體"/>
        <family val="2"/>
        <charset val="136"/>
      </rPr>
      <t>潘婷黑亮修護潤髮精華素</t>
    </r>
    <r>
      <rPr>
        <sz val="11"/>
        <color theme="1"/>
        <rFont val="Calibri"/>
        <family val="2"/>
      </rPr>
      <t>700</t>
    </r>
    <r>
      <rPr>
        <sz val="11"/>
        <color theme="1"/>
        <rFont val="微軟正黑體"/>
        <family val="2"/>
        <charset val="136"/>
      </rPr>
      <t>克</t>
    </r>
  </si>
  <si>
    <r>
      <rPr>
        <sz val="11"/>
        <color theme="1"/>
        <rFont val="微軟正黑體"/>
        <family val="2"/>
        <charset val="136"/>
      </rPr>
      <t>潘婷絲質順滑洗髮乳</t>
    </r>
    <r>
      <rPr>
        <sz val="11"/>
        <color theme="1"/>
        <rFont val="Calibri"/>
        <family val="2"/>
      </rPr>
      <t>700ml</t>
    </r>
  </si>
  <si>
    <r>
      <rPr>
        <sz val="11"/>
        <color theme="1"/>
        <rFont val="微軟正黑體"/>
        <family val="2"/>
        <charset val="136"/>
      </rPr>
      <t>潘婷</t>
    </r>
    <r>
      <rPr>
        <sz val="11"/>
        <color theme="1"/>
        <rFont val="Calibri"/>
        <family val="2"/>
      </rPr>
      <t>PRO-V</t>
    </r>
    <r>
      <rPr>
        <sz val="11"/>
        <color theme="1"/>
        <rFont val="微軟正黑體"/>
        <family val="2"/>
        <charset val="136"/>
      </rPr>
      <t>水潤洗髮露強韌防斷型</t>
    </r>
    <r>
      <rPr>
        <sz val="11"/>
        <color theme="1"/>
        <rFont val="Calibri"/>
        <family val="2"/>
      </rPr>
      <t>530</t>
    </r>
    <r>
      <rPr>
        <sz val="11"/>
        <color theme="1"/>
        <rFont val="微軟正黑體"/>
        <family val="2"/>
        <charset val="136"/>
      </rPr>
      <t>毫升</t>
    </r>
  </si>
  <si>
    <r>
      <rPr>
        <sz val="11"/>
        <color theme="1"/>
        <rFont val="微軟正黑體"/>
        <family val="2"/>
        <charset val="136"/>
      </rPr>
      <t>潘婷</t>
    </r>
    <r>
      <rPr>
        <sz val="11"/>
        <color theme="1"/>
        <rFont val="Calibri"/>
        <family val="2"/>
      </rPr>
      <t>PRO-V</t>
    </r>
    <r>
      <rPr>
        <sz val="11"/>
        <color theme="1"/>
        <rFont val="微軟正黑體"/>
        <family val="2"/>
        <charset val="136"/>
      </rPr>
      <t>水潤洗髮露水潤修護型</t>
    </r>
    <r>
      <rPr>
        <sz val="11"/>
        <color theme="1"/>
        <rFont val="Calibri"/>
        <family val="2"/>
      </rPr>
      <t>530</t>
    </r>
    <r>
      <rPr>
        <sz val="11"/>
        <color theme="1"/>
        <rFont val="微軟正黑體"/>
        <family val="2"/>
        <charset val="136"/>
      </rPr>
      <t>毫升</t>
    </r>
  </si>
  <si>
    <r>
      <rPr>
        <sz val="11"/>
        <color theme="1"/>
        <rFont val="微軟正黑體"/>
        <family val="2"/>
        <charset val="136"/>
      </rPr>
      <t>潘婷</t>
    </r>
    <r>
      <rPr>
        <sz val="11"/>
        <color theme="1"/>
        <rFont val="Calibri"/>
        <family val="2"/>
      </rPr>
      <t>PRO-V</t>
    </r>
    <r>
      <rPr>
        <sz val="11"/>
        <color theme="1"/>
        <rFont val="微軟正黑體"/>
        <family val="2"/>
        <charset val="136"/>
      </rPr>
      <t>水潤洗髮露密集修護型</t>
    </r>
    <r>
      <rPr>
        <sz val="11"/>
        <color theme="1"/>
        <rFont val="Calibri"/>
        <family val="2"/>
      </rPr>
      <t>530</t>
    </r>
    <r>
      <rPr>
        <sz val="11"/>
        <color theme="1"/>
        <rFont val="微軟正黑體"/>
        <family val="2"/>
        <charset val="136"/>
      </rPr>
      <t>毫升</t>
    </r>
  </si>
  <si>
    <r>
      <rPr>
        <sz val="11"/>
        <color theme="1"/>
        <rFont val="微軟正黑體"/>
        <family val="2"/>
        <charset val="136"/>
      </rPr>
      <t>潘婷</t>
    </r>
    <r>
      <rPr>
        <sz val="11"/>
        <color theme="1"/>
        <rFont val="Calibri"/>
        <family val="2"/>
      </rPr>
      <t>PRO-V</t>
    </r>
    <r>
      <rPr>
        <sz val="11"/>
        <color theme="1"/>
        <rFont val="微軟正黑體"/>
        <family val="2"/>
        <charset val="136"/>
      </rPr>
      <t>高濃保濕髮膜強韌防斷型</t>
    </r>
    <r>
      <rPr>
        <sz val="11"/>
        <color theme="1"/>
        <rFont val="Calibri"/>
        <family val="2"/>
      </rPr>
      <t>12</t>
    </r>
    <r>
      <rPr>
        <sz val="11"/>
        <color theme="1"/>
        <rFont val="微軟正黑體"/>
        <family val="2"/>
        <charset val="136"/>
      </rPr>
      <t>毫升</t>
    </r>
    <r>
      <rPr>
        <sz val="11"/>
        <color theme="1"/>
        <rFont val="Calibri"/>
        <family val="2"/>
      </rPr>
      <t>*8</t>
    </r>
  </si>
  <si>
    <r>
      <rPr>
        <sz val="11"/>
        <color theme="1"/>
        <rFont val="微軟正黑體"/>
        <family val="2"/>
        <charset val="136"/>
      </rPr>
      <t>潘婷</t>
    </r>
    <r>
      <rPr>
        <sz val="11"/>
        <color theme="1"/>
        <rFont val="Calibri"/>
        <family val="2"/>
      </rPr>
      <t>PRO-V</t>
    </r>
    <r>
      <rPr>
        <sz val="11"/>
        <color theme="1"/>
        <rFont val="微軟正黑體"/>
        <family val="2"/>
        <charset val="136"/>
      </rPr>
      <t>高濃保濕髮膜水潤修護型</t>
    </r>
    <r>
      <rPr>
        <sz val="11"/>
        <color theme="1"/>
        <rFont val="Calibri"/>
        <family val="2"/>
      </rPr>
      <t>12</t>
    </r>
    <r>
      <rPr>
        <sz val="11"/>
        <color theme="1"/>
        <rFont val="微軟正黑體"/>
        <family val="2"/>
        <charset val="136"/>
      </rPr>
      <t>毫升</t>
    </r>
    <r>
      <rPr>
        <sz val="11"/>
        <color theme="1"/>
        <rFont val="Calibri"/>
        <family val="2"/>
      </rPr>
      <t>*8</t>
    </r>
  </si>
  <si>
    <r>
      <rPr>
        <sz val="11"/>
        <color theme="1"/>
        <rFont val="微軟正黑體"/>
        <family val="2"/>
        <charset val="136"/>
      </rPr>
      <t>潘婷</t>
    </r>
    <r>
      <rPr>
        <sz val="11"/>
        <color theme="1"/>
        <rFont val="Calibri"/>
        <family val="2"/>
      </rPr>
      <t>PRO-V</t>
    </r>
    <r>
      <rPr>
        <sz val="11"/>
        <color theme="1"/>
        <rFont val="微軟正黑體"/>
        <family val="2"/>
        <charset val="136"/>
      </rPr>
      <t>高濃保濕髮膜密集修護型</t>
    </r>
    <r>
      <rPr>
        <sz val="11"/>
        <color theme="1"/>
        <rFont val="Calibri"/>
        <family val="2"/>
      </rPr>
      <t>12</t>
    </r>
    <r>
      <rPr>
        <sz val="11"/>
        <color theme="1"/>
        <rFont val="微軟正黑體"/>
        <family val="2"/>
        <charset val="136"/>
      </rPr>
      <t>毫升</t>
    </r>
    <r>
      <rPr>
        <sz val="11"/>
        <color theme="1"/>
        <rFont val="Calibri"/>
        <family val="2"/>
      </rPr>
      <t>*8</t>
    </r>
  </si>
  <si>
    <r>
      <rPr>
        <sz val="11"/>
        <color theme="1"/>
        <rFont val="微軟正黑體"/>
        <family val="2"/>
        <charset val="136"/>
      </rPr>
      <t>潘婷護髮膠囊精華油經典柑橘香</t>
    </r>
    <r>
      <rPr>
        <sz val="11"/>
        <color theme="1"/>
        <rFont val="Calibri"/>
        <family val="2"/>
      </rPr>
      <t>0.7MLx25x12</t>
    </r>
  </si>
  <si>
    <r>
      <rPr>
        <sz val="11"/>
        <color theme="1"/>
        <rFont val="微軟正黑體"/>
        <family val="2"/>
        <charset val="136"/>
      </rPr>
      <t>潘婷護髮膠囊精華油經典柑橘香</t>
    </r>
    <r>
      <rPr>
        <sz val="11"/>
        <color theme="1"/>
        <rFont val="Calibri"/>
        <family val="2"/>
      </rPr>
      <t>(0.7MLx5)x24</t>
    </r>
  </si>
  <si>
    <r>
      <rPr>
        <sz val="11"/>
        <color theme="1"/>
        <rFont val="微軟正黑體"/>
        <family val="2"/>
        <charset val="136"/>
      </rPr>
      <t>潘婷</t>
    </r>
    <r>
      <rPr>
        <sz val="11"/>
        <color theme="1"/>
        <rFont val="Calibri"/>
        <family val="2"/>
      </rPr>
      <t>PRO-V</t>
    </r>
    <r>
      <rPr>
        <sz val="11"/>
        <color theme="1"/>
        <rFont val="微軟正黑體"/>
        <family val="2"/>
        <charset val="136"/>
      </rPr>
      <t>高濃保濕髮膜強韌防斷型</t>
    </r>
    <r>
      <rPr>
        <sz val="11"/>
        <color theme="1"/>
        <rFont val="Calibri"/>
        <family val="2"/>
      </rPr>
      <t>12</t>
    </r>
    <r>
      <rPr>
        <sz val="11"/>
        <color theme="1"/>
        <rFont val="微軟正黑體"/>
        <family val="2"/>
        <charset val="136"/>
      </rPr>
      <t>毫升</t>
    </r>
    <r>
      <rPr>
        <sz val="11"/>
        <color theme="1"/>
        <rFont val="Calibri"/>
        <family val="2"/>
      </rPr>
      <t>*2</t>
    </r>
  </si>
  <si>
    <r>
      <rPr>
        <sz val="11"/>
        <color theme="1"/>
        <rFont val="微軟正黑體"/>
        <family val="2"/>
        <charset val="136"/>
      </rPr>
      <t>潘婷</t>
    </r>
    <r>
      <rPr>
        <sz val="11"/>
        <color theme="1"/>
        <rFont val="Calibri"/>
        <family val="2"/>
      </rPr>
      <t>PRO-V</t>
    </r>
    <r>
      <rPr>
        <sz val="11"/>
        <color theme="1"/>
        <rFont val="微軟正黑體"/>
        <family val="2"/>
        <charset val="136"/>
      </rPr>
      <t>高濃保濕髮膜密集修護型</t>
    </r>
    <r>
      <rPr>
        <sz val="11"/>
        <color theme="1"/>
        <rFont val="Calibri"/>
        <family val="2"/>
      </rPr>
      <t>12</t>
    </r>
    <r>
      <rPr>
        <sz val="11"/>
        <color theme="1"/>
        <rFont val="微軟正黑體"/>
        <family val="2"/>
        <charset val="136"/>
      </rPr>
      <t>毫升</t>
    </r>
    <r>
      <rPr>
        <sz val="11"/>
        <color theme="1"/>
        <rFont val="Calibri"/>
        <family val="2"/>
      </rPr>
      <t>*2</t>
    </r>
  </si>
  <si>
    <r>
      <rPr>
        <sz val="11"/>
        <color theme="1"/>
        <rFont val="微軟正黑體"/>
        <family val="2"/>
        <charset val="136"/>
      </rPr>
      <t>潘婷頭皮髮根精華液</t>
    </r>
    <r>
      <rPr>
        <sz val="11"/>
        <color theme="1"/>
        <rFont val="Calibri"/>
        <family val="2"/>
      </rPr>
      <t>60</t>
    </r>
    <r>
      <rPr>
        <sz val="11"/>
        <color theme="1"/>
        <rFont val="微軟正黑體"/>
        <family val="2"/>
        <charset val="136"/>
      </rPr>
      <t>毫升</t>
    </r>
  </si>
  <si>
    <r>
      <rPr>
        <sz val="11"/>
        <color theme="1"/>
        <rFont val="微軟正黑體"/>
        <family val="2"/>
        <charset val="136"/>
      </rPr>
      <t>潘婷</t>
    </r>
    <r>
      <rPr>
        <sz val="11"/>
        <color theme="1"/>
        <rFont val="Calibri"/>
        <family val="2"/>
      </rPr>
      <t>PRO-V</t>
    </r>
    <r>
      <rPr>
        <sz val="11"/>
        <color theme="1"/>
        <rFont val="微軟正黑體"/>
        <family val="2"/>
        <charset val="136"/>
      </rPr>
      <t>高濃保濕髮膜密集修護型</t>
    </r>
    <r>
      <rPr>
        <sz val="11"/>
        <color theme="1"/>
        <rFont val="Calibri"/>
        <family val="2"/>
      </rPr>
      <t>12</t>
    </r>
    <r>
      <rPr>
        <sz val="11"/>
        <color theme="1"/>
        <rFont val="微軟正黑體"/>
        <family val="2"/>
        <charset val="136"/>
      </rPr>
      <t>毫升</t>
    </r>
    <r>
      <rPr>
        <sz val="11"/>
        <color theme="1"/>
        <rFont val="Calibri"/>
        <family val="2"/>
      </rPr>
      <t>*3</t>
    </r>
  </si>
  <si>
    <r>
      <rPr>
        <sz val="11"/>
        <color theme="1"/>
        <rFont val="微軟正黑體"/>
        <family val="2"/>
        <charset val="136"/>
      </rPr>
      <t>潘婷豐盈洗髮露</t>
    </r>
    <r>
      <rPr>
        <sz val="11"/>
        <color theme="1"/>
        <rFont val="Calibri"/>
        <family val="2"/>
      </rPr>
      <t>290</t>
    </r>
    <r>
      <rPr>
        <sz val="11"/>
        <color theme="1"/>
        <rFont val="微軟正黑體"/>
        <family val="2"/>
        <charset val="136"/>
      </rPr>
      <t>克</t>
    </r>
  </si>
  <si>
    <r>
      <rPr>
        <sz val="11"/>
        <color theme="1"/>
        <rFont val="微軟正黑體"/>
        <family val="2"/>
        <charset val="136"/>
      </rPr>
      <t>潘婷防斷護髮精華素</t>
    </r>
    <r>
      <rPr>
        <sz val="11"/>
        <color theme="1"/>
        <rFont val="Calibri"/>
        <family val="2"/>
      </rPr>
      <t>200</t>
    </r>
    <r>
      <rPr>
        <sz val="11"/>
        <color theme="1"/>
        <rFont val="微軟正黑體"/>
        <family val="2"/>
        <charset val="136"/>
      </rPr>
      <t>毫升</t>
    </r>
  </si>
  <si>
    <r>
      <rPr>
        <sz val="11"/>
        <color theme="1"/>
        <rFont val="微軟正黑體"/>
        <family val="2"/>
        <charset val="136"/>
      </rPr>
      <t>潘婷</t>
    </r>
    <r>
      <rPr>
        <sz val="11"/>
        <color theme="1"/>
        <rFont val="Calibri"/>
        <family val="2"/>
      </rPr>
      <t>miracles</t>
    </r>
    <r>
      <rPr>
        <sz val="11"/>
        <color theme="1"/>
        <rFont val="微軟正黑體"/>
        <family val="2"/>
        <charset val="136"/>
      </rPr>
      <t>奇蹟系列柔亮護色洗髮露</t>
    </r>
  </si>
  <si>
    <r>
      <rPr>
        <sz val="11"/>
        <color theme="1"/>
        <rFont val="微軟正黑體"/>
        <family val="2"/>
        <charset val="136"/>
      </rPr>
      <t>潘婷</t>
    </r>
    <r>
      <rPr>
        <sz val="11"/>
        <color theme="1"/>
        <rFont val="Calibri"/>
        <family val="2"/>
      </rPr>
      <t>miracles</t>
    </r>
    <r>
      <rPr>
        <sz val="11"/>
        <color theme="1"/>
        <rFont val="微軟正黑體"/>
        <family val="2"/>
        <charset val="136"/>
      </rPr>
      <t>奇蹟系列柔亮護色護髮精華素</t>
    </r>
  </si>
  <si>
    <r>
      <rPr>
        <sz val="11"/>
        <color theme="1"/>
        <rFont val="微軟正黑體"/>
        <family val="2"/>
        <charset val="136"/>
      </rPr>
      <t>潘婷</t>
    </r>
    <r>
      <rPr>
        <sz val="11"/>
        <color theme="1"/>
        <rFont val="Calibri"/>
        <family val="2"/>
      </rPr>
      <t>miracles</t>
    </r>
    <r>
      <rPr>
        <sz val="11"/>
        <color theme="1"/>
        <rFont val="微軟正黑體"/>
        <family val="2"/>
        <charset val="136"/>
      </rPr>
      <t>煥活根源洗髮露</t>
    </r>
    <r>
      <rPr>
        <sz val="11"/>
        <color theme="1"/>
        <rFont val="Calibri"/>
        <family val="2"/>
      </rPr>
      <t>500ml</t>
    </r>
  </si>
  <si>
    <r>
      <rPr>
        <sz val="11"/>
        <color theme="1"/>
        <rFont val="微軟正黑體"/>
        <family val="2"/>
        <charset val="136"/>
      </rPr>
      <t>潘婷</t>
    </r>
    <r>
      <rPr>
        <sz val="11"/>
        <color theme="1"/>
        <rFont val="Calibri"/>
        <family val="2"/>
      </rPr>
      <t>miracles</t>
    </r>
    <r>
      <rPr>
        <sz val="11"/>
        <color theme="1"/>
        <rFont val="微軟正黑體"/>
        <family val="2"/>
        <charset val="136"/>
      </rPr>
      <t>煥活根源護髮精華素</t>
    </r>
    <r>
      <rPr>
        <sz val="11"/>
        <color theme="1"/>
        <rFont val="Calibri"/>
        <family val="2"/>
      </rPr>
      <t>500ml</t>
    </r>
  </si>
  <si>
    <r>
      <rPr>
        <sz val="11"/>
        <color theme="1"/>
        <rFont val="微軟正黑體"/>
        <family val="2"/>
        <charset val="136"/>
      </rPr>
      <t>潘婷奇蹟煥活根源洗髮露</t>
    </r>
    <r>
      <rPr>
        <sz val="11"/>
        <color theme="1"/>
        <rFont val="Calibri"/>
        <family val="2"/>
      </rPr>
      <t>&amp;</t>
    </r>
    <r>
      <rPr>
        <sz val="11"/>
        <color theme="1"/>
        <rFont val="微軟正黑體"/>
        <family val="2"/>
        <charset val="136"/>
      </rPr>
      <t>密集修護膠囊髮膜洗護組</t>
    </r>
  </si>
  <si>
    <r>
      <rPr>
        <sz val="11"/>
        <color theme="1"/>
        <rFont val="微軟正黑體"/>
        <family val="2"/>
        <charset val="136"/>
      </rPr>
      <t>潘婷深層損傷修護精華乳</t>
    </r>
    <r>
      <rPr>
        <sz val="11"/>
        <color theme="1"/>
        <rFont val="Calibri"/>
        <family val="2"/>
      </rPr>
      <t>100ml</t>
    </r>
  </si>
  <si>
    <r>
      <rPr>
        <sz val="11"/>
        <color theme="1"/>
        <rFont val="微軟正黑體"/>
        <family val="2"/>
        <charset val="136"/>
      </rPr>
      <t>潘婷爆水洗護旅行裝</t>
    </r>
    <r>
      <rPr>
        <sz val="11"/>
        <color theme="1"/>
        <rFont val="Calibri"/>
        <family val="2"/>
      </rPr>
      <t>5</t>
    </r>
    <r>
      <rPr>
        <sz val="11"/>
        <color theme="1"/>
        <rFont val="微軟正黑體"/>
        <family val="2"/>
        <charset val="136"/>
      </rPr>
      <t>日份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洗髮</t>
    </r>
    <r>
      <rPr>
        <sz val="11"/>
        <color theme="1"/>
        <rFont val="Calibri"/>
        <family val="2"/>
      </rPr>
      <t>*1</t>
    </r>
    <r>
      <rPr>
        <sz val="11"/>
        <color theme="1"/>
        <rFont val="微軟正黑體"/>
        <family val="2"/>
        <charset val="136"/>
      </rPr>
      <t>、髮膜</t>
    </r>
    <r>
      <rPr>
        <sz val="11"/>
        <color theme="1"/>
        <rFont val="Calibri"/>
        <family val="2"/>
      </rPr>
      <t>*2)</t>
    </r>
  </si>
  <si>
    <r>
      <rPr>
        <sz val="11"/>
        <color theme="1"/>
        <rFont val="微軟正黑體"/>
        <family val="2"/>
        <charset val="136"/>
      </rPr>
      <t>潘婷</t>
    </r>
    <r>
      <rPr>
        <sz val="11"/>
        <color theme="1"/>
        <rFont val="Calibri"/>
        <family val="2"/>
      </rPr>
      <t>1+1</t>
    </r>
    <r>
      <rPr>
        <sz val="11"/>
        <color theme="1"/>
        <rFont val="微軟正黑體"/>
        <family val="2"/>
        <charset val="136"/>
      </rPr>
      <t>修護超值組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洗髮</t>
    </r>
    <r>
      <rPr>
        <sz val="11"/>
        <color theme="1"/>
        <rFont val="Calibri"/>
        <family val="2"/>
      </rPr>
      <t>700</t>
    </r>
    <r>
      <rPr>
        <sz val="11"/>
        <color theme="1"/>
        <rFont val="微軟正黑體"/>
        <family val="2"/>
        <charset val="136"/>
      </rPr>
      <t>克</t>
    </r>
    <r>
      <rPr>
        <sz val="11"/>
        <color theme="1"/>
        <rFont val="Calibri"/>
        <family val="2"/>
      </rPr>
      <t>+</t>
    </r>
    <r>
      <rPr>
        <sz val="11"/>
        <color theme="1"/>
        <rFont val="微軟正黑體"/>
        <family val="2"/>
        <charset val="136"/>
      </rPr>
      <t>護髮</t>
    </r>
    <r>
      <rPr>
        <sz val="11"/>
        <color theme="1"/>
        <rFont val="Calibri"/>
        <family val="2"/>
      </rPr>
      <t>70</t>
    </r>
    <r>
      <rPr>
        <sz val="11"/>
        <color theme="1"/>
        <rFont val="微軟正黑體"/>
        <family val="2"/>
        <charset val="136"/>
      </rPr>
      <t>毫升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</si>
  <si>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微軟正黑體"/>
        <family val="2"/>
        <charset val="136"/>
      </rPr>
      <t>潘婷</t>
    </r>
    <r>
      <rPr>
        <sz val="11"/>
        <color theme="1"/>
        <rFont val="Calibri"/>
        <family val="2"/>
      </rPr>
      <t>3</t>
    </r>
    <r>
      <rPr>
        <sz val="11"/>
        <color theme="1"/>
        <rFont val="微軟正黑體"/>
        <family val="2"/>
        <charset val="136"/>
      </rPr>
      <t>分鐘洗髮露多效損傷修護</t>
    </r>
    <r>
      <rPr>
        <sz val="11"/>
        <color theme="1"/>
        <rFont val="Calibri"/>
        <family val="2"/>
      </rPr>
      <t>470</t>
    </r>
    <r>
      <rPr>
        <sz val="11"/>
        <color theme="1"/>
        <rFont val="微軟正黑體"/>
        <family val="2"/>
        <charset val="136"/>
      </rPr>
      <t>克</t>
    </r>
  </si>
  <si>
    <r>
      <rPr>
        <sz val="11"/>
        <color theme="1"/>
        <rFont val="微軟正黑體"/>
        <family val="2"/>
        <charset val="136"/>
      </rPr>
      <t>潘婷</t>
    </r>
    <r>
      <rPr>
        <sz val="11"/>
        <color theme="1"/>
        <rFont val="Calibri"/>
        <family val="2"/>
      </rPr>
      <t>3</t>
    </r>
    <r>
      <rPr>
        <sz val="11"/>
        <color theme="1"/>
        <rFont val="微軟正黑體"/>
        <family val="2"/>
        <charset val="136"/>
      </rPr>
      <t>分鐘洗髮露輕盈修護</t>
    </r>
    <r>
      <rPr>
        <sz val="11"/>
        <color theme="1"/>
        <rFont val="Calibri"/>
        <family val="2"/>
      </rPr>
      <t>470</t>
    </r>
    <r>
      <rPr>
        <sz val="11"/>
        <color theme="1"/>
        <rFont val="微軟正黑體"/>
        <family val="2"/>
        <charset val="136"/>
      </rPr>
      <t>克</t>
    </r>
  </si>
  <si>
    <r>
      <rPr>
        <sz val="11"/>
        <color theme="1"/>
        <rFont val="微軟正黑體"/>
        <family val="2"/>
        <charset val="136"/>
      </rPr>
      <t>潘婷</t>
    </r>
    <r>
      <rPr>
        <sz val="11"/>
        <color theme="1"/>
        <rFont val="Calibri"/>
        <family val="2"/>
      </rPr>
      <t>3</t>
    </r>
    <r>
      <rPr>
        <sz val="11"/>
        <color theme="1"/>
        <rFont val="微軟正黑體"/>
        <family val="2"/>
        <charset val="136"/>
      </rPr>
      <t>分鐘修護精華油茉莉山茶香</t>
    </r>
    <r>
      <rPr>
        <sz val="11"/>
        <color theme="1"/>
        <rFont val="Calibri"/>
        <family val="2"/>
      </rPr>
      <t>90</t>
    </r>
    <r>
      <rPr>
        <sz val="11"/>
        <color theme="1"/>
        <rFont val="微軟正黑體"/>
        <family val="2"/>
        <charset val="136"/>
      </rPr>
      <t>毫升</t>
    </r>
  </si>
  <si>
    <r>
      <rPr>
        <sz val="11"/>
        <color theme="1"/>
        <rFont val="微軟正黑體"/>
        <family val="2"/>
        <charset val="136"/>
      </rPr>
      <t>潘婷</t>
    </r>
    <r>
      <rPr>
        <sz val="11"/>
        <color theme="1"/>
        <rFont val="Calibri"/>
        <family val="2"/>
      </rPr>
      <t>3</t>
    </r>
    <r>
      <rPr>
        <sz val="11"/>
        <color theme="1"/>
        <rFont val="微軟正黑體"/>
        <family val="2"/>
        <charset val="136"/>
      </rPr>
      <t>分鐘修護精華油雪松玫瑰香</t>
    </r>
    <r>
      <rPr>
        <sz val="11"/>
        <color theme="1"/>
        <rFont val="Calibri"/>
        <family val="2"/>
      </rPr>
      <t>90</t>
    </r>
    <r>
      <rPr>
        <sz val="11"/>
        <color theme="1"/>
        <rFont val="微軟正黑體"/>
        <family val="2"/>
        <charset val="136"/>
      </rPr>
      <t>毫升</t>
    </r>
  </si>
  <si>
    <r>
      <rPr>
        <sz val="11"/>
        <color theme="1"/>
        <rFont val="微軟正黑體"/>
        <family val="2"/>
        <charset val="136"/>
      </rPr>
      <t>潘婷盈潤光澤洗髮露</t>
    </r>
    <r>
      <rPr>
        <sz val="11"/>
        <color theme="1"/>
        <rFont val="Calibri"/>
        <family val="2"/>
      </rPr>
      <t>650</t>
    </r>
    <r>
      <rPr>
        <sz val="11"/>
        <color theme="1"/>
        <rFont val="微軟正黑體"/>
        <family val="2"/>
        <charset val="136"/>
      </rPr>
      <t>克</t>
    </r>
  </si>
  <si>
    <r>
      <rPr>
        <sz val="11"/>
        <color theme="1"/>
        <rFont val="微軟正黑體"/>
        <family val="2"/>
        <charset val="136"/>
      </rPr>
      <t>潘婷盈潤光澤潤髮精華素</t>
    </r>
    <r>
      <rPr>
        <sz val="11"/>
        <color theme="1"/>
        <rFont val="Calibri"/>
        <family val="2"/>
      </rPr>
      <t>650</t>
    </r>
    <r>
      <rPr>
        <sz val="11"/>
        <color theme="1"/>
        <rFont val="微軟正黑體"/>
        <family val="2"/>
        <charset val="136"/>
      </rPr>
      <t>克</t>
    </r>
  </si>
  <si>
    <r>
      <rPr>
        <sz val="11"/>
        <color theme="1"/>
        <rFont val="微軟正黑體"/>
        <family val="2"/>
        <charset val="136"/>
      </rPr>
      <t>潘婷強韌防斷洗髮露</t>
    </r>
    <r>
      <rPr>
        <sz val="11"/>
        <color theme="1"/>
        <rFont val="Calibri"/>
        <family val="2"/>
      </rPr>
      <t>650</t>
    </r>
    <r>
      <rPr>
        <sz val="11"/>
        <color theme="1"/>
        <rFont val="微軟正黑體"/>
        <family val="2"/>
        <charset val="136"/>
      </rPr>
      <t>克</t>
    </r>
  </si>
  <si>
    <r>
      <rPr>
        <sz val="11"/>
        <color theme="1"/>
        <rFont val="微軟正黑體"/>
        <family val="2"/>
        <charset val="136"/>
      </rPr>
      <t>潘婷強韌防斷潤髮精華素</t>
    </r>
    <r>
      <rPr>
        <sz val="11"/>
        <color theme="1"/>
        <rFont val="Calibri"/>
        <family val="2"/>
      </rPr>
      <t>650</t>
    </r>
    <r>
      <rPr>
        <sz val="11"/>
        <color theme="1"/>
        <rFont val="微軟正黑體"/>
        <family val="2"/>
        <charset val="136"/>
      </rPr>
      <t>克</t>
    </r>
  </si>
  <si>
    <r>
      <rPr>
        <sz val="11"/>
        <color theme="1"/>
        <rFont val="微軟正黑體"/>
        <family val="2"/>
        <charset val="136"/>
      </rPr>
      <t>潘婷染燙修護潤髮精華素</t>
    </r>
    <r>
      <rPr>
        <sz val="11"/>
        <color theme="1"/>
        <rFont val="Calibri"/>
        <family val="2"/>
      </rPr>
      <t>650</t>
    </r>
    <r>
      <rPr>
        <sz val="11"/>
        <color theme="1"/>
        <rFont val="微軟正黑體"/>
        <family val="2"/>
        <charset val="136"/>
      </rPr>
      <t>克</t>
    </r>
  </si>
  <si>
    <r>
      <rPr>
        <sz val="11"/>
        <color theme="1"/>
        <rFont val="微軟正黑體"/>
        <family val="2"/>
        <charset val="136"/>
      </rPr>
      <t>潘婷染燙修護洗髮露</t>
    </r>
    <r>
      <rPr>
        <sz val="11"/>
        <color theme="1"/>
        <rFont val="Calibri"/>
        <family val="2"/>
      </rPr>
      <t>650</t>
    </r>
    <r>
      <rPr>
        <sz val="11"/>
        <color theme="1"/>
        <rFont val="微軟正黑體"/>
        <family val="2"/>
        <charset val="136"/>
      </rPr>
      <t>克</t>
    </r>
  </si>
  <si>
    <r>
      <rPr>
        <sz val="11"/>
        <color theme="1"/>
        <rFont val="微軟正黑體"/>
        <family val="2"/>
        <charset val="136"/>
      </rPr>
      <t>潘婷絲質順滑潤髮精華素</t>
    </r>
    <r>
      <rPr>
        <sz val="11"/>
        <color theme="1"/>
        <rFont val="Calibri"/>
        <family val="2"/>
      </rPr>
      <t>650</t>
    </r>
    <r>
      <rPr>
        <sz val="11"/>
        <color theme="1"/>
        <rFont val="微軟正黑體"/>
        <family val="2"/>
        <charset val="136"/>
      </rPr>
      <t>克</t>
    </r>
  </si>
  <si>
    <r>
      <rPr>
        <sz val="11"/>
        <color theme="1"/>
        <rFont val="微軟正黑體"/>
        <family val="2"/>
        <charset val="136"/>
      </rPr>
      <t>潘婷絲質順滑洗髮露</t>
    </r>
    <r>
      <rPr>
        <sz val="11"/>
        <color theme="1"/>
        <rFont val="Calibri"/>
        <family val="2"/>
      </rPr>
      <t>650</t>
    </r>
    <r>
      <rPr>
        <sz val="11"/>
        <color theme="1"/>
        <rFont val="微軟正黑體"/>
        <family val="2"/>
        <charset val="136"/>
      </rPr>
      <t>克</t>
    </r>
  </si>
  <si>
    <r>
      <rPr>
        <sz val="11"/>
        <color theme="1"/>
        <rFont val="微軟正黑體"/>
        <family val="2"/>
        <charset val="136"/>
      </rPr>
      <t>潘婷乳液修護洗髮露</t>
    </r>
    <r>
      <rPr>
        <sz val="11"/>
        <color theme="1"/>
        <rFont val="Calibri"/>
        <family val="2"/>
      </rPr>
      <t>650</t>
    </r>
    <r>
      <rPr>
        <sz val="11"/>
        <color theme="1"/>
        <rFont val="微軟正黑體"/>
        <family val="2"/>
        <charset val="136"/>
      </rPr>
      <t>克</t>
    </r>
  </si>
  <si>
    <r>
      <rPr>
        <sz val="11"/>
        <color theme="1"/>
        <rFont val="微軟正黑體"/>
        <family val="2"/>
        <charset val="136"/>
      </rPr>
      <t>潘婷乳液修護潤髮精華素</t>
    </r>
    <r>
      <rPr>
        <sz val="11"/>
        <color theme="1"/>
        <rFont val="Calibri"/>
        <family val="2"/>
      </rPr>
      <t>650</t>
    </r>
    <r>
      <rPr>
        <sz val="11"/>
        <color theme="1"/>
        <rFont val="微軟正黑體"/>
        <family val="2"/>
        <charset val="136"/>
      </rPr>
      <t>克</t>
    </r>
  </si>
  <si>
    <r>
      <t>OLAY</t>
    </r>
    <r>
      <rPr>
        <sz val="11"/>
        <color theme="1"/>
        <rFont val="微軟正黑體"/>
        <family val="2"/>
        <charset val="136"/>
      </rPr>
      <t>新生高效緊緻護膚霜</t>
    </r>
    <r>
      <rPr>
        <sz val="11"/>
        <color theme="1"/>
        <rFont val="Calibri"/>
        <family val="2"/>
      </rPr>
      <t>50g</t>
    </r>
  </si>
  <si>
    <r>
      <t>OLAY</t>
    </r>
    <r>
      <rPr>
        <sz val="11"/>
        <color theme="1"/>
        <rFont val="微軟正黑體"/>
        <family val="2"/>
        <charset val="136"/>
      </rPr>
      <t>抗皺保濕面膜</t>
    </r>
    <r>
      <rPr>
        <sz val="11"/>
        <color theme="1"/>
        <rFont val="Calibri"/>
        <family val="2"/>
      </rPr>
      <t>5</t>
    </r>
    <r>
      <rPr>
        <sz val="11"/>
        <color theme="1"/>
        <rFont val="微軟正黑體"/>
        <family val="2"/>
        <charset val="136"/>
      </rPr>
      <t>片</t>
    </r>
  </si>
  <si>
    <r>
      <t>OLAY</t>
    </r>
    <r>
      <rPr>
        <sz val="11"/>
        <color theme="1"/>
        <rFont val="微軟正黑體"/>
        <family val="2"/>
        <charset val="136"/>
      </rPr>
      <t>高效透白光曜精華</t>
    </r>
    <r>
      <rPr>
        <sz val="11"/>
        <color theme="1"/>
        <rFont val="Calibri"/>
        <family val="2"/>
      </rPr>
      <t>30</t>
    </r>
    <r>
      <rPr>
        <sz val="11"/>
        <color theme="1"/>
        <rFont val="微軟正黑體"/>
        <family val="2"/>
        <charset val="136"/>
      </rPr>
      <t>毫升</t>
    </r>
  </si>
  <si>
    <r>
      <t>OLAY</t>
    </r>
    <r>
      <rPr>
        <sz val="11"/>
        <color theme="1"/>
        <rFont val="微軟正黑體"/>
        <family val="2"/>
        <charset val="136"/>
      </rPr>
      <t>水感透白光曜精華水</t>
    </r>
    <r>
      <rPr>
        <sz val="11"/>
        <color theme="1"/>
        <rFont val="Calibri"/>
        <family val="2"/>
      </rPr>
      <t>150ML</t>
    </r>
  </si>
  <si>
    <r>
      <t>OLAY</t>
    </r>
    <r>
      <rPr>
        <sz val="11"/>
        <color theme="1"/>
        <rFont val="微軟正黑體"/>
        <family val="2"/>
        <charset val="136"/>
      </rPr>
      <t>新生高效緊緻精華水</t>
    </r>
    <r>
      <rPr>
        <sz val="11"/>
        <color theme="1"/>
        <rFont val="Calibri"/>
        <family val="2"/>
      </rPr>
      <t>150ML</t>
    </r>
    <phoneticPr fontId="5" type="noConversion"/>
  </si>
  <si>
    <r>
      <t>OLAY</t>
    </r>
    <r>
      <rPr>
        <sz val="11"/>
        <color theme="1"/>
        <rFont val="微軟正黑體"/>
        <family val="2"/>
        <charset val="136"/>
      </rPr>
      <t>多元修護霜無香料配方</t>
    </r>
    <r>
      <rPr>
        <sz val="11"/>
        <color theme="1"/>
        <rFont val="Calibri"/>
        <family val="2"/>
      </rPr>
      <t>50g</t>
    </r>
  </si>
  <si>
    <r>
      <t>OLAY</t>
    </r>
    <r>
      <rPr>
        <sz val="11"/>
        <color theme="1"/>
        <rFont val="微軟正黑體"/>
        <family val="2"/>
        <charset val="136"/>
      </rPr>
      <t>多元修護晚霜</t>
    </r>
    <r>
      <rPr>
        <sz val="11"/>
        <color theme="1"/>
        <rFont val="Calibri"/>
        <family val="2"/>
      </rPr>
      <t>50g</t>
    </r>
  </si>
  <si>
    <r>
      <t>Olay</t>
    </r>
    <r>
      <rPr>
        <sz val="11"/>
        <color theme="1"/>
        <rFont val="微軟正黑體"/>
        <family val="2"/>
        <charset val="136"/>
      </rPr>
      <t>多元修護日霜</t>
    </r>
    <r>
      <rPr>
        <sz val="11"/>
        <color theme="1"/>
        <rFont val="Calibri"/>
        <family val="2"/>
      </rPr>
      <t>50g</t>
    </r>
  </si>
  <si>
    <r>
      <t>OLAY</t>
    </r>
    <r>
      <rPr>
        <sz val="11"/>
        <color theme="1"/>
        <rFont val="微軟正黑體"/>
        <family val="2"/>
        <charset val="136"/>
      </rPr>
      <t>滋潤保濕乳液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敏感</t>
    </r>
    <r>
      <rPr>
        <sz val="11"/>
        <color theme="1"/>
        <rFont val="Calibri"/>
        <family val="2"/>
      </rPr>
      <t>)150ml</t>
    </r>
  </si>
  <si>
    <r>
      <t>OLAY</t>
    </r>
    <r>
      <rPr>
        <sz val="11"/>
        <color theme="1"/>
        <rFont val="微軟正黑體"/>
        <family val="2"/>
        <charset val="136"/>
      </rPr>
      <t>滋潤保溼霜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敏感</t>
    </r>
    <r>
      <rPr>
        <sz val="11"/>
        <color theme="1"/>
        <rFont val="Calibri"/>
        <family val="2"/>
      </rPr>
      <t>)100g</t>
    </r>
  </si>
  <si>
    <r>
      <t>OLAY</t>
    </r>
    <r>
      <rPr>
        <sz val="11"/>
        <color theme="1"/>
        <rFont val="微軟正黑體"/>
        <family val="2"/>
        <charset val="136"/>
      </rPr>
      <t>長效保濕凝露</t>
    </r>
    <r>
      <rPr>
        <sz val="11"/>
        <color theme="1"/>
        <rFont val="Calibri"/>
        <family val="2"/>
      </rPr>
      <t>50g</t>
    </r>
  </si>
  <si>
    <r>
      <t>OLAY</t>
    </r>
    <r>
      <rPr>
        <sz val="11"/>
        <color theme="1"/>
        <rFont val="微軟正黑體"/>
        <family val="2"/>
        <charset val="136"/>
      </rPr>
      <t>活膚精菁華霜</t>
    </r>
    <r>
      <rPr>
        <sz val="11"/>
        <color theme="1"/>
        <rFont val="Calibri"/>
        <family val="2"/>
      </rPr>
      <t>50g</t>
    </r>
  </si>
  <si>
    <r>
      <t>OLAY</t>
    </r>
    <r>
      <rPr>
        <sz val="11"/>
        <color theme="1"/>
        <rFont val="微軟正黑體"/>
        <family val="2"/>
        <charset val="136"/>
      </rPr>
      <t>滋潤保溼霜</t>
    </r>
    <r>
      <rPr>
        <sz val="11"/>
        <color theme="1"/>
        <rFont val="Calibri"/>
        <family val="2"/>
      </rPr>
      <t>100g</t>
    </r>
  </si>
  <si>
    <r>
      <t>OLAY</t>
    </r>
    <r>
      <rPr>
        <sz val="11"/>
        <color theme="1"/>
        <rFont val="微軟正黑體"/>
        <family val="2"/>
        <charset val="136"/>
      </rPr>
      <t>淨白保濕露</t>
    </r>
    <r>
      <rPr>
        <sz val="11"/>
        <color theme="1"/>
        <rFont val="Calibri"/>
        <family val="2"/>
      </rPr>
      <t>150ml</t>
    </r>
  </si>
  <si>
    <r>
      <t>OLAY</t>
    </r>
    <r>
      <rPr>
        <sz val="11"/>
        <color theme="1"/>
        <rFont val="微軟正黑體"/>
        <family val="2"/>
        <charset val="136"/>
      </rPr>
      <t>滋潤保濕乳液</t>
    </r>
    <r>
      <rPr>
        <sz val="11"/>
        <color theme="1"/>
        <rFont val="Calibri"/>
        <family val="2"/>
      </rPr>
      <t>150ml</t>
    </r>
  </si>
  <si>
    <r>
      <t>OLAY</t>
    </r>
    <r>
      <rPr>
        <sz val="11"/>
        <color theme="1"/>
        <rFont val="微軟正黑體"/>
        <family val="2"/>
        <charset val="136"/>
      </rPr>
      <t>多元修護眼霜</t>
    </r>
  </si>
  <si>
    <r>
      <t>OLAY</t>
    </r>
    <r>
      <rPr>
        <sz val="11"/>
        <color theme="1"/>
        <rFont val="微軟正黑體"/>
        <family val="2"/>
        <charset val="136"/>
      </rPr>
      <t>水感透白光曜鑽紋彈力面膜</t>
    </r>
    <r>
      <rPr>
        <sz val="11"/>
        <color theme="1"/>
        <rFont val="Calibri"/>
        <family val="2"/>
      </rPr>
      <t>5</t>
    </r>
    <r>
      <rPr>
        <sz val="11"/>
        <color theme="1"/>
        <rFont val="微軟正黑體"/>
        <family val="2"/>
        <charset val="136"/>
      </rPr>
      <t>片</t>
    </r>
  </si>
  <si>
    <r>
      <t>OLAY</t>
    </r>
    <r>
      <rPr>
        <sz val="11"/>
        <color theme="1"/>
        <rFont val="微軟正黑體"/>
        <family val="2"/>
        <charset val="136"/>
      </rPr>
      <t>防曬淨白乳液</t>
    </r>
    <r>
      <rPr>
        <sz val="11"/>
        <color theme="1"/>
        <rFont val="Calibri"/>
        <family val="2"/>
      </rPr>
      <t>(UV)150ml</t>
    </r>
  </si>
  <si>
    <r>
      <t>OLAY</t>
    </r>
    <r>
      <rPr>
        <sz val="11"/>
        <color theme="1"/>
        <rFont val="微軟正黑體"/>
        <family val="2"/>
        <charset val="136"/>
      </rPr>
      <t>水光美肌超值組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水感透白</t>
    </r>
    <r>
      <rPr>
        <sz val="11"/>
        <color theme="1"/>
        <rFont val="Calibri"/>
        <family val="2"/>
      </rPr>
      <t>)</t>
    </r>
  </si>
  <si>
    <r>
      <t>OLAY 3</t>
    </r>
    <r>
      <rPr>
        <sz val="11"/>
        <color theme="1"/>
        <rFont val="微軟正黑體"/>
        <family val="2"/>
        <charset val="136"/>
      </rPr>
      <t>步水潤亮白組</t>
    </r>
  </si>
  <si>
    <r>
      <t>OLAY</t>
    </r>
    <r>
      <rPr>
        <sz val="11"/>
        <color theme="1"/>
        <rFont val="微軟正黑體"/>
        <family val="2"/>
        <charset val="136"/>
      </rPr>
      <t>新生高效緊緻活膚露</t>
    </r>
    <r>
      <rPr>
        <sz val="11"/>
        <color theme="1"/>
        <rFont val="Calibri"/>
        <family val="2"/>
      </rPr>
      <t>150ml</t>
    </r>
  </si>
  <si>
    <r>
      <t>Olay</t>
    </r>
    <r>
      <rPr>
        <sz val="11"/>
        <color theme="1"/>
        <rFont val="微軟正黑體"/>
        <family val="2"/>
        <charset val="136"/>
      </rPr>
      <t>高效透白光塑面膜精華液</t>
    </r>
    <r>
      <rPr>
        <sz val="11"/>
        <color theme="1"/>
        <rFont val="Calibri"/>
        <family val="2"/>
      </rPr>
      <t>150ml</t>
    </r>
  </si>
  <si>
    <r>
      <t>OLAY</t>
    </r>
    <r>
      <rPr>
        <sz val="11"/>
        <color theme="1"/>
        <rFont val="微軟正黑體"/>
        <family val="2"/>
        <charset val="136"/>
      </rPr>
      <t>新生高效緊緻精華露</t>
    </r>
    <r>
      <rPr>
        <sz val="11"/>
        <color theme="1"/>
        <rFont val="Calibri"/>
        <family val="2"/>
      </rPr>
      <t>50ml</t>
    </r>
  </si>
  <si>
    <r>
      <t>OLAY</t>
    </r>
    <r>
      <rPr>
        <sz val="11"/>
        <color theme="1"/>
        <rFont val="微軟正黑體"/>
        <family val="2"/>
        <charset val="136"/>
      </rPr>
      <t>新生淡紋緊緻眼霜</t>
    </r>
    <r>
      <rPr>
        <sz val="11"/>
        <color theme="1"/>
        <rFont val="Calibri"/>
        <family val="2"/>
      </rPr>
      <t>15g</t>
    </r>
  </si>
  <si>
    <r>
      <t>OLAY</t>
    </r>
    <r>
      <rPr>
        <sz val="11"/>
        <color theme="1"/>
        <rFont val="微軟正黑體"/>
        <family val="2"/>
        <charset val="136"/>
      </rPr>
      <t>水感透白面膜</t>
    </r>
    <r>
      <rPr>
        <sz val="11"/>
        <color theme="1"/>
        <rFont val="Calibri"/>
        <family val="2"/>
      </rPr>
      <t>5</t>
    </r>
    <r>
      <rPr>
        <sz val="11"/>
        <color theme="1"/>
        <rFont val="微軟正黑體"/>
        <family val="2"/>
        <charset val="136"/>
      </rPr>
      <t>片裝</t>
    </r>
  </si>
  <si>
    <r>
      <t>Olay</t>
    </r>
    <r>
      <rPr>
        <sz val="11"/>
        <color theme="1"/>
        <rFont val="微軟正黑體"/>
        <family val="2"/>
        <charset val="136"/>
      </rPr>
      <t>高效透白光塑水凝霜</t>
    </r>
    <r>
      <rPr>
        <sz val="11"/>
        <color theme="1"/>
        <rFont val="Calibri"/>
        <family val="2"/>
      </rPr>
      <t>50g</t>
    </r>
  </si>
  <si>
    <r>
      <t>OLAY</t>
    </r>
    <r>
      <rPr>
        <sz val="11"/>
        <color theme="1"/>
        <rFont val="微軟正黑體"/>
        <family val="2"/>
        <charset val="136"/>
      </rPr>
      <t>粉嫩彈潤水凝霜</t>
    </r>
    <r>
      <rPr>
        <sz val="11"/>
        <color theme="1"/>
        <rFont val="Calibri"/>
        <family val="2"/>
      </rPr>
      <t>50g</t>
    </r>
  </si>
  <si>
    <r>
      <t>OLAY</t>
    </r>
    <r>
      <rPr>
        <sz val="11"/>
        <color theme="1"/>
        <rFont val="微軟正黑體"/>
        <family val="2"/>
        <charset val="136"/>
      </rPr>
      <t>粉嫩水潤精華水</t>
    </r>
    <r>
      <rPr>
        <sz val="11"/>
        <color theme="1"/>
        <rFont val="Calibri"/>
        <family val="2"/>
      </rPr>
      <t>150mL</t>
    </r>
  </si>
  <si>
    <r>
      <t>OLAY</t>
    </r>
    <r>
      <rPr>
        <sz val="11"/>
        <color theme="1"/>
        <rFont val="微軟正黑體"/>
        <family val="2"/>
        <charset val="136"/>
      </rPr>
      <t>粉嫩水潤精華水</t>
    </r>
    <r>
      <rPr>
        <sz val="11"/>
        <color theme="1"/>
        <rFont val="Calibri"/>
        <family val="2"/>
      </rPr>
      <t>150</t>
    </r>
    <r>
      <rPr>
        <sz val="11"/>
        <color theme="1"/>
        <rFont val="微軟正黑體"/>
        <family val="2"/>
        <charset val="136"/>
      </rPr>
      <t>毫升</t>
    </r>
    <r>
      <rPr>
        <sz val="11"/>
        <color theme="1"/>
        <rFont val="Calibri"/>
        <family val="2"/>
      </rPr>
      <t>+50</t>
    </r>
    <r>
      <rPr>
        <sz val="11"/>
        <color theme="1"/>
        <rFont val="微軟正黑體"/>
        <family val="2"/>
        <charset val="136"/>
      </rPr>
      <t>毫升</t>
    </r>
  </si>
  <si>
    <r>
      <t>OLAY</t>
    </r>
    <r>
      <rPr>
        <sz val="11"/>
        <color theme="1"/>
        <rFont val="微軟正黑體"/>
        <family val="2"/>
        <charset val="136"/>
      </rPr>
      <t>粉嫩水潤組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水凝霜</t>
    </r>
    <r>
      <rPr>
        <sz val="11"/>
        <color theme="1"/>
        <rFont val="Calibri"/>
        <family val="2"/>
      </rPr>
      <t>50g+</t>
    </r>
    <r>
      <rPr>
        <sz val="11"/>
        <color theme="1"/>
        <rFont val="微軟正黑體"/>
        <family val="2"/>
        <charset val="136"/>
      </rPr>
      <t>精華水</t>
    </r>
    <r>
      <rPr>
        <sz val="11"/>
        <color theme="1"/>
        <rFont val="Calibri"/>
        <family val="2"/>
      </rPr>
      <t>50</t>
    </r>
    <r>
      <rPr>
        <sz val="11"/>
        <color theme="1"/>
        <rFont val="微軟正黑體"/>
        <family val="2"/>
        <charset val="136"/>
      </rPr>
      <t>毫升</t>
    </r>
    <r>
      <rPr>
        <sz val="11"/>
        <color theme="1"/>
        <rFont val="Calibri"/>
        <family val="2"/>
      </rPr>
      <t>)</t>
    </r>
  </si>
  <si>
    <r>
      <t>OLAY</t>
    </r>
    <r>
      <rPr>
        <sz val="11"/>
        <color theme="1"/>
        <rFont val="微軟正黑體"/>
        <family val="2"/>
        <charset val="136"/>
      </rPr>
      <t>滋潤緊緻優惠組</t>
    </r>
  </si>
  <si>
    <r>
      <t>OLAY</t>
    </r>
    <r>
      <rPr>
        <sz val="11"/>
        <color theme="1"/>
        <rFont val="微軟正黑體"/>
        <family val="2"/>
        <charset val="136"/>
      </rPr>
      <t>大紅瓶精華水乳組</t>
    </r>
  </si>
  <si>
    <r>
      <t>OLAY</t>
    </r>
    <r>
      <rPr>
        <sz val="11"/>
        <color theme="1"/>
        <rFont val="微軟正黑體"/>
        <family val="2"/>
        <charset val="136"/>
      </rPr>
      <t>新生高效緊緻精華水</t>
    </r>
    <r>
      <rPr>
        <sz val="11"/>
        <color theme="1"/>
        <rFont val="Calibri"/>
        <family val="2"/>
      </rPr>
      <t>150ML(</t>
    </r>
    <r>
      <rPr>
        <sz val="11"/>
        <color theme="1"/>
        <rFont val="微軟正黑體"/>
        <family val="2"/>
        <charset val="136"/>
      </rPr>
      <t>進階版</t>
    </r>
    <r>
      <rPr>
        <sz val="11"/>
        <color theme="1"/>
        <rFont val="Calibri"/>
        <family val="2"/>
      </rPr>
      <t>)</t>
    </r>
  </si>
  <si>
    <r>
      <t>OLAY</t>
    </r>
    <r>
      <rPr>
        <sz val="11"/>
        <color theme="1"/>
        <rFont val="微軟正黑體"/>
        <family val="2"/>
        <charset val="136"/>
      </rPr>
      <t>新生高效緊緻精華乳液</t>
    </r>
    <r>
      <rPr>
        <sz val="11"/>
        <color theme="1"/>
        <rFont val="Calibri"/>
        <family val="2"/>
      </rPr>
      <t>100ML</t>
    </r>
  </si>
  <si>
    <r>
      <t xml:space="preserve">OLAY </t>
    </r>
    <r>
      <rPr>
        <sz val="11"/>
        <color theme="1"/>
        <rFont val="微軟正黑體"/>
        <family val="2"/>
        <charset val="136"/>
      </rPr>
      <t>水光透亮精選組</t>
    </r>
  </si>
  <si>
    <r>
      <t>OLAY</t>
    </r>
    <r>
      <rPr>
        <sz val="11"/>
        <color theme="1"/>
        <rFont val="微軟正黑體"/>
        <family val="2"/>
        <charset val="136"/>
      </rPr>
      <t>小白瓶體驗組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水光小白瓶</t>
    </r>
    <r>
      <rPr>
        <sz val="11"/>
        <color theme="1"/>
        <rFont val="Calibri"/>
        <family val="2"/>
      </rPr>
      <t>+</t>
    </r>
    <r>
      <rPr>
        <sz val="11"/>
        <color theme="1"/>
        <rFont val="微軟正黑體"/>
        <family val="2"/>
        <charset val="136"/>
      </rPr>
      <t>小白瓶面膜</t>
    </r>
    <r>
      <rPr>
        <sz val="11"/>
        <color theme="1"/>
        <rFont val="Calibri"/>
        <family val="2"/>
      </rPr>
      <t>)</t>
    </r>
  </si>
  <si>
    <r>
      <t>OLAY</t>
    </r>
    <r>
      <rPr>
        <sz val="11"/>
        <color theme="1"/>
        <rFont val="微軟正黑體"/>
        <family val="2"/>
        <charset val="136"/>
      </rPr>
      <t>胜肽專研緊緻滋潤面霜</t>
    </r>
    <r>
      <rPr>
        <sz val="11"/>
        <color theme="1"/>
        <rFont val="Calibri"/>
        <family val="2"/>
      </rPr>
      <t>50g</t>
    </r>
  </si>
  <si>
    <r>
      <t>OLAY</t>
    </r>
    <r>
      <rPr>
        <sz val="11"/>
        <color theme="1"/>
        <rFont val="微軟正黑體"/>
        <family val="2"/>
        <charset val="136"/>
      </rPr>
      <t>胜肽專研緊緻精華</t>
    </r>
    <r>
      <rPr>
        <sz val="11"/>
        <color theme="1"/>
        <rFont val="Calibri"/>
        <family val="2"/>
      </rPr>
      <t>30ml</t>
    </r>
  </si>
  <si>
    <r>
      <t>OLAY</t>
    </r>
    <r>
      <rPr>
        <sz val="11"/>
        <color theme="1"/>
        <rFont val="微軟正黑體"/>
        <family val="2"/>
        <charset val="136"/>
      </rPr>
      <t>胜肽專研緊緻輕潤乳霜</t>
    </r>
    <r>
      <rPr>
        <sz val="11"/>
        <color theme="1"/>
        <rFont val="Calibri"/>
        <family val="2"/>
      </rPr>
      <t>50g</t>
    </r>
  </si>
  <si>
    <r>
      <t>OLAY</t>
    </r>
    <r>
      <rPr>
        <sz val="11"/>
        <color theme="1"/>
        <rFont val="微軟正黑體"/>
        <family val="2"/>
        <charset val="136"/>
      </rPr>
      <t>胜肽專研奢護眼霜</t>
    </r>
    <r>
      <rPr>
        <sz val="11"/>
        <color theme="1"/>
        <rFont val="Calibri"/>
        <family val="2"/>
      </rPr>
      <t>15g</t>
    </r>
  </si>
  <si>
    <r>
      <t>OLAY</t>
    </r>
    <r>
      <rPr>
        <sz val="11"/>
        <color theme="1"/>
        <rFont val="微軟正黑體"/>
        <family val="2"/>
        <charset val="136"/>
      </rPr>
      <t>胜肽超紅系列全方位緊緻精選組</t>
    </r>
  </si>
  <si>
    <r>
      <rPr>
        <sz val="11"/>
        <color theme="1"/>
        <rFont val="微軟正黑體"/>
        <family val="2"/>
        <charset val="136"/>
      </rPr>
      <t>好自在瞬潔絲蝶日用</t>
    </r>
    <r>
      <rPr>
        <sz val="11"/>
        <color theme="1"/>
        <rFont val="Calibri"/>
        <family val="2"/>
      </rPr>
      <t>24cm16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</si>
  <si>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好自在瞬潔絲蝶夜用</t>
    </r>
    <r>
      <rPr>
        <sz val="11"/>
        <color theme="1"/>
        <rFont val="Calibri"/>
        <family val="2"/>
      </rPr>
      <t>28cm12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</si>
  <si>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好自在純肌</t>
    </r>
    <r>
      <rPr>
        <sz val="11"/>
        <color theme="1"/>
        <rFont val="Calibri"/>
        <family val="2"/>
      </rPr>
      <t>+?</t>
    </r>
    <r>
      <rPr>
        <sz val="11"/>
        <color theme="1"/>
        <rFont val="微軟正黑體"/>
        <family val="2"/>
        <charset val="136"/>
      </rPr>
      <t>絲薄日用</t>
    </r>
    <r>
      <rPr>
        <sz val="11"/>
        <color theme="1"/>
        <rFont val="Calibri"/>
        <family val="2"/>
      </rPr>
      <t>24cm10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</si>
  <si>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好自在純肌</t>
    </r>
    <r>
      <rPr>
        <sz val="11"/>
        <color theme="1"/>
        <rFont val="Calibri"/>
        <family val="2"/>
      </rPr>
      <t>+?</t>
    </r>
    <r>
      <rPr>
        <sz val="11"/>
        <color theme="1"/>
        <rFont val="微軟正黑體"/>
        <family val="2"/>
        <charset val="136"/>
      </rPr>
      <t>絲薄日夜用</t>
    </r>
    <r>
      <rPr>
        <sz val="11"/>
        <color theme="1"/>
        <rFont val="Calibri"/>
        <family val="2"/>
      </rPr>
      <t>28cm10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</si>
  <si>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好自在液體材質衛生棉</t>
    </r>
    <r>
      <rPr>
        <sz val="11"/>
        <color theme="1"/>
        <rFont val="Calibri"/>
        <family val="2"/>
      </rPr>
      <t>24cm10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</si>
  <si>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好自在液體材質衛生棉</t>
    </r>
    <r>
      <rPr>
        <sz val="11"/>
        <color theme="1"/>
        <rFont val="Calibri"/>
        <family val="2"/>
      </rPr>
      <t>27cm10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</si>
  <si>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好自在液體衛生棉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巾</t>
    </r>
    <r>
      <rPr>
        <sz val="11"/>
        <color theme="1"/>
        <rFont val="Calibri"/>
        <family val="2"/>
      </rPr>
      <t>29.5cm 9</t>
    </r>
    <r>
      <rPr>
        <sz val="11"/>
        <color theme="1"/>
        <rFont val="微軟正黑體"/>
        <family val="2"/>
        <charset val="136"/>
      </rPr>
      <t>片裝</t>
    </r>
  </si>
  <si>
    <r>
      <rPr>
        <sz val="11"/>
        <color theme="1"/>
        <rFont val="微軟正黑體"/>
        <family val="2"/>
        <charset val="136"/>
      </rPr>
      <t>好自在液體材質衛生棉</t>
    </r>
    <r>
      <rPr>
        <sz val="11"/>
        <color theme="1"/>
        <rFont val="Calibri"/>
        <family val="2"/>
      </rPr>
      <t>34cm10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</si>
  <si>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好自在純棉液體衛生棉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巾隔離細菌</t>
    </r>
    <r>
      <rPr>
        <sz val="11"/>
        <color theme="1"/>
        <rFont val="Calibri"/>
        <family val="2"/>
      </rPr>
      <t>27CM7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</si>
  <si>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好自在純棉液體衛生棉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巾隔離細菌</t>
    </r>
    <r>
      <rPr>
        <sz val="11"/>
        <color theme="1"/>
        <rFont val="Calibri"/>
        <family val="2"/>
      </rPr>
      <t>24CM8</t>
    </r>
    <r>
      <rPr>
        <sz val="11"/>
        <color theme="1"/>
        <rFont val="微軟正黑體"/>
        <family val="2"/>
        <charset val="136"/>
      </rPr>
      <t>片</t>
    </r>
  </si>
  <si>
    <r>
      <t>whisper</t>
    </r>
    <r>
      <rPr>
        <sz val="11"/>
        <color theme="1"/>
        <rFont val="微軟正黑體"/>
        <family val="2"/>
        <charset val="136"/>
      </rPr>
      <t>熊抱安睡褲</t>
    </r>
    <r>
      <rPr>
        <sz val="11"/>
        <color theme="1"/>
        <rFont val="Calibri"/>
        <family val="2"/>
      </rPr>
      <t>M 4</t>
    </r>
    <r>
      <rPr>
        <sz val="11"/>
        <color theme="1"/>
        <rFont val="微軟正黑體"/>
        <family val="2"/>
        <charset val="136"/>
      </rPr>
      <t>片</t>
    </r>
  </si>
  <si>
    <r>
      <t>whisper</t>
    </r>
    <r>
      <rPr>
        <sz val="11"/>
        <color theme="1"/>
        <rFont val="微軟正黑體"/>
        <family val="2"/>
        <charset val="136"/>
      </rPr>
      <t>熊抱安睡褲</t>
    </r>
    <r>
      <rPr>
        <sz val="11"/>
        <color theme="1"/>
        <rFont val="Calibri"/>
        <family val="2"/>
      </rPr>
      <t>L 4</t>
    </r>
    <r>
      <rPr>
        <sz val="11"/>
        <color theme="1"/>
        <rFont val="微軟正黑體"/>
        <family val="2"/>
        <charset val="136"/>
      </rPr>
      <t>片</t>
    </r>
  </si>
  <si>
    <r>
      <t>whisper</t>
    </r>
    <r>
      <rPr>
        <sz val="11"/>
        <color theme="1"/>
        <rFont val="微軟正黑體"/>
        <family val="2"/>
        <charset val="136"/>
      </rPr>
      <t>熊抱安睡褲</t>
    </r>
    <r>
      <rPr>
        <sz val="11"/>
        <color theme="1"/>
        <rFont val="Calibri"/>
        <family val="2"/>
      </rPr>
      <t>XL 4</t>
    </r>
    <r>
      <rPr>
        <sz val="11"/>
        <color theme="1"/>
        <rFont val="微軟正黑體"/>
        <family val="2"/>
        <charset val="136"/>
      </rPr>
      <t>片</t>
    </r>
  </si>
  <si>
    <r>
      <t>whisper</t>
    </r>
    <r>
      <rPr>
        <sz val="11"/>
        <color theme="1"/>
        <rFont val="微軟正黑體"/>
        <family val="2"/>
        <charset val="136"/>
      </rPr>
      <t>熊抱安睡褲</t>
    </r>
    <r>
      <rPr>
        <sz val="11"/>
        <color theme="1"/>
        <rFont val="Calibri"/>
        <family val="2"/>
      </rPr>
      <t>L 2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</si>
  <si>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好自在液體衛生棉</t>
    </r>
    <r>
      <rPr>
        <sz val="11"/>
        <color theme="1"/>
        <rFont val="Calibri"/>
        <family val="2"/>
      </rPr>
      <t>24CM6</t>
    </r>
    <r>
      <rPr>
        <sz val="11"/>
        <color theme="1"/>
        <rFont val="微軟正黑體"/>
        <family val="2"/>
        <charset val="136"/>
      </rPr>
      <t>片</t>
    </r>
    <r>
      <rPr>
        <sz val="11"/>
        <color theme="1"/>
        <rFont val="Calibri"/>
        <family val="2"/>
      </rPr>
      <t>+</t>
    </r>
    <r>
      <rPr>
        <sz val="11"/>
        <color theme="1"/>
        <rFont val="微軟正黑體"/>
        <family val="2"/>
        <charset val="136"/>
      </rPr>
      <t>純棉隔菌</t>
    </r>
    <r>
      <rPr>
        <sz val="11"/>
        <color theme="1"/>
        <rFont val="Calibri"/>
        <family val="2"/>
      </rPr>
      <t>24CM3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</si>
  <si>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好自在</t>
    </r>
    <r>
      <rPr>
        <sz val="11"/>
        <color theme="1"/>
        <rFont val="Calibri"/>
        <family val="2"/>
      </rPr>
      <t>Air Cushion</t>
    </r>
    <r>
      <rPr>
        <sz val="11"/>
        <color theme="1"/>
        <rFont val="微軟正黑體"/>
        <family val="2"/>
        <charset val="136"/>
      </rPr>
      <t>量多極薄</t>
    </r>
    <r>
      <rPr>
        <sz val="11"/>
        <color theme="1"/>
        <rFont val="Calibri"/>
        <family val="2"/>
      </rPr>
      <t>28CM10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</si>
  <si>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好自在</t>
    </r>
    <r>
      <rPr>
        <sz val="11"/>
        <color theme="1"/>
        <rFont val="Calibri"/>
        <family val="2"/>
      </rPr>
      <t>Air Cushion</t>
    </r>
    <r>
      <rPr>
        <sz val="11"/>
        <color theme="1"/>
        <rFont val="微軟正黑體"/>
        <family val="2"/>
        <charset val="136"/>
      </rPr>
      <t>日用極薄</t>
    </r>
    <r>
      <rPr>
        <sz val="11"/>
        <color theme="1"/>
        <rFont val="Calibri"/>
        <family val="2"/>
      </rPr>
      <t>24CM12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</si>
  <si>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好自在</t>
    </r>
    <r>
      <rPr>
        <sz val="11"/>
        <color theme="1"/>
        <rFont val="Calibri"/>
        <family val="2"/>
      </rPr>
      <t>Air Cushion</t>
    </r>
    <r>
      <rPr>
        <sz val="11"/>
        <color theme="1"/>
        <rFont val="微軟正黑體"/>
        <family val="2"/>
        <charset val="136"/>
      </rPr>
      <t>量少極薄</t>
    </r>
    <r>
      <rPr>
        <sz val="11"/>
        <color theme="1"/>
        <rFont val="Calibri"/>
        <family val="2"/>
      </rPr>
      <t>18CM12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</si>
  <si>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好自在</t>
    </r>
    <r>
      <rPr>
        <sz val="11"/>
        <color theme="1"/>
        <rFont val="Calibri"/>
        <family val="2"/>
      </rPr>
      <t>AirCushion</t>
    </r>
    <r>
      <rPr>
        <sz val="11"/>
        <color theme="1"/>
        <rFont val="微軟正黑體"/>
        <family val="2"/>
        <charset val="136"/>
      </rPr>
      <t>量多</t>
    </r>
    <r>
      <rPr>
        <sz val="11"/>
        <color theme="1"/>
        <rFont val="Calibri"/>
        <family val="2"/>
      </rPr>
      <t>28CM10</t>
    </r>
    <r>
      <rPr>
        <sz val="11"/>
        <color theme="1"/>
        <rFont val="微軟正黑體"/>
        <family val="2"/>
        <charset val="136"/>
      </rPr>
      <t>片</t>
    </r>
    <r>
      <rPr>
        <sz val="11"/>
        <color theme="1"/>
        <rFont val="Calibri"/>
        <family val="2"/>
      </rPr>
      <t>*2</t>
    </r>
    <r>
      <rPr>
        <sz val="11"/>
        <color theme="1"/>
        <rFont val="微軟正黑體"/>
        <family val="2"/>
        <charset val="136"/>
      </rPr>
      <t>入</t>
    </r>
  </si>
  <si>
    <r>
      <rPr>
        <sz val="11"/>
        <color theme="1"/>
        <rFont val="微軟正黑體"/>
        <family val="2"/>
        <charset val="136"/>
      </rPr>
      <t>好自在</t>
    </r>
    <r>
      <rPr>
        <sz val="11"/>
        <color theme="1"/>
        <rFont val="Calibri"/>
        <family val="2"/>
      </rPr>
      <t>AirCushion</t>
    </r>
    <r>
      <rPr>
        <sz val="11"/>
        <color theme="1"/>
        <rFont val="微軟正黑體"/>
        <family val="2"/>
        <charset val="136"/>
      </rPr>
      <t>日用</t>
    </r>
    <r>
      <rPr>
        <sz val="11"/>
        <color theme="1"/>
        <rFont val="Calibri"/>
        <family val="2"/>
      </rPr>
      <t>24CM12</t>
    </r>
    <r>
      <rPr>
        <sz val="11"/>
        <color theme="1"/>
        <rFont val="微軟正黑體"/>
        <family val="2"/>
        <charset val="136"/>
      </rPr>
      <t>片</t>
    </r>
    <r>
      <rPr>
        <sz val="11"/>
        <color theme="1"/>
        <rFont val="Calibri"/>
        <family val="2"/>
      </rPr>
      <t>*2</t>
    </r>
    <r>
      <rPr>
        <sz val="11"/>
        <color theme="1"/>
        <rFont val="微軟正黑體"/>
        <family val="2"/>
        <charset val="136"/>
      </rPr>
      <t>入</t>
    </r>
  </si>
  <si>
    <r>
      <rPr>
        <sz val="11"/>
        <color theme="1"/>
        <rFont val="微軟正黑體"/>
        <family val="2"/>
        <charset val="136"/>
      </rPr>
      <t>好自在</t>
    </r>
    <r>
      <rPr>
        <sz val="11"/>
        <color theme="1"/>
        <rFont val="Calibri"/>
        <family val="2"/>
      </rPr>
      <t>PureSkin</t>
    </r>
    <r>
      <rPr>
        <sz val="11"/>
        <color theme="1"/>
        <rFont val="微軟正黑體"/>
        <family val="2"/>
        <charset val="136"/>
      </rPr>
      <t>衛生棉夜用</t>
    </r>
    <r>
      <rPr>
        <sz val="11"/>
        <color theme="1"/>
        <rFont val="Calibri"/>
        <family val="2"/>
      </rPr>
      <t>28CM16</t>
    </r>
    <r>
      <rPr>
        <sz val="11"/>
        <color theme="1"/>
        <rFont val="微軟正黑體"/>
        <family val="2"/>
        <charset val="136"/>
      </rPr>
      <t>片</t>
    </r>
    <r>
      <rPr>
        <sz val="11"/>
        <color theme="1"/>
        <rFont val="Calibri"/>
        <family val="2"/>
      </rPr>
      <t>2</t>
    </r>
    <r>
      <rPr>
        <sz val="11"/>
        <color theme="1"/>
        <rFont val="微軟正黑體"/>
        <family val="2"/>
        <charset val="136"/>
      </rPr>
      <t>入</t>
    </r>
  </si>
  <si>
    <r>
      <rPr>
        <sz val="11"/>
        <color theme="1"/>
        <rFont val="微軟正黑體"/>
        <family val="2"/>
        <charset val="136"/>
      </rPr>
      <t>好自在</t>
    </r>
    <r>
      <rPr>
        <sz val="11"/>
        <color theme="1"/>
        <rFont val="Calibri"/>
        <family val="2"/>
      </rPr>
      <t>PureSkin</t>
    </r>
    <r>
      <rPr>
        <sz val="11"/>
        <color theme="1"/>
        <rFont val="微軟正黑體"/>
        <family val="2"/>
        <charset val="136"/>
      </rPr>
      <t>衛生棉日用</t>
    </r>
    <r>
      <rPr>
        <sz val="11"/>
        <color theme="1"/>
        <rFont val="Calibri"/>
        <family val="2"/>
      </rPr>
      <t>24CM16</t>
    </r>
    <r>
      <rPr>
        <sz val="11"/>
        <color theme="1"/>
        <rFont val="微軟正黑體"/>
        <family val="2"/>
        <charset val="136"/>
      </rPr>
      <t>片</t>
    </r>
    <r>
      <rPr>
        <sz val="11"/>
        <color theme="1"/>
        <rFont val="Calibri"/>
        <family val="2"/>
      </rPr>
      <t>2</t>
    </r>
    <r>
      <rPr>
        <sz val="11"/>
        <color theme="1"/>
        <rFont val="微軟正黑體"/>
        <family val="2"/>
        <charset val="136"/>
      </rPr>
      <t>入</t>
    </r>
  </si>
  <si>
    <r>
      <rPr>
        <sz val="11"/>
        <color theme="1"/>
        <rFont val="微軟正黑體"/>
        <family val="2"/>
        <charset val="136"/>
      </rPr>
      <t>好自在超柔安睡褲均碼</t>
    </r>
    <r>
      <rPr>
        <sz val="11"/>
        <color theme="1"/>
        <rFont val="Calibri"/>
        <family val="2"/>
      </rPr>
      <t>Free Size 4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</si>
  <si>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好自在超柔安睡褲均碼</t>
    </r>
    <r>
      <rPr>
        <sz val="11"/>
        <color theme="1"/>
        <rFont val="Calibri"/>
        <family val="2"/>
      </rPr>
      <t>Free Size 2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</si>
  <si>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好自在</t>
    </r>
    <r>
      <rPr>
        <sz val="11"/>
        <color theme="1"/>
        <rFont val="Calibri"/>
        <family val="2"/>
      </rPr>
      <t>AirCushion</t>
    </r>
    <r>
      <rPr>
        <sz val="11"/>
        <color theme="1"/>
        <rFont val="微軟正黑體"/>
        <family val="2"/>
        <charset val="136"/>
      </rPr>
      <t>日用極薄</t>
    </r>
    <r>
      <rPr>
        <sz val="11"/>
        <color theme="1"/>
        <rFont val="Calibri"/>
        <family val="2"/>
      </rPr>
      <t>24CM19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</si>
  <si>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好自在熊抱安睡</t>
    </r>
    <r>
      <rPr>
        <sz val="11"/>
        <color theme="1"/>
        <rFont val="Calibri"/>
        <family val="2"/>
      </rPr>
      <t>425mm</t>
    </r>
    <r>
      <rPr>
        <sz val="11"/>
        <color theme="1"/>
        <rFont val="微軟正黑體"/>
        <family val="2"/>
        <charset val="136"/>
      </rPr>
      <t>量多夜用</t>
    </r>
    <r>
      <rPr>
        <sz val="11"/>
        <color theme="1"/>
        <rFont val="Calibri"/>
        <family val="2"/>
      </rPr>
      <t>7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</si>
  <si>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好自在熊抱安睡</t>
    </r>
    <r>
      <rPr>
        <sz val="11"/>
        <color theme="1"/>
        <rFont val="Calibri"/>
        <family val="2"/>
      </rPr>
      <t>425mm</t>
    </r>
    <r>
      <rPr>
        <sz val="11"/>
        <color theme="1"/>
        <rFont val="微軟正黑體"/>
        <family val="2"/>
        <charset val="136"/>
      </rPr>
      <t>量多夜用</t>
    </r>
    <r>
      <rPr>
        <sz val="11"/>
        <color theme="1"/>
        <rFont val="Calibri"/>
        <family val="2"/>
      </rPr>
      <t>7</t>
    </r>
    <r>
      <rPr>
        <sz val="11"/>
        <color theme="1"/>
        <rFont val="微軟正黑體"/>
        <family val="2"/>
        <charset val="136"/>
      </rPr>
      <t>片</t>
    </r>
    <r>
      <rPr>
        <sz val="11"/>
        <color theme="1"/>
        <rFont val="Calibri"/>
        <family val="2"/>
      </rPr>
      <t>*2</t>
    </r>
    <r>
      <rPr>
        <sz val="11"/>
        <color theme="1"/>
        <rFont val="微軟正黑體"/>
        <family val="2"/>
        <charset val="136"/>
      </rPr>
      <t>包</t>
    </r>
  </si>
  <si>
    <r>
      <rPr>
        <sz val="11"/>
        <color theme="1"/>
        <rFont val="微軟正黑體"/>
        <family val="2"/>
        <charset val="136"/>
      </rPr>
      <t>好自在熊抱安睡</t>
    </r>
    <r>
      <rPr>
        <sz val="11"/>
        <color theme="1"/>
        <rFont val="Calibri"/>
        <family val="2"/>
      </rPr>
      <t>317mm</t>
    </r>
    <r>
      <rPr>
        <sz val="11"/>
        <color theme="1"/>
        <rFont val="微軟正黑體"/>
        <family val="2"/>
        <charset val="136"/>
      </rPr>
      <t>量多日夜用</t>
    </r>
    <r>
      <rPr>
        <sz val="11"/>
        <color theme="1"/>
        <rFont val="Calibri"/>
        <family val="2"/>
      </rPr>
      <t>12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</si>
  <si>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好自在熊抱安睡</t>
    </r>
    <r>
      <rPr>
        <sz val="11"/>
        <color theme="1"/>
        <rFont val="Calibri"/>
        <family val="2"/>
      </rPr>
      <t>360mm</t>
    </r>
    <r>
      <rPr>
        <sz val="11"/>
        <color theme="1"/>
        <rFont val="微軟正黑體"/>
        <family val="2"/>
        <charset val="136"/>
      </rPr>
      <t>量多夜用</t>
    </r>
    <r>
      <rPr>
        <sz val="11"/>
        <color theme="1"/>
        <rFont val="Calibri"/>
        <family val="2"/>
      </rPr>
      <t>10</t>
    </r>
    <r>
      <rPr>
        <sz val="11"/>
        <color theme="1"/>
        <rFont val="微軟正黑體"/>
        <family val="2"/>
        <charset val="136"/>
      </rPr>
      <t>片</t>
    </r>
    <r>
      <rPr>
        <sz val="11"/>
        <color theme="1"/>
        <rFont val="Calibri"/>
        <family val="2"/>
      </rPr>
      <t>*2</t>
    </r>
    <r>
      <rPr>
        <sz val="11"/>
        <color theme="1"/>
        <rFont val="微軟正黑體"/>
        <family val="2"/>
        <charset val="136"/>
      </rPr>
      <t>包</t>
    </r>
  </si>
  <si>
    <r>
      <rPr>
        <sz val="11"/>
        <color theme="1"/>
        <rFont val="微軟正黑體"/>
        <family val="2"/>
        <charset val="136"/>
      </rPr>
      <t>好自在熊抱安睡</t>
    </r>
    <r>
      <rPr>
        <sz val="11"/>
        <color theme="1"/>
        <rFont val="Calibri"/>
        <family val="2"/>
      </rPr>
      <t>360mm</t>
    </r>
    <r>
      <rPr>
        <sz val="11"/>
        <color theme="1"/>
        <rFont val="微軟正黑體"/>
        <family val="2"/>
        <charset val="136"/>
      </rPr>
      <t>量多夜用</t>
    </r>
    <r>
      <rPr>
        <sz val="11"/>
        <color theme="1"/>
        <rFont val="Calibri"/>
        <family val="2"/>
      </rPr>
      <t>10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</si>
  <si>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好自在熊抱安睡</t>
    </r>
    <r>
      <rPr>
        <sz val="11"/>
        <color theme="1"/>
        <rFont val="Calibri"/>
        <family val="2"/>
      </rPr>
      <t>317mm</t>
    </r>
    <r>
      <rPr>
        <sz val="11"/>
        <color theme="1"/>
        <rFont val="微軟正黑體"/>
        <family val="2"/>
        <charset val="136"/>
      </rPr>
      <t>量多日夜用</t>
    </r>
    <r>
      <rPr>
        <sz val="11"/>
        <color theme="1"/>
        <rFont val="Calibri"/>
        <family val="2"/>
      </rPr>
      <t>12</t>
    </r>
    <r>
      <rPr>
        <sz val="11"/>
        <color theme="1"/>
        <rFont val="微軟正黑體"/>
        <family val="2"/>
        <charset val="136"/>
      </rPr>
      <t>片</t>
    </r>
    <r>
      <rPr>
        <sz val="11"/>
        <color theme="1"/>
        <rFont val="Calibri"/>
        <family val="2"/>
      </rPr>
      <t>*2</t>
    </r>
    <r>
      <rPr>
        <sz val="11"/>
        <color theme="1"/>
        <rFont val="微軟正黑體"/>
        <family val="2"/>
        <charset val="136"/>
      </rPr>
      <t>包</t>
    </r>
  </si>
  <si>
    <r>
      <rPr>
        <sz val="11"/>
        <color theme="1"/>
        <rFont val="微軟正黑體"/>
        <family val="2"/>
        <charset val="136"/>
      </rPr>
      <t>好自在熊抱安睡</t>
    </r>
    <r>
      <rPr>
        <sz val="11"/>
        <color theme="1"/>
        <rFont val="Calibri"/>
        <family val="2"/>
      </rPr>
      <t>425mm</t>
    </r>
    <r>
      <rPr>
        <sz val="11"/>
        <color theme="1"/>
        <rFont val="微軟正黑體"/>
        <family val="2"/>
        <charset val="136"/>
      </rPr>
      <t>量多夜用</t>
    </r>
    <r>
      <rPr>
        <sz val="11"/>
        <color theme="1"/>
        <rFont val="Calibri"/>
        <family val="2"/>
      </rPr>
      <t>4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</si>
  <si>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好自在熊抱安睡褲</t>
    </r>
    <r>
      <rPr>
        <sz val="11"/>
        <color theme="1"/>
        <rFont val="Calibri"/>
        <family val="2"/>
      </rPr>
      <t>M 2</t>
    </r>
    <r>
      <rPr>
        <sz val="11"/>
        <color theme="1"/>
        <rFont val="微軟正黑體"/>
        <family val="2"/>
        <charset val="136"/>
      </rPr>
      <t>片裝</t>
    </r>
  </si>
  <si>
    <r>
      <rPr>
        <sz val="11"/>
        <color theme="1"/>
        <rFont val="微軟正黑體"/>
        <family val="2"/>
        <charset val="136"/>
      </rPr>
      <t>好自在熊抱安睡褲</t>
    </r>
    <r>
      <rPr>
        <sz val="11"/>
        <color theme="1"/>
        <rFont val="Calibri"/>
        <family val="2"/>
      </rPr>
      <t>L 2</t>
    </r>
    <r>
      <rPr>
        <sz val="11"/>
        <color theme="1"/>
        <rFont val="微軟正黑體"/>
        <family val="2"/>
        <charset val="136"/>
      </rPr>
      <t>片裝</t>
    </r>
  </si>
  <si>
    <r>
      <rPr>
        <sz val="11"/>
        <color theme="1"/>
        <rFont val="微軟正黑體"/>
        <family val="2"/>
        <charset val="136"/>
      </rPr>
      <t>好自在熊抱安睡褲</t>
    </r>
    <r>
      <rPr>
        <sz val="11"/>
        <color theme="1"/>
        <rFont val="Calibri"/>
        <family val="2"/>
      </rPr>
      <t>XL 2</t>
    </r>
    <r>
      <rPr>
        <sz val="11"/>
        <color theme="1"/>
        <rFont val="微軟正黑體"/>
        <family val="2"/>
        <charset val="136"/>
      </rPr>
      <t>片裝</t>
    </r>
  </si>
  <si>
    <r>
      <rPr>
        <sz val="11"/>
        <color theme="1"/>
        <rFont val="微軟正黑體"/>
        <family val="2"/>
        <charset val="136"/>
      </rPr>
      <t>好自在無痕安心褲均碼</t>
    </r>
    <r>
      <rPr>
        <sz val="11"/>
        <color theme="1"/>
        <rFont val="Calibri"/>
        <family val="2"/>
      </rPr>
      <t>2</t>
    </r>
    <r>
      <rPr>
        <sz val="11"/>
        <color theme="1"/>
        <rFont val="微軟正黑體"/>
        <family val="2"/>
        <charset val="136"/>
      </rPr>
      <t>片裝</t>
    </r>
  </si>
  <si>
    <r>
      <rPr>
        <sz val="11"/>
        <color theme="1"/>
        <rFont val="微軟正黑體"/>
        <family val="2"/>
        <charset val="136"/>
      </rPr>
      <t>好自在雲枕瞬吸</t>
    </r>
    <r>
      <rPr>
        <sz val="11"/>
        <color theme="1"/>
        <rFont val="Calibri"/>
        <family val="2"/>
      </rPr>
      <t>24CM10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</si>
  <si>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好自在草本健康衛生棉量大</t>
    </r>
    <r>
      <rPr>
        <sz val="11"/>
        <color theme="1"/>
        <rFont val="Calibri"/>
        <family val="2"/>
      </rPr>
      <t>28CM10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</si>
  <si>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好自在純棉輕量型衛生棉</t>
    </r>
    <r>
      <rPr>
        <sz val="11"/>
        <color theme="1"/>
        <rFont val="Calibri"/>
        <family val="2"/>
      </rPr>
      <t>18CM12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</si>
  <si>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好自在草本健康衛生棉量大加長</t>
    </r>
    <r>
      <rPr>
        <sz val="11"/>
        <color theme="1"/>
        <rFont val="Calibri"/>
        <family val="2"/>
      </rPr>
      <t>32CM16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</si>
  <si>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好自在雲枕瞬吸量大加長</t>
    </r>
    <r>
      <rPr>
        <sz val="11"/>
        <color theme="1"/>
        <rFont val="Calibri"/>
        <family val="2"/>
      </rPr>
      <t>32CM8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</si>
  <si>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好自在雲枕瞬吸量大</t>
    </r>
    <r>
      <rPr>
        <sz val="11"/>
        <color theme="1"/>
        <rFont val="Calibri"/>
        <family val="2"/>
      </rPr>
      <t>28CM10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</si>
  <si>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好自在草本健康衛生棉量大</t>
    </r>
    <r>
      <rPr>
        <sz val="11"/>
        <color theme="1"/>
        <rFont val="Calibri"/>
        <family val="2"/>
      </rPr>
      <t>28CM20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</si>
  <si>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好自在雲枕輕量型衛生棉</t>
    </r>
    <r>
      <rPr>
        <sz val="11"/>
        <color theme="1"/>
        <rFont val="Calibri"/>
        <family val="2"/>
      </rPr>
      <t>18CM12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</si>
  <si>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好自在雲枕瞬吸衛生棉量大</t>
    </r>
    <r>
      <rPr>
        <sz val="11"/>
        <color theme="1"/>
        <rFont val="Calibri"/>
        <family val="2"/>
      </rPr>
      <t>28CM20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</si>
  <si>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好自在草本健康衛生棉量大加長</t>
    </r>
    <r>
      <rPr>
        <sz val="11"/>
        <color theme="1"/>
        <rFont val="Calibri"/>
        <family val="2"/>
      </rPr>
      <t>32CM8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</si>
  <si>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好自在草本健康衛生棉</t>
    </r>
    <r>
      <rPr>
        <sz val="11"/>
        <color theme="1"/>
        <rFont val="Calibri"/>
        <family val="2"/>
      </rPr>
      <t>24CM10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</si>
  <si>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好自在雲枕瞬吸衛生棉量大加長</t>
    </r>
    <r>
      <rPr>
        <sz val="11"/>
        <color theme="1"/>
        <rFont val="Calibri"/>
        <family val="2"/>
      </rPr>
      <t>32CM16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</si>
  <si>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好自在雲枕瞬吸衛生棉</t>
    </r>
    <r>
      <rPr>
        <sz val="11"/>
        <color theme="1"/>
        <rFont val="Calibri"/>
        <family val="2"/>
      </rPr>
      <t>24CM20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</si>
  <si>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好自在草本健康衛生棉</t>
    </r>
    <r>
      <rPr>
        <sz val="11"/>
        <color theme="1"/>
        <rFont val="Calibri"/>
        <family val="2"/>
      </rPr>
      <t>24CM20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</si>
  <si>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歐樂</t>
    </r>
    <r>
      <rPr>
        <sz val="11"/>
        <color theme="1"/>
        <rFont val="Calibri"/>
        <family val="2"/>
      </rPr>
      <t>B</t>
    </r>
    <r>
      <rPr>
        <sz val="11"/>
        <color theme="1"/>
        <rFont val="微軟正黑體"/>
        <family val="2"/>
        <charset val="136"/>
      </rPr>
      <t>薄荷微蠟牙線</t>
    </r>
    <r>
      <rPr>
        <sz val="11"/>
        <color theme="1"/>
        <rFont val="Calibri"/>
        <family val="2"/>
      </rPr>
      <t>2</t>
    </r>
    <r>
      <rPr>
        <sz val="11"/>
        <color theme="1"/>
        <rFont val="微軟正黑體"/>
        <family val="2"/>
        <charset val="136"/>
      </rPr>
      <t>卡</t>
    </r>
  </si>
  <si>
    <r>
      <rPr>
        <sz val="11"/>
        <color theme="1"/>
        <rFont val="微軟正黑體"/>
        <family val="2"/>
        <charset val="136"/>
      </rPr>
      <t>歐樂</t>
    </r>
    <r>
      <rPr>
        <sz val="11"/>
        <color theme="1"/>
        <rFont val="Calibri"/>
        <family val="2"/>
      </rPr>
      <t>B</t>
    </r>
    <r>
      <rPr>
        <sz val="11"/>
        <color theme="1"/>
        <rFont val="微軟正黑體"/>
        <family val="2"/>
        <charset val="136"/>
      </rPr>
      <t>牙線無蠟</t>
    </r>
    <r>
      <rPr>
        <sz val="11"/>
        <color theme="1"/>
        <rFont val="Calibri"/>
        <family val="2"/>
      </rPr>
      <t>50</t>
    </r>
    <r>
      <rPr>
        <sz val="11"/>
        <color theme="1"/>
        <rFont val="微軟正黑體"/>
        <family val="2"/>
        <charset val="136"/>
      </rPr>
      <t>公尺</t>
    </r>
    <r>
      <rPr>
        <sz val="11"/>
        <color theme="1"/>
        <rFont val="Calibri"/>
        <family val="2"/>
      </rPr>
      <t>2</t>
    </r>
    <r>
      <rPr>
        <sz val="11"/>
        <color theme="1"/>
        <rFont val="微軟正黑體"/>
        <family val="2"/>
        <charset val="136"/>
      </rPr>
      <t>入</t>
    </r>
  </si>
  <si>
    <r>
      <rPr>
        <sz val="11"/>
        <color theme="1"/>
        <rFont val="微軟正黑體"/>
        <family val="2"/>
        <charset val="136"/>
      </rPr>
      <t>歐樂</t>
    </r>
    <r>
      <rPr>
        <sz val="11"/>
        <color theme="1"/>
        <rFont val="Calibri"/>
        <family val="2"/>
      </rPr>
      <t>B</t>
    </r>
    <r>
      <rPr>
        <sz val="11"/>
        <color theme="1"/>
        <rFont val="微軟正黑體"/>
        <family val="2"/>
        <charset val="136"/>
      </rPr>
      <t>矯正型牙刷</t>
    </r>
  </si>
  <si>
    <r>
      <rPr>
        <sz val="11"/>
        <color theme="1"/>
        <rFont val="微軟正黑體"/>
        <family val="2"/>
        <charset val="136"/>
      </rPr>
      <t>歐樂</t>
    </r>
    <r>
      <rPr>
        <sz val="11"/>
        <color theme="1"/>
        <rFont val="Calibri"/>
        <family val="2"/>
      </rPr>
      <t>B</t>
    </r>
    <r>
      <rPr>
        <sz val="11"/>
        <color theme="1"/>
        <rFont val="微軟正黑體"/>
        <family val="2"/>
        <charset val="136"/>
      </rPr>
      <t>小頭護齦超細毛牙刷</t>
    </r>
  </si>
  <si>
    <r>
      <rPr>
        <sz val="11"/>
        <color theme="1"/>
        <rFont val="微軟正黑體"/>
        <family val="2"/>
        <charset val="136"/>
      </rPr>
      <t>歐樂</t>
    </r>
    <r>
      <rPr>
        <sz val="11"/>
        <color theme="1"/>
        <rFont val="Calibri"/>
        <family val="2"/>
      </rPr>
      <t>B</t>
    </r>
    <r>
      <rPr>
        <sz val="11"/>
        <color theme="1"/>
        <rFont val="微軟正黑體"/>
        <family val="2"/>
        <charset val="136"/>
      </rPr>
      <t>舒適深潔牙線</t>
    </r>
    <r>
      <rPr>
        <sz val="11"/>
        <color theme="1"/>
        <rFont val="Calibri"/>
        <family val="2"/>
      </rPr>
      <t>40M</t>
    </r>
  </si>
  <si>
    <r>
      <rPr>
        <sz val="11"/>
        <color theme="1"/>
        <rFont val="微軟正黑體"/>
        <family val="2"/>
        <charset val="136"/>
      </rPr>
      <t>歐樂</t>
    </r>
    <r>
      <rPr>
        <sz val="11"/>
        <color theme="1"/>
        <rFont val="Calibri"/>
        <family val="2"/>
      </rPr>
      <t>B</t>
    </r>
    <r>
      <rPr>
        <sz val="11"/>
        <color theme="1"/>
        <rFont val="微軟正黑體"/>
        <family val="2"/>
        <charset val="136"/>
      </rPr>
      <t>深層潔淨牙線</t>
    </r>
    <r>
      <rPr>
        <sz val="11"/>
        <color theme="1"/>
        <rFont val="Calibri"/>
        <family val="2"/>
      </rPr>
      <t>40M</t>
    </r>
  </si>
  <si>
    <r>
      <rPr>
        <sz val="11"/>
        <color theme="1"/>
        <rFont val="微軟正黑體"/>
        <family val="2"/>
        <charset val="136"/>
      </rPr>
      <t>歐樂</t>
    </r>
    <r>
      <rPr>
        <sz val="11"/>
        <color theme="1"/>
        <rFont val="Calibri"/>
        <family val="2"/>
      </rPr>
      <t>B</t>
    </r>
    <r>
      <rPr>
        <sz val="11"/>
        <color theme="1"/>
        <rFont val="微軟正黑體"/>
        <family val="2"/>
        <charset val="136"/>
      </rPr>
      <t>兒童防蛀牙膏</t>
    </r>
    <r>
      <rPr>
        <sz val="11"/>
        <color theme="1"/>
        <rFont val="Calibri"/>
        <family val="2"/>
      </rPr>
      <t>Frozen 40g*2</t>
    </r>
    <r>
      <rPr>
        <sz val="11"/>
        <color theme="1"/>
        <rFont val="微軟正黑體"/>
        <family val="2"/>
        <charset val="136"/>
      </rPr>
      <t>入</t>
    </r>
  </si>
  <si>
    <r>
      <rPr>
        <sz val="11"/>
        <color theme="1"/>
        <rFont val="微軟正黑體"/>
        <family val="2"/>
        <charset val="136"/>
      </rPr>
      <t>歐樂</t>
    </r>
    <r>
      <rPr>
        <sz val="11"/>
        <color theme="1"/>
        <rFont val="Calibri"/>
        <family val="2"/>
      </rPr>
      <t>B</t>
    </r>
    <r>
      <rPr>
        <sz val="11"/>
        <color theme="1"/>
        <rFont val="微軟正黑體"/>
        <family val="2"/>
        <charset val="136"/>
      </rPr>
      <t>兒童牙刷</t>
    </r>
    <r>
      <rPr>
        <sz val="11"/>
        <color theme="1"/>
        <rFont val="Calibri"/>
        <family val="2"/>
      </rPr>
      <t>2~4</t>
    </r>
    <r>
      <rPr>
        <sz val="11"/>
        <color theme="1"/>
        <rFont val="微軟正黑體"/>
        <family val="2"/>
        <charset val="136"/>
      </rPr>
      <t>歲</t>
    </r>
  </si>
  <si>
    <r>
      <rPr>
        <sz val="11"/>
        <color theme="1"/>
        <rFont val="微軟正黑體"/>
        <family val="2"/>
        <charset val="136"/>
      </rPr>
      <t>歐樂</t>
    </r>
    <r>
      <rPr>
        <sz val="11"/>
        <color theme="1"/>
        <rFont val="Calibri"/>
        <family val="2"/>
      </rPr>
      <t>B</t>
    </r>
    <r>
      <rPr>
        <sz val="11"/>
        <color theme="1"/>
        <rFont val="微軟正黑體"/>
        <family val="2"/>
        <charset val="136"/>
      </rPr>
      <t>單束毛牙間刷</t>
    </r>
  </si>
  <si>
    <r>
      <t>Oral-B</t>
    </r>
    <r>
      <rPr>
        <sz val="11"/>
        <color theme="1"/>
        <rFont val="微軟正黑體"/>
        <family val="2"/>
        <charset val="136"/>
      </rPr>
      <t>三合一牙線</t>
    </r>
    <r>
      <rPr>
        <sz val="11"/>
        <color theme="1"/>
        <rFont val="Calibri"/>
        <family val="2"/>
      </rPr>
      <t>30</t>
    </r>
    <r>
      <rPr>
        <sz val="11"/>
        <color theme="1"/>
        <rFont val="微軟正黑體"/>
        <family val="2"/>
        <charset val="136"/>
      </rPr>
      <t>公尺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適用矯正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牙橋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</si>
  <si>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微軟正黑體"/>
        <family val="2"/>
        <charset val="136"/>
      </rPr>
      <t>歐樂</t>
    </r>
    <r>
      <rPr>
        <sz val="11"/>
        <color theme="1"/>
        <rFont val="Calibri"/>
        <family val="2"/>
      </rPr>
      <t>B</t>
    </r>
    <r>
      <rPr>
        <sz val="11"/>
        <color theme="1"/>
        <rFont val="微軟正黑體"/>
        <family val="2"/>
        <charset val="136"/>
      </rPr>
      <t>抗敏護齦牙膏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極速抗敏</t>
    </r>
    <r>
      <rPr>
        <sz val="11"/>
        <color theme="1"/>
        <rFont val="Calibri"/>
        <family val="2"/>
      </rPr>
      <t>90g</t>
    </r>
  </si>
  <si>
    <r>
      <rPr>
        <sz val="11"/>
        <color theme="1"/>
        <rFont val="微軟正黑體"/>
        <family val="2"/>
        <charset val="136"/>
      </rPr>
      <t>歐樂</t>
    </r>
    <r>
      <rPr>
        <sz val="11"/>
        <color theme="1"/>
        <rFont val="Calibri"/>
        <family val="2"/>
      </rPr>
      <t>B</t>
    </r>
    <r>
      <rPr>
        <sz val="11"/>
        <color theme="1"/>
        <rFont val="微軟正黑體"/>
        <family val="2"/>
        <charset val="136"/>
      </rPr>
      <t>抗敏護齦牙膏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專業修護</t>
    </r>
    <r>
      <rPr>
        <sz val="11"/>
        <color theme="1"/>
        <rFont val="Calibri"/>
        <family val="2"/>
      </rPr>
      <t>90g</t>
    </r>
  </si>
  <si>
    <r>
      <t xml:space="preserve">Oral-B </t>
    </r>
    <r>
      <rPr>
        <sz val="11"/>
        <color theme="1"/>
        <rFont val="微軟正黑體"/>
        <family val="2"/>
        <charset val="136"/>
      </rPr>
      <t>專業牙齦護理牙膏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深層清潔</t>
    </r>
    <r>
      <rPr>
        <sz val="11"/>
        <color theme="1"/>
        <rFont val="Calibri"/>
        <family val="2"/>
      </rPr>
      <t>90g</t>
    </r>
  </si>
  <si>
    <r>
      <t xml:space="preserve">Oral-B </t>
    </r>
    <r>
      <rPr>
        <sz val="11"/>
        <color theme="1"/>
        <rFont val="微軟正黑體"/>
        <family val="2"/>
        <charset val="136"/>
      </rPr>
      <t>專業牙齦護理牙膏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持久清新</t>
    </r>
    <r>
      <rPr>
        <sz val="11"/>
        <color theme="1"/>
        <rFont val="Calibri"/>
        <family val="2"/>
      </rPr>
      <t>90g</t>
    </r>
  </si>
  <si>
    <r>
      <t xml:space="preserve">Oral-B </t>
    </r>
    <r>
      <rPr>
        <sz val="11"/>
        <color theme="1"/>
        <rFont val="微軟正黑體"/>
        <family val="2"/>
        <charset val="136"/>
      </rPr>
      <t>專業牙齦護理牙膏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清新薄荷</t>
    </r>
    <r>
      <rPr>
        <sz val="11"/>
        <color theme="1"/>
        <rFont val="Calibri"/>
        <family val="2"/>
      </rPr>
      <t>90g</t>
    </r>
  </si>
  <si>
    <r>
      <t xml:space="preserve">Oral-B </t>
    </r>
    <r>
      <rPr>
        <sz val="11"/>
        <color theme="1"/>
        <rFont val="微軟正黑體"/>
        <family val="2"/>
        <charset val="136"/>
      </rPr>
      <t>專業牙齦護理牙膏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溫和亮白</t>
    </r>
    <r>
      <rPr>
        <sz val="11"/>
        <color theme="1"/>
        <rFont val="Calibri"/>
        <family val="2"/>
      </rPr>
      <t>90g</t>
    </r>
  </si>
  <si>
    <r>
      <t>Oral-B 6</t>
    </r>
    <r>
      <rPr>
        <sz val="11"/>
        <color theme="1"/>
        <rFont val="微軟正黑體"/>
        <family val="2"/>
        <charset val="136"/>
      </rPr>
      <t>效合</t>
    </r>
    <r>
      <rPr>
        <sz val="11"/>
        <color theme="1"/>
        <rFont val="Calibri"/>
        <family val="2"/>
      </rPr>
      <t>1</t>
    </r>
    <r>
      <rPr>
        <sz val="11"/>
        <color theme="1"/>
        <rFont val="微軟正黑體"/>
        <family val="2"/>
        <charset val="136"/>
      </rPr>
      <t>清爽潔淨漱口水</t>
    </r>
    <r>
      <rPr>
        <sz val="11"/>
        <color theme="1"/>
        <rFont val="Calibri"/>
        <family val="2"/>
      </rPr>
      <t>500ML</t>
    </r>
  </si>
  <si>
    <r>
      <t>Oral-B 6</t>
    </r>
    <r>
      <rPr>
        <sz val="11"/>
        <color theme="1"/>
        <rFont val="微軟正黑體"/>
        <family val="2"/>
        <charset val="136"/>
      </rPr>
      <t>效合</t>
    </r>
    <r>
      <rPr>
        <sz val="11"/>
        <color theme="1"/>
        <rFont val="Calibri"/>
        <family val="2"/>
      </rPr>
      <t>1</t>
    </r>
    <r>
      <rPr>
        <sz val="11"/>
        <color theme="1"/>
        <rFont val="微軟正黑體"/>
        <family val="2"/>
        <charset val="136"/>
      </rPr>
      <t>固齒護齦漱口水</t>
    </r>
    <r>
      <rPr>
        <sz val="11"/>
        <color theme="1"/>
        <rFont val="Calibri"/>
        <family val="2"/>
      </rPr>
      <t>500ML</t>
    </r>
  </si>
  <si>
    <r>
      <t>Oral-B</t>
    </r>
    <r>
      <rPr>
        <sz val="11"/>
        <color theme="1"/>
        <rFont val="微軟正黑體"/>
        <family val="2"/>
        <charset val="136"/>
      </rPr>
      <t>抗敏護齦</t>
    </r>
    <r>
      <rPr>
        <sz val="11"/>
        <color theme="1"/>
        <rFont val="Calibri"/>
        <family val="2"/>
      </rPr>
      <t>1+2</t>
    </r>
    <r>
      <rPr>
        <sz val="11"/>
        <color theme="1"/>
        <rFont val="微軟正黑體"/>
        <family val="2"/>
        <charset val="136"/>
      </rPr>
      <t>超值組</t>
    </r>
  </si>
  <si>
    <r>
      <rPr>
        <sz val="11"/>
        <color theme="1"/>
        <rFont val="微軟正黑體"/>
        <family val="2"/>
        <charset val="136"/>
      </rPr>
      <t>歐樂</t>
    </r>
    <r>
      <rPr>
        <sz val="11"/>
        <color theme="1"/>
        <rFont val="Calibri"/>
        <family val="2"/>
      </rPr>
      <t>B</t>
    </r>
    <r>
      <rPr>
        <sz val="11"/>
        <color theme="1"/>
        <rFont val="微軟正黑體"/>
        <family val="2"/>
        <charset val="136"/>
      </rPr>
      <t>美白刷頭</t>
    </r>
    <r>
      <rPr>
        <sz val="11"/>
        <color theme="1"/>
        <rFont val="Calibri"/>
        <family val="2"/>
      </rPr>
      <t>2</t>
    </r>
    <r>
      <rPr>
        <sz val="11"/>
        <color theme="1"/>
        <rFont val="微軟正黑體"/>
        <family val="2"/>
        <charset val="136"/>
      </rPr>
      <t>入</t>
    </r>
    <r>
      <rPr>
        <sz val="11"/>
        <color theme="1"/>
        <rFont val="Calibri"/>
        <family val="2"/>
      </rPr>
      <t>(EB18-2)</t>
    </r>
  </si>
  <si>
    <r>
      <rPr>
        <sz val="11"/>
        <color theme="1"/>
        <rFont val="微軟正黑體"/>
        <family val="2"/>
        <charset val="136"/>
      </rPr>
      <t>歐樂</t>
    </r>
    <r>
      <rPr>
        <sz val="11"/>
        <color theme="1"/>
        <rFont val="Calibri"/>
        <family val="2"/>
      </rPr>
      <t>B</t>
    </r>
    <r>
      <rPr>
        <sz val="11"/>
        <color theme="1"/>
        <rFont val="微軟正黑體"/>
        <family val="2"/>
        <charset val="136"/>
      </rPr>
      <t>兒童刷頭</t>
    </r>
    <r>
      <rPr>
        <sz val="11"/>
        <color theme="1"/>
        <rFont val="Calibri"/>
        <family val="2"/>
      </rPr>
      <t>EB10-2</t>
    </r>
  </si>
  <si>
    <r>
      <rPr>
        <sz val="11"/>
        <color theme="1"/>
        <rFont val="微軟正黑體"/>
        <family val="2"/>
        <charset val="136"/>
      </rPr>
      <t>歐樂</t>
    </r>
    <r>
      <rPr>
        <sz val="11"/>
        <color theme="1"/>
        <rFont val="Calibri"/>
        <family val="2"/>
      </rPr>
      <t>B</t>
    </r>
    <r>
      <rPr>
        <sz val="11"/>
        <color theme="1"/>
        <rFont val="微軟正黑體"/>
        <family val="2"/>
        <charset val="136"/>
      </rPr>
      <t>兒童刷頭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冰雪奇緣</t>
    </r>
    <r>
      <rPr>
        <sz val="11"/>
        <color theme="1"/>
        <rFont val="Calibri"/>
        <family val="2"/>
      </rPr>
      <t>EB10-2</t>
    </r>
  </si>
  <si>
    <r>
      <rPr>
        <sz val="11"/>
        <color theme="1"/>
        <rFont val="微軟正黑體"/>
        <family val="2"/>
        <charset val="136"/>
      </rPr>
      <t>歐樂</t>
    </r>
    <r>
      <rPr>
        <sz val="11"/>
        <color theme="1"/>
        <rFont val="Calibri"/>
        <family val="2"/>
      </rPr>
      <t>B</t>
    </r>
    <r>
      <rPr>
        <sz val="11"/>
        <color theme="1"/>
        <rFont val="微軟正黑體"/>
        <family val="2"/>
        <charset val="136"/>
      </rPr>
      <t>電動牙刷杯型彈性刷頭</t>
    </r>
    <r>
      <rPr>
        <sz val="11"/>
        <color theme="1"/>
        <rFont val="Calibri"/>
        <family val="2"/>
      </rPr>
      <t>4</t>
    </r>
    <r>
      <rPr>
        <sz val="11"/>
        <color theme="1"/>
        <rFont val="微軟正黑體"/>
        <family val="2"/>
        <charset val="136"/>
      </rPr>
      <t>入</t>
    </r>
    <r>
      <rPr>
        <sz val="11"/>
        <color theme="1"/>
        <rFont val="Calibri"/>
        <family val="2"/>
      </rPr>
      <t>(EB20-4)</t>
    </r>
  </si>
  <si>
    <r>
      <rPr>
        <sz val="11"/>
        <color theme="1"/>
        <rFont val="微軟正黑體"/>
        <family val="2"/>
        <charset val="136"/>
      </rPr>
      <t>歐樂</t>
    </r>
    <r>
      <rPr>
        <sz val="11"/>
        <color theme="1"/>
        <rFont val="Calibri"/>
        <family val="2"/>
      </rPr>
      <t>B</t>
    </r>
    <r>
      <rPr>
        <sz val="11"/>
        <color theme="1"/>
        <rFont val="微軟正黑體"/>
        <family val="2"/>
        <charset val="136"/>
      </rPr>
      <t>多動向交叉刷頭</t>
    </r>
    <r>
      <rPr>
        <sz val="11"/>
        <color theme="1"/>
        <rFont val="Calibri"/>
        <family val="2"/>
      </rPr>
      <t>EB50-2</t>
    </r>
  </si>
  <si>
    <r>
      <t>Oral-B EB60-2</t>
    </r>
    <r>
      <rPr>
        <sz val="11"/>
        <color theme="1"/>
        <rFont val="微軟正黑體"/>
        <family val="2"/>
        <charset val="136"/>
      </rPr>
      <t>超細毛護齦刷頭</t>
    </r>
    <r>
      <rPr>
        <sz val="11"/>
        <color theme="1"/>
        <rFont val="Calibri"/>
        <family val="2"/>
      </rPr>
      <t>(2</t>
    </r>
    <r>
      <rPr>
        <sz val="11"/>
        <color theme="1"/>
        <rFont val="微軟正黑體"/>
        <family val="2"/>
        <charset val="136"/>
      </rPr>
      <t>入</t>
    </r>
    <r>
      <rPr>
        <sz val="11"/>
        <color theme="1"/>
        <rFont val="Calibri"/>
        <family val="2"/>
      </rPr>
      <t>)</t>
    </r>
  </si>
  <si>
    <r>
      <t>Crest</t>
    </r>
    <r>
      <rPr>
        <sz val="11"/>
        <color theme="1"/>
        <rFont val="微軟正黑體"/>
        <family val="2"/>
        <charset val="136"/>
      </rPr>
      <t>聲波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音波刷頭</t>
    </r>
    <r>
      <rPr>
        <sz val="11"/>
        <color theme="1"/>
        <rFont val="Calibri"/>
        <family val="2"/>
      </rPr>
      <t>2</t>
    </r>
    <r>
      <rPr>
        <sz val="11"/>
        <color theme="1"/>
        <rFont val="微軟正黑體"/>
        <family val="2"/>
        <charset val="136"/>
      </rPr>
      <t>支入</t>
    </r>
    <r>
      <rPr>
        <sz val="11"/>
        <color theme="1"/>
        <rFont val="Calibri"/>
        <family val="2"/>
      </rPr>
      <t>SR55-2</t>
    </r>
  </si>
  <si>
    <r>
      <rPr>
        <sz val="11"/>
        <color theme="1"/>
        <rFont val="微軟正黑體"/>
        <family val="2"/>
        <charset val="136"/>
      </rPr>
      <t>百靈電池式兒童電動牙刷</t>
    </r>
    <r>
      <rPr>
        <sz val="11"/>
        <color theme="1"/>
        <rFont val="Calibri"/>
        <family val="2"/>
      </rPr>
      <t>DB4510K</t>
    </r>
  </si>
  <si>
    <r>
      <rPr>
        <sz val="11"/>
        <color theme="1"/>
        <rFont val="微軟正黑體"/>
        <family val="2"/>
        <charset val="136"/>
      </rPr>
      <t>德國百靈動感超潔電動牙刷</t>
    </r>
    <r>
      <rPr>
        <sz val="11"/>
        <color theme="1"/>
        <rFont val="Calibri"/>
        <family val="2"/>
      </rPr>
      <t>D12</t>
    </r>
  </si>
  <si>
    <r>
      <rPr>
        <sz val="11"/>
        <color theme="1"/>
        <rFont val="微軟正黑體"/>
        <family val="2"/>
        <charset val="136"/>
      </rPr>
      <t>歐樂</t>
    </r>
    <r>
      <rPr>
        <sz val="11"/>
        <color theme="1"/>
        <rFont val="Calibri"/>
        <family val="2"/>
      </rPr>
      <t>B D100</t>
    </r>
    <r>
      <rPr>
        <sz val="11"/>
        <color theme="1"/>
        <rFont val="微軟正黑體"/>
        <family val="2"/>
        <charset val="136"/>
      </rPr>
      <t>活力亮潔電動牙刷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白色</t>
    </r>
  </si>
  <si>
    <r>
      <rPr>
        <sz val="11"/>
        <color theme="1"/>
        <rFont val="微軟正黑體"/>
        <family val="2"/>
        <charset val="136"/>
      </rPr>
      <t>歐樂</t>
    </r>
    <r>
      <rPr>
        <sz val="11"/>
        <color theme="1"/>
        <rFont val="Calibri"/>
        <family val="2"/>
      </rPr>
      <t>B D100</t>
    </r>
    <r>
      <rPr>
        <sz val="11"/>
        <color theme="1"/>
        <rFont val="微軟正黑體"/>
        <family val="2"/>
        <charset val="136"/>
      </rPr>
      <t>兒童充電電動牙刷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玩具總動員</t>
    </r>
  </si>
  <si>
    <r>
      <t>88-07 Oral-B</t>
    </r>
    <r>
      <rPr>
        <sz val="11"/>
        <color theme="1"/>
        <rFont val="微軟正黑體"/>
        <family val="2"/>
        <charset val="136"/>
      </rPr>
      <t>兒童充電型電動牙刷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賽車總動員</t>
    </r>
    <r>
      <rPr>
        <sz val="11"/>
        <color theme="1"/>
        <rFont val="Calibri"/>
        <family val="2"/>
      </rPr>
      <t>)</t>
    </r>
  </si>
  <si>
    <r>
      <t>Oral-B</t>
    </r>
    <r>
      <rPr>
        <sz val="11"/>
        <color theme="1"/>
        <rFont val="微軟正黑體"/>
        <family val="2"/>
        <charset val="136"/>
      </rPr>
      <t>兒童充電型電動牙刷冰雪奇緣</t>
    </r>
    <r>
      <rPr>
        <sz val="11"/>
        <color theme="1"/>
        <rFont val="Calibri"/>
        <family val="2"/>
      </rPr>
      <t>D100K</t>
    </r>
  </si>
  <si>
    <r>
      <t>CREST</t>
    </r>
    <r>
      <rPr>
        <sz val="11"/>
        <color theme="1"/>
        <rFont val="微軟正黑體"/>
        <family val="2"/>
        <charset val="136"/>
      </rPr>
      <t>鑽白美齒音波電動牙刷</t>
    </r>
  </si>
  <si>
    <r>
      <rPr>
        <sz val="11"/>
        <color theme="1"/>
        <rFont val="微軟正黑體"/>
        <family val="2"/>
        <charset val="136"/>
      </rPr>
      <t>歐樂</t>
    </r>
    <r>
      <rPr>
        <sz val="11"/>
        <color theme="1"/>
        <rFont val="Calibri"/>
        <family val="2"/>
      </rPr>
      <t>B AQUA CARE 6</t>
    </r>
    <r>
      <rPr>
        <sz val="11"/>
        <color theme="1"/>
        <rFont val="微軟正黑體"/>
        <family val="2"/>
        <charset val="136"/>
      </rPr>
      <t>可攜式沖牙器</t>
    </r>
  </si>
  <si>
    <r>
      <rPr>
        <sz val="11"/>
        <color theme="1"/>
        <rFont val="微軟正黑體"/>
        <family val="2"/>
        <charset val="136"/>
      </rPr>
      <t>德國百靈</t>
    </r>
    <r>
      <rPr>
        <sz val="11"/>
        <color theme="1"/>
        <rFont val="Calibri"/>
        <family val="2"/>
      </rPr>
      <t>Oral-B</t>
    </r>
    <r>
      <rPr>
        <sz val="11"/>
        <color theme="1"/>
        <rFont val="微軟正黑體"/>
        <family val="2"/>
        <charset val="136"/>
      </rPr>
      <t>電動牙刷</t>
    </r>
    <r>
      <rPr>
        <sz val="11"/>
        <color theme="1"/>
        <rFont val="Calibri"/>
        <family val="2"/>
      </rPr>
      <t>pro3000-</t>
    </r>
    <r>
      <rPr>
        <sz val="11"/>
        <color theme="1"/>
        <rFont val="微軟正黑體"/>
        <family val="2"/>
        <charset val="136"/>
      </rPr>
      <t>白色</t>
    </r>
  </si>
  <si>
    <r>
      <t>Crest</t>
    </r>
    <r>
      <rPr>
        <sz val="11"/>
        <color theme="1"/>
        <rFont val="微軟正黑體"/>
        <family val="2"/>
        <charset val="136"/>
      </rPr>
      <t>鑽白美齒音波電動牙刷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土耳其藍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</si>
  <si>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微軟正黑體"/>
        <family val="2"/>
        <charset val="136"/>
      </rPr>
      <t>歐樂</t>
    </r>
    <r>
      <rPr>
        <sz val="11"/>
        <color theme="1"/>
        <rFont val="Calibri"/>
        <family val="2"/>
      </rPr>
      <t>B</t>
    </r>
    <r>
      <rPr>
        <sz val="11"/>
        <color theme="1"/>
        <rFont val="微軟正黑體"/>
        <family val="2"/>
        <charset val="136"/>
      </rPr>
      <t>電動牙刷</t>
    </r>
    <r>
      <rPr>
        <sz val="11"/>
        <color theme="1"/>
        <rFont val="Calibri"/>
        <family val="2"/>
      </rPr>
      <t>PRO4000-</t>
    </r>
    <r>
      <rPr>
        <sz val="11"/>
        <color theme="1"/>
        <rFont val="微軟正黑體"/>
        <family val="2"/>
        <charset val="136"/>
      </rPr>
      <t>黑色</t>
    </r>
  </si>
  <si>
    <r>
      <rPr>
        <sz val="11"/>
        <color theme="1"/>
        <rFont val="微軟正黑體"/>
        <family val="2"/>
        <charset val="136"/>
      </rPr>
      <t>歐樂</t>
    </r>
    <r>
      <rPr>
        <sz val="11"/>
        <color theme="1"/>
        <rFont val="Calibri"/>
        <family val="2"/>
      </rPr>
      <t>B</t>
    </r>
    <r>
      <rPr>
        <sz val="11"/>
        <color theme="1"/>
        <rFont val="微軟正黑體"/>
        <family val="2"/>
        <charset val="136"/>
      </rPr>
      <t>電動牙刷</t>
    </r>
    <r>
      <rPr>
        <sz val="11"/>
        <color theme="1"/>
        <rFont val="Calibri"/>
        <family val="2"/>
      </rPr>
      <t>PRO3000(</t>
    </r>
    <r>
      <rPr>
        <sz val="11"/>
        <color theme="1"/>
        <rFont val="微軟正黑體"/>
        <family val="2"/>
        <charset val="136"/>
      </rPr>
      <t>粉色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</si>
  <si>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微軟正黑體"/>
        <family val="2"/>
        <charset val="136"/>
      </rPr>
      <t>歐樂</t>
    </r>
    <r>
      <rPr>
        <sz val="11"/>
        <color theme="1"/>
        <rFont val="Calibri"/>
        <family val="2"/>
      </rPr>
      <t>B</t>
    </r>
    <r>
      <rPr>
        <sz val="11"/>
        <color theme="1"/>
        <rFont val="微軟正黑體"/>
        <family val="2"/>
        <charset val="136"/>
      </rPr>
      <t>電動牙刷</t>
    </r>
    <r>
      <rPr>
        <sz val="11"/>
        <color theme="1"/>
        <rFont val="Calibri"/>
        <family val="2"/>
      </rPr>
      <t>PRO1000-</t>
    </r>
    <r>
      <rPr>
        <sz val="11"/>
        <color theme="1"/>
        <rFont val="微軟正黑體"/>
        <family val="2"/>
        <charset val="136"/>
      </rPr>
      <t>白色</t>
    </r>
  </si>
  <si>
    <r>
      <t>Oral-b iO3</t>
    </r>
    <r>
      <rPr>
        <sz val="11"/>
        <color theme="1"/>
        <rFont val="微軟正黑體"/>
        <family val="2"/>
        <charset val="136"/>
      </rPr>
      <t>微震科技電動牙刷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冰川藍</t>
    </r>
  </si>
  <si>
    <r>
      <rPr>
        <sz val="11"/>
        <color theme="1"/>
        <rFont val="微軟正黑體"/>
        <family val="2"/>
        <charset val="136"/>
      </rPr>
      <t>歐樂</t>
    </r>
    <r>
      <rPr>
        <sz val="11"/>
        <color theme="1"/>
        <rFont val="Calibri"/>
        <family val="2"/>
      </rPr>
      <t>B iO</t>
    </r>
    <r>
      <rPr>
        <sz val="11"/>
        <color theme="1"/>
        <rFont val="微軟正黑體"/>
        <family val="2"/>
        <charset val="136"/>
      </rPr>
      <t>微震溫和刷頭</t>
    </r>
    <r>
      <rPr>
        <sz val="11"/>
        <color theme="1"/>
        <rFont val="Calibri"/>
        <family val="2"/>
      </rPr>
      <t>4</t>
    </r>
    <r>
      <rPr>
        <sz val="11"/>
        <color theme="1"/>
        <rFont val="微軟正黑體"/>
        <family val="2"/>
        <charset val="136"/>
      </rPr>
      <t>入</t>
    </r>
  </si>
  <si>
    <r>
      <rPr>
        <sz val="11"/>
        <color theme="1"/>
        <rFont val="微軟正黑體"/>
        <family val="2"/>
        <charset val="136"/>
      </rPr>
      <t>歐樂</t>
    </r>
    <r>
      <rPr>
        <sz val="11"/>
        <color theme="1"/>
        <rFont val="Calibri"/>
        <family val="2"/>
      </rPr>
      <t>B iO</t>
    </r>
    <r>
      <rPr>
        <sz val="11"/>
        <color theme="1"/>
        <rFont val="微軟正黑體"/>
        <family val="2"/>
        <charset val="136"/>
      </rPr>
      <t>微震清潔刷頭</t>
    </r>
    <r>
      <rPr>
        <sz val="11"/>
        <color theme="1"/>
        <rFont val="Calibri"/>
        <family val="2"/>
      </rPr>
      <t>4</t>
    </r>
    <r>
      <rPr>
        <sz val="11"/>
        <color theme="1"/>
        <rFont val="微軟正黑體"/>
        <family val="2"/>
        <charset val="136"/>
      </rPr>
      <t>入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白色</t>
    </r>
  </si>
  <si>
    <r>
      <t>Oral-B EB18-3</t>
    </r>
    <r>
      <rPr>
        <sz val="11"/>
        <color theme="1"/>
        <rFont val="微軟正黑體"/>
        <family val="2"/>
        <charset val="136"/>
      </rPr>
      <t>專業亮白拋光型刷頭</t>
    </r>
    <r>
      <rPr>
        <sz val="11"/>
        <color theme="1"/>
        <rFont val="Calibri"/>
        <family val="2"/>
      </rPr>
      <t>-3</t>
    </r>
    <r>
      <rPr>
        <sz val="11"/>
        <color theme="1"/>
        <rFont val="微軟正黑體"/>
        <family val="2"/>
        <charset val="136"/>
      </rPr>
      <t>入</t>
    </r>
  </si>
  <si>
    <r>
      <t>Oral-B EB50-3</t>
    </r>
    <r>
      <rPr>
        <sz val="11"/>
        <color theme="1"/>
        <rFont val="微軟正黑體"/>
        <family val="2"/>
        <charset val="136"/>
      </rPr>
      <t>多動向交叉刷頭</t>
    </r>
    <r>
      <rPr>
        <sz val="11"/>
        <color theme="1"/>
        <rFont val="Calibri"/>
        <family val="2"/>
      </rPr>
      <t>(3</t>
    </r>
    <r>
      <rPr>
        <sz val="11"/>
        <color theme="1"/>
        <rFont val="微軟正黑體"/>
        <family val="2"/>
        <charset val="136"/>
      </rPr>
      <t>入</t>
    </r>
    <r>
      <rPr>
        <sz val="11"/>
        <color theme="1"/>
        <rFont val="Calibri"/>
        <family val="2"/>
      </rPr>
      <t>)</t>
    </r>
  </si>
  <si>
    <r>
      <t>Oral-B EB60-3</t>
    </r>
    <r>
      <rPr>
        <sz val="11"/>
        <color theme="1"/>
        <rFont val="微軟正黑體"/>
        <family val="2"/>
        <charset val="136"/>
      </rPr>
      <t>超細毛護齦刷頭</t>
    </r>
    <r>
      <rPr>
        <sz val="11"/>
        <color theme="1"/>
        <rFont val="Calibri"/>
        <family val="2"/>
      </rPr>
      <t>(3</t>
    </r>
    <r>
      <rPr>
        <sz val="11"/>
        <color theme="1"/>
        <rFont val="微軟正黑體"/>
        <family val="2"/>
        <charset val="136"/>
      </rPr>
      <t>入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</si>
  <si>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微軟正黑體"/>
        <family val="2"/>
        <charset val="136"/>
      </rPr>
      <t>歐樂</t>
    </r>
    <r>
      <rPr>
        <sz val="11"/>
        <color theme="1"/>
        <rFont val="Calibri"/>
        <family val="2"/>
      </rPr>
      <t>B iO</t>
    </r>
    <r>
      <rPr>
        <sz val="11"/>
        <color theme="1"/>
        <rFont val="微軟正黑體"/>
        <family val="2"/>
        <charset val="136"/>
      </rPr>
      <t>微震清潔刷頭</t>
    </r>
    <r>
      <rPr>
        <sz val="11"/>
        <color theme="1"/>
        <rFont val="Calibri"/>
        <family val="2"/>
      </rPr>
      <t>4</t>
    </r>
    <r>
      <rPr>
        <sz val="11"/>
        <color theme="1"/>
        <rFont val="微軟正黑體"/>
        <family val="2"/>
        <charset val="136"/>
      </rPr>
      <t>入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黑色</t>
    </r>
  </si>
  <si>
    <r>
      <rPr>
        <sz val="11"/>
        <color theme="1"/>
        <rFont val="微軟正黑體"/>
        <family val="2"/>
        <charset val="136"/>
      </rPr>
      <t>歐樂</t>
    </r>
    <r>
      <rPr>
        <sz val="11"/>
        <color theme="1"/>
        <rFont val="Calibri"/>
        <family val="2"/>
      </rPr>
      <t>B iO2</t>
    </r>
    <r>
      <rPr>
        <sz val="11"/>
        <color theme="1"/>
        <rFont val="微軟正黑體"/>
        <family val="2"/>
        <charset val="136"/>
      </rPr>
      <t>微震科技電動牙刷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霧黑</t>
    </r>
  </si>
  <si>
    <r>
      <rPr>
        <sz val="11"/>
        <color theme="1"/>
        <rFont val="微軟正黑體"/>
        <family val="2"/>
        <charset val="136"/>
      </rPr>
      <t>歐樂</t>
    </r>
    <r>
      <rPr>
        <sz val="11"/>
        <color theme="1"/>
        <rFont val="Calibri"/>
        <family val="2"/>
      </rPr>
      <t>B iO2</t>
    </r>
    <r>
      <rPr>
        <sz val="11"/>
        <color theme="1"/>
        <rFont val="微軟正黑體"/>
        <family val="2"/>
        <charset val="136"/>
      </rPr>
      <t>微震科技電動牙刷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玫瑰粉</t>
    </r>
  </si>
  <si>
    <r>
      <t>Oral-B EB18pRX</t>
    </r>
    <r>
      <rPr>
        <sz val="11"/>
        <color theme="1"/>
        <rFont val="微軟正黑體"/>
        <family val="2"/>
        <charset val="136"/>
      </rPr>
      <t>亮白拋光</t>
    </r>
    <r>
      <rPr>
        <sz val="11"/>
        <color theme="1"/>
        <rFont val="Calibri"/>
        <family val="2"/>
      </rPr>
      <t>X</t>
    </r>
    <r>
      <rPr>
        <sz val="11"/>
        <color theme="1"/>
        <rFont val="微軟正黑體"/>
        <family val="2"/>
        <charset val="136"/>
      </rPr>
      <t>型刷頭</t>
    </r>
    <r>
      <rPr>
        <sz val="11"/>
        <color theme="1"/>
        <rFont val="Calibri"/>
        <family val="2"/>
      </rPr>
      <t>4</t>
    </r>
    <r>
      <rPr>
        <sz val="11"/>
        <color theme="1"/>
        <rFont val="微軟正黑體"/>
        <family val="2"/>
        <charset val="136"/>
      </rPr>
      <t>支裝</t>
    </r>
  </si>
  <si>
    <r>
      <t>Oral-B EB60X</t>
    </r>
    <r>
      <rPr>
        <sz val="11"/>
        <color theme="1"/>
        <rFont val="微軟正黑體"/>
        <family val="2"/>
        <charset val="136"/>
      </rPr>
      <t>超細毛護齦</t>
    </r>
    <r>
      <rPr>
        <sz val="11"/>
        <color theme="1"/>
        <rFont val="Calibri"/>
        <family val="2"/>
      </rPr>
      <t>X</t>
    </r>
    <r>
      <rPr>
        <sz val="11"/>
        <color theme="1"/>
        <rFont val="微軟正黑體"/>
        <family val="2"/>
        <charset val="136"/>
      </rPr>
      <t>型刷頭</t>
    </r>
    <r>
      <rPr>
        <sz val="11"/>
        <color theme="1"/>
        <rFont val="Calibri"/>
        <family val="2"/>
      </rPr>
      <t>4</t>
    </r>
    <r>
      <rPr>
        <sz val="11"/>
        <color theme="1"/>
        <rFont val="微軟正黑體"/>
        <family val="2"/>
        <charset val="136"/>
      </rPr>
      <t>支裝</t>
    </r>
  </si>
  <si>
    <r>
      <t>Oral-B EB50RX</t>
    </r>
    <r>
      <rPr>
        <sz val="11"/>
        <color theme="1"/>
        <rFont val="微軟正黑體"/>
        <family val="2"/>
        <charset val="136"/>
      </rPr>
      <t>深層清潔</t>
    </r>
    <r>
      <rPr>
        <sz val="11"/>
        <color theme="1"/>
        <rFont val="Calibri"/>
        <family val="2"/>
      </rPr>
      <t>X</t>
    </r>
    <r>
      <rPr>
        <sz val="11"/>
        <color theme="1"/>
        <rFont val="微軟正黑體"/>
        <family val="2"/>
        <charset val="136"/>
      </rPr>
      <t>型刷頭</t>
    </r>
    <r>
      <rPr>
        <sz val="11"/>
        <color theme="1"/>
        <rFont val="Calibri"/>
        <family val="2"/>
      </rPr>
      <t>4</t>
    </r>
    <r>
      <rPr>
        <sz val="11"/>
        <color theme="1"/>
        <rFont val="微軟正黑體"/>
        <family val="2"/>
        <charset val="136"/>
      </rPr>
      <t>支裝</t>
    </r>
  </si>
  <si>
    <r>
      <t>Crest</t>
    </r>
    <r>
      <rPr>
        <sz val="11"/>
        <color theme="1"/>
        <rFont val="微軟正黑體"/>
        <family val="2"/>
        <charset val="136"/>
      </rPr>
      <t>美白牙貼</t>
    </r>
  </si>
  <si>
    <r>
      <t>Crest</t>
    </r>
    <r>
      <rPr>
        <sz val="11"/>
        <color theme="1"/>
        <rFont val="微軟正黑體"/>
        <family val="2"/>
        <charset val="136"/>
      </rPr>
      <t>專業鑽白漱口水</t>
    </r>
    <r>
      <rPr>
        <sz val="11"/>
        <color theme="1"/>
        <rFont val="Calibri"/>
        <family val="2"/>
      </rPr>
      <t>500ML</t>
    </r>
  </si>
  <si>
    <r>
      <t>Crest</t>
    </r>
    <r>
      <rPr>
        <sz val="11"/>
        <color theme="1"/>
        <rFont val="微軟正黑體"/>
        <family val="2"/>
        <charset val="136"/>
      </rPr>
      <t>鑽白凝露</t>
    </r>
    <r>
      <rPr>
        <sz val="11"/>
        <color theme="1"/>
        <rFont val="Calibri"/>
        <family val="2"/>
      </rPr>
      <t>25</t>
    </r>
    <r>
      <rPr>
        <sz val="11"/>
        <color theme="1"/>
        <rFont val="微軟正黑體"/>
        <family val="2"/>
        <charset val="136"/>
      </rPr>
      <t>克</t>
    </r>
  </si>
  <si>
    <r>
      <t>Crest</t>
    </r>
    <r>
      <rPr>
        <sz val="11"/>
        <color theme="1"/>
        <rFont val="微軟正黑體"/>
        <family val="2"/>
        <charset val="136"/>
      </rPr>
      <t>極致鑽白牙膏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鑽亮炫白</t>
    </r>
    <r>
      <rPr>
        <sz val="11"/>
        <color theme="1"/>
        <rFont val="Calibri"/>
        <family val="2"/>
      </rPr>
      <t>110</t>
    </r>
    <r>
      <rPr>
        <sz val="11"/>
        <color theme="1"/>
        <rFont val="微軟正黑體"/>
        <family val="2"/>
        <charset val="136"/>
      </rPr>
      <t>克</t>
    </r>
  </si>
  <si>
    <r>
      <t>Crest</t>
    </r>
    <r>
      <rPr>
        <sz val="11"/>
        <color theme="1"/>
        <rFont val="微軟正黑體"/>
        <family val="2"/>
        <charset val="136"/>
      </rPr>
      <t>極致鑽白牙膏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鑽感薄荷</t>
    </r>
    <r>
      <rPr>
        <sz val="11"/>
        <color theme="1"/>
        <rFont val="Calibri"/>
        <family val="2"/>
      </rPr>
      <t>110</t>
    </r>
    <r>
      <rPr>
        <sz val="11"/>
        <color theme="1"/>
        <rFont val="微軟正黑體"/>
        <family val="2"/>
        <charset val="136"/>
      </rPr>
      <t>克</t>
    </r>
  </si>
  <si>
    <r>
      <t>Crest</t>
    </r>
    <r>
      <rPr>
        <sz val="11"/>
        <color theme="1"/>
        <rFont val="微軟正黑體"/>
        <family val="2"/>
        <charset val="136"/>
      </rPr>
      <t>極致鑽白牙膏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鑽白竹炭</t>
    </r>
    <r>
      <rPr>
        <sz val="11"/>
        <color theme="1"/>
        <rFont val="Calibri"/>
        <family val="2"/>
      </rPr>
      <t>110</t>
    </r>
    <r>
      <rPr>
        <sz val="11"/>
        <color theme="1"/>
        <rFont val="微軟正黑體"/>
        <family val="2"/>
        <charset val="136"/>
      </rPr>
      <t>克</t>
    </r>
  </si>
  <si>
    <r>
      <t>Crest</t>
    </r>
    <r>
      <rPr>
        <sz val="11"/>
        <color theme="1"/>
        <rFont val="微軟正黑體"/>
        <family val="2"/>
        <charset val="136"/>
      </rPr>
      <t>鑽感鎖白牙膏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清新亮白</t>
    </r>
    <r>
      <rPr>
        <sz val="11"/>
        <color theme="1"/>
        <rFont val="Calibri"/>
        <family val="2"/>
      </rPr>
      <t>107</t>
    </r>
    <r>
      <rPr>
        <sz val="11"/>
        <color theme="1"/>
        <rFont val="微軟正黑體"/>
        <family val="2"/>
        <charset val="136"/>
      </rPr>
      <t>克</t>
    </r>
  </si>
  <si>
    <r>
      <t>Crest</t>
    </r>
    <r>
      <rPr>
        <sz val="11"/>
        <color theme="1"/>
        <rFont val="微軟正黑體"/>
        <family val="2"/>
        <charset val="136"/>
      </rPr>
      <t>鑽感鎖白牙膏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冰山鑽白</t>
    </r>
    <r>
      <rPr>
        <sz val="11"/>
        <color theme="1"/>
        <rFont val="Calibri"/>
        <family val="2"/>
      </rPr>
      <t>107</t>
    </r>
    <r>
      <rPr>
        <sz val="11"/>
        <color theme="1"/>
        <rFont val="微軟正黑體"/>
        <family val="2"/>
        <charset val="136"/>
      </rPr>
      <t>克</t>
    </r>
  </si>
  <si>
    <r>
      <t>Crest</t>
    </r>
    <r>
      <rPr>
        <sz val="11"/>
        <color theme="1"/>
        <rFont val="微軟正黑體"/>
        <family val="2"/>
        <charset val="136"/>
      </rPr>
      <t>香氛鎖白牙膏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清新雪櫻</t>
    </r>
    <r>
      <rPr>
        <sz val="11"/>
        <color theme="1"/>
        <rFont val="Calibri"/>
        <family val="2"/>
      </rPr>
      <t>120</t>
    </r>
    <r>
      <rPr>
        <sz val="11"/>
        <color theme="1"/>
        <rFont val="微軟正黑體"/>
        <family val="2"/>
        <charset val="136"/>
      </rPr>
      <t>克</t>
    </r>
  </si>
  <si>
    <r>
      <t>Crest</t>
    </r>
    <r>
      <rPr>
        <sz val="11"/>
        <color theme="1"/>
        <rFont val="微軟正黑體"/>
        <family val="2"/>
        <charset val="136"/>
      </rPr>
      <t>香氛鎖白牙膏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海洋薄荷</t>
    </r>
    <r>
      <rPr>
        <sz val="11"/>
        <color theme="1"/>
        <rFont val="Calibri"/>
        <family val="2"/>
      </rPr>
      <t>120</t>
    </r>
    <r>
      <rPr>
        <sz val="11"/>
        <color theme="1"/>
        <rFont val="微軟正黑體"/>
        <family val="2"/>
        <charset val="136"/>
      </rPr>
      <t>克</t>
    </r>
  </si>
  <si>
    <r>
      <t>Crest</t>
    </r>
    <r>
      <rPr>
        <sz val="11"/>
        <color theme="1"/>
        <rFont val="微軟正黑體"/>
        <family val="2"/>
        <charset val="136"/>
      </rPr>
      <t>牙膏超值組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冰山鑽白</t>
    </r>
  </si>
  <si>
    <r>
      <t>Crest 1+2</t>
    </r>
    <r>
      <rPr>
        <sz val="11"/>
        <color theme="1"/>
        <rFont val="微軟正黑體"/>
        <family val="2"/>
        <charset val="136"/>
      </rPr>
      <t>牙膏超值組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清柚白茶</t>
    </r>
    <r>
      <rPr>
        <sz val="11"/>
        <color theme="1"/>
        <rFont val="Calibri"/>
        <family val="2"/>
      </rPr>
      <t>+</t>
    </r>
    <r>
      <rPr>
        <sz val="11"/>
        <color theme="1"/>
        <rFont val="微軟正黑體"/>
        <family val="2"/>
        <charset val="136"/>
      </rPr>
      <t>鑽亮炫白</t>
    </r>
    <r>
      <rPr>
        <sz val="11"/>
        <color theme="1"/>
        <rFont val="Calibri"/>
        <family val="2"/>
      </rPr>
      <t>)</t>
    </r>
  </si>
  <si>
    <r>
      <t>Crest</t>
    </r>
    <r>
      <rPr>
        <sz val="11"/>
        <color theme="1"/>
        <rFont val="微軟正黑體"/>
        <family val="2"/>
        <charset val="136"/>
      </rPr>
      <t>極致鑽白組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牙貼</t>
    </r>
    <r>
      <rPr>
        <sz val="11"/>
        <color theme="1"/>
        <rFont val="Calibri"/>
        <family val="2"/>
      </rPr>
      <t>14</t>
    </r>
    <r>
      <rPr>
        <sz val="11"/>
        <color theme="1"/>
        <rFont val="微軟正黑體"/>
        <family val="2"/>
        <charset val="136"/>
      </rPr>
      <t>次</t>
    </r>
    <r>
      <rPr>
        <sz val="11"/>
        <color theme="1"/>
        <rFont val="Calibri"/>
        <family val="2"/>
      </rPr>
      <t>+</t>
    </r>
    <r>
      <rPr>
        <sz val="11"/>
        <color theme="1"/>
        <rFont val="微軟正黑體"/>
        <family val="2"/>
        <charset val="136"/>
      </rPr>
      <t>牙膏</t>
    </r>
    <r>
      <rPr>
        <sz val="11"/>
        <color theme="1"/>
        <rFont val="Calibri"/>
        <family val="2"/>
      </rPr>
      <t>110g*2</t>
    </r>
  </si>
  <si>
    <r>
      <t>Crest</t>
    </r>
    <r>
      <rPr>
        <sz val="11"/>
        <color theme="1"/>
        <rFont val="微軟正黑體"/>
        <family val="2"/>
        <charset val="136"/>
      </rPr>
      <t>香氛鎖白牙膏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清柚．白茶</t>
    </r>
    <r>
      <rPr>
        <sz val="11"/>
        <color theme="1"/>
        <rFont val="Calibri"/>
        <family val="2"/>
      </rPr>
      <t>120</t>
    </r>
    <r>
      <rPr>
        <sz val="11"/>
        <color theme="1"/>
        <rFont val="微軟正黑體"/>
        <family val="2"/>
        <charset val="136"/>
      </rPr>
      <t>克</t>
    </r>
  </si>
  <si>
    <r>
      <t>Crest</t>
    </r>
    <r>
      <rPr>
        <sz val="11"/>
        <color theme="1"/>
        <rFont val="微軟正黑體"/>
        <family val="2"/>
        <charset val="136"/>
      </rPr>
      <t>香氛鎖白牙膏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岡山夢．白桃</t>
    </r>
    <r>
      <rPr>
        <sz val="11"/>
        <color theme="1"/>
        <rFont val="Calibri"/>
        <family val="2"/>
      </rPr>
      <t>120</t>
    </r>
    <r>
      <rPr>
        <sz val="11"/>
        <color theme="1"/>
        <rFont val="微軟正黑體"/>
        <family val="2"/>
        <charset val="136"/>
      </rPr>
      <t>克</t>
    </r>
  </si>
  <si>
    <r>
      <t>Crest</t>
    </r>
    <r>
      <rPr>
        <sz val="11"/>
        <color theme="1"/>
        <rFont val="微軟正黑體"/>
        <family val="2"/>
        <charset val="136"/>
      </rPr>
      <t>極致鑽白牙膏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亮白防蛀</t>
    </r>
    <r>
      <rPr>
        <sz val="11"/>
        <color theme="1"/>
        <rFont val="Calibri"/>
        <family val="2"/>
      </rPr>
      <t>110</t>
    </r>
    <r>
      <rPr>
        <sz val="11"/>
        <color theme="1"/>
        <rFont val="微軟正黑體"/>
        <family val="2"/>
        <charset val="136"/>
      </rPr>
      <t>克</t>
    </r>
  </si>
  <si>
    <r>
      <t>Crest</t>
    </r>
    <r>
      <rPr>
        <sz val="11"/>
        <color theme="1"/>
        <rFont val="微軟正黑體"/>
        <family val="2"/>
        <charset val="136"/>
      </rPr>
      <t>極致鑽白牙膏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鑽亮炫白</t>
    </r>
    <r>
      <rPr>
        <sz val="11"/>
        <color theme="1"/>
        <rFont val="Calibri"/>
        <family val="2"/>
      </rPr>
      <t>110</t>
    </r>
    <r>
      <rPr>
        <sz val="11"/>
        <color theme="1"/>
        <rFont val="微軟正黑體"/>
        <family val="2"/>
        <charset val="136"/>
      </rPr>
      <t>克</t>
    </r>
    <r>
      <rPr>
        <sz val="11"/>
        <color theme="1"/>
        <rFont val="Calibri"/>
        <family val="2"/>
      </rPr>
      <t>3</t>
    </r>
    <r>
      <rPr>
        <sz val="11"/>
        <color theme="1"/>
        <rFont val="微軟正黑體"/>
        <family val="2"/>
        <charset val="136"/>
      </rPr>
      <t>入組</t>
    </r>
  </si>
  <si>
    <r>
      <t>Crest</t>
    </r>
    <r>
      <rPr>
        <sz val="11"/>
        <color theme="1"/>
        <rFont val="微軟正黑體"/>
        <family val="2"/>
        <charset val="136"/>
      </rPr>
      <t>極致鑽白組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牙貼</t>
    </r>
    <r>
      <rPr>
        <sz val="11"/>
        <color theme="1"/>
        <rFont val="Calibri"/>
        <family val="2"/>
      </rPr>
      <t>14</t>
    </r>
    <r>
      <rPr>
        <sz val="11"/>
        <color theme="1"/>
        <rFont val="微軟正黑體"/>
        <family val="2"/>
        <charset val="136"/>
      </rPr>
      <t>次</t>
    </r>
    <r>
      <rPr>
        <sz val="11"/>
        <color theme="1"/>
        <rFont val="Calibri"/>
        <family val="2"/>
      </rPr>
      <t>+</t>
    </r>
    <r>
      <rPr>
        <sz val="11"/>
        <color theme="1"/>
        <rFont val="微軟正黑體"/>
        <family val="2"/>
        <charset val="136"/>
      </rPr>
      <t>牙膏</t>
    </r>
    <r>
      <rPr>
        <sz val="11"/>
        <color theme="1"/>
        <rFont val="Calibri"/>
        <family val="2"/>
      </rPr>
      <t>116g*2</t>
    </r>
  </si>
  <si>
    <r>
      <t>Crest</t>
    </r>
    <r>
      <rPr>
        <sz val="11"/>
        <color theme="1"/>
        <rFont val="微軟正黑體"/>
        <family val="2"/>
        <charset val="136"/>
      </rPr>
      <t>清柚．白茶香氛鎖白牙膏超值組</t>
    </r>
  </si>
  <si>
    <r>
      <t xml:space="preserve">Crest </t>
    </r>
    <r>
      <rPr>
        <sz val="11"/>
        <color theme="1"/>
        <rFont val="微軟正黑體"/>
        <family val="2"/>
        <charset val="136"/>
      </rPr>
      <t>專業鑽白牙膏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鑽感薄荷</t>
    </r>
    <r>
      <rPr>
        <sz val="11"/>
        <color theme="1"/>
        <rFont val="Calibri"/>
        <family val="2"/>
      </rPr>
      <t>116g</t>
    </r>
  </si>
  <si>
    <r>
      <t>Crest</t>
    </r>
    <r>
      <rPr>
        <sz val="11"/>
        <color theme="1"/>
        <rFont val="微軟正黑體"/>
        <family val="2"/>
        <charset val="136"/>
      </rPr>
      <t>牙膏</t>
    </r>
    <r>
      <rPr>
        <sz val="11"/>
        <color theme="1"/>
        <rFont val="Calibri"/>
        <family val="2"/>
      </rPr>
      <t>1+2</t>
    </r>
    <r>
      <rPr>
        <sz val="11"/>
        <color theme="1"/>
        <rFont val="微軟正黑體"/>
        <family val="2"/>
        <charset val="136"/>
      </rPr>
      <t>超值組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雪櫻</t>
    </r>
    <r>
      <rPr>
        <sz val="11"/>
        <color theme="1"/>
        <rFont val="Calibri"/>
        <family val="2"/>
      </rPr>
      <t>+</t>
    </r>
    <r>
      <rPr>
        <sz val="11"/>
        <color theme="1"/>
        <rFont val="微軟正黑體"/>
        <family val="2"/>
        <charset val="136"/>
      </rPr>
      <t>鑽亮炫白</t>
    </r>
    <r>
      <rPr>
        <sz val="11"/>
        <color theme="1"/>
        <rFont val="Calibri"/>
        <family val="2"/>
      </rPr>
      <t>)</t>
    </r>
  </si>
  <si>
    <r>
      <t>CrestPROWHITE</t>
    </r>
    <r>
      <rPr>
        <sz val="11"/>
        <color theme="1"/>
        <rFont val="微軟正黑體"/>
        <family val="2"/>
        <charset val="136"/>
      </rPr>
      <t>極光白深層亮白牙膏</t>
    </r>
    <r>
      <rPr>
        <sz val="11"/>
        <color theme="1"/>
        <rFont val="Calibri"/>
        <family val="2"/>
      </rPr>
      <t>90g</t>
    </r>
  </si>
  <si>
    <r>
      <rPr>
        <sz val="11"/>
        <color theme="1"/>
        <rFont val="微軟正黑體"/>
        <family val="2"/>
        <charset val="136"/>
      </rPr>
      <t>吉列鋒護刮鬍刀超值裝</t>
    </r>
  </si>
  <si>
    <r>
      <rPr>
        <sz val="11"/>
        <color theme="1"/>
        <rFont val="微軟正黑體"/>
        <family val="2"/>
        <charset val="136"/>
      </rPr>
      <t>吉列鋒護潤滑刮鬍刀一刀架一刀頭</t>
    </r>
  </si>
  <si>
    <r>
      <rPr>
        <sz val="11"/>
        <color theme="1"/>
        <rFont val="微軟正黑體"/>
        <family val="2"/>
        <charset val="136"/>
      </rPr>
      <t>吉列鋒護潤滑系列刮鬍刀頭</t>
    </r>
    <r>
      <rPr>
        <sz val="11"/>
        <color theme="1"/>
        <rFont val="Calibri"/>
        <family val="2"/>
      </rPr>
      <t>8</t>
    </r>
    <r>
      <rPr>
        <sz val="11"/>
        <color theme="1"/>
        <rFont val="微軟正黑體"/>
        <family val="2"/>
        <charset val="136"/>
      </rPr>
      <t>刀頭</t>
    </r>
  </si>
  <si>
    <r>
      <rPr>
        <sz val="11"/>
        <color theme="1"/>
        <rFont val="微軟正黑體"/>
        <family val="2"/>
        <charset val="136"/>
      </rPr>
      <t>吉列鋒護系列刮鬍刀</t>
    </r>
    <r>
      <rPr>
        <sz val="11"/>
        <color theme="1"/>
        <rFont val="Calibri"/>
        <family val="2"/>
      </rPr>
      <t>(1</t>
    </r>
    <r>
      <rPr>
        <sz val="11"/>
        <color theme="1"/>
        <rFont val="微軟正黑體"/>
        <family val="2"/>
        <charset val="136"/>
      </rPr>
      <t>刀架</t>
    </r>
    <r>
      <rPr>
        <sz val="11"/>
        <color theme="1"/>
        <rFont val="Calibri"/>
        <family val="2"/>
      </rPr>
      <t>2</t>
    </r>
    <r>
      <rPr>
        <sz val="11"/>
        <color theme="1"/>
        <rFont val="微軟正黑體"/>
        <family val="2"/>
        <charset val="136"/>
      </rPr>
      <t>刀頭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</si>
  <si>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微軟正黑體"/>
        <family val="2"/>
        <charset val="136"/>
      </rPr>
      <t>吉列鋒護系列刮鬍刀頭</t>
    </r>
    <r>
      <rPr>
        <sz val="11"/>
        <color theme="1"/>
        <rFont val="Calibri"/>
        <family val="2"/>
      </rPr>
      <t>(4</t>
    </r>
    <r>
      <rPr>
        <sz val="11"/>
        <color theme="1"/>
        <rFont val="微軟正黑體"/>
        <family val="2"/>
        <charset val="136"/>
      </rPr>
      <t>刀頭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</si>
  <si>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微軟正黑體"/>
        <family val="2"/>
        <charset val="136"/>
      </rPr>
      <t>吉列鋒隱</t>
    </r>
    <r>
      <rPr>
        <sz val="11"/>
        <color theme="1"/>
        <rFont val="Calibri"/>
        <family val="2"/>
      </rPr>
      <t>5+1</t>
    </r>
    <r>
      <rPr>
        <sz val="11"/>
        <color theme="1"/>
        <rFont val="微軟正黑體"/>
        <family val="2"/>
        <charset val="136"/>
      </rPr>
      <t>刀架</t>
    </r>
  </si>
  <si>
    <r>
      <rPr>
        <sz val="11"/>
        <color theme="1"/>
        <rFont val="微軟正黑體"/>
        <family val="2"/>
        <charset val="136"/>
      </rPr>
      <t>吉列鋒隱刮鬍刀架刀頭超值組</t>
    </r>
    <r>
      <rPr>
        <sz val="11"/>
        <color theme="1"/>
        <rFont val="Calibri"/>
        <family val="2"/>
      </rPr>
      <t>-1</t>
    </r>
    <r>
      <rPr>
        <sz val="11"/>
        <color theme="1"/>
        <rFont val="微軟正黑體"/>
        <family val="2"/>
        <charset val="136"/>
      </rPr>
      <t>刀架</t>
    </r>
    <r>
      <rPr>
        <sz val="11"/>
        <color theme="1"/>
        <rFont val="Calibri"/>
        <family val="2"/>
      </rPr>
      <t>5</t>
    </r>
    <r>
      <rPr>
        <sz val="11"/>
        <color theme="1"/>
        <rFont val="微軟正黑體"/>
        <family val="2"/>
        <charset val="136"/>
      </rPr>
      <t>刀頭</t>
    </r>
  </si>
  <si>
    <r>
      <rPr>
        <sz val="11"/>
        <color theme="1"/>
        <rFont val="微軟正黑體"/>
        <family val="2"/>
        <charset val="136"/>
      </rPr>
      <t>吉列鋒隱系列刮鬍刀頭</t>
    </r>
    <r>
      <rPr>
        <sz val="11"/>
        <color theme="1"/>
        <rFont val="Calibri"/>
        <family val="2"/>
      </rPr>
      <t>8</t>
    </r>
    <r>
      <rPr>
        <sz val="11"/>
        <color theme="1"/>
        <rFont val="微軟正黑體"/>
        <family val="2"/>
        <charset val="136"/>
      </rPr>
      <t>刀頭</t>
    </r>
  </si>
  <si>
    <r>
      <rPr>
        <sz val="11"/>
        <color theme="1"/>
        <rFont val="微軟正黑體"/>
        <family val="2"/>
        <charset val="136"/>
      </rPr>
      <t>吉列鋒隱系列刮鬍刀</t>
    </r>
    <r>
      <rPr>
        <sz val="11"/>
        <color theme="1"/>
        <rFont val="Calibri"/>
        <family val="2"/>
      </rPr>
      <t>(1</t>
    </r>
    <r>
      <rPr>
        <sz val="11"/>
        <color theme="1"/>
        <rFont val="微軟正黑體"/>
        <family val="2"/>
        <charset val="136"/>
      </rPr>
      <t>刀架</t>
    </r>
    <r>
      <rPr>
        <sz val="11"/>
        <color theme="1"/>
        <rFont val="Calibri"/>
        <family val="2"/>
      </rPr>
      <t>2</t>
    </r>
    <r>
      <rPr>
        <sz val="11"/>
        <color theme="1"/>
        <rFont val="微軟正黑體"/>
        <family val="2"/>
        <charset val="136"/>
      </rPr>
      <t>刀頭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</si>
  <si>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微軟正黑體"/>
        <family val="2"/>
        <charset val="136"/>
      </rPr>
      <t>吉列鋒隱系列刮鬍刀頭</t>
    </r>
    <r>
      <rPr>
        <sz val="11"/>
        <color theme="1"/>
        <rFont val="Calibri"/>
        <family val="2"/>
      </rPr>
      <t>(4</t>
    </r>
    <r>
      <rPr>
        <sz val="11"/>
        <color theme="1"/>
        <rFont val="微軟正黑體"/>
        <family val="2"/>
        <charset val="136"/>
      </rPr>
      <t>刀頭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</si>
  <si>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微軟正黑體"/>
        <family val="2"/>
        <charset val="136"/>
      </rPr>
      <t>吉列鋒隱系列刮鬍刀頭</t>
    </r>
    <r>
      <rPr>
        <sz val="11"/>
        <color theme="1"/>
        <rFont val="Calibri"/>
        <family val="2"/>
      </rPr>
      <t>(8</t>
    </r>
    <r>
      <rPr>
        <sz val="11"/>
        <color theme="1"/>
        <rFont val="微軟正黑體"/>
        <family val="2"/>
        <charset val="136"/>
      </rPr>
      <t>刀頭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</si>
  <si>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微軟正黑體"/>
        <family val="2"/>
        <charset val="136"/>
      </rPr>
      <t>吉列無感系列限定版刮髮刀套裝</t>
    </r>
    <r>
      <rPr>
        <sz val="11"/>
        <color theme="1"/>
        <rFont val="Calibri"/>
        <family val="2"/>
      </rPr>
      <t>(1</t>
    </r>
    <r>
      <rPr>
        <sz val="11"/>
        <color theme="1"/>
        <rFont val="微軟正黑體"/>
        <family val="2"/>
        <charset val="136"/>
      </rPr>
      <t>刀架</t>
    </r>
    <r>
      <rPr>
        <sz val="11"/>
        <color theme="1"/>
        <rFont val="Calibri"/>
        <family val="2"/>
      </rPr>
      <t>2</t>
    </r>
    <r>
      <rPr>
        <sz val="11"/>
        <color theme="1"/>
        <rFont val="微軟正黑體"/>
        <family val="2"/>
        <charset val="136"/>
      </rPr>
      <t>刀頭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</si>
  <si>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微軟正黑體"/>
        <family val="2"/>
        <charset val="136"/>
      </rPr>
      <t>吉列無感系列刮鬍刀</t>
    </r>
    <r>
      <rPr>
        <sz val="11"/>
        <color theme="1"/>
        <rFont val="Calibri"/>
        <family val="2"/>
      </rPr>
      <t>(1</t>
    </r>
    <r>
      <rPr>
        <sz val="11"/>
        <color theme="1"/>
        <rFont val="微軟正黑體"/>
        <family val="2"/>
        <charset val="136"/>
      </rPr>
      <t>刀架</t>
    </r>
    <r>
      <rPr>
        <sz val="11"/>
        <color theme="1"/>
        <rFont val="Calibri"/>
        <family val="2"/>
      </rPr>
      <t>2</t>
    </r>
    <r>
      <rPr>
        <sz val="11"/>
        <color theme="1"/>
        <rFont val="微軟正黑體"/>
        <family val="2"/>
        <charset val="136"/>
      </rPr>
      <t>刀頭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</si>
  <si>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微軟正黑體"/>
        <family val="2"/>
        <charset val="136"/>
      </rPr>
      <t>吉列無感系列刮鬍刀頭</t>
    </r>
    <r>
      <rPr>
        <sz val="11"/>
        <color theme="1"/>
        <rFont val="Calibri"/>
        <family val="2"/>
      </rPr>
      <t>(4</t>
    </r>
    <r>
      <rPr>
        <sz val="11"/>
        <color theme="1"/>
        <rFont val="微軟正黑體"/>
        <family val="2"/>
        <charset val="136"/>
      </rPr>
      <t>刀頭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</si>
  <si>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微軟正黑體"/>
        <family val="2"/>
        <charset val="136"/>
      </rPr>
      <t>吉列無感系列刮鬍刀頭</t>
    </r>
    <r>
      <rPr>
        <sz val="11"/>
        <color theme="1"/>
        <rFont val="Calibri"/>
        <family val="2"/>
      </rPr>
      <t>(8</t>
    </r>
    <r>
      <rPr>
        <sz val="11"/>
        <color theme="1"/>
        <rFont val="微軟正黑體"/>
        <family val="2"/>
        <charset val="136"/>
      </rPr>
      <t>刀頭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</si>
  <si>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微軟正黑體"/>
        <family val="2"/>
        <charset val="136"/>
      </rPr>
      <t>吉列</t>
    </r>
    <r>
      <rPr>
        <sz val="11"/>
        <color theme="1"/>
        <rFont val="Calibri"/>
        <family val="2"/>
      </rPr>
      <t>SkinGuard</t>
    </r>
    <r>
      <rPr>
        <sz val="11"/>
        <color theme="1"/>
        <rFont val="微軟正黑體"/>
        <family val="2"/>
        <charset val="136"/>
      </rPr>
      <t>紳適系列刮鬍刀頭</t>
    </r>
    <r>
      <rPr>
        <sz val="11"/>
        <color theme="1"/>
        <rFont val="Calibri"/>
        <family val="2"/>
      </rPr>
      <t>(4</t>
    </r>
    <r>
      <rPr>
        <sz val="11"/>
        <color theme="1"/>
        <rFont val="微軟正黑體"/>
        <family val="2"/>
        <charset val="136"/>
      </rPr>
      <t>刀頭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</si>
  <si>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微軟正黑體"/>
        <family val="2"/>
        <charset val="136"/>
      </rPr>
      <t>吉列紳適系列刮鬍刀</t>
    </r>
    <r>
      <rPr>
        <sz val="11"/>
        <color theme="1"/>
        <rFont val="Calibri"/>
        <family val="2"/>
      </rPr>
      <t>(1</t>
    </r>
    <r>
      <rPr>
        <sz val="11"/>
        <color theme="1"/>
        <rFont val="微軟正黑體"/>
        <family val="2"/>
        <charset val="136"/>
      </rPr>
      <t>刀架</t>
    </r>
    <r>
      <rPr>
        <sz val="11"/>
        <color theme="1"/>
        <rFont val="Calibri"/>
        <family val="2"/>
      </rPr>
      <t>2</t>
    </r>
    <r>
      <rPr>
        <sz val="11"/>
        <color theme="1"/>
        <rFont val="微軟正黑體"/>
        <family val="2"/>
        <charset val="136"/>
      </rPr>
      <t>刀頭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</si>
  <si>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微軟正黑體"/>
        <family val="2"/>
        <charset val="136"/>
      </rPr>
      <t>吉列鋒速</t>
    </r>
    <r>
      <rPr>
        <sz val="11"/>
        <color theme="1"/>
        <rFont val="Calibri"/>
        <family val="2"/>
      </rPr>
      <t>3</t>
    </r>
    <r>
      <rPr>
        <sz val="11"/>
        <color theme="1"/>
        <rFont val="微軟正黑體"/>
        <family val="2"/>
        <charset val="136"/>
      </rPr>
      <t>突破刮鬍刀片</t>
    </r>
    <r>
      <rPr>
        <sz val="11"/>
        <color theme="1"/>
        <rFont val="Calibri"/>
        <family val="2"/>
      </rPr>
      <t>4</t>
    </r>
    <r>
      <rPr>
        <sz val="11"/>
        <color theme="1"/>
        <rFont val="微軟正黑體"/>
        <family val="2"/>
        <charset val="136"/>
      </rPr>
      <t>片裝</t>
    </r>
  </si>
  <si>
    <r>
      <rPr>
        <sz val="11"/>
        <color theme="1"/>
        <rFont val="微軟正黑體"/>
        <family val="2"/>
        <charset val="136"/>
      </rPr>
      <t>吉列鋒速</t>
    </r>
    <r>
      <rPr>
        <sz val="11"/>
        <color theme="1"/>
        <rFont val="Calibri"/>
        <family val="2"/>
      </rPr>
      <t>3</t>
    </r>
    <r>
      <rPr>
        <sz val="11"/>
        <color theme="1"/>
        <rFont val="微軟正黑體"/>
        <family val="2"/>
        <charset val="136"/>
      </rPr>
      <t>系列刮鬍刀</t>
    </r>
    <r>
      <rPr>
        <sz val="11"/>
        <color theme="1"/>
        <rFont val="Calibri"/>
        <family val="2"/>
      </rPr>
      <t>1</t>
    </r>
    <r>
      <rPr>
        <sz val="11"/>
        <color theme="1"/>
        <rFont val="微軟正黑體"/>
        <family val="2"/>
        <charset val="136"/>
      </rPr>
      <t>刀架</t>
    </r>
    <r>
      <rPr>
        <sz val="11"/>
        <color theme="1"/>
        <rFont val="Calibri"/>
        <family val="2"/>
      </rPr>
      <t>2</t>
    </r>
    <r>
      <rPr>
        <sz val="11"/>
        <color theme="1"/>
        <rFont val="微軟正黑體"/>
        <family val="2"/>
        <charset val="136"/>
      </rPr>
      <t>刀頭</t>
    </r>
  </si>
  <si>
    <r>
      <rPr>
        <sz val="11"/>
        <color theme="1"/>
        <rFont val="微軟正黑體"/>
        <family val="2"/>
        <charset val="136"/>
      </rPr>
      <t>吉列鋒速</t>
    </r>
    <r>
      <rPr>
        <sz val="11"/>
        <color theme="1"/>
        <rFont val="Calibri"/>
        <family val="2"/>
      </rPr>
      <t>3</t>
    </r>
    <r>
      <rPr>
        <sz val="11"/>
        <color theme="1"/>
        <rFont val="微軟正黑體"/>
        <family val="2"/>
        <charset val="136"/>
      </rPr>
      <t>突破系列刮鬍刀</t>
    </r>
    <r>
      <rPr>
        <sz val="11"/>
        <color theme="1"/>
        <rFont val="Calibri"/>
        <family val="2"/>
      </rPr>
      <t>1</t>
    </r>
    <r>
      <rPr>
        <sz val="11"/>
        <color theme="1"/>
        <rFont val="微軟正黑體"/>
        <family val="2"/>
        <charset val="136"/>
      </rPr>
      <t>刀架</t>
    </r>
    <r>
      <rPr>
        <sz val="11"/>
        <color theme="1"/>
        <rFont val="Calibri"/>
        <family val="2"/>
      </rPr>
      <t>2</t>
    </r>
    <r>
      <rPr>
        <sz val="11"/>
        <color theme="1"/>
        <rFont val="微軟正黑體"/>
        <family val="2"/>
        <charset val="136"/>
      </rPr>
      <t>刀頭</t>
    </r>
  </si>
  <si>
    <r>
      <rPr>
        <sz val="11"/>
        <color theme="1"/>
        <rFont val="微軟正黑體"/>
        <family val="2"/>
        <charset val="136"/>
      </rPr>
      <t>吉列鋒速</t>
    </r>
    <r>
      <rPr>
        <sz val="11"/>
        <color theme="1"/>
        <rFont val="Calibri"/>
        <family val="2"/>
      </rPr>
      <t>3Mach3</t>
    </r>
    <r>
      <rPr>
        <sz val="11"/>
        <color theme="1"/>
        <rFont val="微軟正黑體"/>
        <family val="2"/>
        <charset val="136"/>
      </rPr>
      <t>系列刮鬍刀頭</t>
    </r>
    <r>
      <rPr>
        <sz val="11"/>
        <color theme="1"/>
        <rFont val="Calibri"/>
        <family val="2"/>
      </rPr>
      <t>-8</t>
    </r>
    <r>
      <rPr>
        <sz val="11"/>
        <color theme="1"/>
        <rFont val="微軟正黑體"/>
        <family val="2"/>
        <charset val="136"/>
      </rPr>
      <t>刀頭</t>
    </r>
  </si>
  <si>
    <r>
      <rPr>
        <sz val="11"/>
        <color theme="1"/>
        <rFont val="微軟正黑體"/>
        <family val="2"/>
        <charset val="136"/>
      </rPr>
      <t>吉列鋒速</t>
    </r>
    <r>
      <rPr>
        <sz val="11"/>
        <color theme="1"/>
        <rFont val="Calibri"/>
        <family val="2"/>
      </rPr>
      <t>3Mach3</t>
    </r>
    <r>
      <rPr>
        <sz val="11"/>
        <color theme="1"/>
        <rFont val="微軟正黑體"/>
        <family val="2"/>
        <charset val="136"/>
      </rPr>
      <t>系列剃鬚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刮鬍刀頭</t>
    </r>
    <r>
      <rPr>
        <sz val="11"/>
        <color theme="1"/>
        <rFont val="Calibri"/>
        <family val="2"/>
      </rPr>
      <t>-4</t>
    </r>
    <r>
      <rPr>
        <sz val="11"/>
        <color theme="1"/>
        <rFont val="微軟正黑體"/>
        <family val="2"/>
        <charset val="136"/>
      </rPr>
      <t>刀頭</t>
    </r>
  </si>
  <si>
    <r>
      <rPr>
        <sz val="11"/>
        <color theme="1"/>
        <rFont val="微軟正黑體"/>
        <family val="2"/>
        <charset val="136"/>
      </rPr>
      <t>吉列鋒速</t>
    </r>
    <r>
      <rPr>
        <sz val="11"/>
        <color theme="1"/>
        <rFont val="Calibri"/>
        <family val="2"/>
      </rPr>
      <t>3</t>
    </r>
    <r>
      <rPr>
        <sz val="11"/>
        <color theme="1"/>
        <rFont val="微軟正黑體"/>
        <family val="2"/>
        <charset val="136"/>
      </rPr>
      <t>系列刮鬍刀頭</t>
    </r>
    <r>
      <rPr>
        <sz val="11"/>
        <color theme="1"/>
        <rFont val="Calibri"/>
        <family val="2"/>
      </rPr>
      <t>8</t>
    </r>
    <r>
      <rPr>
        <sz val="11"/>
        <color theme="1"/>
        <rFont val="微軟正黑體"/>
        <family val="2"/>
        <charset val="136"/>
      </rPr>
      <t>刀頭</t>
    </r>
  </si>
  <si>
    <r>
      <rPr>
        <sz val="11"/>
        <color theme="1"/>
        <rFont val="微軟正黑體"/>
        <family val="2"/>
        <charset val="136"/>
      </rPr>
      <t>吉列鋒速</t>
    </r>
    <r>
      <rPr>
        <sz val="11"/>
        <color theme="1"/>
        <rFont val="Calibri"/>
        <family val="2"/>
      </rPr>
      <t>3</t>
    </r>
    <r>
      <rPr>
        <sz val="11"/>
        <color theme="1"/>
        <rFont val="微軟正黑體"/>
        <family val="2"/>
        <charset val="136"/>
      </rPr>
      <t>系列刮鬍刀頭</t>
    </r>
    <r>
      <rPr>
        <sz val="11"/>
        <color theme="1"/>
        <rFont val="Calibri"/>
        <family val="2"/>
      </rPr>
      <t>4</t>
    </r>
    <r>
      <rPr>
        <sz val="11"/>
        <color theme="1"/>
        <rFont val="微軟正黑體"/>
        <family val="2"/>
        <charset val="136"/>
      </rPr>
      <t>刀頭</t>
    </r>
  </si>
  <si>
    <r>
      <rPr>
        <sz val="11"/>
        <color theme="1"/>
        <rFont val="微軟正黑體"/>
        <family val="2"/>
        <charset val="136"/>
      </rPr>
      <t>吉列鋒速</t>
    </r>
    <r>
      <rPr>
        <sz val="11"/>
        <color theme="1"/>
        <rFont val="Calibri"/>
        <family val="2"/>
      </rPr>
      <t>3</t>
    </r>
    <r>
      <rPr>
        <sz val="11"/>
        <color theme="1"/>
        <rFont val="微軟正黑體"/>
        <family val="2"/>
        <charset val="136"/>
      </rPr>
      <t>突破系列刮鬍刀頭</t>
    </r>
    <r>
      <rPr>
        <sz val="11"/>
        <color theme="1"/>
        <rFont val="Calibri"/>
        <family val="2"/>
      </rPr>
      <t>4</t>
    </r>
    <r>
      <rPr>
        <sz val="11"/>
        <color theme="1"/>
        <rFont val="微軟正黑體"/>
        <family val="2"/>
        <charset val="136"/>
      </rPr>
      <t>刀頭</t>
    </r>
  </si>
  <si>
    <r>
      <rPr>
        <sz val="11"/>
        <color theme="1"/>
        <rFont val="微軟正黑體"/>
        <family val="2"/>
        <charset val="136"/>
      </rPr>
      <t>吉列</t>
    </r>
    <r>
      <rPr>
        <sz val="11"/>
        <color theme="1"/>
        <rFont val="Calibri"/>
        <family val="2"/>
      </rPr>
      <t>Labs</t>
    </r>
    <r>
      <rPr>
        <sz val="11"/>
        <color theme="1"/>
        <rFont val="微軟正黑體"/>
        <family val="2"/>
        <charset val="136"/>
      </rPr>
      <t>極光系列刮鬍刀</t>
    </r>
    <r>
      <rPr>
        <sz val="11"/>
        <color theme="1"/>
        <rFont val="Calibri"/>
        <family val="2"/>
      </rPr>
      <t>(1</t>
    </r>
    <r>
      <rPr>
        <sz val="11"/>
        <color theme="1"/>
        <rFont val="微軟正黑體"/>
        <family val="2"/>
        <charset val="136"/>
      </rPr>
      <t>刀架</t>
    </r>
    <r>
      <rPr>
        <sz val="11"/>
        <color theme="1"/>
        <rFont val="Calibri"/>
        <family val="2"/>
      </rPr>
      <t>2</t>
    </r>
    <r>
      <rPr>
        <sz val="11"/>
        <color theme="1"/>
        <rFont val="微軟正黑體"/>
        <family val="2"/>
        <charset val="136"/>
      </rPr>
      <t>刀頭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</si>
  <si>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微軟正黑體"/>
        <family val="2"/>
        <charset val="136"/>
      </rPr>
      <t>吉列</t>
    </r>
    <r>
      <rPr>
        <sz val="11"/>
        <color theme="1"/>
        <rFont val="Calibri"/>
        <family val="2"/>
      </rPr>
      <t>Labs</t>
    </r>
    <r>
      <rPr>
        <sz val="11"/>
        <color theme="1"/>
        <rFont val="微軟正黑體"/>
        <family val="2"/>
        <charset val="136"/>
      </rPr>
      <t>極光系列刮鬍刀頭</t>
    </r>
    <r>
      <rPr>
        <sz val="11"/>
        <color theme="1"/>
        <rFont val="Calibri"/>
        <family val="2"/>
      </rPr>
      <t>(4</t>
    </r>
    <r>
      <rPr>
        <sz val="11"/>
        <color theme="1"/>
        <rFont val="微軟正黑體"/>
        <family val="2"/>
        <charset val="136"/>
      </rPr>
      <t>刀頭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</si>
  <si>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微軟正黑體"/>
        <family val="2"/>
        <charset val="136"/>
      </rPr>
      <t>吉列</t>
    </r>
    <r>
      <rPr>
        <sz val="11"/>
        <color theme="1"/>
        <rFont val="Calibri"/>
        <family val="2"/>
      </rPr>
      <t>Labs</t>
    </r>
    <r>
      <rPr>
        <sz val="11"/>
        <color theme="1"/>
        <rFont val="微軟正黑體"/>
        <family val="2"/>
        <charset val="136"/>
      </rPr>
      <t>極光系列刮鬍刀</t>
    </r>
    <r>
      <rPr>
        <sz val="11"/>
        <color theme="1"/>
        <rFont val="Calibri"/>
        <family val="2"/>
      </rPr>
      <t>(1</t>
    </r>
    <r>
      <rPr>
        <sz val="11"/>
        <color theme="1"/>
        <rFont val="微軟正黑體"/>
        <family val="2"/>
        <charset val="136"/>
      </rPr>
      <t>刀架</t>
    </r>
    <r>
      <rPr>
        <sz val="11"/>
        <color theme="1"/>
        <rFont val="Calibri"/>
        <family val="2"/>
      </rPr>
      <t>3</t>
    </r>
    <r>
      <rPr>
        <sz val="11"/>
        <color theme="1"/>
        <rFont val="微軟正黑體"/>
        <family val="2"/>
        <charset val="136"/>
      </rPr>
      <t>刀頭</t>
    </r>
    <r>
      <rPr>
        <sz val="11"/>
        <color theme="1"/>
        <rFont val="Calibri"/>
        <family val="2"/>
      </rPr>
      <t>)</t>
    </r>
    <r>
      <rPr>
        <sz val="11"/>
        <color theme="1"/>
        <rFont val="微軟正黑體"/>
        <family val="2"/>
        <charset val="136"/>
      </rPr>
      <t>旅行盒組</t>
    </r>
  </si>
  <si>
    <r>
      <rPr>
        <sz val="11"/>
        <color theme="1"/>
        <rFont val="微軟正黑體"/>
        <family val="2"/>
        <charset val="136"/>
      </rPr>
      <t>吉列</t>
    </r>
    <r>
      <rPr>
        <sz val="11"/>
        <color theme="1"/>
        <rFont val="Calibri"/>
        <family val="2"/>
      </rPr>
      <t>NBA</t>
    </r>
    <r>
      <rPr>
        <sz val="11"/>
        <color theme="1"/>
        <rFont val="微軟正黑體"/>
        <family val="2"/>
        <charset val="136"/>
      </rPr>
      <t>聯名無感刮鬍刀</t>
    </r>
    <r>
      <rPr>
        <sz val="11"/>
        <color theme="1"/>
        <rFont val="Calibri"/>
        <family val="2"/>
      </rPr>
      <t>(1</t>
    </r>
    <r>
      <rPr>
        <sz val="11"/>
        <color theme="1"/>
        <rFont val="微軟正黑體"/>
        <family val="2"/>
        <charset val="136"/>
      </rPr>
      <t>刀架</t>
    </r>
    <r>
      <rPr>
        <sz val="11"/>
        <color theme="1"/>
        <rFont val="Calibri"/>
        <family val="2"/>
      </rPr>
      <t>2</t>
    </r>
    <r>
      <rPr>
        <sz val="11"/>
        <color theme="1"/>
        <rFont val="微軟正黑體"/>
        <family val="2"/>
        <charset val="136"/>
      </rPr>
      <t>刀頭</t>
    </r>
    <r>
      <rPr>
        <sz val="11"/>
        <color theme="1"/>
        <rFont val="Calibri"/>
        <family val="2"/>
      </rPr>
      <t>1</t>
    </r>
    <r>
      <rPr>
        <sz val="11"/>
        <color theme="1"/>
        <rFont val="微軟正黑體"/>
        <family val="2"/>
        <charset val="136"/>
      </rPr>
      <t>底座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</si>
  <si>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微軟正黑體"/>
        <family val="2"/>
        <charset val="136"/>
      </rPr>
      <t>長柄潤滑輕便刀日本包裝</t>
    </r>
    <r>
      <rPr>
        <sz val="11"/>
        <color theme="1"/>
        <rFont val="Calibri"/>
        <family val="2"/>
      </rPr>
      <t>6</t>
    </r>
    <r>
      <rPr>
        <sz val="11"/>
        <color theme="1"/>
        <rFont val="微軟正黑體"/>
        <family val="2"/>
        <charset val="136"/>
      </rPr>
      <t>支裝</t>
    </r>
  </si>
  <si>
    <r>
      <rPr>
        <sz val="11"/>
        <color theme="1"/>
        <rFont val="微軟正黑體"/>
        <family val="2"/>
        <charset val="136"/>
      </rPr>
      <t>吉列</t>
    </r>
    <r>
      <rPr>
        <sz val="11"/>
        <color theme="1"/>
        <rFont val="Calibri"/>
        <family val="2"/>
      </rPr>
      <t>Proglide</t>
    </r>
    <r>
      <rPr>
        <sz val="11"/>
        <color theme="1"/>
        <rFont val="微軟正黑體"/>
        <family val="2"/>
        <charset val="136"/>
      </rPr>
      <t>無感系列刮鬍刀頭</t>
    </r>
    <r>
      <rPr>
        <sz val="11"/>
        <color theme="1"/>
        <rFont val="Calibri"/>
        <family val="2"/>
      </rPr>
      <t>4</t>
    </r>
    <r>
      <rPr>
        <sz val="11"/>
        <color theme="1"/>
        <rFont val="微軟正黑體"/>
        <family val="2"/>
        <charset val="136"/>
      </rPr>
      <t>刀頭</t>
    </r>
  </si>
  <si>
    <r>
      <rPr>
        <sz val="11"/>
        <color theme="1"/>
        <rFont val="微軟正黑體"/>
        <family val="2"/>
        <charset val="136"/>
      </rPr>
      <t>吉列鋒護系列刮鬍刀頭</t>
    </r>
    <r>
      <rPr>
        <sz val="11"/>
        <color theme="1"/>
        <rFont val="Calibri"/>
        <family val="2"/>
      </rPr>
      <t>4</t>
    </r>
    <r>
      <rPr>
        <sz val="11"/>
        <color theme="1"/>
        <rFont val="微軟正黑體"/>
        <family val="2"/>
        <charset val="136"/>
      </rPr>
      <t>刀頭</t>
    </r>
  </si>
  <si>
    <r>
      <rPr>
        <sz val="11"/>
        <color theme="1"/>
        <rFont val="微軟正黑體"/>
        <family val="2"/>
        <charset val="136"/>
      </rPr>
      <t>吉列</t>
    </r>
    <r>
      <rPr>
        <sz val="11"/>
        <color theme="1"/>
        <rFont val="Calibri"/>
        <family val="2"/>
      </rPr>
      <t>SkinGuard</t>
    </r>
    <r>
      <rPr>
        <sz val="11"/>
        <color theme="1"/>
        <rFont val="微軟正黑體"/>
        <family val="2"/>
        <charset val="136"/>
      </rPr>
      <t>紳適系列刮鬍刀頭</t>
    </r>
    <r>
      <rPr>
        <sz val="11"/>
        <color theme="1"/>
        <rFont val="Calibri"/>
        <family val="2"/>
      </rPr>
      <t>4</t>
    </r>
    <r>
      <rPr>
        <sz val="11"/>
        <color theme="1"/>
        <rFont val="微軟正黑體"/>
        <family val="2"/>
        <charset val="136"/>
      </rPr>
      <t>刀頭</t>
    </r>
  </si>
  <si>
    <r>
      <rPr>
        <sz val="11"/>
        <color theme="1"/>
        <rFont val="微軟正黑體"/>
        <family val="2"/>
        <charset val="136"/>
      </rPr>
      <t>吉列</t>
    </r>
    <r>
      <rPr>
        <sz val="11"/>
        <color theme="1"/>
        <rFont val="Calibri"/>
        <family val="2"/>
      </rPr>
      <t>Proglide</t>
    </r>
    <r>
      <rPr>
        <sz val="11"/>
        <color theme="1"/>
        <rFont val="微軟正黑體"/>
        <family val="2"/>
        <charset val="136"/>
      </rPr>
      <t>無感系列刮鬍刀頭</t>
    </r>
    <r>
      <rPr>
        <sz val="11"/>
        <color theme="1"/>
        <rFont val="Calibri"/>
        <family val="2"/>
      </rPr>
      <t>8</t>
    </r>
    <r>
      <rPr>
        <sz val="11"/>
        <color theme="1"/>
        <rFont val="微軟正黑體"/>
        <family val="2"/>
        <charset val="136"/>
      </rPr>
      <t>刀頭</t>
    </r>
  </si>
  <si>
    <r>
      <rPr>
        <sz val="11"/>
        <color theme="1"/>
        <rFont val="微軟正黑體"/>
        <family val="2"/>
        <charset val="136"/>
      </rPr>
      <t>吉列</t>
    </r>
    <r>
      <rPr>
        <sz val="11"/>
        <color theme="1"/>
        <rFont val="Calibri"/>
        <family val="2"/>
      </rPr>
      <t>Proshield</t>
    </r>
    <r>
      <rPr>
        <sz val="11"/>
        <color theme="1"/>
        <rFont val="微軟正黑體"/>
        <family val="2"/>
        <charset val="136"/>
      </rPr>
      <t>鋒護系列刮鬍刀頭</t>
    </r>
    <r>
      <rPr>
        <sz val="11"/>
        <color theme="1"/>
        <rFont val="Calibri"/>
        <family val="2"/>
      </rPr>
      <t>8</t>
    </r>
    <r>
      <rPr>
        <sz val="11"/>
        <color theme="1"/>
        <rFont val="微軟正黑體"/>
        <family val="2"/>
        <charset val="136"/>
      </rPr>
      <t>刀頭</t>
    </r>
  </si>
  <si>
    <r>
      <rPr>
        <sz val="11"/>
        <color theme="1"/>
        <rFont val="微軟正黑體"/>
        <family val="2"/>
        <charset val="136"/>
      </rPr>
      <t>吉列經典柔順刮鬍泡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剃鬚膏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清新檸檬味</t>
    </r>
    <r>
      <rPr>
        <sz val="11"/>
        <color theme="1"/>
        <rFont val="Calibri"/>
        <family val="2"/>
      </rPr>
      <t>)333g</t>
    </r>
  </si>
  <si>
    <r>
      <rPr>
        <sz val="11"/>
        <color theme="1"/>
        <rFont val="微軟正黑體"/>
        <family val="2"/>
        <charset val="136"/>
      </rPr>
      <t>吉列經典柔順刮鬍泡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剃鬚膏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敏感肌適用</t>
    </r>
    <r>
      <rPr>
        <sz val="11"/>
        <color theme="1"/>
        <rFont val="Calibri"/>
        <family val="2"/>
      </rPr>
      <t>)333g</t>
    </r>
  </si>
  <si>
    <r>
      <rPr>
        <sz val="11"/>
        <color theme="1"/>
        <rFont val="微軟正黑體"/>
        <family val="2"/>
        <charset val="136"/>
      </rPr>
      <t>吉列極淨系列刮鬍泡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冰涼清爽型</t>
    </r>
    <r>
      <rPr>
        <sz val="11"/>
        <color theme="1"/>
        <rFont val="Calibri"/>
        <family val="2"/>
      </rPr>
      <t>)245g</t>
    </r>
  </si>
  <si>
    <r>
      <rPr>
        <sz val="11"/>
        <color theme="1"/>
        <rFont val="微軟正黑體"/>
        <family val="2"/>
        <charset val="136"/>
      </rPr>
      <t>吉列服貼潤滑輕便刀超值</t>
    </r>
    <r>
      <rPr>
        <sz val="11"/>
        <color theme="1"/>
        <rFont val="Calibri"/>
        <family val="2"/>
      </rPr>
      <t>6</t>
    </r>
    <r>
      <rPr>
        <sz val="11"/>
        <color theme="1"/>
        <rFont val="微軟正黑體"/>
        <family val="2"/>
        <charset val="136"/>
      </rPr>
      <t>入裝</t>
    </r>
  </si>
  <si>
    <r>
      <rPr>
        <sz val="11"/>
        <color theme="1"/>
        <rFont val="微軟正黑體"/>
        <family val="2"/>
        <charset val="136"/>
      </rPr>
      <t>吉列服貼潤滑輕便刀</t>
    </r>
    <r>
      <rPr>
        <sz val="11"/>
        <color theme="1"/>
        <rFont val="Calibri"/>
        <family val="2"/>
      </rPr>
      <t>3</t>
    </r>
    <r>
      <rPr>
        <sz val="11"/>
        <color theme="1"/>
        <rFont val="微軟正黑體"/>
        <family val="2"/>
        <charset val="136"/>
      </rPr>
      <t>入裝</t>
    </r>
  </si>
  <si>
    <r>
      <t>ARIEL</t>
    </r>
    <r>
      <rPr>
        <sz val="11"/>
        <color theme="1"/>
        <rFont val="微軟正黑體"/>
        <family val="2"/>
        <charset val="136"/>
      </rPr>
      <t>超濃縮抗菌洗衣精</t>
    </r>
    <r>
      <rPr>
        <sz val="11"/>
        <color theme="1"/>
        <rFont val="Calibri"/>
        <family val="2"/>
      </rPr>
      <t>900G</t>
    </r>
    <r>
      <rPr>
        <sz val="11"/>
        <color theme="1"/>
        <rFont val="微軟正黑體"/>
        <family val="2"/>
        <charset val="136"/>
      </rPr>
      <t>瓶裝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室內晾衣款</t>
    </r>
  </si>
  <si>
    <r>
      <t>ARIEL</t>
    </r>
    <r>
      <rPr>
        <sz val="11"/>
        <color theme="1"/>
        <rFont val="微軟正黑體"/>
        <family val="2"/>
        <charset val="136"/>
      </rPr>
      <t>超濃縮抗菌洗衣精</t>
    </r>
    <r>
      <rPr>
        <sz val="11"/>
        <color theme="1"/>
        <rFont val="Calibri"/>
        <family val="2"/>
      </rPr>
      <t>900G</t>
    </r>
    <r>
      <rPr>
        <sz val="11"/>
        <color theme="1"/>
        <rFont val="微軟正黑體"/>
        <family val="2"/>
        <charset val="136"/>
      </rPr>
      <t>瓶裝</t>
    </r>
  </si>
  <si>
    <r>
      <t>ARIEL</t>
    </r>
    <r>
      <rPr>
        <sz val="11"/>
        <color theme="1"/>
        <rFont val="微軟正黑體"/>
        <family val="2"/>
        <charset val="136"/>
      </rPr>
      <t>抗菌抗臭洗衣精</t>
    </r>
    <r>
      <rPr>
        <sz val="11"/>
        <color theme="1"/>
        <rFont val="Calibri"/>
        <family val="2"/>
      </rPr>
      <t>800g-</t>
    </r>
    <r>
      <rPr>
        <sz val="11"/>
        <color theme="1"/>
        <rFont val="微軟正黑體"/>
        <family val="2"/>
        <charset val="136"/>
      </rPr>
      <t>室內晾衣型</t>
    </r>
  </si>
  <si>
    <r>
      <t>ARIEL</t>
    </r>
    <r>
      <rPr>
        <sz val="11"/>
        <color theme="1"/>
        <rFont val="微軟正黑體"/>
        <family val="2"/>
        <charset val="136"/>
      </rPr>
      <t>抗菌抗臭洗衣精</t>
    </r>
    <r>
      <rPr>
        <sz val="11"/>
        <color theme="1"/>
        <rFont val="Calibri"/>
        <family val="2"/>
      </rPr>
      <t>800g-</t>
    </r>
    <r>
      <rPr>
        <sz val="11"/>
        <color theme="1"/>
        <rFont val="微軟正黑體"/>
        <family val="2"/>
        <charset val="136"/>
      </rPr>
      <t>抗菌去漬型</t>
    </r>
  </si>
  <si>
    <r>
      <t>ARIEL</t>
    </r>
    <r>
      <rPr>
        <sz val="11"/>
        <color theme="1"/>
        <rFont val="微軟正黑體"/>
        <family val="2"/>
        <charset val="136"/>
      </rPr>
      <t>超濃縮抗菌洗衣精補充包室晾款</t>
    </r>
    <r>
      <rPr>
        <sz val="11"/>
        <color theme="1"/>
        <rFont val="Calibri"/>
        <family val="2"/>
      </rPr>
      <t>1.52KG</t>
    </r>
  </si>
  <si>
    <r>
      <t>ARIEL</t>
    </r>
    <r>
      <rPr>
        <sz val="11"/>
        <color theme="1"/>
        <rFont val="微軟正黑體"/>
        <family val="2"/>
        <charset val="136"/>
      </rPr>
      <t>超濃縮抗菌洗衣精補充包</t>
    </r>
    <r>
      <rPr>
        <sz val="11"/>
        <color theme="1"/>
        <rFont val="Calibri"/>
        <family val="2"/>
      </rPr>
      <t>1.52KG</t>
    </r>
  </si>
  <si>
    <r>
      <t>ARIEL</t>
    </r>
    <r>
      <rPr>
        <sz val="11"/>
        <color theme="1"/>
        <rFont val="微軟正黑體"/>
        <family val="2"/>
        <charset val="136"/>
      </rPr>
      <t>抗菌抗臭洗衣精補充包</t>
    </r>
    <r>
      <rPr>
        <sz val="11"/>
        <color theme="1"/>
        <rFont val="Calibri"/>
        <family val="2"/>
      </rPr>
      <t>1590g-</t>
    </r>
    <r>
      <rPr>
        <sz val="11"/>
        <color theme="1"/>
        <rFont val="微軟正黑體"/>
        <family val="2"/>
        <charset val="136"/>
      </rPr>
      <t>抗菌去漬</t>
    </r>
  </si>
  <si>
    <r>
      <t>ARIEL</t>
    </r>
    <r>
      <rPr>
        <sz val="11"/>
        <color theme="1"/>
        <rFont val="微軟正黑體"/>
        <family val="2"/>
        <charset val="136"/>
      </rPr>
      <t>抗菌抗臭洗衣精補充包</t>
    </r>
    <r>
      <rPr>
        <sz val="11"/>
        <color theme="1"/>
        <rFont val="Calibri"/>
        <family val="2"/>
      </rPr>
      <t>1590g-</t>
    </r>
    <r>
      <rPr>
        <sz val="11"/>
        <color theme="1"/>
        <rFont val="微軟正黑體"/>
        <family val="2"/>
        <charset val="136"/>
      </rPr>
      <t>室內晾衣</t>
    </r>
  </si>
  <si>
    <r>
      <t>ARIEL</t>
    </r>
    <r>
      <rPr>
        <sz val="11"/>
        <color theme="1"/>
        <rFont val="微軟正黑體"/>
        <family val="2"/>
        <charset val="136"/>
      </rPr>
      <t>超濃縮抗菌洗衣精</t>
    </r>
    <r>
      <rPr>
        <sz val="11"/>
        <color theme="1"/>
        <rFont val="Calibri"/>
        <family val="2"/>
      </rPr>
      <t>900G+630G</t>
    </r>
    <r>
      <rPr>
        <sz val="11"/>
        <color theme="1"/>
        <rFont val="微軟正黑體"/>
        <family val="2"/>
        <charset val="136"/>
      </rPr>
      <t>優惠組</t>
    </r>
  </si>
  <si>
    <r>
      <t>ARIEL</t>
    </r>
    <r>
      <rPr>
        <sz val="11"/>
        <color theme="1"/>
        <rFont val="微軟正黑體"/>
        <family val="2"/>
        <charset val="136"/>
      </rPr>
      <t>抗菌抗臭洗衣精優惠組</t>
    </r>
    <r>
      <rPr>
        <sz val="11"/>
        <color theme="1"/>
        <rFont val="Calibri"/>
        <family val="2"/>
      </rPr>
      <t>630g*2</t>
    </r>
    <r>
      <rPr>
        <sz val="11"/>
        <color theme="1"/>
        <rFont val="微軟正黑體"/>
        <family val="2"/>
        <charset val="136"/>
      </rPr>
      <t>抗菌去漬</t>
    </r>
  </si>
  <si>
    <r>
      <t>ARIEL</t>
    </r>
    <r>
      <rPr>
        <sz val="11"/>
        <color theme="1"/>
        <rFont val="微軟正黑體"/>
        <family val="2"/>
        <charset val="136"/>
      </rPr>
      <t>抗菌抗臭洗衣精優惠組</t>
    </r>
    <r>
      <rPr>
        <sz val="11"/>
        <color theme="1"/>
        <rFont val="Calibri"/>
        <family val="2"/>
      </rPr>
      <t>630g*2</t>
    </r>
    <r>
      <rPr>
        <sz val="11"/>
        <color theme="1"/>
        <rFont val="微軟正黑體"/>
        <family val="2"/>
        <charset val="136"/>
      </rPr>
      <t>室內晾衣</t>
    </r>
  </si>
  <si>
    <r>
      <t>ARIEL</t>
    </r>
    <r>
      <rPr>
        <sz val="11"/>
        <color theme="1"/>
        <rFont val="微軟正黑體"/>
        <family val="2"/>
        <charset val="136"/>
      </rPr>
      <t>抗菌抗臭洗衣精</t>
    </r>
    <r>
      <rPr>
        <sz val="11"/>
        <color theme="1"/>
        <rFont val="Calibri"/>
        <family val="2"/>
      </rPr>
      <t>1430g</t>
    </r>
    <r>
      <rPr>
        <sz val="11"/>
        <color theme="1"/>
        <rFont val="微軟正黑體"/>
        <family val="2"/>
        <charset val="136"/>
      </rPr>
      <t>室內晾衣型超值裝</t>
    </r>
  </si>
  <si>
    <r>
      <t>ARIEL</t>
    </r>
    <r>
      <rPr>
        <sz val="11"/>
        <color theme="1"/>
        <rFont val="微軟正黑體"/>
        <family val="2"/>
        <charset val="136"/>
      </rPr>
      <t>抗菌抗臭洗衣精</t>
    </r>
    <r>
      <rPr>
        <sz val="11"/>
        <color theme="1"/>
        <rFont val="Calibri"/>
        <family val="2"/>
      </rPr>
      <t>1430g</t>
    </r>
    <r>
      <rPr>
        <sz val="11"/>
        <color theme="1"/>
        <rFont val="微軟正黑體"/>
        <family val="2"/>
        <charset val="136"/>
      </rPr>
      <t>抗菌去漬型超值裝</t>
    </r>
  </si>
  <si>
    <r>
      <t>ARIEL</t>
    </r>
    <r>
      <rPr>
        <sz val="11"/>
        <color theme="1"/>
        <rFont val="微軟正黑體"/>
        <family val="2"/>
        <charset val="136"/>
      </rPr>
      <t>超濃縮抗菌抗蟎洗衣精</t>
    </r>
    <r>
      <rPr>
        <sz val="11"/>
        <color theme="1"/>
        <rFont val="Calibri"/>
        <family val="2"/>
      </rPr>
      <t>910g</t>
    </r>
  </si>
  <si>
    <r>
      <t>ARIEL</t>
    </r>
    <r>
      <rPr>
        <sz val="11"/>
        <color theme="1"/>
        <rFont val="微軟正黑體"/>
        <family val="2"/>
        <charset val="136"/>
      </rPr>
      <t>超濃縮抗菌抗蟎洗衣精補充包</t>
    </r>
    <r>
      <rPr>
        <sz val="11"/>
        <color theme="1"/>
        <rFont val="Calibri"/>
        <family val="2"/>
      </rPr>
      <t>1.36kg</t>
    </r>
  </si>
  <si>
    <r>
      <t>ARIEL</t>
    </r>
    <r>
      <rPr>
        <sz val="11"/>
        <color theme="1"/>
        <rFont val="微軟正黑體"/>
        <family val="2"/>
        <charset val="136"/>
      </rPr>
      <t>超濃縮洗衣精補充包室內晾衣款</t>
    </r>
    <r>
      <rPr>
        <sz val="11"/>
        <color theme="1"/>
        <rFont val="Calibri"/>
        <family val="2"/>
      </rPr>
      <t>1260G</t>
    </r>
  </si>
  <si>
    <r>
      <t>M)ARIEL4D</t>
    </r>
    <r>
      <rPr>
        <sz val="11"/>
        <color theme="1"/>
        <rFont val="微軟正黑體"/>
        <family val="2"/>
        <charset val="136"/>
      </rPr>
      <t>抗菌洗衣膠囊</t>
    </r>
    <r>
      <rPr>
        <sz val="11"/>
        <color theme="1"/>
        <rFont val="Calibri"/>
        <family val="2"/>
      </rPr>
      <t>5</t>
    </r>
    <r>
      <rPr>
        <sz val="11"/>
        <color theme="1"/>
        <rFont val="微軟正黑體"/>
        <family val="2"/>
        <charset val="136"/>
      </rPr>
      <t>顆袋裝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抗菌去漬款</t>
    </r>
  </si>
  <si>
    <r>
      <t>M)ARIEL4D</t>
    </r>
    <r>
      <rPr>
        <sz val="11"/>
        <color theme="1"/>
        <rFont val="微軟正黑體"/>
        <family val="2"/>
        <charset val="136"/>
      </rPr>
      <t>抗菌洗衣膠囊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室內晾衣款</t>
    </r>
    <r>
      <rPr>
        <sz val="11"/>
        <color theme="1"/>
        <rFont val="Calibri"/>
        <family val="2"/>
      </rPr>
      <t>)12</t>
    </r>
    <r>
      <rPr>
        <sz val="11"/>
        <color theme="1"/>
        <rFont val="微軟正黑體"/>
        <family val="2"/>
        <charset val="136"/>
      </rPr>
      <t>個盒裝</t>
    </r>
  </si>
  <si>
    <r>
      <t>M)ARIEL4D</t>
    </r>
    <r>
      <rPr>
        <sz val="11"/>
        <color theme="1"/>
        <rFont val="微軟正黑體"/>
        <family val="2"/>
        <charset val="136"/>
      </rPr>
      <t>抗菌洗衣膠囊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抗菌去漬款</t>
    </r>
    <r>
      <rPr>
        <sz val="11"/>
        <color theme="1"/>
        <rFont val="Calibri"/>
        <family val="2"/>
      </rPr>
      <t>)12</t>
    </r>
    <r>
      <rPr>
        <sz val="11"/>
        <color theme="1"/>
        <rFont val="微軟正黑體"/>
        <family val="2"/>
        <charset val="136"/>
      </rPr>
      <t>個盒裝</t>
    </r>
  </si>
  <si>
    <r>
      <t>M)ARIEL4D</t>
    </r>
    <r>
      <rPr>
        <sz val="11"/>
        <color theme="1"/>
        <rFont val="微軟正黑體"/>
        <family val="2"/>
        <charset val="136"/>
      </rPr>
      <t>抗菌洗衣膠囊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微香型</t>
    </r>
    <r>
      <rPr>
        <sz val="11"/>
        <color theme="1"/>
        <rFont val="Calibri"/>
        <family val="2"/>
      </rPr>
      <t>)12</t>
    </r>
    <r>
      <rPr>
        <sz val="11"/>
        <color theme="1"/>
        <rFont val="微軟正黑體"/>
        <family val="2"/>
        <charset val="136"/>
      </rPr>
      <t>個盒裝</t>
    </r>
  </si>
  <si>
    <r>
      <t>M)ARIEL 4D</t>
    </r>
    <r>
      <rPr>
        <sz val="11"/>
        <color theme="1"/>
        <rFont val="微軟正黑體"/>
        <family val="2"/>
        <charset val="136"/>
      </rPr>
      <t>抗菌洗衣膠囊</t>
    </r>
    <r>
      <rPr>
        <sz val="11"/>
        <color theme="1"/>
        <rFont val="Calibri"/>
        <family val="2"/>
      </rPr>
      <t>11</t>
    </r>
    <r>
      <rPr>
        <sz val="11"/>
        <color theme="1"/>
        <rFont val="微軟正黑體"/>
        <family val="2"/>
        <charset val="136"/>
      </rPr>
      <t>顆盒裝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室內晾衣款</t>
    </r>
  </si>
  <si>
    <r>
      <t>M)ARIEL 4D</t>
    </r>
    <r>
      <rPr>
        <sz val="11"/>
        <color theme="1"/>
        <rFont val="微軟正黑體"/>
        <family val="2"/>
        <charset val="136"/>
      </rPr>
      <t>抗菌洗衣膠囊</t>
    </r>
    <r>
      <rPr>
        <sz val="11"/>
        <color theme="1"/>
        <rFont val="Calibri"/>
        <family val="2"/>
      </rPr>
      <t>11</t>
    </r>
    <r>
      <rPr>
        <sz val="11"/>
        <color theme="1"/>
        <rFont val="微軟正黑體"/>
        <family val="2"/>
        <charset val="136"/>
      </rPr>
      <t>顆盒裝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抗菌去漬款</t>
    </r>
  </si>
  <si>
    <r>
      <t>M)ARIEL 4D</t>
    </r>
    <r>
      <rPr>
        <sz val="11"/>
        <color theme="1"/>
        <rFont val="微軟正黑體"/>
        <family val="2"/>
        <charset val="136"/>
      </rPr>
      <t>抗菌洗衣膠囊</t>
    </r>
    <r>
      <rPr>
        <sz val="11"/>
        <color theme="1"/>
        <rFont val="Calibri"/>
        <family val="2"/>
      </rPr>
      <t>12</t>
    </r>
    <r>
      <rPr>
        <sz val="11"/>
        <color theme="1"/>
        <rFont val="微軟正黑體"/>
        <family val="2"/>
        <charset val="136"/>
      </rPr>
      <t>顆盒裝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微香型</t>
    </r>
  </si>
  <si>
    <r>
      <t>M)ARIEL 4D</t>
    </r>
    <r>
      <rPr>
        <sz val="11"/>
        <color theme="1"/>
        <rFont val="微軟正黑體"/>
        <family val="2"/>
        <charset val="136"/>
      </rPr>
      <t>抗菌洗衣膠囊</t>
    </r>
    <r>
      <rPr>
        <sz val="11"/>
        <color theme="1"/>
        <rFont val="Calibri"/>
        <family val="2"/>
      </rPr>
      <t>7</t>
    </r>
    <r>
      <rPr>
        <sz val="11"/>
        <color theme="1"/>
        <rFont val="微軟正黑體"/>
        <family val="2"/>
        <charset val="136"/>
      </rPr>
      <t>顆裝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抗菌去漬款</t>
    </r>
  </si>
  <si>
    <r>
      <t>M)ARIEL4D</t>
    </r>
    <r>
      <rPr>
        <sz val="11"/>
        <color theme="1"/>
        <rFont val="微軟正黑體"/>
        <family val="2"/>
        <charset val="136"/>
      </rPr>
      <t>抗菌抗蟎洗衣膠囊</t>
    </r>
    <r>
      <rPr>
        <sz val="11"/>
        <color theme="1"/>
        <rFont val="Calibri"/>
        <family val="2"/>
      </rPr>
      <t>12</t>
    </r>
    <r>
      <rPr>
        <sz val="11"/>
        <color theme="1"/>
        <rFont val="微軟正黑體"/>
        <family val="2"/>
        <charset val="136"/>
      </rPr>
      <t>個盒裝</t>
    </r>
  </si>
  <si>
    <r>
      <t>M)ARIEL4D</t>
    </r>
    <r>
      <rPr>
        <sz val="11"/>
        <color theme="1"/>
        <rFont val="微軟正黑體"/>
        <family val="2"/>
        <charset val="136"/>
      </rPr>
      <t>抗菌洗衣膠囊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室內晾衣款</t>
    </r>
    <r>
      <rPr>
        <sz val="11"/>
        <color theme="1"/>
        <rFont val="Calibri"/>
        <family val="2"/>
      </rPr>
      <t>)31</t>
    </r>
    <r>
      <rPr>
        <sz val="11"/>
        <color theme="1"/>
        <rFont val="微軟正黑體"/>
        <family val="2"/>
        <charset val="136"/>
      </rPr>
      <t>顆袋裝</t>
    </r>
  </si>
  <si>
    <r>
      <t>M)ARIEL4D</t>
    </r>
    <r>
      <rPr>
        <sz val="11"/>
        <color theme="1"/>
        <rFont val="微軟正黑體"/>
        <family val="2"/>
        <charset val="136"/>
      </rPr>
      <t>抗菌洗衣膠囊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抗菌去漬款</t>
    </r>
    <r>
      <rPr>
        <sz val="11"/>
        <color theme="1"/>
        <rFont val="Calibri"/>
        <family val="2"/>
      </rPr>
      <t>)31</t>
    </r>
    <r>
      <rPr>
        <sz val="11"/>
        <color theme="1"/>
        <rFont val="微軟正黑體"/>
        <family val="2"/>
        <charset val="136"/>
      </rPr>
      <t>顆袋裝</t>
    </r>
  </si>
  <si>
    <r>
      <t>M)ARIEL4D</t>
    </r>
    <r>
      <rPr>
        <sz val="11"/>
        <color theme="1"/>
        <rFont val="微軟正黑體"/>
        <family val="2"/>
        <charset val="136"/>
      </rPr>
      <t>抗菌洗衣膠囊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微香型</t>
    </r>
    <r>
      <rPr>
        <sz val="11"/>
        <color theme="1"/>
        <rFont val="Calibri"/>
        <family val="2"/>
      </rPr>
      <t>)31</t>
    </r>
    <r>
      <rPr>
        <sz val="11"/>
        <color theme="1"/>
        <rFont val="微軟正黑體"/>
        <family val="2"/>
        <charset val="136"/>
      </rPr>
      <t>顆袋裝</t>
    </r>
  </si>
  <si>
    <r>
      <t>M)ARIEL 4D</t>
    </r>
    <r>
      <rPr>
        <sz val="11"/>
        <color theme="1"/>
        <rFont val="微軟正黑體"/>
        <family val="2"/>
        <charset val="136"/>
      </rPr>
      <t>抗菌洗衣膠囊</t>
    </r>
    <r>
      <rPr>
        <sz val="11"/>
        <color theme="1"/>
        <rFont val="Calibri"/>
        <family val="2"/>
      </rPr>
      <t>32</t>
    </r>
    <r>
      <rPr>
        <sz val="11"/>
        <color theme="1"/>
        <rFont val="微軟正黑體"/>
        <family val="2"/>
        <charset val="136"/>
      </rPr>
      <t>顆袋裝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室內晾衣款</t>
    </r>
  </si>
  <si>
    <r>
      <t>M)ARIEL 4D</t>
    </r>
    <r>
      <rPr>
        <sz val="11"/>
        <color theme="1"/>
        <rFont val="微軟正黑體"/>
        <family val="2"/>
        <charset val="136"/>
      </rPr>
      <t>抗菌洗衣膠囊</t>
    </r>
    <r>
      <rPr>
        <sz val="11"/>
        <color theme="1"/>
        <rFont val="Calibri"/>
        <family val="2"/>
      </rPr>
      <t>32</t>
    </r>
    <r>
      <rPr>
        <sz val="11"/>
        <color theme="1"/>
        <rFont val="微軟正黑體"/>
        <family val="2"/>
        <charset val="136"/>
      </rPr>
      <t>顆袋裝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抗菌去漬款</t>
    </r>
  </si>
  <si>
    <r>
      <t>M)ARIEL 4D</t>
    </r>
    <r>
      <rPr>
        <sz val="11"/>
        <color theme="1"/>
        <rFont val="微軟正黑體"/>
        <family val="2"/>
        <charset val="136"/>
      </rPr>
      <t>抗菌洗衣膠囊</t>
    </r>
    <r>
      <rPr>
        <sz val="11"/>
        <color theme="1"/>
        <rFont val="Calibri"/>
        <family val="2"/>
      </rPr>
      <t>39</t>
    </r>
    <r>
      <rPr>
        <sz val="11"/>
        <color theme="1"/>
        <rFont val="微軟正黑體"/>
        <family val="2"/>
        <charset val="136"/>
      </rPr>
      <t>顆袋裝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微香型</t>
    </r>
  </si>
  <si>
    <r>
      <t>ARIEL 4D</t>
    </r>
    <r>
      <rPr>
        <sz val="11"/>
        <color theme="1"/>
        <rFont val="微軟正黑體"/>
        <family val="2"/>
        <charset val="136"/>
      </rPr>
      <t>抗菌洗衣膠囊</t>
    </r>
    <r>
      <rPr>
        <sz val="11"/>
        <color theme="1"/>
        <rFont val="Calibri"/>
        <family val="2"/>
      </rPr>
      <t>53</t>
    </r>
    <r>
      <rPr>
        <sz val="11"/>
        <color theme="1"/>
        <rFont val="微軟正黑體"/>
        <family val="2"/>
        <charset val="136"/>
      </rPr>
      <t>個</t>
    </r>
    <r>
      <rPr>
        <sz val="11"/>
        <color theme="1"/>
        <rFont val="Calibri"/>
        <family val="2"/>
      </rPr>
      <t>x2-</t>
    </r>
    <r>
      <rPr>
        <sz val="11"/>
        <color theme="1"/>
        <rFont val="微軟正黑體"/>
        <family val="2"/>
        <charset val="136"/>
      </rPr>
      <t>室內晾衣款</t>
    </r>
  </si>
  <si>
    <r>
      <t>ARIEL 4D</t>
    </r>
    <r>
      <rPr>
        <sz val="11"/>
        <color theme="1"/>
        <rFont val="微軟正黑體"/>
        <family val="2"/>
        <charset val="136"/>
      </rPr>
      <t>抗菌洗衣膠囊</t>
    </r>
    <r>
      <rPr>
        <sz val="11"/>
        <color theme="1"/>
        <rFont val="Calibri"/>
        <family val="2"/>
      </rPr>
      <t>53</t>
    </r>
    <r>
      <rPr>
        <sz val="11"/>
        <color theme="1"/>
        <rFont val="微軟正黑體"/>
        <family val="2"/>
        <charset val="136"/>
      </rPr>
      <t>個</t>
    </r>
    <r>
      <rPr>
        <sz val="11"/>
        <color theme="1"/>
        <rFont val="Calibri"/>
        <family val="2"/>
      </rPr>
      <t>x2-</t>
    </r>
    <r>
      <rPr>
        <sz val="11"/>
        <color theme="1"/>
        <rFont val="微軟正黑體"/>
        <family val="2"/>
        <charset val="136"/>
      </rPr>
      <t>抗菌去漬款</t>
    </r>
  </si>
  <si>
    <r>
      <t>M)ARIEL4D</t>
    </r>
    <r>
      <rPr>
        <sz val="11"/>
        <color theme="1"/>
        <rFont val="微軟正黑體"/>
        <family val="2"/>
        <charset val="136"/>
      </rPr>
      <t>抗菌抗蟎洗衣膠囊</t>
    </r>
    <r>
      <rPr>
        <sz val="11"/>
        <color theme="1"/>
        <rFont val="Calibri"/>
        <family val="2"/>
      </rPr>
      <t>31</t>
    </r>
    <r>
      <rPr>
        <sz val="11"/>
        <color theme="1"/>
        <rFont val="微軟正黑體"/>
        <family val="2"/>
        <charset val="136"/>
      </rPr>
      <t>顆袋裝</t>
    </r>
  </si>
  <si>
    <r>
      <t>ARIEL 4D</t>
    </r>
    <r>
      <rPr>
        <sz val="11"/>
        <color theme="1"/>
        <rFont val="微軟正黑體"/>
        <family val="2"/>
        <charset val="136"/>
      </rPr>
      <t>抗菌抗蟎洗衣膠囊</t>
    </r>
    <r>
      <rPr>
        <sz val="11"/>
        <color theme="1"/>
        <rFont val="Calibri"/>
        <family val="2"/>
      </rPr>
      <t>27</t>
    </r>
    <r>
      <rPr>
        <sz val="11"/>
        <color theme="1"/>
        <rFont val="微軟正黑體"/>
        <family val="2"/>
        <charset val="136"/>
      </rPr>
      <t>顆袋裝</t>
    </r>
  </si>
  <si>
    <r>
      <t>M)ARIEL4D</t>
    </r>
    <r>
      <rPr>
        <sz val="11"/>
        <color theme="1"/>
        <rFont val="微軟正黑體"/>
        <family val="2"/>
        <charset val="136"/>
      </rPr>
      <t>抗菌洗衣膠囊室內晾衣款</t>
    </r>
    <r>
      <rPr>
        <sz val="11"/>
        <color theme="1"/>
        <rFont val="Calibri"/>
        <family val="2"/>
      </rPr>
      <t>-11</t>
    </r>
    <r>
      <rPr>
        <sz val="11"/>
        <color theme="1"/>
        <rFont val="微軟正黑體"/>
        <family val="2"/>
        <charset val="136"/>
      </rPr>
      <t>個入</t>
    </r>
  </si>
  <si>
    <r>
      <t>ARIEL</t>
    </r>
    <r>
      <rPr>
        <sz val="11"/>
        <color theme="1"/>
        <rFont val="微軟正黑體"/>
        <family val="2"/>
        <charset val="136"/>
      </rPr>
      <t>抗菌洗衣精</t>
    </r>
    <r>
      <rPr>
        <sz val="11"/>
        <color theme="1"/>
        <rFont val="Calibri"/>
        <family val="2"/>
      </rPr>
      <t>800g+500g-</t>
    </r>
    <r>
      <rPr>
        <sz val="11"/>
        <color theme="1"/>
        <rFont val="微軟正黑體"/>
        <family val="2"/>
        <charset val="136"/>
      </rPr>
      <t>室內晾衣</t>
    </r>
  </si>
  <si>
    <r>
      <t>M)ARIEL4D</t>
    </r>
    <r>
      <rPr>
        <sz val="11"/>
        <color theme="1"/>
        <rFont val="微軟正黑體"/>
        <family val="2"/>
        <charset val="136"/>
      </rPr>
      <t>抗菌洗衣膠囊自然微香款</t>
    </r>
    <r>
      <rPr>
        <sz val="11"/>
        <color theme="1"/>
        <rFont val="Calibri"/>
        <family val="2"/>
      </rPr>
      <t>-30</t>
    </r>
    <r>
      <rPr>
        <sz val="11"/>
        <color theme="1"/>
        <rFont val="微軟正黑體"/>
        <family val="2"/>
        <charset val="136"/>
      </rPr>
      <t>個入</t>
    </r>
  </si>
  <si>
    <r>
      <t>M)ARIEL4D</t>
    </r>
    <r>
      <rPr>
        <sz val="11"/>
        <color theme="1"/>
        <rFont val="微軟正黑體"/>
        <family val="2"/>
        <charset val="136"/>
      </rPr>
      <t>抗菌洗衣膠囊室內晾衣款</t>
    </r>
    <r>
      <rPr>
        <sz val="11"/>
        <color theme="1"/>
        <rFont val="Calibri"/>
        <family val="2"/>
      </rPr>
      <t>-30</t>
    </r>
    <r>
      <rPr>
        <sz val="11"/>
        <color theme="1"/>
        <rFont val="微軟正黑體"/>
        <family val="2"/>
        <charset val="136"/>
      </rPr>
      <t>個入</t>
    </r>
  </si>
  <si>
    <r>
      <t>M)ARIEL4D</t>
    </r>
    <r>
      <rPr>
        <sz val="11"/>
        <color theme="1"/>
        <rFont val="微軟正黑體"/>
        <family val="2"/>
        <charset val="136"/>
      </rPr>
      <t>抗菌洗衣膠囊抗菌去漬款</t>
    </r>
    <r>
      <rPr>
        <sz val="11"/>
        <color theme="1"/>
        <rFont val="Calibri"/>
        <family val="2"/>
      </rPr>
      <t>-30</t>
    </r>
    <r>
      <rPr>
        <sz val="11"/>
        <color theme="1"/>
        <rFont val="微軟正黑體"/>
        <family val="2"/>
        <charset val="136"/>
      </rPr>
      <t>個入</t>
    </r>
  </si>
  <si>
    <r>
      <t>M)ARIEL4D</t>
    </r>
    <r>
      <rPr>
        <sz val="11"/>
        <color theme="1"/>
        <rFont val="微軟正黑體"/>
        <family val="2"/>
        <charset val="136"/>
      </rPr>
      <t>抗菌洗衣膠囊抗菌去漬款</t>
    </r>
    <r>
      <rPr>
        <sz val="11"/>
        <color theme="1"/>
        <rFont val="Calibri"/>
        <family val="2"/>
      </rPr>
      <t>-11</t>
    </r>
    <r>
      <rPr>
        <sz val="11"/>
        <color theme="1"/>
        <rFont val="微軟正黑體"/>
        <family val="2"/>
        <charset val="136"/>
      </rPr>
      <t>個入</t>
    </r>
  </si>
  <si>
    <r>
      <t>ARIEL</t>
    </r>
    <r>
      <rPr>
        <sz val="11"/>
        <color theme="1"/>
        <rFont val="微軟正黑體"/>
        <family val="2"/>
        <charset val="136"/>
      </rPr>
      <t>抗菌洗衣精</t>
    </r>
    <r>
      <rPr>
        <sz val="11"/>
        <color theme="1"/>
        <rFont val="Calibri"/>
        <family val="2"/>
      </rPr>
      <t>800g+500g-</t>
    </r>
    <r>
      <rPr>
        <sz val="11"/>
        <color theme="1"/>
        <rFont val="微軟正黑體"/>
        <family val="2"/>
        <charset val="136"/>
      </rPr>
      <t>抗菌去漬</t>
    </r>
  </si>
  <si>
    <r>
      <t>ARIEL</t>
    </r>
    <r>
      <rPr>
        <sz val="11"/>
        <color theme="1"/>
        <rFont val="微軟正黑體"/>
        <family val="2"/>
        <charset val="136"/>
      </rPr>
      <t>抗菌洗衣精</t>
    </r>
    <r>
      <rPr>
        <sz val="11"/>
        <color theme="1"/>
        <rFont val="Calibri"/>
        <family val="2"/>
      </rPr>
      <t>800g</t>
    </r>
    <r>
      <rPr>
        <sz val="11"/>
        <color theme="1"/>
        <rFont val="微軟正黑體"/>
        <family val="2"/>
        <charset val="136"/>
      </rPr>
      <t>瓶裝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室內晾衣</t>
    </r>
  </si>
  <si>
    <r>
      <t>ARIEL</t>
    </r>
    <r>
      <rPr>
        <sz val="11"/>
        <color theme="1"/>
        <rFont val="微軟正黑體"/>
        <family val="2"/>
        <charset val="136"/>
      </rPr>
      <t>抗菌洗衣精</t>
    </r>
    <r>
      <rPr>
        <sz val="11"/>
        <color theme="1"/>
        <rFont val="Calibri"/>
        <family val="2"/>
      </rPr>
      <t>800g</t>
    </r>
    <r>
      <rPr>
        <sz val="11"/>
        <color theme="1"/>
        <rFont val="微軟正黑體"/>
        <family val="2"/>
        <charset val="136"/>
      </rPr>
      <t>瓶裝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自然微香</t>
    </r>
  </si>
  <si>
    <r>
      <t>ARIEL</t>
    </r>
    <r>
      <rPr>
        <sz val="11"/>
        <color theme="1"/>
        <rFont val="微軟正黑體"/>
        <family val="2"/>
        <charset val="136"/>
      </rPr>
      <t>抗菌洗衣精</t>
    </r>
    <r>
      <rPr>
        <sz val="11"/>
        <color theme="1"/>
        <rFont val="Calibri"/>
        <family val="2"/>
      </rPr>
      <t>1690g</t>
    </r>
    <r>
      <rPr>
        <sz val="11"/>
        <color theme="1"/>
        <rFont val="微軟正黑體"/>
        <family val="2"/>
        <charset val="136"/>
      </rPr>
      <t>補充包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抗菌去漬</t>
    </r>
  </si>
  <si>
    <r>
      <t>ARIEL</t>
    </r>
    <r>
      <rPr>
        <sz val="11"/>
        <color theme="1"/>
        <rFont val="微軟正黑體"/>
        <family val="2"/>
        <charset val="136"/>
      </rPr>
      <t>抗菌洗衣精</t>
    </r>
    <r>
      <rPr>
        <sz val="11"/>
        <color theme="1"/>
        <rFont val="Calibri"/>
        <family val="2"/>
      </rPr>
      <t>800g</t>
    </r>
    <r>
      <rPr>
        <sz val="11"/>
        <color theme="1"/>
        <rFont val="微軟正黑體"/>
        <family val="2"/>
        <charset val="136"/>
      </rPr>
      <t>瓶裝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高效除蟎</t>
    </r>
  </si>
  <si>
    <r>
      <t>ARIEL</t>
    </r>
    <r>
      <rPr>
        <sz val="11"/>
        <color theme="1"/>
        <rFont val="微軟正黑體"/>
        <family val="2"/>
        <charset val="136"/>
      </rPr>
      <t>抗菌洗衣精</t>
    </r>
    <r>
      <rPr>
        <sz val="11"/>
        <color theme="1"/>
        <rFont val="Calibri"/>
        <family val="2"/>
      </rPr>
      <t>1690g</t>
    </r>
    <r>
      <rPr>
        <sz val="11"/>
        <color theme="1"/>
        <rFont val="微軟正黑體"/>
        <family val="2"/>
        <charset val="136"/>
      </rPr>
      <t>補充包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自然微香</t>
    </r>
  </si>
  <si>
    <r>
      <t>ARIEL</t>
    </r>
    <r>
      <rPr>
        <sz val="11"/>
        <color theme="1"/>
        <rFont val="微軟正黑體"/>
        <family val="2"/>
        <charset val="136"/>
      </rPr>
      <t>抗菌洗衣精</t>
    </r>
    <r>
      <rPr>
        <sz val="11"/>
        <color theme="1"/>
        <rFont val="Calibri"/>
        <family val="2"/>
      </rPr>
      <t>1690g</t>
    </r>
    <r>
      <rPr>
        <sz val="11"/>
        <color theme="1"/>
        <rFont val="微軟正黑體"/>
        <family val="2"/>
        <charset val="136"/>
      </rPr>
      <t>補充包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高效除蟎</t>
    </r>
  </si>
  <si>
    <r>
      <t>ARIEL</t>
    </r>
    <r>
      <rPr>
        <sz val="11"/>
        <color theme="1"/>
        <rFont val="微軟正黑體"/>
        <family val="2"/>
        <charset val="136"/>
      </rPr>
      <t>抗菌洗衣精</t>
    </r>
    <r>
      <rPr>
        <sz val="11"/>
        <color theme="1"/>
        <rFont val="Calibri"/>
        <family val="2"/>
      </rPr>
      <t>800g</t>
    </r>
    <r>
      <rPr>
        <sz val="11"/>
        <color theme="1"/>
        <rFont val="微軟正黑體"/>
        <family val="2"/>
        <charset val="136"/>
      </rPr>
      <t>瓶裝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抗菌去漬</t>
    </r>
  </si>
  <si>
    <r>
      <t>ARIEL</t>
    </r>
    <r>
      <rPr>
        <sz val="11"/>
        <color theme="1"/>
        <rFont val="微軟正黑體"/>
        <family val="2"/>
        <charset val="136"/>
      </rPr>
      <t>抗菌洗衣精</t>
    </r>
    <r>
      <rPr>
        <sz val="11"/>
        <color theme="1"/>
        <rFont val="Calibri"/>
        <family val="2"/>
      </rPr>
      <t>1690g</t>
    </r>
    <r>
      <rPr>
        <sz val="11"/>
        <color theme="1"/>
        <rFont val="微軟正黑體"/>
        <family val="2"/>
        <charset val="136"/>
      </rPr>
      <t>補充包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室內晾衣</t>
    </r>
  </si>
  <si>
    <r>
      <t>M)ARIEL4D</t>
    </r>
    <r>
      <rPr>
        <sz val="11"/>
        <color theme="1"/>
        <rFont val="微軟正黑體"/>
        <family val="2"/>
        <charset val="136"/>
      </rPr>
      <t>抗菌洗衣膠囊</t>
    </r>
    <r>
      <rPr>
        <sz val="11"/>
        <color theme="1"/>
        <rFont val="Calibri"/>
        <family val="2"/>
      </rPr>
      <t>64</t>
    </r>
    <r>
      <rPr>
        <sz val="11"/>
        <color theme="1"/>
        <rFont val="微軟正黑體"/>
        <family val="2"/>
        <charset val="136"/>
      </rPr>
      <t>顆補充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室內晾衣</t>
    </r>
  </si>
  <si>
    <r>
      <t>M)ARIEL4D</t>
    </r>
    <r>
      <rPr>
        <sz val="11"/>
        <color theme="1"/>
        <rFont val="微軟正黑體"/>
        <family val="2"/>
        <charset val="136"/>
      </rPr>
      <t>抗菌洗衣膠囊</t>
    </r>
    <r>
      <rPr>
        <sz val="11"/>
        <color theme="1"/>
        <rFont val="Calibri"/>
        <family val="2"/>
      </rPr>
      <t>64</t>
    </r>
    <r>
      <rPr>
        <sz val="11"/>
        <color theme="1"/>
        <rFont val="微軟正黑體"/>
        <family val="2"/>
        <charset val="136"/>
      </rPr>
      <t>顆補充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抗菌去漬</t>
    </r>
  </si>
  <si>
    <r>
      <t>M)ARIEL4D</t>
    </r>
    <r>
      <rPr>
        <sz val="11"/>
        <color theme="1"/>
        <rFont val="微軟正黑體"/>
        <family val="2"/>
        <charset val="136"/>
      </rPr>
      <t>抗菌洗衣膠囊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室內晾衣款</t>
    </r>
    <r>
      <rPr>
        <sz val="11"/>
        <color theme="1"/>
        <rFont val="Calibri"/>
        <family val="2"/>
      </rPr>
      <t>11</t>
    </r>
    <r>
      <rPr>
        <sz val="11"/>
        <color theme="1"/>
        <rFont val="微軟正黑體"/>
        <family val="2"/>
        <charset val="136"/>
      </rPr>
      <t>個入</t>
    </r>
  </si>
  <si>
    <r>
      <t>ARIEL</t>
    </r>
    <r>
      <rPr>
        <sz val="11"/>
        <color theme="1"/>
        <rFont val="微軟正黑體"/>
        <family val="2"/>
        <charset val="136"/>
      </rPr>
      <t>抗菌洗衣精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抗菌去漬</t>
    </r>
    <r>
      <rPr>
        <sz val="11"/>
        <color theme="1"/>
        <rFont val="Calibri"/>
        <family val="2"/>
      </rPr>
      <t>)</t>
    </r>
    <r>
      <rPr>
        <sz val="11"/>
        <color theme="1"/>
        <rFont val="微軟正黑體"/>
        <family val="2"/>
        <charset val="136"/>
      </rPr>
      <t>補充包</t>
    </r>
    <r>
      <rPr>
        <sz val="11"/>
        <color theme="1"/>
        <rFont val="Calibri"/>
        <family val="2"/>
      </rPr>
      <t>1690g</t>
    </r>
  </si>
  <si>
    <r>
      <t>ARIEL</t>
    </r>
    <r>
      <rPr>
        <sz val="11"/>
        <color theme="1"/>
        <rFont val="微軟正黑體"/>
        <family val="2"/>
        <charset val="136"/>
      </rPr>
      <t>抗菌洗衣精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室內晾衣</t>
    </r>
    <r>
      <rPr>
        <sz val="11"/>
        <color theme="1"/>
        <rFont val="Calibri"/>
        <family val="2"/>
      </rPr>
      <t>)</t>
    </r>
    <r>
      <rPr>
        <sz val="11"/>
        <color theme="1"/>
        <rFont val="微軟正黑體"/>
        <family val="2"/>
        <charset val="136"/>
      </rPr>
      <t>補充包</t>
    </r>
    <r>
      <rPr>
        <sz val="11"/>
        <color theme="1"/>
        <rFont val="Calibri"/>
        <family val="2"/>
      </rPr>
      <t>1690g</t>
    </r>
  </si>
  <si>
    <r>
      <t>ARIEL</t>
    </r>
    <r>
      <rPr>
        <sz val="11"/>
        <color theme="1"/>
        <rFont val="微軟正黑體"/>
        <family val="2"/>
        <charset val="136"/>
      </rPr>
      <t>抗菌洗衣精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洗衣液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自然微香</t>
    </r>
    <r>
      <rPr>
        <sz val="11"/>
        <color theme="1"/>
        <rFont val="Calibri"/>
        <family val="2"/>
      </rPr>
      <t>)800g</t>
    </r>
  </si>
  <si>
    <r>
      <t>M)ARIEL4D</t>
    </r>
    <r>
      <rPr>
        <sz val="11"/>
        <color theme="1"/>
        <rFont val="微軟正黑體"/>
        <family val="2"/>
        <charset val="136"/>
      </rPr>
      <t>抗菌洗衣膠囊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自然微香款</t>
    </r>
    <r>
      <rPr>
        <sz val="11"/>
        <color theme="1"/>
        <rFont val="Calibri"/>
        <family val="2"/>
      </rPr>
      <t>12</t>
    </r>
    <r>
      <rPr>
        <sz val="11"/>
        <color theme="1"/>
        <rFont val="微軟正黑體"/>
        <family val="2"/>
        <charset val="136"/>
      </rPr>
      <t>個入</t>
    </r>
  </si>
  <si>
    <r>
      <t>M)ARIEL</t>
    </r>
    <r>
      <rPr>
        <sz val="11"/>
        <color theme="1"/>
        <rFont val="微軟正黑體"/>
        <family val="2"/>
        <charset val="136"/>
      </rPr>
      <t>抗菌洗衣膠囊補充包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室內晾衣款</t>
    </r>
    <r>
      <rPr>
        <sz val="11"/>
        <color theme="1"/>
        <rFont val="Calibri"/>
        <family val="2"/>
      </rPr>
      <t>30</t>
    </r>
    <r>
      <rPr>
        <sz val="11"/>
        <color theme="1"/>
        <rFont val="微軟正黑體"/>
        <family val="2"/>
        <charset val="136"/>
      </rPr>
      <t>個</t>
    </r>
  </si>
  <si>
    <r>
      <t>M)ARIEL</t>
    </r>
    <r>
      <rPr>
        <sz val="11"/>
        <color theme="1"/>
        <rFont val="微軟正黑體"/>
        <family val="2"/>
        <charset val="136"/>
      </rPr>
      <t>抗菌洗衣膠囊補充包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抗菌去漬</t>
    </r>
    <r>
      <rPr>
        <sz val="11"/>
        <color theme="1"/>
        <rFont val="Calibri"/>
        <family val="2"/>
      </rPr>
      <t>)30</t>
    </r>
    <r>
      <rPr>
        <sz val="11"/>
        <color theme="1"/>
        <rFont val="微軟正黑體"/>
        <family val="2"/>
        <charset val="136"/>
      </rPr>
      <t>個</t>
    </r>
  </si>
  <si>
    <r>
      <t>ARIEL</t>
    </r>
    <r>
      <rPr>
        <sz val="11"/>
        <color theme="1"/>
        <rFont val="微軟正黑體"/>
        <family val="2"/>
        <charset val="136"/>
      </rPr>
      <t>抗菌洗衣精</t>
    </r>
    <r>
      <rPr>
        <sz val="11"/>
        <color theme="1"/>
        <rFont val="Calibri"/>
        <family val="2"/>
      </rPr>
      <t>800g+500g-</t>
    </r>
    <r>
      <rPr>
        <sz val="11"/>
        <color theme="1"/>
        <rFont val="微軟正黑體"/>
        <family val="2"/>
        <charset val="136"/>
      </rPr>
      <t>抗菌去漬款</t>
    </r>
  </si>
  <si>
    <r>
      <t>ARIEL</t>
    </r>
    <r>
      <rPr>
        <sz val="11"/>
        <color theme="1"/>
        <rFont val="微軟正黑體"/>
        <family val="2"/>
        <charset val="136"/>
      </rPr>
      <t>抗菌洗衣精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高效除蟎</t>
    </r>
    <r>
      <rPr>
        <sz val="11"/>
        <color theme="1"/>
        <rFont val="Calibri"/>
        <family val="2"/>
      </rPr>
      <t>)</t>
    </r>
    <r>
      <rPr>
        <sz val="11"/>
        <color theme="1"/>
        <rFont val="微軟正黑體"/>
        <family val="2"/>
        <charset val="136"/>
      </rPr>
      <t>補充包</t>
    </r>
    <r>
      <rPr>
        <sz val="11"/>
        <color theme="1"/>
        <rFont val="Calibri"/>
        <family val="2"/>
      </rPr>
      <t>1690g</t>
    </r>
  </si>
  <si>
    <r>
      <t>M)ARIEL</t>
    </r>
    <r>
      <rPr>
        <sz val="11"/>
        <color theme="1"/>
        <rFont val="微軟正黑體"/>
        <family val="2"/>
        <charset val="136"/>
      </rPr>
      <t>抗菌洗衣膠囊補充包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自然微香款</t>
    </r>
    <r>
      <rPr>
        <sz val="11"/>
        <color theme="1"/>
        <rFont val="Calibri"/>
        <family val="2"/>
      </rPr>
      <t>30</t>
    </r>
    <r>
      <rPr>
        <sz val="11"/>
        <color theme="1"/>
        <rFont val="微軟正黑體"/>
        <family val="2"/>
        <charset val="136"/>
      </rPr>
      <t>個</t>
    </r>
  </si>
  <si>
    <r>
      <t>M)ARIEL4D</t>
    </r>
    <r>
      <rPr>
        <sz val="11"/>
        <color theme="1"/>
        <rFont val="微軟正黑體"/>
        <family val="2"/>
        <charset val="136"/>
      </rPr>
      <t>抗菌洗衣膠囊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抗菌去漬款</t>
    </r>
    <r>
      <rPr>
        <sz val="11"/>
        <color theme="1"/>
        <rFont val="Calibri"/>
        <family val="2"/>
      </rPr>
      <t>11</t>
    </r>
    <r>
      <rPr>
        <sz val="11"/>
        <color theme="1"/>
        <rFont val="微軟正黑體"/>
        <family val="2"/>
        <charset val="136"/>
      </rPr>
      <t>個入</t>
    </r>
  </si>
  <si>
    <r>
      <t>ARIEL</t>
    </r>
    <r>
      <rPr>
        <sz val="11"/>
        <color theme="1"/>
        <rFont val="微軟正黑體"/>
        <family val="2"/>
        <charset val="136"/>
      </rPr>
      <t>抗菌洗衣精</t>
    </r>
    <r>
      <rPr>
        <sz val="11"/>
        <color theme="1"/>
        <rFont val="Calibri"/>
        <family val="2"/>
      </rPr>
      <t>800g+500g-</t>
    </r>
    <r>
      <rPr>
        <sz val="11"/>
        <color theme="1"/>
        <rFont val="微軟正黑體"/>
        <family val="2"/>
        <charset val="136"/>
      </rPr>
      <t>室內晾衣款</t>
    </r>
  </si>
  <si>
    <r>
      <t>ARIEL</t>
    </r>
    <r>
      <rPr>
        <sz val="11"/>
        <color theme="1"/>
        <rFont val="微軟正黑體"/>
        <family val="2"/>
        <charset val="136"/>
      </rPr>
      <t>抗菌洗衣精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自然微香</t>
    </r>
    <r>
      <rPr>
        <sz val="11"/>
        <color theme="1"/>
        <rFont val="Calibri"/>
        <family val="2"/>
      </rPr>
      <t>)</t>
    </r>
    <r>
      <rPr>
        <sz val="11"/>
        <color theme="1"/>
        <rFont val="微軟正黑體"/>
        <family val="2"/>
        <charset val="136"/>
      </rPr>
      <t>補充包</t>
    </r>
    <r>
      <rPr>
        <sz val="11"/>
        <color theme="1"/>
        <rFont val="Calibri"/>
        <family val="2"/>
      </rPr>
      <t>1690g</t>
    </r>
  </si>
  <si>
    <r>
      <t>ARIEL</t>
    </r>
    <r>
      <rPr>
        <sz val="11"/>
        <color theme="1"/>
        <rFont val="微軟正黑體"/>
        <family val="2"/>
        <charset val="136"/>
      </rPr>
      <t>抗菌洗衣精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洗衣液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室內晾衣</t>
    </r>
    <r>
      <rPr>
        <sz val="11"/>
        <color theme="1"/>
        <rFont val="Calibri"/>
        <family val="2"/>
      </rPr>
      <t>)800g</t>
    </r>
  </si>
  <si>
    <r>
      <t>ARIEL</t>
    </r>
    <r>
      <rPr>
        <sz val="11"/>
        <color theme="1"/>
        <rFont val="微軟正黑體"/>
        <family val="2"/>
        <charset val="136"/>
      </rPr>
      <t>抗菌洗衣精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洗衣液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抗菌去漬</t>
    </r>
    <r>
      <rPr>
        <sz val="11"/>
        <color theme="1"/>
        <rFont val="Calibri"/>
        <family val="2"/>
      </rPr>
      <t>)800g</t>
    </r>
  </si>
  <si>
    <r>
      <t>ARIEL</t>
    </r>
    <r>
      <rPr>
        <sz val="11"/>
        <color theme="1"/>
        <rFont val="微軟正黑體"/>
        <family val="2"/>
        <charset val="136"/>
      </rPr>
      <t>抗菌洗衣精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洗衣液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高效除蟎</t>
    </r>
    <r>
      <rPr>
        <sz val="11"/>
        <color theme="1"/>
        <rFont val="Calibri"/>
        <family val="2"/>
      </rPr>
      <t>)800g</t>
    </r>
  </si>
  <si>
    <r>
      <t>M)BOLD</t>
    </r>
    <r>
      <rPr>
        <sz val="11"/>
        <color theme="1"/>
        <rFont val="微軟正黑體"/>
        <family val="2"/>
        <charset val="136"/>
      </rPr>
      <t>日本四合一洗衣膠囊</t>
    </r>
    <r>
      <rPr>
        <sz val="11"/>
        <color theme="1"/>
        <rFont val="Calibri"/>
        <family val="2"/>
      </rPr>
      <t>64</t>
    </r>
    <r>
      <rPr>
        <sz val="11"/>
        <color theme="1"/>
        <rFont val="微軟正黑體"/>
        <family val="2"/>
        <charset val="136"/>
      </rPr>
      <t>顆袋裝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淡雅花香</t>
    </r>
  </si>
  <si>
    <r>
      <t>M)BOLD</t>
    </r>
    <r>
      <rPr>
        <sz val="11"/>
        <color theme="1"/>
        <rFont val="微軟正黑體"/>
        <family val="2"/>
        <charset val="136"/>
      </rPr>
      <t>日本進口四合一洗衣膠囊</t>
    </r>
    <r>
      <rPr>
        <sz val="11"/>
        <color theme="1"/>
        <rFont val="Calibri"/>
        <family val="2"/>
      </rPr>
      <t>53</t>
    </r>
    <r>
      <rPr>
        <sz val="11"/>
        <color theme="1"/>
        <rFont val="微軟正黑體"/>
        <family val="2"/>
        <charset val="136"/>
      </rPr>
      <t>入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淡雅花香</t>
    </r>
  </si>
  <si>
    <r>
      <t>M)BOLD</t>
    </r>
    <r>
      <rPr>
        <sz val="11"/>
        <color theme="1"/>
        <rFont val="微軟正黑體"/>
        <family val="2"/>
        <charset val="136"/>
      </rPr>
      <t>日本進口四合一洗衣膠囊</t>
    </r>
    <r>
      <rPr>
        <sz val="11"/>
        <color theme="1"/>
        <rFont val="Calibri"/>
        <family val="2"/>
      </rPr>
      <t>53</t>
    </r>
    <r>
      <rPr>
        <sz val="11"/>
        <color theme="1"/>
        <rFont val="微軟正黑體"/>
        <family val="2"/>
        <charset val="136"/>
      </rPr>
      <t>入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清淨花香</t>
    </r>
  </si>
  <si>
    <r>
      <t>M)BOLD</t>
    </r>
    <r>
      <rPr>
        <sz val="11"/>
        <color theme="1"/>
        <rFont val="微軟正黑體"/>
        <family val="2"/>
        <charset val="136"/>
      </rPr>
      <t>日本進口四合一洗衣膠囊</t>
    </r>
    <r>
      <rPr>
        <sz val="11"/>
        <color theme="1"/>
        <rFont val="Calibri"/>
        <family val="2"/>
      </rPr>
      <t>48</t>
    </r>
    <r>
      <rPr>
        <sz val="11"/>
        <color theme="1"/>
        <rFont val="微軟正黑體"/>
        <family val="2"/>
        <charset val="136"/>
      </rPr>
      <t>入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淡雅花香</t>
    </r>
  </si>
  <si>
    <r>
      <t>M)BOLD</t>
    </r>
    <r>
      <rPr>
        <sz val="11"/>
        <color theme="1"/>
        <rFont val="微軟正黑體"/>
        <family val="2"/>
        <charset val="136"/>
      </rPr>
      <t>日本進口四合一洗衣膠囊</t>
    </r>
    <r>
      <rPr>
        <sz val="11"/>
        <color theme="1"/>
        <rFont val="Calibri"/>
        <family val="2"/>
      </rPr>
      <t>48</t>
    </r>
    <r>
      <rPr>
        <sz val="11"/>
        <color theme="1"/>
        <rFont val="微軟正黑體"/>
        <family val="2"/>
        <charset val="136"/>
      </rPr>
      <t>入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清淨花香</t>
    </r>
  </si>
  <si>
    <r>
      <t>M)BOLD</t>
    </r>
    <r>
      <rPr>
        <sz val="11"/>
        <color theme="1"/>
        <rFont val="微軟正黑體"/>
        <family val="2"/>
        <charset val="136"/>
      </rPr>
      <t>日本進口四合一洗衣膠囊淡雅花香</t>
    </r>
    <r>
      <rPr>
        <sz val="11"/>
        <color theme="1"/>
        <rFont val="Calibri"/>
        <family val="2"/>
      </rPr>
      <t>-31</t>
    </r>
    <r>
      <rPr>
        <sz val="11"/>
        <color theme="1"/>
        <rFont val="微軟正黑體"/>
        <family val="2"/>
        <charset val="136"/>
      </rPr>
      <t>個</t>
    </r>
  </si>
  <si>
    <r>
      <t>M)BOLD</t>
    </r>
    <r>
      <rPr>
        <sz val="11"/>
        <color theme="1"/>
        <rFont val="微軟正黑體"/>
        <family val="2"/>
        <charset val="136"/>
      </rPr>
      <t>日本進口四合一洗衣膠囊清淨花香</t>
    </r>
    <r>
      <rPr>
        <sz val="11"/>
        <color theme="1"/>
        <rFont val="Calibri"/>
        <family val="2"/>
      </rPr>
      <t>-31</t>
    </r>
    <r>
      <rPr>
        <sz val="11"/>
        <color theme="1"/>
        <rFont val="微軟正黑體"/>
        <family val="2"/>
        <charset val="136"/>
      </rPr>
      <t>個</t>
    </r>
  </si>
  <si>
    <r>
      <rPr>
        <sz val="11"/>
        <color theme="1"/>
        <rFont val="微軟正黑體"/>
        <family val="2"/>
        <charset val="136"/>
      </rPr>
      <t>蘭諾衣物芳香豆青檸紫羅蘭</t>
    </r>
    <r>
      <rPr>
        <sz val="11"/>
        <color theme="1"/>
        <rFont val="Calibri"/>
        <family val="2"/>
      </rPr>
      <t>40ML</t>
    </r>
  </si>
  <si>
    <r>
      <rPr>
        <sz val="11"/>
        <color theme="1"/>
        <rFont val="微軟正黑體"/>
        <family val="2"/>
        <charset val="136"/>
      </rPr>
      <t>蘭諾衣物芳香豆晨曦玫瑰</t>
    </r>
    <r>
      <rPr>
        <sz val="11"/>
        <color theme="1"/>
        <rFont val="Calibri"/>
        <family val="2"/>
      </rPr>
      <t>40ML</t>
    </r>
  </si>
  <si>
    <r>
      <t>Lenor</t>
    </r>
    <r>
      <rPr>
        <sz val="11"/>
        <color theme="1"/>
        <rFont val="微軟正黑體"/>
        <family val="2"/>
        <charset val="136"/>
      </rPr>
      <t>衣物芳香豆晨曦玫瑰</t>
    </r>
    <r>
      <rPr>
        <sz val="11"/>
        <color theme="1"/>
        <rFont val="Calibri"/>
        <family val="2"/>
      </rPr>
      <t>40ml</t>
    </r>
  </si>
  <si>
    <r>
      <t>Lenor</t>
    </r>
    <r>
      <rPr>
        <sz val="11"/>
        <color theme="1"/>
        <rFont val="微軟正黑體"/>
        <family val="2"/>
        <charset val="136"/>
      </rPr>
      <t>蘭諾衣物芳香豆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清晨草木</t>
    </r>
    <r>
      <rPr>
        <sz val="11"/>
        <color theme="1"/>
        <rFont val="Calibri"/>
        <family val="2"/>
      </rPr>
      <t>)40ml</t>
    </r>
  </si>
  <si>
    <r>
      <t>Lenor</t>
    </r>
    <r>
      <rPr>
        <sz val="11"/>
        <color theme="1"/>
        <rFont val="微軟正黑體"/>
        <family val="2"/>
        <charset val="136"/>
      </rPr>
      <t>蘭諾衣物芳香豆甜花石榴香</t>
    </r>
    <r>
      <rPr>
        <sz val="11"/>
        <color theme="1"/>
        <rFont val="Calibri"/>
        <family val="2"/>
      </rPr>
      <t>40ml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</si>
  <si>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衣物柔軟芳香豆薔葳鈴蘭</t>
    </r>
    <r>
      <rPr>
        <sz val="11"/>
        <color theme="1"/>
        <rFont val="Calibri"/>
        <family val="2"/>
      </rPr>
      <t>360ML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</si>
  <si>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衣物芳香豆馥郁野莓</t>
    </r>
    <r>
      <rPr>
        <sz val="11"/>
        <color theme="1"/>
        <rFont val="Calibri"/>
        <family val="2"/>
      </rPr>
      <t>520ML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</si>
  <si>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衣物柔軟芳香豆薰衣草花束</t>
    </r>
    <r>
      <rPr>
        <sz val="11"/>
        <color theme="1"/>
        <rFont val="Calibri"/>
        <family val="2"/>
      </rPr>
      <t>360ML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</si>
  <si>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衣物芳香豆青蘋甜麝香</t>
    </r>
    <r>
      <rPr>
        <sz val="11"/>
        <color theme="1"/>
        <rFont val="Calibri"/>
        <family val="2"/>
      </rPr>
      <t>520ML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</si>
  <si>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衣物芳香豆甜花石榴香</t>
    </r>
    <r>
      <rPr>
        <sz val="11"/>
        <color theme="1"/>
        <rFont val="Calibri"/>
        <family val="2"/>
      </rPr>
      <t>520ML</t>
    </r>
  </si>
  <si>
    <r>
      <t>Lenor</t>
    </r>
    <r>
      <rPr>
        <sz val="11"/>
        <color theme="1"/>
        <rFont val="微軟正黑體"/>
        <family val="2"/>
        <charset val="136"/>
      </rPr>
      <t>蘭諾芳香豆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玫瑰</t>
    </r>
    <r>
      <rPr>
        <sz val="11"/>
        <color theme="1"/>
        <rFont val="Calibri"/>
        <family val="2"/>
      </rPr>
      <t>)520ML+455ML</t>
    </r>
  </si>
  <si>
    <r>
      <t>Lenor</t>
    </r>
    <r>
      <rPr>
        <sz val="11"/>
        <color theme="1"/>
        <rFont val="微軟正黑體"/>
        <family val="2"/>
        <charset val="136"/>
      </rPr>
      <t>蘭諾芳香豆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草木</t>
    </r>
    <r>
      <rPr>
        <sz val="11"/>
        <color theme="1"/>
        <rFont val="Calibri"/>
        <family val="2"/>
      </rPr>
      <t>)520ML+455ML</t>
    </r>
  </si>
  <si>
    <r>
      <t>LENOR</t>
    </r>
    <r>
      <rPr>
        <sz val="11"/>
        <color theme="1"/>
        <rFont val="微軟正黑體"/>
        <family val="2"/>
        <charset val="136"/>
      </rPr>
      <t>衣物芳香豆甜花石榴</t>
    </r>
    <r>
      <rPr>
        <sz val="11"/>
        <color theme="1"/>
        <rFont val="Calibri"/>
        <family val="2"/>
      </rPr>
      <t>520ML+455ML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</si>
  <si>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衣物芳香豆清晨草木</t>
    </r>
    <r>
      <rPr>
        <sz val="11"/>
        <color theme="1"/>
        <rFont val="Calibri"/>
        <family val="2"/>
      </rPr>
      <t>180ML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</si>
  <si>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衣物芳香豆晨曦玫瑰</t>
    </r>
    <r>
      <rPr>
        <sz val="11"/>
        <color theme="1"/>
        <rFont val="Calibri"/>
        <family val="2"/>
      </rPr>
      <t>180ML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</si>
  <si>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衣物芳香豆甜柔麝香</t>
    </r>
    <r>
      <rPr>
        <sz val="11"/>
        <color theme="1"/>
        <rFont val="Calibri"/>
        <family val="2"/>
      </rPr>
      <t>180ML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</si>
  <si>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衣物柔軟芳香豆薔葳鈴蘭</t>
    </r>
    <r>
      <rPr>
        <sz val="11"/>
        <color theme="1"/>
        <rFont val="Calibri"/>
        <family val="2"/>
      </rPr>
      <t>110ML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</si>
  <si>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 xml:space="preserve">Lenor </t>
    </r>
    <r>
      <rPr>
        <sz val="11"/>
        <color theme="1"/>
        <rFont val="微軟正黑體"/>
        <family val="2"/>
        <charset val="136"/>
      </rPr>
      <t>衣物柔軟芳香豆梔子蒼蘭</t>
    </r>
    <r>
      <rPr>
        <sz val="11"/>
        <color theme="1"/>
        <rFont val="Calibri"/>
        <family val="2"/>
      </rPr>
      <t>330ml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</si>
  <si>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 xml:space="preserve">Lenor </t>
    </r>
    <r>
      <rPr>
        <sz val="11"/>
        <color theme="1"/>
        <rFont val="微軟正黑體"/>
        <family val="2"/>
        <charset val="136"/>
      </rPr>
      <t>衣物柔軟芳香豆薔葳鈴蘭</t>
    </r>
    <r>
      <rPr>
        <sz val="11"/>
        <color theme="1"/>
        <rFont val="Calibri"/>
        <family val="2"/>
      </rPr>
      <t>330ml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</si>
  <si>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衣物柔軟芳香豆薰衣草花束</t>
    </r>
    <r>
      <rPr>
        <sz val="11"/>
        <color theme="1"/>
        <rFont val="Calibri"/>
        <family val="2"/>
      </rPr>
      <t>330ML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</si>
  <si>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衣物芳香豆青蘋甜麝香</t>
    </r>
    <r>
      <rPr>
        <sz val="11"/>
        <color theme="1"/>
        <rFont val="Calibri"/>
        <family val="2"/>
      </rPr>
      <t>455ML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</si>
  <si>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衣物芳香豆清晨草木</t>
    </r>
    <r>
      <rPr>
        <sz val="11"/>
        <color theme="1"/>
        <rFont val="Calibri"/>
        <family val="2"/>
      </rPr>
      <t>455ML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</si>
  <si>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衣物芳香豆馥郁野莓</t>
    </r>
    <r>
      <rPr>
        <sz val="11"/>
        <color theme="1"/>
        <rFont val="Calibri"/>
        <family val="2"/>
      </rPr>
      <t>455ML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</si>
  <si>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衣物芳香豆晨曦玫瑰</t>
    </r>
    <r>
      <rPr>
        <sz val="11"/>
        <color theme="1"/>
        <rFont val="Calibri"/>
        <family val="2"/>
      </rPr>
      <t>455ML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</si>
  <si>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衣物芳香豆甜花石榴香</t>
    </r>
    <r>
      <rPr>
        <sz val="11"/>
        <color theme="1"/>
        <rFont val="Calibri"/>
        <family val="2"/>
      </rPr>
      <t>455ML</t>
    </r>
  </si>
  <si>
    <r>
      <rPr>
        <sz val="11"/>
        <color theme="1"/>
        <rFont val="微軟正黑體"/>
        <family val="2"/>
        <charset val="136"/>
      </rPr>
      <t>蘭諾衣物芳香豆青檸紫羅蘭</t>
    </r>
    <r>
      <rPr>
        <sz val="11"/>
        <color theme="1"/>
        <rFont val="Calibri"/>
        <family val="2"/>
      </rPr>
      <t>455ML</t>
    </r>
  </si>
  <si>
    <r>
      <rPr>
        <sz val="11"/>
        <color theme="1"/>
        <rFont val="微軟正黑體"/>
        <family val="2"/>
        <charset val="136"/>
      </rPr>
      <t>蘭諾衣物芳香豆甜柔麝香</t>
    </r>
    <r>
      <rPr>
        <sz val="11"/>
        <color theme="1"/>
        <rFont val="Calibri"/>
        <family val="2"/>
      </rPr>
      <t>455ML</t>
    </r>
  </si>
  <si>
    <r>
      <t>Lenor</t>
    </r>
    <r>
      <rPr>
        <sz val="11"/>
        <color theme="1"/>
        <rFont val="微軟正黑體"/>
        <family val="2"/>
        <charset val="136"/>
      </rPr>
      <t>衣物芳香豆晨曦玫瑰</t>
    </r>
    <r>
      <rPr>
        <sz val="11"/>
        <color theme="1"/>
        <rFont val="Calibri"/>
        <family val="2"/>
      </rPr>
      <t>520ml</t>
    </r>
  </si>
  <si>
    <r>
      <t>Lenor</t>
    </r>
    <r>
      <rPr>
        <sz val="11"/>
        <color theme="1"/>
        <rFont val="微軟正黑體"/>
        <family val="2"/>
        <charset val="136"/>
      </rPr>
      <t>衣物芳香豆清晨草木</t>
    </r>
    <r>
      <rPr>
        <sz val="11"/>
        <color theme="1"/>
        <rFont val="Calibri"/>
        <family val="2"/>
      </rPr>
      <t>520ml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</si>
  <si>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衣物柔軟芳香豆梔子蒼蘭</t>
    </r>
    <r>
      <rPr>
        <sz val="11"/>
        <color theme="1"/>
        <rFont val="Calibri"/>
        <family val="2"/>
      </rPr>
      <t>360ML</t>
    </r>
  </si>
  <si>
    <r>
      <rPr>
        <sz val="11"/>
        <color theme="1"/>
        <rFont val="微軟正黑體"/>
        <family val="2"/>
        <charset val="136"/>
      </rPr>
      <t>蘭諾衣物芳香豆青檸紫羅蘭</t>
    </r>
    <r>
      <rPr>
        <sz val="11"/>
        <color theme="1"/>
        <rFont val="Calibri"/>
        <family val="2"/>
      </rPr>
      <t>520ML</t>
    </r>
  </si>
  <si>
    <r>
      <rPr>
        <sz val="11"/>
        <color theme="1"/>
        <rFont val="微軟正黑體"/>
        <family val="2"/>
        <charset val="136"/>
      </rPr>
      <t>蘭諾衣物芳香豆甜柔麝香</t>
    </r>
    <r>
      <rPr>
        <sz val="11"/>
        <color theme="1"/>
        <rFont val="Calibri"/>
        <family val="2"/>
      </rPr>
      <t>520ML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</si>
  <si>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衣物芳香豆春暖晨露</t>
    </r>
    <r>
      <rPr>
        <sz val="11"/>
        <color theme="1"/>
        <rFont val="Calibri"/>
        <family val="2"/>
      </rPr>
      <t>455ML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</si>
  <si>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衣物芳香豆春暖晨露</t>
    </r>
    <r>
      <rPr>
        <sz val="11"/>
        <color theme="1"/>
        <rFont val="Calibri"/>
        <family val="2"/>
      </rPr>
      <t>470ML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</si>
  <si>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衣物芳香豆淨白純棉</t>
    </r>
    <r>
      <rPr>
        <sz val="11"/>
        <color theme="1"/>
        <rFont val="Calibri"/>
        <family val="2"/>
      </rPr>
      <t>470ML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</si>
  <si>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衣物芳香豆淨白純棉</t>
    </r>
    <r>
      <rPr>
        <sz val="11"/>
        <color theme="1"/>
        <rFont val="Calibri"/>
        <family val="2"/>
      </rPr>
      <t>455ML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</si>
  <si>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衣物芳香豆春暖晨露</t>
    </r>
    <r>
      <rPr>
        <sz val="11"/>
        <color theme="1"/>
        <rFont val="Calibri"/>
        <family val="2"/>
      </rPr>
      <t>40ML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</si>
  <si>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衣物芳香豆淨白純棉</t>
    </r>
    <r>
      <rPr>
        <sz val="11"/>
        <color theme="1"/>
        <rFont val="Calibri"/>
        <family val="2"/>
      </rPr>
      <t>180ML</t>
    </r>
  </si>
  <si>
    <r>
      <rPr>
        <sz val="11"/>
        <color theme="1"/>
        <rFont val="微軟正黑體"/>
        <family val="2"/>
        <charset val="136"/>
      </rPr>
      <t>蘭諾衣物抗菌芳香豆清爽海洋香</t>
    </r>
    <r>
      <rPr>
        <sz val="11"/>
        <color theme="1"/>
        <rFont val="Calibri"/>
        <family val="2"/>
      </rPr>
      <t>40ml</t>
    </r>
  </si>
  <si>
    <r>
      <rPr>
        <sz val="11"/>
        <color theme="1"/>
        <rFont val="微軟正黑體"/>
        <family val="2"/>
        <charset val="136"/>
      </rPr>
      <t>蘭諾衣物抗菌芳香豆陽光森林香</t>
    </r>
    <r>
      <rPr>
        <sz val="11"/>
        <color theme="1"/>
        <rFont val="Calibri"/>
        <family val="2"/>
      </rPr>
      <t>430ml</t>
    </r>
  </si>
  <si>
    <r>
      <rPr>
        <sz val="11"/>
        <color theme="1"/>
        <rFont val="微軟正黑體"/>
        <family val="2"/>
        <charset val="136"/>
      </rPr>
      <t>蘭諾衣物抗菌芳香豆陽光森林香</t>
    </r>
    <r>
      <rPr>
        <sz val="11"/>
        <color theme="1"/>
        <rFont val="Calibri"/>
        <family val="2"/>
      </rPr>
      <t>490ml</t>
    </r>
  </si>
  <si>
    <r>
      <rPr>
        <sz val="11"/>
        <color theme="1"/>
        <rFont val="微軟正黑體"/>
        <family val="2"/>
        <charset val="136"/>
      </rPr>
      <t>蘭諾衣物抗菌芳香豆清爽海洋香</t>
    </r>
    <r>
      <rPr>
        <sz val="11"/>
        <color theme="1"/>
        <rFont val="Calibri"/>
        <family val="2"/>
      </rPr>
      <t>490ml</t>
    </r>
  </si>
  <si>
    <r>
      <rPr>
        <sz val="11"/>
        <color theme="1"/>
        <rFont val="微軟正黑體"/>
        <family val="2"/>
        <charset val="136"/>
      </rPr>
      <t>蘭諾衣物抗菌芳香豆清爽海洋香</t>
    </r>
    <r>
      <rPr>
        <sz val="11"/>
        <color theme="1"/>
        <rFont val="Calibri"/>
        <family val="2"/>
      </rPr>
      <t>430ml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</si>
  <si>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衣物抗菌芳香豆運動衣物抗臭</t>
    </r>
    <r>
      <rPr>
        <sz val="11"/>
        <color theme="1"/>
        <rFont val="Calibri"/>
        <family val="2"/>
      </rPr>
      <t>440ML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</si>
  <si>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衣物芳香豆甜花石榴香</t>
    </r>
    <r>
      <rPr>
        <sz val="11"/>
        <color theme="1"/>
        <rFont val="Calibri"/>
        <family val="2"/>
      </rPr>
      <t>440ML(</t>
    </r>
    <r>
      <rPr>
        <sz val="11"/>
        <color theme="1"/>
        <rFont val="微軟正黑體"/>
        <family val="2"/>
        <charset val="136"/>
      </rPr>
      <t>補充包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</si>
  <si>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衣物芳香豆雪松梔子花</t>
    </r>
    <r>
      <rPr>
        <sz val="11"/>
        <color theme="1"/>
        <rFont val="Calibri"/>
        <family val="2"/>
      </rPr>
      <t>440ML(</t>
    </r>
    <r>
      <rPr>
        <sz val="11"/>
        <color theme="1"/>
        <rFont val="微軟正黑體"/>
        <family val="2"/>
        <charset val="136"/>
      </rPr>
      <t>補充包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</si>
  <si>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衣物芳香豆雪松梔子花</t>
    </r>
    <r>
      <rPr>
        <sz val="11"/>
        <color theme="1"/>
        <rFont val="Calibri"/>
        <family val="2"/>
      </rPr>
      <t>450ML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</si>
  <si>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衣物芳香豆甜柔麝香</t>
    </r>
    <r>
      <rPr>
        <sz val="11"/>
        <color theme="1"/>
        <rFont val="Calibri"/>
        <family val="2"/>
      </rPr>
      <t>450ML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</si>
  <si>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衣物芳香豆淨白純棉</t>
    </r>
    <r>
      <rPr>
        <sz val="11"/>
        <color theme="1"/>
        <rFont val="Calibri"/>
        <family val="2"/>
      </rPr>
      <t>260ML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</si>
  <si>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衣物芳香豆青檸紫羅蘭</t>
    </r>
    <r>
      <rPr>
        <sz val="11"/>
        <color theme="1"/>
        <rFont val="Calibri"/>
        <family val="2"/>
      </rPr>
      <t>440ML(</t>
    </r>
    <r>
      <rPr>
        <sz val="11"/>
        <color theme="1"/>
        <rFont val="微軟正黑體"/>
        <family val="2"/>
        <charset val="136"/>
      </rPr>
      <t>補充包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</si>
  <si>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衣物抗菌芳香豆潮濕天氣抗臭</t>
    </r>
    <r>
      <rPr>
        <sz val="11"/>
        <color theme="1"/>
        <rFont val="Calibri"/>
        <family val="2"/>
      </rPr>
      <t>440ML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</si>
  <si>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衣物芳香豆甜花石榴香</t>
    </r>
    <r>
      <rPr>
        <sz val="11"/>
        <color theme="1"/>
        <rFont val="Calibri"/>
        <family val="2"/>
      </rPr>
      <t>450ML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</si>
  <si>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衣物抗菌芳香豆潮濕天氣抗臭</t>
    </r>
    <r>
      <rPr>
        <sz val="11"/>
        <color theme="1"/>
        <rFont val="Calibri"/>
        <family val="2"/>
      </rPr>
      <t>430ML(</t>
    </r>
    <r>
      <rPr>
        <sz val="11"/>
        <color theme="1"/>
        <rFont val="微軟正黑體"/>
        <family val="2"/>
        <charset val="136"/>
      </rPr>
      <t>補充包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</si>
  <si>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衣物芳香豆清晨草木</t>
    </r>
    <r>
      <rPr>
        <sz val="11"/>
        <color theme="1"/>
        <rFont val="Calibri"/>
        <family val="2"/>
      </rPr>
      <t>450ML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</si>
  <si>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衣物芳香豆青檸紫羅蘭</t>
    </r>
    <r>
      <rPr>
        <sz val="11"/>
        <color theme="1"/>
        <rFont val="Calibri"/>
        <family val="2"/>
      </rPr>
      <t>450ML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</si>
  <si>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衣物芳香豆清晨草木</t>
    </r>
    <r>
      <rPr>
        <sz val="11"/>
        <color theme="1"/>
        <rFont val="Calibri"/>
        <family val="2"/>
      </rPr>
      <t>440ML(</t>
    </r>
    <r>
      <rPr>
        <sz val="11"/>
        <color theme="1"/>
        <rFont val="微軟正黑體"/>
        <family val="2"/>
        <charset val="136"/>
      </rPr>
      <t>補充包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</si>
  <si>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衣物芳香豆雪松梔子花</t>
    </r>
    <r>
      <rPr>
        <sz val="11"/>
        <color theme="1"/>
        <rFont val="Calibri"/>
        <family val="2"/>
      </rPr>
      <t>260ML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</si>
  <si>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衣物抗菌芳香豆運動衣物抗臭</t>
    </r>
    <r>
      <rPr>
        <sz val="11"/>
        <color theme="1"/>
        <rFont val="Calibri"/>
        <family val="2"/>
      </rPr>
      <t>430ML(</t>
    </r>
    <r>
      <rPr>
        <sz val="11"/>
        <color theme="1"/>
        <rFont val="微軟正黑體"/>
        <family val="2"/>
        <charset val="136"/>
      </rPr>
      <t>補充包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</si>
  <si>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微軟正黑體"/>
        <family val="2"/>
        <charset val="136"/>
      </rPr>
      <t>蘭諾</t>
    </r>
    <r>
      <rPr>
        <sz val="11"/>
        <color theme="1"/>
        <rFont val="Calibri"/>
        <family val="2"/>
      </rPr>
      <t>Lenor</t>
    </r>
    <r>
      <rPr>
        <sz val="11"/>
        <color theme="1"/>
        <rFont val="微軟正黑體"/>
        <family val="2"/>
        <charset val="136"/>
      </rPr>
      <t>衣物芳香豆甜柔麝香</t>
    </r>
    <r>
      <rPr>
        <sz val="11"/>
        <color theme="1"/>
        <rFont val="Calibri"/>
        <family val="2"/>
      </rPr>
      <t>440ML(</t>
    </r>
    <r>
      <rPr>
        <sz val="11"/>
        <color theme="1"/>
        <rFont val="微軟正黑體"/>
        <family val="2"/>
        <charset val="136"/>
      </rPr>
      <t>補充包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</si>
  <si>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微軟正黑體"/>
        <family val="2"/>
        <charset val="136"/>
      </rPr>
      <t>風倍清織物除菌消臭噴霧</t>
    </r>
    <r>
      <rPr>
        <sz val="11"/>
        <color theme="1"/>
        <rFont val="Calibri"/>
        <family val="2"/>
      </rPr>
      <t>320ML(</t>
    </r>
    <r>
      <rPr>
        <sz val="11"/>
        <color theme="1"/>
        <rFont val="微軟正黑體"/>
        <family val="2"/>
        <charset val="136"/>
      </rPr>
      <t>高效除菌</t>
    </r>
    <r>
      <rPr>
        <sz val="11"/>
        <color theme="1"/>
        <rFont val="Calibri"/>
        <family val="2"/>
      </rPr>
      <t>)(</t>
    </r>
    <r>
      <rPr>
        <sz val="11"/>
        <color theme="1"/>
        <rFont val="微軟正黑體"/>
        <family val="2"/>
        <charset val="136"/>
      </rPr>
      <t>補充包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</si>
  <si>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微軟正黑體"/>
        <family val="2"/>
        <charset val="136"/>
      </rPr>
      <t>風倍清織物除菌消臭噴霧</t>
    </r>
    <r>
      <rPr>
        <sz val="11"/>
        <color theme="1"/>
        <rFont val="Calibri"/>
        <family val="2"/>
      </rPr>
      <t>320ML(</t>
    </r>
    <r>
      <rPr>
        <sz val="11"/>
        <color theme="1"/>
        <rFont val="微軟正黑體"/>
        <family val="2"/>
        <charset val="136"/>
      </rPr>
      <t>綠茶清香</t>
    </r>
    <r>
      <rPr>
        <sz val="11"/>
        <color theme="1"/>
        <rFont val="Calibri"/>
        <family val="2"/>
      </rPr>
      <t>)(</t>
    </r>
    <r>
      <rPr>
        <sz val="11"/>
        <color theme="1"/>
        <rFont val="微軟正黑體"/>
        <family val="2"/>
        <charset val="136"/>
      </rPr>
      <t>補充包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</si>
  <si>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微軟正黑體"/>
        <family val="2"/>
        <charset val="136"/>
      </rPr>
      <t>風倍清織物除菌消臭噴霧</t>
    </r>
    <r>
      <rPr>
        <sz val="11"/>
        <color theme="1"/>
        <rFont val="Calibri"/>
        <family val="2"/>
      </rPr>
      <t>320ML(</t>
    </r>
    <r>
      <rPr>
        <sz val="11"/>
        <color theme="1"/>
        <rFont val="微軟正黑體"/>
        <family val="2"/>
        <charset val="136"/>
      </rPr>
      <t>無香型</t>
    </r>
    <r>
      <rPr>
        <sz val="11"/>
        <color theme="1"/>
        <rFont val="Calibri"/>
        <family val="2"/>
      </rPr>
      <t>)(</t>
    </r>
    <r>
      <rPr>
        <sz val="11"/>
        <color theme="1"/>
        <rFont val="微軟正黑體"/>
        <family val="2"/>
        <charset val="136"/>
      </rPr>
      <t>補充包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</si>
  <si>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微軟正黑體"/>
        <family val="2"/>
        <charset val="136"/>
      </rPr>
      <t>風倍清織物除菌消臭噴霧</t>
    </r>
    <r>
      <rPr>
        <sz val="11"/>
        <color theme="1"/>
        <rFont val="Calibri"/>
        <family val="2"/>
      </rPr>
      <t>320ML(</t>
    </r>
    <r>
      <rPr>
        <sz val="11"/>
        <color theme="1"/>
        <rFont val="微軟正黑體"/>
        <family val="2"/>
        <charset val="136"/>
      </rPr>
      <t>無香酒精</t>
    </r>
    <r>
      <rPr>
        <sz val="11"/>
        <color theme="1"/>
        <rFont val="Calibri"/>
        <family val="2"/>
      </rPr>
      <t>+)(</t>
    </r>
    <r>
      <rPr>
        <sz val="11"/>
        <color theme="1"/>
        <rFont val="微軟正黑體"/>
        <family val="2"/>
        <charset val="136"/>
      </rPr>
      <t>補充包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</si>
  <si>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微軟正黑體"/>
        <family val="2"/>
        <charset val="136"/>
      </rPr>
      <t>風倍清織物除菌消臭噴霧</t>
    </r>
    <r>
      <rPr>
        <sz val="11"/>
        <color theme="1"/>
        <rFont val="Calibri"/>
        <family val="2"/>
      </rPr>
      <t>370ML(</t>
    </r>
    <r>
      <rPr>
        <sz val="11"/>
        <color theme="1"/>
        <rFont val="微軟正黑體"/>
        <family val="2"/>
        <charset val="136"/>
      </rPr>
      <t>高效除菌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</si>
  <si>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微軟正黑體"/>
        <family val="2"/>
        <charset val="136"/>
      </rPr>
      <t>風倍清織物除菌消臭噴霧</t>
    </r>
    <r>
      <rPr>
        <sz val="11"/>
        <color theme="1"/>
        <rFont val="Calibri"/>
        <family val="2"/>
      </rPr>
      <t>370ML(</t>
    </r>
    <r>
      <rPr>
        <sz val="11"/>
        <color theme="1"/>
        <rFont val="微軟正黑體"/>
        <family val="2"/>
        <charset val="136"/>
      </rPr>
      <t>綠茶清香型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</si>
  <si>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微軟正黑體"/>
        <family val="2"/>
        <charset val="136"/>
      </rPr>
      <t>風倍清織物除菌消臭噴霧</t>
    </r>
    <r>
      <rPr>
        <sz val="11"/>
        <color theme="1"/>
        <rFont val="Calibri"/>
        <family val="2"/>
      </rPr>
      <t>370ML(</t>
    </r>
    <r>
      <rPr>
        <sz val="11"/>
        <color theme="1"/>
        <rFont val="微軟正黑體"/>
        <family val="2"/>
        <charset val="136"/>
      </rPr>
      <t>無香型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</si>
  <si>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微軟正黑體"/>
        <family val="2"/>
        <charset val="136"/>
      </rPr>
      <t>風倍清織物除菌消臭噴霧</t>
    </r>
    <r>
      <rPr>
        <sz val="11"/>
        <color theme="1"/>
        <rFont val="Calibri"/>
        <family val="2"/>
      </rPr>
      <t>370ML(</t>
    </r>
    <r>
      <rPr>
        <sz val="11"/>
        <color theme="1"/>
        <rFont val="微軟正黑體"/>
        <family val="2"/>
        <charset val="136"/>
      </rPr>
      <t>無香酒精</t>
    </r>
    <r>
      <rPr>
        <sz val="11"/>
        <color theme="1"/>
        <rFont val="Calibri"/>
        <family val="2"/>
      </rPr>
      <t>+)</t>
    </r>
  </si>
  <si>
    <r>
      <t>(M)</t>
    </r>
    <r>
      <rPr>
        <sz val="11"/>
        <color theme="1"/>
        <rFont val="微軟正黑體"/>
        <family val="2"/>
        <charset val="136"/>
      </rPr>
      <t>風倍清織物除菌消臭噴霧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高效除菌</t>
    </r>
    <r>
      <rPr>
        <sz val="11"/>
        <color theme="1"/>
        <rFont val="Calibri"/>
        <family val="2"/>
      </rPr>
      <t>)</t>
    </r>
    <r>
      <rPr>
        <sz val="11"/>
        <color theme="1"/>
        <rFont val="微軟正黑體"/>
        <family val="2"/>
        <charset val="136"/>
      </rPr>
      <t>期間限定組</t>
    </r>
  </si>
  <si>
    <r>
      <rPr>
        <sz val="11"/>
        <color theme="1"/>
        <rFont val="微軟正黑體"/>
        <family val="2"/>
        <charset val="136"/>
      </rPr>
      <t>風倍清浴廁用抗菌消臭防臭劑山谷微香</t>
    </r>
    <r>
      <rPr>
        <sz val="11"/>
        <color theme="1"/>
        <rFont val="Calibri"/>
        <family val="2"/>
      </rPr>
      <t xml:space="preserve"> 1</t>
    </r>
    <r>
      <rPr>
        <sz val="11"/>
        <color theme="1"/>
        <rFont val="微軟正黑體"/>
        <family val="2"/>
        <charset val="136"/>
      </rPr>
      <t>入裝</t>
    </r>
  </si>
  <si>
    <r>
      <rPr>
        <sz val="11"/>
        <color theme="1"/>
        <rFont val="微軟正黑體"/>
        <family val="2"/>
        <charset val="136"/>
      </rPr>
      <t>風倍清浴廁用抗菌消臭防臭劑薄荷綠香</t>
    </r>
    <r>
      <rPr>
        <sz val="11"/>
        <color theme="1"/>
        <rFont val="Calibri"/>
        <family val="2"/>
      </rPr>
      <t xml:space="preserve"> 1</t>
    </r>
    <r>
      <rPr>
        <sz val="11"/>
        <color theme="1"/>
        <rFont val="微軟正黑體"/>
        <family val="2"/>
        <charset val="136"/>
      </rPr>
      <t>入裝</t>
    </r>
  </si>
  <si>
    <r>
      <rPr>
        <sz val="11"/>
        <color theme="1"/>
        <rFont val="微軟正黑體"/>
        <family val="2"/>
        <charset val="136"/>
      </rPr>
      <t>風倍清浴廁用抗菌消臭防臭劑清爽皂香</t>
    </r>
    <r>
      <rPr>
        <sz val="11"/>
        <color theme="1"/>
        <rFont val="Calibri"/>
        <family val="2"/>
      </rPr>
      <t xml:space="preserve"> 1</t>
    </r>
    <r>
      <rPr>
        <sz val="11"/>
        <color theme="1"/>
        <rFont val="微軟正黑體"/>
        <family val="2"/>
        <charset val="136"/>
      </rPr>
      <t>入裝</t>
    </r>
  </si>
  <si>
    <r>
      <rPr>
        <sz val="11"/>
        <color theme="1"/>
        <rFont val="微軟正黑體"/>
        <family val="2"/>
        <charset val="136"/>
      </rPr>
      <t>風倍清浴廁用抗菌消臭防臭劑薄荷綠香</t>
    </r>
    <r>
      <rPr>
        <sz val="11"/>
        <color theme="1"/>
        <rFont val="Calibri"/>
        <family val="2"/>
      </rPr>
      <t xml:space="preserve"> 2</t>
    </r>
    <r>
      <rPr>
        <sz val="11"/>
        <color theme="1"/>
        <rFont val="微軟正黑體"/>
        <family val="2"/>
        <charset val="136"/>
      </rPr>
      <t>入裝</t>
    </r>
  </si>
  <si>
    <r>
      <rPr>
        <sz val="11"/>
        <color theme="1"/>
        <rFont val="微軟正黑體"/>
        <family val="2"/>
        <charset val="136"/>
      </rPr>
      <t>風倍清浴廁用抗菌消臭防臭劑清爽皂香</t>
    </r>
    <r>
      <rPr>
        <sz val="11"/>
        <color theme="1"/>
        <rFont val="Calibri"/>
        <family val="2"/>
      </rPr>
      <t xml:space="preserve"> 2</t>
    </r>
    <r>
      <rPr>
        <sz val="11"/>
        <color theme="1"/>
        <rFont val="微軟正黑體"/>
        <family val="2"/>
        <charset val="136"/>
      </rPr>
      <t>入裝</t>
    </r>
  </si>
  <si>
    <r>
      <rPr>
        <sz val="11"/>
        <color theme="1"/>
        <rFont val="微軟正黑體"/>
        <family val="2"/>
        <charset val="136"/>
      </rPr>
      <t>風倍清浴廁用抗菌消臭防臭劑山谷微香</t>
    </r>
    <r>
      <rPr>
        <sz val="11"/>
        <color theme="1"/>
        <rFont val="Calibri"/>
        <family val="2"/>
      </rPr>
      <t xml:space="preserve"> 2</t>
    </r>
    <r>
      <rPr>
        <sz val="11"/>
        <color theme="1"/>
        <rFont val="微軟正黑體"/>
        <family val="2"/>
        <charset val="136"/>
      </rPr>
      <t>入裝</t>
    </r>
  </si>
  <si>
    <r>
      <rPr>
        <sz val="11"/>
        <color theme="1"/>
        <rFont val="微軟正黑體"/>
        <family val="2"/>
        <charset val="136"/>
      </rPr>
      <t>風倍清浴廁用防霉防臭劑清新柑橘</t>
    </r>
    <r>
      <rPr>
        <sz val="11"/>
        <color theme="1"/>
        <rFont val="Calibri"/>
        <family val="2"/>
      </rPr>
      <t xml:space="preserve"> 2</t>
    </r>
    <r>
      <rPr>
        <sz val="11"/>
        <color theme="1"/>
        <rFont val="微軟正黑體"/>
        <family val="2"/>
        <charset val="136"/>
      </rPr>
      <t>入裝</t>
    </r>
  </si>
  <si>
    <r>
      <rPr>
        <sz val="11"/>
        <color theme="1"/>
        <rFont val="微軟正黑體"/>
        <family val="2"/>
        <charset val="136"/>
      </rPr>
      <t>風倍清浴廁用防霉防臭劑柔和花香</t>
    </r>
    <r>
      <rPr>
        <sz val="11"/>
        <color theme="1"/>
        <rFont val="Calibri"/>
        <family val="2"/>
      </rPr>
      <t xml:space="preserve"> 2</t>
    </r>
    <r>
      <rPr>
        <sz val="11"/>
        <color theme="1"/>
        <rFont val="微軟正黑體"/>
        <family val="2"/>
        <charset val="136"/>
      </rPr>
      <t>入裝</t>
    </r>
  </si>
  <si>
    <r>
      <rPr>
        <sz val="11"/>
        <color theme="1"/>
        <rFont val="微軟正黑體"/>
        <family val="2"/>
        <charset val="136"/>
      </rPr>
      <t>風倍清浴廁用防霉防臭劑柔和花香</t>
    </r>
    <r>
      <rPr>
        <sz val="11"/>
        <color theme="1"/>
        <rFont val="Calibri"/>
        <family val="2"/>
      </rPr>
      <t xml:space="preserve"> 1</t>
    </r>
    <r>
      <rPr>
        <sz val="11"/>
        <color theme="1"/>
        <rFont val="微軟正黑體"/>
        <family val="2"/>
        <charset val="136"/>
      </rPr>
      <t>入裝</t>
    </r>
  </si>
  <si>
    <r>
      <rPr>
        <sz val="11"/>
        <color theme="1"/>
        <rFont val="微軟正黑體"/>
        <family val="2"/>
        <charset val="136"/>
      </rPr>
      <t>風倍清浴廁用防霉防臭劑清新柑橘</t>
    </r>
    <r>
      <rPr>
        <sz val="11"/>
        <color theme="1"/>
        <rFont val="Calibri"/>
        <family val="2"/>
      </rPr>
      <t xml:space="preserve"> 1</t>
    </r>
    <r>
      <rPr>
        <sz val="11"/>
        <color theme="1"/>
        <rFont val="微軟正黑體"/>
        <family val="2"/>
        <charset val="136"/>
      </rPr>
      <t>入裝</t>
    </r>
  </si>
  <si>
    <r>
      <rPr>
        <sz val="11"/>
        <color theme="1"/>
        <rFont val="微軟正黑體"/>
        <family val="2"/>
        <charset val="136"/>
      </rPr>
      <t>風倍清織物噴霧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大馬士革玫瑰</t>
    </r>
    <r>
      <rPr>
        <sz val="11"/>
        <color theme="1"/>
        <rFont val="Calibri"/>
        <family val="2"/>
      </rPr>
      <t>370ML</t>
    </r>
  </si>
  <si>
    <r>
      <rPr>
        <sz val="11"/>
        <color theme="1"/>
        <rFont val="微軟正黑體"/>
        <family val="2"/>
        <charset val="136"/>
      </rPr>
      <t>風倍清織物噴霧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南法薰衣草</t>
    </r>
    <r>
      <rPr>
        <sz val="11"/>
        <color theme="1"/>
        <rFont val="Calibri"/>
        <family val="2"/>
      </rPr>
      <t>370ML</t>
    </r>
  </si>
  <si>
    <r>
      <rPr>
        <sz val="11"/>
        <color theme="1"/>
        <rFont val="微軟正黑體"/>
        <family val="2"/>
        <charset val="136"/>
      </rPr>
      <t>風倍清織物噴霧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仲夏檸檬草</t>
    </r>
    <r>
      <rPr>
        <sz val="11"/>
        <color theme="1"/>
        <rFont val="Calibri"/>
        <family val="2"/>
      </rPr>
      <t>370ML</t>
    </r>
  </si>
  <si>
    <r>
      <rPr>
        <sz val="11"/>
        <color theme="1"/>
        <rFont val="微軟正黑體"/>
        <family val="2"/>
        <charset val="136"/>
      </rPr>
      <t>風倍清室內用抗菌消臭防臭劑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清新白茶</t>
    </r>
    <r>
      <rPr>
        <sz val="11"/>
        <color theme="1"/>
        <rFont val="Calibri"/>
        <family val="2"/>
      </rPr>
      <t>)7ML*3</t>
    </r>
  </si>
  <si>
    <r>
      <rPr>
        <sz val="11"/>
        <color theme="1"/>
        <rFont val="微軟正黑體"/>
        <family val="2"/>
        <charset val="136"/>
      </rPr>
      <t>風倍清室內用抗菌消臭防臭劑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清新白茶</t>
    </r>
    <r>
      <rPr>
        <sz val="11"/>
        <color theme="1"/>
        <rFont val="Calibri"/>
        <family val="2"/>
      </rPr>
      <t>)7ML</t>
    </r>
  </si>
  <si>
    <r>
      <rPr>
        <sz val="11"/>
        <color theme="1"/>
        <rFont val="微軟正黑體"/>
        <family val="2"/>
        <charset val="136"/>
      </rPr>
      <t>風倍清室內用抗菌消臭防臭劑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清爽皂香</t>
    </r>
    <r>
      <rPr>
        <sz val="11"/>
        <color theme="1"/>
        <rFont val="Calibri"/>
        <family val="2"/>
      </rPr>
      <t>)7ML*3</t>
    </r>
  </si>
  <si>
    <r>
      <rPr>
        <sz val="11"/>
        <color theme="1"/>
        <rFont val="微軟正黑體"/>
        <family val="2"/>
        <charset val="136"/>
      </rPr>
      <t>風倍清室內用抗菌消臭防臭劑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清爽皂香</t>
    </r>
    <r>
      <rPr>
        <sz val="11"/>
        <color theme="1"/>
        <rFont val="Calibri"/>
        <family val="2"/>
      </rPr>
      <t>)7ML</t>
    </r>
  </si>
  <si>
    <r>
      <rPr>
        <sz val="11"/>
        <color theme="1"/>
        <rFont val="微軟正黑體"/>
        <family val="2"/>
        <charset val="136"/>
      </rPr>
      <t>幫寶適一級幫</t>
    </r>
    <r>
      <rPr>
        <sz val="11"/>
        <color theme="1"/>
        <rFont val="Calibri"/>
        <family val="2"/>
      </rPr>
      <t>NB 32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</si>
  <si>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幫寶適一級幫</t>
    </r>
    <r>
      <rPr>
        <sz val="11"/>
        <color theme="1"/>
        <rFont val="Calibri"/>
        <family val="2"/>
      </rPr>
      <t>L 42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</si>
  <si>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幫寶適一級幫</t>
    </r>
    <r>
      <rPr>
        <sz val="11"/>
        <color theme="1"/>
        <rFont val="Calibri"/>
        <family val="2"/>
      </rPr>
      <t>S 60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</si>
  <si>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幫寶適一級幫</t>
    </r>
    <r>
      <rPr>
        <sz val="11"/>
        <color theme="1"/>
        <rFont val="Calibri"/>
        <family val="2"/>
      </rPr>
      <t>M 52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</si>
  <si>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幫寶適一級幫</t>
    </r>
    <r>
      <rPr>
        <sz val="11"/>
        <color theme="1"/>
        <rFont val="Calibri"/>
        <family val="2"/>
      </rPr>
      <t>XL 33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</si>
  <si>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日本原裝進口幫寶適一級幫拉拉褲</t>
    </r>
    <r>
      <rPr>
        <sz val="11"/>
        <color theme="1"/>
        <rFont val="Calibri"/>
        <family val="2"/>
      </rPr>
      <t>L46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</si>
  <si>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日本原裝進口幫寶適一級幫拉拉褲</t>
    </r>
    <r>
      <rPr>
        <sz val="11"/>
        <color theme="1"/>
        <rFont val="Calibri"/>
        <family val="2"/>
      </rPr>
      <t>M58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</si>
  <si>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日本原裝進口幫寶適一級幫拉拉褲</t>
    </r>
    <r>
      <rPr>
        <sz val="11"/>
        <color theme="1"/>
        <rFont val="Calibri"/>
        <family val="2"/>
      </rPr>
      <t>XL40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</si>
  <si>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日本原裝進口幫寶適一級幫拉拉褲</t>
    </r>
    <r>
      <rPr>
        <sz val="11"/>
        <color theme="1"/>
        <rFont val="Calibri"/>
        <family val="2"/>
      </rPr>
      <t>XXL30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</si>
  <si>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日本原裝進口幫寶適一級幫嬰兒紙尿褲新生兒</t>
    </r>
    <r>
      <rPr>
        <sz val="11"/>
        <color theme="1"/>
        <rFont val="Calibri"/>
        <family val="2"/>
      </rPr>
      <t>84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</si>
  <si>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日本原裝進口幫寶適一級幫巧虎安睡褲</t>
    </r>
    <r>
      <rPr>
        <sz val="11"/>
        <color theme="1"/>
        <rFont val="Calibri"/>
        <family val="2"/>
      </rPr>
      <t>L</t>
    </r>
    <r>
      <rPr>
        <sz val="11"/>
        <color theme="1"/>
        <rFont val="微軟正黑體"/>
        <family val="2"/>
        <charset val="136"/>
      </rPr>
      <t>號</t>
    </r>
    <r>
      <rPr>
        <sz val="11"/>
        <color theme="1"/>
        <rFont val="Calibri"/>
        <family val="2"/>
      </rPr>
      <t>30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</si>
  <si>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幫寶適清新幫拉拉褲</t>
    </r>
    <r>
      <rPr>
        <sz val="11"/>
        <color theme="1"/>
        <rFont val="Calibri"/>
        <family val="2"/>
      </rPr>
      <t>XXXL</t>
    </r>
    <r>
      <rPr>
        <sz val="11"/>
        <color theme="1"/>
        <rFont val="微軟正黑體"/>
        <family val="2"/>
        <charset val="136"/>
      </rPr>
      <t>號</t>
    </r>
    <r>
      <rPr>
        <sz val="11"/>
        <color theme="1"/>
        <rFont val="Calibri"/>
        <family val="2"/>
      </rPr>
      <t>22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</si>
  <si>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幫寶適清新幫黏貼型嬰兒紙尿褲</t>
    </r>
    <r>
      <rPr>
        <sz val="11"/>
        <color theme="1"/>
        <rFont val="Calibri"/>
        <family val="2"/>
      </rPr>
      <t>XL</t>
    </r>
    <r>
      <rPr>
        <sz val="11"/>
        <color theme="1"/>
        <rFont val="微軟正黑體"/>
        <family val="2"/>
        <charset val="136"/>
      </rPr>
      <t>號</t>
    </r>
    <r>
      <rPr>
        <sz val="11"/>
        <color theme="1"/>
        <rFont val="Calibri"/>
        <family val="2"/>
      </rPr>
      <t>38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</si>
  <si>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幫寶適清新幫黏貼型嬰兒紙尿褲</t>
    </r>
    <r>
      <rPr>
        <sz val="11"/>
        <color theme="1"/>
        <rFont val="Calibri"/>
        <family val="2"/>
      </rPr>
      <t>L</t>
    </r>
    <r>
      <rPr>
        <sz val="11"/>
        <color theme="1"/>
        <rFont val="微軟正黑體"/>
        <family val="2"/>
        <charset val="136"/>
      </rPr>
      <t>號</t>
    </r>
    <r>
      <rPr>
        <sz val="11"/>
        <color theme="1"/>
        <rFont val="Calibri"/>
        <family val="2"/>
      </rPr>
      <t>46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</si>
  <si>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幫寶適清新幫拉拉褲</t>
    </r>
    <r>
      <rPr>
        <sz val="11"/>
        <color theme="1"/>
        <rFont val="Calibri"/>
        <family val="2"/>
      </rPr>
      <t>L</t>
    </r>
    <r>
      <rPr>
        <sz val="11"/>
        <color theme="1"/>
        <rFont val="微軟正黑體"/>
        <family val="2"/>
        <charset val="136"/>
      </rPr>
      <t>號</t>
    </r>
    <r>
      <rPr>
        <sz val="11"/>
        <color theme="1"/>
        <rFont val="Calibri"/>
        <family val="2"/>
      </rPr>
      <t>42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</si>
  <si>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幫寶適清新幫拉拉褲</t>
    </r>
    <r>
      <rPr>
        <sz val="11"/>
        <color theme="1"/>
        <rFont val="Calibri"/>
        <family val="2"/>
      </rPr>
      <t>XL</t>
    </r>
    <r>
      <rPr>
        <sz val="11"/>
        <color theme="1"/>
        <rFont val="微軟正黑體"/>
        <family val="2"/>
        <charset val="136"/>
      </rPr>
      <t>號</t>
    </r>
    <r>
      <rPr>
        <sz val="11"/>
        <color theme="1"/>
        <rFont val="Calibri"/>
        <family val="2"/>
      </rPr>
      <t>38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</si>
  <si>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幫寶適清新幫拉拉褲</t>
    </r>
    <r>
      <rPr>
        <sz val="11"/>
        <color theme="1"/>
        <rFont val="Calibri"/>
        <family val="2"/>
      </rPr>
      <t>XXL</t>
    </r>
    <r>
      <rPr>
        <sz val="11"/>
        <color theme="1"/>
        <rFont val="微軟正黑體"/>
        <family val="2"/>
        <charset val="136"/>
      </rPr>
      <t>號</t>
    </r>
    <r>
      <rPr>
        <sz val="11"/>
        <color theme="1"/>
        <rFont val="Calibri"/>
        <family val="2"/>
      </rPr>
      <t>26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</si>
  <si>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幫寶適清新幫拉拉褲</t>
    </r>
    <r>
      <rPr>
        <sz val="11"/>
        <color theme="1"/>
        <rFont val="Calibri"/>
        <family val="2"/>
      </rPr>
      <t xml:space="preserve"> L42</t>
    </r>
  </si>
  <si>
    <r>
      <rPr>
        <sz val="11"/>
        <color theme="1"/>
        <rFont val="微軟正黑體"/>
        <family val="2"/>
        <charset val="136"/>
      </rPr>
      <t>幫寶適清新幫拉拉褲</t>
    </r>
    <r>
      <rPr>
        <sz val="11"/>
        <color theme="1"/>
        <rFont val="Calibri"/>
        <family val="2"/>
      </rPr>
      <t xml:space="preserve"> XL34</t>
    </r>
  </si>
  <si>
    <r>
      <rPr>
        <sz val="11"/>
        <color theme="1"/>
        <rFont val="微軟正黑體"/>
        <family val="2"/>
        <charset val="136"/>
      </rPr>
      <t>幫寶適清新幫拉拉褲</t>
    </r>
    <r>
      <rPr>
        <sz val="11"/>
        <color theme="1"/>
        <rFont val="Calibri"/>
        <family val="2"/>
      </rPr>
      <t xml:space="preserve"> XXL 26</t>
    </r>
  </si>
  <si>
    <r>
      <rPr>
        <sz val="11"/>
        <color theme="1"/>
        <rFont val="微軟正黑體"/>
        <family val="2"/>
        <charset val="136"/>
      </rPr>
      <t>幫寶適清新幫拉拉褲</t>
    </r>
    <r>
      <rPr>
        <sz val="11"/>
        <color theme="1"/>
        <rFont val="Calibri"/>
        <family val="2"/>
      </rPr>
      <t>XXXL22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</si>
  <si>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幫寶適清新幫紙尿褲</t>
    </r>
    <r>
      <rPr>
        <sz val="11"/>
        <color theme="1"/>
        <rFont val="Calibri"/>
        <family val="2"/>
      </rPr>
      <t xml:space="preserve"> L46</t>
    </r>
  </si>
  <si>
    <r>
      <rPr>
        <sz val="11"/>
        <color theme="1"/>
        <rFont val="微軟正黑體"/>
        <family val="2"/>
        <charset val="136"/>
      </rPr>
      <t>幫寶適清新幫紙尿褲</t>
    </r>
    <r>
      <rPr>
        <sz val="11"/>
        <color theme="1"/>
        <rFont val="Calibri"/>
        <family val="2"/>
      </rPr>
      <t xml:space="preserve"> XL 38</t>
    </r>
  </si>
  <si>
    <r>
      <rPr>
        <sz val="11"/>
        <color theme="1"/>
        <rFont val="微軟正黑體"/>
        <family val="2"/>
        <charset val="136"/>
      </rPr>
      <t>日本原裝進口幫寶適一級幫巧虎安睡褲</t>
    </r>
    <r>
      <rPr>
        <sz val="11"/>
        <color theme="1"/>
        <rFont val="Calibri"/>
        <family val="2"/>
      </rPr>
      <t>L</t>
    </r>
    <r>
      <rPr>
        <sz val="11"/>
        <color theme="1"/>
        <rFont val="微軟正黑體"/>
        <family val="2"/>
        <charset val="136"/>
      </rPr>
      <t>號</t>
    </r>
    <r>
      <rPr>
        <sz val="11"/>
        <color theme="1"/>
        <rFont val="Calibri"/>
        <family val="2"/>
      </rPr>
      <t>34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</si>
  <si>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日本原裝進口幫寶適一級幫巧虎安睡褲</t>
    </r>
    <r>
      <rPr>
        <sz val="11"/>
        <color theme="1"/>
        <rFont val="Calibri"/>
        <family val="2"/>
      </rPr>
      <t>XL</t>
    </r>
    <r>
      <rPr>
        <sz val="11"/>
        <color theme="1"/>
        <rFont val="微軟正黑體"/>
        <family val="2"/>
        <charset val="136"/>
      </rPr>
      <t>號</t>
    </r>
    <r>
      <rPr>
        <sz val="11"/>
        <color theme="1"/>
        <rFont val="Calibri"/>
        <family val="2"/>
      </rPr>
      <t>30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</si>
  <si>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日本原裝進口幫寶適一級幫巧虎安睡褲</t>
    </r>
    <r>
      <rPr>
        <sz val="11"/>
        <color theme="1"/>
        <rFont val="Calibri"/>
        <family val="2"/>
      </rPr>
      <t>XXL</t>
    </r>
    <r>
      <rPr>
        <sz val="11"/>
        <color theme="1"/>
        <rFont val="微軟正黑體"/>
        <family val="2"/>
        <charset val="136"/>
      </rPr>
      <t>號</t>
    </r>
    <r>
      <rPr>
        <sz val="11"/>
        <color theme="1"/>
        <rFont val="Calibri"/>
        <family val="2"/>
      </rPr>
      <t>22</t>
    </r>
  </si>
  <si>
    <r>
      <rPr>
        <sz val="11"/>
        <color theme="1"/>
        <rFont val="微軟正黑體"/>
        <family val="2"/>
        <charset val="136"/>
      </rPr>
      <t>幫寶適極上守護黏貼型嬰兒紙尿褲新生兒</t>
    </r>
    <r>
      <rPr>
        <sz val="11"/>
        <color theme="1"/>
        <rFont val="Calibri"/>
        <family val="2"/>
      </rPr>
      <t>64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</si>
  <si>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幫寶適極上守護黏貼型嬰兒紙尿褲</t>
    </r>
    <r>
      <rPr>
        <sz val="11"/>
        <color theme="1"/>
        <rFont val="Calibri"/>
        <family val="2"/>
      </rPr>
      <t>M 54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</si>
  <si>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幫寶適極上守護黏貼型嬰兒紙尿褲</t>
    </r>
    <r>
      <rPr>
        <sz val="11"/>
        <color theme="1"/>
        <rFont val="Calibri"/>
        <family val="2"/>
      </rPr>
      <t>XL 34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</si>
  <si>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幫寶適極上守護黏貼型嬰兒紙尿褲禮盒組</t>
    </r>
    <r>
      <rPr>
        <sz val="11"/>
        <color theme="1"/>
        <rFont val="Calibri"/>
        <family val="2"/>
      </rPr>
      <t>(S+M)</t>
    </r>
  </si>
  <si>
    <r>
      <rPr>
        <sz val="11"/>
        <color theme="1"/>
        <rFont val="微軟正黑體"/>
        <family val="2"/>
        <charset val="136"/>
      </rPr>
      <t>幫寶適極上守護散熱拉拉褲</t>
    </r>
    <r>
      <rPr>
        <sz val="11"/>
        <color theme="1"/>
        <rFont val="Calibri"/>
        <family val="2"/>
      </rPr>
      <t>XXL 24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</si>
  <si>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幫寶適極上守護散熱拉拉褲</t>
    </r>
    <r>
      <rPr>
        <sz val="11"/>
        <color theme="1"/>
        <rFont val="Calibri"/>
        <family val="2"/>
      </rPr>
      <t>L+ 30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</si>
  <si>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幫寶適極上守護黏貼型嬰兒紙尿褲</t>
    </r>
    <r>
      <rPr>
        <sz val="11"/>
        <color theme="1"/>
        <rFont val="Calibri"/>
        <family val="2"/>
      </rPr>
      <t>L 44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</si>
  <si>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幫寶適極上守護散熱拉拉褲</t>
    </r>
    <r>
      <rPr>
        <sz val="11"/>
        <color theme="1"/>
        <rFont val="Calibri"/>
        <family val="2"/>
      </rPr>
      <t>L 34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</si>
  <si>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幫寶適極上守護散熱拉拉褲</t>
    </r>
    <r>
      <rPr>
        <sz val="11"/>
        <color theme="1"/>
        <rFont val="Calibri"/>
        <family val="2"/>
      </rPr>
      <t>XL 32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</si>
  <si>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幫寶適極上守護散熱拉拉褲</t>
    </r>
    <r>
      <rPr>
        <sz val="11"/>
        <color theme="1"/>
        <rFont val="Calibri"/>
        <family val="2"/>
      </rPr>
      <t>M 42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</si>
  <si>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幫寶適極上守護黏貼型嬰兒紙尿褲禮盒組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新生兒</t>
    </r>
    <r>
      <rPr>
        <sz val="11"/>
        <color theme="1"/>
        <rFont val="Calibri"/>
        <family val="2"/>
      </rPr>
      <t>+S)</t>
    </r>
  </si>
  <si>
    <r>
      <rPr>
        <sz val="11"/>
        <color theme="1"/>
        <rFont val="微軟正黑體"/>
        <family val="2"/>
        <charset val="136"/>
      </rPr>
      <t>幫寶適極上守護黏貼型嬰兒紙尿褲</t>
    </r>
    <r>
      <rPr>
        <sz val="11"/>
        <color theme="1"/>
        <rFont val="Calibri"/>
        <family val="2"/>
      </rPr>
      <t>S 56</t>
    </r>
    <r>
      <rPr>
        <sz val="11"/>
        <color theme="1"/>
        <rFont val="微軟正黑體"/>
        <family val="2"/>
        <charset val="136"/>
      </rPr>
      <t>片</t>
    </r>
  </si>
  <si>
    <r>
      <t>EC)</t>
    </r>
    <r>
      <rPr>
        <sz val="11"/>
        <color theme="1"/>
        <rFont val="微軟正黑體"/>
        <family val="2"/>
        <charset val="136"/>
      </rPr>
      <t>日本原裝進口幫寶適一級幫拉拉褲</t>
    </r>
    <r>
      <rPr>
        <sz val="11"/>
        <color theme="1"/>
        <rFont val="Calibri"/>
        <family val="2"/>
      </rPr>
      <t>L</t>
    </r>
    <r>
      <rPr>
        <sz val="11"/>
        <color theme="1"/>
        <rFont val="微軟正黑體"/>
        <family val="2"/>
        <charset val="136"/>
      </rPr>
      <t>號</t>
    </r>
    <r>
      <rPr>
        <sz val="11"/>
        <color theme="1"/>
        <rFont val="Calibri"/>
        <family val="2"/>
      </rPr>
      <t>144</t>
    </r>
    <r>
      <rPr>
        <sz val="11"/>
        <color theme="1"/>
        <rFont val="微軟正黑體"/>
        <family val="2"/>
        <charset val="136"/>
      </rPr>
      <t>片</t>
    </r>
  </si>
  <si>
    <r>
      <t>EC)</t>
    </r>
    <r>
      <rPr>
        <sz val="11"/>
        <color theme="1"/>
        <rFont val="微軟正黑體"/>
        <family val="2"/>
        <charset val="136"/>
      </rPr>
      <t>日本原裝進口幫寶適一級幫拉拉褲</t>
    </r>
    <r>
      <rPr>
        <sz val="11"/>
        <color theme="1"/>
        <rFont val="Calibri"/>
        <family val="2"/>
      </rPr>
      <t>M58</t>
    </r>
    <r>
      <rPr>
        <sz val="11"/>
        <color theme="1"/>
        <rFont val="微軟正黑體"/>
        <family val="2"/>
        <charset val="136"/>
      </rPr>
      <t>片</t>
    </r>
    <r>
      <rPr>
        <sz val="11"/>
        <color theme="1"/>
        <rFont val="Calibri"/>
        <family val="2"/>
      </rPr>
      <t>*3</t>
    </r>
    <r>
      <rPr>
        <sz val="11"/>
        <color theme="1"/>
        <rFont val="微軟正黑體"/>
        <family val="2"/>
        <charset val="136"/>
      </rPr>
      <t>包</t>
    </r>
  </si>
  <si>
    <r>
      <t>EC)</t>
    </r>
    <r>
      <rPr>
        <sz val="11"/>
        <color theme="1"/>
        <rFont val="微軟正黑體"/>
        <family val="2"/>
        <charset val="136"/>
      </rPr>
      <t>日本原裝進口幫寶適一級幫</t>
    </r>
    <r>
      <rPr>
        <sz val="11"/>
        <color theme="1"/>
        <rFont val="Calibri"/>
        <family val="2"/>
      </rPr>
      <t>L 42</t>
    </r>
    <r>
      <rPr>
        <sz val="11"/>
        <color theme="1"/>
        <rFont val="微軟正黑體"/>
        <family val="2"/>
        <charset val="136"/>
      </rPr>
      <t>片</t>
    </r>
    <r>
      <rPr>
        <sz val="11"/>
        <color theme="1"/>
        <rFont val="Calibri"/>
        <family val="2"/>
      </rPr>
      <t>*4</t>
    </r>
  </si>
  <si>
    <r>
      <t>EC)</t>
    </r>
    <r>
      <rPr>
        <sz val="11"/>
        <color theme="1"/>
        <rFont val="微軟正黑體"/>
        <family val="2"/>
        <charset val="136"/>
      </rPr>
      <t>日本原裝進口幫寶適一級幫</t>
    </r>
    <r>
      <rPr>
        <sz val="11"/>
        <color theme="1"/>
        <rFont val="Calibri"/>
        <family val="2"/>
      </rPr>
      <t>XL 33</t>
    </r>
    <r>
      <rPr>
        <sz val="11"/>
        <color theme="1"/>
        <rFont val="微軟正黑體"/>
        <family val="2"/>
        <charset val="136"/>
      </rPr>
      <t>片</t>
    </r>
    <r>
      <rPr>
        <sz val="11"/>
        <color theme="1"/>
        <rFont val="Calibri"/>
        <family val="2"/>
      </rPr>
      <t>*6</t>
    </r>
    <r>
      <rPr>
        <sz val="11"/>
        <color theme="1"/>
        <rFont val="微軟正黑體"/>
        <family val="2"/>
        <charset val="136"/>
      </rPr>
      <t>包</t>
    </r>
  </si>
  <si>
    <r>
      <t>EC)</t>
    </r>
    <r>
      <rPr>
        <sz val="11"/>
        <color theme="1"/>
        <rFont val="微軟正黑體"/>
        <family val="2"/>
        <charset val="136"/>
      </rPr>
      <t>日本幫寶適一級幫巧虎安睡褲</t>
    </r>
    <r>
      <rPr>
        <sz val="11"/>
        <color theme="1"/>
        <rFont val="Calibri"/>
        <family val="2"/>
      </rPr>
      <t>XXL22</t>
    </r>
    <r>
      <rPr>
        <sz val="11"/>
        <color theme="1"/>
        <rFont val="微軟正黑體"/>
        <family val="2"/>
        <charset val="136"/>
      </rPr>
      <t>片</t>
    </r>
    <r>
      <rPr>
        <sz val="11"/>
        <color theme="1"/>
        <rFont val="Calibri"/>
        <family val="2"/>
      </rPr>
      <t>*4</t>
    </r>
    <r>
      <rPr>
        <sz val="11"/>
        <color theme="1"/>
        <rFont val="微軟正黑體"/>
        <family val="2"/>
        <charset val="136"/>
      </rPr>
      <t>包</t>
    </r>
  </si>
  <si>
    <r>
      <t>EC)</t>
    </r>
    <r>
      <rPr>
        <sz val="11"/>
        <color theme="1"/>
        <rFont val="微軟正黑體"/>
        <family val="2"/>
        <charset val="136"/>
      </rPr>
      <t>日本原裝進口幫寶適一級幫拉拉褲</t>
    </r>
    <r>
      <rPr>
        <sz val="11"/>
        <color theme="1"/>
        <rFont val="Calibri"/>
        <family val="2"/>
      </rPr>
      <t>L46</t>
    </r>
    <r>
      <rPr>
        <sz val="11"/>
        <color theme="1"/>
        <rFont val="微軟正黑體"/>
        <family val="2"/>
        <charset val="136"/>
      </rPr>
      <t>片</t>
    </r>
    <r>
      <rPr>
        <sz val="11"/>
        <color theme="1"/>
        <rFont val="Calibri"/>
        <family val="2"/>
      </rPr>
      <t>*3</t>
    </r>
    <r>
      <rPr>
        <sz val="11"/>
        <color theme="1"/>
        <rFont val="微軟正黑體"/>
        <family val="2"/>
        <charset val="136"/>
      </rPr>
      <t>包</t>
    </r>
  </si>
  <si>
    <r>
      <t>EC)</t>
    </r>
    <r>
      <rPr>
        <sz val="11"/>
        <color theme="1"/>
        <rFont val="微軟正黑體"/>
        <family val="2"/>
        <charset val="136"/>
      </rPr>
      <t>日本原裝幫寶適一級幫巧虎安睡褲</t>
    </r>
    <r>
      <rPr>
        <sz val="11"/>
        <color theme="1"/>
        <rFont val="Calibri"/>
        <family val="2"/>
      </rPr>
      <t>XL26</t>
    </r>
    <r>
      <rPr>
        <sz val="11"/>
        <color theme="1"/>
        <rFont val="微軟正黑體"/>
        <family val="2"/>
        <charset val="136"/>
      </rPr>
      <t>片</t>
    </r>
    <r>
      <rPr>
        <sz val="11"/>
        <color theme="1"/>
        <rFont val="Calibri"/>
        <family val="2"/>
      </rPr>
      <t>*4</t>
    </r>
  </si>
  <si>
    <r>
      <t>EC)</t>
    </r>
    <r>
      <rPr>
        <sz val="11"/>
        <color theme="1"/>
        <rFont val="微軟正黑體"/>
        <family val="2"/>
        <charset val="136"/>
      </rPr>
      <t>幫寶適一級幫巧虎安睡褲</t>
    </r>
    <r>
      <rPr>
        <sz val="11"/>
        <color theme="1"/>
        <rFont val="Calibri"/>
        <family val="2"/>
      </rPr>
      <t>XXXL</t>
    </r>
    <r>
      <rPr>
        <sz val="11"/>
        <color theme="1"/>
        <rFont val="微軟正黑體"/>
        <family val="2"/>
        <charset val="136"/>
      </rPr>
      <t>號</t>
    </r>
    <r>
      <rPr>
        <sz val="11"/>
        <color theme="1"/>
        <rFont val="Calibri"/>
        <family val="2"/>
      </rPr>
      <t>20</t>
    </r>
    <r>
      <rPr>
        <sz val="11"/>
        <color theme="1"/>
        <rFont val="微軟正黑體"/>
        <family val="2"/>
        <charset val="136"/>
      </rPr>
      <t>片</t>
    </r>
    <r>
      <rPr>
        <sz val="11"/>
        <color theme="1"/>
        <rFont val="Calibri"/>
        <family val="2"/>
      </rPr>
      <t>*4</t>
    </r>
    <r>
      <rPr>
        <sz val="11"/>
        <color theme="1"/>
        <rFont val="微軟正黑體"/>
        <family val="2"/>
        <charset val="136"/>
      </rPr>
      <t>包</t>
    </r>
  </si>
  <si>
    <r>
      <t>EC)</t>
    </r>
    <r>
      <rPr>
        <sz val="11"/>
        <color theme="1"/>
        <rFont val="微軟正黑體"/>
        <family val="2"/>
        <charset val="136"/>
      </rPr>
      <t>幫寶適清新幫黏貼型嬰兒紙尿褲</t>
    </r>
    <r>
      <rPr>
        <sz val="11"/>
        <color theme="1"/>
        <rFont val="Calibri"/>
        <family val="2"/>
      </rPr>
      <t>L</t>
    </r>
    <r>
      <rPr>
        <sz val="11"/>
        <color theme="1"/>
        <rFont val="微軟正黑體"/>
        <family val="2"/>
        <charset val="136"/>
      </rPr>
      <t>號</t>
    </r>
    <r>
      <rPr>
        <sz val="11"/>
        <color theme="1"/>
        <rFont val="Calibri"/>
        <family val="2"/>
      </rPr>
      <t>46</t>
    </r>
    <r>
      <rPr>
        <sz val="11"/>
        <color theme="1"/>
        <rFont val="微軟正黑體"/>
        <family val="2"/>
        <charset val="136"/>
      </rPr>
      <t>片</t>
    </r>
    <r>
      <rPr>
        <sz val="11"/>
        <color theme="1"/>
        <rFont val="Calibri"/>
        <family val="2"/>
      </rPr>
      <t>*4</t>
    </r>
    <r>
      <rPr>
        <sz val="11"/>
        <color theme="1"/>
        <rFont val="微軟正黑體"/>
        <family val="2"/>
        <charset val="136"/>
      </rPr>
      <t>包</t>
    </r>
  </si>
  <si>
    <r>
      <t>EC)</t>
    </r>
    <r>
      <rPr>
        <sz val="11"/>
        <color theme="1"/>
        <rFont val="微軟正黑體"/>
        <family val="2"/>
        <charset val="136"/>
      </rPr>
      <t>幫寶適清新幫黏貼型嬰兒紙尿褲</t>
    </r>
    <r>
      <rPr>
        <sz val="11"/>
        <color theme="1"/>
        <rFont val="Calibri"/>
        <family val="2"/>
      </rPr>
      <t>XL</t>
    </r>
    <r>
      <rPr>
        <sz val="11"/>
        <color theme="1"/>
        <rFont val="微軟正黑體"/>
        <family val="2"/>
        <charset val="136"/>
      </rPr>
      <t>號</t>
    </r>
    <r>
      <rPr>
        <sz val="11"/>
        <color theme="1"/>
        <rFont val="Calibri"/>
        <family val="2"/>
      </rPr>
      <t>38</t>
    </r>
    <r>
      <rPr>
        <sz val="11"/>
        <color theme="1"/>
        <rFont val="微軟正黑體"/>
        <family val="2"/>
        <charset val="136"/>
      </rPr>
      <t>片</t>
    </r>
    <r>
      <rPr>
        <sz val="11"/>
        <color theme="1"/>
        <rFont val="Calibri"/>
        <family val="2"/>
      </rPr>
      <t>*4</t>
    </r>
  </si>
  <si>
    <r>
      <t>EC)</t>
    </r>
    <r>
      <rPr>
        <sz val="11"/>
        <color theme="1"/>
        <rFont val="微軟正黑體"/>
        <family val="2"/>
        <charset val="136"/>
      </rPr>
      <t>幫寶適清新幫拉拉褲</t>
    </r>
    <r>
      <rPr>
        <sz val="11"/>
        <color theme="1"/>
        <rFont val="Calibri"/>
        <family val="2"/>
      </rPr>
      <t>XL</t>
    </r>
    <r>
      <rPr>
        <sz val="11"/>
        <color theme="1"/>
        <rFont val="微軟正黑體"/>
        <family val="2"/>
        <charset val="136"/>
      </rPr>
      <t>號</t>
    </r>
    <r>
      <rPr>
        <sz val="11"/>
        <color theme="1"/>
        <rFont val="Calibri"/>
        <family val="2"/>
      </rPr>
      <t>38</t>
    </r>
    <r>
      <rPr>
        <sz val="11"/>
        <color theme="1"/>
        <rFont val="微軟正黑體"/>
        <family val="2"/>
        <charset val="136"/>
      </rPr>
      <t>片</t>
    </r>
    <r>
      <rPr>
        <sz val="11"/>
        <color theme="1"/>
        <rFont val="Calibri"/>
        <family val="2"/>
      </rPr>
      <t>*4</t>
    </r>
    <r>
      <rPr>
        <sz val="11"/>
        <color theme="1"/>
        <rFont val="微軟正黑體"/>
        <family val="2"/>
        <charset val="136"/>
      </rPr>
      <t>包</t>
    </r>
  </si>
  <si>
    <r>
      <t>EC)</t>
    </r>
    <r>
      <rPr>
        <sz val="11"/>
        <color theme="1"/>
        <rFont val="微軟正黑體"/>
        <family val="2"/>
        <charset val="136"/>
      </rPr>
      <t>幫寶適清新幫拉拉褲</t>
    </r>
    <r>
      <rPr>
        <sz val="11"/>
        <color theme="1"/>
        <rFont val="Calibri"/>
        <family val="2"/>
      </rPr>
      <t>L</t>
    </r>
    <r>
      <rPr>
        <sz val="11"/>
        <color theme="1"/>
        <rFont val="微軟正黑體"/>
        <family val="2"/>
        <charset val="136"/>
      </rPr>
      <t>號</t>
    </r>
    <r>
      <rPr>
        <sz val="11"/>
        <color theme="1"/>
        <rFont val="Calibri"/>
        <family val="2"/>
      </rPr>
      <t>42</t>
    </r>
    <r>
      <rPr>
        <sz val="11"/>
        <color theme="1"/>
        <rFont val="微軟正黑體"/>
        <family val="2"/>
        <charset val="136"/>
      </rPr>
      <t>片</t>
    </r>
    <r>
      <rPr>
        <sz val="11"/>
        <color theme="1"/>
        <rFont val="Calibri"/>
        <family val="2"/>
      </rPr>
      <t>*4</t>
    </r>
    <r>
      <rPr>
        <sz val="11"/>
        <color theme="1"/>
        <rFont val="微軟正黑體"/>
        <family val="2"/>
        <charset val="136"/>
      </rPr>
      <t>包</t>
    </r>
  </si>
  <si>
    <r>
      <t>EC)</t>
    </r>
    <r>
      <rPr>
        <sz val="11"/>
        <color theme="1"/>
        <rFont val="微軟正黑體"/>
        <family val="2"/>
        <charset val="136"/>
      </rPr>
      <t>幫寶適清新幫拉拉褲</t>
    </r>
    <r>
      <rPr>
        <sz val="11"/>
        <color theme="1"/>
        <rFont val="Calibri"/>
        <family val="2"/>
      </rPr>
      <t>XXXL</t>
    </r>
    <r>
      <rPr>
        <sz val="11"/>
        <color theme="1"/>
        <rFont val="微軟正黑體"/>
        <family val="2"/>
        <charset val="136"/>
      </rPr>
      <t>號</t>
    </r>
    <r>
      <rPr>
        <sz val="11"/>
        <color theme="1"/>
        <rFont val="Calibri"/>
        <family val="2"/>
      </rPr>
      <t>22</t>
    </r>
    <r>
      <rPr>
        <sz val="11"/>
        <color theme="1"/>
        <rFont val="微軟正黑體"/>
        <family val="2"/>
        <charset val="136"/>
      </rPr>
      <t>片</t>
    </r>
    <r>
      <rPr>
        <sz val="11"/>
        <color theme="1"/>
        <rFont val="Calibri"/>
        <family val="2"/>
      </rPr>
      <t>*4</t>
    </r>
    <r>
      <rPr>
        <sz val="11"/>
        <color theme="1"/>
        <rFont val="微軟正黑體"/>
        <family val="2"/>
        <charset val="136"/>
      </rPr>
      <t>包</t>
    </r>
  </si>
  <si>
    <r>
      <t>EC)</t>
    </r>
    <r>
      <rPr>
        <sz val="11"/>
        <color theme="1"/>
        <rFont val="微軟正黑體"/>
        <family val="2"/>
        <charset val="136"/>
      </rPr>
      <t>幫寶適清新幫拉拉褲</t>
    </r>
    <r>
      <rPr>
        <sz val="11"/>
        <color theme="1"/>
        <rFont val="Calibri"/>
        <family val="2"/>
      </rPr>
      <t>XXL</t>
    </r>
    <r>
      <rPr>
        <sz val="11"/>
        <color theme="1"/>
        <rFont val="微軟正黑體"/>
        <family val="2"/>
        <charset val="136"/>
      </rPr>
      <t>號</t>
    </r>
    <r>
      <rPr>
        <sz val="11"/>
        <color theme="1"/>
        <rFont val="Calibri"/>
        <family val="2"/>
      </rPr>
      <t>26</t>
    </r>
    <r>
      <rPr>
        <sz val="11"/>
        <color theme="1"/>
        <rFont val="微軟正黑體"/>
        <family val="2"/>
        <charset val="136"/>
      </rPr>
      <t>片</t>
    </r>
    <r>
      <rPr>
        <sz val="11"/>
        <color theme="1"/>
        <rFont val="Calibri"/>
        <family val="2"/>
      </rPr>
      <t>*4</t>
    </r>
    <r>
      <rPr>
        <sz val="11"/>
        <color theme="1"/>
        <rFont val="微軟正黑體"/>
        <family val="2"/>
        <charset val="136"/>
      </rPr>
      <t>包</t>
    </r>
  </si>
  <si>
    <r>
      <rPr>
        <sz val="11"/>
        <color theme="1"/>
        <rFont val="微軟正黑體"/>
        <family val="2"/>
        <charset val="136"/>
      </rPr>
      <t>幫寶適一級幫巧虎安睡褲</t>
    </r>
    <r>
      <rPr>
        <sz val="11"/>
        <color theme="1"/>
        <rFont val="Calibri"/>
        <family val="2"/>
      </rPr>
      <t>XXXL</t>
    </r>
    <r>
      <rPr>
        <sz val="11"/>
        <color theme="1"/>
        <rFont val="微軟正黑體"/>
        <family val="2"/>
        <charset val="136"/>
      </rPr>
      <t>號</t>
    </r>
    <r>
      <rPr>
        <sz val="11"/>
        <color theme="1"/>
        <rFont val="Calibri"/>
        <family val="2"/>
      </rPr>
      <t>20</t>
    </r>
    <r>
      <rPr>
        <sz val="11"/>
        <color theme="1"/>
        <rFont val="微軟正黑體"/>
        <family val="2"/>
        <charset val="136"/>
      </rPr>
      <t>片</t>
    </r>
  </si>
  <si>
    <r>
      <rPr>
        <sz val="11"/>
        <color theme="1"/>
        <rFont val="微軟正黑體"/>
        <family val="2"/>
        <charset val="136"/>
      </rPr>
      <t>日本原裝進口幫寶適一級幫巧虎安睡褲</t>
    </r>
    <r>
      <rPr>
        <sz val="11"/>
        <color theme="1"/>
        <rFont val="Calibri"/>
        <family val="2"/>
      </rPr>
      <t>XL</t>
    </r>
    <r>
      <rPr>
        <sz val="11"/>
        <color theme="1"/>
        <rFont val="微軟正黑體"/>
        <family val="2"/>
        <charset val="136"/>
      </rPr>
      <t>號</t>
    </r>
    <r>
      <rPr>
        <sz val="11"/>
        <color theme="1"/>
        <rFont val="Calibri"/>
        <family val="2"/>
      </rPr>
      <t>26</t>
    </r>
    <r>
      <rPr>
        <sz val="11"/>
        <color theme="1"/>
        <rFont val="微軟正黑體"/>
        <family val="2"/>
        <charset val="136"/>
      </rPr>
      <t>片</t>
    </r>
  </si>
  <si>
    <r>
      <t>EC)</t>
    </r>
    <r>
      <rPr>
        <sz val="11"/>
        <color theme="1"/>
        <rFont val="微軟正黑體"/>
        <family val="2"/>
        <charset val="136"/>
      </rPr>
      <t>日本原裝幫寶適一級幫巧虎安睡褲</t>
    </r>
    <r>
      <rPr>
        <sz val="11"/>
        <color theme="1"/>
        <rFont val="Calibri"/>
        <family val="2"/>
      </rPr>
      <t>L30</t>
    </r>
    <r>
      <rPr>
        <sz val="11"/>
        <color theme="1"/>
        <rFont val="微軟正黑體"/>
        <family val="2"/>
        <charset val="136"/>
      </rPr>
      <t>片</t>
    </r>
    <r>
      <rPr>
        <sz val="11"/>
        <color theme="1"/>
        <rFont val="Calibri"/>
        <family val="2"/>
      </rPr>
      <t>*4</t>
    </r>
    <r>
      <rPr>
        <sz val="11"/>
        <color theme="1"/>
        <rFont val="微軟正黑體"/>
        <family val="2"/>
        <charset val="136"/>
      </rPr>
      <t>包</t>
    </r>
  </si>
  <si>
    <r>
      <t>EC)</t>
    </r>
    <r>
      <rPr>
        <sz val="11"/>
        <color theme="1"/>
        <rFont val="微軟正黑體"/>
        <family val="2"/>
        <charset val="136"/>
      </rPr>
      <t>幫寶適極上守護散熱拉拉褲</t>
    </r>
    <r>
      <rPr>
        <sz val="11"/>
        <color theme="1"/>
        <rFont val="Calibri"/>
        <family val="2"/>
      </rPr>
      <t>XL 90</t>
    </r>
    <r>
      <rPr>
        <sz val="11"/>
        <color theme="1"/>
        <rFont val="微軟正黑體"/>
        <family val="2"/>
        <charset val="136"/>
      </rPr>
      <t>片</t>
    </r>
  </si>
  <si>
    <t>海倫仙度絲去屑洗髮乳檸檬清爽1.2L</t>
  </si>
  <si>
    <t>海倫仙度絲科研去屑洗髮露-去油淨透型300克</t>
  </si>
  <si>
    <t>海倫仙度絲科研去屑洗髮露-瞬效止癢型300克</t>
  </si>
  <si>
    <t>海倫仙度絲去屑頭皮護理洗髮露控油蓬鬆650G</t>
  </si>
  <si>
    <t>海倫仙度絲去屑頭皮護理洗髮露保水舒緩650G</t>
  </si>
  <si>
    <t>海倫仙度絲去屑頭皮護理洗髮露淨爽止癢型650克</t>
  </si>
  <si>
    <t>海倫仙度絲去屑頭皮護理洗髮露控油蓬鬆型350克</t>
  </si>
  <si>
    <t>海倫仙度絲去屑頭皮護理洗髮露淨爽止癢型350克</t>
  </si>
  <si>
    <t>Oral</t>
    <phoneticPr fontId="5" type="noConversion"/>
  </si>
  <si>
    <t>好自在無痕早安褲M-L 3片裝</t>
  </si>
  <si>
    <t>好自在無痕奢柔褲XL 3片裝</t>
  </si>
  <si>
    <t>好自在無痕奢柔褲M-L 3片裝</t>
  </si>
  <si>
    <t>Hair</t>
    <phoneticPr fontId="5" type="noConversion"/>
  </si>
  <si>
    <t>新海倫絲滑柔順750ML洗髮乳</t>
  </si>
  <si>
    <t>新海倫檸檬清爽洗髮乳750ml</t>
  </si>
  <si>
    <t>新海倫薄荷舒爽洗髮乳750ml</t>
  </si>
  <si>
    <t>海倫止癢呵護去屑洗髮乳750ml</t>
  </si>
  <si>
    <t>海倫仙度絲小蒼蘭香氛去屑洗髮乳750ml</t>
  </si>
  <si>
    <t>海倫仙度絲茉莉花香氛去屑洗髮乳750ml</t>
  </si>
  <si>
    <t>海倫仙度絲瞬效止癢去屑噴霧50毫升</t>
  </si>
  <si>
    <t>海倫仙度絲去屑洗髮乳絲滑柔順1.2L</t>
  </si>
  <si>
    <t>海倫仙度絲去屑洗髮乳薄荷舒爽1.2L</t>
  </si>
  <si>
    <t>海倫仙度絲深層去屑洗髮露-去油淨澈型500克</t>
  </si>
  <si>
    <t>海倫仙度絲輕和去屑洗髮露-淨感水潤型500克</t>
  </si>
  <si>
    <t>海倫男士專用淨爽控油去屑洗髮乳</t>
  </si>
  <si>
    <t>海倫仙度絲頭皮護理去屑洗髮露控油蓬鬆型650克</t>
  </si>
  <si>
    <t>海倫仙度絲頭皮護理去屑洗髮露保水舒緩型650克</t>
  </si>
  <si>
    <t>海倫仙度絲頭皮護理去屑洗髮露淨爽止癢型650克</t>
  </si>
  <si>
    <t>海倫仙度絲1+1超值體驗裝(去屑+護理頭皮)</t>
  </si>
  <si>
    <t>海倫仙度絲舒緩去屑洗髮露小蒼蘭680克</t>
  </si>
  <si>
    <t>海倫仙度絲舒緩去屑洗髮露朝曦橙花680克</t>
  </si>
  <si>
    <t>海倫仙度絲去屑洗髮露舒癢水潤680克</t>
  </si>
  <si>
    <t>海倫仙度絲去屑洗髮露絲滑柔順680克</t>
  </si>
  <si>
    <t>海倫仙度絲去屑洗髮露清爽控油680克</t>
  </si>
  <si>
    <t>海倫仙度絲男士適用去屑洗髮露淨爽控油680克</t>
  </si>
  <si>
    <t>海倫仙度絲去屑洗髮露薄荷舒爽680克</t>
  </si>
  <si>
    <t>海倫仙度絲去屑洗髮露止癢呵護680克</t>
  </si>
  <si>
    <t>海倫仙度絲去屑洗髮露強根韌髮680克</t>
  </si>
  <si>
    <t>海倫仙度絲去屑洗髮露薄荷舒爽680克+400克</t>
  </si>
  <si>
    <t>海倫仙度絲去屑洗髮露清爽控油680克+400克</t>
  </si>
  <si>
    <t>HNS</t>
    <phoneticPr fontId="5" type="noConversion"/>
  </si>
  <si>
    <t>Baymax</t>
    <phoneticPr fontId="5" type="noConversion"/>
  </si>
  <si>
    <t xml:space="preserve">Sell-Thru </t>
  </si>
  <si>
    <t>Total</t>
    <phoneticPr fontId="5" type="noConversion"/>
  </si>
  <si>
    <t>Display</t>
  </si>
  <si>
    <t>Display</t>
    <phoneticPr fontId="5" type="noConversion"/>
  </si>
  <si>
    <t>Inv adj</t>
  </si>
  <si>
    <t>Inv adj</t>
    <phoneticPr fontId="5" type="noConversion"/>
  </si>
  <si>
    <t>Normal</t>
  </si>
  <si>
    <t>Normal</t>
    <phoneticPr fontId="5" type="noConversion"/>
  </si>
  <si>
    <t>Uplift</t>
  </si>
  <si>
    <t>Uplift</t>
    <phoneticPr fontId="5" type="noConversion"/>
  </si>
  <si>
    <t>Fcst</t>
  </si>
  <si>
    <t>OCM</t>
  </si>
  <si>
    <t>OCP</t>
  </si>
  <si>
    <t>Handle</t>
  </si>
  <si>
    <t>Crest</t>
  </si>
  <si>
    <t>TP</t>
  </si>
  <si>
    <t>Prowhite</t>
  </si>
  <si>
    <t>Note</t>
  </si>
  <si>
    <t>OCM TP只算成人</t>
  </si>
  <si>
    <t>沖牙器算Handle</t>
  </si>
  <si>
    <t>Merlion Total</t>
  </si>
  <si>
    <t>Merlion-AB</t>
  </si>
  <si>
    <t>Sell-Thru</t>
  </si>
  <si>
    <t>Oral-B</t>
  </si>
  <si>
    <t>Whisper</t>
  </si>
  <si>
    <t>Other</t>
  </si>
  <si>
    <t>Fabric Refresher</t>
  </si>
  <si>
    <t>Merlion</t>
  </si>
  <si>
    <t>RG T&amp;E</t>
  </si>
  <si>
    <t>EC)好自在INFINITY24cm50片炫彩9片</t>
  </si>
  <si>
    <t>EC)好自在INFINITY27cm50s炫彩9s</t>
  </si>
  <si>
    <t>EC)好自在INFINITY34cm50片炫彩9片</t>
  </si>
  <si>
    <t>EC)好自在熊抱安睡褲M 20片</t>
  </si>
  <si>
    <t>EC)好自在熊抱安睡褲XL 4片X 5包</t>
  </si>
  <si>
    <t>Ivory</t>
    <phoneticPr fontId="5" type="noConversion"/>
  </si>
  <si>
    <r>
      <t>EC)</t>
    </r>
    <r>
      <rPr>
        <sz val="11"/>
        <color theme="1"/>
        <rFont val="微軟正黑體"/>
        <family val="2"/>
        <charset val="136"/>
      </rPr>
      <t>好自在熊抱安睡褲</t>
    </r>
    <r>
      <rPr>
        <sz val="11"/>
        <color theme="1"/>
        <rFont val="Calibri"/>
        <family val="2"/>
      </rPr>
      <t>L4</t>
    </r>
    <r>
      <rPr>
        <sz val="11"/>
        <color theme="1"/>
        <rFont val="微軟正黑體"/>
        <family val="2"/>
        <charset val="136"/>
      </rPr>
      <t>片</t>
    </r>
    <r>
      <rPr>
        <sz val="11"/>
        <color theme="1"/>
        <rFont val="Calibri"/>
        <family val="2"/>
      </rPr>
      <t>x5</t>
    </r>
    <phoneticPr fontId="5" type="noConversion"/>
  </si>
  <si>
    <t>Sell-in</t>
  </si>
  <si>
    <r>
      <t xml:space="preserve">AMJ B1G1 </t>
    </r>
    <r>
      <rPr>
        <sz val="11"/>
        <color theme="1"/>
        <rFont val="Microsoft JhengHei"/>
        <family val="2"/>
      </rPr>
      <t>要反映</t>
    </r>
    <phoneticPr fontId="5" type="noConversion"/>
  </si>
  <si>
    <t>Labs</t>
    <phoneticPr fontId="5" type="noConversion"/>
  </si>
  <si>
    <t>吉列Labs極光系列刮鬍刀1刀架1刀頭1掛勾</t>
  </si>
  <si>
    <t>Assumption</t>
  </si>
  <si>
    <t>+/-</t>
  </si>
  <si>
    <t>Last Month</t>
  </si>
  <si>
    <r>
      <t>OLAY</t>
    </r>
    <r>
      <rPr>
        <sz val="11"/>
        <color rgb="FFFF0000"/>
        <rFont val="微軟正黑體"/>
        <family val="2"/>
        <charset val="136"/>
      </rPr>
      <t>水感透白光曜精華</t>
    </r>
    <r>
      <rPr>
        <sz val="11"/>
        <color rgb="FFFF0000"/>
        <rFont val="Calibri"/>
        <family val="2"/>
      </rPr>
      <t>50ml</t>
    </r>
  </si>
  <si>
    <r>
      <t>OLAY</t>
    </r>
    <r>
      <rPr>
        <sz val="11"/>
        <color rgb="FFFF0000"/>
        <rFont val="微軟正黑體"/>
        <family val="2"/>
        <charset val="136"/>
      </rPr>
      <t>水感透白光曜精華</t>
    </r>
    <r>
      <rPr>
        <sz val="11"/>
        <color rgb="FFFF0000"/>
        <rFont val="Calibri"/>
        <family val="2"/>
      </rPr>
      <t>30ml</t>
    </r>
  </si>
  <si>
    <t>ProX BE</t>
    <phoneticPr fontId="5" type="noConversion"/>
  </si>
  <si>
    <t>FY2526 BE</t>
    <phoneticPr fontId="5" type="noConversion"/>
  </si>
  <si>
    <t>潘婷3分鐘損傷修護護髮精華素-茉莉山茶香180毫升</t>
  </si>
  <si>
    <t>Crest多效淨白牙膏-清爽薄荷120克</t>
  </si>
  <si>
    <t>海倫仙度絲控油蓬鬆泡沫洗髮慕絲-清柚小蒼蘭360克</t>
  </si>
  <si>
    <t>潘婷3分鐘多效損傷修護洗髮露-茉莉山茶香470克</t>
  </si>
  <si>
    <t>海倫仙度絲淨爽止癢型泡沫洗髮慕絲-雪松清茶360克</t>
  </si>
  <si>
    <t>Baymax</t>
  </si>
  <si>
    <t>潘婷PRO-V高濃保濕髮膜水潤修護型12毫升*2</t>
  </si>
  <si>
    <t>潘婷3MINUTE 修護精華油雪松玫瑰香15毫升</t>
  </si>
  <si>
    <t>潘婷3MINUTE 修護精華油茉莉山茶香15毫升</t>
  </si>
  <si>
    <t>OLAY胜肽專研密集奢護面膜5片裝</t>
  </si>
  <si>
    <t>Pro-X</t>
  </si>
  <si>
    <t>OLAY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</si>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</sst>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yyyymm"/>
    <numFmt numFmtId="166" formatCode="_(* #,##0_);_(* \(#,##0\);_(* &quot;-&quot;??_);_(@_)"/>
    <numFmt numFmtId="167" formatCode="0.0"/>
    <numFmt numFmtId="168" formatCode="0.0%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1"/>
      <charset val="136"/>
      <scheme val="minor"/>
    </font>
    <font>
      <sz val="9"/>
      <name val="Calibri"/>
      <family val="3"/>
      <charset val="136"/>
      <scheme val="minor"/>
    </font>
    <font>
      <sz val="11"/>
      <color theme="1"/>
      <name val="微軟正黑體"/>
      <family val="2"/>
      <charset val="136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i/>
      <sz val="11"/>
      <color theme="1" tint="0.499984740745262"/>
      <name val="Calibri"/>
      <family val="2"/>
    </font>
    <font>
      <sz val="11"/>
      <color theme="1"/>
      <name val="Microsoft JhengHei"/>
      <family val="2"/>
    </font>
    <font>
      <i/>
      <sz val="11"/>
      <color theme="1" tint="0.499984740745262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微軟正黑體"/>
      <family val="2"/>
      <charset val="136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4" fillId="0" borderId="0">
      <alignment vertical="center"/>
    </xf>
    <xf numFmtId="9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347">
    <xf numFmtId="0" fontId="0" fillId="0" borderId="0" xfId="0"/>
    <xf numFmtId="165" fontId="2" fillId="2" borderId="1" xfId="1" applyNumberFormat="1" applyFont="1" applyFill="1" applyBorder="1" applyAlignment="1">
      <alignment horizontal="center" vertical="center"/>
    </xf>
    <xf numFmtId="165" fontId="2" fillId="3" borderId="1" xfId="1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3" borderId="1" xfId="1" applyNumberFormat="1" applyFont="1" applyFill="1" applyBorder="1" applyAlignment="1">
      <alignment horizontal="center" vertical="center"/>
    </xf>
    <xf numFmtId="165" fontId="2" fillId="3" borderId="4" xfId="1" applyNumberFormat="1" applyFont="1" applyFill="1" applyBorder="1" applyAlignment="1">
      <alignment horizontal="center" vertical="center"/>
    </xf>
    <xf numFmtId="0" fontId="2" fillId="3" borderId="4" xfId="1" applyNumberFormat="1" applyFont="1" applyFill="1" applyBorder="1" applyAlignment="1">
      <alignment horizontal="center" vertical="center"/>
    </xf>
    <xf numFmtId="0" fontId="2" fillId="2" borderId="5" xfId="1" applyNumberFormat="1" applyFont="1" applyFill="1" applyBorder="1" applyAlignment="1">
      <alignment horizontal="center" vertical="center"/>
    </xf>
    <xf numFmtId="0" fontId="2" fillId="3" borderId="5" xfId="1" applyNumberFormat="1" applyFont="1" applyFill="1" applyBorder="1" applyAlignment="1">
      <alignment horizontal="center" vertical="center"/>
    </xf>
    <xf numFmtId="0" fontId="2" fillId="3" borderId="6" xfId="1" applyNumberFormat="1" applyFont="1" applyFill="1" applyBorder="1" applyAlignment="1">
      <alignment horizontal="center" vertical="center"/>
    </xf>
    <xf numFmtId="0" fontId="2" fillId="2" borderId="6" xfId="1" applyNumberFormat="1" applyFont="1" applyFill="1" applyBorder="1" applyAlignment="1">
      <alignment horizontal="center" vertical="center"/>
    </xf>
    <xf numFmtId="165" fontId="2" fillId="2" borderId="4" xfId="1" applyNumberFormat="1" applyFont="1" applyFill="1" applyBorder="1" applyAlignment="1">
      <alignment horizontal="center" vertical="center"/>
    </xf>
    <xf numFmtId="0" fontId="2" fillId="6" borderId="1" xfId="1" applyNumberFormat="1" applyFont="1" applyFill="1" applyBorder="1" applyAlignment="1">
      <alignment horizontal="center" vertical="center"/>
    </xf>
    <xf numFmtId="0" fontId="2" fillId="6" borderId="4" xfId="1" applyNumberFormat="1" applyFont="1" applyFill="1" applyBorder="1" applyAlignment="1">
      <alignment horizontal="center" vertical="center"/>
    </xf>
    <xf numFmtId="0" fontId="2" fillId="2" borderId="4" xfId="1" applyNumberFormat="1" applyFont="1" applyFill="1" applyBorder="1" applyAlignment="1">
      <alignment horizontal="center" vertical="center"/>
    </xf>
    <xf numFmtId="0" fontId="2" fillId="7" borderId="5" xfId="1" applyNumberFormat="1" applyFont="1" applyFill="1" applyBorder="1" applyAlignment="1">
      <alignment horizontal="center" vertical="center"/>
    </xf>
    <xf numFmtId="0" fontId="2" fillId="7" borderId="10" xfId="1" applyNumberFormat="1" applyFont="1" applyFill="1" applyBorder="1" applyAlignment="1">
      <alignment horizontal="center" vertical="center"/>
    </xf>
    <xf numFmtId="0" fontId="2" fillId="7" borderId="6" xfId="1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3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2" fontId="2" fillId="0" borderId="13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166" fontId="2" fillId="0" borderId="0" xfId="1" applyNumberFormat="1" applyFont="1" applyBorder="1"/>
    <xf numFmtId="166" fontId="2" fillId="0" borderId="3" xfId="1" applyNumberFormat="1" applyFont="1" applyBorder="1"/>
    <xf numFmtId="166" fontId="2" fillId="0" borderId="0" xfId="1" applyNumberFormat="1" applyFont="1"/>
    <xf numFmtId="0" fontId="2" fillId="0" borderId="0" xfId="2" applyFont="1" applyAlignment="1">
      <alignment horizontal="center" vertical="center"/>
    </xf>
    <xf numFmtId="0" fontId="2" fillId="0" borderId="3" xfId="0" applyFont="1" applyBorder="1"/>
    <xf numFmtId="0" fontId="2" fillId="5" borderId="0" xfId="0" applyFont="1" applyFill="1" applyAlignment="1">
      <alignment horizontal="center"/>
    </xf>
    <xf numFmtId="0" fontId="2" fillId="4" borderId="10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/>
    </xf>
    <xf numFmtId="1" fontId="2" fillId="0" borderId="16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0" fontId="2" fillId="6" borderId="10" xfId="1" applyNumberFormat="1" applyFont="1" applyFill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2" fontId="2" fillId="0" borderId="17" xfId="0" applyNumberFormat="1" applyFont="1" applyBorder="1" applyAlignment="1">
      <alignment horizontal="center" vertical="center"/>
    </xf>
    <xf numFmtId="0" fontId="2" fillId="0" borderId="8" xfId="0" applyFont="1" applyBorder="1"/>
    <xf numFmtId="2" fontId="7" fillId="0" borderId="20" xfId="0" applyNumberFormat="1" applyFont="1" applyBorder="1" applyAlignment="1">
      <alignment horizontal="center"/>
    </xf>
    <xf numFmtId="0" fontId="2" fillId="3" borderId="10" xfId="1" applyNumberFormat="1" applyFont="1" applyFill="1" applyBorder="1" applyAlignment="1">
      <alignment horizontal="center" vertical="center"/>
    </xf>
    <xf numFmtId="0" fontId="2" fillId="2" borderId="10" xfId="1" applyNumberFormat="1" applyFont="1" applyFill="1" applyBorder="1" applyAlignment="1">
      <alignment horizontal="center" vertical="center"/>
    </xf>
    <xf numFmtId="2" fontId="2" fillId="0" borderId="21" xfId="0" applyNumberFormat="1" applyFont="1" applyBorder="1" applyAlignment="1">
      <alignment horizontal="center" vertical="center"/>
    </xf>
    <xf numFmtId="0" fontId="2" fillId="0" borderId="9" xfId="0" applyFont="1" applyBorder="1"/>
    <xf numFmtId="2" fontId="2" fillId="0" borderId="2" xfId="0" applyNumberFormat="1" applyFont="1" applyBorder="1" applyAlignment="1">
      <alignment horizontal="center"/>
    </xf>
    <xf numFmtId="2" fontId="7" fillId="0" borderId="23" xfId="0" applyNumberFormat="1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19" xfId="0" applyNumberFormat="1" applyFont="1" applyBorder="1" applyAlignment="1">
      <alignment horizontal="center"/>
    </xf>
    <xf numFmtId="2" fontId="2" fillId="0" borderId="18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4" borderId="0" xfId="0" applyFont="1" applyFill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166" fontId="2" fillId="4" borderId="0" xfId="1" applyNumberFormat="1" applyFont="1" applyFill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/>
    </xf>
    <xf numFmtId="1" fontId="7" fillId="0" borderId="9" xfId="0" applyNumberFormat="1" applyFont="1" applyBorder="1" applyAlignment="1">
      <alignment horizontal="center" vertical="center"/>
    </xf>
    <xf numFmtId="166" fontId="2" fillId="0" borderId="0" xfId="1" applyNumberFormat="1" applyFont="1" applyFill="1" applyBorder="1"/>
    <xf numFmtId="166" fontId="2" fillId="0" borderId="3" xfId="1" applyNumberFormat="1" applyFont="1" applyFill="1" applyBorder="1"/>
    <xf numFmtId="166" fontId="2" fillId="0" borderId="0" xfId="1" applyNumberFormat="1" applyFont="1" applyFill="1"/>
    <xf numFmtId="1" fontId="2" fillId="0" borderId="24" xfId="0" applyNumberFormat="1" applyFont="1" applyBorder="1" applyAlignment="1">
      <alignment horizontal="center" vertical="center"/>
    </xf>
    <xf numFmtId="1" fontId="2" fillId="0" borderId="25" xfId="0" applyNumberFormat="1" applyFont="1" applyBorder="1" applyAlignment="1">
      <alignment horizontal="center" vertical="center"/>
    </xf>
    <xf numFmtId="1" fontId="2" fillId="0" borderId="26" xfId="0" applyNumberFormat="1" applyFont="1" applyBorder="1" applyAlignment="1">
      <alignment horizontal="center" vertical="center"/>
    </xf>
    <xf numFmtId="2" fontId="2" fillId="8" borderId="3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2" fontId="2" fillId="0" borderId="27" xfId="0" applyNumberFormat="1" applyFont="1" applyBorder="1" applyAlignment="1">
      <alignment horizontal="center"/>
    </xf>
    <xf numFmtId="0" fontId="7" fillId="9" borderId="20" xfId="0" applyFont="1" applyFill="1" applyBorder="1" applyAlignment="1">
      <alignment horizontal="center"/>
    </xf>
    <xf numFmtId="0" fontId="7" fillId="9" borderId="8" xfId="0" applyFont="1" applyFill="1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2" fontId="7" fillId="9" borderId="8" xfId="0" applyNumberFormat="1" applyFont="1" applyFill="1" applyBorder="1" applyAlignment="1">
      <alignment horizontal="center"/>
    </xf>
    <xf numFmtId="2" fontId="7" fillId="9" borderId="9" xfId="0" applyNumberFormat="1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2" fontId="7" fillId="4" borderId="8" xfId="0" applyNumberFormat="1" applyFont="1" applyFill="1" applyBorder="1" applyAlignment="1">
      <alignment horizontal="center"/>
    </xf>
    <xf numFmtId="2" fontId="7" fillId="4" borderId="9" xfId="0" applyNumberFormat="1" applyFont="1" applyFill="1" applyBorder="1" applyAlignment="1">
      <alignment horizontal="center"/>
    </xf>
    <xf numFmtId="0" fontId="7" fillId="9" borderId="8" xfId="0" applyFont="1" applyFill="1" applyBorder="1" applyAlignment="1">
      <alignment horizontal="center" vertical="center"/>
    </xf>
    <xf numFmtId="2" fontId="7" fillId="9" borderId="7" xfId="0" applyNumberFormat="1" applyFont="1" applyFill="1" applyBorder="1" applyAlignment="1">
      <alignment horizontal="center" vertical="center"/>
    </xf>
    <xf numFmtId="2" fontId="7" fillId="9" borderId="8" xfId="0" applyNumberFormat="1" applyFont="1" applyFill="1" applyBorder="1" applyAlignment="1">
      <alignment horizontal="center" vertical="center"/>
    </xf>
    <xf numFmtId="2" fontId="7" fillId="9" borderId="9" xfId="0" applyNumberFormat="1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2" fontId="7" fillId="4" borderId="7" xfId="0" applyNumberFormat="1" applyFont="1" applyFill="1" applyBorder="1" applyAlignment="1">
      <alignment horizontal="center" vertical="center"/>
    </xf>
    <xf numFmtId="2" fontId="7" fillId="4" borderId="8" xfId="0" applyNumberFormat="1" applyFont="1" applyFill="1" applyBorder="1" applyAlignment="1">
      <alignment horizontal="center" vertical="center"/>
    </xf>
    <xf numFmtId="167" fontId="7" fillId="4" borderId="7" xfId="0" applyNumberFormat="1" applyFont="1" applyFill="1" applyBorder="1" applyAlignment="1">
      <alignment horizontal="center" vertical="center"/>
    </xf>
    <xf numFmtId="167" fontId="7" fillId="4" borderId="8" xfId="0" applyNumberFormat="1" applyFont="1" applyFill="1" applyBorder="1" applyAlignment="1">
      <alignment horizontal="center" vertical="center"/>
    </xf>
    <xf numFmtId="2" fontId="7" fillId="4" borderId="9" xfId="0" applyNumberFormat="1" applyFont="1" applyFill="1" applyBorder="1" applyAlignment="1">
      <alignment horizontal="center" vertical="center"/>
    </xf>
    <xf numFmtId="9" fontId="2" fillId="0" borderId="0" xfId="5" applyFont="1" applyAlignment="1">
      <alignment horizontal="center" vertical="center"/>
    </xf>
    <xf numFmtId="1" fontId="2" fillId="0" borderId="18" xfId="0" applyNumberFormat="1" applyFont="1" applyBorder="1" applyAlignment="1">
      <alignment horizontal="center" vertical="center"/>
    </xf>
    <xf numFmtId="1" fontId="2" fillId="0" borderId="19" xfId="0" applyNumberFormat="1" applyFont="1" applyBorder="1" applyAlignment="1">
      <alignment horizontal="center" vertical="center"/>
    </xf>
    <xf numFmtId="1" fontId="2" fillId="0" borderId="27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2" fontId="2" fillId="0" borderId="8" xfId="1" applyNumberFormat="1" applyFont="1" applyBorder="1" applyAlignment="1">
      <alignment horizontal="center"/>
    </xf>
    <xf numFmtId="2" fontId="2" fillId="0" borderId="9" xfId="1" applyNumberFormat="1" applyFont="1" applyBorder="1" applyAlignment="1">
      <alignment horizontal="center"/>
    </xf>
    <xf numFmtId="0" fontId="7" fillId="4" borderId="25" xfId="0" applyFont="1" applyFill="1" applyBorder="1" applyAlignment="1">
      <alignment horizontal="center"/>
    </xf>
    <xf numFmtId="0" fontId="7" fillId="4" borderId="26" xfId="0" applyFont="1" applyFill="1" applyBorder="1" applyAlignment="1">
      <alignment horizontal="center"/>
    </xf>
    <xf numFmtId="2" fontId="7" fillId="4" borderId="25" xfId="0" applyNumberFormat="1" applyFont="1" applyFill="1" applyBorder="1" applyAlignment="1">
      <alignment horizontal="center"/>
    </xf>
    <xf numFmtId="2" fontId="7" fillId="4" borderId="26" xfId="0" applyNumberFormat="1" applyFont="1" applyFill="1" applyBorder="1" applyAlignment="1">
      <alignment horizontal="center"/>
    </xf>
    <xf numFmtId="0" fontId="7" fillId="9" borderId="25" xfId="0" applyFont="1" applyFill="1" applyBorder="1" applyAlignment="1">
      <alignment horizontal="center"/>
    </xf>
    <xf numFmtId="0" fontId="7" fillId="9" borderId="26" xfId="0" applyFont="1" applyFill="1" applyBorder="1" applyAlignment="1">
      <alignment horizontal="center"/>
    </xf>
    <xf numFmtId="2" fontId="2" fillId="4" borderId="25" xfId="1" applyNumberFormat="1" applyFont="1" applyFill="1" applyBorder="1" applyAlignment="1">
      <alignment horizontal="center"/>
    </xf>
    <xf numFmtId="2" fontId="2" fillId="4" borderId="26" xfId="1" applyNumberFormat="1" applyFont="1" applyFill="1" applyBorder="1" applyAlignment="1">
      <alignment horizontal="center"/>
    </xf>
    <xf numFmtId="2" fontId="7" fillId="9" borderId="25" xfId="0" applyNumberFormat="1" applyFont="1" applyFill="1" applyBorder="1" applyAlignment="1">
      <alignment horizontal="center"/>
    </xf>
    <xf numFmtId="2" fontId="7" fillId="9" borderId="26" xfId="0" applyNumberFormat="1" applyFont="1" applyFill="1" applyBorder="1" applyAlignment="1">
      <alignment horizontal="center"/>
    </xf>
    <xf numFmtId="2" fontId="2" fillId="4" borderId="25" xfId="0" applyNumberFormat="1" applyFont="1" applyFill="1" applyBorder="1" applyAlignment="1">
      <alignment horizontal="center"/>
    </xf>
    <xf numFmtId="2" fontId="2" fillId="4" borderId="26" xfId="0" applyNumberFormat="1" applyFont="1" applyFill="1" applyBorder="1" applyAlignment="1">
      <alignment horizontal="center"/>
    </xf>
    <xf numFmtId="2" fontId="2" fillId="0" borderId="0" xfId="1" applyNumberFormat="1" applyFont="1" applyBorder="1" applyAlignment="1">
      <alignment horizontal="center"/>
    </xf>
    <xf numFmtId="2" fontId="2" fillId="0" borderId="3" xfId="1" applyNumberFormat="1" applyFont="1" applyBorder="1" applyAlignment="1">
      <alignment horizontal="center"/>
    </xf>
    <xf numFmtId="0" fontId="7" fillId="6" borderId="23" xfId="0" applyFont="1" applyFill="1" applyBorder="1" applyAlignment="1">
      <alignment horizontal="center"/>
    </xf>
    <xf numFmtId="0" fontId="7" fillId="6" borderId="20" xfId="0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0" fontId="7" fillId="6" borderId="9" xfId="0" applyFont="1" applyFill="1" applyBorder="1" applyAlignment="1">
      <alignment horizontal="center"/>
    </xf>
    <xf numFmtId="2" fontId="7" fillId="6" borderId="8" xfId="0" applyNumberFormat="1" applyFont="1" applyFill="1" applyBorder="1" applyAlignment="1">
      <alignment horizontal="center"/>
    </xf>
    <xf numFmtId="2" fontId="7" fillId="6" borderId="9" xfId="0" applyNumberFormat="1" applyFont="1" applyFill="1" applyBorder="1" applyAlignment="1">
      <alignment horizontal="center"/>
    </xf>
    <xf numFmtId="0" fontId="7" fillId="6" borderId="24" xfId="0" applyFont="1" applyFill="1" applyBorder="1" applyAlignment="1">
      <alignment horizontal="center"/>
    </xf>
    <xf numFmtId="0" fontId="7" fillId="6" borderId="25" xfId="0" applyFont="1" applyFill="1" applyBorder="1" applyAlignment="1">
      <alignment horizontal="center"/>
    </xf>
    <xf numFmtId="0" fontId="2" fillId="7" borderId="18" xfId="1" applyNumberFormat="1" applyFont="1" applyFill="1" applyBorder="1" applyAlignment="1">
      <alignment horizontal="center" vertical="center"/>
    </xf>
    <xf numFmtId="0" fontId="2" fillId="7" borderId="19" xfId="1" applyNumberFormat="1" applyFont="1" applyFill="1" applyBorder="1" applyAlignment="1">
      <alignment horizontal="center" vertical="center"/>
    </xf>
    <xf numFmtId="0" fontId="2" fillId="7" borderId="27" xfId="1" applyNumberFormat="1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/>
    </xf>
    <xf numFmtId="2" fontId="7" fillId="6" borderId="25" xfId="0" applyNumberFormat="1" applyFont="1" applyFill="1" applyBorder="1" applyAlignment="1">
      <alignment horizontal="center"/>
    </xf>
    <xf numFmtId="2" fontId="7" fillId="6" borderId="26" xfId="0" applyNumberFormat="1" applyFont="1" applyFill="1" applyBorder="1" applyAlignment="1">
      <alignment horizontal="center"/>
    </xf>
    <xf numFmtId="1" fontId="7" fillId="0" borderId="18" xfId="0" applyNumberFormat="1" applyFont="1" applyBorder="1" applyAlignment="1">
      <alignment horizontal="center" vertical="center"/>
    </xf>
    <xf numFmtId="1" fontId="7" fillId="0" borderId="19" xfId="0" applyNumberFormat="1" applyFont="1" applyBorder="1" applyAlignment="1">
      <alignment horizontal="center" vertical="center"/>
    </xf>
    <xf numFmtId="1" fontId="7" fillId="0" borderId="27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24" xfId="0" applyNumberFormat="1" applyFont="1" applyBorder="1" applyAlignment="1">
      <alignment horizontal="center" vertical="center"/>
    </xf>
    <xf numFmtId="1" fontId="7" fillId="0" borderId="25" xfId="0" applyNumberFormat="1" applyFont="1" applyBorder="1" applyAlignment="1">
      <alignment horizontal="center" vertical="center"/>
    </xf>
    <xf numFmtId="1" fontId="7" fillId="0" borderId="26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2" fontId="2" fillId="0" borderId="18" xfId="0" applyNumberFormat="1" applyFont="1" applyBorder="1" applyAlignment="1">
      <alignment horizontal="center" vertical="center"/>
    </xf>
    <xf numFmtId="2" fontId="2" fillId="0" borderId="19" xfId="0" applyNumberFormat="1" applyFont="1" applyBorder="1" applyAlignment="1">
      <alignment horizontal="center" vertical="center"/>
    </xf>
    <xf numFmtId="2" fontId="2" fillId="0" borderId="27" xfId="0" applyNumberFormat="1" applyFont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2" fontId="7" fillId="4" borderId="24" xfId="0" applyNumberFormat="1" applyFont="1" applyFill="1" applyBorder="1" applyAlignment="1">
      <alignment horizontal="center" vertical="center"/>
    </xf>
    <xf numFmtId="2" fontId="7" fillId="4" borderId="25" xfId="0" applyNumberFormat="1" applyFont="1" applyFill="1" applyBorder="1" applyAlignment="1">
      <alignment horizontal="center" vertical="center"/>
    </xf>
    <xf numFmtId="167" fontId="7" fillId="4" borderId="24" xfId="0" applyNumberFormat="1" applyFont="1" applyFill="1" applyBorder="1" applyAlignment="1">
      <alignment horizontal="center" vertical="center"/>
    </xf>
    <xf numFmtId="167" fontId="7" fillId="4" borderId="25" xfId="0" applyNumberFormat="1" applyFont="1" applyFill="1" applyBorder="1" applyAlignment="1">
      <alignment horizontal="center" vertical="center"/>
    </xf>
    <xf numFmtId="2" fontId="7" fillId="4" borderId="26" xfId="0" applyNumberFormat="1" applyFont="1" applyFill="1" applyBorder="1" applyAlignment="1">
      <alignment horizontal="center" vertical="center"/>
    </xf>
    <xf numFmtId="0" fontId="7" fillId="9" borderId="25" xfId="0" applyFont="1" applyFill="1" applyBorder="1" applyAlignment="1">
      <alignment horizontal="center" vertical="center"/>
    </xf>
    <xf numFmtId="2" fontId="7" fillId="9" borderId="24" xfId="0" applyNumberFormat="1" applyFont="1" applyFill="1" applyBorder="1" applyAlignment="1">
      <alignment horizontal="center" vertical="center"/>
    </xf>
    <xf numFmtId="2" fontId="7" fillId="9" borderId="25" xfId="0" applyNumberFormat="1" applyFont="1" applyFill="1" applyBorder="1" applyAlignment="1">
      <alignment horizontal="center" vertical="center"/>
    </xf>
    <xf numFmtId="2" fontId="7" fillId="9" borderId="26" xfId="0" applyNumberFormat="1" applyFont="1" applyFill="1" applyBorder="1" applyAlignment="1">
      <alignment horizontal="center" vertical="center"/>
    </xf>
    <xf numFmtId="0" fontId="7" fillId="9" borderId="15" xfId="0" applyFont="1" applyFill="1" applyBorder="1" applyAlignment="1">
      <alignment horizontal="center"/>
    </xf>
    <xf numFmtId="2" fontId="7" fillId="9" borderId="14" xfId="0" applyNumberFormat="1" applyFont="1" applyFill="1" applyBorder="1" applyAlignment="1">
      <alignment horizontal="center"/>
    </xf>
    <xf numFmtId="2" fontId="7" fillId="9" borderId="15" xfId="0" applyNumberFormat="1" applyFont="1" applyFill="1" applyBorder="1" applyAlignment="1">
      <alignment horizontal="center"/>
    </xf>
    <xf numFmtId="0" fontId="7" fillId="9" borderId="16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7" fillId="6" borderId="23" xfId="0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2" fontId="7" fillId="6" borderId="8" xfId="0" applyNumberFormat="1" applyFont="1" applyFill="1" applyBorder="1" applyAlignment="1">
      <alignment horizontal="center" vertical="center"/>
    </xf>
    <xf numFmtId="2" fontId="7" fillId="6" borderId="9" xfId="0" applyNumberFormat="1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2" fontId="7" fillId="6" borderId="19" xfId="0" applyNumberFormat="1" applyFont="1" applyFill="1" applyBorder="1" applyAlignment="1">
      <alignment horizontal="center" vertical="center"/>
    </xf>
    <xf numFmtId="2" fontId="7" fillId="6" borderId="27" xfId="0" applyNumberFormat="1" applyFont="1" applyFill="1" applyBorder="1" applyAlignment="1">
      <alignment horizontal="center" vertical="center"/>
    </xf>
    <xf numFmtId="0" fontId="7" fillId="9" borderId="26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2" fontId="7" fillId="9" borderId="15" xfId="0" applyNumberFormat="1" applyFont="1" applyFill="1" applyBorder="1" applyAlignment="1">
      <alignment horizontal="center" vertical="center"/>
    </xf>
    <xf numFmtId="2" fontId="7" fillId="9" borderId="14" xfId="0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2" fontId="7" fillId="0" borderId="7" xfId="0" applyNumberFormat="1" applyFont="1" applyBorder="1" applyAlignment="1">
      <alignment horizontal="center"/>
    </xf>
    <xf numFmtId="2" fontId="7" fillId="0" borderId="8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2" fontId="7" fillId="4" borderId="7" xfId="0" applyNumberFormat="1" applyFont="1" applyFill="1" applyBorder="1" applyAlignment="1">
      <alignment horizontal="center"/>
    </xf>
    <xf numFmtId="2" fontId="7" fillId="9" borderId="7" xfId="0" applyNumberFormat="1" applyFont="1" applyFill="1" applyBorder="1" applyAlignment="1">
      <alignment horizontal="center"/>
    </xf>
    <xf numFmtId="0" fontId="7" fillId="0" borderId="19" xfId="0" applyFont="1" applyBorder="1" applyAlignment="1">
      <alignment horizontal="center"/>
    </xf>
    <xf numFmtId="2" fontId="7" fillId="9" borderId="16" xfId="0" applyNumberFormat="1" applyFont="1" applyFill="1" applyBorder="1" applyAlignment="1">
      <alignment horizontal="center"/>
    </xf>
    <xf numFmtId="2" fontId="2" fillId="0" borderId="22" xfId="0" applyNumberFormat="1" applyFont="1" applyBorder="1" applyAlignment="1">
      <alignment horizontal="center"/>
    </xf>
    <xf numFmtId="0" fontId="7" fillId="6" borderId="15" xfId="0" applyFont="1" applyFill="1" applyBorder="1" applyAlignment="1">
      <alignment horizontal="center"/>
    </xf>
    <xf numFmtId="2" fontId="7" fillId="6" borderId="14" xfId="0" applyNumberFormat="1" applyFont="1" applyFill="1" applyBorder="1" applyAlignment="1">
      <alignment horizontal="center"/>
    </xf>
    <xf numFmtId="2" fontId="7" fillId="6" borderId="15" xfId="0" applyNumberFormat="1" applyFont="1" applyFill="1" applyBorder="1" applyAlignment="1">
      <alignment horizontal="center"/>
    </xf>
    <xf numFmtId="2" fontId="7" fillId="6" borderId="16" xfId="0" applyNumberFormat="1" applyFont="1" applyFill="1" applyBorder="1" applyAlignment="1">
      <alignment horizontal="center"/>
    </xf>
    <xf numFmtId="2" fontId="2" fillId="8" borderId="0" xfId="0" applyNumberFormat="1" applyFont="1" applyFill="1" applyAlignment="1">
      <alignment horizontal="center" vertical="center"/>
    </xf>
    <xf numFmtId="2" fontId="2" fillId="8" borderId="0" xfId="0" applyNumberFormat="1" applyFont="1" applyFill="1" applyAlignment="1">
      <alignment horizontal="center"/>
    </xf>
    <xf numFmtId="0" fontId="2" fillId="0" borderId="25" xfId="0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2" fontId="2" fillId="0" borderId="26" xfId="0" applyNumberFormat="1" applyFont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7" fillId="6" borderId="25" xfId="0" applyFont="1" applyFill="1" applyBorder="1" applyAlignment="1">
      <alignment horizontal="center" vertical="center"/>
    </xf>
    <xf numFmtId="0" fontId="7" fillId="6" borderId="26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2" fontId="2" fillId="0" borderId="24" xfId="0" applyNumberFormat="1" applyFont="1" applyBorder="1" applyAlignment="1">
      <alignment horizontal="center" vertical="center"/>
    </xf>
    <xf numFmtId="2" fontId="2" fillId="0" borderId="25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2" fontId="7" fillId="9" borderId="24" xfId="0" applyNumberFormat="1" applyFont="1" applyFill="1" applyBorder="1" applyAlignment="1">
      <alignment horizontal="center"/>
    </xf>
    <xf numFmtId="2" fontId="2" fillId="8" borderId="19" xfId="0" applyNumberFormat="1" applyFont="1" applyFill="1" applyBorder="1" applyAlignment="1">
      <alignment horizontal="center"/>
    </xf>
    <xf numFmtId="2" fontId="2" fillId="0" borderId="0" xfId="0" applyNumberFormat="1" applyFont="1"/>
    <xf numFmtId="9" fontId="2" fillId="0" borderId="0" xfId="5" applyFont="1" applyAlignment="1"/>
    <xf numFmtId="1" fontId="2" fillId="0" borderId="0" xfId="0" applyNumberFormat="1" applyFont="1"/>
    <xf numFmtId="166" fontId="8" fillId="0" borderId="0" xfId="1" applyNumberFormat="1" applyFont="1" applyFill="1"/>
    <xf numFmtId="166" fontId="2" fillId="8" borderId="0" xfId="1" applyNumberFormat="1" applyFont="1" applyFill="1"/>
    <xf numFmtId="0" fontId="8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43" fontId="2" fillId="0" borderId="0" xfId="1" applyFont="1"/>
    <xf numFmtId="43" fontId="2" fillId="0" borderId="0" xfId="1" applyFont="1" applyAlignment="1"/>
    <xf numFmtId="43" fontId="2" fillId="0" borderId="0" xfId="1" applyFont="1" applyAlignment="1">
      <alignment horizontal="center"/>
    </xf>
    <xf numFmtId="43" fontId="7" fillId="0" borderId="0" xfId="1" applyFont="1" applyAlignment="1">
      <alignment horizontal="center"/>
    </xf>
    <xf numFmtId="0" fontId="2" fillId="0" borderId="0" xfId="0" quotePrefix="1" applyFont="1" applyAlignment="1">
      <alignment horizontal="center"/>
    </xf>
    <xf numFmtId="2" fontId="13" fillId="0" borderId="0" xfId="0" applyNumberFormat="1" applyFont="1" applyAlignment="1">
      <alignment horizontal="center"/>
    </xf>
    <xf numFmtId="2" fontId="13" fillId="0" borderId="19" xfId="0" applyNumberFormat="1" applyFont="1" applyBorder="1" applyAlignment="1">
      <alignment horizontal="center"/>
    </xf>
    <xf numFmtId="2" fontId="13" fillId="0" borderId="25" xfId="0" applyNumberFormat="1" applyFont="1" applyBorder="1" applyAlignment="1">
      <alignment horizontal="center"/>
    </xf>
    <xf numFmtId="43" fontId="13" fillId="0" borderId="0" xfId="1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quotePrefix="1" applyFont="1" applyAlignment="1">
      <alignment horizontal="center"/>
    </xf>
    <xf numFmtId="2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8" xfId="0" applyFont="1" applyBorder="1"/>
    <xf numFmtId="0" fontId="13" fillId="0" borderId="0" xfId="0" applyFont="1"/>
    <xf numFmtId="43" fontId="2" fillId="0" borderId="0" xfId="1" applyFont="1" applyBorder="1" applyAlignment="1">
      <alignment horizontal="center" vertical="center"/>
    </xf>
    <xf numFmtId="0" fontId="7" fillId="10" borderId="7" xfId="0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7" fillId="11" borderId="24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7" fillId="12" borderId="24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7" xfId="0" applyFont="1" applyFill="1" applyBorder="1" applyAlignment="1">
      <alignment horizontal="center" vertical="center"/>
    </xf>
    <xf numFmtId="2" fontId="13" fillId="0" borderId="27" xfId="0" applyNumberFormat="1" applyFont="1" applyBorder="1" applyAlignment="1">
      <alignment horizontal="center"/>
    </xf>
    <xf numFmtId="2" fontId="13" fillId="0" borderId="3" xfId="0" applyNumberFormat="1" applyFont="1" applyBorder="1" applyAlignment="1">
      <alignment horizontal="center"/>
    </xf>
    <xf numFmtId="2" fontId="13" fillId="0" borderId="9" xfId="0" applyNumberFormat="1" applyFont="1" applyBorder="1" applyAlignment="1">
      <alignment horizontal="center"/>
    </xf>
    <xf numFmtId="2" fontId="12" fillId="9" borderId="28" xfId="0" applyNumberFormat="1" applyFont="1" applyFill="1" applyBorder="1" applyAlignment="1">
      <alignment horizontal="center" vertical="center"/>
    </xf>
    <xf numFmtId="2" fontId="12" fillId="9" borderId="26" xfId="0" applyNumberFormat="1" applyFont="1" applyFill="1" applyBorder="1" applyAlignment="1">
      <alignment horizontal="center" vertical="center"/>
    </xf>
    <xf numFmtId="2" fontId="13" fillId="0" borderId="29" xfId="0" applyNumberFormat="1" applyFont="1" applyBorder="1" applyAlignment="1">
      <alignment horizontal="center" vertical="center"/>
    </xf>
    <xf numFmtId="2" fontId="13" fillId="0" borderId="30" xfId="0" applyNumberFormat="1" applyFont="1" applyBorder="1" applyAlignment="1">
      <alignment horizontal="center" vertical="center"/>
    </xf>
    <xf numFmtId="0" fontId="7" fillId="10" borderId="14" xfId="0" applyFont="1" applyFill="1" applyBorder="1" applyAlignment="1">
      <alignment horizontal="center"/>
    </xf>
    <xf numFmtId="0" fontId="7" fillId="10" borderId="18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2" fillId="10" borderId="7" xfId="0" applyFont="1" applyFill="1" applyBorder="1" applyAlignment="1">
      <alignment horizontal="center"/>
    </xf>
    <xf numFmtId="0" fontId="7" fillId="10" borderId="7" xfId="0" applyFont="1" applyFill="1" applyBorder="1" applyAlignment="1">
      <alignment horizontal="center"/>
    </xf>
    <xf numFmtId="0" fontId="2" fillId="10" borderId="18" xfId="0" applyFont="1" applyFill="1" applyBorder="1" applyAlignment="1">
      <alignment horizontal="center"/>
    </xf>
    <xf numFmtId="0" fontId="7" fillId="11" borderId="7" xfId="0" applyFont="1" applyFill="1" applyBorder="1" applyAlignment="1">
      <alignment horizontal="center"/>
    </xf>
    <xf numFmtId="0" fontId="2" fillId="11" borderId="18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7" xfId="0" applyFont="1" applyFill="1" applyBorder="1" applyAlignment="1">
      <alignment horizontal="center"/>
    </xf>
    <xf numFmtId="0" fontId="7" fillId="12" borderId="7" xfId="0" applyFont="1" applyFill="1" applyBorder="1" applyAlignment="1">
      <alignment horizontal="center"/>
    </xf>
    <xf numFmtId="0" fontId="2" fillId="12" borderId="24" xfId="0" applyFont="1" applyFill="1" applyBorder="1" applyAlignment="1">
      <alignment horizontal="center"/>
    </xf>
    <xf numFmtId="2" fontId="12" fillId="9" borderId="28" xfId="0" applyNumberFormat="1" applyFont="1" applyFill="1" applyBorder="1" applyAlignment="1">
      <alignment horizontal="center"/>
    </xf>
    <xf numFmtId="2" fontId="13" fillId="0" borderId="29" xfId="0" applyNumberFormat="1" applyFont="1" applyBorder="1" applyAlignment="1">
      <alignment horizontal="center"/>
    </xf>
    <xf numFmtId="2" fontId="13" fillId="0" borderId="30" xfId="0" applyNumberFormat="1" applyFont="1" applyBorder="1" applyAlignment="1">
      <alignment horizontal="center"/>
    </xf>
    <xf numFmtId="0" fontId="7" fillId="13" borderId="24" xfId="0" applyFont="1" applyFill="1" applyBorder="1" applyAlignment="1">
      <alignment horizontal="center"/>
    </xf>
    <xf numFmtId="0" fontId="2" fillId="13" borderId="18" xfId="0" applyFont="1" applyFill="1" applyBorder="1" applyAlignment="1">
      <alignment horizontal="center"/>
    </xf>
    <xf numFmtId="0" fontId="2" fillId="13" borderId="7" xfId="0" applyFont="1" applyFill="1" applyBorder="1" applyAlignment="1">
      <alignment horizontal="center"/>
    </xf>
    <xf numFmtId="0" fontId="7" fillId="13" borderId="7" xfId="0" applyFont="1" applyFill="1" applyBorder="1" applyAlignment="1">
      <alignment horizontal="center"/>
    </xf>
    <xf numFmtId="0" fontId="13" fillId="0" borderId="29" xfId="0" applyFont="1" applyBorder="1" applyAlignment="1">
      <alignment horizontal="center"/>
    </xf>
    <xf numFmtId="0" fontId="2" fillId="13" borderId="2" xfId="0" applyFont="1" applyFill="1" applyBorder="1" applyAlignment="1">
      <alignment horizontal="center"/>
    </xf>
    <xf numFmtId="0" fontId="7" fillId="10" borderId="24" xfId="0" applyFont="1" applyFill="1" applyBorder="1" applyAlignment="1">
      <alignment horizontal="center" vertical="center"/>
    </xf>
    <xf numFmtId="0" fontId="2" fillId="11" borderId="18" xfId="0" applyFont="1" applyFill="1" applyBorder="1" applyAlignment="1">
      <alignment horizontal="center" vertical="center"/>
    </xf>
    <xf numFmtId="0" fontId="7" fillId="13" borderId="24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13" borderId="24" xfId="0" applyFont="1" applyFill="1" applyBorder="1" applyAlignment="1">
      <alignment horizontal="center" vertical="center"/>
    </xf>
    <xf numFmtId="2" fontId="11" fillId="0" borderId="27" xfId="0" applyNumberFormat="1" applyFont="1" applyBorder="1" applyAlignment="1">
      <alignment horizontal="center" vertical="center"/>
    </xf>
    <xf numFmtId="2" fontId="11" fillId="0" borderId="3" xfId="0" applyNumberFormat="1" applyFont="1" applyBorder="1" applyAlignment="1">
      <alignment horizontal="center" vertical="center"/>
    </xf>
    <xf numFmtId="2" fontId="11" fillId="0" borderId="9" xfId="0" applyNumberFormat="1" applyFont="1" applyBorder="1" applyAlignment="1">
      <alignment horizontal="center" vertical="center"/>
    </xf>
    <xf numFmtId="2" fontId="11" fillId="0" borderId="26" xfId="0" applyNumberFormat="1" applyFont="1" applyBorder="1" applyAlignment="1">
      <alignment horizontal="center" vertical="center"/>
    </xf>
    <xf numFmtId="2" fontId="12" fillId="6" borderId="28" xfId="0" applyNumberFormat="1" applyFont="1" applyFill="1" applyBorder="1" applyAlignment="1">
      <alignment horizontal="center" vertical="center"/>
    </xf>
    <xf numFmtId="2" fontId="12" fillId="6" borderId="31" xfId="0" applyNumberFormat="1" applyFont="1" applyFill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7" fillId="10" borderId="24" xfId="0" applyFont="1" applyFill="1" applyBorder="1" applyAlignment="1">
      <alignment horizontal="center"/>
    </xf>
    <xf numFmtId="0" fontId="2" fillId="10" borderId="21" xfId="0" applyFont="1" applyFill="1" applyBorder="1" applyAlignment="1">
      <alignment horizontal="center"/>
    </xf>
    <xf numFmtId="0" fontId="7" fillId="11" borderId="24" xfId="0" applyFont="1" applyFill="1" applyBorder="1" applyAlignment="1">
      <alignment horizontal="center"/>
    </xf>
    <xf numFmtId="0" fontId="2" fillId="11" borderId="21" xfId="0" applyFont="1" applyFill="1" applyBorder="1" applyAlignment="1">
      <alignment horizontal="center"/>
    </xf>
    <xf numFmtId="0" fontId="2" fillId="13" borderId="21" xfId="0" applyFont="1" applyFill="1" applyBorder="1" applyAlignment="1">
      <alignment horizontal="center"/>
    </xf>
    <xf numFmtId="2" fontId="13" fillId="0" borderId="32" xfId="0" applyNumberFormat="1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7" fillId="10" borderId="23" xfId="0" applyFont="1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2" fillId="10" borderId="8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7" fillId="13" borderId="23" xfId="0" applyFont="1" applyFill="1" applyBorder="1" applyAlignment="1">
      <alignment horizontal="center"/>
    </xf>
    <xf numFmtId="0" fontId="2" fillId="13" borderId="24" xfId="0" applyFont="1" applyFill="1" applyBorder="1" applyAlignment="1">
      <alignment horizontal="center"/>
    </xf>
    <xf numFmtId="2" fontId="12" fillId="6" borderId="28" xfId="0" applyNumberFormat="1" applyFont="1" applyFill="1" applyBorder="1" applyAlignment="1">
      <alignment horizontal="center"/>
    </xf>
    <xf numFmtId="2" fontId="2" fillId="0" borderId="28" xfId="0" applyNumberFormat="1" applyFont="1" applyBorder="1" applyAlignment="1">
      <alignment horizontal="center"/>
    </xf>
    <xf numFmtId="2" fontId="13" fillId="0" borderId="28" xfId="0" applyNumberFormat="1" applyFont="1" applyBorder="1" applyAlignment="1">
      <alignment horizontal="center"/>
    </xf>
    <xf numFmtId="2" fontId="12" fillId="9" borderId="31" xfId="0" applyNumberFormat="1" applyFont="1" applyFill="1" applyBorder="1" applyAlignment="1">
      <alignment horizontal="center"/>
    </xf>
    <xf numFmtId="2" fontId="13" fillId="0" borderId="31" xfId="0" applyNumberFormat="1" applyFont="1" applyBorder="1" applyAlignment="1">
      <alignment horizontal="center"/>
    </xf>
    <xf numFmtId="2" fontId="2" fillId="8" borderId="3" xfId="0" applyNumberFormat="1" applyFont="1" applyFill="1" applyBorder="1" applyAlignment="1">
      <alignment horizontal="center" vertical="center"/>
    </xf>
    <xf numFmtId="0" fontId="2" fillId="10" borderId="24" xfId="0" applyFont="1" applyFill="1" applyBorder="1" applyAlignment="1">
      <alignment horizontal="center"/>
    </xf>
    <xf numFmtId="0" fontId="2" fillId="11" borderId="24" xfId="0" applyFont="1" applyFill="1" applyBorder="1" applyAlignment="1">
      <alignment horizontal="center"/>
    </xf>
    <xf numFmtId="0" fontId="7" fillId="13" borderId="14" xfId="0" applyFont="1" applyFill="1" applyBorder="1" applyAlignment="1">
      <alignment horizontal="center"/>
    </xf>
    <xf numFmtId="0" fontId="7" fillId="11" borderId="1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2" fontId="8" fillId="0" borderId="3" xfId="0" applyNumberFormat="1" applyFont="1" applyBorder="1" applyAlignment="1">
      <alignment horizontal="center"/>
    </xf>
    <xf numFmtId="166" fontId="8" fillId="0" borderId="0" xfId="1" applyNumberFormat="1" applyFont="1" applyFill="1" applyBorder="1"/>
    <xf numFmtId="166" fontId="8" fillId="0" borderId="3" xfId="1" applyNumberFormat="1" applyFont="1" applyFill="1" applyBorder="1"/>
    <xf numFmtId="166" fontId="8" fillId="0" borderId="0" xfId="1" applyNumberFormat="1" applyFont="1"/>
    <xf numFmtId="0" fontId="2" fillId="0" borderId="27" xfId="0" applyFont="1" applyBorder="1" applyAlignment="1">
      <alignment horizontal="center" vertical="center"/>
    </xf>
    <xf numFmtId="2" fontId="13" fillId="0" borderId="7" xfId="0" applyNumberFormat="1" applyFont="1" applyBorder="1" applyAlignment="1">
      <alignment horizontal="center" vertical="center"/>
    </xf>
    <xf numFmtId="166" fontId="2" fillId="0" borderId="33" xfId="1" applyNumberFormat="1" applyFont="1" applyFill="1" applyBorder="1"/>
    <xf numFmtId="168" fontId="2" fillId="0" borderId="0" xfId="5" applyNumberFormat="1" applyFont="1" applyAlignment="1"/>
    <xf numFmtId="2" fontId="2" fillId="8" borderId="27" xfId="0" applyNumberFormat="1" applyFont="1" applyFill="1" applyBorder="1" applyAlignment="1">
      <alignment horizontal="center"/>
    </xf>
    <xf numFmtId="9" fontId="2" fillId="0" borderId="0" xfId="5" applyFont="1" applyBorder="1" applyAlignment="1">
      <alignment horizontal="center" vertical="center"/>
    </xf>
    <xf numFmtId="167" fontId="7" fillId="4" borderId="9" xfId="0" applyNumberFormat="1" applyFont="1" applyFill="1" applyBorder="1" applyAlignment="1">
      <alignment horizontal="center" vertical="center"/>
    </xf>
    <xf numFmtId="167" fontId="7" fillId="4" borderId="26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8" borderId="0" xfId="0" applyFont="1" applyFill="1" applyAlignment="1">
      <alignment horizontal="left"/>
    </xf>
    <xf numFmtId="1" fontId="2" fillId="0" borderId="0" xfId="1" applyNumberFormat="1" applyFont="1"/>
    <xf numFmtId="1" fontId="2" fillId="0" borderId="0" xfId="1" applyNumberFormat="1" applyFont="1" applyFill="1"/>
    <xf numFmtId="1" fontId="8" fillId="0" borderId="0" xfId="1" applyNumberFormat="1" applyFont="1" applyFill="1"/>
    <xf numFmtId="9" fontId="2" fillId="0" borderId="0" xfId="5" applyFont="1" applyAlignment="1">
      <alignment horizontal="center"/>
    </xf>
  </cellXfs>
  <cellStyles count="6">
    <cellStyle name="Comma 4 4" xfId="4" xr:uid="{AE9B0B7E-51AF-44FF-B324-BFD7869826CF}"/>
    <cellStyle name="一般" xfId="0" builtinId="0"/>
    <cellStyle name="一般 2" xfId="2" xr:uid="{193518D5-0B1F-4134-BC29-7172DDD97D3B}"/>
    <cellStyle name="千分位" xfId="1" builtinId="3"/>
    <cellStyle name="百分比" xfId="5" builtinId="5"/>
    <cellStyle name="百分比 2" xfId="3" xr:uid="{4F940C1D-0D2F-45EB-9D15-30776E86E924}"/>
  </cellStyles>
  <dxfs count="8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fgColor theme="2" tint="-0.499984740745262"/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fgColor theme="2" tint="-0.499984740745262"/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fgColor theme="2" tint="-0.499984740745262"/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fgColor theme="2" tint="-0.499984740745262"/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fgColor theme="2" tint="-0.499984740745262"/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fgColor theme="2" tint="-0.499984740745262"/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fgColor theme="2" tint="-0.499984740745262"/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fgColor theme="2" tint="-0.499984740745262"/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fgColor theme="2" tint="-0.499984740745262"/>
          <bgColor theme="1" tint="0.3499862666707357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fgColor theme="2" tint="-0.499984740745262"/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fgColor theme="2" tint="-0.499984740745262"/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fgColor theme="2" tint="-0.499984740745262"/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fgColor theme="2" tint="-0.499984740745262"/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fgColor theme="2" tint="-0.499984740745262"/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fgColor theme="2" tint="-0.499984740745262"/>
          <bgColor theme="1" tint="0.34998626667073579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gone-my.sharepoint.com/personal/ko_ev_pg_com/Documents/Desktop/COSMED_offtake_2025.11.xlsx" TargetMode="External"/><Relationship Id="rId1" Type="http://schemas.openxmlformats.org/officeDocument/2006/relationships/externalLinkPath" Target="https://pgone-my.sharepoint.com/personal/ko_ev_pg_com/Documents/Desktop/COSMED_offtake_2025.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檢核表"/>
      <sheetName val="offline"/>
      <sheetName val="Offline Offtake"/>
      <sheetName val="Offline offtake summary"/>
      <sheetName val="EC Offtake"/>
      <sheetName val="O+O Offtake"/>
      <sheetName val="To cindi"/>
      <sheetName val="EC offtake summary"/>
      <sheetName val="O+O offtake summary"/>
      <sheetName val="O+O offtake summary (Hair revi)"/>
      <sheetName val="Home"/>
      <sheetName val="拍業績計算紙"/>
      <sheetName val="Home Redemption"/>
      <sheetName val="O+O offtake summary (Home)"/>
      <sheetName val="Hair Redemption"/>
      <sheetName val="O+O offtake summary (4)"/>
      <sheetName val="O+O offtake summary (2)"/>
      <sheetName val="O+O offtake summary (3)"/>
      <sheetName val="Sufficiency"/>
      <sheetName val="O+O offtake summary (5)"/>
      <sheetName val="Fy2425 target setting"/>
      <sheetName val="工作表2"/>
      <sheetName val="工作表1"/>
    </sheetNames>
    <sheetDataSet>
      <sheetData sheetId="0"/>
      <sheetData sheetId="1"/>
      <sheetData sheetId="2">
        <row r="522">
          <cell r="G522">
            <v>372457</v>
          </cell>
          <cell r="H522" t="str">
            <v>ARIEL超濃縮抗菌洗衣精930G瓶裝(微香型)</v>
          </cell>
          <cell r="N522">
            <v>135</v>
          </cell>
          <cell r="Q522" t="str">
            <v>on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41445</v>
          </cell>
          <cell r="AD522">
            <v>49545</v>
          </cell>
          <cell r="AE522">
            <v>17820</v>
          </cell>
          <cell r="AF522">
            <v>25650</v>
          </cell>
          <cell r="AG522">
            <v>26055</v>
          </cell>
          <cell r="AH522">
            <v>30780</v>
          </cell>
          <cell r="AI522">
            <v>20790</v>
          </cell>
          <cell r="AJ522">
            <v>20790</v>
          </cell>
          <cell r="AK522">
            <v>53190</v>
          </cell>
          <cell r="AL522">
            <v>109080</v>
          </cell>
          <cell r="AM522">
            <v>33075</v>
          </cell>
          <cell r="AN522">
            <v>45630</v>
          </cell>
          <cell r="AO522">
            <v>42120</v>
          </cell>
          <cell r="AP522">
            <v>17550</v>
          </cell>
          <cell r="AQ522">
            <v>19575</v>
          </cell>
          <cell r="AR522">
            <v>14040</v>
          </cell>
          <cell r="AS522">
            <v>21465</v>
          </cell>
          <cell r="AT522">
            <v>10395</v>
          </cell>
          <cell r="AU522">
            <v>3915</v>
          </cell>
          <cell r="AV522">
            <v>3780</v>
          </cell>
          <cell r="AW522">
            <v>1350</v>
          </cell>
          <cell r="AX522">
            <v>1350</v>
          </cell>
          <cell r="AY522">
            <v>675</v>
          </cell>
          <cell r="AZ522">
            <v>0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7155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  <cell r="BP522">
            <v>0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V522">
            <v>0</v>
          </cell>
          <cell r="BW522">
            <v>0</v>
          </cell>
          <cell r="BX522">
            <v>0</v>
          </cell>
          <cell r="BY522">
            <v>0</v>
          </cell>
          <cell r="BZ522">
            <v>0</v>
          </cell>
          <cell r="CA522">
            <v>0</v>
          </cell>
          <cell r="CB522">
            <v>0</v>
          </cell>
          <cell r="CC522">
            <v>0</v>
          </cell>
          <cell r="CD522">
            <v>0</v>
          </cell>
          <cell r="CE522">
            <v>0</v>
          </cell>
          <cell r="CF522">
            <v>0</v>
          </cell>
          <cell r="CG522">
            <v>0</v>
          </cell>
          <cell r="CH522">
            <v>0</v>
          </cell>
          <cell r="CI522">
            <v>0</v>
          </cell>
          <cell r="CJ522">
            <v>0</v>
          </cell>
          <cell r="CK522">
            <v>0</v>
          </cell>
          <cell r="CL522">
            <v>0</v>
          </cell>
          <cell r="CM522">
            <v>0</v>
          </cell>
          <cell r="CN522">
            <v>0</v>
          </cell>
          <cell r="CO522">
            <v>0</v>
          </cell>
          <cell r="CP522">
            <v>0</v>
          </cell>
          <cell r="CQ522">
            <v>0</v>
          </cell>
          <cell r="CR522">
            <v>0</v>
          </cell>
          <cell r="CS522">
            <v>0</v>
          </cell>
          <cell r="CT522">
            <v>0</v>
          </cell>
          <cell r="CU522">
            <v>0</v>
          </cell>
          <cell r="CV522">
            <v>0</v>
          </cell>
          <cell r="CW522">
            <v>0</v>
          </cell>
          <cell r="CX522">
            <v>0</v>
          </cell>
          <cell r="CY522">
            <v>0</v>
          </cell>
          <cell r="CZ522">
            <v>0</v>
          </cell>
          <cell r="DA522">
            <v>307</v>
          </cell>
          <cell r="DB522">
            <v>367</v>
          </cell>
          <cell r="DC522">
            <v>132</v>
          </cell>
          <cell r="DD522">
            <v>190</v>
          </cell>
          <cell r="DE522">
            <v>193</v>
          </cell>
          <cell r="DF522">
            <v>228</v>
          </cell>
          <cell r="DG522">
            <v>154</v>
          </cell>
          <cell r="DH522">
            <v>154</v>
          </cell>
          <cell r="DI522">
            <v>394</v>
          </cell>
          <cell r="DJ522">
            <v>808</v>
          </cell>
          <cell r="DK522">
            <v>245</v>
          </cell>
          <cell r="DL522">
            <v>338</v>
          </cell>
          <cell r="DM522">
            <v>312</v>
          </cell>
          <cell r="DN522">
            <v>130</v>
          </cell>
          <cell r="DO522">
            <v>145</v>
          </cell>
          <cell r="DP522">
            <v>104</v>
          </cell>
          <cell r="DQ522">
            <v>159</v>
          </cell>
          <cell r="DR522">
            <v>77</v>
          </cell>
          <cell r="DS522">
            <v>29</v>
          </cell>
          <cell r="DT522">
            <v>28</v>
          </cell>
          <cell r="DU522">
            <v>10</v>
          </cell>
          <cell r="DV522">
            <v>10</v>
          </cell>
          <cell r="DW522">
            <v>5</v>
          </cell>
          <cell r="DX522">
            <v>0</v>
          </cell>
          <cell r="DY522">
            <v>0</v>
          </cell>
          <cell r="DZ522">
            <v>0</v>
          </cell>
          <cell r="EA522">
            <v>0</v>
          </cell>
          <cell r="EB522">
            <v>0</v>
          </cell>
          <cell r="EC522">
            <v>0</v>
          </cell>
          <cell r="ED522">
            <v>0</v>
          </cell>
          <cell r="EE522">
            <v>0</v>
          </cell>
          <cell r="EF522">
            <v>53</v>
          </cell>
          <cell r="EG522">
            <v>0</v>
          </cell>
          <cell r="EH522">
            <v>0</v>
          </cell>
          <cell r="EI522">
            <v>0</v>
          </cell>
          <cell r="EJ522">
            <v>0</v>
          </cell>
          <cell r="EK522">
            <v>0</v>
          </cell>
          <cell r="EL522">
            <v>0</v>
          </cell>
          <cell r="EM522">
            <v>0</v>
          </cell>
          <cell r="EN522">
            <v>0</v>
          </cell>
          <cell r="EO522">
            <v>0</v>
          </cell>
          <cell r="EP522">
            <v>0</v>
          </cell>
          <cell r="EQ522">
            <v>0</v>
          </cell>
          <cell r="ER522">
            <v>0</v>
          </cell>
          <cell r="ES522">
            <v>0</v>
          </cell>
          <cell r="ET522">
            <v>0</v>
          </cell>
          <cell r="EU522">
            <v>0</v>
          </cell>
          <cell r="EV522">
            <v>0</v>
          </cell>
          <cell r="EW522">
            <v>0</v>
          </cell>
          <cell r="EX522">
            <v>0</v>
          </cell>
          <cell r="EY522">
            <v>0</v>
          </cell>
          <cell r="EZ522">
            <v>0</v>
          </cell>
          <cell r="FA522">
            <v>0</v>
          </cell>
          <cell r="FB522">
            <v>0</v>
          </cell>
          <cell r="FC522">
            <v>0</v>
          </cell>
          <cell r="FD522">
            <v>0</v>
          </cell>
          <cell r="FE522">
            <v>0</v>
          </cell>
          <cell r="FF522">
            <v>0</v>
          </cell>
          <cell r="FG522">
            <v>0</v>
          </cell>
        </row>
        <row r="523">
          <cell r="G523">
            <v>372460</v>
          </cell>
          <cell r="H523" t="str">
            <v>ARIEL超濃縮抗菌洗衣精900G瓶裝-室內晾衣款</v>
          </cell>
          <cell r="N523">
            <v>135</v>
          </cell>
          <cell r="P523">
            <v>77.8</v>
          </cell>
          <cell r="Q523" t="str">
            <v>on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27135</v>
          </cell>
          <cell r="AD523">
            <v>42660</v>
          </cell>
          <cell r="AE523">
            <v>14850</v>
          </cell>
          <cell r="AF523">
            <v>20385</v>
          </cell>
          <cell r="AG523">
            <v>25515</v>
          </cell>
          <cell r="AH523">
            <v>36585</v>
          </cell>
          <cell r="AI523">
            <v>22275</v>
          </cell>
          <cell r="AJ523">
            <v>14985</v>
          </cell>
          <cell r="AK523">
            <v>38070</v>
          </cell>
          <cell r="AL523">
            <v>106110</v>
          </cell>
          <cell r="AM523">
            <v>33345</v>
          </cell>
          <cell r="AN523">
            <v>44685</v>
          </cell>
          <cell r="AO523">
            <v>38205</v>
          </cell>
          <cell r="AP523">
            <v>16875</v>
          </cell>
          <cell r="AQ523">
            <v>24030</v>
          </cell>
          <cell r="AR523">
            <v>18090</v>
          </cell>
          <cell r="AS523">
            <v>86265</v>
          </cell>
          <cell r="AT523">
            <v>52110</v>
          </cell>
          <cell r="AU523">
            <v>23220</v>
          </cell>
          <cell r="AV523">
            <v>28080</v>
          </cell>
          <cell r="AW523">
            <v>30375</v>
          </cell>
          <cell r="AX523">
            <v>37260</v>
          </cell>
          <cell r="AY523">
            <v>63045</v>
          </cell>
          <cell r="AZ523">
            <v>27135</v>
          </cell>
          <cell r="BA523">
            <v>39015</v>
          </cell>
          <cell r="BB523">
            <v>29295</v>
          </cell>
          <cell r="BC523">
            <v>21195</v>
          </cell>
          <cell r="BD523">
            <v>29700</v>
          </cell>
          <cell r="BE523">
            <v>19980</v>
          </cell>
          <cell r="BF523">
            <v>19170</v>
          </cell>
          <cell r="BG523">
            <v>50625</v>
          </cell>
          <cell r="BH523">
            <v>394875</v>
          </cell>
          <cell r="BI523">
            <v>28350</v>
          </cell>
          <cell r="BJ523">
            <v>10665</v>
          </cell>
          <cell r="BK523">
            <v>8100</v>
          </cell>
          <cell r="BL523">
            <v>3105</v>
          </cell>
          <cell r="BM523">
            <v>2295</v>
          </cell>
          <cell r="BN523">
            <v>2025</v>
          </cell>
          <cell r="BO523">
            <v>1620</v>
          </cell>
          <cell r="BP523">
            <v>675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56835</v>
          </cell>
          <cell r="BV523">
            <v>0</v>
          </cell>
          <cell r="BW523">
            <v>0</v>
          </cell>
          <cell r="BX523">
            <v>0</v>
          </cell>
          <cell r="BY523">
            <v>0</v>
          </cell>
          <cell r="BZ523">
            <v>0</v>
          </cell>
          <cell r="CA523">
            <v>0</v>
          </cell>
          <cell r="CB523">
            <v>0</v>
          </cell>
          <cell r="CC523">
            <v>0</v>
          </cell>
          <cell r="CD523">
            <v>0</v>
          </cell>
          <cell r="CE523">
            <v>0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0</v>
          </cell>
          <cell r="CK523">
            <v>0</v>
          </cell>
          <cell r="CL523">
            <v>0</v>
          </cell>
          <cell r="CM523">
            <v>0</v>
          </cell>
          <cell r="CN523">
            <v>0</v>
          </cell>
          <cell r="CO523">
            <v>0</v>
          </cell>
          <cell r="CP523">
            <v>0</v>
          </cell>
          <cell r="CQ523">
            <v>0</v>
          </cell>
          <cell r="CR523">
            <v>0</v>
          </cell>
          <cell r="CS523">
            <v>0</v>
          </cell>
          <cell r="CT523">
            <v>0</v>
          </cell>
          <cell r="CU523">
            <v>0</v>
          </cell>
          <cell r="CV523">
            <v>0</v>
          </cell>
          <cell r="CW523">
            <v>0</v>
          </cell>
          <cell r="CX523">
            <v>0</v>
          </cell>
          <cell r="CY523">
            <v>0</v>
          </cell>
          <cell r="CZ523">
            <v>0</v>
          </cell>
          <cell r="DA523">
            <v>201</v>
          </cell>
          <cell r="DB523">
            <v>316</v>
          </cell>
          <cell r="DC523">
            <v>110</v>
          </cell>
          <cell r="DD523">
            <v>151</v>
          </cell>
          <cell r="DE523">
            <v>189</v>
          </cell>
          <cell r="DF523">
            <v>271</v>
          </cell>
          <cell r="DG523">
            <v>165</v>
          </cell>
          <cell r="DH523">
            <v>111</v>
          </cell>
          <cell r="DI523">
            <v>282</v>
          </cell>
          <cell r="DJ523">
            <v>786</v>
          </cell>
          <cell r="DK523">
            <v>247</v>
          </cell>
          <cell r="DL523">
            <v>331</v>
          </cell>
          <cell r="DM523">
            <v>283</v>
          </cell>
          <cell r="DN523">
            <v>125</v>
          </cell>
          <cell r="DO523">
            <v>178</v>
          </cell>
          <cell r="DP523">
            <v>134</v>
          </cell>
          <cell r="DQ523">
            <v>639</v>
          </cell>
          <cell r="DR523">
            <v>386</v>
          </cell>
          <cell r="DS523">
            <v>172</v>
          </cell>
          <cell r="DT523">
            <v>208</v>
          </cell>
          <cell r="DU523">
            <v>225</v>
          </cell>
          <cell r="DV523">
            <v>276</v>
          </cell>
          <cell r="DW523">
            <v>467</v>
          </cell>
          <cell r="DX523">
            <v>201</v>
          </cell>
          <cell r="DY523">
            <v>289</v>
          </cell>
          <cell r="DZ523">
            <v>217</v>
          </cell>
          <cell r="EA523">
            <v>157</v>
          </cell>
          <cell r="EB523">
            <v>220</v>
          </cell>
          <cell r="EC523">
            <v>148</v>
          </cell>
          <cell r="ED523">
            <v>142</v>
          </cell>
          <cell r="EE523">
            <v>375</v>
          </cell>
          <cell r="EF523">
            <v>2925</v>
          </cell>
          <cell r="EG523">
            <v>210</v>
          </cell>
          <cell r="EH523">
            <v>79</v>
          </cell>
          <cell r="EI523">
            <v>60</v>
          </cell>
          <cell r="EJ523">
            <v>23</v>
          </cell>
          <cell r="EK523">
            <v>17</v>
          </cell>
          <cell r="EL523">
            <v>15</v>
          </cell>
          <cell r="EM523">
            <v>12</v>
          </cell>
          <cell r="EN523">
            <v>5</v>
          </cell>
          <cell r="EO523">
            <v>0</v>
          </cell>
          <cell r="EP523">
            <v>0</v>
          </cell>
          <cell r="EQ523">
            <v>0</v>
          </cell>
          <cell r="ER523">
            <v>0</v>
          </cell>
          <cell r="ES523">
            <v>3.1847133757961785</v>
          </cell>
          <cell r="ET523">
            <v>421</v>
          </cell>
          <cell r="EU523">
            <v>0</v>
          </cell>
          <cell r="EV523">
            <v>0</v>
          </cell>
          <cell r="EW523">
            <v>0</v>
          </cell>
          <cell r="EX523">
            <v>0</v>
          </cell>
          <cell r="EY523">
            <v>0</v>
          </cell>
          <cell r="EZ523">
            <v>0</v>
          </cell>
          <cell r="FA523">
            <v>0</v>
          </cell>
          <cell r="FB523">
            <v>0</v>
          </cell>
          <cell r="FC523">
            <v>0</v>
          </cell>
          <cell r="FD523">
            <v>0</v>
          </cell>
          <cell r="FE523">
            <v>0</v>
          </cell>
          <cell r="FF523">
            <v>0</v>
          </cell>
          <cell r="FG523">
            <v>0</v>
          </cell>
          <cell r="FH523">
            <v>0</v>
          </cell>
          <cell r="FI523">
            <v>0</v>
          </cell>
          <cell r="FJ523">
            <v>0</v>
          </cell>
          <cell r="FK523">
            <v>0</v>
          </cell>
        </row>
        <row r="524">
          <cell r="G524">
            <v>372525</v>
          </cell>
          <cell r="H524" t="str">
            <v>ARIEL超濃縮抗菌洗衣精900G瓶裝</v>
          </cell>
          <cell r="N524">
            <v>135</v>
          </cell>
          <cell r="P524">
            <v>90</v>
          </cell>
          <cell r="Q524" t="str">
            <v>on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21870</v>
          </cell>
          <cell r="AD524">
            <v>34425</v>
          </cell>
          <cell r="AE524">
            <v>16605</v>
          </cell>
          <cell r="AF524">
            <v>20250</v>
          </cell>
          <cell r="AG524">
            <v>31050</v>
          </cell>
          <cell r="AH524">
            <v>57780</v>
          </cell>
          <cell r="AI524">
            <v>34425</v>
          </cell>
          <cell r="AJ524">
            <v>20655</v>
          </cell>
          <cell r="AK524">
            <v>42930</v>
          </cell>
          <cell r="AL524">
            <v>97740</v>
          </cell>
          <cell r="AM524">
            <v>30105</v>
          </cell>
          <cell r="AN524">
            <v>38475</v>
          </cell>
          <cell r="AO524">
            <v>43200</v>
          </cell>
          <cell r="AP524">
            <v>16200</v>
          </cell>
          <cell r="AQ524">
            <v>23625</v>
          </cell>
          <cell r="AR524">
            <v>21465</v>
          </cell>
          <cell r="AS524">
            <v>83700</v>
          </cell>
          <cell r="AT524">
            <v>51975</v>
          </cell>
          <cell r="AU524">
            <v>28080</v>
          </cell>
          <cell r="AV524">
            <v>30645</v>
          </cell>
          <cell r="AW524">
            <v>32265</v>
          </cell>
          <cell r="AX524">
            <v>36315</v>
          </cell>
          <cell r="AY524">
            <v>70200</v>
          </cell>
          <cell r="AZ524">
            <v>27135</v>
          </cell>
          <cell r="BA524">
            <v>38475</v>
          </cell>
          <cell r="BB524">
            <v>32805</v>
          </cell>
          <cell r="BC524">
            <v>25920</v>
          </cell>
          <cell r="BD524">
            <v>28485</v>
          </cell>
          <cell r="BE524">
            <v>26865</v>
          </cell>
          <cell r="BF524">
            <v>24705</v>
          </cell>
          <cell r="BG524">
            <v>52650</v>
          </cell>
          <cell r="BH524">
            <v>426465</v>
          </cell>
          <cell r="BI524">
            <v>31725</v>
          </cell>
          <cell r="BJ524">
            <v>12825</v>
          </cell>
          <cell r="BK524">
            <v>7290</v>
          </cell>
          <cell r="BL524">
            <v>3780</v>
          </cell>
          <cell r="BM524">
            <v>5130</v>
          </cell>
          <cell r="BN524">
            <v>2970</v>
          </cell>
          <cell r="BO524">
            <v>1350</v>
          </cell>
          <cell r="BP524">
            <v>675</v>
          </cell>
          <cell r="BQ524">
            <v>0</v>
          </cell>
          <cell r="BR524">
            <v>135</v>
          </cell>
          <cell r="BS524">
            <v>270</v>
          </cell>
          <cell r="BT524">
            <v>0</v>
          </cell>
          <cell r="BU524">
            <v>66150</v>
          </cell>
          <cell r="BV524">
            <v>0</v>
          </cell>
          <cell r="BW524">
            <v>135</v>
          </cell>
          <cell r="BX524">
            <v>0</v>
          </cell>
          <cell r="BY524">
            <v>0</v>
          </cell>
          <cell r="BZ524">
            <v>0</v>
          </cell>
          <cell r="CA524">
            <v>0</v>
          </cell>
          <cell r="CB524">
            <v>0</v>
          </cell>
          <cell r="CC524">
            <v>0</v>
          </cell>
          <cell r="CD524">
            <v>0</v>
          </cell>
          <cell r="CE524">
            <v>0</v>
          </cell>
          <cell r="CF524">
            <v>0</v>
          </cell>
          <cell r="CG524">
            <v>0</v>
          </cell>
          <cell r="CH524">
            <v>135</v>
          </cell>
          <cell r="CI524">
            <v>0</v>
          </cell>
          <cell r="CJ524">
            <v>0</v>
          </cell>
          <cell r="CK524">
            <v>0</v>
          </cell>
          <cell r="CL524">
            <v>0</v>
          </cell>
          <cell r="CM524">
            <v>0</v>
          </cell>
          <cell r="CN524">
            <v>0</v>
          </cell>
          <cell r="CO524">
            <v>0</v>
          </cell>
          <cell r="CP524">
            <v>0</v>
          </cell>
          <cell r="CQ524">
            <v>0</v>
          </cell>
          <cell r="CR524">
            <v>0</v>
          </cell>
          <cell r="CS524">
            <v>0</v>
          </cell>
          <cell r="CT524">
            <v>0</v>
          </cell>
          <cell r="CU524">
            <v>0</v>
          </cell>
          <cell r="CV524">
            <v>0</v>
          </cell>
          <cell r="CW524">
            <v>0</v>
          </cell>
          <cell r="CX524">
            <v>0</v>
          </cell>
          <cell r="CY524">
            <v>0</v>
          </cell>
          <cell r="CZ524">
            <v>0</v>
          </cell>
          <cell r="DA524">
            <v>162</v>
          </cell>
          <cell r="DB524">
            <v>255</v>
          </cell>
          <cell r="DC524">
            <v>123</v>
          </cell>
          <cell r="DD524">
            <v>150</v>
          </cell>
          <cell r="DE524">
            <v>230</v>
          </cell>
          <cell r="DF524">
            <v>428</v>
          </cell>
          <cell r="DG524">
            <v>255</v>
          </cell>
          <cell r="DH524">
            <v>153</v>
          </cell>
          <cell r="DI524">
            <v>318</v>
          </cell>
          <cell r="DJ524">
            <v>724</v>
          </cell>
          <cell r="DK524">
            <v>223</v>
          </cell>
          <cell r="DL524">
            <v>285</v>
          </cell>
          <cell r="DM524">
            <v>320</v>
          </cell>
          <cell r="DN524">
            <v>120</v>
          </cell>
          <cell r="DO524">
            <v>175</v>
          </cell>
          <cell r="DP524">
            <v>159</v>
          </cell>
          <cell r="DQ524">
            <v>620</v>
          </cell>
          <cell r="DR524">
            <v>385</v>
          </cell>
          <cell r="DS524">
            <v>208</v>
          </cell>
          <cell r="DT524">
            <v>227</v>
          </cell>
          <cell r="DU524">
            <v>239</v>
          </cell>
          <cell r="DV524">
            <v>269</v>
          </cell>
          <cell r="DW524">
            <v>520</v>
          </cell>
          <cell r="DX524">
            <v>201</v>
          </cell>
          <cell r="DY524">
            <v>285</v>
          </cell>
          <cell r="DZ524">
            <v>243</v>
          </cell>
          <cell r="EA524">
            <v>192</v>
          </cell>
          <cell r="EB524">
            <v>211</v>
          </cell>
          <cell r="EC524">
            <v>199</v>
          </cell>
          <cell r="ED524">
            <v>183</v>
          </cell>
          <cell r="EE524">
            <v>390</v>
          </cell>
          <cell r="EF524">
            <v>3159</v>
          </cell>
          <cell r="EG524">
            <v>235</v>
          </cell>
          <cell r="EH524">
            <v>95</v>
          </cell>
          <cell r="EI524">
            <v>54</v>
          </cell>
          <cell r="EJ524">
            <v>28</v>
          </cell>
          <cell r="EK524">
            <v>38</v>
          </cell>
          <cell r="EL524">
            <v>22</v>
          </cell>
          <cell r="EM524">
            <v>10</v>
          </cell>
          <cell r="EN524">
            <v>5</v>
          </cell>
          <cell r="EO524">
            <v>0</v>
          </cell>
          <cell r="EP524">
            <v>1</v>
          </cell>
          <cell r="EQ524">
            <v>2</v>
          </cell>
          <cell r="ER524">
            <v>0</v>
          </cell>
          <cell r="ES524">
            <v>2.604166666666667</v>
          </cell>
          <cell r="ET524">
            <v>490</v>
          </cell>
          <cell r="EU524">
            <v>0</v>
          </cell>
          <cell r="EV524">
            <v>1</v>
          </cell>
          <cell r="EW524">
            <v>0</v>
          </cell>
          <cell r="EX524">
            <v>0</v>
          </cell>
          <cell r="EY524">
            <v>0</v>
          </cell>
          <cell r="EZ524">
            <v>0</v>
          </cell>
          <cell r="FA524">
            <v>0</v>
          </cell>
          <cell r="FB524">
            <v>0</v>
          </cell>
          <cell r="FC524">
            <v>0</v>
          </cell>
          <cell r="FD524">
            <v>0</v>
          </cell>
          <cell r="FE524">
            <v>0</v>
          </cell>
          <cell r="FF524">
            <v>0</v>
          </cell>
          <cell r="FG524">
            <v>1</v>
          </cell>
          <cell r="FH524">
            <v>0</v>
          </cell>
          <cell r="FI524">
            <v>0</v>
          </cell>
          <cell r="FJ524">
            <v>0</v>
          </cell>
          <cell r="FK524">
            <v>0</v>
          </cell>
        </row>
        <row r="525">
          <cell r="G525">
            <v>203330</v>
          </cell>
          <cell r="H525" t="str">
            <v>ARIEL抗菌抗臭洗衣精800g-室內晾衣型</v>
          </cell>
          <cell r="N525">
            <v>135</v>
          </cell>
          <cell r="P525">
            <v>400</v>
          </cell>
          <cell r="Q525" t="str">
            <v>on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184410</v>
          </cell>
          <cell r="BH525">
            <v>184410</v>
          </cell>
          <cell r="BI525">
            <v>67635</v>
          </cell>
          <cell r="BJ525">
            <v>60480</v>
          </cell>
          <cell r="BK525">
            <v>117180</v>
          </cell>
          <cell r="BL525">
            <v>78300</v>
          </cell>
          <cell r="BM525">
            <v>57105</v>
          </cell>
          <cell r="BN525">
            <v>40095</v>
          </cell>
          <cell r="BO525">
            <v>40500</v>
          </cell>
          <cell r="BP525">
            <v>92475</v>
          </cell>
          <cell r="BQ525">
            <v>34560</v>
          </cell>
          <cell r="BR525">
            <v>40635</v>
          </cell>
          <cell r="BS525">
            <v>45765</v>
          </cell>
          <cell r="BT525">
            <v>28890</v>
          </cell>
          <cell r="BU525">
            <v>703620</v>
          </cell>
          <cell r="BV525">
            <v>32805</v>
          </cell>
          <cell r="BW525">
            <v>53190</v>
          </cell>
          <cell r="BX525">
            <v>41850</v>
          </cell>
          <cell r="BY525">
            <v>42660</v>
          </cell>
          <cell r="BZ525">
            <v>76140</v>
          </cell>
          <cell r="CA525">
            <v>68310</v>
          </cell>
          <cell r="CB525">
            <v>14445</v>
          </cell>
          <cell r="CC525">
            <v>4455</v>
          </cell>
          <cell r="CD525">
            <v>4050</v>
          </cell>
          <cell r="CE525">
            <v>2835</v>
          </cell>
          <cell r="CF525">
            <v>3780</v>
          </cell>
          <cell r="CG525">
            <v>1215</v>
          </cell>
          <cell r="CH525">
            <v>345735</v>
          </cell>
          <cell r="CI525">
            <v>1755</v>
          </cell>
          <cell r="CJ525">
            <v>2025</v>
          </cell>
          <cell r="CK525">
            <v>405</v>
          </cell>
          <cell r="CL525">
            <v>0</v>
          </cell>
          <cell r="CM525">
            <v>945</v>
          </cell>
          <cell r="CN525">
            <v>135</v>
          </cell>
          <cell r="CO525">
            <v>597.85714285714278</v>
          </cell>
          <cell r="CP525">
            <v>0</v>
          </cell>
          <cell r="CQ525">
            <v>0</v>
          </cell>
          <cell r="CR525">
            <v>0</v>
          </cell>
          <cell r="CS525">
            <v>0</v>
          </cell>
          <cell r="CT525">
            <v>0</v>
          </cell>
          <cell r="CU525">
            <v>0</v>
          </cell>
          <cell r="CV525">
            <v>0</v>
          </cell>
          <cell r="CW525">
            <v>0</v>
          </cell>
          <cell r="CX525">
            <v>0</v>
          </cell>
          <cell r="CY525">
            <v>0</v>
          </cell>
          <cell r="CZ525">
            <v>0</v>
          </cell>
          <cell r="DA525">
            <v>0</v>
          </cell>
          <cell r="DB525">
            <v>0</v>
          </cell>
          <cell r="DC525">
            <v>0</v>
          </cell>
          <cell r="DD525">
            <v>0</v>
          </cell>
          <cell r="DE525">
            <v>0</v>
          </cell>
          <cell r="DF525">
            <v>0</v>
          </cell>
          <cell r="DG525">
            <v>0</v>
          </cell>
          <cell r="DH525">
            <v>0</v>
          </cell>
          <cell r="DI525">
            <v>0</v>
          </cell>
          <cell r="DJ525">
            <v>0</v>
          </cell>
          <cell r="DK525">
            <v>0</v>
          </cell>
          <cell r="DL525">
            <v>0</v>
          </cell>
          <cell r="DM525">
            <v>0</v>
          </cell>
          <cell r="DN525">
            <v>0</v>
          </cell>
          <cell r="DO525">
            <v>0</v>
          </cell>
          <cell r="DP525">
            <v>0</v>
          </cell>
          <cell r="DQ525">
            <v>0</v>
          </cell>
          <cell r="DR525">
            <v>0</v>
          </cell>
          <cell r="DS525">
            <v>0</v>
          </cell>
          <cell r="DT525">
            <v>0</v>
          </cell>
          <cell r="DU525">
            <v>0</v>
          </cell>
          <cell r="DV525">
            <v>0</v>
          </cell>
          <cell r="DW525">
            <v>0</v>
          </cell>
          <cell r="DX525">
            <v>0</v>
          </cell>
          <cell r="DY525">
            <v>0</v>
          </cell>
          <cell r="DZ525">
            <v>0</v>
          </cell>
          <cell r="EA525">
            <v>0</v>
          </cell>
          <cell r="EB525">
            <v>0</v>
          </cell>
          <cell r="EC525">
            <v>0</v>
          </cell>
          <cell r="ED525">
            <v>0</v>
          </cell>
          <cell r="EE525">
            <v>1366</v>
          </cell>
          <cell r="EF525">
            <v>1366</v>
          </cell>
          <cell r="EG525">
            <v>501</v>
          </cell>
          <cell r="EH525">
            <v>448</v>
          </cell>
          <cell r="EI525">
            <v>868</v>
          </cell>
          <cell r="EJ525">
            <v>580</v>
          </cell>
          <cell r="EK525">
            <v>423</v>
          </cell>
          <cell r="EL525">
            <v>297</v>
          </cell>
          <cell r="EM525">
            <v>300</v>
          </cell>
          <cell r="EN525">
            <v>685</v>
          </cell>
          <cell r="EO525">
            <v>256</v>
          </cell>
          <cell r="EP525">
            <v>301</v>
          </cell>
          <cell r="EQ525">
            <v>339</v>
          </cell>
          <cell r="ER525">
            <v>214</v>
          </cell>
          <cell r="ES525">
            <v>0</v>
          </cell>
          <cell r="ET525">
            <v>5212</v>
          </cell>
          <cell r="EU525">
            <v>243</v>
          </cell>
          <cell r="EV525">
            <v>394</v>
          </cell>
          <cell r="EW525">
            <v>310</v>
          </cell>
          <cell r="EX525">
            <v>316</v>
          </cell>
          <cell r="EY525">
            <v>564</v>
          </cell>
          <cell r="EZ525">
            <v>506</v>
          </cell>
          <cell r="FA525">
            <v>107</v>
          </cell>
          <cell r="FB525">
            <v>33</v>
          </cell>
          <cell r="FC525">
            <v>30</v>
          </cell>
          <cell r="FD525">
            <v>21</v>
          </cell>
          <cell r="FE525">
            <v>28</v>
          </cell>
          <cell r="FF525">
            <v>9</v>
          </cell>
          <cell r="FG525">
            <v>2561</v>
          </cell>
          <cell r="FH525">
            <v>13</v>
          </cell>
          <cell r="FI525">
            <v>15</v>
          </cell>
          <cell r="FJ525">
            <v>3</v>
          </cell>
          <cell r="FK525">
            <v>0</v>
          </cell>
          <cell r="FL525">
            <v>7</v>
          </cell>
        </row>
        <row r="526">
          <cell r="G526">
            <v>203357</v>
          </cell>
          <cell r="H526" t="str">
            <v>ARIEL抗菌抗臭洗衣精800g-抗菌去漬型</v>
          </cell>
          <cell r="N526">
            <v>135</v>
          </cell>
          <cell r="P526">
            <v>350</v>
          </cell>
          <cell r="Q526" t="str">
            <v>on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202635</v>
          </cell>
          <cell r="BH526">
            <v>202635</v>
          </cell>
          <cell r="BI526">
            <v>65340</v>
          </cell>
          <cell r="BJ526">
            <v>46710</v>
          </cell>
          <cell r="BK526">
            <v>112455</v>
          </cell>
          <cell r="BL526">
            <v>70605</v>
          </cell>
          <cell r="BM526">
            <v>50490</v>
          </cell>
          <cell r="BN526">
            <v>38070</v>
          </cell>
          <cell r="BO526">
            <v>31860</v>
          </cell>
          <cell r="BP526">
            <v>90585</v>
          </cell>
          <cell r="BQ526">
            <v>34965</v>
          </cell>
          <cell r="BR526">
            <v>38475</v>
          </cell>
          <cell r="BS526">
            <v>43065</v>
          </cell>
          <cell r="BT526">
            <v>21195</v>
          </cell>
          <cell r="BU526">
            <v>643815</v>
          </cell>
          <cell r="BV526">
            <v>33480</v>
          </cell>
          <cell r="BW526">
            <v>49545</v>
          </cell>
          <cell r="BX526">
            <v>42660</v>
          </cell>
          <cell r="BY526">
            <v>36180</v>
          </cell>
          <cell r="BZ526">
            <v>58725</v>
          </cell>
          <cell r="CA526">
            <v>58050</v>
          </cell>
          <cell r="CB526">
            <v>15525</v>
          </cell>
          <cell r="CC526">
            <v>8505</v>
          </cell>
          <cell r="CD526">
            <v>4995</v>
          </cell>
          <cell r="CE526">
            <v>6210</v>
          </cell>
          <cell r="CF526">
            <v>4185</v>
          </cell>
          <cell r="CG526">
            <v>1620</v>
          </cell>
          <cell r="CH526">
            <v>319680</v>
          </cell>
          <cell r="CI526">
            <v>2430</v>
          </cell>
          <cell r="CJ526">
            <v>1350</v>
          </cell>
          <cell r="CK526">
            <v>1080</v>
          </cell>
          <cell r="CL526">
            <v>135</v>
          </cell>
          <cell r="CM526">
            <v>270</v>
          </cell>
          <cell r="CN526">
            <v>135</v>
          </cell>
          <cell r="CO526">
            <v>597.85714285714278</v>
          </cell>
          <cell r="CP526">
            <v>0</v>
          </cell>
          <cell r="CQ526">
            <v>0</v>
          </cell>
          <cell r="CR526">
            <v>0</v>
          </cell>
          <cell r="CS526">
            <v>0</v>
          </cell>
          <cell r="CT526">
            <v>0</v>
          </cell>
          <cell r="CU526">
            <v>0</v>
          </cell>
          <cell r="CV526">
            <v>0</v>
          </cell>
          <cell r="CW526">
            <v>0</v>
          </cell>
          <cell r="CX526">
            <v>0</v>
          </cell>
          <cell r="CY526">
            <v>0</v>
          </cell>
          <cell r="CZ526">
            <v>0</v>
          </cell>
          <cell r="DA526">
            <v>0</v>
          </cell>
          <cell r="DB526">
            <v>0</v>
          </cell>
          <cell r="DC526">
            <v>0</v>
          </cell>
          <cell r="DD526">
            <v>0</v>
          </cell>
          <cell r="DE526">
            <v>0</v>
          </cell>
          <cell r="DF526">
            <v>0</v>
          </cell>
          <cell r="DG526">
            <v>0</v>
          </cell>
          <cell r="DH526">
            <v>0</v>
          </cell>
          <cell r="DI526">
            <v>0</v>
          </cell>
          <cell r="DJ526">
            <v>0</v>
          </cell>
          <cell r="DK526">
            <v>0</v>
          </cell>
          <cell r="DL526">
            <v>0</v>
          </cell>
          <cell r="DM526">
            <v>0</v>
          </cell>
          <cell r="DN526">
            <v>0</v>
          </cell>
          <cell r="DO526">
            <v>0</v>
          </cell>
          <cell r="DP526">
            <v>0</v>
          </cell>
          <cell r="DQ526">
            <v>0</v>
          </cell>
          <cell r="DR526">
            <v>0</v>
          </cell>
          <cell r="DS526">
            <v>0</v>
          </cell>
          <cell r="DT526">
            <v>0</v>
          </cell>
          <cell r="DU526">
            <v>0</v>
          </cell>
          <cell r="DV526">
            <v>0</v>
          </cell>
          <cell r="DW526">
            <v>0</v>
          </cell>
          <cell r="DX526">
            <v>0</v>
          </cell>
          <cell r="DY526">
            <v>0</v>
          </cell>
          <cell r="DZ526">
            <v>0</v>
          </cell>
          <cell r="EA526">
            <v>0</v>
          </cell>
          <cell r="EB526">
            <v>0</v>
          </cell>
          <cell r="EC526">
            <v>0</v>
          </cell>
          <cell r="ED526">
            <v>0</v>
          </cell>
          <cell r="EE526">
            <v>1501</v>
          </cell>
          <cell r="EF526">
            <v>1501</v>
          </cell>
          <cell r="EG526">
            <v>484</v>
          </cell>
          <cell r="EH526">
            <v>346</v>
          </cell>
          <cell r="EI526">
            <v>833</v>
          </cell>
          <cell r="EJ526">
            <v>523</v>
          </cell>
          <cell r="EK526">
            <v>374</v>
          </cell>
          <cell r="EL526">
            <v>282</v>
          </cell>
          <cell r="EM526">
            <v>236</v>
          </cell>
          <cell r="EN526">
            <v>671</v>
          </cell>
          <cell r="EO526">
            <v>259</v>
          </cell>
          <cell r="EP526">
            <v>285</v>
          </cell>
          <cell r="EQ526">
            <v>319</v>
          </cell>
          <cell r="ER526">
            <v>157</v>
          </cell>
          <cell r="ES526">
            <v>0</v>
          </cell>
          <cell r="ET526">
            <v>4769</v>
          </cell>
          <cell r="EU526">
            <v>248</v>
          </cell>
          <cell r="EV526">
            <v>367</v>
          </cell>
          <cell r="EW526">
            <v>316</v>
          </cell>
          <cell r="EX526">
            <v>268</v>
          </cell>
          <cell r="EY526">
            <v>435</v>
          </cell>
          <cell r="EZ526">
            <v>430</v>
          </cell>
          <cell r="FA526">
            <v>115</v>
          </cell>
          <cell r="FB526">
            <v>63</v>
          </cell>
          <cell r="FC526">
            <v>37</v>
          </cell>
          <cell r="FD526">
            <v>46</v>
          </cell>
          <cell r="FE526">
            <v>31</v>
          </cell>
          <cell r="FF526">
            <v>12</v>
          </cell>
          <cell r="FG526">
            <v>2368</v>
          </cell>
          <cell r="FH526">
            <v>18</v>
          </cell>
          <cell r="FI526">
            <v>10</v>
          </cell>
          <cell r="FJ526">
            <v>8</v>
          </cell>
          <cell r="FK526">
            <v>1</v>
          </cell>
          <cell r="FL526">
            <v>2</v>
          </cell>
        </row>
        <row r="527">
          <cell r="G527">
            <v>372583</v>
          </cell>
          <cell r="H527" t="str">
            <v>ARIEL超濃縮抗菌洗衣精補充包微香型1.43KG</v>
          </cell>
          <cell r="N527">
            <v>177.9</v>
          </cell>
          <cell r="P527">
            <v>0</v>
          </cell>
          <cell r="Q527" t="str">
            <v>on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20814.3</v>
          </cell>
          <cell r="AD527">
            <v>34868.400000000001</v>
          </cell>
          <cell r="AE527">
            <v>33801</v>
          </cell>
          <cell r="AF527">
            <v>32377.8</v>
          </cell>
          <cell r="AG527">
            <v>22949.100000000002</v>
          </cell>
          <cell r="AH527">
            <v>42696</v>
          </cell>
          <cell r="AI527">
            <v>23482.799999999999</v>
          </cell>
          <cell r="AJ527">
            <v>23482.799999999999</v>
          </cell>
          <cell r="AK527">
            <v>18323.7</v>
          </cell>
          <cell r="AL527">
            <v>21348</v>
          </cell>
          <cell r="AM527">
            <v>25439.7</v>
          </cell>
          <cell r="AN527">
            <v>38960.1</v>
          </cell>
          <cell r="AO527">
            <v>35046.300000000003</v>
          </cell>
          <cell r="AP527">
            <v>34156.800000000003</v>
          </cell>
          <cell r="AQ527">
            <v>13520.4</v>
          </cell>
          <cell r="AR527">
            <v>6582.3</v>
          </cell>
          <cell r="AS527">
            <v>6048.6</v>
          </cell>
          <cell r="AT527">
            <v>4091.7000000000003</v>
          </cell>
          <cell r="AU527">
            <v>1601.1000000000001</v>
          </cell>
          <cell r="AV527">
            <v>1956.9</v>
          </cell>
          <cell r="AW527">
            <v>533.70000000000005</v>
          </cell>
          <cell r="AX527">
            <v>355.8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2846.4000000000005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  <cell r="BY527">
            <v>0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0</v>
          </cell>
          <cell r="CK527">
            <v>0</v>
          </cell>
          <cell r="CL527">
            <v>0</v>
          </cell>
          <cell r="CM527">
            <v>0</v>
          </cell>
          <cell r="CN527">
            <v>0</v>
          </cell>
          <cell r="CO527">
            <v>0</v>
          </cell>
          <cell r="CP527">
            <v>0</v>
          </cell>
          <cell r="CQ527">
            <v>0</v>
          </cell>
          <cell r="CR527">
            <v>0</v>
          </cell>
          <cell r="CS527">
            <v>0</v>
          </cell>
          <cell r="CT527">
            <v>0</v>
          </cell>
          <cell r="CU527">
            <v>0</v>
          </cell>
          <cell r="CV527">
            <v>0</v>
          </cell>
          <cell r="CW527">
            <v>0</v>
          </cell>
          <cell r="CX527">
            <v>0</v>
          </cell>
          <cell r="CY527">
            <v>0</v>
          </cell>
          <cell r="CZ527">
            <v>0</v>
          </cell>
          <cell r="DA527">
            <v>117</v>
          </cell>
          <cell r="DB527">
            <v>196</v>
          </cell>
          <cell r="DC527">
            <v>190</v>
          </cell>
          <cell r="DD527">
            <v>182</v>
          </cell>
          <cell r="DE527">
            <v>129</v>
          </cell>
          <cell r="DF527">
            <v>240</v>
          </cell>
          <cell r="DG527">
            <v>132</v>
          </cell>
          <cell r="DH527">
            <v>132</v>
          </cell>
          <cell r="DI527">
            <v>103</v>
          </cell>
          <cell r="DJ527">
            <v>120</v>
          </cell>
          <cell r="DK527">
            <v>143</v>
          </cell>
          <cell r="DL527">
            <v>219</v>
          </cell>
          <cell r="DM527">
            <v>197</v>
          </cell>
          <cell r="DN527">
            <v>192</v>
          </cell>
          <cell r="DO527">
            <v>76</v>
          </cell>
          <cell r="DP527">
            <v>37</v>
          </cell>
          <cell r="DQ527">
            <v>34</v>
          </cell>
          <cell r="DR527">
            <v>23</v>
          </cell>
          <cell r="DS527">
            <v>9</v>
          </cell>
          <cell r="DT527">
            <v>11</v>
          </cell>
          <cell r="DU527">
            <v>3</v>
          </cell>
          <cell r="DV527">
            <v>2</v>
          </cell>
          <cell r="DW527">
            <v>0</v>
          </cell>
          <cell r="DX527">
            <v>0</v>
          </cell>
          <cell r="DY527">
            <v>0</v>
          </cell>
          <cell r="DZ527">
            <v>0</v>
          </cell>
          <cell r="EA527">
            <v>0</v>
          </cell>
          <cell r="EB527">
            <v>0</v>
          </cell>
          <cell r="EC527">
            <v>0</v>
          </cell>
          <cell r="ED527">
            <v>0</v>
          </cell>
          <cell r="EE527">
            <v>0</v>
          </cell>
          <cell r="EF527">
            <v>16</v>
          </cell>
          <cell r="EG527">
            <v>0</v>
          </cell>
          <cell r="EH527">
            <v>0</v>
          </cell>
          <cell r="EI527">
            <v>0</v>
          </cell>
          <cell r="EJ527">
            <v>0</v>
          </cell>
          <cell r="EK527">
            <v>0</v>
          </cell>
          <cell r="EL527">
            <v>0</v>
          </cell>
          <cell r="EM527">
            <v>0</v>
          </cell>
          <cell r="EN527">
            <v>0</v>
          </cell>
          <cell r="EO527">
            <v>0</v>
          </cell>
          <cell r="EP527">
            <v>0</v>
          </cell>
          <cell r="EQ527">
            <v>0</v>
          </cell>
          <cell r="ER527">
            <v>0</v>
          </cell>
          <cell r="ES527">
            <v>0</v>
          </cell>
          <cell r="ET527">
            <v>0</v>
          </cell>
          <cell r="EU527">
            <v>0</v>
          </cell>
          <cell r="EV527">
            <v>0</v>
          </cell>
          <cell r="EW527">
            <v>0</v>
          </cell>
          <cell r="EX527">
            <v>0</v>
          </cell>
          <cell r="EY527">
            <v>0</v>
          </cell>
          <cell r="EZ527">
            <v>0</v>
          </cell>
          <cell r="FA527">
            <v>0</v>
          </cell>
          <cell r="FB527">
            <v>0</v>
          </cell>
          <cell r="FC527">
            <v>0</v>
          </cell>
          <cell r="FD527">
            <v>0</v>
          </cell>
          <cell r="FE527">
            <v>0</v>
          </cell>
          <cell r="FF527">
            <v>0</v>
          </cell>
          <cell r="FG527">
            <v>0</v>
          </cell>
        </row>
        <row r="528">
          <cell r="G528">
            <v>372596</v>
          </cell>
          <cell r="H528" t="str">
            <v>ARIEL超濃縮抗菌洗衣精補充包室晾款1.52KG</v>
          </cell>
          <cell r="N528">
            <v>177.9</v>
          </cell>
          <cell r="P528">
            <v>57</v>
          </cell>
          <cell r="Q528" t="str">
            <v>on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22415.4</v>
          </cell>
          <cell r="AD528">
            <v>50523.6</v>
          </cell>
          <cell r="AE528">
            <v>33445.200000000004</v>
          </cell>
          <cell r="AF528">
            <v>45542.400000000001</v>
          </cell>
          <cell r="AG528">
            <v>34156.800000000003</v>
          </cell>
          <cell r="AH528">
            <v>58884.9</v>
          </cell>
          <cell r="AI528">
            <v>38604.300000000003</v>
          </cell>
          <cell r="AJ528">
            <v>32377.8</v>
          </cell>
          <cell r="AK528">
            <v>26329.200000000001</v>
          </cell>
          <cell r="AL528">
            <v>36825.300000000003</v>
          </cell>
          <cell r="AM528">
            <v>42162.3</v>
          </cell>
          <cell r="AN528">
            <v>52480.5</v>
          </cell>
          <cell r="AO528">
            <v>55860.6</v>
          </cell>
          <cell r="AP528">
            <v>96421.8</v>
          </cell>
          <cell r="AQ528">
            <v>58884.9</v>
          </cell>
          <cell r="AR528">
            <v>39138</v>
          </cell>
          <cell r="AS528">
            <v>58884.9</v>
          </cell>
          <cell r="AT528">
            <v>61909.200000000004</v>
          </cell>
          <cell r="AU528">
            <v>58529.1</v>
          </cell>
          <cell r="AV528">
            <v>55326.9</v>
          </cell>
          <cell r="AW528">
            <v>53014.200000000004</v>
          </cell>
          <cell r="AX528">
            <v>52658.400000000001</v>
          </cell>
          <cell r="AY528">
            <v>62087.1</v>
          </cell>
          <cell r="AZ528">
            <v>98200.8</v>
          </cell>
          <cell r="BA528">
            <v>95532.3</v>
          </cell>
          <cell r="BB528">
            <v>77386.5</v>
          </cell>
          <cell r="BC528">
            <v>81478.2</v>
          </cell>
          <cell r="BD528">
            <v>70448.400000000009</v>
          </cell>
          <cell r="BE528">
            <v>49989.9</v>
          </cell>
          <cell r="BF528">
            <v>71871.600000000006</v>
          </cell>
          <cell r="BG528">
            <v>59062.8</v>
          </cell>
          <cell r="BH528">
            <v>827057.10000000009</v>
          </cell>
          <cell r="BI528">
            <v>24194.400000000001</v>
          </cell>
          <cell r="BJ528">
            <v>11919.300000000001</v>
          </cell>
          <cell r="BK528">
            <v>5870.7</v>
          </cell>
          <cell r="BL528">
            <v>5159.1000000000004</v>
          </cell>
          <cell r="BM528">
            <v>3558</v>
          </cell>
          <cell r="BN528">
            <v>1067.4000000000001</v>
          </cell>
          <cell r="BO528">
            <v>355.8</v>
          </cell>
          <cell r="BP528">
            <v>177.9</v>
          </cell>
          <cell r="BQ528">
            <v>0</v>
          </cell>
          <cell r="BR528">
            <v>0</v>
          </cell>
          <cell r="BS528">
            <v>0</v>
          </cell>
          <cell r="BT528">
            <v>177.9</v>
          </cell>
          <cell r="BU528">
            <v>52480.500000000007</v>
          </cell>
          <cell r="BV528">
            <v>0</v>
          </cell>
          <cell r="BW528">
            <v>0</v>
          </cell>
          <cell r="BX528">
            <v>0</v>
          </cell>
          <cell r="BY528">
            <v>0</v>
          </cell>
          <cell r="BZ528">
            <v>0</v>
          </cell>
          <cell r="CA528">
            <v>0</v>
          </cell>
          <cell r="CB528">
            <v>0</v>
          </cell>
          <cell r="CC528">
            <v>0</v>
          </cell>
          <cell r="CD528">
            <v>0</v>
          </cell>
          <cell r="CE528">
            <v>0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0</v>
          </cell>
          <cell r="CK528">
            <v>0</v>
          </cell>
          <cell r="CL528">
            <v>0</v>
          </cell>
          <cell r="CM528">
            <v>0</v>
          </cell>
          <cell r="CN528">
            <v>0</v>
          </cell>
          <cell r="CO528">
            <v>0</v>
          </cell>
          <cell r="CP528">
            <v>0</v>
          </cell>
          <cell r="CQ528">
            <v>0</v>
          </cell>
          <cell r="CR528">
            <v>0</v>
          </cell>
          <cell r="CS528">
            <v>0</v>
          </cell>
          <cell r="CT528">
            <v>0</v>
          </cell>
          <cell r="CU528">
            <v>0</v>
          </cell>
          <cell r="CV528">
            <v>0</v>
          </cell>
          <cell r="CW528">
            <v>0</v>
          </cell>
          <cell r="CX528">
            <v>0</v>
          </cell>
          <cell r="CY528">
            <v>0</v>
          </cell>
          <cell r="CZ528">
            <v>0</v>
          </cell>
          <cell r="DA528">
            <v>126</v>
          </cell>
          <cell r="DB528">
            <v>284</v>
          </cell>
          <cell r="DC528">
            <v>188</v>
          </cell>
          <cell r="DD528">
            <v>256</v>
          </cell>
          <cell r="DE528">
            <v>192</v>
          </cell>
          <cell r="DF528">
            <v>331</v>
          </cell>
          <cell r="DG528">
            <v>217</v>
          </cell>
          <cell r="DH528">
            <v>182</v>
          </cell>
          <cell r="DI528">
            <v>148</v>
          </cell>
          <cell r="DJ528">
            <v>207</v>
          </cell>
          <cell r="DK528">
            <v>237</v>
          </cell>
          <cell r="DL528">
            <v>295</v>
          </cell>
          <cell r="DM528">
            <v>314</v>
          </cell>
          <cell r="DN528">
            <v>542</v>
          </cell>
          <cell r="DO528">
            <v>331</v>
          </cell>
          <cell r="DP528">
            <v>220</v>
          </cell>
          <cell r="DQ528">
            <v>331</v>
          </cell>
          <cell r="DR528">
            <v>348</v>
          </cell>
          <cell r="DS528">
            <v>329</v>
          </cell>
          <cell r="DT528">
            <v>311</v>
          </cell>
          <cell r="DU528">
            <v>298</v>
          </cell>
          <cell r="DV528">
            <v>296</v>
          </cell>
          <cell r="DW528">
            <v>349</v>
          </cell>
          <cell r="DX528">
            <v>552</v>
          </cell>
          <cell r="DY528">
            <v>537</v>
          </cell>
          <cell r="DZ528">
            <v>435</v>
          </cell>
          <cell r="EA528">
            <v>458</v>
          </cell>
          <cell r="EB528">
            <v>396</v>
          </cell>
          <cell r="EC528">
            <v>281</v>
          </cell>
          <cell r="ED528">
            <v>404</v>
          </cell>
          <cell r="EE528">
            <v>332</v>
          </cell>
          <cell r="EF528">
            <v>4649</v>
          </cell>
          <cell r="EG528">
            <v>136</v>
          </cell>
          <cell r="EH528">
            <v>67</v>
          </cell>
          <cell r="EI528">
            <v>33</v>
          </cell>
          <cell r="EJ528">
            <v>29</v>
          </cell>
          <cell r="EK528">
            <v>20</v>
          </cell>
          <cell r="EL528">
            <v>6</v>
          </cell>
          <cell r="EM528">
            <v>2</v>
          </cell>
          <cell r="EN528">
            <v>1</v>
          </cell>
          <cell r="EO528">
            <v>0</v>
          </cell>
          <cell r="EP528">
            <v>0</v>
          </cell>
          <cell r="EQ528">
            <v>0</v>
          </cell>
          <cell r="ER528">
            <v>1</v>
          </cell>
          <cell r="ES528">
            <v>0.21834061135371177</v>
          </cell>
          <cell r="ET528">
            <v>295</v>
          </cell>
          <cell r="EU528">
            <v>0</v>
          </cell>
          <cell r="EV528">
            <v>0</v>
          </cell>
          <cell r="EW528">
            <v>0</v>
          </cell>
          <cell r="EX528">
            <v>0</v>
          </cell>
          <cell r="EY528">
            <v>0</v>
          </cell>
          <cell r="EZ528">
            <v>0</v>
          </cell>
          <cell r="FA528">
            <v>0</v>
          </cell>
          <cell r="FB528">
            <v>0</v>
          </cell>
          <cell r="FC528">
            <v>0</v>
          </cell>
          <cell r="FD528">
            <v>0</v>
          </cell>
          <cell r="FE528">
            <v>0</v>
          </cell>
          <cell r="FF528">
            <v>0</v>
          </cell>
          <cell r="FG528">
            <v>0</v>
          </cell>
          <cell r="FH528">
            <v>0</v>
          </cell>
          <cell r="FI528">
            <v>0</v>
          </cell>
          <cell r="FJ528">
            <v>0</v>
          </cell>
          <cell r="FK528">
            <v>0</v>
          </cell>
        </row>
        <row r="529">
          <cell r="G529">
            <v>372606</v>
          </cell>
          <cell r="H529" t="str">
            <v>ARIEL超濃縮抗菌洗衣精補充包1.52KG</v>
          </cell>
          <cell r="N529">
            <v>177.9</v>
          </cell>
          <cell r="P529">
            <v>92.6</v>
          </cell>
          <cell r="Q529" t="str">
            <v>on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17967.900000000001</v>
          </cell>
          <cell r="AD529">
            <v>42340.200000000004</v>
          </cell>
          <cell r="AE529">
            <v>40917</v>
          </cell>
          <cell r="AF529">
            <v>50345.700000000004</v>
          </cell>
          <cell r="AG529">
            <v>44475</v>
          </cell>
          <cell r="AH529">
            <v>83079.3</v>
          </cell>
          <cell r="AI529">
            <v>63688.200000000004</v>
          </cell>
          <cell r="AJ529">
            <v>52658.400000000001</v>
          </cell>
          <cell r="AK529">
            <v>39315.9</v>
          </cell>
          <cell r="AL529">
            <v>55149</v>
          </cell>
          <cell r="AM529">
            <v>70270.5</v>
          </cell>
          <cell r="AN529">
            <v>80766.600000000006</v>
          </cell>
          <cell r="AO529">
            <v>76674.900000000009</v>
          </cell>
          <cell r="AP529">
            <v>86815.2</v>
          </cell>
          <cell r="AQ529">
            <v>76141.2</v>
          </cell>
          <cell r="AR529">
            <v>54615.3</v>
          </cell>
          <cell r="AS529">
            <v>80055</v>
          </cell>
          <cell r="AT529">
            <v>76674.900000000009</v>
          </cell>
          <cell r="AU529">
            <v>71871.600000000006</v>
          </cell>
          <cell r="AV529">
            <v>64577.700000000004</v>
          </cell>
          <cell r="AW529">
            <v>55326.9</v>
          </cell>
          <cell r="AX529">
            <v>50345.700000000004</v>
          </cell>
          <cell r="AY529">
            <v>65111.4</v>
          </cell>
          <cell r="AZ529">
            <v>82011.900000000009</v>
          </cell>
          <cell r="BA529">
            <v>63688.200000000004</v>
          </cell>
          <cell r="BB529">
            <v>59418.6</v>
          </cell>
          <cell r="BC529">
            <v>46965.599999999999</v>
          </cell>
          <cell r="BD529">
            <v>53014.200000000004</v>
          </cell>
          <cell r="BE529">
            <v>34156.800000000003</v>
          </cell>
          <cell r="BF529">
            <v>46254</v>
          </cell>
          <cell r="BG529">
            <v>73650.600000000006</v>
          </cell>
          <cell r="BH529">
            <v>694521.6</v>
          </cell>
          <cell r="BI529">
            <v>40027.5</v>
          </cell>
          <cell r="BJ529">
            <v>24194.400000000001</v>
          </cell>
          <cell r="BK529">
            <v>9962.4</v>
          </cell>
          <cell r="BL529">
            <v>6404.4000000000005</v>
          </cell>
          <cell r="BM529">
            <v>1779</v>
          </cell>
          <cell r="BN529">
            <v>1067.4000000000001</v>
          </cell>
          <cell r="BO529">
            <v>0</v>
          </cell>
          <cell r="BP529">
            <v>177.9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83612.999999999985</v>
          </cell>
          <cell r="BV529">
            <v>355.8</v>
          </cell>
          <cell r="BW529">
            <v>0</v>
          </cell>
          <cell r="BX529">
            <v>0</v>
          </cell>
          <cell r="BY529">
            <v>0</v>
          </cell>
          <cell r="BZ529">
            <v>0</v>
          </cell>
          <cell r="CA529">
            <v>0</v>
          </cell>
          <cell r="CB529">
            <v>0</v>
          </cell>
          <cell r="CC529">
            <v>0</v>
          </cell>
          <cell r="CD529">
            <v>0</v>
          </cell>
          <cell r="CE529">
            <v>0</v>
          </cell>
          <cell r="CF529">
            <v>0</v>
          </cell>
          <cell r="CG529">
            <v>0</v>
          </cell>
          <cell r="CH529">
            <v>355.8</v>
          </cell>
          <cell r="CI529">
            <v>0</v>
          </cell>
          <cell r="CJ529">
            <v>0</v>
          </cell>
          <cell r="CK529">
            <v>0</v>
          </cell>
          <cell r="CL529">
            <v>0</v>
          </cell>
          <cell r="CM529">
            <v>0</v>
          </cell>
          <cell r="CN529">
            <v>0</v>
          </cell>
          <cell r="CO529">
            <v>0</v>
          </cell>
          <cell r="CP529">
            <v>0</v>
          </cell>
          <cell r="CQ529">
            <v>0</v>
          </cell>
          <cell r="CR529">
            <v>0</v>
          </cell>
          <cell r="CS529">
            <v>0</v>
          </cell>
          <cell r="CT529">
            <v>0</v>
          </cell>
          <cell r="CU529">
            <v>0</v>
          </cell>
          <cell r="CV529">
            <v>0</v>
          </cell>
          <cell r="CW529">
            <v>0</v>
          </cell>
          <cell r="CX529">
            <v>0</v>
          </cell>
          <cell r="CY529">
            <v>0</v>
          </cell>
          <cell r="CZ529">
            <v>0</v>
          </cell>
          <cell r="DA529">
            <v>101</v>
          </cell>
          <cell r="DB529">
            <v>238</v>
          </cell>
          <cell r="DC529">
            <v>230</v>
          </cell>
          <cell r="DD529">
            <v>283</v>
          </cell>
          <cell r="DE529">
            <v>250</v>
          </cell>
          <cell r="DF529">
            <v>467</v>
          </cell>
          <cell r="DG529">
            <v>358</v>
          </cell>
          <cell r="DH529">
            <v>296</v>
          </cell>
          <cell r="DI529">
            <v>221</v>
          </cell>
          <cell r="DJ529">
            <v>310</v>
          </cell>
          <cell r="DK529">
            <v>395</v>
          </cell>
          <cell r="DL529">
            <v>454</v>
          </cell>
          <cell r="DM529">
            <v>431</v>
          </cell>
          <cell r="DN529">
            <v>488</v>
          </cell>
          <cell r="DO529">
            <v>428</v>
          </cell>
          <cell r="DP529">
            <v>307</v>
          </cell>
          <cell r="DQ529">
            <v>450</v>
          </cell>
          <cell r="DR529">
            <v>431</v>
          </cell>
          <cell r="DS529">
            <v>404</v>
          </cell>
          <cell r="DT529">
            <v>363</v>
          </cell>
          <cell r="DU529">
            <v>311</v>
          </cell>
          <cell r="DV529">
            <v>283</v>
          </cell>
          <cell r="DW529">
            <v>366</v>
          </cell>
          <cell r="DX529">
            <v>461</v>
          </cell>
          <cell r="DY529">
            <v>358</v>
          </cell>
          <cell r="DZ529">
            <v>334</v>
          </cell>
          <cell r="EA529">
            <v>264</v>
          </cell>
          <cell r="EB529">
            <v>298</v>
          </cell>
          <cell r="EC529">
            <v>192</v>
          </cell>
          <cell r="ED529">
            <v>260</v>
          </cell>
          <cell r="EE529">
            <v>414</v>
          </cell>
          <cell r="EF529">
            <v>3904</v>
          </cell>
          <cell r="EG529">
            <v>225</v>
          </cell>
          <cell r="EH529">
            <v>136</v>
          </cell>
          <cell r="EI529">
            <v>56</v>
          </cell>
          <cell r="EJ529">
            <v>36</v>
          </cell>
          <cell r="EK529">
            <v>10</v>
          </cell>
          <cell r="EL529">
            <v>6</v>
          </cell>
          <cell r="EM529">
            <v>0</v>
          </cell>
          <cell r="EN529">
            <v>1</v>
          </cell>
          <cell r="EO529">
            <v>0</v>
          </cell>
          <cell r="EP529">
            <v>0</v>
          </cell>
          <cell r="EQ529">
            <v>0</v>
          </cell>
          <cell r="ER529">
            <v>0</v>
          </cell>
          <cell r="ES529">
            <v>0.37878787878787878</v>
          </cell>
          <cell r="ET529">
            <v>470</v>
          </cell>
          <cell r="EU529">
            <v>2</v>
          </cell>
          <cell r="EV529">
            <v>0</v>
          </cell>
          <cell r="EW529">
            <v>0</v>
          </cell>
          <cell r="EX529">
            <v>0</v>
          </cell>
          <cell r="EY529">
            <v>0</v>
          </cell>
          <cell r="EZ529">
            <v>0</v>
          </cell>
          <cell r="FA529">
            <v>0</v>
          </cell>
          <cell r="FB529">
            <v>0</v>
          </cell>
          <cell r="FC529">
            <v>0</v>
          </cell>
          <cell r="FD529">
            <v>0</v>
          </cell>
          <cell r="FE529">
            <v>0</v>
          </cell>
          <cell r="FF529">
            <v>0</v>
          </cell>
          <cell r="FG529">
            <v>2</v>
          </cell>
          <cell r="FH529">
            <v>0</v>
          </cell>
          <cell r="FI529">
            <v>0</v>
          </cell>
          <cell r="FJ529">
            <v>0</v>
          </cell>
          <cell r="FK529">
            <v>0</v>
          </cell>
        </row>
        <row r="530">
          <cell r="G530">
            <v>203365</v>
          </cell>
          <cell r="H530" t="str">
            <v>ARIEL抗菌抗臭洗衣精補充包1590g-抗菌去漬</v>
          </cell>
          <cell r="N530">
            <v>208.9</v>
          </cell>
          <cell r="P530">
            <v>310.39999999999998</v>
          </cell>
          <cell r="Q530" t="str">
            <v>on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30290.5</v>
          </cell>
          <cell r="BH530">
            <v>30290.5</v>
          </cell>
          <cell r="BI530">
            <v>35095.200000000004</v>
          </cell>
          <cell r="BJ530">
            <v>62043.3</v>
          </cell>
          <cell r="BK530">
            <v>59118.700000000004</v>
          </cell>
          <cell r="BL530">
            <v>68937</v>
          </cell>
          <cell r="BM530">
            <v>99018.6</v>
          </cell>
          <cell r="BN530">
            <v>64967.9</v>
          </cell>
          <cell r="BO530">
            <v>61834.400000000001</v>
          </cell>
          <cell r="BP530">
            <v>100898.7</v>
          </cell>
          <cell r="BQ530">
            <v>68937</v>
          </cell>
          <cell r="BR530">
            <v>74995.100000000006</v>
          </cell>
          <cell r="BS530">
            <v>74577.3</v>
          </cell>
          <cell r="BT530">
            <v>72488.3</v>
          </cell>
          <cell r="BU530">
            <v>842911.50000000012</v>
          </cell>
          <cell r="BV530">
            <v>74577.3</v>
          </cell>
          <cell r="BW530">
            <v>100480.90000000001</v>
          </cell>
          <cell r="BX530">
            <v>97765.2</v>
          </cell>
          <cell r="BY530">
            <v>98183</v>
          </cell>
          <cell r="BZ530">
            <v>149363.5</v>
          </cell>
          <cell r="CA530">
            <v>112388.2</v>
          </cell>
          <cell r="CB530">
            <v>33006.200000000004</v>
          </cell>
          <cell r="CC530">
            <v>9400.5</v>
          </cell>
          <cell r="CD530">
            <v>5222.5</v>
          </cell>
          <cell r="CE530">
            <v>2715.7000000000003</v>
          </cell>
          <cell r="CF530">
            <v>0</v>
          </cell>
          <cell r="CG530">
            <v>0</v>
          </cell>
          <cell r="CH530">
            <v>683102.99999999988</v>
          </cell>
          <cell r="CI530">
            <v>0</v>
          </cell>
          <cell r="CJ530">
            <v>0</v>
          </cell>
          <cell r="CK530">
            <v>417.8</v>
          </cell>
          <cell r="CL530">
            <v>0</v>
          </cell>
          <cell r="CM530">
            <v>0</v>
          </cell>
          <cell r="CN530">
            <v>0</v>
          </cell>
          <cell r="CO530">
            <v>0</v>
          </cell>
          <cell r="CP530">
            <v>0</v>
          </cell>
          <cell r="CQ530">
            <v>0</v>
          </cell>
          <cell r="CR530">
            <v>0</v>
          </cell>
          <cell r="CS530">
            <v>0</v>
          </cell>
          <cell r="CT530">
            <v>0</v>
          </cell>
          <cell r="CU530">
            <v>0</v>
          </cell>
          <cell r="CV530">
            <v>0</v>
          </cell>
          <cell r="CW530">
            <v>0</v>
          </cell>
          <cell r="CX530">
            <v>0</v>
          </cell>
          <cell r="CY530">
            <v>0</v>
          </cell>
          <cell r="CZ530">
            <v>0</v>
          </cell>
          <cell r="DA530">
            <v>0</v>
          </cell>
          <cell r="DB530">
            <v>0</v>
          </cell>
          <cell r="DC530">
            <v>0</v>
          </cell>
          <cell r="DD530">
            <v>0</v>
          </cell>
          <cell r="DE530">
            <v>0</v>
          </cell>
          <cell r="DF530">
            <v>0</v>
          </cell>
          <cell r="DG530">
            <v>0</v>
          </cell>
          <cell r="DH530">
            <v>0</v>
          </cell>
          <cell r="DI530">
            <v>0</v>
          </cell>
          <cell r="DJ530">
            <v>0</v>
          </cell>
          <cell r="DK530">
            <v>0</v>
          </cell>
          <cell r="DL530">
            <v>0</v>
          </cell>
          <cell r="DM530">
            <v>0</v>
          </cell>
          <cell r="DN530">
            <v>0</v>
          </cell>
          <cell r="DO530">
            <v>0</v>
          </cell>
          <cell r="DP530">
            <v>0</v>
          </cell>
          <cell r="DQ530">
            <v>0</v>
          </cell>
          <cell r="DR530">
            <v>0</v>
          </cell>
          <cell r="DS530">
            <v>0</v>
          </cell>
          <cell r="DT530">
            <v>0</v>
          </cell>
          <cell r="DU530">
            <v>0</v>
          </cell>
          <cell r="DV530">
            <v>0</v>
          </cell>
          <cell r="DW530">
            <v>0</v>
          </cell>
          <cell r="DX530">
            <v>0</v>
          </cell>
          <cell r="DY530">
            <v>0</v>
          </cell>
          <cell r="DZ530">
            <v>0</v>
          </cell>
          <cell r="EA530">
            <v>0</v>
          </cell>
          <cell r="EB530">
            <v>0</v>
          </cell>
          <cell r="EC530">
            <v>0</v>
          </cell>
          <cell r="ED530">
            <v>0</v>
          </cell>
          <cell r="EE530">
            <v>145</v>
          </cell>
          <cell r="EF530">
            <v>145</v>
          </cell>
          <cell r="EG530">
            <v>168</v>
          </cell>
          <cell r="EH530">
            <v>297</v>
          </cell>
          <cell r="EI530">
            <v>283</v>
          </cell>
          <cell r="EJ530">
            <v>330</v>
          </cell>
          <cell r="EK530">
            <v>474</v>
          </cell>
          <cell r="EL530">
            <v>311</v>
          </cell>
          <cell r="EM530">
            <v>296</v>
          </cell>
          <cell r="EN530">
            <v>483</v>
          </cell>
          <cell r="EO530">
            <v>330</v>
          </cell>
          <cell r="EP530">
            <v>359</v>
          </cell>
          <cell r="EQ530">
            <v>357</v>
          </cell>
          <cell r="ER530">
            <v>347</v>
          </cell>
          <cell r="ES530">
            <v>0</v>
          </cell>
          <cell r="ET530">
            <v>4035</v>
          </cell>
          <cell r="EU530">
            <v>357</v>
          </cell>
          <cell r="EV530">
            <v>481</v>
          </cell>
          <cell r="EW530">
            <v>468</v>
          </cell>
          <cell r="EX530">
            <v>470</v>
          </cell>
          <cell r="EY530">
            <v>715</v>
          </cell>
          <cell r="EZ530">
            <v>538</v>
          </cell>
          <cell r="FA530">
            <v>158</v>
          </cell>
          <cell r="FB530">
            <v>45</v>
          </cell>
          <cell r="FC530">
            <v>25</v>
          </cell>
          <cell r="FD530">
            <v>13</v>
          </cell>
          <cell r="FE530">
            <v>0</v>
          </cell>
          <cell r="FF530">
            <v>0</v>
          </cell>
          <cell r="FG530">
            <v>3270</v>
          </cell>
          <cell r="FH530">
            <v>0</v>
          </cell>
          <cell r="FI530">
            <v>0</v>
          </cell>
          <cell r="FJ530">
            <v>2</v>
          </cell>
          <cell r="FK530">
            <v>0</v>
          </cell>
        </row>
        <row r="531">
          <cell r="G531">
            <v>203308</v>
          </cell>
          <cell r="H531" t="str">
            <v>ARIEL抗菌抗臭洗衣精補充包1590g-室內晾衣</v>
          </cell>
          <cell r="N531">
            <v>208.9</v>
          </cell>
          <cell r="P531">
            <v>326</v>
          </cell>
          <cell r="Q531" t="str">
            <v>on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40108.800000000003</v>
          </cell>
          <cell r="BH531">
            <v>40108.800000000003</v>
          </cell>
          <cell r="BI531">
            <v>35304.1</v>
          </cell>
          <cell r="BJ531">
            <v>83351.100000000006</v>
          </cell>
          <cell r="BK531">
            <v>56820.800000000003</v>
          </cell>
          <cell r="BL531">
            <v>66848</v>
          </cell>
          <cell r="BM531">
            <v>98183</v>
          </cell>
          <cell r="BN531">
            <v>74577.3</v>
          </cell>
          <cell r="BO531">
            <v>71443.8</v>
          </cell>
          <cell r="BP531">
            <v>105076.7</v>
          </cell>
          <cell r="BQ531">
            <v>74159.5</v>
          </cell>
          <cell r="BR531">
            <v>77919.7</v>
          </cell>
          <cell r="BS531">
            <v>73741.7</v>
          </cell>
          <cell r="BT531">
            <v>83142.2</v>
          </cell>
          <cell r="BU531">
            <v>900567.89999999979</v>
          </cell>
          <cell r="BV531">
            <v>72070.5</v>
          </cell>
          <cell r="BW531">
            <v>116984</v>
          </cell>
          <cell r="BX531">
            <v>120117.5</v>
          </cell>
          <cell r="BY531">
            <v>115730.6</v>
          </cell>
          <cell r="BZ531">
            <v>168582.30000000002</v>
          </cell>
          <cell r="CA531">
            <v>114477.2</v>
          </cell>
          <cell r="CB531">
            <v>22352.3</v>
          </cell>
          <cell r="CC531">
            <v>5640.3</v>
          </cell>
          <cell r="CD531">
            <v>626.70000000000005</v>
          </cell>
          <cell r="CE531">
            <v>0</v>
          </cell>
          <cell r="CF531">
            <v>208.9</v>
          </cell>
          <cell r="CG531">
            <v>208.9</v>
          </cell>
          <cell r="CH531">
            <v>736999.20000000007</v>
          </cell>
          <cell r="CI531">
            <v>0</v>
          </cell>
          <cell r="CJ531">
            <v>0</v>
          </cell>
          <cell r="CK531">
            <v>0</v>
          </cell>
          <cell r="CL531">
            <v>0</v>
          </cell>
          <cell r="CM531">
            <v>0</v>
          </cell>
          <cell r="CN531">
            <v>0</v>
          </cell>
          <cell r="CO531">
            <v>0</v>
          </cell>
          <cell r="CP531">
            <v>0</v>
          </cell>
          <cell r="CQ531">
            <v>0</v>
          </cell>
          <cell r="CR531">
            <v>0</v>
          </cell>
          <cell r="CS531">
            <v>0</v>
          </cell>
          <cell r="CT531">
            <v>0</v>
          </cell>
          <cell r="CU531">
            <v>0</v>
          </cell>
          <cell r="CV531">
            <v>0</v>
          </cell>
          <cell r="CW531">
            <v>0</v>
          </cell>
          <cell r="CX531">
            <v>0</v>
          </cell>
          <cell r="CY531">
            <v>0</v>
          </cell>
          <cell r="CZ531">
            <v>0</v>
          </cell>
          <cell r="DA531">
            <v>0</v>
          </cell>
          <cell r="DB531">
            <v>0</v>
          </cell>
          <cell r="DC531">
            <v>0</v>
          </cell>
          <cell r="DD531">
            <v>0</v>
          </cell>
          <cell r="DE531">
            <v>0</v>
          </cell>
          <cell r="DF531">
            <v>0</v>
          </cell>
          <cell r="DG531">
            <v>0</v>
          </cell>
          <cell r="DH531">
            <v>0</v>
          </cell>
          <cell r="DI531">
            <v>0</v>
          </cell>
          <cell r="DJ531">
            <v>0</v>
          </cell>
          <cell r="DK531">
            <v>0</v>
          </cell>
          <cell r="DL531">
            <v>0</v>
          </cell>
          <cell r="DM531">
            <v>0</v>
          </cell>
          <cell r="DN531">
            <v>0</v>
          </cell>
          <cell r="DO531">
            <v>0</v>
          </cell>
          <cell r="DP531">
            <v>0</v>
          </cell>
          <cell r="DQ531">
            <v>0</v>
          </cell>
          <cell r="DR531">
            <v>0</v>
          </cell>
          <cell r="DS531">
            <v>0</v>
          </cell>
          <cell r="DT531">
            <v>0</v>
          </cell>
          <cell r="DU531">
            <v>0</v>
          </cell>
          <cell r="DV531">
            <v>0</v>
          </cell>
          <cell r="DW531">
            <v>0</v>
          </cell>
          <cell r="DX531">
            <v>0</v>
          </cell>
          <cell r="DY531">
            <v>0</v>
          </cell>
          <cell r="DZ531">
            <v>0</v>
          </cell>
          <cell r="EA531">
            <v>0</v>
          </cell>
          <cell r="EB531">
            <v>0</v>
          </cell>
          <cell r="EC531">
            <v>0</v>
          </cell>
          <cell r="ED531">
            <v>0</v>
          </cell>
          <cell r="EE531">
            <v>192</v>
          </cell>
          <cell r="EF531">
            <v>192</v>
          </cell>
          <cell r="EG531">
            <v>169</v>
          </cell>
          <cell r="EH531">
            <v>399</v>
          </cell>
          <cell r="EI531">
            <v>272</v>
          </cell>
          <cell r="EJ531">
            <v>320</v>
          </cell>
          <cell r="EK531">
            <v>470</v>
          </cell>
          <cell r="EL531">
            <v>357</v>
          </cell>
          <cell r="EM531">
            <v>342</v>
          </cell>
          <cell r="EN531">
            <v>503</v>
          </cell>
          <cell r="EO531">
            <v>355</v>
          </cell>
          <cell r="EP531">
            <v>373</v>
          </cell>
          <cell r="EQ531">
            <v>353</v>
          </cell>
          <cell r="ER531">
            <v>398</v>
          </cell>
          <cell r="ES531">
            <v>0</v>
          </cell>
          <cell r="ET531">
            <v>4311</v>
          </cell>
          <cell r="EU531">
            <v>345</v>
          </cell>
          <cell r="EV531">
            <v>560</v>
          </cell>
          <cell r="EW531">
            <v>575</v>
          </cell>
          <cell r="EX531">
            <v>554</v>
          </cell>
          <cell r="EY531">
            <v>807</v>
          </cell>
          <cell r="EZ531">
            <v>548</v>
          </cell>
          <cell r="FA531">
            <v>107</v>
          </cell>
          <cell r="FB531">
            <v>27</v>
          </cell>
          <cell r="FC531">
            <v>3</v>
          </cell>
          <cell r="FD531">
            <v>0</v>
          </cell>
          <cell r="FE531">
            <v>1</v>
          </cell>
          <cell r="FF531">
            <v>1</v>
          </cell>
          <cell r="FG531">
            <v>3528</v>
          </cell>
          <cell r="FH531">
            <v>0</v>
          </cell>
          <cell r="FI531">
            <v>0</v>
          </cell>
          <cell r="FJ531">
            <v>0</v>
          </cell>
          <cell r="FK531">
            <v>0</v>
          </cell>
        </row>
        <row r="532">
          <cell r="G532">
            <v>410221</v>
          </cell>
          <cell r="H532" t="str">
            <v>ARIEL超濃縮抗菌洗衣精900G+630G優惠組</v>
          </cell>
          <cell r="N532">
            <v>171</v>
          </cell>
          <cell r="Q532" t="str">
            <v>on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28728</v>
          </cell>
          <cell r="AE532">
            <v>220248</v>
          </cell>
          <cell r="AF532">
            <v>298566</v>
          </cell>
          <cell r="AG532">
            <v>91143</v>
          </cell>
          <cell r="AH532">
            <v>40869</v>
          </cell>
          <cell r="AI532">
            <v>163134</v>
          </cell>
          <cell r="AJ532">
            <v>489231</v>
          </cell>
          <cell r="AK532">
            <v>209646</v>
          </cell>
          <cell r="AL532">
            <v>245214</v>
          </cell>
          <cell r="AM532">
            <v>291384</v>
          </cell>
          <cell r="AN532">
            <v>166383</v>
          </cell>
          <cell r="AO532">
            <v>226062</v>
          </cell>
          <cell r="AP532">
            <v>229482</v>
          </cell>
          <cell r="AQ532">
            <v>275481</v>
          </cell>
          <cell r="AR532">
            <v>181773</v>
          </cell>
          <cell r="AS532">
            <v>302499</v>
          </cell>
          <cell r="AT532">
            <v>180405</v>
          </cell>
          <cell r="AU532">
            <v>194085</v>
          </cell>
          <cell r="AV532">
            <v>245214</v>
          </cell>
          <cell r="AW532">
            <v>236664</v>
          </cell>
          <cell r="AX532">
            <v>229824</v>
          </cell>
          <cell r="AY532">
            <v>340974</v>
          </cell>
          <cell r="AZ532">
            <v>278217</v>
          </cell>
          <cell r="BA532">
            <v>353970</v>
          </cell>
          <cell r="BB532">
            <v>257526</v>
          </cell>
          <cell r="BC532">
            <v>252054</v>
          </cell>
          <cell r="BD532">
            <v>303867</v>
          </cell>
          <cell r="BE532">
            <v>209133</v>
          </cell>
          <cell r="BF532">
            <v>225036</v>
          </cell>
          <cell r="BG532">
            <v>203319</v>
          </cell>
          <cell r="BH532">
            <v>3135798</v>
          </cell>
          <cell r="BI532">
            <v>37107</v>
          </cell>
          <cell r="BJ532">
            <v>21375</v>
          </cell>
          <cell r="BK532">
            <v>6498</v>
          </cell>
          <cell r="BL532">
            <v>3249</v>
          </cell>
          <cell r="BM532">
            <v>2565</v>
          </cell>
          <cell r="BN532">
            <v>1368</v>
          </cell>
          <cell r="BO532">
            <v>513</v>
          </cell>
          <cell r="BP532">
            <v>0</v>
          </cell>
          <cell r="BQ532">
            <v>0</v>
          </cell>
          <cell r="BR532">
            <v>171</v>
          </cell>
          <cell r="BS532">
            <v>0</v>
          </cell>
          <cell r="BT532">
            <v>0</v>
          </cell>
          <cell r="BU532">
            <v>72846</v>
          </cell>
          <cell r="BV532">
            <v>0</v>
          </cell>
          <cell r="BW532">
            <v>0</v>
          </cell>
          <cell r="BX532">
            <v>0</v>
          </cell>
          <cell r="BY532">
            <v>0</v>
          </cell>
          <cell r="BZ532">
            <v>0</v>
          </cell>
          <cell r="CA532">
            <v>0</v>
          </cell>
          <cell r="CB532">
            <v>0</v>
          </cell>
          <cell r="CC532">
            <v>0</v>
          </cell>
          <cell r="CD532">
            <v>0</v>
          </cell>
          <cell r="CE532">
            <v>0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0</v>
          </cell>
          <cell r="CK532">
            <v>0</v>
          </cell>
          <cell r="CL532">
            <v>0</v>
          </cell>
          <cell r="CM532">
            <v>0</v>
          </cell>
          <cell r="CN532">
            <v>0</v>
          </cell>
          <cell r="CO532">
            <v>0</v>
          </cell>
          <cell r="CP532">
            <v>0</v>
          </cell>
          <cell r="CQ532">
            <v>0</v>
          </cell>
          <cell r="CR532">
            <v>0</v>
          </cell>
          <cell r="CS532">
            <v>0</v>
          </cell>
          <cell r="CT532">
            <v>0</v>
          </cell>
          <cell r="CU532">
            <v>0</v>
          </cell>
          <cell r="CV532">
            <v>0</v>
          </cell>
          <cell r="CW532">
            <v>0</v>
          </cell>
          <cell r="CX532">
            <v>0</v>
          </cell>
          <cell r="CY532">
            <v>0</v>
          </cell>
          <cell r="CZ532">
            <v>0</v>
          </cell>
          <cell r="DA532">
            <v>0</v>
          </cell>
          <cell r="DB532">
            <v>168</v>
          </cell>
          <cell r="DC532">
            <v>1288</v>
          </cell>
          <cell r="DD532">
            <v>1746</v>
          </cell>
          <cell r="DE532">
            <v>533</v>
          </cell>
          <cell r="DF532">
            <v>239</v>
          </cell>
          <cell r="DG532">
            <v>954</v>
          </cell>
          <cell r="DH532">
            <v>2861</v>
          </cell>
          <cell r="DI532">
            <v>1226</v>
          </cell>
          <cell r="DJ532">
            <v>1434</v>
          </cell>
          <cell r="DK532">
            <v>1704</v>
          </cell>
          <cell r="DL532">
            <v>973</v>
          </cell>
          <cell r="DM532">
            <v>1322</v>
          </cell>
          <cell r="DN532">
            <v>1342</v>
          </cell>
          <cell r="DO532">
            <v>1611</v>
          </cell>
          <cell r="DP532">
            <v>1063</v>
          </cell>
          <cell r="DQ532">
            <v>1769</v>
          </cell>
          <cell r="DR532">
            <v>1055</v>
          </cell>
          <cell r="DS532">
            <v>1135</v>
          </cell>
          <cell r="DT532">
            <v>1434</v>
          </cell>
          <cell r="DU532">
            <v>1384</v>
          </cell>
          <cell r="DV532">
            <v>1344</v>
          </cell>
          <cell r="DW532">
            <v>1994</v>
          </cell>
          <cell r="DX532">
            <v>1627</v>
          </cell>
          <cell r="DY532">
            <v>2070</v>
          </cell>
          <cell r="DZ532">
            <v>1506</v>
          </cell>
          <cell r="EA532">
            <v>1474</v>
          </cell>
          <cell r="EB532">
            <v>1777</v>
          </cell>
          <cell r="EC532">
            <v>1223</v>
          </cell>
          <cell r="ED532">
            <v>1316</v>
          </cell>
          <cell r="EE532">
            <v>1189</v>
          </cell>
          <cell r="EF532">
            <v>18338</v>
          </cell>
          <cell r="EG532">
            <v>217</v>
          </cell>
          <cell r="EH532">
            <v>125</v>
          </cell>
          <cell r="EI532">
            <v>38</v>
          </cell>
          <cell r="EJ532">
            <v>19</v>
          </cell>
          <cell r="EK532">
            <v>15</v>
          </cell>
          <cell r="EL532">
            <v>8</v>
          </cell>
          <cell r="EM532">
            <v>3</v>
          </cell>
          <cell r="EN532">
            <v>0</v>
          </cell>
          <cell r="EO532">
            <v>0</v>
          </cell>
          <cell r="EP532">
            <v>1</v>
          </cell>
          <cell r="EQ532">
            <v>0</v>
          </cell>
          <cell r="ER532">
            <v>0</v>
          </cell>
          <cell r="ES532">
            <v>0</v>
          </cell>
          <cell r="ET532">
            <v>426</v>
          </cell>
          <cell r="EU532">
            <v>0</v>
          </cell>
          <cell r="EV532">
            <v>0</v>
          </cell>
          <cell r="EW532">
            <v>0</v>
          </cell>
          <cell r="EX532">
            <v>0</v>
          </cell>
          <cell r="EY532">
            <v>0</v>
          </cell>
          <cell r="EZ532">
            <v>0</v>
          </cell>
          <cell r="FA532">
            <v>0</v>
          </cell>
          <cell r="FB532">
            <v>0</v>
          </cell>
          <cell r="FC532">
            <v>0</v>
          </cell>
          <cell r="FD532">
            <v>0</v>
          </cell>
          <cell r="FE532">
            <v>0</v>
          </cell>
          <cell r="FF532">
            <v>0</v>
          </cell>
          <cell r="FG532">
            <v>0</v>
          </cell>
          <cell r="FH532">
            <v>0</v>
          </cell>
          <cell r="FI532">
            <v>0</v>
          </cell>
          <cell r="FJ532">
            <v>0</v>
          </cell>
          <cell r="FK532">
            <v>0</v>
          </cell>
        </row>
        <row r="533">
          <cell r="G533">
            <v>410234</v>
          </cell>
          <cell r="H533" t="str">
            <v>ARIEL抗菌洗衣精室晾款900G+630G優惠組</v>
          </cell>
          <cell r="N533">
            <v>171</v>
          </cell>
          <cell r="Q533" t="str">
            <v>on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39843</v>
          </cell>
          <cell r="AE533">
            <v>237861</v>
          </cell>
          <cell r="AF533">
            <v>299079</v>
          </cell>
          <cell r="AG533">
            <v>91143</v>
          </cell>
          <cell r="AH533">
            <v>37107</v>
          </cell>
          <cell r="AI533">
            <v>159372</v>
          </cell>
          <cell r="AJ533">
            <v>485640</v>
          </cell>
          <cell r="AK533">
            <v>231705</v>
          </cell>
          <cell r="AL533">
            <v>238032</v>
          </cell>
          <cell r="AM533">
            <v>295317</v>
          </cell>
          <cell r="AN533">
            <v>182799</v>
          </cell>
          <cell r="AO533">
            <v>243846</v>
          </cell>
          <cell r="AP533">
            <v>234441</v>
          </cell>
          <cell r="AQ533">
            <v>291384</v>
          </cell>
          <cell r="AR533">
            <v>173565</v>
          </cell>
          <cell r="AS533">
            <v>322335</v>
          </cell>
          <cell r="AT533">
            <v>191349</v>
          </cell>
          <cell r="AU533">
            <v>198018</v>
          </cell>
          <cell r="AV533">
            <v>193401</v>
          </cell>
          <cell r="AW533">
            <v>213921</v>
          </cell>
          <cell r="AX533">
            <v>220419</v>
          </cell>
          <cell r="AY533">
            <v>335844</v>
          </cell>
          <cell r="AZ533">
            <v>279414</v>
          </cell>
          <cell r="BA533">
            <v>362349</v>
          </cell>
          <cell r="BB533">
            <v>238203</v>
          </cell>
          <cell r="BC533">
            <v>245214</v>
          </cell>
          <cell r="BD533">
            <v>308826</v>
          </cell>
          <cell r="BE533">
            <v>199386</v>
          </cell>
          <cell r="BF533">
            <v>221616</v>
          </cell>
          <cell r="BG533">
            <v>135945</v>
          </cell>
          <cell r="BH533">
            <v>2954538</v>
          </cell>
          <cell r="BI533">
            <v>19323</v>
          </cell>
          <cell r="BJ533">
            <v>11286</v>
          </cell>
          <cell r="BK533">
            <v>3591</v>
          </cell>
          <cell r="BL533">
            <v>1881</v>
          </cell>
          <cell r="BM533">
            <v>2052</v>
          </cell>
          <cell r="BN533">
            <v>1881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40014</v>
          </cell>
          <cell r="BV533">
            <v>0</v>
          </cell>
          <cell r="BW533">
            <v>0</v>
          </cell>
          <cell r="BX533">
            <v>0</v>
          </cell>
          <cell r="BY533">
            <v>0</v>
          </cell>
          <cell r="BZ533">
            <v>0</v>
          </cell>
          <cell r="CA533">
            <v>0</v>
          </cell>
          <cell r="CB533">
            <v>0</v>
          </cell>
          <cell r="CC533">
            <v>0</v>
          </cell>
          <cell r="CD533">
            <v>0</v>
          </cell>
          <cell r="CE533">
            <v>0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0</v>
          </cell>
          <cell r="CK533">
            <v>0</v>
          </cell>
          <cell r="CL533">
            <v>0</v>
          </cell>
          <cell r="CM533">
            <v>0</v>
          </cell>
          <cell r="CN533">
            <v>0</v>
          </cell>
          <cell r="CO533">
            <v>0</v>
          </cell>
          <cell r="CP533">
            <v>0</v>
          </cell>
          <cell r="CQ533">
            <v>0</v>
          </cell>
          <cell r="CR533">
            <v>0</v>
          </cell>
          <cell r="CS533">
            <v>0</v>
          </cell>
          <cell r="CT533">
            <v>0</v>
          </cell>
          <cell r="CU533">
            <v>0</v>
          </cell>
          <cell r="CV533">
            <v>0</v>
          </cell>
          <cell r="CW533">
            <v>0</v>
          </cell>
          <cell r="CX533">
            <v>0</v>
          </cell>
          <cell r="CY533">
            <v>0</v>
          </cell>
          <cell r="CZ533">
            <v>0</v>
          </cell>
          <cell r="DA533">
            <v>0</v>
          </cell>
          <cell r="DB533">
            <v>233</v>
          </cell>
          <cell r="DC533">
            <v>1391</v>
          </cell>
          <cell r="DD533">
            <v>1749</v>
          </cell>
          <cell r="DE533">
            <v>533</v>
          </cell>
          <cell r="DF533">
            <v>217</v>
          </cell>
          <cell r="DG533">
            <v>932</v>
          </cell>
          <cell r="DH533">
            <v>2840</v>
          </cell>
          <cell r="DI533">
            <v>1355</v>
          </cell>
          <cell r="DJ533">
            <v>1392</v>
          </cell>
          <cell r="DK533">
            <v>1727</v>
          </cell>
          <cell r="DL533">
            <v>1069</v>
          </cell>
          <cell r="DM533">
            <v>1426</v>
          </cell>
          <cell r="DN533">
            <v>1371</v>
          </cell>
          <cell r="DO533">
            <v>1704</v>
          </cell>
          <cell r="DP533">
            <v>1015</v>
          </cell>
          <cell r="DQ533">
            <v>1885</v>
          </cell>
          <cell r="DR533">
            <v>1119</v>
          </cell>
          <cell r="DS533">
            <v>1158</v>
          </cell>
          <cell r="DT533">
            <v>1131</v>
          </cell>
          <cell r="DU533">
            <v>1251</v>
          </cell>
          <cell r="DV533">
            <v>1289</v>
          </cell>
          <cell r="DW533">
            <v>1964</v>
          </cell>
          <cell r="DX533">
            <v>1634</v>
          </cell>
          <cell r="DY533">
            <v>2119</v>
          </cell>
          <cell r="DZ533">
            <v>1393</v>
          </cell>
          <cell r="EA533">
            <v>1434</v>
          </cell>
          <cell r="EB533">
            <v>1806</v>
          </cell>
          <cell r="EC533">
            <v>1166</v>
          </cell>
          <cell r="ED533">
            <v>1296</v>
          </cell>
          <cell r="EE533">
            <v>795</v>
          </cell>
          <cell r="EF533">
            <v>17278</v>
          </cell>
          <cell r="EG533">
            <v>113</v>
          </cell>
          <cell r="EH533">
            <v>66</v>
          </cell>
          <cell r="EI533">
            <v>21</v>
          </cell>
          <cell r="EJ533">
            <v>11</v>
          </cell>
          <cell r="EK533">
            <v>12</v>
          </cell>
          <cell r="EL533">
            <v>11</v>
          </cell>
          <cell r="EM533">
            <v>0</v>
          </cell>
          <cell r="EN533">
            <v>0</v>
          </cell>
          <cell r="EO533">
            <v>0</v>
          </cell>
          <cell r="EP533">
            <v>0</v>
          </cell>
          <cell r="EQ533">
            <v>0</v>
          </cell>
          <cell r="ER533">
            <v>0</v>
          </cell>
          <cell r="ES533">
            <v>0</v>
          </cell>
          <cell r="ET533">
            <v>234</v>
          </cell>
          <cell r="EU533">
            <v>0</v>
          </cell>
          <cell r="EV533">
            <v>0</v>
          </cell>
          <cell r="EW533">
            <v>0</v>
          </cell>
          <cell r="EX533">
            <v>0</v>
          </cell>
          <cell r="EY533">
            <v>0</v>
          </cell>
          <cell r="EZ533">
            <v>0</v>
          </cell>
          <cell r="FA533">
            <v>0</v>
          </cell>
          <cell r="FB533">
            <v>0</v>
          </cell>
          <cell r="FC533">
            <v>0</v>
          </cell>
          <cell r="FD533">
            <v>0</v>
          </cell>
          <cell r="FE533">
            <v>0</v>
          </cell>
          <cell r="FF533">
            <v>0</v>
          </cell>
          <cell r="FG533">
            <v>0</v>
          </cell>
        </row>
        <row r="534">
          <cell r="G534">
            <v>207082</v>
          </cell>
          <cell r="H534" t="str">
            <v>ARIEL抗菌抗臭洗衣精優惠組630g*2抗菌去漬</v>
          </cell>
          <cell r="N534">
            <v>161.1</v>
          </cell>
          <cell r="P534">
            <v>930.8</v>
          </cell>
          <cell r="Q534" t="str">
            <v>on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483.29999999999995</v>
          </cell>
          <cell r="BH534">
            <v>483.29999999999995</v>
          </cell>
          <cell r="BI534">
            <v>97787.7</v>
          </cell>
          <cell r="BJ534">
            <v>154333.79999999999</v>
          </cell>
          <cell r="BK534">
            <v>170927.1</v>
          </cell>
          <cell r="BL534">
            <v>167221.79999999999</v>
          </cell>
          <cell r="BM534">
            <v>159489</v>
          </cell>
          <cell r="BN534">
            <v>116475.3</v>
          </cell>
          <cell r="BO534">
            <v>105681.59999999999</v>
          </cell>
          <cell r="BP534">
            <v>203469.3</v>
          </cell>
          <cell r="BQ534">
            <v>135807.29999999999</v>
          </cell>
          <cell r="BR534">
            <v>172054.8</v>
          </cell>
          <cell r="BS534">
            <v>97465.5</v>
          </cell>
          <cell r="BT534">
            <v>41402.699999999997</v>
          </cell>
          <cell r="BU534">
            <v>1622115.9</v>
          </cell>
          <cell r="BV534">
            <v>31897.8</v>
          </cell>
          <cell r="BW534">
            <v>23681.7</v>
          </cell>
          <cell r="BX534">
            <v>20781.899999999998</v>
          </cell>
          <cell r="BY534">
            <v>19009.8</v>
          </cell>
          <cell r="BZ534">
            <v>6605.0999999999995</v>
          </cell>
          <cell r="CA534">
            <v>2899.7999999999997</v>
          </cell>
          <cell r="CB534">
            <v>2738.7</v>
          </cell>
          <cell r="CC534">
            <v>1127.7</v>
          </cell>
          <cell r="CD534">
            <v>161.1</v>
          </cell>
          <cell r="CE534">
            <v>483.29999999999995</v>
          </cell>
          <cell r="CF534">
            <v>0</v>
          </cell>
          <cell r="CG534">
            <v>0</v>
          </cell>
          <cell r="CH534">
            <v>109386.90000000001</v>
          </cell>
          <cell r="CI534">
            <v>0</v>
          </cell>
          <cell r="CJ534">
            <v>0</v>
          </cell>
          <cell r="CK534">
            <v>0</v>
          </cell>
          <cell r="CL534">
            <v>0</v>
          </cell>
          <cell r="CM534">
            <v>0</v>
          </cell>
          <cell r="CN534">
            <v>0</v>
          </cell>
          <cell r="CO534">
            <v>0</v>
          </cell>
          <cell r="CP534">
            <v>0</v>
          </cell>
          <cell r="CQ534">
            <v>0</v>
          </cell>
          <cell r="CR534">
            <v>0</v>
          </cell>
          <cell r="CS534">
            <v>0</v>
          </cell>
          <cell r="CT534">
            <v>0</v>
          </cell>
          <cell r="CU534">
            <v>0</v>
          </cell>
          <cell r="CV534">
            <v>0</v>
          </cell>
          <cell r="CW534">
            <v>0</v>
          </cell>
          <cell r="CX534">
            <v>0</v>
          </cell>
          <cell r="CY534">
            <v>0</v>
          </cell>
          <cell r="CZ534">
            <v>0</v>
          </cell>
          <cell r="DA534">
            <v>0</v>
          </cell>
          <cell r="DB534">
            <v>0</v>
          </cell>
          <cell r="DC534">
            <v>0</v>
          </cell>
          <cell r="DD534">
            <v>0</v>
          </cell>
          <cell r="DE534">
            <v>0</v>
          </cell>
          <cell r="DF534">
            <v>0</v>
          </cell>
          <cell r="DG534">
            <v>0</v>
          </cell>
          <cell r="DH534">
            <v>0</v>
          </cell>
          <cell r="DI534">
            <v>0</v>
          </cell>
          <cell r="DJ534">
            <v>0</v>
          </cell>
          <cell r="DK534">
            <v>0</v>
          </cell>
          <cell r="DL534">
            <v>0</v>
          </cell>
          <cell r="DM534">
            <v>0</v>
          </cell>
          <cell r="DN534">
            <v>0</v>
          </cell>
          <cell r="DO534">
            <v>0</v>
          </cell>
          <cell r="DP534">
            <v>0</v>
          </cell>
          <cell r="DQ534">
            <v>0</v>
          </cell>
          <cell r="DR534">
            <v>0</v>
          </cell>
          <cell r="DS534">
            <v>0</v>
          </cell>
          <cell r="DT534">
            <v>0</v>
          </cell>
          <cell r="DU534">
            <v>0</v>
          </cell>
          <cell r="DV534">
            <v>0</v>
          </cell>
          <cell r="DW534">
            <v>0</v>
          </cell>
          <cell r="DX534">
            <v>0</v>
          </cell>
          <cell r="DY534">
            <v>0</v>
          </cell>
          <cell r="DZ534">
            <v>0</v>
          </cell>
          <cell r="EA534">
            <v>0</v>
          </cell>
          <cell r="EB534">
            <v>0</v>
          </cell>
          <cell r="EC534">
            <v>0</v>
          </cell>
          <cell r="ED534">
            <v>0</v>
          </cell>
          <cell r="EE534">
            <v>3</v>
          </cell>
          <cell r="EF534">
            <v>3</v>
          </cell>
          <cell r="EG534">
            <v>607</v>
          </cell>
          <cell r="EH534">
            <v>958</v>
          </cell>
          <cell r="EI534">
            <v>1061</v>
          </cell>
          <cell r="EJ534">
            <v>1038</v>
          </cell>
          <cell r="EK534">
            <v>990</v>
          </cell>
          <cell r="EL534">
            <v>723</v>
          </cell>
          <cell r="EM534">
            <v>656</v>
          </cell>
          <cell r="EN534">
            <v>1263</v>
          </cell>
          <cell r="EO534">
            <v>843</v>
          </cell>
          <cell r="EP534">
            <v>1068</v>
          </cell>
          <cell r="EQ534">
            <v>605</v>
          </cell>
          <cell r="ER534">
            <v>257</v>
          </cell>
          <cell r="ES534">
            <v>0</v>
          </cell>
          <cell r="ET534">
            <v>10069</v>
          </cell>
          <cell r="EU534">
            <v>198</v>
          </cell>
          <cell r="EV534">
            <v>147</v>
          </cell>
          <cell r="EW534">
            <v>129</v>
          </cell>
          <cell r="EX534">
            <v>118</v>
          </cell>
          <cell r="EY534">
            <v>41</v>
          </cell>
          <cell r="EZ534">
            <v>18</v>
          </cell>
          <cell r="FA534">
            <v>17</v>
          </cell>
          <cell r="FB534">
            <v>7</v>
          </cell>
          <cell r="FC534">
            <v>1</v>
          </cell>
          <cell r="FD534">
            <v>3</v>
          </cell>
          <cell r="FE534">
            <v>0</v>
          </cell>
          <cell r="FF534">
            <v>0</v>
          </cell>
          <cell r="FG534">
            <v>679</v>
          </cell>
          <cell r="FH534">
            <v>0</v>
          </cell>
          <cell r="FI534">
            <v>0</v>
          </cell>
          <cell r="FJ534">
            <v>0</v>
          </cell>
          <cell r="FK534">
            <v>0</v>
          </cell>
        </row>
        <row r="535">
          <cell r="G535">
            <v>207092</v>
          </cell>
          <cell r="H535" t="str">
            <v>ARIEL抗菌抗臭洗衣精優惠組630g*2室內晾衣</v>
          </cell>
          <cell r="N535">
            <v>161.1</v>
          </cell>
          <cell r="P535">
            <v>951.6</v>
          </cell>
          <cell r="Q535" t="str">
            <v>on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1127.7</v>
          </cell>
          <cell r="BH535">
            <v>1127.7</v>
          </cell>
          <cell r="BI535">
            <v>88443.9</v>
          </cell>
          <cell r="BJ535">
            <v>161261.1</v>
          </cell>
          <cell r="BK535">
            <v>175921.19999999998</v>
          </cell>
          <cell r="BL535">
            <v>173665.8</v>
          </cell>
          <cell r="BM535">
            <v>167221.79999999999</v>
          </cell>
          <cell r="BN535">
            <v>132424.19999999998</v>
          </cell>
          <cell r="BO535">
            <v>124208.09999999999</v>
          </cell>
          <cell r="BP535">
            <v>217323.9</v>
          </cell>
          <cell r="BQ535">
            <v>137901.6</v>
          </cell>
          <cell r="BR535">
            <v>191225.69999999998</v>
          </cell>
          <cell r="BS535">
            <v>109870.2</v>
          </cell>
          <cell r="BT535">
            <v>51552</v>
          </cell>
          <cell r="BU535">
            <v>1731019.5</v>
          </cell>
          <cell r="BV535">
            <v>35280.9</v>
          </cell>
          <cell r="BW535">
            <v>26098.2</v>
          </cell>
          <cell r="BX535">
            <v>16593.3</v>
          </cell>
          <cell r="BY535">
            <v>15143.4</v>
          </cell>
          <cell r="BZ535">
            <v>7249.5</v>
          </cell>
          <cell r="CA535">
            <v>2255.4</v>
          </cell>
          <cell r="CB535">
            <v>1127.7</v>
          </cell>
          <cell r="CC535">
            <v>1288.8</v>
          </cell>
          <cell r="CD535">
            <v>161.1</v>
          </cell>
          <cell r="CE535">
            <v>0</v>
          </cell>
          <cell r="CF535">
            <v>0</v>
          </cell>
          <cell r="CG535">
            <v>0</v>
          </cell>
          <cell r="CH535">
            <v>105198.3</v>
          </cell>
          <cell r="CI535">
            <v>0</v>
          </cell>
          <cell r="CJ535">
            <v>0</v>
          </cell>
          <cell r="CK535">
            <v>0</v>
          </cell>
          <cell r="CL535">
            <v>0</v>
          </cell>
          <cell r="CM535">
            <v>0</v>
          </cell>
          <cell r="CN535">
            <v>0</v>
          </cell>
          <cell r="CO535">
            <v>0</v>
          </cell>
          <cell r="CP535">
            <v>0</v>
          </cell>
          <cell r="CQ535">
            <v>0</v>
          </cell>
          <cell r="CR535">
            <v>0</v>
          </cell>
          <cell r="CS535">
            <v>0</v>
          </cell>
          <cell r="CT535">
            <v>0</v>
          </cell>
          <cell r="CU535">
            <v>0</v>
          </cell>
          <cell r="CV535">
            <v>0</v>
          </cell>
          <cell r="CW535">
            <v>0</v>
          </cell>
          <cell r="CX535">
            <v>0</v>
          </cell>
          <cell r="CY535">
            <v>0</v>
          </cell>
          <cell r="CZ535">
            <v>0</v>
          </cell>
          <cell r="DA535">
            <v>0</v>
          </cell>
          <cell r="DB535">
            <v>0</v>
          </cell>
          <cell r="DC535">
            <v>0</v>
          </cell>
          <cell r="DD535">
            <v>0</v>
          </cell>
          <cell r="DE535">
            <v>0</v>
          </cell>
          <cell r="DF535">
            <v>0</v>
          </cell>
          <cell r="DG535">
            <v>0</v>
          </cell>
          <cell r="DH535">
            <v>0</v>
          </cell>
          <cell r="DI535">
            <v>0</v>
          </cell>
          <cell r="DJ535">
            <v>0</v>
          </cell>
          <cell r="DK535">
            <v>0</v>
          </cell>
          <cell r="DL535">
            <v>0</v>
          </cell>
          <cell r="DM535">
            <v>0</v>
          </cell>
          <cell r="DN535">
            <v>0</v>
          </cell>
          <cell r="DO535">
            <v>0</v>
          </cell>
          <cell r="DP535">
            <v>0</v>
          </cell>
          <cell r="DQ535">
            <v>0</v>
          </cell>
          <cell r="DR535">
            <v>0</v>
          </cell>
          <cell r="DS535">
            <v>0</v>
          </cell>
          <cell r="DT535">
            <v>0</v>
          </cell>
          <cell r="DU535">
            <v>0</v>
          </cell>
          <cell r="DV535">
            <v>0</v>
          </cell>
          <cell r="DW535">
            <v>0</v>
          </cell>
          <cell r="DX535">
            <v>0</v>
          </cell>
          <cell r="DY535">
            <v>0</v>
          </cell>
          <cell r="DZ535">
            <v>0</v>
          </cell>
          <cell r="EA535">
            <v>0</v>
          </cell>
          <cell r="EB535">
            <v>0</v>
          </cell>
          <cell r="EC535">
            <v>0</v>
          </cell>
          <cell r="ED535">
            <v>0</v>
          </cell>
          <cell r="EE535">
            <v>7</v>
          </cell>
          <cell r="EF535">
            <v>7</v>
          </cell>
          <cell r="EG535">
            <v>549</v>
          </cell>
          <cell r="EH535">
            <v>1001</v>
          </cell>
          <cell r="EI535">
            <v>1092</v>
          </cell>
          <cell r="EJ535">
            <v>1078</v>
          </cell>
          <cell r="EK535">
            <v>1038</v>
          </cell>
          <cell r="EL535">
            <v>822</v>
          </cell>
          <cell r="EM535">
            <v>771</v>
          </cell>
          <cell r="EN535">
            <v>1349</v>
          </cell>
          <cell r="EO535">
            <v>856</v>
          </cell>
          <cell r="EP535">
            <v>1187</v>
          </cell>
          <cell r="EQ535">
            <v>682</v>
          </cell>
          <cell r="ER535">
            <v>320</v>
          </cell>
          <cell r="ES535">
            <v>0</v>
          </cell>
          <cell r="ET535">
            <v>10745</v>
          </cell>
          <cell r="EU535">
            <v>219</v>
          </cell>
          <cell r="EV535">
            <v>162</v>
          </cell>
          <cell r="EW535">
            <v>103</v>
          </cell>
          <cell r="EX535">
            <v>94</v>
          </cell>
          <cell r="EY535">
            <v>45</v>
          </cell>
          <cell r="EZ535">
            <v>14</v>
          </cell>
          <cell r="FA535">
            <v>7</v>
          </cell>
          <cell r="FB535">
            <v>8</v>
          </cell>
          <cell r="FC535">
            <v>1</v>
          </cell>
          <cell r="FD535">
            <v>0</v>
          </cell>
          <cell r="FE535">
            <v>0</v>
          </cell>
          <cell r="FF535">
            <v>0</v>
          </cell>
          <cell r="FG535">
            <v>653</v>
          </cell>
          <cell r="FH535">
            <v>0</v>
          </cell>
          <cell r="FI535">
            <v>0</v>
          </cell>
          <cell r="FJ535">
            <v>0</v>
          </cell>
          <cell r="FK535">
            <v>0</v>
          </cell>
        </row>
        <row r="536">
          <cell r="G536">
            <v>240004</v>
          </cell>
          <cell r="H536" t="str">
            <v>ARIEL抗菌抗臭洗衣精1430g室內晾衣型超值裝</v>
          </cell>
          <cell r="N536">
            <v>179.6</v>
          </cell>
          <cell r="Q536" t="str">
            <v>on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247668.4</v>
          </cell>
          <cell r="BT536">
            <v>182294</v>
          </cell>
          <cell r="BU536">
            <v>429962.4</v>
          </cell>
          <cell r="BV536">
            <v>146194.4</v>
          </cell>
          <cell r="BW536">
            <v>166668.79999999999</v>
          </cell>
          <cell r="BX536">
            <v>129491.59999999999</v>
          </cell>
          <cell r="BY536">
            <v>73636</v>
          </cell>
          <cell r="BZ536">
            <v>31430</v>
          </cell>
          <cell r="CA536">
            <v>14727.199999999999</v>
          </cell>
          <cell r="CB536">
            <v>7004.4</v>
          </cell>
          <cell r="CC536">
            <v>5208.3999999999996</v>
          </cell>
          <cell r="CD536">
            <v>1616.3999999999999</v>
          </cell>
          <cell r="CE536">
            <v>718.4</v>
          </cell>
          <cell r="CF536">
            <v>359.2</v>
          </cell>
          <cell r="CG536">
            <v>179.6</v>
          </cell>
          <cell r="CH536">
            <v>577234.39999999991</v>
          </cell>
          <cell r="CI536">
            <v>0</v>
          </cell>
          <cell r="CJ536">
            <v>0</v>
          </cell>
          <cell r="CK536">
            <v>0</v>
          </cell>
          <cell r="CL536">
            <v>0</v>
          </cell>
          <cell r="CM536">
            <v>0</v>
          </cell>
          <cell r="CN536">
            <v>0</v>
          </cell>
          <cell r="CO536">
            <v>0</v>
          </cell>
          <cell r="EQ536">
            <v>1379</v>
          </cell>
          <cell r="ER536">
            <v>1015</v>
          </cell>
          <cell r="EU536">
            <v>814</v>
          </cell>
          <cell r="EV536">
            <v>928</v>
          </cell>
          <cell r="EW536">
            <v>721</v>
          </cell>
          <cell r="EX536">
            <v>410</v>
          </cell>
          <cell r="EY536">
            <v>175</v>
          </cell>
          <cell r="EZ536">
            <v>82</v>
          </cell>
          <cell r="FA536">
            <v>39</v>
          </cell>
          <cell r="FB536">
            <v>29</v>
          </cell>
          <cell r="FC536">
            <v>9</v>
          </cell>
          <cell r="FD536">
            <v>4</v>
          </cell>
          <cell r="FE536">
            <v>2</v>
          </cell>
          <cell r="FF536">
            <v>1</v>
          </cell>
          <cell r="FG536">
            <v>3214</v>
          </cell>
          <cell r="FH536">
            <v>0</v>
          </cell>
          <cell r="FI536">
            <v>0</v>
          </cell>
          <cell r="FJ536">
            <v>0</v>
          </cell>
          <cell r="FK536">
            <v>0</v>
          </cell>
        </row>
        <row r="537">
          <cell r="G537">
            <v>240017</v>
          </cell>
          <cell r="H537" t="str">
            <v>ARIEL抗菌抗臭洗衣精1430g抗菌去漬型超值裝</v>
          </cell>
          <cell r="N537">
            <v>179.6</v>
          </cell>
          <cell r="Q537" t="str">
            <v>on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240304.8</v>
          </cell>
          <cell r="BT537">
            <v>183371.6</v>
          </cell>
          <cell r="BU537">
            <v>423676.4</v>
          </cell>
          <cell r="BV537">
            <v>150864</v>
          </cell>
          <cell r="BW537">
            <v>165232</v>
          </cell>
          <cell r="BX537">
            <v>122846.39999999999</v>
          </cell>
          <cell r="BY537">
            <v>79383.199999999997</v>
          </cell>
          <cell r="BZ537">
            <v>26401.200000000001</v>
          </cell>
          <cell r="CA537">
            <v>11494.4</v>
          </cell>
          <cell r="CB537">
            <v>4130.8</v>
          </cell>
          <cell r="CC537">
            <v>5567.5999999999995</v>
          </cell>
          <cell r="CD537">
            <v>2514.4</v>
          </cell>
          <cell r="CE537">
            <v>1616.3999999999999</v>
          </cell>
          <cell r="CF537">
            <v>898</v>
          </cell>
          <cell r="CG537">
            <v>0</v>
          </cell>
          <cell r="CH537">
            <v>570948.40000000014</v>
          </cell>
          <cell r="CI537">
            <v>0</v>
          </cell>
          <cell r="CJ537">
            <v>0</v>
          </cell>
          <cell r="CK537">
            <v>0</v>
          </cell>
          <cell r="CL537">
            <v>0</v>
          </cell>
          <cell r="CM537">
            <v>0</v>
          </cell>
          <cell r="CN537">
            <v>359.2</v>
          </cell>
          <cell r="CO537">
            <v>1590.742857142857</v>
          </cell>
          <cell r="EQ537">
            <v>1338</v>
          </cell>
          <cell r="ER537">
            <v>1021</v>
          </cell>
          <cell r="EU537">
            <v>840</v>
          </cell>
          <cell r="EV537">
            <v>920</v>
          </cell>
          <cell r="EW537">
            <v>684</v>
          </cell>
          <cell r="EX537">
            <v>442</v>
          </cell>
          <cell r="EY537">
            <v>147</v>
          </cell>
          <cell r="EZ537">
            <v>64</v>
          </cell>
          <cell r="FA537">
            <v>23</v>
          </cell>
          <cell r="FB537">
            <v>31</v>
          </cell>
          <cell r="FC537">
            <v>14</v>
          </cell>
          <cell r="FD537">
            <v>9</v>
          </cell>
          <cell r="FE537">
            <v>5</v>
          </cell>
          <cell r="FF537">
            <v>0</v>
          </cell>
          <cell r="FG537">
            <v>3179</v>
          </cell>
          <cell r="FH537">
            <v>0</v>
          </cell>
          <cell r="FI537">
            <v>0</v>
          </cell>
          <cell r="FJ537">
            <v>0</v>
          </cell>
          <cell r="FK537">
            <v>0</v>
          </cell>
        </row>
        <row r="538">
          <cell r="G538">
            <v>322957</v>
          </cell>
          <cell r="H538" t="str">
            <v>ARIEL超濃縮抗菌抗蟎洗衣精910G</v>
          </cell>
          <cell r="N538">
            <v>145.89999999999998</v>
          </cell>
          <cell r="P538">
            <v>0.2</v>
          </cell>
          <cell r="Q538" t="str">
            <v>on</v>
          </cell>
          <cell r="R538">
            <v>0</v>
          </cell>
          <cell r="S538">
            <v>0</v>
          </cell>
          <cell r="T538">
            <v>0</v>
          </cell>
          <cell r="U538">
            <v>37496.299999999996</v>
          </cell>
          <cell r="V538">
            <v>56755.099999999991</v>
          </cell>
          <cell r="W538">
            <v>48438.799999999996</v>
          </cell>
          <cell r="X538">
            <v>27866.899999999994</v>
          </cell>
          <cell r="Y538">
            <v>34870.099999999991</v>
          </cell>
          <cell r="Z538">
            <v>44937.19999999999</v>
          </cell>
          <cell r="AA538">
            <v>33265.199999999997</v>
          </cell>
          <cell r="AB538">
            <v>31076.699999999993</v>
          </cell>
          <cell r="AC538">
            <v>18675.199999999997</v>
          </cell>
          <cell r="AD538">
            <v>17507.999999999996</v>
          </cell>
          <cell r="AE538">
            <v>16194.899999999998</v>
          </cell>
          <cell r="AF538">
            <v>20863.699999999997</v>
          </cell>
          <cell r="AG538">
            <v>16486.699999999997</v>
          </cell>
          <cell r="AH538">
            <v>24511.199999999997</v>
          </cell>
          <cell r="AI538">
            <v>20717.799999999996</v>
          </cell>
          <cell r="AJ538">
            <v>19404.699999999997</v>
          </cell>
          <cell r="AK538">
            <v>63174.69999999999</v>
          </cell>
          <cell r="AL538">
            <v>124598.59999999998</v>
          </cell>
          <cell r="AM538">
            <v>31514.399999999994</v>
          </cell>
          <cell r="AN538">
            <v>43186.399999999994</v>
          </cell>
          <cell r="AO538">
            <v>44061.799999999996</v>
          </cell>
          <cell r="AP538">
            <v>17362.099999999999</v>
          </cell>
          <cell r="AQ538">
            <v>17507.999999999996</v>
          </cell>
          <cell r="AR538">
            <v>18529.299999999996</v>
          </cell>
          <cell r="AS538">
            <v>96293.999999999985</v>
          </cell>
          <cell r="AT538">
            <v>60986.19999999999</v>
          </cell>
          <cell r="AU538">
            <v>26261.999999999996</v>
          </cell>
          <cell r="AV538">
            <v>25970.199999999997</v>
          </cell>
          <cell r="AW538">
            <v>21301.399999999998</v>
          </cell>
          <cell r="AX538">
            <v>13714.599999999999</v>
          </cell>
          <cell r="AY538">
            <v>14444.099999999999</v>
          </cell>
          <cell r="AZ538">
            <v>12255.599999999999</v>
          </cell>
          <cell r="BA538">
            <v>10212.999999999998</v>
          </cell>
          <cell r="BB538">
            <v>4960.5999999999995</v>
          </cell>
          <cell r="BC538">
            <v>4085.1999999999994</v>
          </cell>
          <cell r="BD538">
            <v>2626.2</v>
          </cell>
          <cell r="BE538">
            <v>1021.2999999999998</v>
          </cell>
          <cell r="BF538">
            <v>729.49999999999989</v>
          </cell>
          <cell r="BG538">
            <v>0</v>
          </cell>
          <cell r="BH538">
            <v>111321.7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145.89999999999998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145.89999999999998</v>
          </cell>
          <cell r="BV538">
            <v>0</v>
          </cell>
          <cell r="BW538">
            <v>0</v>
          </cell>
          <cell r="BX538">
            <v>0</v>
          </cell>
          <cell r="BY538">
            <v>0</v>
          </cell>
          <cell r="BZ538">
            <v>0</v>
          </cell>
          <cell r="CA538">
            <v>0</v>
          </cell>
          <cell r="CB538">
            <v>0</v>
          </cell>
          <cell r="CC538">
            <v>0</v>
          </cell>
          <cell r="CD538">
            <v>0</v>
          </cell>
          <cell r="CE538">
            <v>0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0</v>
          </cell>
          <cell r="CK538">
            <v>0</v>
          </cell>
          <cell r="CL538">
            <v>0</v>
          </cell>
          <cell r="CM538">
            <v>0</v>
          </cell>
          <cell r="CN538">
            <v>0</v>
          </cell>
          <cell r="CO538">
            <v>0</v>
          </cell>
          <cell r="CP538">
            <v>0</v>
          </cell>
          <cell r="CQ538">
            <v>0</v>
          </cell>
          <cell r="CR538">
            <v>0</v>
          </cell>
          <cell r="CS538">
            <v>257</v>
          </cell>
          <cell r="CT538">
            <v>389</v>
          </cell>
          <cell r="CU538">
            <v>332</v>
          </cell>
          <cell r="CV538">
            <v>191</v>
          </cell>
          <cell r="CW538">
            <v>239</v>
          </cell>
          <cell r="CX538">
            <v>308</v>
          </cell>
          <cell r="CY538">
            <v>228</v>
          </cell>
          <cell r="CZ538">
            <v>213</v>
          </cell>
          <cell r="DA538">
            <v>128</v>
          </cell>
          <cell r="DB538">
            <v>120</v>
          </cell>
          <cell r="DC538">
            <v>111</v>
          </cell>
          <cell r="DD538">
            <v>143</v>
          </cell>
          <cell r="DE538">
            <v>113</v>
          </cell>
          <cell r="DF538">
            <v>168</v>
          </cell>
          <cell r="DG538">
            <v>142</v>
          </cell>
          <cell r="DH538">
            <v>133</v>
          </cell>
          <cell r="DI538">
            <v>433</v>
          </cell>
          <cell r="DJ538">
            <v>854</v>
          </cell>
          <cell r="DK538">
            <v>216</v>
          </cell>
          <cell r="DL538">
            <v>296</v>
          </cell>
          <cell r="DM538">
            <v>302</v>
          </cell>
          <cell r="DN538">
            <v>119</v>
          </cell>
          <cell r="DO538">
            <v>120</v>
          </cell>
          <cell r="DP538">
            <v>127</v>
          </cell>
          <cell r="DQ538">
            <v>660</v>
          </cell>
          <cell r="DR538">
            <v>418</v>
          </cell>
          <cell r="DS538">
            <v>180</v>
          </cell>
          <cell r="DT538">
            <v>178</v>
          </cell>
          <cell r="DU538">
            <v>146</v>
          </cell>
          <cell r="DV538">
            <v>94</v>
          </cell>
          <cell r="DW538">
            <v>99</v>
          </cell>
          <cell r="DX538">
            <v>84</v>
          </cell>
          <cell r="DY538">
            <v>70</v>
          </cell>
          <cell r="DZ538">
            <v>34</v>
          </cell>
          <cell r="EA538">
            <v>28</v>
          </cell>
          <cell r="EB538">
            <v>18</v>
          </cell>
          <cell r="EC538">
            <v>7</v>
          </cell>
          <cell r="ED538">
            <v>5</v>
          </cell>
          <cell r="EE538">
            <v>0</v>
          </cell>
          <cell r="EF538">
            <v>763</v>
          </cell>
          <cell r="EG538">
            <v>0</v>
          </cell>
          <cell r="EH538">
            <v>0</v>
          </cell>
          <cell r="EI538">
            <v>0</v>
          </cell>
          <cell r="EJ538">
            <v>0</v>
          </cell>
          <cell r="EK538">
            <v>1</v>
          </cell>
          <cell r="EL538">
            <v>0</v>
          </cell>
          <cell r="EM538">
            <v>0</v>
          </cell>
          <cell r="EN538">
            <v>0</v>
          </cell>
          <cell r="EO538">
            <v>0</v>
          </cell>
          <cell r="EP538">
            <v>0</v>
          </cell>
          <cell r="EQ538">
            <v>0</v>
          </cell>
          <cell r="ER538">
            <v>0</v>
          </cell>
          <cell r="ES538">
            <v>0</v>
          </cell>
          <cell r="ET538">
            <v>1</v>
          </cell>
          <cell r="EU538">
            <v>0</v>
          </cell>
          <cell r="EV538">
            <v>0</v>
          </cell>
          <cell r="EW538">
            <v>0</v>
          </cell>
          <cell r="EX538">
            <v>0</v>
          </cell>
          <cell r="EY538">
            <v>0</v>
          </cell>
          <cell r="EZ538">
            <v>0</v>
          </cell>
          <cell r="FA538">
            <v>0</v>
          </cell>
          <cell r="FB538">
            <v>0</v>
          </cell>
          <cell r="FC538">
            <v>0</v>
          </cell>
          <cell r="FD538">
            <v>0</v>
          </cell>
          <cell r="FE538">
            <v>0</v>
          </cell>
          <cell r="FF538">
            <v>0</v>
          </cell>
          <cell r="FG538">
            <v>0</v>
          </cell>
        </row>
        <row r="539">
          <cell r="G539">
            <v>151542</v>
          </cell>
          <cell r="H539" t="str">
            <v>ARIEL超濃縮抗菌抗蟎洗衣精910g</v>
          </cell>
          <cell r="N539">
            <v>162.19999999999999</v>
          </cell>
          <cell r="P539">
            <v>173.6</v>
          </cell>
          <cell r="Q539" t="str">
            <v>on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7298.9999999999991</v>
          </cell>
          <cell r="AX539">
            <v>40225.599999999999</v>
          </cell>
          <cell r="AY539">
            <v>36170.6</v>
          </cell>
          <cell r="AZ539">
            <v>31628.999999999996</v>
          </cell>
          <cell r="BA539">
            <v>30169.199999999997</v>
          </cell>
          <cell r="BB539">
            <v>18490.8</v>
          </cell>
          <cell r="BC539">
            <v>9894.1999999999989</v>
          </cell>
          <cell r="BD539">
            <v>39901.199999999997</v>
          </cell>
          <cell r="BE539">
            <v>27249.599999999999</v>
          </cell>
          <cell r="BF539">
            <v>30493.599999999999</v>
          </cell>
          <cell r="BG539">
            <v>24005.599999999999</v>
          </cell>
          <cell r="BH539">
            <v>295528.39999999997</v>
          </cell>
          <cell r="BI539">
            <v>20437.199999999997</v>
          </cell>
          <cell r="BJ539">
            <v>38117</v>
          </cell>
          <cell r="BK539">
            <v>26925.199999999997</v>
          </cell>
          <cell r="BL539">
            <v>25952</v>
          </cell>
          <cell r="BM539">
            <v>29358.199999999997</v>
          </cell>
          <cell r="BN539">
            <v>27249.599999999999</v>
          </cell>
          <cell r="BO539">
            <v>18166.399999999998</v>
          </cell>
          <cell r="BP539">
            <v>25627.599999999999</v>
          </cell>
          <cell r="BQ539">
            <v>14597.999999999998</v>
          </cell>
          <cell r="BR539">
            <v>17679.8</v>
          </cell>
          <cell r="BS539">
            <v>19950.599999999999</v>
          </cell>
          <cell r="BT539">
            <v>14597.999999999998</v>
          </cell>
          <cell r="BU539">
            <v>278659.59999999998</v>
          </cell>
          <cell r="BV539">
            <v>10056.4</v>
          </cell>
          <cell r="BW539">
            <v>9407.5999999999985</v>
          </cell>
          <cell r="BX539">
            <v>6974.5999999999995</v>
          </cell>
          <cell r="BY539">
            <v>5839.2</v>
          </cell>
          <cell r="BZ539">
            <v>3892.7999999999997</v>
          </cell>
          <cell r="CA539">
            <v>324.39999999999998</v>
          </cell>
          <cell r="CB539">
            <v>486.59999999999997</v>
          </cell>
          <cell r="CC539">
            <v>811</v>
          </cell>
          <cell r="CD539">
            <v>0</v>
          </cell>
          <cell r="CE539">
            <v>0</v>
          </cell>
          <cell r="CF539">
            <v>0</v>
          </cell>
          <cell r="CG539">
            <v>0</v>
          </cell>
          <cell r="CH539">
            <v>37792.6</v>
          </cell>
          <cell r="CI539">
            <v>0</v>
          </cell>
          <cell r="CJ539">
            <v>0</v>
          </cell>
          <cell r="CK539">
            <v>0</v>
          </cell>
          <cell r="CL539">
            <v>0</v>
          </cell>
          <cell r="CM539">
            <v>0</v>
          </cell>
          <cell r="CN539">
            <v>0</v>
          </cell>
          <cell r="CO539">
            <v>0</v>
          </cell>
          <cell r="CP539">
            <v>0</v>
          </cell>
          <cell r="CQ539">
            <v>0</v>
          </cell>
          <cell r="CR539">
            <v>0</v>
          </cell>
          <cell r="CS539">
            <v>0</v>
          </cell>
          <cell r="CT539">
            <v>0</v>
          </cell>
          <cell r="CU539">
            <v>0</v>
          </cell>
          <cell r="CV539">
            <v>0</v>
          </cell>
          <cell r="CW539">
            <v>0</v>
          </cell>
          <cell r="CX539">
            <v>0</v>
          </cell>
          <cell r="CY539">
            <v>0</v>
          </cell>
          <cell r="CZ539">
            <v>0</v>
          </cell>
          <cell r="DA539">
            <v>0</v>
          </cell>
          <cell r="DB539">
            <v>0</v>
          </cell>
          <cell r="DC539">
            <v>0</v>
          </cell>
          <cell r="DD539">
            <v>0</v>
          </cell>
          <cell r="DE539">
            <v>0</v>
          </cell>
          <cell r="DF539">
            <v>0</v>
          </cell>
          <cell r="DG539">
            <v>0</v>
          </cell>
          <cell r="DH539">
            <v>0</v>
          </cell>
          <cell r="DI539">
            <v>0</v>
          </cell>
          <cell r="DJ539">
            <v>0</v>
          </cell>
          <cell r="DK539">
            <v>0</v>
          </cell>
          <cell r="DL539">
            <v>0</v>
          </cell>
          <cell r="DM539">
            <v>0</v>
          </cell>
          <cell r="DN539">
            <v>0</v>
          </cell>
          <cell r="DO539">
            <v>0</v>
          </cell>
          <cell r="DP539">
            <v>0</v>
          </cell>
          <cell r="DQ539">
            <v>0</v>
          </cell>
          <cell r="DR539">
            <v>0</v>
          </cell>
          <cell r="DS539">
            <v>0</v>
          </cell>
          <cell r="DT539">
            <v>0</v>
          </cell>
          <cell r="DU539">
            <v>45</v>
          </cell>
          <cell r="DV539">
            <v>248</v>
          </cell>
          <cell r="DW539">
            <v>223</v>
          </cell>
          <cell r="DX539">
            <v>195</v>
          </cell>
          <cell r="DY539">
            <v>186</v>
          </cell>
          <cell r="DZ539">
            <v>114</v>
          </cell>
          <cell r="EA539">
            <v>61</v>
          </cell>
          <cell r="EB539">
            <v>246</v>
          </cell>
          <cell r="EC539">
            <v>168</v>
          </cell>
          <cell r="ED539">
            <v>188</v>
          </cell>
          <cell r="EE539">
            <v>148</v>
          </cell>
          <cell r="EF539">
            <v>1822</v>
          </cell>
          <cell r="EG539">
            <v>126</v>
          </cell>
          <cell r="EH539">
            <v>235</v>
          </cell>
          <cell r="EI539">
            <v>166</v>
          </cell>
          <cell r="EJ539">
            <v>160</v>
          </cell>
          <cell r="EK539">
            <v>181</v>
          </cell>
          <cell r="EL539">
            <v>168</v>
          </cell>
          <cell r="EM539">
            <v>112</v>
          </cell>
          <cell r="EN539">
            <v>158</v>
          </cell>
          <cell r="EO539">
            <v>90</v>
          </cell>
          <cell r="EP539">
            <v>109</v>
          </cell>
          <cell r="EQ539">
            <v>123</v>
          </cell>
          <cell r="ER539">
            <v>90</v>
          </cell>
          <cell r="ES539">
            <v>259.01639344262298</v>
          </cell>
          <cell r="ET539">
            <v>1718</v>
          </cell>
          <cell r="EU539">
            <v>62</v>
          </cell>
          <cell r="EV539">
            <v>58</v>
          </cell>
          <cell r="EW539">
            <v>43</v>
          </cell>
          <cell r="EX539">
            <v>36</v>
          </cell>
          <cell r="EY539">
            <v>24</v>
          </cell>
          <cell r="EZ539">
            <v>2</v>
          </cell>
          <cell r="FA539">
            <v>3</v>
          </cell>
          <cell r="FB539">
            <v>5</v>
          </cell>
          <cell r="FC539">
            <v>0</v>
          </cell>
          <cell r="FD539">
            <v>0</v>
          </cell>
          <cell r="FE539">
            <v>0</v>
          </cell>
          <cell r="FF539">
            <v>0</v>
          </cell>
          <cell r="FG539">
            <v>233</v>
          </cell>
          <cell r="FH539">
            <v>0</v>
          </cell>
          <cell r="FI539">
            <v>0</v>
          </cell>
          <cell r="FJ539">
            <v>0</v>
          </cell>
          <cell r="FK539">
            <v>0</v>
          </cell>
        </row>
        <row r="540">
          <cell r="G540">
            <v>322944</v>
          </cell>
          <cell r="H540" t="str">
            <v>ARIEL超濃縮抗菌抗蟎洗衣精補充包1.36kg</v>
          </cell>
          <cell r="N540">
            <v>175.29999999999998</v>
          </cell>
          <cell r="P540">
            <v>0.2</v>
          </cell>
          <cell r="Q540" t="str">
            <v>on</v>
          </cell>
          <cell r="R540">
            <v>0</v>
          </cell>
          <cell r="S540">
            <v>0</v>
          </cell>
          <cell r="T540">
            <v>0</v>
          </cell>
          <cell r="U540">
            <v>37514.199999999997</v>
          </cell>
          <cell r="V540">
            <v>52589.999999999993</v>
          </cell>
          <cell r="W540">
            <v>93084.299999999988</v>
          </cell>
          <cell r="X540">
            <v>42247.299999999996</v>
          </cell>
          <cell r="Y540">
            <v>61880.899999999994</v>
          </cell>
          <cell r="Z540">
            <v>81163.899999999994</v>
          </cell>
          <cell r="AA540">
            <v>49960.499999999993</v>
          </cell>
          <cell r="AB540">
            <v>71347.099999999991</v>
          </cell>
          <cell r="AC540">
            <v>35410.6</v>
          </cell>
          <cell r="AD540">
            <v>41020.199999999997</v>
          </cell>
          <cell r="AE540">
            <v>41896.699999999997</v>
          </cell>
          <cell r="AF540">
            <v>36637.699999999997</v>
          </cell>
          <cell r="AG540">
            <v>26820.899999999998</v>
          </cell>
          <cell r="AH540">
            <v>24016.1</v>
          </cell>
          <cell r="AI540">
            <v>20510.099999999999</v>
          </cell>
          <cell r="AJ540">
            <v>18932.399999999998</v>
          </cell>
          <cell r="AK540">
            <v>15776.999999999998</v>
          </cell>
          <cell r="AL540">
            <v>15952.3</v>
          </cell>
          <cell r="AM540">
            <v>18406.5</v>
          </cell>
          <cell r="AN540">
            <v>30677.499999999996</v>
          </cell>
          <cell r="AO540">
            <v>25769.1</v>
          </cell>
          <cell r="AP540">
            <v>31729.299999999996</v>
          </cell>
          <cell r="AQ540">
            <v>29976.299999999996</v>
          </cell>
          <cell r="AR540">
            <v>15601.699999999999</v>
          </cell>
          <cell r="AS540">
            <v>28573.899999999998</v>
          </cell>
          <cell r="AT540">
            <v>28573.899999999998</v>
          </cell>
          <cell r="AU540">
            <v>25593.8</v>
          </cell>
          <cell r="AV540">
            <v>23139.599999999999</v>
          </cell>
          <cell r="AW540">
            <v>24717.3</v>
          </cell>
          <cell r="AX540">
            <v>14199.3</v>
          </cell>
          <cell r="AY540">
            <v>5960.2</v>
          </cell>
          <cell r="AZ540">
            <v>7888.4999999999991</v>
          </cell>
          <cell r="BA540">
            <v>5609.5999999999995</v>
          </cell>
          <cell r="BB540">
            <v>2980.1</v>
          </cell>
          <cell r="BC540">
            <v>1227.0999999999999</v>
          </cell>
          <cell r="BD540">
            <v>876.49999999999989</v>
          </cell>
          <cell r="BE540">
            <v>876.49999999999989</v>
          </cell>
          <cell r="BF540">
            <v>350.59999999999997</v>
          </cell>
          <cell r="BG540">
            <v>0</v>
          </cell>
          <cell r="BH540">
            <v>87825.300000000017</v>
          </cell>
          <cell r="BI540">
            <v>0</v>
          </cell>
          <cell r="BJ540">
            <v>175.29999999999998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175.29999999999998</v>
          </cell>
          <cell r="BV540">
            <v>0</v>
          </cell>
          <cell r="BW540">
            <v>0</v>
          </cell>
          <cell r="BX540">
            <v>0</v>
          </cell>
          <cell r="BY540">
            <v>0</v>
          </cell>
          <cell r="BZ540">
            <v>0</v>
          </cell>
          <cell r="CA540">
            <v>0</v>
          </cell>
          <cell r="CB540">
            <v>0</v>
          </cell>
          <cell r="CC540">
            <v>0</v>
          </cell>
          <cell r="CD540">
            <v>0</v>
          </cell>
          <cell r="CE540">
            <v>0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0</v>
          </cell>
          <cell r="CK540">
            <v>0</v>
          </cell>
          <cell r="CL540">
            <v>0</v>
          </cell>
          <cell r="CM540">
            <v>0</v>
          </cell>
          <cell r="CN540">
            <v>0</v>
          </cell>
          <cell r="CO540">
            <v>0</v>
          </cell>
          <cell r="CP540">
            <v>0</v>
          </cell>
          <cell r="CQ540">
            <v>0</v>
          </cell>
          <cell r="CR540">
            <v>0</v>
          </cell>
          <cell r="CS540">
            <v>214</v>
          </cell>
          <cell r="CT540">
            <v>300</v>
          </cell>
          <cell r="CU540">
            <v>531</v>
          </cell>
          <cell r="CV540">
            <v>241</v>
          </cell>
          <cell r="CW540">
            <v>353</v>
          </cell>
          <cell r="CX540">
            <v>463</v>
          </cell>
          <cell r="CY540">
            <v>285</v>
          </cell>
          <cell r="CZ540">
            <v>407</v>
          </cell>
          <cell r="DA540">
            <v>202</v>
          </cell>
          <cell r="DB540">
            <v>234</v>
          </cell>
          <cell r="DC540">
            <v>239</v>
          </cell>
          <cell r="DD540">
            <v>209</v>
          </cell>
          <cell r="DE540">
            <v>153</v>
          </cell>
          <cell r="DF540">
            <v>137</v>
          </cell>
          <cell r="DG540">
            <v>117</v>
          </cell>
          <cell r="DH540">
            <v>108</v>
          </cell>
          <cell r="DI540">
            <v>90</v>
          </cell>
          <cell r="DJ540">
            <v>91</v>
          </cell>
          <cell r="DK540">
            <v>105</v>
          </cell>
          <cell r="DL540">
            <v>175</v>
          </cell>
          <cell r="DM540">
            <v>147</v>
          </cell>
          <cell r="DN540">
            <v>181</v>
          </cell>
          <cell r="DO540">
            <v>171</v>
          </cell>
          <cell r="DP540">
            <v>89</v>
          </cell>
          <cell r="DQ540">
            <v>163</v>
          </cell>
          <cell r="DR540">
            <v>163</v>
          </cell>
          <cell r="DS540">
            <v>146</v>
          </cell>
          <cell r="DT540">
            <v>132</v>
          </cell>
          <cell r="DU540">
            <v>141</v>
          </cell>
          <cell r="DV540">
            <v>81</v>
          </cell>
          <cell r="DW540">
            <v>34</v>
          </cell>
          <cell r="DX540">
            <v>45</v>
          </cell>
          <cell r="DY540">
            <v>32</v>
          </cell>
          <cell r="DZ540">
            <v>17</v>
          </cell>
          <cell r="EA540">
            <v>7</v>
          </cell>
          <cell r="EB540">
            <v>5</v>
          </cell>
          <cell r="EC540">
            <v>5</v>
          </cell>
          <cell r="ED540">
            <v>2</v>
          </cell>
          <cell r="EE540">
            <v>0</v>
          </cell>
          <cell r="EF540">
            <v>501</v>
          </cell>
          <cell r="EG540">
            <v>0</v>
          </cell>
          <cell r="EH540">
            <v>1</v>
          </cell>
          <cell r="EI540">
            <v>0</v>
          </cell>
          <cell r="EJ540">
            <v>0</v>
          </cell>
          <cell r="EK540">
            <v>0</v>
          </cell>
          <cell r="EL540">
            <v>0</v>
          </cell>
          <cell r="EM540">
            <v>0</v>
          </cell>
          <cell r="EN540">
            <v>0</v>
          </cell>
          <cell r="EO540">
            <v>0</v>
          </cell>
          <cell r="EP540">
            <v>0</v>
          </cell>
          <cell r="EQ540">
            <v>0</v>
          </cell>
          <cell r="ER540">
            <v>0</v>
          </cell>
          <cell r="ES540">
            <v>0</v>
          </cell>
          <cell r="ET540">
            <v>1</v>
          </cell>
          <cell r="EU540">
            <v>0</v>
          </cell>
          <cell r="EV540">
            <v>0</v>
          </cell>
          <cell r="EW540">
            <v>0</v>
          </cell>
          <cell r="EX540">
            <v>0</v>
          </cell>
          <cell r="EY540">
            <v>0</v>
          </cell>
          <cell r="EZ540">
            <v>0</v>
          </cell>
          <cell r="FA540">
            <v>0</v>
          </cell>
          <cell r="FB540">
            <v>0</v>
          </cell>
          <cell r="FC540">
            <v>0</v>
          </cell>
          <cell r="FD540">
            <v>0</v>
          </cell>
          <cell r="FE540">
            <v>0</v>
          </cell>
          <cell r="FF540">
            <v>0</v>
          </cell>
          <cell r="FG540">
            <v>0</v>
          </cell>
        </row>
        <row r="541">
          <cell r="G541">
            <v>151565</v>
          </cell>
          <cell r="H541" t="str">
            <v>ARIEL超濃縮抗菌抗蟎洗衣精補充包1.36kg</v>
          </cell>
          <cell r="N541">
            <v>191.31666666666669</v>
          </cell>
          <cell r="O541">
            <v>209</v>
          </cell>
          <cell r="P541">
            <v>158.6</v>
          </cell>
          <cell r="Q541" t="str">
            <v>on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1913.166666666667</v>
          </cell>
          <cell r="AY541">
            <v>5356.8666666666677</v>
          </cell>
          <cell r="AZ541">
            <v>8226.6166666666686</v>
          </cell>
          <cell r="BA541">
            <v>9948.4666666666672</v>
          </cell>
          <cell r="BB541">
            <v>9565.8333333333339</v>
          </cell>
          <cell r="BC541">
            <v>9374.5166666666682</v>
          </cell>
          <cell r="BD541">
            <v>16261.916666666668</v>
          </cell>
          <cell r="BE541">
            <v>37306.750000000007</v>
          </cell>
          <cell r="BF541">
            <v>41133.083333333336</v>
          </cell>
          <cell r="BG541">
            <v>43046.250000000007</v>
          </cell>
          <cell r="BH541">
            <v>182133.4666666667</v>
          </cell>
          <cell r="BI541">
            <v>21427.466666666671</v>
          </cell>
          <cell r="BJ541">
            <v>39028.600000000006</v>
          </cell>
          <cell r="BK541">
            <v>23914.583333333336</v>
          </cell>
          <cell r="BL541">
            <v>28123.550000000003</v>
          </cell>
          <cell r="BM541">
            <v>39219.916666666672</v>
          </cell>
          <cell r="BN541">
            <v>29654.083333333336</v>
          </cell>
          <cell r="BO541">
            <v>24871.166666666672</v>
          </cell>
          <cell r="BP541">
            <v>35584.9</v>
          </cell>
          <cell r="BQ541">
            <v>23531.950000000004</v>
          </cell>
          <cell r="BR541">
            <v>27932.233333333337</v>
          </cell>
          <cell r="BS541">
            <v>28506.183333333338</v>
          </cell>
          <cell r="BT541">
            <v>28123.550000000003</v>
          </cell>
          <cell r="BU541">
            <v>349918.18333333335</v>
          </cell>
          <cell r="BV541">
            <v>26019.066666666669</v>
          </cell>
          <cell r="BW541">
            <v>33289.100000000006</v>
          </cell>
          <cell r="BX541">
            <v>32715.150000000005</v>
          </cell>
          <cell r="BY541">
            <v>29654.083333333336</v>
          </cell>
          <cell r="BZ541">
            <v>50316.28333333334</v>
          </cell>
          <cell r="CA541">
            <v>52994.716666666674</v>
          </cell>
          <cell r="CB541">
            <v>23531.950000000004</v>
          </cell>
          <cell r="CC541">
            <v>8991.883333333335</v>
          </cell>
          <cell r="CD541">
            <v>5739.5000000000009</v>
          </cell>
          <cell r="CE541">
            <v>1913.166666666667</v>
          </cell>
          <cell r="CF541">
            <v>2487.1166666666668</v>
          </cell>
          <cell r="CG541">
            <v>956.58333333333348</v>
          </cell>
          <cell r="CH541">
            <v>268608.60000000003</v>
          </cell>
          <cell r="CI541">
            <v>1339.2166666666669</v>
          </cell>
          <cell r="CJ541">
            <v>1913.166666666667</v>
          </cell>
          <cell r="CK541">
            <v>382.63333333333338</v>
          </cell>
          <cell r="CL541">
            <v>0</v>
          </cell>
          <cell r="CM541">
            <v>0</v>
          </cell>
          <cell r="CN541">
            <v>0</v>
          </cell>
          <cell r="CO541">
            <v>0</v>
          </cell>
          <cell r="CP541">
            <v>0</v>
          </cell>
          <cell r="CQ541">
            <v>0</v>
          </cell>
          <cell r="CR541">
            <v>0</v>
          </cell>
          <cell r="CS541">
            <v>0</v>
          </cell>
          <cell r="CT541">
            <v>0</v>
          </cell>
          <cell r="CU541">
            <v>0</v>
          </cell>
          <cell r="CV541">
            <v>0</v>
          </cell>
          <cell r="CW541">
            <v>0</v>
          </cell>
          <cell r="CX541">
            <v>0</v>
          </cell>
          <cell r="CY541">
            <v>0</v>
          </cell>
          <cell r="CZ541">
            <v>0</v>
          </cell>
          <cell r="DA541">
            <v>0</v>
          </cell>
          <cell r="DB541">
            <v>0</v>
          </cell>
          <cell r="DC541">
            <v>0</v>
          </cell>
          <cell r="DD541">
            <v>0</v>
          </cell>
          <cell r="DE541">
            <v>0</v>
          </cell>
          <cell r="DF541">
            <v>0</v>
          </cell>
          <cell r="DG541">
            <v>0</v>
          </cell>
          <cell r="DH541">
            <v>0</v>
          </cell>
          <cell r="DI541">
            <v>0</v>
          </cell>
          <cell r="DJ541">
            <v>0</v>
          </cell>
          <cell r="DK541">
            <v>0</v>
          </cell>
          <cell r="DL541">
            <v>0</v>
          </cell>
          <cell r="DM541">
            <v>0</v>
          </cell>
          <cell r="DN541">
            <v>0</v>
          </cell>
          <cell r="DO541">
            <v>0</v>
          </cell>
          <cell r="DP541">
            <v>0</v>
          </cell>
          <cell r="DQ541">
            <v>0</v>
          </cell>
          <cell r="DR541">
            <v>0</v>
          </cell>
          <cell r="DS541">
            <v>0</v>
          </cell>
          <cell r="DT541">
            <v>0</v>
          </cell>
          <cell r="DU541">
            <v>0</v>
          </cell>
          <cell r="DV541">
            <v>10</v>
          </cell>
          <cell r="DW541">
            <v>28</v>
          </cell>
          <cell r="DX541">
            <v>43</v>
          </cell>
          <cell r="DY541">
            <v>52</v>
          </cell>
          <cell r="DZ541">
            <v>50</v>
          </cell>
          <cell r="EA541">
            <v>49</v>
          </cell>
          <cell r="EB541">
            <v>85</v>
          </cell>
          <cell r="EC541">
            <v>195</v>
          </cell>
          <cell r="ED541">
            <v>215</v>
          </cell>
          <cell r="EE541">
            <v>225</v>
          </cell>
          <cell r="EF541">
            <v>952</v>
          </cell>
          <cell r="EG541">
            <v>112</v>
          </cell>
          <cell r="EH541">
            <v>204</v>
          </cell>
          <cell r="EI541">
            <v>125</v>
          </cell>
          <cell r="EJ541">
            <v>147</v>
          </cell>
          <cell r="EK541">
            <v>205</v>
          </cell>
          <cell r="EL541">
            <v>155</v>
          </cell>
          <cell r="EM541">
            <v>130</v>
          </cell>
          <cell r="EN541">
            <v>186</v>
          </cell>
          <cell r="EO541">
            <v>123</v>
          </cell>
          <cell r="EP541">
            <v>146</v>
          </cell>
          <cell r="EQ541">
            <v>149</v>
          </cell>
          <cell r="ER541">
            <v>147</v>
          </cell>
          <cell r="ES541">
            <v>379.59183673469391</v>
          </cell>
          <cell r="ET541">
            <v>1829</v>
          </cell>
          <cell r="EU541">
            <v>136</v>
          </cell>
          <cell r="EV541">
            <v>174</v>
          </cell>
          <cell r="EW541">
            <v>171</v>
          </cell>
          <cell r="EX541">
            <v>155</v>
          </cell>
          <cell r="EY541">
            <v>263</v>
          </cell>
          <cell r="EZ541">
            <v>277</v>
          </cell>
          <cell r="FA541">
            <v>123</v>
          </cell>
          <cell r="FB541">
            <v>47</v>
          </cell>
          <cell r="FC541">
            <v>30</v>
          </cell>
          <cell r="FD541">
            <v>10</v>
          </cell>
          <cell r="FE541">
            <v>13</v>
          </cell>
          <cell r="FF541">
            <v>5</v>
          </cell>
          <cell r="FG541">
            <v>1404</v>
          </cell>
          <cell r="FH541">
            <v>7</v>
          </cell>
          <cell r="FI541">
            <v>10</v>
          </cell>
          <cell r="FJ541">
            <v>2</v>
          </cell>
          <cell r="FK541">
            <v>0</v>
          </cell>
        </row>
        <row r="542">
          <cell r="G542">
            <v>731588</v>
          </cell>
          <cell r="H542" t="str">
            <v>Ariel超濃縮洗衣精910g</v>
          </cell>
          <cell r="N542">
            <v>120.88888888888889</v>
          </cell>
          <cell r="P542">
            <v>0</v>
          </cell>
          <cell r="Q542" t="str">
            <v>on</v>
          </cell>
          <cell r="R542">
            <v>77973.333333333328</v>
          </cell>
          <cell r="S542">
            <v>52344.888888888891</v>
          </cell>
          <cell r="T542">
            <v>44849.777777777774</v>
          </cell>
          <cell r="U542">
            <v>36266.666666666664</v>
          </cell>
          <cell r="V542">
            <v>26716.444444444445</v>
          </cell>
          <cell r="W542">
            <v>33848.888888888891</v>
          </cell>
          <cell r="X542">
            <v>29496.888888888887</v>
          </cell>
          <cell r="Y542">
            <v>87281.777777777781</v>
          </cell>
          <cell r="Z542">
            <v>45333.333333333336</v>
          </cell>
          <cell r="AA542">
            <v>32640</v>
          </cell>
          <cell r="AB542">
            <v>45212.444444444445</v>
          </cell>
          <cell r="AC542">
            <v>30343.111111111109</v>
          </cell>
          <cell r="AD542">
            <v>38442.666666666664</v>
          </cell>
          <cell r="AE542">
            <v>26716.444444444445</v>
          </cell>
          <cell r="AF542">
            <v>13176.888888888889</v>
          </cell>
          <cell r="AG542">
            <v>6165.333333333333</v>
          </cell>
          <cell r="AH542">
            <v>7253.333333333333</v>
          </cell>
          <cell r="AI542">
            <v>2176</v>
          </cell>
          <cell r="AJ542">
            <v>3022.2222222222222</v>
          </cell>
          <cell r="AK542">
            <v>241.77777777777777</v>
          </cell>
          <cell r="AL542">
            <v>967.11111111111109</v>
          </cell>
          <cell r="AM542">
            <v>241.77777777777777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120.88888888888889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120.88888888888889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V542">
            <v>0</v>
          </cell>
          <cell r="BW542">
            <v>0</v>
          </cell>
          <cell r="BX542">
            <v>0</v>
          </cell>
          <cell r="BY542">
            <v>0</v>
          </cell>
          <cell r="BZ542">
            <v>0</v>
          </cell>
          <cell r="CA542">
            <v>0</v>
          </cell>
          <cell r="CB542">
            <v>0</v>
          </cell>
          <cell r="CC542">
            <v>0</v>
          </cell>
          <cell r="CD542">
            <v>0</v>
          </cell>
          <cell r="CE542">
            <v>0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0</v>
          </cell>
          <cell r="CK542">
            <v>0</v>
          </cell>
          <cell r="CL542">
            <v>0</v>
          </cell>
          <cell r="CM542">
            <v>0</v>
          </cell>
          <cell r="CN542">
            <v>0</v>
          </cell>
          <cell r="CO542">
            <v>0</v>
          </cell>
          <cell r="CP542">
            <v>645</v>
          </cell>
          <cell r="CQ542">
            <v>433</v>
          </cell>
          <cell r="CR542">
            <v>371</v>
          </cell>
          <cell r="CS542">
            <v>300</v>
          </cell>
          <cell r="CT542">
            <v>221</v>
          </cell>
          <cell r="CU542">
            <v>280</v>
          </cell>
          <cell r="CV542">
            <v>244</v>
          </cell>
          <cell r="CW542">
            <v>722</v>
          </cell>
          <cell r="CX542">
            <v>375</v>
          </cell>
          <cell r="CY542">
            <v>270</v>
          </cell>
          <cell r="CZ542">
            <v>374</v>
          </cell>
          <cell r="DA542">
            <v>251</v>
          </cell>
          <cell r="DB542">
            <v>318</v>
          </cell>
          <cell r="DC542">
            <v>221</v>
          </cell>
          <cell r="DD542">
            <v>109</v>
          </cell>
          <cell r="DE542">
            <v>51</v>
          </cell>
          <cell r="DF542">
            <v>60</v>
          </cell>
          <cell r="DG542">
            <v>18</v>
          </cell>
          <cell r="DH542">
            <v>25</v>
          </cell>
          <cell r="DI542">
            <v>2</v>
          </cell>
          <cell r="DJ542">
            <v>8</v>
          </cell>
          <cell r="DK542">
            <v>2</v>
          </cell>
          <cell r="DL542">
            <v>0</v>
          </cell>
          <cell r="DM542">
            <v>0</v>
          </cell>
          <cell r="DN542">
            <v>0</v>
          </cell>
          <cell r="DO542">
            <v>0</v>
          </cell>
          <cell r="DP542">
            <v>0</v>
          </cell>
          <cell r="DQ542">
            <v>0</v>
          </cell>
          <cell r="DR542">
            <v>0</v>
          </cell>
          <cell r="DS542">
            <v>0</v>
          </cell>
          <cell r="DT542">
            <v>1</v>
          </cell>
          <cell r="DU542">
            <v>0</v>
          </cell>
          <cell r="DV542">
            <v>0</v>
          </cell>
          <cell r="DW542">
            <v>0</v>
          </cell>
          <cell r="DX542">
            <v>0</v>
          </cell>
          <cell r="DY542">
            <v>0</v>
          </cell>
          <cell r="DZ542">
            <v>0</v>
          </cell>
          <cell r="EA542">
            <v>0</v>
          </cell>
          <cell r="EB542">
            <v>0</v>
          </cell>
          <cell r="EC542">
            <v>0</v>
          </cell>
          <cell r="ED542">
            <v>0</v>
          </cell>
          <cell r="EE542">
            <v>0</v>
          </cell>
          <cell r="EF542">
            <v>1</v>
          </cell>
          <cell r="EG542">
            <v>0</v>
          </cell>
          <cell r="EH542">
            <v>0</v>
          </cell>
          <cell r="EI542">
            <v>0</v>
          </cell>
          <cell r="EJ542">
            <v>0</v>
          </cell>
          <cell r="EK542">
            <v>0</v>
          </cell>
          <cell r="EL542">
            <v>0</v>
          </cell>
          <cell r="EM542">
            <v>0</v>
          </cell>
          <cell r="EN542">
            <v>0</v>
          </cell>
          <cell r="EO542">
            <v>0</v>
          </cell>
          <cell r="EP542">
            <v>0</v>
          </cell>
          <cell r="EQ542">
            <v>0</v>
          </cell>
          <cell r="ER542">
            <v>0</v>
          </cell>
          <cell r="ES542">
            <v>0</v>
          </cell>
          <cell r="ET542">
            <v>0</v>
          </cell>
          <cell r="EU542">
            <v>0</v>
          </cell>
          <cell r="EV542">
            <v>0</v>
          </cell>
          <cell r="EW542">
            <v>0</v>
          </cell>
          <cell r="EX542">
            <v>0</v>
          </cell>
          <cell r="EY542">
            <v>0</v>
          </cell>
          <cell r="EZ542">
            <v>0</v>
          </cell>
          <cell r="FA542">
            <v>0</v>
          </cell>
          <cell r="FB542">
            <v>0</v>
          </cell>
          <cell r="FC542">
            <v>0</v>
          </cell>
          <cell r="FD542">
            <v>0</v>
          </cell>
          <cell r="FE542">
            <v>0</v>
          </cell>
          <cell r="FF542">
            <v>0</v>
          </cell>
          <cell r="FG542">
            <v>0</v>
          </cell>
        </row>
        <row r="543">
          <cell r="G543">
            <v>293622</v>
          </cell>
          <cell r="H543" t="str">
            <v>ARIEL超濃縮洗衣精(室內晾衣款)910G</v>
          </cell>
          <cell r="N543">
            <v>120.88888888888889</v>
          </cell>
          <cell r="P543">
            <v>0</v>
          </cell>
          <cell r="Q543" t="str">
            <v>on</v>
          </cell>
          <cell r="R543">
            <v>6528</v>
          </cell>
          <cell r="S543">
            <v>7736.8888888888887</v>
          </cell>
          <cell r="T543">
            <v>12693.333333333332</v>
          </cell>
          <cell r="U543">
            <v>9550.2222222222226</v>
          </cell>
          <cell r="V543">
            <v>5440</v>
          </cell>
          <cell r="W543">
            <v>7253.333333333333</v>
          </cell>
          <cell r="X543">
            <v>8704</v>
          </cell>
          <cell r="Y543">
            <v>72896</v>
          </cell>
          <cell r="Z543">
            <v>27683.555555555555</v>
          </cell>
          <cell r="AA543">
            <v>23573.333333333332</v>
          </cell>
          <cell r="AB543">
            <v>29255.111111111109</v>
          </cell>
          <cell r="AC543">
            <v>21034.666666666668</v>
          </cell>
          <cell r="AD543">
            <v>28529.777777777777</v>
          </cell>
          <cell r="AE543">
            <v>26958.222222222223</v>
          </cell>
          <cell r="AF543">
            <v>17166.222222222223</v>
          </cell>
          <cell r="AG543">
            <v>7495.1111111111113</v>
          </cell>
          <cell r="AH543">
            <v>10033.777777777777</v>
          </cell>
          <cell r="AI543">
            <v>4593.7777777777774</v>
          </cell>
          <cell r="AJ543">
            <v>1813.3333333333333</v>
          </cell>
          <cell r="AK543">
            <v>604.44444444444446</v>
          </cell>
          <cell r="AL543">
            <v>2780.4444444444443</v>
          </cell>
          <cell r="AM543">
            <v>846.22222222222217</v>
          </cell>
          <cell r="AN543">
            <v>0</v>
          </cell>
          <cell r="AO543">
            <v>120.88888888888889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V543">
            <v>0</v>
          </cell>
          <cell r="BW543">
            <v>0</v>
          </cell>
          <cell r="BX543">
            <v>0</v>
          </cell>
          <cell r="BY543">
            <v>0</v>
          </cell>
          <cell r="BZ543">
            <v>0</v>
          </cell>
          <cell r="CA543">
            <v>0</v>
          </cell>
          <cell r="CB543">
            <v>0</v>
          </cell>
          <cell r="CC543">
            <v>0</v>
          </cell>
          <cell r="CD543">
            <v>0</v>
          </cell>
          <cell r="CE543">
            <v>0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0</v>
          </cell>
          <cell r="CK543">
            <v>0</v>
          </cell>
          <cell r="CL543">
            <v>0</v>
          </cell>
          <cell r="CM543">
            <v>0</v>
          </cell>
          <cell r="CN543">
            <v>0</v>
          </cell>
          <cell r="CO543">
            <v>0</v>
          </cell>
          <cell r="CP543">
            <v>54</v>
          </cell>
          <cell r="CQ543">
            <v>64</v>
          </cell>
          <cell r="CR543">
            <v>105</v>
          </cell>
          <cell r="CS543">
            <v>79</v>
          </cell>
          <cell r="CT543">
            <v>45</v>
          </cell>
          <cell r="CU543">
            <v>60</v>
          </cell>
          <cell r="CV543">
            <v>72</v>
          </cell>
          <cell r="CW543">
            <v>603</v>
          </cell>
          <cell r="CX543">
            <v>229</v>
          </cell>
          <cell r="CY543">
            <v>195</v>
          </cell>
          <cell r="CZ543">
            <v>242</v>
          </cell>
          <cell r="DA543">
            <v>174</v>
          </cell>
          <cell r="DB543">
            <v>236</v>
          </cell>
          <cell r="DC543">
            <v>223</v>
          </cell>
          <cell r="DD543">
            <v>142</v>
          </cell>
          <cell r="DE543">
            <v>62</v>
          </cell>
          <cell r="DF543">
            <v>83</v>
          </cell>
          <cell r="DG543">
            <v>38</v>
          </cell>
          <cell r="DH543">
            <v>15</v>
          </cell>
          <cell r="DI543">
            <v>5</v>
          </cell>
          <cell r="DJ543">
            <v>23</v>
          </cell>
          <cell r="DK543">
            <v>7</v>
          </cell>
          <cell r="DL543">
            <v>0</v>
          </cell>
          <cell r="DM543">
            <v>1</v>
          </cell>
          <cell r="DN543">
            <v>0</v>
          </cell>
          <cell r="DO543">
            <v>0</v>
          </cell>
          <cell r="DP543">
            <v>0</v>
          </cell>
          <cell r="DQ543">
            <v>0</v>
          </cell>
          <cell r="DR543">
            <v>0</v>
          </cell>
          <cell r="DS543">
            <v>0</v>
          </cell>
          <cell r="DT543">
            <v>0</v>
          </cell>
          <cell r="DU543">
            <v>0</v>
          </cell>
          <cell r="DV543">
            <v>0</v>
          </cell>
          <cell r="DW543">
            <v>0</v>
          </cell>
          <cell r="DX543">
            <v>0</v>
          </cell>
          <cell r="DY543">
            <v>0</v>
          </cell>
          <cell r="DZ543">
            <v>0</v>
          </cell>
          <cell r="EA543">
            <v>0</v>
          </cell>
          <cell r="EB543">
            <v>0</v>
          </cell>
          <cell r="EC543">
            <v>0</v>
          </cell>
          <cell r="ED543">
            <v>0</v>
          </cell>
          <cell r="EE543">
            <v>0</v>
          </cell>
          <cell r="EF543">
            <v>0</v>
          </cell>
          <cell r="EG543">
            <v>0</v>
          </cell>
          <cell r="EH543">
            <v>0</v>
          </cell>
          <cell r="EI543">
            <v>0</v>
          </cell>
          <cell r="EJ543">
            <v>0</v>
          </cell>
          <cell r="EK543">
            <v>0</v>
          </cell>
          <cell r="EL543">
            <v>0</v>
          </cell>
          <cell r="EM543">
            <v>0</v>
          </cell>
          <cell r="EN543">
            <v>0</v>
          </cell>
          <cell r="EO543">
            <v>0</v>
          </cell>
          <cell r="EP543">
            <v>0</v>
          </cell>
          <cell r="EQ543">
            <v>0</v>
          </cell>
          <cell r="ER543">
            <v>0</v>
          </cell>
          <cell r="ES543">
            <v>0</v>
          </cell>
          <cell r="ET543">
            <v>0</v>
          </cell>
          <cell r="EU543">
            <v>0</v>
          </cell>
          <cell r="EV543">
            <v>0</v>
          </cell>
          <cell r="EW543">
            <v>0</v>
          </cell>
          <cell r="EX543">
            <v>0</v>
          </cell>
          <cell r="EY543">
            <v>0</v>
          </cell>
          <cell r="EZ543">
            <v>0</v>
          </cell>
          <cell r="FA543">
            <v>0</v>
          </cell>
          <cell r="FB543">
            <v>0</v>
          </cell>
          <cell r="FC543">
            <v>0</v>
          </cell>
          <cell r="FD543">
            <v>0</v>
          </cell>
          <cell r="FE543">
            <v>0</v>
          </cell>
          <cell r="FF543">
            <v>0</v>
          </cell>
          <cell r="FG543">
            <v>0</v>
          </cell>
        </row>
        <row r="544">
          <cell r="G544">
            <v>737306</v>
          </cell>
          <cell r="H544" t="str">
            <v>Ariel超濃縮洗衣精補充包1260g</v>
          </cell>
          <cell r="N544">
            <v>129.66666666666666</v>
          </cell>
          <cell r="P544">
            <v>0</v>
          </cell>
          <cell r="Q544" t="str">
            <v>on</v>
          </cell>
          <cell r="R544">
            <v>71576</v>
          </cell>
          <cell r="S544">
            <v>91933.666666666657</v>
          </cell>
          <cell r="T544">
            <v>78967</v>
          </cell>
          <cell r="U544">
            <v>69631</v>
          </cell>
          <cell r="V544">
            <v>32416.666666666664</v>
          </cell>
          <cell r="W544">
            <v>67037.666666666657</v>
          </cell>
          <cell r="X544">
            <v>63795.999999999993</v>
          </cell>
          <cell r="Y544">
            <v>58868.666666666664</v>
          </cell>
          <cell r="Z544">
            <v>59127.999999999993</v>
          </cell>
          <cell r="AA544">
            <v>79874.666666666657</v>
          </cell>
          <cell r="AB544">
            <v>80263.666666666657</v>
          </cell>
          <cell r="AC544">
            <v>18283</v>
          </cell>
          <cell r="AD544">
            <v>7650.333333333333</v>
          </cell>
          <cell r="AE544">
            <v>3500.9999999999995</v>
          </cell>
          <cell r="AF544">
            <v>1167</v>
          </cell>
          <cell r="AG544">
            <v>648.33333333333326</v>
          </cell>
          <cell r="AH544">
            <v>259.33333333333331</v>
          </cell>
          <cell r="AI544">
            <v>0</v>
          </cell>
          <cell r="AJ544">
            <v>0</v>
          </cell>
          <cell r="AK544">
            <v>0</v>
          </cell>
          <cell r="AL544">
            <v>389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0</v>
          </cell>
          <cell r="CO544">
            <v>0</v>
          </cell>
          <cell r="CP544">
            <v>552</v>
          </cell>
          <cell r="CQ544">
            <v>709</v>
          </cell>
          <cell r="CR544">
            <v>609</v>
          </cell>
          <cell r="CS544">
            <v>537</v>
          </cell>
          <cell r="CT544">
            <v>250</v>
          </cell>
          <cell r="CU544">
            <v>517</v>
          </cell>
          <cell r="CV544">
            <v>492</v>
          </cell>
          <cell r="CW544">
            <v>454</v>
          </cell>
          <cell r="CX544">
            <v>456</v>
          </cell>
          <cell r="CY544">
            <v>616</v>
          </cell>
          <cell r="CZ544">
            <v>619</v>
          </cell>
          <cell r="DA544">
            <v>141</v>
          </cell>
          <cell r="DB544">
            <v>59</v>
          </cell>
          <cell r="DC544">
            <v>27</v>
          </cell>
          <cell r="DD544">
            <v>9</v>
          </cell>
          <cell r="DE544">
            <v>5</v>
          </cell>
          <cell r="DF544">
            <v>2</v>
          </cell>
          <cell r="DG544">
            <v>0</v>
          </cell>
          <cell r="DH544">
            <v>0</v>
          </cell>
          <cell r="DI544">
            <v>0</v>
          </cell>
          <cell r="DJ544">
            <v>3</v>
          </cell>
          <cell r="DK544">
            <v>0</v>
          </cell>
          <cell r="DL544">
            <v>0</v>
          </cell>
          <cell r="DM544">
            <v>0</v>
          </cell>
          <cell r="DN544">
            <v>0</v>
          </cell>
          <cell r="DO544">
            <v>0</v>
          </cell>
          <cell r="DP544">
            <v>0</v>
          </cell>
          <cell r="DQ544">
            <v>0</v>
          </cell>
          <cell r="DR544">
            <v>0</v>
          </cell>
          <cell r="DS544">
            <v>0</v>
          </cell>
          <cell r="DT544">
            <v>0</v>
          </cell>
          <cell r="DU544">
            <v>0</v>
          </cell>
          <cell r="DV544">
            <v>0</v>
          </cell>
          <cell r="DW544">
            <v>0</v>
          </cell>
          <cell r="DX544">
            <v>0</v>
          </cell>
          <cell r="DY544">
            <v>0</v>
          </cell>
          <cell r="DZ544">
            <v>0</v>
          </cell>
          <cell r="EA544">
            <v>0</v>
          </cell>
          <cell r="EB544">
            <v>0</v>
          </cell>
          <cell r="EC544">
            <v>0</v>
          </cell>
          <cell r="ED544">
            <v>0</v>
          </cell>
          <cell r="EE544">
            <v>0</v>
          </cell>
          <cell r="EF544">
            <v>0</v>
          </cell>
          <cell r="EG544">
            <v>0</v>
          </cell>
          <cell r="EH544">
            <v>0</v>
          </cell>
          <cell r="EI544">
            <v>0</v>
          </cell>
          <cell r="EJ544">
            <v>0</v>
          </cell>
          <cell r="EK544">
            <v>0</v>
          </cell>
          <cell r="EL544">
            <v>0</v>
          </cell>
          <cell r="EM544">
            <v>0</v>
          </cell>
          <cell r="EN544">
            <v>0</v>
          </cell>
          <cell r="EO544">
            <v>0</v>
          </cell>
          <cell r="EP544">
            <v>0</v>
          </cell>
          <cell r="EQ544">
            <v>0</v>
          </cell>
          <cell r="ER544">
            <v>0</v>
          </cell>
          <cell r="ES544">
            <v>0</v>
          </cell>
          <cell r="ET544">
            <v>0</v>
          </cell>
          <cell r="EU544">
            <v>0</v>
          </cell>
          <cell r="EV544">
            <v>0</v>
          </cell>
          <cell r="EW544">
            <v>0</v>
          </cell>
          <cell r="EX544">
            <v>0</v>
          </cell>
          <cell r="EY544">
            <v>0</v>
          </cell>
          <cell r="EZ544">
            <v>0</v>
          </cell>
          <cell r="FA544">
            <v>0</v>
          </cell>
          <cell r="FB544">
            <v>0</v>
          </cell>
          <cell r="FC544">
            <v>0</v>
          </cell>
          <cell r="FD544">
            <v>0</v>
          </cell>
          <cell r="FE544">
            <v>0</v>
          </cell>
          <cell r="FF544">
            <v>0</v>
          </cell>
          <cell r="FG544">
            <v>0</v>
          </cell>
        </row>
        <row r="545">
          <cell r="G545">
            <v>293619</v>
          </cell>
          <cell r="H545" t="str">
            <v>ARIEL超濃縮洗衣精補充包室內晾衣款1260G</v>
          </cell>
          <cell r="N545">
            <v>129.66666666666666</v>
          </cell>
          <cell r="P545">
            <v>0</v>
          </cell>
          <cell r="Q545" t="str">
            <v>on</v>
          </cell>
          <cell r="R545">
            <v>14003.999999999998</v>
          </cell>
          <cell r="S545">
            <v>25933.333333333332</v>
          </cell>
          <cell r="T545">
            <v>24636.666666666664</v>
          </cell>
          <cell r="U545">
            <v>28137.666666666664</v>
          </cell>
          <cell r="V545">
            <v>23210.333333333332</v>
          </cell>
          <cell r="W545">
            <v>49014</v>
          </cell>
          <cell r="X545">
            <v>43049.333333333328</v>
          </cell>
          <cell r="Y545">
            <v>68982.666666666657</v>
          </cell>
          <cell r="Z545">
            <v>54589.666666666664</v>
          </cell>
          <cell r="AA545">
            <v>88692</v>
          </cell>
          <cell r="AB545">
            <v>84153.666666666657</v>
          </cell>
          <cell r="AC545">
            <v>16467.666666666664</v>
          </cell>
          <cell r="AD545">
            <v>6742.6666666666661</v>
          </cell>
          <cell r="AE545">
            <v>1944.9999999999998</v>
          </cell>
          <cell r="AF545">
            <v>778</v>
          </cell>
          <cell r="AG545">
            <v>129.66666666666666</v>
          </cell>
          <cell r="AH545">
            <v>259.33333333333331</v>
          </cell>
          <cell r="AI545">
            <v>648.33333333333326</v>
          </cell>
          <cell r="AJ545">
            <v>778</v>
          </cell>
          <cell r="AK545">
            <v>129.66666666666666</v>
          </cell>
          <cell r="AL545">
            <v>129.66666666666666</v>
          </cell>
          <cell r="AM545">
            <v>129.66666666666666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259.33333333333331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259.33333333333331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0</v>
          </cell>
          <cell r="CO545">
            <v>0</v>
          </cell>
          <cell r="CP545">
            <v>108</v>
          </cell>
          <cell r="CQ545">
            <v>200</v>
          </cell>
          <cell r="CR545">
            <v>190</v>
          </cell>
          <cell r="CS545">
            <v>217</v>
          </cell>
          <cell r="CT545">
            <v>179</v>
          </cell>
          <cell r="CU545">
            <v>378</v>
          </cell>
          <cell r="CV545">
            <v>332</v>
          </cell>
          <cell r="CW545">
            <v>532</v>
          </cell>
          <cell r="CX545">
            <v>421</v>
          </cell>
          <cell r="CY545">
            <v>684</v>
          </cell>
          <cell r="CZ545">
            <v>649</v>
          </cell>
          <cell r="DA545">
            <v>127</v>
          </cell>
          <cell r="DB545">
            <v>52</v>
          </cell>
          <cell r="DC545">
            <v>15</v>
          </cell>
          <cell r="DD545">
            <v>6</v>
          </cell>
          <cell r="DE545">
            <v>1</v>
          </cell>
          <cell r="DF545">
            <v>2</v>
          </cell>
          <cell r="DG545">
            <v>5</v>
          </cell>
          <cell r="DH545">
            <v>6</v>
          </cell>
          <cell r="DI545">
            <v>1</v>
          </cell>
          <cell r="DJ545">
            <v>1</v>
          </cell>
          <cell r="DK545">
            <v>1</v>
          </cell>
          <cell r="DL545">
            <v>0</v>
          </cell>
          <cell r="DM545">
            <v>0</v>
          </cell>
          <cell r="DN545">
            <v>0</v>
          </cell>
          <cell r="DO545">
            <v>0</v>
          </cell>
          <cell r="DP545">
            <v>0</v>
          </cell>
          <cell r="DQ545">
            <v>0</v>
          </cell>
          <cell r="DR545">
            <v>0</v>
          </cell>
          <cell r="DS545">
            <v>0</v>
          </cell>
          <cell r="DT545">
            <v>0</v>
          </cell>
          <cell r="DU545">
            <v>0</v>
          </cell>
          <cell r="DV545">
            <v>0</v>
          </cell>
          <cell r="DW545">
            <v>0</v>
          </cell>
          <cell r="DX545">
            <v>0</v>
          </cell>
          <cell r="DY545">
            <v>0</v>
          </cell>
          <cell r="DZ545">
            <v>0</v>
          </cell>
          <cell r="EA545">
            <v>0</v>
          </cell>
          <cell r="EB545">
            <v>0</v>
          </cell>
          <cell r="EC545">
            <v>0</v>
          </cell>
          <cell r="ED545">
            <v>0</v>
          </cell>
          <cell r="EE545">
            <v>0</v>
          </cell>
          <cell r="EF545">
            <v>0</v>
          </cell>
          <cell r="EG545">
            <v>0</v>
          </cell>
          <cell r="EH545">
            <v>0</v>
          </cell>
          <cell r="EI545">
            <v>0</v>
          </cell>
          <cell r="EJ545">
            <v>0</v>
          </cell>
          <cell r="EK545">
            <v>0</v>
          </cell>
          <cell r="EL545">
            <v>0</v>
          </cell>
          <cell r="EM545">
            <v>0</v>
          </cell>
          <cell r="EN545">
            <v>0</v>
          </cell>
          <cell r="EO545">
            <v>0</v>
          </cell>
          <cell r="EP545">
            <v>0</v>
          </cell>
          <cell r="EQ545">
            <v>0</v>
          </cell>
          <cell r="ER545">
            <v>0</v>
          </cell>
          <cell r="ES545">
            <v>0</v>
          </cell>
          <cell r="ET545">
            <v>0</v>
          </cell>
          <cell r="EU545">
            <v>2</v>
          </cell>
          <cell r="EV545">
            <v>0</v>
          </cell>
          <cell r="EW545">
            <v>0</v>
          </cell>
          <cell r="EX545">
            <v>0</v>
          </cell>
          <cell r="EY545">
            <v>0</v>
          </cell>
          <cell r="EZ545">
            <v>0</v>
          </cell>
          <cell r="FA545">
            <v>0</v>
          </cell>
          <cell r="FB545">
            <v>0</v>
          </cell>
          <cell r="FC545">
            <v>0</v>
          </cell>
          <cell r="FD545">
            <v>0</v>
          </cell>
          <cell r="FE545">
            <v>0</v>
          </cell>
          <cell r="FF545">
            <v>0</v>
          </cell>
          <cell r="FG545">
            <v>2</v>
          </cell>
          <cell r="FH545">
            <v>0</v>
          </cell>
          <cell r="FI545">
            <v>0</v>
          </cell>
          <cell r="FJ545">
            <v>0</v>
          </cell>
          <cell r="FK545">
            <v>0</v>
          </cell>
        </row>
        <row r="546">
          <cell r="G546">
            <v>296337</v>
          </cell>
          <cell r="H546" t="str">
            <v>ARIEL超濃縮洗衣精超值優惠組</v>
          </cell>
          <cell r="N546">
            <v>187.63333333333333</v>
          </cell>
          <cell r="P546">
            <v>0</v>
          </cell>
          <cell r="Q546" t="str">
            <v>on</v>
          </cell>
          <cell r="R546">
            <v>117458.46666666666</v>
          </cell>
          <cell r="S546">
            <v>92878.5</v>
          </cell>
          <cell r="T546">
            <v>1876.3333333333333</v>
          </cell>
          <cell r="U546">
            <v>97194.066666666666</v>
          </cell>
          <cell r="V546">
            <v>25893.399999999998</v>
          </cell>
          <cell r="W546">
            <v>19889.133333333331</v>
          </cell>
          <cell r="X546">
            <v>310157.89999999997</v>
          </cell>
          <cell r="Y546">
            <v>59479.766666666663</v>
          </cell>
          <cell r="Z546">
            <v>23078.899999999998</v>
          </cell>
          <cell r="AA546">
            <v>280324.2</v>
          </cell>
          <cell r="AB546">
            <v>81057.599999999991</v>
          </cell>
          <cell r="AC546">
            <v>146916.9</v>
          </cell>
          <cell r="AD546">
            <v>247113.09999999998</v>
          </cell>
          <cell r="AE546">
            <v>138098.13333333333</v>
          </cell>
          <cell r="AF546">
            <v>31710.033333333333</v>
          </cell>
          <cell r="AG546">
            <v>11258</v>
          </cell>
          <cell r="AH546">
            <v>6191.9</v>
          </cell>
          <cell r="AI546">
            <v>2251.6</v>
          </cell>
          <cell r="AJ546">
            <v>3189.7666666666664</v>
          </cell>
          <cell r="AK546">
            <v>2063.9666666666667</v>
          </cell>
          <cell r="AL546">
            <v>375.26666666666665</v>
          </cell>
          <cell r="AM546">
            <v>1501.0666666666666</v>
          </cell>
          <cell r="AN546">
            <v>938.16666666666663</v>
          </cell>
          <cell r="AO546">
            <v>0</v>
          </cell>
          <cell r="AP546">
            <v>0</v>
          </cell>
          <cell r="AQ546">
            <v>187.63333333333333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V546">
            <v>0</v>
          </cell>
          <cell r="BW546">
            <v>0</v>
          </cell>
          <cell r="BX546">
            <v>0</v>
          </cell>
          <cell r="BY546">
            <v>0</v>
          </cell>
          <cell r="BZ546">
            <v>0</v>
          </cell>
          <cell r="CA546">
            <v>0</v>
          </cell>
          <cell r="CB546">
            <v>0</v>
          </cell>
          <cell r="CC546">
            <v>0</v>
          </cell>
          <cell r="CD546">
            <v>0</v>
          </cell>
          <cell r="CE546">
            <v>0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0</v>
          </cell>
          <cell r="CK546">
            <v>0</v>
          </cell>
          <cell r="CL546">
            <v>0</v>
          </cell>
          <cell r="CM546">
            <v>0</v>
          </cell>
          <cell r="CN546">
            <v>0</v>
          </cell>
          <cell r="CO546">
            <v>0</v>
          </cell>
          <cell r="CP546">
            <v>626</v>
          </cell>
          <cell r="CQ546">
            <v>495</v>
          </cell>
          <cell r="CR546">
            <v>10</v>
          </cell>
          <cell r="CS546">
            <v>518</v>
          </cell>
          <cell r="CT546">
            <v>138</v>
          </cell>
          <cell r="CU546">
            <v>106</v>
          </cell>
          <cell r="CV546">
            <v>1653</v>
          </cell>
          <cell r="CW546">
            <v>317</v>
          </cell>
          <cell r="CX546">
            <v>123</v>
          </cell>
          <cell r="CY546">
            <v>1494</v>
          </cell>
          <cell r="CZ546">
            <v>432</v>
          </cell>
          <cell r="DA546">
            <v>783</v>
          </cell>
          <cell r="DB546">
            <v>1317</v>
          </cell>
          <cell r="DC546">
            <v>736</v>
          </cell>
          <cell r="DD546">
            <v>169</v>
          </cell>
          <cell r="DE546">
            <v>60</v>
          </cell>
          <cell r="DF546">
            <v>33</v>
          </cell>
          <cell r="DG546">
            <v>12</v>
          </cell>
          <cell r="DH546">
            <v>17</v>
          </cell>
          <cell r="DI546">
            <v>11</v>
          </cell>
          <cell r="DJ546">
            <v>2</v>
          </cell>
          <cell r="DK546">
            <v>8</v>
          </cell>
          <cell r="DL546">
            <v>5</v>
          </cell>
          <cell r="DM546">
            <v>0</v>
          </cell>
          <cell r="DN546">
            <v>0</v>
          </cell>
          <cell r="DO546">
            <v>1</v>
          </cell>
          <cell r="DP546">
            <v>0</v>
          </cell>
          <cell r="DQ546">
            <v>0</v>
          </cell>
          <cell r="DR546">
            <v>0</v>
          </cell>
          <cell r="DS546">
            <v>0</v>
          </cell>
          <cell r="DT546">
            <v>0</v>
          </cell>
          <cell r="DU546">
            <v>0</v>
          </cell>
          <cell r="DV546">
            <v>0</v>
          </cell>
          <cell r="DW546">
            <v>0</v>
          </cell>
          <cell r="DX546">
            <v>0</v>
          </cell>
          <cell r="DY546">
            <v>0</v>
          </cell>
          <cell r="DZ546">
            <v>0</v>
          </cell>
          <cell r="EA546">
            <v>0</v>
          </cell>
          <cell r="EB546">
            <v>0</v>
          </cell>
          <cell r="EC546">
            <v>0</v>
          </cell>
          <cell r="ED546">
            <v>0</v>
          </cell>
          <cell r="EE546">
            <v>0</v>
          </cell>
          <cell r="EF546">
            <v>0</v>
          </cell>
          <cell r="EG546">
            <v>0</v>
          </cell>
          <cell r="EH546">
            <v>0</v>
          </cell>
          <cell r="EI546">
            <v>0</v>
          </cell>
          <cell r="EJ546">
            <v>0</v>
          </cell>
          <cell r="EK546">
            <v>0</v>
          </cell>
          <cell r="EL546">
            <v>0</v>
          </cell>
          <cell r="EM546">
            <v>0</v>
          </cell>
          <cell r="EN546">
            <v>0</v>
          </cell>
          <cell r="EO546">
            <v>0</v>
          </cell>
          <cell r="EP546">
            <v>0</v>
          </cell>
          <cell r="EQ546">
            <v>0</v>
          </cell>
          <cell r="ER546">
            <v>0</v>
          </cell>
          <cell r="ES546">
            <v>0</v>
          </cell>
          <cell r="ET546">
            <v>0</v>
          </cell>
          <cell r="EU546">
            <v>0</v>
          </cell>
          <cell r="EV546">
            <v>0</v>
          </cell>
          <cell r="EW546">
            <v>0</v>
          </cell>
          <cell r="EX546">
            <v>0</v>
          </cell>
          <cell r="EY546">
            <v>0</v>
          </cell>
          <cell r="EZ546">
            <v>0</v>
          </cell>
          <cell r="FA546">
            <v>0</v>
          </cell>
          <cell r="FB546">
            <v>0</v>
          </cell>
          <cell r="FC546">
            <v>0</v>
          </cell>
          <cell r="FD546">
            <v>0</v>
          </cell>
          <cell r="FE546">
            <v>0</v>
          </cell>
          <cell r="FF546">
            <v>0</v>
          </cell>
          <cell r="FG546">
            <v>0</v>
          </cell>
        </row>
        <row r="547">
          <cell r="G547">
            <v>296324</v>
          </cell>
          <cell r="H547" t="str">
            <v>ARIEL超濃縮洗衣精(室內晾衣款)超值優惠組</v>
          </cell>
          <cell r="N547">
            <v>187.63333333333333</v>
          </cell>
          <cell r="P547">
            <v>0</v>
          </cell>
          <cell r="Q547" t="str">
            <v>on</v>
          </cell>
          <cell r="R547">
            <v>126464.86666666667</v>
          </cell>
          <cell r="S547">
            <v>58916.866666666661</v>
          </cell>
          <cell r="T547">
            <v>1313.4333333333334</v>
          </cell>
          <cell r="U547">
            <v>78243.099999999991</v>
          </cell>
          <cell r="V547">
            <v>23829.433333333331</v>
          </cell>
          <cell r="W547">
            <v>3377.3999999999996</v>
          </cell>
          <cell r="X547">
            <v>6379.5333333333328</v>
          </cell>
          <cell r="Y547">
            <v>1688.6999999999998</v>
          </cell>
          <cell r="Z547">
            <v>6004.2666666666664</v>
          </cell>
          <cell r="AA547">
            <v>239044.86666666667</v>
          </cell>
          <cell r="AB547">
            <v>68486.166666666657</v>
          </cell>
          <cell r="AC547">
            <v>142601.33333333331</v>
          </cell>
          <cell r="AD547">
            <v>237356.16666666666</v>
          </cell>
          <cell r="AE547">
            <v>106388.09999999999</v>
          </cell>
          <cell r="AF547">
            <v>19889.133333333331</v>
          </cell>
          <cell r="AG547">
            <v>7317.7</v>
          </cell>
          <cell r="AH547">
            <v>3752.6666666666665</v>
          </cell>
          <cell r="AI547">
            <v>375.26666666666665</v>
          </cell>
          <cell r="AJ547">
            <v>2814.5</v>
          </cell>
          <cell r="AK547">
            <v>750.5333333333333</v>
          </cell>
          <cell r="AL547">
            <v>1688.6999999999998</v>
          </cell>
          <cell r="AM547">
            <v>938.16666666666663</v>
          </cell>
          <cell r="AN547">
            <v>1125.8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N547">
            <v>0</v>
          </cell>
          <cell r="CO547">
            <v>0</v>
          </cell>
          <cell r="CP547">
            <v>674</v>
          </cell>
          <cell r="CQ547">
            <v>314</v>
          </cell>
          <cell r="CR547">
            <v>7</v>
          </cell>
          <cell r="CS547">
            <v>417</v>
          </cell>
          <cell r="CT547">
            <v>127</v>
          </cell>
          <cell r="CU547">
            <v>18</v>
          </cell>
          <cell r="CV547">
            <v>34</v>
          </cell>
          <cell r="CW547">
            <v>9</v>
          </cell>
          <cell r="CX547">
            <v>32</v>
          </cell>
          <cell r="CY547">
            <v>1274</v>
          </cell>
          <cell r="CZ547">
            <v>365</v>
          </cell>
          <cell r="DA547">
            <v>760</v>
          </cell>
          <cell r="DB547">
            <v>1265</v>
          </cell>
          <cell r="DC547">
            <v>567</v>
          </cell>
          <cell r="DD547">
            <v>106</v>
          </cell>
          <cell r="DE547">
            <v>39</v>
          </cell>
          <cell r="DF547">
            <v>20</v>
          </cell>
          <cell r="DG547">
            <v>2</v>
          </cell>
          <cell r="DH547">
            <v>15</v>
          </cell>
          <cell r="DI547">
            <v>4</v>
          </cell>
          <cell r="DJ547">
            <v>9</v>
          </cell>
          <cell r="DK547">
            <v>5</v>
          </cell>
          <cell r="DL547">
            <v>6</v>
          </cell>
          <cell r="DM547">
            <v>0</v>
          </cell>
          <cell r="DN547">
            <v>0</v>
          </cell>
          <cell r="DO547">
            <v>0</v>
          </cell>
          <cell r="DP547">
            <v>0</v>
          </cell>
          <cell r="DQ547">
            <v>0</v>
          </cell>
          <cell r="DR547">
            <v>0</v>
          </cell>
          <cell r="DS547">
            <v>0</v>
          </cell>
          <cell r="DT547">
            <v>0</v>
          </cell>
          <cell r="DU547">
            <v>0</v>
          </cell>
          <cell r="DV547">
            <v>0</v>
          </cell>
          <cell r="DW547">
            <v>0</v>
          </cell>
          <cell r="DX547">
            <v>0</v>
          </cell>
          <cell r="DY547">
            <v>0</v>
          </cell>
          <cell r="DZ547">
            <v>0</v>
          </cell>
          <cell r="EA547">
            <v>0</v>
          </cell>
          <cell r="EB547">
            <v>0</v>
          </cell>
          <cell r="EC547">
            <v>0</v>
          </cell>
          <cell r="ED547">
            <v>0</v>
          </cell>
          <cell r="EE547">
            <v>0</v>
          </cell>
          <cell r="EF547">
            <v>0</v>
          </cell>
          <cell r="EG547">
            <v>0</v>
          </cell>
          <cell r="EH547">
            <v>0</v>
          </cell>
          <cell r="EI547">
            <v>0</v>
          </cell>
          <cell r="EJ547">
            <v>0</v>
          </cell>
          <cell r="EK547">
            <v>0</v>
          </cell>
          <cell r="EL547">
            <v>0</v>
          </cell>
          <cell r="EM547">
            <v>0</v>
          </cell>
          <cell r="EN547">
            <v>0</v>
          </cell>
          <cell r="EO547">
            <v>0</v>
          </cell>
          <cell r="EP547">
            <v>0</v>
          </cell>
          <cell r="EQ547">
            <v>0</v>
          </cell>
          <cell r="ER547">
            <v>0</v>
          </cell>
          <cell r="ES547">
            <v>0</v>
          </cell>
          <cell r="ET547">
            <v>0</v>
          </cell>
          <cell r="EU547">
            <v>0</v>
          </cell>
          <cell r="EV547">
            <v>0</v>
          </cell>
          <cell r="EW547">
            <v>0</v>
          </cell>
          <cell r="EX547">
            <v>0</v>
          </cell>
          <cell r="EY547">
            <v>0</v>
          </cell>
          <cell r="EZ547">
            <v>0</v>
          </cell>
          <cell r="FA547">
            <v>0</v>
          </cell>
          <cell r="FB547">
            <v>0</v>
          </cell>
          <cell r="FC547">
            <v>0</v>
          </cell>
          <cell r="FD547">
            <v>0</v>
          </cell>
          <cell r="FE547">
            <v>0</v>
          </cell>
          <cell r="FF547">
            <v>0</v>
          </cell>
          <cell r="FG547">
            <v>0</v>
          </cell>
        </row>
        <row r="548">
          <cell r="G548">
            <v>223841</v>
          </cell>
          <cell r="H548" t="str">
            <v>ARIEL超濃縮洗衣精(室內晾衣款)新年超值組</v>
          </cell>
          <cell r="N548">
            <v>209.75</v>
          </cell>
          <cell r="P548">
            <v>0</v>
          </cell>
          <cell r="Q548" t="str">
            <v>on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0</v>
          </cell>
          <cell r="DG548">
            <v>0</v>
          </cell>
          <cell r="DH548">
            <v>0</v>
          </cell>
          <cell r="DI548">
            <v>0</v>
          </cell>
          <cell r="DJ548">
            <v>0</v>
          </cell>
          <cell r="DK548">
            <v>0</v>
          </cell>
          <cell r="DL548">
            <v>0</v>
          </cell>
          <cell r="DM548">
            <v>0</v>
          </cell>
          <cell r="DN548">
            <v>0</v>
          </cell>
          <cell r="DO548">
            <v>0</v>
          </cell>
          <cell r="DP548">
            <v>0</v>
          </cell>
          <cell r="DQ548">
            <v>0</v>
          </cell>
          <cell r="DR548">
            <v>0</v>
          </cell>
          <cell r="DS548">
            <v>0</v>
          </cell>
          <cell r="DT548">
            <v>0</v>
          </cell>
          <cell r="DU548">
            <v>0</v>
          </cell>
          <cell r="DV548">
            <v>0</v>
          </cell>
          <cell r="DW548">
            <v>0</v>
          </cell>
          <cell r="DX548">
            <v>0</v>
          </cell>
          <cell r="DY548">
            <v>0</v>
          </cell>
          <cell r="DZ548">
            <v>0</v>
          </cell>
          <cell r="EA548">
            <v>0</v>
          </cell>
          <cell r="EB548">
            <v>0</v>
          </cell>
          <cell r="EC548">
            <v>0</v>
          </cell>
          <cell r="ED548">
            <v>0</v>
          </cell>
          <cell r="EE548">
            <v>0</v>
          </cell>
          <cell r="EF548">
            <v>0</v>
          </cell>
          <cell r="EG548">
            <v>0</v>
          </cell>
          <cell r="EH548">
            <v>0</v>
          </cell>
          <cell r="EI548">
            <v>0</v>
          </cell>
          <cell r="EJ548">
            <v>0</v>
          </cell>
          <cell r="EK548">
            <v>0</v>
          </cell>
          <cell r="EL548">
            <v>0</v>
          </cell>
          <cell r="EM548">
            <v>0</v>
          </cell>
          <cell r="EN548">
            <v>0</v>
          </cell>
          <cell r="EO548">
            <v>0</v>
          </cell>
          <cell r="EP548">
            <v>0</v>
          </cell>
          <cell r="EQ548">
            <v>0</v>
          </cell>
          <cell r="ER548">
            <v>0</v>
          </cell>
          <cell r="ES548">
            <v>0</v>
          </cell>
          <cell r="ET548">
            <v>0</v>
          </cell>
          <cell r="EU548">
            <v>0</v>
          </cell>
          <cell r="EV548">
            <v>0</v>
          </cell>
          <cell r="EW548">
            <v>0</v>
          </cell>
          <cell r="EX548">
            <v>0</v>
          </cell>
          <cell r="EY548">
            <v>0</v>
          </cell>
          <cell r="EZ548">
            <v>0</v>
          </cell>
          <cell r="FA548">
            <v>0</v>
          </cell>
          <cell r="FB548">
            <v>0</v>
          </cell>
          <cell r="FC548">
            <v>0</v>
          </cell>
          <cell r="FD548">
            <v>0</v>
          </cell>
          <cell r="FE548">
            <v>0</v>
          </cell>
          <cell r="FF548">
            <v>0</v>
          </cell>
          <cell r="FG548">
            <v>0</v>
          </cell>
        </row>
        <row r="549">
          <cell r="G549">
            <v>223867</v>
          </cell>
          <cell r="H549" t="str">
            <v>ARIEL超濃縮洗衣精新年超值組</v>
          </cell>
          <cell r="N549">
            <v>209.75</v>
          </cell>
          <cell r="P549">
            <v>0</v>
          </cell>
          <cell r="Q549" t="str">
            <v>on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D549">
            <v>0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N549">
            <v>0</v>
          </cell>
          <cell r="CO549">
            <v>0</v>
          </cell>
          <cell r="CP549">
            <v>0</v>
          </cell>
          <cell r="CQ549">
            <v>0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0</v>
          </cell>
          <cell r="DA549">
            <v>0</v>
          </cell>
          <cell r="DB549">
            <v>0</v>
          </cell>
          <cell r="DC549">
            <v>0</v>
          </cell>
          <cell r="DD549">
            <v>0</v>
          </cell>
          <cell r="DE549">
            <v>0</v>
          </cell>
          <cell r="DF549">
            <v>0</v>
          </cell>
          <cell r="DG549">
            <v>0</v>
          </cell>
          <cell r="DH549">
            <v>0</v>
          </cell>
          <cell r="DI549">
            <v>0</v>
          </cell>
          <cell r="DJ549">
            <v>0</v>
          </cell>
          <cell r="DK549">
            <v>0</v>
          </cell>
          <cell r="DL549">
            <v>0</v>
          </cell>
          <cell r="DM549">
            <v>0</v>
          </cell>
          <cell r="DN549">
            <v>0</v>
          </cell>
          <cell r="DO549">
            <v>0</v>
          </cell>
          <cell r="DP549">
            <v>0</v>
          </cell>
          <cell r="DQ549">
            <v>0</v>
          </cell>
          <cell r="DR549">
            <v>0</v>
          </cell>
          <cell r="DS549">
            <v>0</v>
          </cell>
          <cell r="DT549">
            <v>0</v>
          </cell>
          <cell r="DU549">
            <v>0</v>
          </cell>
          <cell r="DV549">
            <v>0</v>
          </cell>
          <cell r="DW549">
            <v>0</v>
          </cell>
          <cell r="DX549">
            <v>0</v>
          </cell>
          <cell r="DY549">
            <v>0</v>
          </cell>
          <cell r="DZ549">
            <v>0</v>
          </cell>
          <cell r="EA549">
            <v>0</v>
          </cell>
          <cell r="EB549">
            <v>0</v>
          </cell>
          <cell r="EC549">
            <v>0</v>
          </cell>
          <cell r="ED549">
            <v>0</v>
          </cell>
          <cell r="EE549">
            <v>0</v>
          </cell>
          <cell r="EF549">
            <v>0</v>
          </cell>
          <cell r="EG549">
            <v>0</v>
          </cell>
          <cell r="EH549">
            <v>0</v>
          </cell>
          <cell r="EI549">
            <v>0</v>
          </cell>
          <cell r="EJ549">
            <v>0</v>
          </cell>
          <cell r="EK549">
            <v>0</v>
          </cell>
          <cell r="EL549">
            <v>0</v>
          </cell>
          <cell r="EM549">
            <v>0</v>
          </cell>
          <cell r="EN549">
            <v>0</v>
          </cell>
          <cell r="EO549">
            <v>0</v>
          </cell>
          <cell r="EP549">
            <v>0</v>
          </cell>
          <cell r="EQ549">
            <v>0</v>
          </cell>
          <cell r="ER549">
            <v>0</v>
          </cell>
          <cell r="ES549">
            <v>0</v>
          </cell>
          <cell r="ET549">
            <v>0</v>
          </cell>
          <cell r="EU549">
            <v>0</v>
          </cell>
          <cell r="EV549">
            <v>0</v>
          </cell>
          <cell r="EW549">
            <v>0</v>
          </cell>
          <cell r="EX549">
            <v>0</v>
          </cell>
          <cell r="EY549">
            <v>0</v>
          </cell>
          <cell r="EZ549">
            <v>0</v>
          </cell>
          <cell r="FA549">
            <v>0</v>
          </cell>
          <cell r="FB549">
            <v>0</v>
          </cell>
          <cell r="FC549">
            <v>0</v>
          </cell>
          <cell r="FD549">
            <v>0</v>
          </cell>
          <cell r="FE549">
            <v>0</v>
          </cell>
          <cell r="FF549">
            <v>0</v>
          </cell>
          <cell r="FG549">
            <v>0</v>
          </cell>
        </row>
        <row r="550">
          <cell r="G550">
            <v>417228</v>
          </cell>
          <cell r="H550" t="str">
            <v>Ariel3D超濃縮抗菌洗衣膠囊5顆袋裝</v>
          </cell>
          <cell r="N550">
            <v>43.265000000000001</v>
          </cell>
          <cell r="Q550" t="str">
            <v>on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47331.91</v>
          </cell>
          <cell r="AG550">
            <v>44173.565000000002</v>
          </cell>
          <cell r="AH550">
            <v>100245.005</v>
          </cell>
          <cell r="AI550">
            <v>70132.565000000002</v>
          </cell>
          <cell r="AJ550">
            <v>45860.9</v>
          </cell>
          <cell r="AK550">
            <v>105609.86500000001</v>
          </cell>
          <cell r="AL550">
            <v>35434.035000000003</v>
          </cell>
          <cell r="AM550">
            <v>34525.47</v>
          </cell>
          <cell r="AN550">
            <v>26824.3</v>
          </cell>
          <cell r="AO550">
            <v>16527.23</v>
          </cell>
          <cell r="AP550">
            <v>21589.235000000001</v>
          </cell>
          <cell r="AQ550">
            <v>42832.35</v>
          </cell>
          <cell r="AR550">
            <v>22238.21</v>
          </cell>
          <cell r="AS550">
            <v>6922.4</v>
          </cell>
          <cell r="AT550">
            <v>951.83</v>
          </cell>
          <cell r="AU550">
            <v>432.65</v>
          </cell>
          <cell r="AV550">
            <v>216.32499999999999</v>
          </cell>
          <cell r="AW550">
            <v>86.53</v>
          </cell>
          <cell r="AX550">
            <v>259.59000000000003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562.44500000000005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1094</v>
          </cell>
          <cell r="DE550">
            <v>1021</v>
          </cell>
          <cell r="DF550">
            <v>2317</v>
          </cell>
          <cell r="DG550">
            <v>1621</v>
          </cell>
          <cell r="DH550">
            <v>1060</v>
          </cell>
          <cell r="DI550">
            <v>2441</v>
          </cell>
          <cell r="DJ550">
            <v>819</v>
          </cell>
          <cell r="DK550">
            <v>798</v>
          </cell>
          <cell r="DL550">
            <v>620</v>
          </cell>
          <cell r="DM550">
            <v>382</v>
          </cell>
          <cell r="DN550">
            <v>499</v>
          </cell>
          <cell r="DO550">
            <v>990</v>
          </cell>
          <cell r="DP550">
            <v>514</v>
          </cell>
          <cell r="DQ550">
            <v>160</v>
          </cell>
          <cell r="DR550">
            <v>22</v>
          </cell>
          <cell r="DS550">
            <v>10</v>
          </cell>
          <cell r="DT550">
            <v>5</v>
          </cell>
          <cell r="DU550">
            <v>2</v>
          </cell>
          <cell r="DV550">
            <v>6</v>
          </cell>
          <cell r="DW550">
            <v>0</v>
          </cell>
          <cell r="DX550">
            <v>0</v>
          </cell>
          <cell r="DY550">
            <v>0</v>
          </cell>
          <cell r="DZ550">
            <v>0</v>
          </cell>
          <cell r="EA550">
            <v>0</v>
          </cell>
          <cell r="EB550">
            <v>0</v>
          </cell>
          <cell r="EC550">
            <v>0</v>
          </cell>
          <cell r="ED550">
            <v>0</v>
          </cell>
          <cell r="EE550">
            <v>0</v>
          </cell>
          <cell r="EF550">
            <v>13</v>
          </cell>
          <cell r="EG550">
            <v>0</v>
          </cell>
          <cell r="EH550">
            <v>0</v>
          </cell>
          <cell r="EI550">
            <v>0</v>
          </cell>
          <cell r="EJ550">
            <v>0</v>
          </cell>
          <cell r="EK550">
            <v>0</v>
          </cell>
          <cell r="EL550">
            <v>0</v>
          </cell>
          <cell r="EM550">
            <v>0</v>
          </cell>
          <cell r="EN550">
            <v>0</v>
          </cell>
          <cell r="EO550">
            <v>0</v>
          </cell>
          <cell r="EP550">
            <v>0</v>
          </cell>
          <cell r="EQ550">
            <v>0</v>
          </cell>
          <cell r="ER550">
            <v>0</v>
          </cell>
          <cell r="ES550">
            <v>0</v>
          </cell>
          <cell r="ET550">
            <v>0</v>
          </cell>
          <cell r="EU550">
            <v>0</v>
          </cell>
          <cell r="EV550">
            <v>0</v>
          </cell>
          <cell r="EW550">
            <v>0</v>
          </cell>
          <cell r="EX550">
            <v>0</v>
          </cell>
          <cell r="EY550">
            <v>0</v>
          </cell>
          <cell r="EZ550">
            <v>0</v>
          </cell>
          <cell r="FA550">
            <v>0</v>
          </cell>
          <cell r="FB550">
            <v>0</v>
          </cell>
          <cell r="FC550">
            <v>0</v>
          </cell>
          <cell r="FD550">
            <v>0</v>
          </cell>
          <cell r="FE550">
            <v>0</v>
          </cell>
          <cell r="FF550">
            <v>0</v>
          </cell>
          <cell r="FG550">
            <v>0</v>
          </cell>
        </row>
        <row r="551">
          <cell r="G551">
            <v>126115</v>
          </cell>
          <cell r="H551" t="str">
            <v>M)ARIEL4D抗菌洗衣膠囊5顆袋裝-抗菌去漬款</v>
          </cell>
          <cell r="N551">
            <v>43.3</v>
          </cell>
          <cell r="Q551" t="str">
            <v>on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10392</v>
          </cell>
          <cell r="AQ551">
            <v>696177.39999999991</v>
          </cell>
          <cell r="AR551">
            <v>272746.69999999995</v>
          </cell>
          <cell r="AS551">
            <v>27235.699999999997</v>
          </cell>
          <cell r="AT551">
            <v>19831.399999999998</v>
          </cell>
          <cell r="AU551">
            <v>19831.399999999998</v>
          </cell>
          <cell r="AV551">
            <v>35679.199999999997</v>
          </cell>
          <cell r="AW551">
            <v>92142.399999999994</v>
          </cell>
          <cell r="AX551">
            <v>32301.8</v>
          </cell>
          <cell r="AY551">
            <v>49015.6</v>
          </cell>
          <cell r="AZ551">
            <v>61312.799999999996</v>
          </cell>
          <cell r="BA551">
            <v>32085.3</v>
          </cell>
          <cell r="BB551">
            <v>20524.199999999997</v>
          </cell>
          <cell r="BC551">
            <v>37584.399999999994</v>
          </cell>
          <cell r="BD551">
            <v>218838.19999999998</v>
          </cell>
          <cell r="BE551">
            <v>30656.399999999998</v>
          </cell>
          <cell r="BF551">
            <v>24031.5</v>
          </cell>
          <cell r="BG551">
            <v>23208.799999999999</v>
          </cell>
          <cell r="BH551">
            <v>657380.6</v>
          </cell>
          <cell r="BI551">
            <v>10392</v>
          </cell>
          <cell r="BJ551">
            <v>37887.5</v>
          </cell>
          <cell r="BK551">
            <v>22602.6</v>
          </cell>
          <cell r="BL551">
            <v>97511.599999999991</v>
          </cell>
          <cell r="BM551">
            <v>426678.19999999995</v>
          </cell>
          <cell r="BN551">
            <v>43776.299999999996</v>
          </cell>
          <cell r="BO551">
            <v>76424.5</v>
          </cell>
          <cell r="BP551">
            <v>225463.09999999998</v>
          </cell>
          <cell r="BQ551">
            <v>37194.699999999997</v>
          </cell>
          <cell r="BR551">
            <v>39099.899999999994</v>
          </cell>
          <cell r="BS551">
            <v>74562.599999999991</v>
          </cell>
          <cell r="BT551">
            <v>64213.899999999994</v>
          </cell>
          <cell r="BU551">
            <v>1155806.8999999999</v>
          </cell>
          <cell r="BV551">
            <v>12340.5</v>
          </cell>
          <cell r="BW551">
            <v>10651.8</v>
          </cell>
          <cell r="BX551">
            <v>3031</v>
          </cell>
          <cell r="BY551">
            <v>995.9</v>
          </cell>
          <cell r="BZ551">
            <v>779.4</v>
          </cell>
          <cell r="CA551">
            <v>519.59999999999991</v>
          </cell>
          <cell r="CB551">
            <v>0</v>
          </cell>
          <cell r="CC551">
            <v>0</v>
          </cell>
          <cell r="CD551">
            <v>0</v>
          </cell>
          <cell r="CE551">
            <v>0</v>
          </cell>
          <cell r="CF551">
            <v>0</v>
          </cell>
          <cell r="CG551">
            <v>0</v>
          </cell>
          <cell r="CH551">
            <v>28318.2</v>
          </cell>
          <cell r="CI551">
            <v>0</v>
          </cell>
          <cell r="CJ551">
            <v>0</v>
          </cell>
          <cell r="CK551">
            <v>0</v>
          </cell>
          <cell r="CL551">
            <v>0</v>
          </cell>
          <cell r="CM551">
            <v>0</v>
          </cell>
          <cell r="CN551">
            <v>0</v>
          </cell>
          <cell r="CO551">
            <v>0</v>
          </cell>
          <cell r="CP551">
            <v>0</v>
          </cell>
          <cell r="CQ551">
            <v>0</v>
          </cell>
          <cell r="CR551">
            <v>0</v>
          </cell>
          <cell r="CS551">
            <v>0</v>
          </cell>
          <cell r="CT551">
            <v>0</v>
          </cell>
          <cell r="CU551">
            <v>0</v>
          </cell>
          <cell r="CV551">
            <v>0</v>
          </cell>
          <cell r="CW551">
            <v>0</v>
          </cell>
          <cell r="CX551">
            <v>0</v>
          </cell>
          <cell r="CY551">
            <v>0</v>
          </cell>
          <cell r="CZ551">
            <v>0</v>
          </cell>
          <cell r="DA551">
            <v>0</v>
          </cell>
          <cell r="DB551">
            <v>0</v>
          </cell>
          <cell r="DC551">
            <v>0</v>
          </cell>
          <cell r="DD551">
            <v>0</v>
          </cell>
          <cell r="DE551">
            <v>0</v>
          </cell>
          <cell r="DF551">
            <v>0</v>
          </cell>
          <cell r="DG551">
            <v>0</v>
          </cell>
          <cell r="DH551">
            <v>0</v>
          </cell>
          <cell r="DI551">
            <v>0</v>
          </cell>
          <cell r="DJ551">
            <v>0</v>
          </cell>
          <cell r="DK551">
            <v>0</v>
          </cell>
          <cell r="DL551">
            <v>0</v>
          </cell>
          <cell r="DM551">
            <v>0</v>
          </cell>
          <cell r="DN551">
            <v>240</v>
          </cell>
          <cell r="DO551">
            <v>16078</v>
          </cell>
          <cell r="DP551">
            <v>6299</v>
          </cell>
          <cell r="DQ551">
            <v>629</v>
          </cell>
          <cell r="DR551">
            <v>458</v>
          </cell>
          <cell r="DS551">
            <v>458</v>
          </cell>
          <cell r="DT551">
            <v>824</v>
          </cell>
          <cell r="DU551">
            <v>2128</v>
          </cell>
          <cell r="DV551">
            <v>746</v>
          </cell>
          <cell r="DW551">
            <v>1132</v>
          </cell>
          <cell r="DX551">
            <v>1416</v>
          </cell>
          <cell r="DY551">
            <v>741</v>
          </cell>
          <cell r="DZ551">
            <v>474</v>
          </cell>
          <cell r="EA551">
            <v>868</v>
          </cell>
          <cell r="EB551">
            <v>5054</v>
          </cell>
          <cell r="EC551">
            <v>708</v>
          </cell>
          <cell r="ED551">
            <v>555</v>
          </cell>
          <cell r="EE551">
            <v>536</v>
          </cell>
          <cell r="EF551">
            <v>15182</v>
          </cell>
          <cell r="EG551">
            <v>240</v>
          </cell>
          <cell r="EH551">
            <v>875</v>
          </cell>
          <cell r="EI551">
            <v>522</v>
          </cell>
          <cell r="EJ551">
            <v>2252</v>
          </cell>
          <cell r="EK551">
            <v>9854</v>
          </cell>
          <cell r="EL551">
            <v>1011</v>
          </cell>
          <cell r="EM551">
            <v>1765</v>
          </cell>
          <cell r="EN551">
            <v>5207</v>
          </cell>
          <cell r="EO551">
            <v>859</v>
          </cell>
          <cell r="EP551">
            <v>903</v>
          </cell>
          <cell r="EQ551">
            <v>1722</v>
          </cell>
          <cell r="ER551">
            <v>1483</v>
          </cell>
          <cell r="ES551">
            <v>599.88479262672809</v>
          </cell>
          <cell r="ET551">
            <v>26693</v>
          </cell>
          <cell r="EU551">
            <v>285</v>
          </cell>
          <cell r="EV551">
            <v>246</v>
          </cell>
          <cell r="EW551">
            <v>70</v>
          </cell>
          <cell r="EX551">
            <v>23</v>
          </cell>
          <cell r="EY551">
            <v>18</v>
          </cell>
          <cell r="EZ551">
            <v>12</v>
          </cell>
          <cell r="FA551">
            <v>0</v>
          </cell>
          <cell r="FB551">
            <v>0</v>
          </cell>
          <cell r="FC551">
            <v>0</v>
          </cell>
          <cell r="FD551">
            <v>0</v>
          </cell>
          <cell r="FE551">
            <v>0</v>
          </cell>
          <cell r="FF551">
            <v>0</v>
          </cell>
          <cell r="FG551">
            <v>654</v>
          </cell>
          <cell r="FH551">
            <v>0</v>
          </cell>
          <cell r="FI551">
            <v>0</v>
          </cell>
          <cell r="FJ551">
            <v>0</v>
          </cell>
          <cell r="FK551">
            <v>0</v>
          </cell>
        </row>
        <row r="552">
          <cell r="G552">
            <v>293648</v>
          </cell>
          <cell r="H552" t="str">
            <v>ARIEL 3D抗菌洗衣膠囊5顆袋裝</v>
          </cell>
          <cell r="N552">
            <v>40.335000000000001</v>
          </cell>
          <cell r="P552">
            <v>0</v>
          </cell>
          <cell r="Q552" t="str">
            <v>on</v>
          </cell>
          <cell r="R552">
            <v>354988.33500000002</v>
          </cell>
          <cell r="S552">
            <v>157830.85500000001</v>
          </cell>
          <cell r="T552">
            <v>87083.264999999999</v>
          </cell>
          <cell r="U552">
            <v>84824.505000000005</v>
          </cell>
          <cell r="V552">
            <v>39084.614999999998</v>
          </cell>
          <cell r="W552">
            <v>141817.86000000002</v>
          </cell>
          <cell r="X552">
            <v>104467.65000000001</v>
          </cell>
          <cell r="Y552">
            <v>84259.815000000002</v>
          </cell>
          <cell r="Z552">
            <v>150731.89499999999</v>
          </cell>
          <cell r="AA552">
            <v>38197.245000000003</v>
          </cell>
          <cell r="AB552">
            <v>77564.205000000002</v>
          </cell>
          <cell r="AC552">
            <v>50943.105000000003</v>
          </cell>
          <cell r="AD552">
            <v>84340.485000000001</v>
          </cell>
          <cell r="AE552">
            <v>58122.735000000001</v>
          </cell>
          <cell r="AF552">
            <v>26379.09</v>
          </cell>
          <cell r="AG552">
            <v>4719.1949999999997</v>
          </cell>
          <cell r="AH552">
            <v>1613.4</v>
          </cell>
          <cell r="AI552">
            <v>1290.72</v>
          </cell>
          <cell r="AJ552">
            <v>80.67</v>
          </cell>
          <cell r="AK552">
            <v>80.67</v>
          </cell>
          <cell r="AL552">
            <v>161.34</v>
          </cell>
          <cell r="AM552">
            <v>484.02</v>
          </cell>
          <cell r="AN552">
            <v>40.335000000000001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0</v>
          </cell>
          <cell r="CO552">
            <v>0</v>
          </cell>
          <cell r="CP552">
            <v>8801</v>
          </cell>
          <cell r="CQ552">
            <v>3913</v>
          </cell>
          <cell r="CR552">
            <v>2159</v>
          </cell>
          <cell r="CS552">
            <v>2103</v>
          </cell>
          <cell r="CT552">
            <v>969</v>
          </cell>
          <cell r="CU552">
            <v>3516</v>
          </cell>
          <cell r="CV552">
            <v>2590</v>
          </cell>
          <cell r="CW552">
            <v>2089</v>
          </cell>
          <cell r="CX552">
            <v>3737</v>
          </cell>
          <cell r="CY552">
            <v>947</v>
          </cell>
          <cell r="CZ552">
            <v>1923</v>
          </cell>
          <cell r="DA552">
            <v>1263</v>
          </cell>
          <cell r="DB552">
            <v>2091</v>
          </cell>
          <cell r="DC552">
            <v>1441</v>
          </cell>
          <cell r="DD552">
            <v>654</v>
          </cell>
          <cell r="DE552">
            <v>117</v>
          </cell>
          <cell r="DF552">
            <v>40</v>
          </cell>
          <cell r="DG552">
            <v>32</v>
          </cell>
          <cell r="DH552">
            <v>2</v>
          </cell>
          <cell r="DI552">
            <v>2</v>
          </cell>
          <cell r="DJ552">
            <v>4</v>
          </cell>
          <cell r="DK552">
            <v>12</v>
          </cell>
          <cell r="DL552">
            <v>1</v>
          </cell>
          <cell r="DM552">
            <v>0</v>
          </cell>
          <cell r="DN552">
            <v>0</v>
          </cell>
          <cell r="DO552">
            <v>0</v>
          </cell>
          <cell r="DP552">
            <v>0</v>
          </cell>
          <cell r="DQ552">
            <v>0</v>
          </cell>
          <cell r="DR552">
            <v>0</v>
          </cell>
          <cell r="DS552">
            <v>0</v>
          </cell>
          <cell r="DT552">
            <v>0</v>
          </cell>
          <cell r="DU552">
            <v>0</v>
          </cell>
          <cell r="DV552">
            <v>0</v>
          </cell>
          <cell r="DW552">
            <v>0</v>
          </cell>
          <cell r="DX552">
            <v>0</v>
          </cell>
          <cell r="DY552">
            <v>0</v>
          </cell>
          <cell r="DZ552">
            <v>0</v>
          </cell>
          <cell r="EA552">
            <v>0</v>
          </cell>
          <cell r="EB552">
            <v>0</v>
          </cell>
          <cell r="EC552">
            <v>0</v>
          </cell>
          <cell r="ED552">
            <v>0</v>
          </cell>
          <cell r="EE552">
            <v>0</v>
          </cell>
          <cell r="EF552">
            <v>0</v>
          </cell>
          <cell r="EG552">
            <v>0</v>
          </cell>
          <cell r="EH552">
            <v>0</v>
          </cell>
          <cell r="EI552">
            <v>0</v>
          </cell>
          <cell r="EJ552">
            <v>0</v>
          </cell>
          <cell r="EK552">
            <v>0</v>
          </cell>
          <cell r="EL552">
            <v>0</v>
          </cell>
          <cell r="EM552">
            <v>0</v>
          </cell>
          <cell r="EN552">
            <v>0</v>
          </cell>
          <cell r="EO552">
            <v>0</v>
          </cell>
          <cell r="EP552">
            <v>0</v>
          </cell>
          <cell r="EQ552">
            <v>0</v>
          </cell>
          <cell r="ER552">
            <v>0</v>
          </cell>
          <cell r="ES552">
            <v>0</v>
          </cell>
          <cell r="ET552">
            <v>0</v>
          </cell>
          <cell r="EU552">
            <v>0</v>
          </cell>
          <cell r="EV552">
            <v>0</v>
          </cell>
          <cell r="EW552">
            <v>0</v>
          </cell>
          <cell r="EX552">
            <v>0</v>
          </cell>
          <cell r="EY552">
            <v>0</v>
          </cell>
          <cell r="EZ552">
            <v>0</v>
          </cell>
          <cell r="FA552">
            <v>0</v>
          </cell>
          <cell r="FB552">
            <v>0</v>
          </cell>
          <cell r="FC552">
            <v>0</v>
          </cell>
          <cell r="FD552">
            <v>0</v>
          </cell>
          <cell r="FE552">
            <v>0</v>
          </cell>
          <cell r="FF552">
            <v>0</v>
          </cell>
          <cell r="FG552">
            <v>0</v>
          </cell>
        </row>
        <row r="553">
          <cell r="G553">
            <v>341127</v>
          </cell>
          <cell r="H553" t="str">
            <v>ARIEL 3D超濃縮抗菌洗衣膠囊17個入</v>
          </cell>
          <cell r="N553">
            <v>145.9</v>
          </cell>
          <cell r="P553">
            <v>0</v>
          </cell>
          <cell r="Q553" t="str">
            <v>on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26407.9</v>
          </cell>
          <cell r="AF553">
            <v>38663.5</v>
          </cell>
          <cell r="AG553">
            <v>23927.600000000002</v>
          </cell>
          <cell r="AH553">
            <v>37496.300000000003</v>
          </cell>
          <cell r="AI553">
            <v>29034.100000000002</v>
          </cell>
          <cell r="AJ553">
            <v>258097.1</v>
          </cell>
          <cell r="AK553">
            <v>29909.5</v>
          </cell>
          <cell r="AL553">
            <v>30493.100000000002</v>
          </cell>
          <cell r="AM553">
            <v>30201.300000000003</v>
          </cell>
          <cell r="AN553">
            <v>24511.200000000001</v>
          </cell>
          <cell r="AO553">
            <v>21739.100000000002</v>
          </cell>
          <cell r="AP553">
            <v>16486.7</v>
          </cell>
          <cell r="AQ553">
            <v>59527.200000000004</v>
          </cell>
          <cell r="AR553">
            <v>23052.2</v>
          </cell>
          <cell r="AS553">
            <v>5398.3</v>
          </cell>
          <cell r="AT553">
            <v>583.6</v>
          </cell>
          <cell r="AU553">
            <v>437.70000000000005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0</v>
          </cell>
          <cell r="BX553">
            <v>0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  <cell r="CL553">
            <v>0</v>
          </cell>
          <cell r="CM553">
            <v>0</v>
          </cell>
          <cell r="CN553">
            <v>0</v>
          </cell>
          <cell r="CO553">
            <v>0</v>
          </cell>
          <cell r="CP553">
            <v>0</v>
          </cell>
          <cell r="CQ553">
            <v>0</v>
          </cell>
          <cell r="CR553">
            <v>0</v>
          </cell>
          <cell r="CS553">
            <v>0</v>
          </cell>
          <cell r="CT553">
            <v>0</v>
          </cell>
          <cell r="CU553">
            <v>0</v>
          </cell>
          <cell r="CV553">
            <v>0</v>
          </cell>
          <cell r="CW553">
            <v>0</v>
          </cell>
          <cell r="CX553">
            <v>0</v>
          </cell>
          <cell r="CY553">
            <v>0</v>
          </cell>
          <cell r="CZ553">
            <v>0</v>
          </cell>
          <cell r="DA553">
            <v>0</v>
          </cell>
          <cell r="DB553">
            <v>0</v>
          </cell>
          <cell r="DC553">
            <v>181</v>
          </cell>
          <cell r="DD553">
            <v>265</v>
          </cell>
          <cell r="DE553">
            <v>164</v>
          </cell>
          <cell r="DF553">
            <v>257</v>
          </cell>
          <cell r="DG553">
            <v>199</v>
          </cell>
          <cell r="DH553">
            <v>1769</v>
          </cell>
          <cell r="DI553">
            <v>205</v>
          </cell>
          <cell r="DJ553">
            <v>209</v>
          </cell>
          <cell r="DK553">
            <v>207</v>
          </cell>
          <cell r="DL553">
            <v>168</v>
          </cell>
          <cell r="DM553">
            <v>149</v>
          </cell>
          <cell r="DN553">
            <v>113</v>
          </cell>
          <cell r="DO553">
            <v>408</v>
          </cell>
          <cell r="DP553">
            <v>158</v>
          </cell>
          <cell r="DQ553">
            <v>37</v>
          </cell>
          <cell r="DR553">
            <v>4</v>
          </cell>
          <cell r="DS553">
            <v>3</v>
          </cell>
          <cell r="DT553">
            <v>0</v>
          </cell>
          <cell r="DU553">
            <v>0</v>
          </cell>
          <cell r="DV553">
            <v>0</v>
          </cell>
          <cell r="DW553">
            <v>0</v>
          </cell>
          <cell r="DX553">
            <v>0</v>
          </cell>
          <cell r="DY553">
            <v>0</v>
          </cell>
          <cell r="DZ553">
            <v>0</v>
          </cell>
          <cell r="EA553">
            <v>0</v>
          </cell>
          <cell r="EB553">
            <v>0</v>
          </cell>
          <cell r="EC553">
            <v>0</v>
          </cell>
          <cell r="ED553">
            <v>0</v>
          </cell>
          <cell r="EE553">
            <v>0</v>
          </cell>
          <cell r="EF553">
            <v>0</v>
          </cell>
          <cell r="EG553">
            <v>0</v>
          </cell>
          <cell r="EH553">
            <v>0</v>
          </cell>
          <cell r="EI553">
            <v>0</v>
          </cell>
          <cell r="EJ553">
            <v>0</v>
          </cell>
          <cell r="EK553">
            <v>0</v>
          </cell>
          <cell r="EL553">
            <v>0</v>
          </cell>
          <cell r="EM553">
            <v>0</v>
          </cell>
          <cell r="EN553">
            <v>0</v>
          </cell>
          <cell r="EO553">
            <v>0</v>
          </cell>
          <cell r="EP553">
            <v>0</v>
          </cell>
          <cell r="EQ553">
            <v>0</v>
          </cell>
          <cell r="ER553">
            <v>0</v>
          </cell>
          <cell r="ES553">
            <v>0</v>
          </cell>
          <cell r="ET553">
            <v>0</v>
          </cell>
          <cell r="EU553">
            <v>0</v>
          </cell>
          <cell r="EV553">
            <v>0</v>
          </cell>
          <cell r="EW553">
            <v>0</v>
          </cell>
          <cell r="EX553">
            <v>0</v>
          </cell>
          <cell r="EY553">
            <v>0</v>
          </cell>
          <cell r="EZ553">
            <v>0</v>
          </cell>
          <cell r="FA553">
            <v>0</v>
          </cell>
          <cell r="FB553">
            <v>0</v>
          </cell>
          <cell r="FC553">
            <v>0</v>
          </cell>
          <cell r="FD553">
            <v>0</v>
          </cell>
          <cell r="FE553">
            <v>0</v>
          </cell>
          <cell r="FF553">
            <v>0</v>
          </cell>
          <cell r="FG553">
            <v>0</v>
          </cell>
        </row>
        <row r="554">
          <cell r="G554">
            <v>341172</v>
          </cell>
          <cell r="H554" t="str">
            <v>ARIEL 3D超濃縮抗菌洗衣膠囊(室內晾衣型)17個入</v>
          </cell>
          <cell r="N554">
            <v>145.9</v>
          </cell>
          <cell r="P554">
            <v>0</v>
          </cell>
          <cell r="Q554" t="str">
            <v>on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24657.100000000002</v>
          </cell>
          <cell r="AF554">
            <v>39538.9</v>
          </cell>
          <cell r="AG554">
            <v>25094.799999999999</v>
          </cell>
          <cell r="AH554">
            <v>21885</v>
          </cell>
          <cell r="AI554">
            <v>21447.3</v>
          </cell>
          <cell r="AJ554">
            <v>183688.1</v>
          </cell>
          <cell r="AK554">
            <v>22906.3</v>
          </cell>
          <cell r="AL554">
            <v>21447.3</v>
          </cell>
          <cell r="AM554">
            <v>24948.9</v>
          </cell>
          <cell r="AN554">
            <v>19988.3</v>
          </cell>
          <cell r="AO554">
            <v>18237.5</v>
          </cell>
          <cell r="AP554">
            <v>10504.800000000001</v>
          </cell>
          <cell r="AQ554">
            <v>58360</v>
          </cell>
          <cell r="AR554">
            <v>33119.300000000003</v>
          </cell>
          <cell r="AS554">
            <v>2042.6000000000001</v>
          </cell>
          <cell r="AT554">
            <v>145.9</v>
          </cell>
          <cell r="AU554">
            <v>291.8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0</v>
          </cell>
          <cell r="BX554">
            <v>0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D554">
            <v>0</v>
          </cell>
          <cell r="CE554">
            <v>0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0</v>
          </cell>
          <cell r="CL554">
            <v>0</v>
          </cell>
          <cell r="CM554">
            <v>0</v>
          </cell>
          <cell r="CN554">
            <v>0</v>
          </cell>
          <cell r="CO554">
            <v>0</v>
          </cell>
          <cell r="CP554">
            <v>0</v>
          </cell>
          <cell r="CQ554">
            <v>0</v>
          </cell>
          <cell r="CR554">
            <v>0</v>
          </cell>
          <cell r="CS554">
            <v>0</v>
          </cell>
          <cell r="CT554">
            <v>0</v>
          </cell>
          <cell r="CU554">
            <v>0</v>
          </cell>
          <cell r="CV554">
            <v>0</v>
          </cell>
          <cell r="CW554">
            <v>0</v>
          </cell>
          <cell r="CX554">
            <v>0</v>
          </cell>
          <cell r="CY554">
            <v>0</v>
          </cell>
          <cell r="CZ554">
            <v>0</v>
          </cell>
          <cell r="DA554">
            <v>0</v>
          </cell>
          <cell r="DB554">
            <v>0</v>
          </cell>
          <cell r="DC554">
            <v>169</v>
          </cell>
          <cell r="DD554">
            <v>271</v>
          </cell>
          <cell r="DE554">
            <v>172</v>
          </cell>
          <cell r="DF554">
            <v>150</v>
          </cell>
          <cell r="DG554">
            <v>147</v>
          </cell>
          <cell r="DH554">
            <v>1259</v>
          </cell>
          <cell r="DI554">
            <v>157</v>
          </cell>
          <cell r="DJ554">
            <v>147</v>
          </cell>
          <cell r="DK554">
            <v>171</v>
          </cell>
          <cell r="DL554">
            <v>137</v>
          </cell>
          <cell r="DM554">
            <v>125</v>
          </cell>
          <cell r="DN554">
            <v>72</v>
          </cell>
          <cell r="DO554">
            <v>400</v>
          </cell>
          <cell r="DP554">
            <v>227</v>
          </cell>
          <cell r="DQ554">
            <v>14</v>
          </cell>
          <cell r="DR554">
            <v>1</v>
          </cell>
          <cell r="DS554">
            <v>2</v>
          </cell>
          <cell r="DT554">
            <v>0</v>
          </cell>
          <cell r="DU554">
            <v>0</v>
          </cell>
          <cell r="DV554">
            <v>0</v>
          </cell>
          <cell r="DW554">
            <v>0</v>
          </cell>
          <cell r="DX554">
            <v>0</v>
          </cell>
          <cell r="DY554">
            <v>0</v>
          </cell>
          <cell r="DZ554">
            <v>0</v>
          </cell>
          <cell r="EA554">
            <v>0</v>
          </cell>
          <cell r="EB554">
            <v>0</v>
          </cell>
          <cell r="EC554">
            <v>0</v>
          </cell>
          <cell r="ED554">
            <v>0</v>
          </cell>
          <cell r="EE554">
            <v>0</v>
          </cell>
          <cell r="EF554">
            <v>0</v>
          </cell>
          <cell r="EG554">
            <v>0</v>
          </cell>
          <cell r="EH554">
            <v>0</v>
          </cell>
          <cell r="EI554">
            <v>0</v>
          </cell>
          <cell r="EJ554">
            <v>0</v>
          </cell>
          <cell r="EK554">
            <v>0</v>
          </cell>
          <cell r="EL554">
            <v>0</v>
          </cell>
          <cell r="EM554">
            <v>0</v>
          </cell>
          <cell r="EN554">
            <v>0</v>
          </cell>
          <cell r="EO554">
            <v>0</v>
          </cell>
          <cell r="EP554">
            <v>0</v>
          </cell>
          <cell r="EQ554">
            <v>0</v>
          </cell>
          <cell r="ER554">
            <v>0</v>
          </cell>
          <cell r="ES554">
            <v>0</v>
          </cell>
          <cell r="ET554">
            <v>0</v>
          </cell>
          <cell r="EU554">
            <v>0</v>
          </cell>
          <cell r="EV554">
            <v>0</v>
          </cell>
          <cell r="EW554">
            <v>0</v>
          </cell>
          <cell r="EX554">
            <v>0</v>
          </cell>
          <cell r="EY554">
            <v>0</v>
          </cell>
          <cell r="EZ554">
            <v>0</v>
          </cell>
          <cell r="FA554">
            <v>0</v>
          </cell>
          <cell r="FB554">
            <v>0</v>
          </cell>
          <cell r="FC554">
            <v>0</v>
          </cell>
          <cell r="FD554">
            <v>0</v>
          </cell>
          <cell r="FE554">
            <v>0</v>
          </cell>
          <cell r="FF554">
            <v>0</v>
          </cell>
          <cell r="FG554">
            <v>0</v>
          </cell>
        </row>
        <row r="555">
          <cell r="G555">
            <v>322931</v>
          </cell>
          <cell r="H555" t="str">
            <v>ARIEL3D抗菌抗蟎洗衣膠囊16顆盒裝</v>
          </cell>
          <cell r="N555">
            <v>145.9</v>
          </cell>
          <cell r="P555">
            <v>0</v>
          </cell>
          <cell r="Q555" t="str">
            <v>on</v>
          </cell>
          <cell r="R555">
            <v>0</v>
          </cell>
          <cell r="S555">
            <v>0</v>
          </cell>
          <cell r="T555">
            <v>0</v>
          </cell>
          <cell r="U555">
            <v>27575.100000000002</v>
          </cell>
          <cell r="V555">
            <v>46104.4</v>
          </cell>
          <cell r="W555">
            <v>43186.400000000001</v>
          </cell>
          <cell r="X555">
            <v>31368.5</v>
          </cell>
          <cell r="Y555">
            <v>32827.5</v>
          </cell>
          <cell r="Z555">
            <v>39101.200000000004</v>
          </cell>
          <cell r="AA555">
            <v>27575.100000000002</v>
          </cell>
          <cell r="AB555">
            <v>26407.9</v>
          </cell>
          <cell r="AC555">
            <v>14298.2</v>
          </cell>
          <cell r="AD555">
            <v>16632.600000000002</v>
          </cell>
          <cell r="AE555">
            <v>20571.900000000001</v>
          </cell>
          <cell r="AF555">
            <v>22468.600000000002</v>
          </cell>
          <cell r="AG555">
            <v>14590</v>
          </cell>
          <cell r="AH555">
            <v>16340.800000000001</v>
          </cell>
          <cell r="AI555">
            <v>18529.3</v>
          </cell>
          <cell r="AJ555">
            <v>71199.199999999997</v>
          </cell>
          <cell r="AK555">
            <v>10504.800000000001</v>
          </cell>
          <cell r="AL555">
            <v>12109.7</v>
          </cell>
          <cell r="AM555">
            <v>14298.2</v>
          </cell>
          <cell r="AN555">
            <v>13131</v>
          </cell>
          <cell r="AO555">
            <v>12693.300000000001</v>
          </cell>
          <cell r="AP555">
            <v>7732.7000000000007</v>
          </cell>
          <cell r="AQ555">
            <v>31514.400000000001</v>
          </cell>
          <cell r="AR555">
            <v>24657.100000000002</v>
          </cell>
          <cell r="AS555">
            <v>2188.5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  <cell r="BX555">
            <v>0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D555">
            <v>0</v>
          </cell>
          <cell r="CE555">
            <v>0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>
            <v>0</v>
          </cell>
          <cell r="CL555">
            <v>0</v>
          </cell>
          <cell r="CM555">
            <v>0</v>
          </cell>
          <cell r="CN555">
            <v>0</v>
          </cell>
          <cell r="CO555">
            <v>0</v>
          </cell>
          <cell r="CP555">
            <v>0</v>
          </cell>
          <cell r="CQ555">
            <v>0</v>
          </cell>
          <cell r="CR555">
            <v>0</v>
          </cell>
          <cell r="CS555">
            <v>189</v>
          </cell>
          <cell r="CT555">
            <v>316</v>
          </cell>
          <cell r="CU555">
            <v>296</v>
          </cell>
          <cell r="CV555">
            <v>215</v>
          </cell>
          <cell r="CW555">
            <v>225</v>
          </cell>
          <cell r="CX555">
            <v>268</v>
          </cell>
          <cell r="CY555">
            <v>189</v>
          </cell>
          <cell r="CZ555">
            <v>181</v>
          </cell>
          <cell r="DA555">
            <v>98</v>
          </cell>
          <cell r="DB555">
            <v>114</v>
          </cell>
          <cell r="DC555">
            <v>141</v>
          </cell>
          <cell r="DD555">
            <v>154</v>
          </cell>
          <cell r="DE555">
            <v>100</v>
          </cell>
          <cell r="DF555">
            <v>112</v>
          </cell>
          <cell r="DG555">
            <v>127</v>
          </cell>
          <cell r="DH555">
            <v>488</v>
          </cell>
          <cell r="DI555">
            <v>72</v>
          </cell>
          <cell r="DJ555">
            <v>83</v>
          </cell>
          <cell r="DK555">
            <v>98</v>
          </cell>
          <cell r="DL555">
            <v>90</v>
          </cell>
          <cell r="DM555">
            <v>87</v>
          </cell>
          <cell r="DN555">
            <v>53</v>
          </cell>
          <cell r="DO555">
            <v>216</v>
          </cell>
          <cell r="DP555">
            <v>169</v>
          </cell>
          <cell r="DQ555">
            <v>15</v>
          </cell>
          <cell r="DR555">
            <v>0</v>
          </cell>
          <cell r="DS555">
            <v>0</v>
          </cell>
          <cell r="DT555">
            <v>0</v>
          </cell>
          <cell r="DU555">
            <v>0</v>
          </cell>
          <cell r="DV555">
            <v>0</v>
          </cell>
          <cell r="DW555">
            <v>0</v>
          </cell>
          <cell r="DX555">
            <v>0</v>
          </cell>
          <cell r="DY555">
            <v>0</v>
          </cell>
          <cell r="DZ555">
            <v>0</v>
          </cell>
          <cell r="EA555">
            <v>0</v>
          </cell>
          <cell r="EB555">
            <v>0</v>
          </cell>
          <cell r="EC555">
            <v>0</v>
          </cell>
          <cell r="ED555">
            <v>0</v>
          </cell>
          <cell r="EE555">
            <v>0</v>
          </cell>
          <cell r="EF555">
            <v>0</v>
          </cell>
          <cell r="EG555">
            <v>0</v>
          </cell>
          <cell r="EH555">
            <v>0</v>
          </cell>
          <cell r="EI555">
            <v>0</v>
          </cell>
          <cell r="EJ555">
            <v>0</v>
          </cell>
          <cell r="EK555">
            <v>0</v>
          </cell>
          <cell r="EL555">
            <v>0</v>
          </cell>
          <cell r="EM555">
            <v>0</v>
          </cell>
          <cell r="EN555">
            <v>0</v>
          </cell>
          <cell r="EO555">
            <v>0</v>
          </cell>
          <cell r="EP555">
            <v>0</v>
          </cell>
          <cell r="EQ555">
            <v>0</v>
          </cell>
          <cell r="ER555">
            <v>0</v>
          </cell>
          <cell r="ES555">
            <v>0</v>
          </cell>
          <cell r="ET555">
            <v>0</v>
          </cell>
          <cell r="EU555">
            <v>0</v>
          </cell>
          <cell r="EV555">
            <v>0</v>
          </cell>
          <cell r="EW555">
            <v>0</v>
          </cell>
          <cell r="EX555">
            <v>0</v>
          </cell>
          <cell r="EY555">
            <v>0</v>
          </cell>
          <cell r="EZ555">
            <v>0</v>
          </cell>
          <cell r="FA555">
            <v>0</v>
          </cell>
          <cell r="FB555">
            <v>0</v>
          </cell>
          <cell r="FC555">
            <v>0</v>
          </cell>
          <cell r="FD555">
            <v>0</v>
          </cell>
          <cell r="FE555">
            <v>0</v>
          </cell>
          <cell r="FF555">
            <v>0</v>
          </cell>
          <cell r="FG555">
            <v>0</v>
          </cell>
        </row>
        <row r="556">
          <cell r="G556">
            <v>372570</v>
          </cell>
          <cell r="H556" t="str">
            <v>(M)ARIEL3D超濃縮抗菌洗衣膠囊(微香型)16個入</v>
          </cell>
          <cell r="N556">
            <v>145.9</v>
          </cell>
          <cell r="P556">
            <v>0</v>
          </cell>
          <cell r="Q556" t="str">
            <v>on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24511.200000000001</v>
          </cell>
          <cell r="AD556">
            <v>38809.4</v>
          </cell>
          <cell r="AE556">
            <v>26262</v>
          </cell>
          <cell r="AF556">
            <v>22322.7</v>
          </cell>
          <cell r="AG556">
            <v>17945.7</v>
          </cell>
          <cell r="AH556">
            <v>15757.2</v>
          </cell>
          <cell r="AI556">
            <v>11234.300000000001</v>
          </cell>
          <cell r="AJ556">
            <v>47417.5</v>
          </cell>
          <cell r="AK556">
            <v>11380.2</v>
          </cell>
          <cell r="AL556">
            <v>11963.800000000001</v>
          </cell>
          <cell r="AM556">
            <v>11088.4</v>
          </cell>
          <cell r="AN556">
            <v>15465.400000000001</v>
          </cell>
          <cell r="AO556">
            <v>10796.6</v>
          </cell>
          <cell r="AP556">
            <v>7003.2000000000007</v>
          </cell>
          <cell r="AQ556">
            <v>47563.4</v>
          </cell>
          <cell r="AR556">
            <v>23635.8</v>
          </cell>
          <cell r="AS556">
            <v>3939.3</v>
          </cell>
          <cell r="AT556">
            <v>145.9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0</v>
          </cell>
          <cell r="BX556">
            <v>0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D556">
            <v>0</v>
          </cell>
          <cell r="CE556">
            <v>0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  <cell r="CL556">
            <v>0</v>
          </cell>
          <cell r="CM556">
            <v>0</v>
          </cell>
          <cell r="CN556">
            <v>0</v>
          </cell>
          <cell r="CO556">
            <v>0</v>
          </cell>
          <cell r="CP556">
            <v>0</v>
          </cell>
          <cell r="CQ556">
            <v>0</v>
          </cell>
          <cell r="CR556">
            <v>0</v>
          </cell>
          <cell r="CS556">
            <v>0</v>
          </cell>
          <cell r="CT556">
            <v>0</v>
          </cell>
          <cell r="CU556">
            <v>0</v>
          </cell>
          <cell r="CV556">
            <v>0</v>
          </cell>
          <cell r="CW556">
            <v>0</v>
          </cell>
          <cell r="CX556">
            <v>0</v>
          </cell>
          <cell r="CY556">
            <v>0</v>
          </cell>
          <cell r="CZ556">
            <v>0</v>
          </cell>
          <cell r="DA556">
            <v>168</v>
          </cell>
          <cell r="DB556">
            <v>266</v>
          </cell>
          <cell r="DC556">
            <v>180</v>
          </cell>
          <cell r="DD556">
            <v>153</v>
          </cell>
          <cell r="DE556">
            <v>123</v>
          </cell>
          <cell r="DF556">
            <v>108</v>
          </cell>
          <cell r="DG556">
            <v>77</v>
          </cell>
          <cell r="DH556">
            <v>325</v>
          </cell>
          <cell r="DI556">
            <v>78</v>
          </cell>
          <cell r="DJ556">
            <v>82</v>
          </cell>
          <cell r="DK556">
            <v>76</v>
          </cell>
          <cell r="DL556">
            <v>106</v>
          </cell>
          <cell r="DM556">
            <v>74</v>
          </cell>
          <cell r="DN556">
            <v>48</v>
          </cell>
          <cell r="DO556">
            <v>326</v>
          </cell>
          <cell r="DP556">
            <v>162</v>
          </cell>
          <cell r="DQ556">
            <v>27</v>
          </cell>
          <cell r="DR556">
            <v>1</v>
          </cell>
          <cell r="DS556">
            <v>0</v>
          </cell>
          <cell r="DT556">
            <v>0</v>
          </cell>
          <cell r="DU556">
            <v>0</v>
          </cell>
          <cell r="DV556">
            <v>0</v>
          </cell>
          <cell r="DW556">
            <v>0</v>
          </cell>
          <cell r="DX556">
            <v>0</v>
          </cell>
          <cell r="DY556">
            <v>0</v>
          </cell>
          <cell r="DZ556">
            <v>0</v>
          </cell>
          <cell r="EA556">
            <v>0</v>
          </cell>
          <cell r="EB556">
            <v>0</v>
          </cell>
          <cell r="EC556">
            <v>0</v>
          </cell>
          <cell r="ED556">
            <v>0</v>
          </cell>
          <cell r="EE556">
            <v>0</v>
          </cell>
          <cell r="EF556">
            <v>0</v>
          </cell>
          <cell r="EG556">
            <v>0</v>
          </cell>
          <cell r="EH556">
            <v>0</v>
          </cell>
          <cell r="EI556">
            <v>0</v>
          </cell>
          <cell r="EJ556">
            <v>0</v>
          </cell>
          <cell r="EK556">
            <v>0</v>
          </cell>
          <cell r="EL556">
            <v>0</v>
          </cell>
          <cell r="EM556">
            <v>0</v>
          </cell>
          <cell r="EN556">
            <v>0</v>
          </cell>
          <cell r="EO556">
            <v>0</v>
          </cell>
          <cell r="EP556">
            <v>0</v>
          </cell>
          <cell r="EQ556">
            <v>0</v>
          </cell>
          <cell r="ER556">
            <v>0</v>
          </cell>
          <cell r="ES556">
            <v>0</v>
          </cell>
          <cell r="ET556">
            <v>0</v>
          </cell>
          <cell r="EU556">
            <v>0</v>
          </cell>
          <cell r="EV556">
            <v>0</v>
          </cell>
          <cell r="EW556">
            <v>0</v>
          </cell>
          <cell r="EX556">
            <v>0</v>
          </cell>
          <cell r="EY556">
            <v>0</v>
          </cell>
          <cell r="EZ556">
            <v>0</v>
          </cell>
          <cell r="FA556">
            <v>0</v>
          </cell>
          <cell r="FB556">
            <v>0</v>
          </cell>
          <cell r="FC556">
            <v>0</v>
          </cell>
          <cell r="FD556">
            <v>0</v>
          </cell>
          <cell r="FE556">
            <v>0</v>
          </cell>
          <cell r="FF556">
            <v>0</v>
          </cell>
          <cell r="FG556">
            <v>0</v>
          </cell>
        </row>
        <row r="557">
          <cell r="G557">
            <v>121244</v>
          </cell>
          <cell r="H557" t="str">
            <v>M)ARIEL4D抗菌洗衣膠囊(室內晾衣款)12個盒裝</v>
          </cell>
          <cell r="N557">
            <v>109.3</v>
          </cell>
          <cell r="O557">
            <v>2674.5</v>
          </cell>
          <cell r="P557">
            <v>432</v>
          </cell>
          <cell r="Q557" t="str">
            <v>on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109.3</v>
          </cell>
          <cell r="AO557">
            <v>361564.39999999997</v>
          </cell>
          <cell r="AP557">
            <v>23718.1</v>
          </cell>
          <cell r="AQ557">
            <v>21422.799999999999</v>
          </cell>
          <cell r="AR557">
            <v>20111.2</v>
          </cell>
          <cell r="AS557">
            <v>24046</v>
          </cell>
          <cell r="AT557">
            <v>17488</v>
          </cell>
          <cell r="AU557">
            <v>14536.9</v>
          </cell>
          <cell r="AV557">
            <v>331179</v>
          </cell>
          <cell r="AW557">
            <v>20220.5</v>
          </cell>
          <cell r="AX557">
            <v>19018.2</v>
          </cell>
          <cell r="AY557">
            <v>24155.3</v>
          </cell>
          <cell r="AZ557">
            <v>19892.599999999999</v>
          </cell>
          <cell r="BA557">
            <v>253466.69999999998</v>
          </cell>
          <cell r="BB557">
            <v>83505.2</v>
          </cell>
          <cell r="BC557">
            <v>20876.3</v>
          </cell>
          <cell r="BD557">
            <v>30822.6</v>
          </cell>
          <cell r="BE557">
            <v>12897.4</v>
          </cell>
          <cell r="BF557">
            <v>17706.599999999999</v>
          </cell>
          <cell r="BG557">
            <v>22187.899999999998</v>
          </cell>
          <cell r="BH557">
            <v>855928.29999999993</v>
          </cell>
          <cell r="BI557">
            <v>80554.099999999991</v>
          </cell>
          <cell r="BJ557">
            <v>18908.899999999998</v>
          </cell>
          <cell r="BK557">
            <v>17269.399999999998</v>
          </cell>
          <cell r="BL557">
            <v>49840.799999999996</v>
          </cell>
          <cell r="BM557">
            <v>69514.8</v>
          </cell>
          <cell r="BN557">
            <v>21204.2</v>
          </cell>
          <cell r="BO557">
            <v>33117.9</v>
          </cell>
          <cell r="BP557">
            <v>24483.200000000001</v>
          </cell>
          <cell r="BQ557">
            <v>12350.9</v>
          </cell>
          <cell r="BR557">
            <v>18253.099999999999</v>
          </cell>
          <cell r="BS557">
            <v>19018.2</v>
          </cell>
          <cell r="BT557">
            <v>4153.3999999999996</v>
          </cell>
          <cell r="BU557">
            <v>368668.90000000008</v>
          </cell>
          <cell r="BV557">
            <v>327.9</v>
          </cell>
          <cell r="BW557">
            <v>0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D557">
            <v>0</v>
          </cell>
          <cell r="CE557">
            <v>0</v>
          </cell>
          <cell r="CF557">
            <v>0</v>
          </cell>
          <cell r="CG557">
            <v>0</v>
          </cell>
          <cell r="CH557">
            <v>327.9</v>
          </cell>
          <cell r="CI557">
            <v>0</v>
          </cell>
          <cell r="CJ557">
            <v>0</v>
          </cell>
          <cell r="CK557">
            <v>0</v>
          </cell>
          <cell r="CL557">
            <v>0</v>
          </cell>
          <cell r="CM557">
            <v>0</v>
          </cell>
          <cell r="CN557">
            <v>0</v>
          </cell>
          <cell r="CO557">
            <v>0</v>
          </cell>
          <cell r="CP557">
            <v>0</v>
          </cell>
          <cell r="CQ557">
            <v>0</v>
          </cell>
          <cell r="CR557">
            <v>0</v>
          </cell>
          <cell r="CS557">
            <v>0</v>
          </cell>
          <cell r="CT557">
            <v>0</v>
          </cell>
          <cell r="CU557">
            <v>0</v>
          </cell>
          <cell r="CV557">
            <v>0</v>
          </cell>
          <cell r="CW557">
            <v>0</v>
          </cell>
          <cell r="CX557">
            <v>0</v>
          </cell>
          <cell r="CY557">
            <v>0</v>
          </cell>
          <cell r="CZ557">
            <v>0</v>
          </cell>
          <cell r="DA557">
            <v>0</v>
          </cell>
          <cell r="DB557">
            <v>0</v>
          </cell>
          <cell r="DC557">
            <v>0</v>
          </cell>
          <cell r="DD557">
            <v>0</v>
          </cell>
          <cell r="DE557">
            <v>0</v>
          </cell>
          <cell r="DF557">
            <v>0</v>
          </cell>
          <cell r="DG557">
            <v>0</v>
          </cell>
          <cell r="DH557">
            <v>0</v>
          </cell>
          <cell r="DI557">
            <v>0</v>
          </cell>
          <cell r="DJ557">
            <v>0</v>
          </cell>
          <cell r="DK557">
            <v>0</v>
          </cell>
          <cell r="DL557">
            <v>1</v>
          </cell>
          <cell r="DM557">
            <v>3308</v>
          </cell>
          <cell r="DN557">
            <v>217</v>
          </cell>
          <cell r="DO557">
            <v>196</v>
          </cell>
          <cell r="DP557">
            <v>184</v>
          </cell>
          <cell r="DQ557">
            <v>220</v>
          </cell>
          <cell r="DR557">
            <v>160</v>
          </cell>
          <cell r="DS557">
            <v>133</v>
          </cell>
          <cell r="DT557">
            <v>3030</v>
          </cell>
          <cell r="DU557">
            <v>185</v>
          </cell>
          <cell r="DV557">
            <v>174</v>
          </cell>
          <cell r="DW557">
            <v>221</v>
          </cell>
          <cell r="DX557">
            <v>182</v>
          </cell>
          <cell r="DY557">
            <v>2319</v>
          </cell>
          <cell r="DZ557">
            <v>764</v>
          </cell>
          <cell r="EA557">
            <v>191</v>
          </cell>
          <cell r="EB557">
            <v>282</v>
          </cell>
          <cell r="EC557">
            <v>118</v>
          </cell>
          <cell r="ED557">
            <v>162</v>
          </cell>
          <cell r="EE557">
            <v>203</v>
          </cell>
          <cell r="EF557">
            <v>7831</v>
          </cell>
          <cell r="EG557">
            <v>737</v>
          </cell>
          <cell r="EH557">
            <v>173</v>
          </cell>
          <cell r="EI557">
            <v>158</v>
          </cell>
          <cell r="EJ557">
            <v>456</v>
          </cell>
          <cell r="EK557">
            <v>636</v>
          </cell>
          <cell r="EL557">
            <v>194</v>
          </cell>
          <cell r="EM557">
            <v>303</v>
          </cell>
          <cell r="EN557">
            <v>224</v>
          </cell>
          <cell r="EO557">
            <v>113</v>
          </cell>
          <cell r="EP557">
            <v>167</v>
          </cell>
          <cell r="EQ557">
            <v>174</v>
          </cell>
          <cell r="ER557">
            <v>38</v>
          </cell>
          <cell r="ES557">
            <v>117.27748691099475</v>
          </cell>
          <cell r="ET557">
            <v>3373</v>
          </cell>
          <cell r="EU557">
            <v>3</v>
          </cell>
          <cell r="EV557">
            <v>0</v>
          </cell>
          <cell r="EW557">
            <v>0</v>
          </cell>
          <cell r="EX557">
            <v>0</v>
          </cell>
          <cell r="EY557">
            <v>0</v>
          </cell>
          <cell r="EZ557">
            <v>0</v>
          </cell>
          <cell r="FA557">
            <v>0</v>
          </cell>
          <cell r="FB557">
            <v>0</v>
          </cell>
          <cell r="FC557">
            <v>0</v>
          </cell>
          <cell r="FD557">
            <v>0</v>
          </cell>
          <cell r="FE557">
            <v>0</v>
          </cell>
          <cell r="FF557">
            <v>0</v>
          </cell>
          <cell r="FG557">
            <v>3</v>
          </cell>
          <cell r="FH557">
            <v>0</v>
          </cell>
          <cell r="FI557">
            <v>0</v>
          </cell>
          <cell r="FJ557">
            <v>0</v>
          </cell>
          <cell r="FK557">
            <v>0</v>
          </cell>
        </row>
        <row r="558">
          <cell r="G558">
            <v>121385</v>
          </cell>
          <cell r="H558" t="str">
            <v>M)ARIEL4D抗菌洗衣膠囊(抗菌去漬款)12個盒裝</v>
          </cell>
          <cell r="N558">
            <v>109.3</v>
          </cell>
          <cell r="O558">
            <v>2647.5</v>
          </cell>
          <cell r="P558">
            <v>423.8</v>
          </cell>
          <cell r="Q558" t="str">
            <v>on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765.1</v>
          </cell>
          <cell r="AO558">
            <v>329539.5</v>
          </cell>
          <cell r="AP558">
            <v>20767</v>
          </cell>
          <cell r="AQ558">
            <v>18143.8</v>
          </cell>
          <cell r="AR558">
            <v>19564.7</v>
          </cell>
          <cell r="AS558">
            <v>28964.5</v>
          </cell>
          <cell r="AT558">
            <v>17488</v>
          </cell>
          <cell r="AU558">
            <v>14755.5</v>
          </cell>
          <cell r="AV558">
            <v>302542.39999999997</v>
          </cell>
          <cell r="AW558">
            <v>16504.3</v>
          </cell>
          <cell r="AX558">
            <v>18799.599999999999</v>
          </cell>
          <cell r="AY558">
            <v>20439.099999999999</v>
          </cell>
          <cell r="AZ558">
            <v>18253.099999999999</v>
          </cell>
          <cell r="BA558">
            <v>276201.09999999998</v>
          </cell>
          <cell r="BB558">
            <v>83177.3</v>
          </cell>
          <cell r="BC558">
            <v>16832.2</v>
          </cell>
          <cell r="BD558">
            <v>30713.3</v>
          </cell>
          <cell r="BE558">
            <v>13225.3</v>
          </cell>
          <cell r="BF558">
            <v>18143.8</v>
          </cell>
          <cell r="BG558">
            <v>20876.3</v>
          </cell>
          <cell r="BH558">
            <v>835707.8</v>
          </cell>
          <cell r="BI558">
            <v>81975</v>
          </cell>
          <cell r="BJ558">
            <v>19018.2</v>
          </cell>
          <cell r="BK558">
            <v>16722.899999999998</v>
          </cell>
          <cell r="BL558">
            <v>54431.4</v>
          </cell>
          <cell r="BM558">
            <v>59459.199999999997</v>
          </cell>
          <cell r="BN558">
            <v>20767</v>
          </cell>
          <cell r="BO558">
            <v>35194.6</v>
          </cell>
          <cell r="BP558">
            <v>19455.399999999998</v>
          </cell>
          <cell r="BQ558">
            <v>10930</v>
          </cell>
          <cell r="BR558">
            <v>18143.8</v>
          </cell>
          <cell r="BS558">
            <v>14099.699999999999</v>
          </cell>
          <cell r="BT558">
            <v>4809.2</v>
          </cell>
          <cell r="BU558">
            <v>355006.4</v>
          </cell>
          <cell r="BV558">
            <v>983.69999999999993</v>
          </cell>
          <cell r="BW558">
            <v>0</v>
          </cell>
          <cell r="BX558">
            <v>0</v>
          </cell>
          <cell r="BY558">
            <v>109.3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1093</v>
          </cell>
          <cell r="CI558">
            <v>0</v>
          </cell>
          <cell r="CJ558">
            <v>0</v>
          </cell>
          <cell r="CK558">
            <v>0</v>
          </cell>
          <cell r="CL558">
            <v>0</v>
          </cell>
          <cell r="CM558">
            <v>0</v>
          </cell>
          <cell r="CN558">
            <v>0</v>
          </cell>
          <cell r="CO558">
            <v>0</v>
          </cell>
          <cell r="CP558">
            <v>0</v>
          </cell>
          <cell r="CQ558">
            <v>0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  <cell r="CV558">
            <v>0</v>
          </cell>
          <cell r="CW558">
            <v>0</v>
          </cell>
          <cell r="CX558">
            <v>0</v>
          </cell>
          <cell r="CY558">
            <v>0</v>
          </cell>
          <cell r="CZ558">
            <v>0</v>
          </cell>
          <cell r="DA558">
            <v>0</v>
          </cell>
          <cell r="DB558">
            <v>0</v>
          </cell>
          <cell r="DC558">
            <v>0</v>
          </cell>
          <cell r="DD558">
            <v>0</v>
          </cell>
          <cell r="DE558">
            <v>0</v>
          </cell>
          <cell r="DF558">
            <v>0</v>
          </cell>
          <cell r="DG558">
            <v>0</v>
          </cell>
          <cell r="DH558">
            <v>0</v>
          </cell>
          <cell r="DI558">
            <v>0</v>
          </cell>
          <cell r="DJ558">
            <v>0</v>
          </cell>
          <cell r="DK558">
            <v>0</v>
          </cell>
          <cell r="DL558">
            <v>7</v>
          </cell>
          <cell r="DM558">
            <v>3015</v>
          </cell>
          <cell r="DN558">
            <v>190</v>
          </cell>
          <cell r="DO558">
            <v>166</v>
          </cell>
          <cell r="DP558">
            <v>179</v>
          </cell>
          <cell r="DQ558">
            <v>265</v>
          </cell>
          <cell r="DR558">
            <v>160</v>
          </cell>
          <cell r="DS558">
            <v>135</v>
          </cell>
          <cell r="DT558">
            <v>2768</v>
          </cell>
          <cell r="DU558">
            <v>151</v>
          </cell>
          <cell r="DV558">
            <v>172</v>
          </cell>
          <cell r="DW558">
            <v>187</v>
          </cell>
          <cell r="DX558">
            <v>167</v>
          </cell>
          <cell r="DY558">
            <v>2527</v>
          </cell>
          <cell r="DZ558">
            <v>761</v>
          </cell>
          <cell r="EA558">
            <v>154</v>
          </cell>
          <cell r="EB558">
            <v>281</v>
          </cell>
          <cell r="EC558">
            <v>121</v>
          </cell>
          <cell r="ED558">
            <v>166</v>
          </cell>
          <cell r="EE558">
            <v>191</v>
          </cell>
          <cell r="EF558">
            <v>7646</v>
          </cell>
          <cell r="EG558">
            <v>750</v>
          </cell>
          <cell r="EH558">
            <v>174</v>
          </cell>
          <cell r="EI558">
            <v>153</v>
          </cell>
          <cell r="EJ558">
            <v>498</v>
          </cell>
          <cell r="EK558">
            <v>544</v>
          </cell>
          <cell r="EL558">
            <v>190</v>
          </cell>
          <cell r="EM558">
            <v>322</v>
          </cell>
          <cell r="EN558">
            <v>178</v>
          </cell>
          <cell r="EO558">
            <v>100</v>
          </cell>
          <cell r="EP558">
            <v>166</v>
          </cell>
          <cell r="EQ558">
            <v>129</v>
          </cell>
          <cell r="ER558">
            <v>44</v>
          </cell>
          <cell r="ES558">
            <v>115.58441558441559</v>
          </cell>
          <cell r="ET558">
            <v>3248</v>
          </cell>
          <cell r="EU558">
            <v>9</v>
          </cell>
          <cell r="EV558">
            <v>0</v>
          </cell>
          <cell r="EW558">
            <v>0</v>
          </cell>
          <cell r="EX558">
            <v>1</v>
          </cell>
          <cell r="EY558">
            <v>0</v>
          </cell>
          <cell r="EZ558">
            <v>0</v>
          </cell>
          <cell r="FA558">
            <v>0</v>
          </cell>
          <cell r="FB558">
            <v>0</v>
          </cell>
          <cell r="FC558">
            <v>0</v>
          </cell>
          <cell r="FD558">
            <v>0</v>
          </cell>
          <cell r="FE558">
            <v>0</v>
          </cell>
          <cell r="FF558">
            <v>0</v>
          </cell>
          <cell r="FG558">
            <v>10</v>
          </cell>
          <cell r="FH558">
            <v>0</v>
          </cell>
          <cell r="FI558">
            <v>0</v>
          </cell>
          <cell r="FJ558">
            <v>0</v>
          </cell>
          <cell r="FK558">
            <v>0</v>
          </cell>
        </row>
        <row r="559">
          <cell r="G559">
            <v>121495</v>
          </cell>
          <cell r="H559" t="str">
            <v>M)ARIEL4D抗菌洗衣膠囊(微香型)12個盒裝</v>
          </cell>
          <cell r="N559">
            <v>109.3</v>
          </cell>
          <cell r="O559">
            <v>2356</v>
          </cell>
          <cell r="P559">
            <v>368</v>
          </cell>
          <cell r="Q559" t="str">
            <v>on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546.5</v>
          </cell>
          <cell r="AO559">
            <v>380801.2</v>
          </cell>
          <cell r="AP559">
            <v>22187.899999999998</v>
          </cell>
          <cell r="AQ559">
            <v>19674</v>
          </cell>
          <cell r="AR559">
            <v>18690.3</v>
          </cell>
          <cell r="AS559">
            <v>27543.599999999999</v>
          </cell>
          <cell r="AT559">
            <v>15520.6</v>
          </cell>
          <cell r="AU559">
            <v>13334.6</v>
          </cell>
          <cell r="AV559">
            <v>300793.59999999998</v>
          </cell>
          <cell r="AW559">
            <v>16176.4</v>
          </cell>
          <cell r="AX559">
            <v>14755.5</v>
          </cell>
          <cell r="AY559">
            <v>22843.7</v>
          </cell>
          <cell r="AZ559">
            <v>16941.5</v>
          </cell>
          <cell r="BA559">
            <v>214228</v>
          </cell>
          <cell r="BB559">
            <v>79133.2</v>
          </cell>
          <cell r="BC559">
            <v>17925.2</v>
          </cell>
          <cell r="BD559">
            <v>30713.3</v>
          </cell>
          <cell r="BE559">
            <v>13553.199999999999</v>
          </cell>
          <cell r="BF559">
            <v>15083.4</v>
          </cell>
          <cell r="BG559">
            <v>21532.1</v>
          </cell>
          <cell r="BH559">
            <v>763679.09999999986</v>
          </cell>
          <cell r="BI559">
            <v>73012.399999999994</v>
          </cell>
          <cell r="BJ559">
            <v>16722.899999999998</v>
          </cell>
          <cell r="BK559">
            <v>17160.099999999999</v>
          </cell>
          <cell r="BL559">
            <v>46124.6</v>
          </cell>
          <cell r="BM559">
            <v>48092</v>
          </cell>
          <cell r="BN559">
            <v>19892.599999999999</v>
          </cell>
          <cell r="BO559">
            <v>26997.1</v>
          </cell>
          <cell r="BP559">
            <v>21422.799999999999</v>
          </cell>
          <cell r="BQ559">
            <v>11148.6</v>
          </cell>
          <cell r="BR559">
            <v>17706.599999999999</v>
          </cell>
          <cell r="BS559">
            <v>18471.7</v>
          </cell>
          <cell r="BT559">
            <v>4372</v>
          </cell>
          <cell r="BU559">
            <v>321123.39999999997</v>
          </cell>
          <cell r="BV559">
            <v>3606.9</v>
          </cell>
          <cell r="BW559">
            <v>1858.1</v>
          </cell>
          <cell r="BX559">
            <v>109.3</v>
          </cell>
          <cell r="BY559">
            <v>218.6</v>
          </cell>
          <cell r="BZ559">
            <v>0</v>
          </cell>
          <cell r="CA559">
            <v>10274.199999999999</v>
          </cell>
          <cell r="CB559">
            <v>28527.3</v>
          </cell>
          <cell r="CC559">
            <v>221113.9</v>
          </cell>
          <cell r="CD559">
            <v>55961.599999999999</v>
          </cell>
          <cell r="CE559">
            <v>10164.9</v>
          </cell>
          <cell r="CF559">
            <v>28745.899999999998</v>
          </cell>
          <cell r="CG559">
            <v>28855.200000000001</v>
          </cell>
          <cell r="CH559">
            <v>389435.9</v>
          </cell>
          <cell r="CI559">
            <v>11367.199999999999</v>
          </cell>
          <cell r="CJ559">
            <v>15739.199999999999</v>
          </cell>
          <cell r="CK559">
            <v>23936.7</v>
          </cell>
          <cell r="CL559">
            <v>16067.1</v>
          </cell>
          <cell r="CM559">
            <v>9618.4</v>
          </cell>
          <cell r="CN559">
            <v>874.4</v>
          </cell>
          <cell r="CO559">
            <v>3872.3428571428572</v>
          </cell>
          <cell r="CP559">
            <v>0</v>
          </cell>
          <cell r="CQ559">
            <v>0</v>
          </cell>
          <cell r="CR559">
            <v>0</v>
          </cell>
          <cell r="CS559">
            <v>0</v>
          </cell>
          <cell r="CT559">
            <v>0</v>
          </cell>
          <cell r="CU559">
            <v>0</v>
          </cell>
          <cell r="CV559">
            <v>0</v>
          </cell>
          <cell r="CW559">
            <v>0</v>
          </cell>
          <cell r="CX559">
            <v>0</v>
          </cell>
          <cell r="CY559">
            <v>0</v>
          </cell>
          <cell r="CZ559">
            <v>0</v>
          </cell>
          <cell r="DA559">
            <v>0</v>
          </cell>
          <cell r="DB559">
            <v>0</v>
          </cell>
          <cell r="DC559">
            <v>0</v>
          </cell>
          <cell r="DD559">
            <v>0</v>
          </cell>
          <cell r="DE559">
            <v>0</v>
          </cell>
          <cell r="DF559">
            <v>0</v>
          </cell>
          <cell r="DG559">
            <v>0</v>
          </cell>
          <cell r="DH559">
            <v>0</v>
          </cell>
          <cell r="DI559">
            <v>0</v>
          </cell>
          <cell r="DJ559">
            <v>0</v>
          </cell>
          <cell r="DK559">
            <v>0</v>
          </cell>
          <cell r="DL559">
            <v>5</v>
          </cell>
          <cell r="DM559">
            <v>3484</v>
          </cell>
          <cell r="DN559">
            <v>203</v>
          </cell>
          <cell r="DO559">
            <v>180</v>
          </cell>
          <cell r="DP559">
            <v>171</v>
          </cell>
          <cell r="DQ559">
            <v>252</v>
          </cell>
          <cell r="DR559">
            <v>142</v>
          </cell>
          <cell r="DS559">
            <v>122</v>
          </cell>
          <cell r="DT559">
            <v>2752</v>
          </cell>
          <cell r="DU559">
            <v>148</v>
          </cell>
          <cell r="DV559">
            <v>135</v>
          </cell>
          <cell r="DW559">
            <v>209</v>
          </cell>
          <cell r="DX559">
            <v>155</v>
          </cell>
          <cell r="DY559">
            <v>1960</v>
          </cell>
          <cell r="DZ559">
            <v>724</v>
          </cell>
          <cell r="EA559">
            <v>164</v>
          </cell>
          <cell r="EB559">
            <v>281</v>
          </cell>
          <cell r="EC559">
            <v>124</v>
          </cell>
          <cell r="ED559">
            <v>138</v>
          </cell>
          <cell r="EE559">
            <v>197</v>
          </cell>
          <cell r="EF559">
            <v>6987</v>
          </cell>
          <cell r="EG559">
            <v>668</v>
          </cell>
          <cell r="EH559">
            <v>153</v>
          </cell>
          <cell r="EI559">
            <v>157</v>
          </cell>
          <cell r="EJ559">
            <v>422</v>
          </cell>
          <cell r="EK559">
            <v>440</v>
          </cell>
          <cell r="EL559">
            <v>182</v>
          </cell>
          <cell r="EM559">
            <v>247</v>
          </cell>
          <cell r="EN559">
            <v>196</v>
          </cell>
          <cell r="EO559">
            <v>102</v>
          </cell>
          <cell r="EP559">
            <v>162</v>
          </cell>
          <cell r="EQ559">
            <v>169</v>
          </cell>
          <cell r="ER559">
            <v>40</v>
          </cell>
          <cell r="ES559">
            <v>119.51219512195121</v>
          </cell>
          <cell r="ET559">
            <v>2938</v>
          </cell>
          <cell r="EU559">
            <v>33</v>
          </cell>
          <cell r="EV559">
            <v>17</v>
          </cell>
          <cell r="EW559">
            <v>1</v>
          </cell>
          <cell r="EX559">
            <v>2</v>
          </cell>
          <cell r="EY559">
            <v>0</v>
          </cell>
          <cell r="EZ559">
            <v>94</v>
          </cell>
          <cell r="FA559">
            <v>261</v>
          </cell>
          <cell r="FB559">
            <v>2023</v>
          </cell>
          <cell r="FC559">
            <v>512</v>
          </cell>
          <cell r="FD559">
            <v>93</v>
          </cell>
          <cell r="FE559">
            <v>263</v>
          </cell>
          <cell r="FF559">
            <v>264</v>
          </cell>
          <cell r="FG559">
            <v>3563</v>
          </cell>
          <cell r="FH559">
            <v>104</v>
          </cell>
          <cell r="FI559">
            <v>144</v>
          </cell>
          <cell r="FJ559">
            <v>219</v>
          </cell>
          <cell r="FK559">
            <v>147</v>
          </cell>
          <cell r="FL559">
            <v>88</v>
          </cell>
        </row>
        <row r="560">
          <cell r="G560">
            <v>224569</v>
          </cell>
          <cell r="H560" t="str">
            <v>M)ARIEL 4D抗菌洗衣膠囊11顆盒裝-室內晾衣款</v>
          </cell>
          <cell r="N560">
            <v>109.3</v>
          </cell>
          <cell r="Q560" t="str">
            <v>on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7213.8</v>
          </cell>
          <cell r="BN560">
            <v>25466.899999999998</v>
          </cell>
          <cell r="BO560">
            <v>38910.799999999996</v>
          </cell>
          <cell r="BP560">
            <v>20439.099999999999</v>
          </cell>
          <cell r="BQ560">
            <v>12678.8</v>
          </cell>
          <cell r="BR560">
            <v>24046</v>
          </cell>
          <cell r="BS560">
            <v>44703.7</v>
          </cell>
          <cell r="BT560">
            <v>25466.899999999998</v>
          </cell>
          <cell r="BU560">
            <v>198926</v>
          </cell>
          <cell r="BV560">
            <v>22297.200000000001</v>
          </cell>
          <cell r="BW560">
            <v>34101.599999999999</v>
          </cell>
          <cell r="BX560">
            <v>16395</v>
          </cell>
          <cell r="BY560">
            <v>119355.59999999999</v>
          </cell>
          <cell r="BZ560">
            <v>537756</v>
          </cell>
          <cell r="CA560">
            <v>91265.5</v>
          </cell>
          <cell r="CB560">
            <v>43501.4</v>
          </cell>
          <cell r="CC560">
            <v>36724.799999999996</v>
          </cell>
          <cell r="CD560">
            <v>17597.3</v>
          </cell>
          <cell r="CE560">
            <v>28418</v>
          </cell>
          <cell r="CF560">
            <v>16067.1</v>
          </cell>
          <cell r="CG560">
            <v>4590.5999999999995</v>
          </cell>
          <cell r="CH560">
            <v>968070.10000000009</v>
          </cell>
          <cell r="CI560">
            <v>874.4</v>
          </cell>
          <cell r="CJ560">
            <v>874.4</v>
          </cell>
          <cell r="CK560">
            <v>109.3</v>
          </cell>
          <cell r="CL560">
            <v>109.3</v>
          </cell>
          <cell r="CM560">
            <v>0</v>
          </cell>
          <cell r="CN560">
            <v>0</v>
          </cell>
          <cell r="CO560">
            <v>0</v>
          </cell>
          <cell r="CP560">
            <v>0</v>
          </cell>
          <cell r="CQ560">
            <v>0</v>
          </cell>
          <cell r="CR560">
            <v>0</v>
          </cell>
          <cell r="CS560">
            <v>0</v>
          </cell>
          <cell r="CT560">
            <v>0</v>
          </cell>
          <cell r="CU560">
            <v>0</v>
          </cell>
          <cell r="CV560">
            <v>0</v>
          </cell>
          <cell r="CW560">
            <v>0</v>
          </cell>
          <cell r="CX560">
            <v>0</v>
          </cell>
          <cell r="CY560">
            <v>0</v>
          </cell>
          <cell r="CZ560">
            <v>0</v>
          </cell>
          <cell r="DA560">
            <v>0</v>
          </cell>
          <cell r="DB560">
            <v>0</v>
          </cell>
          <cell r="DC560">
            <v>0</v>
          </cell>
          <cell r="DD560">
            <v>0</v>
          </cell>
          <cell r="DE560">
            <v>0</v>
          </cell>
          <cell r="DF560">
            <v>0</v>
          </cell>
          <cell r="DG560">
            <v>0</v>
          </cell>
          <cell r="DH560">
            <v>0</v>
          </cell>
          <cell r="DI560">
            <v>0</v>
          </cell>
          <cell r="DJ560">
            <v>0</v>
          </cell>
          <cell r="DK560">
            <v>0</v>
          </cell>
          <cell r="DL560">
            <v>0</v>
          </cell>
          <cell r="DM560">
            <v>0</v>
          </cell>
          <cell r="DN560">
            <v>0</v>
          </cell>
          <cell r="DO560">
            <v>0</v>
          </cell>
          <cell r="DP560">
            <v>0</v>
          </cell>
          <cell r="DQ560">
            <v>0</v>
          </cell>
          <cell r="DR560">
            <v>0</v>
          </cell>
          <cell r="DS560">
            <v>0</v>
          </cell>
          <cell r="DT560">
            <v>0</v>
          </cell>
          <cell r="DU560">
            <v>0</v>
          </cell>
          <cell r="DV560">
            <v>0</v>
          </cell>
          <cell r="DW560">
            <v>0</v>
          </cell>
          <cell r="DX560">
            <v>0</v>
          </cell>
          <cell r="DY560">
            <v>0</v>
          </cell>
          <cell r="DZ560">
            <v>0</v>
          </cell>
          <cell r="EA560">
            <v>0</v>
          </cell>
          <cell r="EB560">
            <v>0</v>
          </cell>
          <cell r="EC560">
            <v>0</v>
          </cell>
          <cell r="ED560">
            <v>0</v>
          </cell>
          <cell r="EE560">
            <v>0</v>
          </cell>
          <cell r="EF560">
            <v>0</v>
          </cell>
          <cell r="EG560">
            <v>0</v>
          </cell>
          <cell r="EH560">
            <v>0</v>
          </cell>
          <cell r="EI560">
            <v>0</v>
          </cell>
          <cell r="EJ560">
            <v>0</v>
          </cell>
          <cell r="EK560">
            <v>66</v>
          </cell>
          <cell r="EL560">
            <v>233</v>
          </cell>
          <cell r="EM560">
            <v>356</v>
          </cell>
          <cell r="EN560">
            <v>187</v>
          </cell>
          <cell r="EO560">
            <v>116</v>
          </cell>
          <cell r="EP560">
            <v>220</v>
          </cell>
          <cell r="EQ560">
            <v>409</v>
          </cell>
          <cell r="ER560">
            <v>233</v>
          </cell>
          <cell r="ES560">
            <v>0</v>
          </cell>
          <cell r="ET560">
            <v>1820</v>
          </cell>
          <cell r="EU560">
            <v>204</v>
          </cell>
          <cell r="EV560">
            <v>312</v>
          </cell>
          <cell r="EW560">
            <v>150</v>
          </cell>
          <cell r="EX560">
            <v>1092</v>
          </cell>
          <cell r="EY560">
            <v>4920</v>
          </cell>
          <cell r="EZ560">
            <v>835</v>
          </cell>
          <cell r="FA560">
            <v>398</v>
          </cell>
          <cell r="FB560">
            <v>336</v>
          </cell>
          <cell r="FC560">
            <v>161</v>
          </cell>
          <cell r="FD560">
            <v>260</v>
          </cell>
          <cell r="FE560">
            <v>147</v>
          </cell>
          <cell r="FF560">
            <v>42</v>
          </cell>
          <cell r="FG560">
            <v>8857</v>
          </cell>
          <cell r="FH560">
            <v>8</v>
          </cell>
          <cell r="FI560">
            <v>8</v>
          </cell>
          <cell r="FJ560">
            <v>1</v>
          </cell>
          <cell r="FK560">
            <v>1</v>
          </cell>
        </row>
        <row r="561">
          <cell r="G561">
            <v>224684</v>
          </cell>
          <cell r="H561" t="str">
            <v>M)ARIEL 4D抗菌洗衣膠囊11顆盒裝-抗菌去漬款</v>
          </cell>
          <cell r="N561">
            <v>109.3</v>
          </cell>
          <cell r="Q561" t="str">
            <v>on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11913.699999999999</v>
          </cell>
          <cell r="BN561">
            <v>26341.3</v>
          </cell>
          <cell r="BO561">
            <v>43938.6</v>
          </cell>
          <cell r="BP561">
            <v>17706.599999999999</v>
          </cell>
          <cell r="BQ561">
            <v>13881.1</v>
          </cell>
          <cell r="BR561">
            <v>26232</v>
          </cell>
          <cell r="BS561">
            <v>51261.7</v>
          </cell>
          <cell r="BT561">
            <v>28964.5</v>
          </cell>
          <cell r="BU561">
            <v>220239.5</v>
          </cell>
          <cell r="BV561">
            <v>33664.400000000001</v>
          </cell>
          <cell r="BW561">
            <v>43282.799999999996</v>
          </cell>
          <cell r="BX561">
            <v>18799.599999999999</v>
          </cell>
          <cell r="BY561">
            <v>137608.69999999998</v>
          </cell>
          <cell r="BZ561">
            <v>559288.1</v>
          </cell>
          <cell r="CA561">
            <v>105255.9</v>
          </cell>
          <cell r="CB561">
            <v>49403.6</v>
          </cell>
          <cell r="CC561">
            <v>37380.6</v>
          </cell>
          <cell r="CD561">
            <v>14755.5</v>
          </cell>
          <cell r="CE561">
            <v>24920.399999999998</v>
          </cell>
          <cell r="CF561">
            <v>14536.9</v>
          </cell>
          <cell r="CG561">
            <v>2841.7999999999997</v>
          </cell>
          <cell r="CH561">
            <v>1041738.3</v>
          </cell>
          <cell r="CI561">
            <v>874.4</v>
          </cell>
          <cell r="CJ561">
            <v>437.2</v>
          </cell>
          <cell r="CK561">
            <v>327.9</v>
          </cell>
          <cell r="CL561">
            <v>0</v>
          </cell>
          <cell r="CM561">
            <v>0</v>
          </cell>
          <cell r="CN561">
            <v>0</v>
          </cell>
          <cell r="CO561">
            <v>0</v>
          </cell>
          <cell r="CP561">
            <v>0</v>
          </cell>
          <cell r="CQ561">
            <v>0</v>
          </cell>
          <cell r="CR561">
            <v>0</v>
          </cell>
          <cell r="CS561">
            <v>0</v>
          </cell>
          <cell r="CT561">
            <v>0</v>
          </cell>
          <cell r="CU561">
            <v>0</v>
          </cell>
          <cell r="CV561">
            <v>0</v>
          </cell>
          <cell r="CW561">
            <v>0</v>
          </cell>
          <cell r="CX561">
            <v>0</v>
          </cell>
          <cell r="CY561">
            <v>0</v>
          </cell>
          <cell r="CZ561">
            <v>0</v>
          </cell>
          <cell r="DA561">
            <v>0</v>
          </cell>
          <cell r="DB561">
            <v>0</v>
          </cell>
          <cell r="DC561">
            <v>0</v>
          </cell>
          <cell r="DD561">
            <v>0</v>
          </cell>
          <cell r="DE561">
            <v>0</v>
          </cell>
          <cell r="DF561">
            <v>0</v>
          </cell>
          <cell r="DG561">
            <v>0</v>
          </cell>
          <cell r="DH561">
            <v>0</v>
          </cell>
          <cell r="DI561">
            <v>0</v>
          </cell>
          <cell r="DJ561">
            <v>0</v>
          </cell>
          <cell r="DK561">
            <v>0</v>
          </cell>
          <cell r="DL561">
            <v>0</v>
          </cell>
          <cell r="DM561">
            <v>0</v>
          </cell>
          <cell r="DN561">
            <v>0</v>
          </cell>
          <cell r="DO561">
            <v>0</v>
          </cell>
          <cell r="DP561">
            <v>0</v>
          </cell>
          <cell r="DQ561">
            <v>0</v>
          </cell>
          <cell r="DR561">
            <v>0</v>
          </cell>
          <cell r="DS561">
            <v>0</v>
          </cell>
          <cell r="DT561">
            <v>0</v>
          </cell>
          <cell r="DU561">
            <v>0</v>
          </cell>
          <cell r="DV561">
            <v>0</v>
          </cell>
          <cell r="DW561">
            <v>0</v>
          </cell>
          <cell r="DX561">
            <v>0</v>
          </cell>
          <cell r="DY561">
            <v>0</v>
          </cell>
          <cell r="DZ561">
            <v>0</v>
          </cell>
          <cell r="EA561">
            <v>0</v>
          </cell>
          <cell r="EB561">
            <v>0</v>
          </cell>
          <cell r="EC561">
            <v>0</v>
          </cell>
          <cell r="ED561">
            <v>0</v>
          </cell>
          <cell r="EE561">
            <v>0</v>
          </cell>
          <cell r="EF561">
            <v>0</v>
          </cell>
          <cell r="EG561">
            <v>0</v>
          </cell>
          <cell r="EH561">
            <v>0</v>
          </cell>
          <cell r="EI561">
            <v>0</v>
          </cell>
          <cell r="EJ561">
            <v>0</v>
          </cell>
          <cell r="EK561">
            <v>109</v>
          </cell>
          <cell r="EL561">
            <v>241</v>
          </cell>
          <cell r="EM561">
            <v>402</v>
          </cell>
          <cell r="EN561">
            <v>162</v>
          </cell>
          <cell r="EO561">
            <v>127</v>
          </cell>
          <cell r="EP561">
            <v>240</v>
          </cell>
          <cell r="EQ561">
            <v>469</v>
          </cell>
          <cell r="ER561">
            <v>265</v>
          </cell>
          <cell r="ES561">
            <v>0</v>
          </cell>
          <cell r="ET561">
            <v>2015</v>
          </cell>
          <cell r="EU561">
            <v>308</v>
          </cell>
          <cell r="EV561">
            <v>396</v>
          </cell>
          <cell r="EW561">
            <v>172</v>
          </cell>
          <cell r="EX561">
            <v>1259</v>
          </cell>
          <cell r="EY561">
            <v>5117</v>
          </cell>
          <cell r="EZ561">
            <v>963</v>
          </cell>
          <cell r="FA561">
            <v>452</v>
          </cell>
          <cell r="FB561">
            <v>342</v>
          </cell>
          <cell r="FC561">
            <v>135</v>
          </cell>
          <cell r="FD561">
            <v>228</v>
          </cell>
          <cell r="FE561">
            <v>133</v>
          </cell>
          <cell r="FF561">
            <v>26</v>
          </cell>
          <cell r="FG561">
            <v>9531</v>
          </cell>
          <cell r="FH561">
            <v>8</v>
          </cell>
          <cell r="FI561">
            <v>4</v>
          </cell>
          <cell r="FJ561">
            <v>3</v>
          </cell>
          <cell r="FK561">
            <v>0</v>
          </cell>
        </row>
        <row r="562">
          <cell r="G562">
            <v>224814</v>
          </cell>
          <cell r="H562" t="str">
            <v>M)ARIEL 4D抗菌洗衣膠囊12顆盒裝-微香型</v>
          </cell>
          <cell r="N562">
            <v>109.3</v>
          </cell>
          <cell r="Q562" t="str">
            <v>on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11585.8</v>
          </cell>
          <cell r="BN562">
            <v>19346.099999999999</v>
          </cell>
          <cell r="BO562">
            <v>38910.799999999996</v>
          </cell>
          <cell r="BP562">
            <v>18690.3</v>
          </cell>
          <cell r="BQ562">
            <v>12569.5</v>
          </cell>
          <cell r="BR562">
            <v>24483.200000000001</v>
          </cell>
          <cell r="BS562">
            <v>45687.4</v>
          </cell>
          <cell r="BT562">
            <v>21204.2</v>
          </cell>
          <cell r="BU562">
            <v>192477.30000000002</v>
          </cell>
          <cell r="BV562">
            <v>21204.2</v>
          </cell>
          <cell r="BW562">
            <v>30822.6</v>
          </cell>
          <cell r="BX562">
            <v>13006.699999999999</v>
          </cell>
          <cell r="BY562">
            <v>19018.2</v>
          </cell>
          <cell r="BZ562">
            <v>40659.599999999999</v>
          </cell>
          <cell r="CA562">
            <v>21313.5</v>
          </cell>
          <cell r="CB562">
            <v>10274.199999999999</v>
          </cell>
          <cell r="CC562">
            <v>4590.5999999999995</v>
          </cell>
          <cell r="CD562">
            <v>546.5</v>
          </cell>
          <cell r="CE562">
            <v>0</v>
          </cell>
          <cell r="CF562">
            <v>0</v>
          </cell>
          <cell r="CG562">
            <v>0</v>
          </cell>
          <cell r="CH562">
            <v>161436.1</v>
          </cell>
          <cell r="CI562">
            <v>0</v>
          </cell>
          <cell r="CJ562">
            <v>0</v>
          </cell>
          <cell r="CK562">
            <v>0</v>
          </cell>
          <cell r="CL562">
            <v>0</v>
          </cell>
          <cell r="CM562">
            <v>0</v>
          </cell>
          <cell r="CN562">
            <v>0</v>
          </cell>
          <cell r="CO562">
            <v>0</v>
          </cell>
          <cell r="CP562">
            <v>0</v>
          </cell>
          <cell r="CQ562">
            <v>0</v>
          </cell>
          <cell r="CR562">
            <v>0</v>
          </cell>
          <cell r="CS562">
            <v>0</v>
          </cell>
          <cell r="CT562">
            <v>0</v>
          </cell>
          <cell r="CU562">
            <v>0</v>
          </cell>
          <cell r="CV562">
            <v>0</v>
          </cell>
          <cell r="CW562">
            <v>0</v>
          </cell>
          <cell r="CX562">
            <v>0</v>
          </cell>
          <cell r="CY562">
            <v>0</v>
          </cell>
          <cell r="CZ562">
            <v>0</v>
          </cell>
          <cell r="DA562">
            <v>0</v>
          </cell>
          <cell r="DB562">
            <v>0</v>
          </cell>
          <cell r="DC562">
            <v>0</v>
          </cell>
          <cell r="DD562">
            <v>0</v>
          </cell>
          <cell r="DE562">
            <v>0</v>
          </cell>
          <cell r="DF562">
            <v>0</v>
          </cell>
          <cell r="DG562">
            <v>0</v>
          </cell>
          <cell r="DH562">
            <v>0</v>
          </cell>
          <cell r="DI562">
            <v>0</v>
          </cell>
          <cell r="DJ562">
            <v>0</v>
          </cell>
          <cell r="DK562">
            <v>0</v>
          </cell>
          <cell r="DL562">
            <v>0</v>
          </cell>
          <cell r="DM562">
            <v>0</v>
          </cell>
          <cell r="DN562">
            <v>0</v>
          </cell>
          <cell r="DO562">
            <v>0</v>
          </cell>
          <cell r="DP562">
            <v>0</v>
          </cell>
          <cell r="DQ562">
            <v>0</v>
          </cell>
          <cell r="DR562">
            <v>0</v>
          </cell>
          <cell r="DS562">
            <v>0</v>
          </cell>
          <cell r="DT562">
            <v>0</v>
          </cell>
          <cell r="DU562">
            <v>0</v>
          </cell>
          <cell r="DV562">
            <v>0</v>
          </cell>
          <cell r="DW562">
            <v>0</v>
          </cell>
          <cell r="DX562">
            <v>0</v>
          </cell>
          <cell r="DY562">
            <v>0</v>
          </cell>
          <cell r="DZ562">
            <v>0</v>
          </cell>
          <cell r="EA562">
            <v>0</v>
          </cell>
          <cell r="EB562">
            <v>0</v>
          </cell>
          <cell r="EC562">
            <v>0</v>
          </cell>
          <cell r="ED562">
            <v>0</v>
          </cell>
          <cell r="EE562">
            <v>0</v>
          </cell>
          <cell r="EF562">
            <v>0</v>
          </cell>
          <cell r="EG562">
            <v>0</v>
          </cell>
          <cell r="EH562">
            <v>0</v>
          </cell>
          <cell r="EI562">
            <v>0</v>
          </cell>
          <cell r="EJ562">
            <v>0</v>
          </cell>
          <cell r="EK562">
            <v>106</v>
          </cell>
          <cell r="EL562">
            <v>177</v>
          </cell>
          <cell r="EM562">
            <v>356</v>
          </cell>
          <cell r="EN562">
            <v>171</v>
          </cell>
          <cell r="EO562">
            <v>115</v>
          </cell>
          <cell r="EP562">
            <v>224</v>
          </cell>
          <cell r="EQ562">
            <v>418</v>
          </cell>
          <cell r="ER562">
            <v>194</v>
          </cell>
          <cell r="ES562">
            <v>0</v>
          </cell>
          <cell r="ET562">
            <v>1761</v>
          </cell>
          <cell r="EU562">
            <v>194</v>
          </cell>
          <cell r="EV562">
            <v>282</v>
          </cell>
          <cell r="EW562">
            <v>119</v>
          </cell>
          <cell r="EX562">
            <v>174</v>
          </cell>
          <cell r="EY562">
            <v>372</v>
          </cell>
          <cell r="EZ562">
            <v>195</v>
          </cell>
          <cell r="FA562">
            <v>94</v>
          </cell>
          <cell r="FB562">
            <v>42</v>
          </cell>
          <cell r="FC562">
            <v>5</v>
          </cell>
          <cell r="FD562">
            <v>0</v>
          </cell>
          <cell r="FE562">
            <v>0</v>
          </cell>
          <cell r="FF562">
            <v>0</v>
          </cell>
          <cell r="FG562">
            <v>1477</v>
          </cell>
          <cell r="FH562">
            <v>0</v>
          </cell>
          <cell r="FI562">
            <v>0</v>
          </cell>
          <cell r="FJ562">
            <v>0</v>
          </cell>
          <cell r="FK562">
            <v>0</v>
          </cell>
        </row>
        <row r="563">
          <cell r="G563">
            <v>232960</v>
          </cell>
          <cell r="H563" t="str">
            <v>M)ARIEL 4D抗菌洗衣膠囊7顆裝-抗菌去漬款</v>
          </cell>
          <cell r="N563">
            <v>65.314999999999998</v>
          </cell>
          <cell r="Q563" t="str">
            <v>on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317039.01</v>
          </cell>
          <cell r="BQ563">
            <v>181053.18</v>
          </cell>
          <cell r="BR563">
            <v>24427.809999999998</v>
          </cell>
          <cell r="BS563">
            <v>269032.48499999999</v>
          </cell>
          <cell r="BT563">
            <v>229647.53999999998</v>
          </cell>
          <cell r="BU563">
            <v>1021200.0249999999</v>
          </cell>
          <cell r="BV563">
            <v>38666.479999999996</v>
          </cell>
          <cell r="BW563">
            <v>37556.125</v>
          </cell>
          <cell r="BX563">
            <v>22337.73</v>
          </cell>
          <cell r="BY563">
            <v>32004.35</v>
          </cell>
          <cell r="BZ563">
            <v>17896.309999999998</v>
          </cell>
          <cell r="CA563">
            <v>13585.52</v>
          </cell>
          <cell r="CB563">
            <v>11887.33</v>
          </cell>
          <cell r="CC563">
            <v>6858.0749999999998</v>
          </cell>
          <cell r="CD563">
            <v>849.09500000000003</v>
          </cell>
          <cell r="CE563">
            <v>130.63</v>
          </cell>
          <cell r="CF563">
            <v>0</v>
          </cell>
          <cell r="CG563">
            <v>0</v>
          </cell>
          <cell r="CH563">
            <v>181771.64499999999</v>
          </cell>
          <cell r="CI563">
            <v>0</v>
          </cell>
          <cell r="CJ563">
            <v>0</v>
          </cell>
          <cell r="CK563">
            <v>0</v>
          </cell>
          <cell r="CL563">
            <v>0</v>
          </cell>
          <cell r="CM563">
            <v>0</v>
          </cell>
          <cell r="CN563">
            <v>0</v>
          </cell>
          <cell r="CO563">
            <v>0</v>
          </cell>
          <cell r="EN563">
            <v>4854</v>
          </cell>
          <cell r="EO563">
            <v>2772</v>
          </cell>
          <cell r="EP563">
            <v>374</v>
          </cell>
          <cell r="EQ563">
            <v>4119</v>
          </cell>
          <cell r="ER563">
            <v>3516</v>
          </cell>
          <cell r="ES563">
            <v>0</v>
          </cell>
          <cell r="ET563">
            <v>15635</v>
          </cell>
          <cell r="EU563">
            <v>592</v>
          </cell>
          <cell r="EV563">
            <v>575</v>
          </cell>
          <cell r="EW563">
            <v>342</v>
          </cell>
          <cell r="EX563">
            <v>490</v>
          </cell>
          <cell r="EY563">
            <v>274</v>
          </cell>
          <cell r="EZ563">
            <v>208</v>
          </cell>
          <cell r="FA563">
            <v>182</v>
          </cell>
          <cell r="FB563">
            <v>105</v>
          </cell>
          <cell r="FC563">
            <v>13</v>
          </cell>
          <cell r="FD563">
            <v>2</v>
          </cell>
          <cell r="FE563">
            <v>0</v>
          </cell>
          <cell r="FF563">
            <v>0</v>
          </cell>
          <cell r="FG563">
            <v>2783</v>
          </cell>
          <cell r="FH563">
            <v>0</v>
          </cell>
          <cell r="FI563">
            <v>0</v>
          </cell>
          <cell r="FJ563">
            <v>0</v>
          </cell>
          <cell r="FK563">
            <v>0</v>
          </cell>
        </row>
        <row r="564">
          <cell r="G564">
            <v>121463</v>
          </cell>
          <cell r="H564" t="str">
            <v>M)ARIEL4D抗菌抗蟎洗衣膠囊12個盒裝</v>
          </cell>
          <cell r="N564">
            <v>109.3</v>
          </cell>
          <cell r="O564">
            <v>195</v>
          </cell>
          <cell r="P564">
            <v>175</v>
          </cell>
          <cell r="Q564" t="str">
            <v>on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546.5</v>
          </cell>
          <cell r="AO564">
            <v>354897.1</v>
          </cell>
          <cell r="AP564">
            <v>19018.2</v>
          </cell>
          <cell r="AQ564">
            <v>14864.8</v>
          </cell>
          <cell r="AR564">
            <v>18362.399999999998</v>
          </cell>
          <cell r="AS564">
            <v>23718.1</v>
          </cell>
          <cell r="AT564">
            <v>15302</v>
          </cell>
          <cell r="AU564">
            <v>13553.199999999999</v>
          </cell>
          <cell r="AV564">
            <v>321669.89999999997</v>
          </cell>
          <cell r="AW564">
            <v>15848.5</v>
          </cell>
          <cell r="AX564">
            <v>17488</v>
          </cell>
          <cell r="AY564">
            <v>20220.5</v>
          </cell>
          <cell r="AZ564">
            <v>19564.7</v>
          </cell>
          <cell r="BA564">
            <v>34101.599999999999</v>
          </cell>
          <cell r="BB564">
            <v>21750.7</v>
          </cell>
          <cell r="BC564">
            <v>27106.399999999998</v>
          </cell>
          <cell r="BD564">
            <v>57710.400000000001</v>
          </cell>
          <cell r="BE564">
            <v>30822.6</v>
          </cell>
          <cell r="BF564">
            <v>29073.8</v>
          </cell>
          <cell r="BG564">
            <v>33008.6</v>
          </cell>
          <cell r="BH564">
            <v>628365.69999999995</v>
          </cell>
          <cell r="BI564">
            <v>22953</v>
          </cell>
          <cell r="BJ564">
            <v>19127.5</v>
          </cell>
          <cell r="BK564">
            <v>13225.3</v>
          </cell>
          <cell r="BL564">
            <v>17488</v>
          </cell>
          <cell r="BM564">
            <v>22843.7</v>
          </cell>
          <cell r="BN564">
            <v>25576.2</v>
          </cell>
          <cell r="BO564">
            <v>21094.899999999998</v>
          </cell>
          <cell r="BP564">
            <v>23499.5</v>
          </cell>
          <cell r="BQ564">
            <v>16613.599999999999</v>
          </cell>
          <cell r="BR564">
            <v>18143.8</v>
          </cell>
          <cell r="BS564">
            <v>18908.899999999998</v>
          </cell>
          <cell r="BT564">
            <v>13334.6</v>
          </cell>
          <cell r="BU564">
            <v>232809</v>
          </cell>
          <cell r="BV564">
            <v>14209</v>
          </cell>
          <cell r="BW564">
            <v>14755.5</v>
          </cell>
          <cell r="BX564">
            <v>12788.1</v>
          </cell>
          <cell r="BY564">
            <v>18143.8</v>
          </cell>
          <cell r="BZ564">
            <v>31150.5</v>
          </cell>
          <cell r="CA564">
            <v>10930</v>
          </cell>
          <cell r="CB564">
            <v>4044.1</v>
          </cell>
          <cell r="CC564">
            <v>1639.5</v>
          </cell>
          <cell r="CD564">
            <v>218.6</v>
          </cell>
          <cell r="CE564">
            <v>218.6</v>
          </cell>
          <cell r="CF564">
            <v>218.6</v>
          </cell>
          <cell r="CG564">
            <v>0</v>
          </cell>
          <cell r="CH564">
            <v>108316.30000000002</v>
          </cell>
          <cell r="CI564">
            <v>0</v>
          </cell>
          <cell r="CJ564">
            <v>218.6</v>
          </cell>
          <cell r="CK564">
            <v>0</v>
          </cell>
          <cell r="CL564">
            <v>0</v>
          </cell>
          <cell r="CM564">
            <v>0</v>
          </cell>
          <cell r="CN564">
            <v>0</v>
          </cell>
          <cell r="CO564">
            <v>0</v>
          </cell>
          <cell r="CP564">
            <v>0</v>
          </cell>
          <cell r="CQ564">
            <v>0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0</v>
          </cell>
          <cell r="DA564">
            <v>0</v>
          </cell>
          <cell r="DB564">
            <v>0</v>
          </cell>
          <cell r="DC564">
            <v>0</v>
          </cell>
          <cell r="DD564">
            <v>0</v>
          </cell>
          <cell r="DE564">
            <v>0</v>
          </cell>
          <cell r="DF564">
            <v>0</v>
          </cell>
          <cell r="DG564">
            <v>0</v>
          </cell>
          <cell r="DH564">
            <v>0</v>
          </cell>
          <cell r="DI564">
            <v>0</v>
          </cell>
          <cell r="DJ564">
            <v>0</v>
          </cell>
          <cell r="DK564">
            <v>0</v>
          </cell>
          <cell r="DL564">
            <v>5</v>
          </cell>
          <cell r="DM564">
            <v>3247</v>
          </cell>
          <cell r="DN564">
            <v>174</v>
          </cell>
          <cell r="DO564">
            <v>136</v>
          </cell>
          <cell r="DP564">
            <v>168</v>
          </cell>
          <cell r="DQ564">
            <v>217</v>
          </cell>
          <cell r="DR564">
            <v>140</v>
          </cell>
          <cell r="DS564">
            <v>124</v>
          </cell>
          <cell r="DT564">
            <v>2943</v>
          </cell>
          <cell r="DU564">
            <v>145</v>
          </cell>
          <cell r="DV564">
            <v>160</v>
          </cell>
          <cell r="DW564">
            <v>185</v>
          </cell>
          <cell r="DX564">
            <v>179</v>
          </cell>
          <cell r="DY564">
            <v>312</v>
          </cell>
          <cell r="DZ564">
            <v>199</v>
          </cell>
          <cell r="EA564">
            <v>248</v>
          </cell>
          <cell r="EB564">
            <v>528</v>
          </cell>
          <cell r="EC564">
            <v>282</v>
          </cell>
          <cell r="ED564">
            <v>266</v>
          </cell>
          <cell r="EE564">
            <v>302</v>
          </cell>
          <cell r="EF564">
            <v>5749</v>
          </cell>
          <cell r="EG564">
            <v>210</v>
          </cell>
          <cell r="EH564">
            <v>175</v>
          </cell>
          <cell r="EI564">
            <v>121</v>
          </cell>
          <cell r="EJ564">
            <v>160</v>
          </cell>
          <cell r="EK564">
            <v>209</v>
          </cell>
          <cell r="EL564">
            <v>234</v>
          </cell>
          <cell r="EM564">
            <v>193</v>
          </cell>
          <cell r="EN564">
            <v>215</v>
          </cell>
          <cell r="EO564">
            <v>152</v>
          </cell>
          <cell r="EP564">
            <v>166</v>
          </cell>
          <cell r="EQ564">
            <v>173</v>
          </cell>
          <cell r="ER564">
            <v>122</v>
          </cell>
          <cell r="ES564">
            <v>86.693548387096769</v>
          </cell>
          <cell r="ET564">
            <v>2130</v>
          </cell>
          <cell r="EU564">
            <v>130</v>
          </cell>
          <cell r="EV564">
            <v>135</v>
          </cell>
          <cell r="EW564">
            <v>117</v>
          </cell>
          <cell r="EX564">
            <v>166</v>
          </cell>
          <cell r="EY564">
            <v>285</v>
          </cell>
          <cell r="EZ564">
            <v>100</v>
          </cell>
          <cell r="FA564">
            <v>37</v>
          </cell>
          <cell r="FB564">
            <v>15</v>
          </cell>
          <cell r="FC564">
            <v>2</v>
          </cell>
          <cell r="FD564">
            <v>2</v>
          </cell>
          <cell r="FE564">
            <v>2</v>
          </cell>
          <cell r="FF564">
            <v>0</v>
          </cell>
          <cell r="FG564">
            <v>991</v>
          </cell>
          <cell r="FH564">
            <v>0</v>
          </cell>
          <cell r="FI564">
            <v>2</v>
          </cell>
          <cell r="FJ564">
            <v>0</v>
          </cell>
          <cell r="FK564">
            <v>0</v>
          </cell>
        </row>
        <row r="565">
          <cell r="G565">
            <v>737283</v>
          </cell>
          <cell r="H565" t="str">
            <v>Ariel3D洗衣膠囊18顆袋裝</v>
          </cell>
          <cell r="N565">
            <v>131.30000000000001</v>
          </cell>
          <cell r="P565">
            <v>0</v>
          </cell>
          <cell r="Q565" t="str">
            <v>on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0</v>
          </cell>
          <cell r="BW565">
            <v>0</v>
          </cell>
          <cell r="BX565">
            <v>0</v>
          </cell>
          <cell r="BY565">
            <v>0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D565">
            <v>0</v>
          </cell>
          <cell r="CE565">
            <v>0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  <cell r="CL565">
            <v>0</v>
          </cell>
          <cell r="CM565">
            <v>0</v>
          </cell>
          <cell r="CN565">
            <v>0</v>
          </cell>
          <cell r="CO565">
            <v>0</v>
          </cell>
          <cell r="CP565">
            <v>0</v>
          </cell>
          <cell r="CQ565">
            <v>0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0</v>
          </cell>
          <cell r="DA565">
            <v>0</v>
          </cell>
          <cell r="DB565">
            <v>0</v>
          </cell>
          <cell r="DC565">
            <v>0</v>
          </cell>
          <cell r="DD565">
            <v>0</v>
          </cell>
          <cell r="DE565">
            <v>0</v>
          </cell>
          <cell r="DF565">
            <v>0</v>
          </cell>
          <cell r="DG565">
            <v>0</v>
          </cell>
          <cell r="DH565">
            <v>0</v>
          </cell>
          <cell r="DI565">
            <v>0</v>
          </cell>
          <cell r="DJ565">
            <v>0</v>
          </cell>
          <cell r="DK565">
            <v>0</v>
          </cell>
          <cell r="DL565">
            <v>0</v>
          </cell>
          <cell r="DM565">
            <v>0</v>
          </cell>
          <cell r="DN565">
            <v>0</v>
          </cell>
          <cell r="DO565">
            <v>0</v>
          </cell>
          <cell r="DP565">
            <v>0</v>
          </cell>
          <cell r="DQ565">
            <v>0</v>
          </cell>
          <cell r="DR565">
            <v>0</v>
          </cell>
          <cell r="DS565">
            <v>0</v>
          </cell>
          <cell r="DT565">
            <v>0</v>
          </cell>
          <cell r="DU565">
            <v>0</v>
          </cell>
          <cell r="DV565">
            <v>0</v>
          </cell>
          <cell r="DW565">
            <v>0</v>
          </cell>
          <cell r="DX565">
            <v>0</v>
          </cell>
          <cell r="DY565">
            <v>0</v>
          </cell>
          <cell r="DZ565">
            <v>0</v>
          </cell>
          <cell r="EA565">
            <v>0</v>
          </cell>
          <cell r="EB565">
            <v>0</v>
          </cell>
          <cell r="EC565">
            <v>0</v>
          </cell>
          <cell r="ED565">
            <v>0</v>
          </cell>
          <cell r="EE565">
            <v>0</v>
          </cell>
          <cell r="EF565">
            <v>0</v>
          </cell>
          <cell r="EG565">
            <v>0</v>
          </cell>
          <cell r="EH565">
            <v>0</v>
          </cell>
          <cell r="EI565">
            <v>0</v>
          </cell>
          <cell r="EJ565">
            <v>0</v>
          </cell>
          <cell r="EK565">
            <v>0</v>
          </cell>
          <cell r="EL565">
            <v>0</v>
          </cell>
          <cell r="EM565">
            <v>0</v>
          </cell>
          <cell r="EN565">
            <v>0</v>
          </cell>
          <cell r="EO565">
            <v>0</v>
          </cell>
          <cell r="EP565">
            <v>0</v>
          </cell>
          <cell r="EQ565">
            <v>0</v>
          </cell>
          <cell r="ER565">
            <v>0</v>
          </cell>
          <cell r="ES565">
            <v>0</v>
          </cell>
          <cell r="ET565">
            <v>0</v>
          </cell>
          <cell r="EU565">
            <v>0</v>
          </cell>
          <cell r="EV565">
            <v>0</v>
          </cell>
          <cell r="EW565">
            <v>0</v>
          </cell>
          <cell r="EX565">
            <v>0</v>
          </cell>
          <cell r="EY565">
            <v>0</v>
          </cell>
          <cell r="EZ565">
            <v>0</v>
          </cell>
          <cell r="FA565">
            <v>0</v>
          </cell>
          <cell r="FB565">
            <v>0</v>
          </cell>
          <cell r="FC565">
            <v>0</v>
          </cell>
          <cell r="FD565">
            <v>0</v>
          </cell>
          <cell r="FE565">
            <v>0</v>
          </cell>
          <cell r="FF565">
            <v>0</v>
          </cell>
          <cell r="FG565">
            <v>0</v>
          </cell>
        </row>
        <row r="566">
          <cell r="G566">
            <v>737267</v>
          </cell>
          <cell r="H566" t="str">
            <v>Ariel3D洗衣膠囊18顆盒裝</v>
          </cell>
          <cell r="N566">
            <v>145.9</v>
          </cell>
          <cell r="P566">
            <v>0</v>
          </cell>
          <cell r="Q566" t="str">
            <v>on</v>
          </cell>
          <cell r="R566">
            <v>56463.3</v>
          </cell>
          <cell r="S566">
            <v>36475</v>
          </cell>
          <cell r="T566">
            <v>24657.100000000002</v>
          </cell>
          <cell r="U566">
            <v>92354.7</v>
          </cell>
          <cell r="V566">
            <v>45812.6</v>
          </cell>
          <cell r="W566">
            <v>20134.2</v>
          </cell>
          <cell r="X566">
            <v>77618.8</v>
          </cell>
          <cell r="Y566">
            <v>21885</v>
          </cell>
          <cell r="Z566">
            <v>15611.300000000001</v>
          </cell>
          <cell r="AA566">
            <v>25386.600000000002</v>
          </cell>
          <cell r="AB566">
            <v>26407.9</v>
          </cell>
          <cell r="AC566">
            <v>23781.7</v>
          </cell>
          <cell r="AD566">
            <v>9045.8000000000011</v>
          </cell>
          <cell r="AE566">
            <v>1459</v>
          </cell>
          <cell r="AF566">
            <v>291.8</v>
          </cell>
          <cell r="AG566">
            <v>437.70000000000005</v>
          </cell>
          <cell r="AH566">
            <v>0</v>
          </cell>
          <cell r="AI566">
            <v>0</v>
          </cell>
          <cell r="AJ566">
            <v>291.8</v>
          </cell>
          <cell r="AK566">
            <v>145.9</v>
          </cell>
          <cell r="AL566">
            <v>145.9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0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  <cell r="CE566">
            <v>0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  <cell r="CL566">
            <v>0</v>
          </cell>
          <cell r="CM566">
            <v>0</v>
          </cell>
          <cell r="CN566">
            <v>0</v>
          </cell>
          <cell r="CO566">
            <v>0</v>
          </cell>
          <cell r="CP566">
            <v>387</v>
          </cell>
          <cell r="CQ566">
            <v>250</v>
          </cell>
          <cell r="CR566">
            <v>169</v>
          </cell>
          <cell r="CS566">
            <v>633</v>
          </cell>
          <cell r="CT566">
            <v>314</v>
          </cell>
          <cell r="CU566">
            <v>138</v>
          </cell>
          <cell r="CV566">
            <v>532</v>
          </cell>
          <cell r="CW566">
            <v>150</v>
          </cell>
          <cell r="CX566">
            <v>107</v>
          </cell>
          <cell r="CY566">
            <v>174</v>
          </cell>
          <cell r="CZ566">
            <v>181</v>
          </cell>
          <cell r="DA566">
            <v>163</v>
          </cell>
          <cell r="DB566">
            <v>62</v>
          </cell>
          <cell r="DC566">
            <v>10</v>
          </cell>
          <cell r="DD566">
            <v>2</v>
          </cell>
          <cell r="DE566">
            <v>3</v>
          </cell>
          <cell r="DF566">
            <v>0</v>
          </cell>
          <cell r="DG566">
            <v>0</v>
          </cell>
          <cell r="DH566">
            <v>2</v>
          </cell>
          <cell r="DI566">
            <v>1</v>
          </cell>
          <cell r="DJ566">
            <v>1</v>
          </cell>
          <cell r="DK566">
            <v>0</v>
          </cell>
          <cell r="DL566">
            <v>0</v>
          </cell>
          <cell r="DM566">
            <v>0</v>
          </cell>
          <cell r="DN566">
            <v>0</v>
          </cell>
          <cell r="DO566">
            <v>0</v>
          </cell>
          <cell r="DP566">
            <v>0</v>
          </cell>
          <cell r="DQ566">
            <v>0</v>
          </cell>
          <cell r="DR566">
            <v>0</v>
          </cell>
          <cell r="DS566">
            <v>0</v>
          </cell>
          <cell r="DT566">
            <v>0</v>
          </cell>
          <cell r="DU566">
            <v>0</v>
          </cell>
          <cell r="DV566">
            <v>0</v>
          </cell>
          <cell r="DW566">
            <v>0</v>
          </cell>
          <cell r="DX566">
            <v>0</v>
          </cell>
          <cell r="DY566">
            <v>0</v>
          </cell>
          <cell r="DZ566">
            <v>0</v>
          </cell>
          <cell r="EA566">
            <v>0</v>
          </cell>
          <cell r="EB566">
            <v>0</v>
          </cell>
          <cell r="EC566">
            <v>0</v>
          </cell>
          <cell r="ED566">
            <v>0</v>
          </cell>
          <cell r="EE566">
            <v>0</v>
          </cell>
          <cell r="EF566">
            <v>0</v>
          </cell>
          <cell r="EG566">
            <v>0</v>
          </cell>
          <cell r="EH566">
            <v>0</v>
          </cell>
          <cell r="EI566">
            <v>0</v>
          </cell>
          <cell r="EJ566">
            <v>0</v>
          </cell>
          <cell r="EK566">
            <v>0</v>
          </cell>
          <cell r="EL566">
            <v>0</v>
          </cell>
          <cell r="EM566">
            <v>0</v>
          </cell>
          <cell r="EN566">
            <v>0</v>
          </cell>
          <cell r="EO566">
            <v>0</v>
          </cell>
          <cell r="EP566">
            <v>0</v>
          </cell>
          <cell r="EQ566">
            <v>0</v>
          </cell>
          <cell r="ER566">
            <v>0</v>
          </cell>
          <cell r="ES566">
            <v>0</v>
          </cell>
          <cell r="ET566">
            <v>0</v>
          </cell>
          <cell r="EU566">
            <v>0</v>
          </cell>
          <cell r="EV566">
            <v>0</v>
          </cell>
          <cell r="EW566">
            <v>0</v>
          </cell>
          <cell r="EX566">
            <v>0</v>
          </cell>
          <cell r="EY566">
            <v>0</v>
          </cell>
          <cell r="EZ566">
            <v>0</v>
          </cell>
          <cell r="FA566">
            <v>0</v>
          </cell>
          <cell r="FB566">
            <v>0</v>
          </cell>
          <cell r="FC566">
            <v>0</v>
          </cell>
          <cell r="FD566">
            <v>0</v>
          </cell>
          <cell r="FE566">
            <v>0</v>
          </cell>
          <cell r="FF566">
            <v>0</v>
          </cell>
          <cell r="FG566">
            <v>0</v>
          </cell>
        </row>
        <row r="567">
          <cell r="G567">
            <v>293635</v>
          </cell>
          <cell r="H567" t="str">
            <v>Ariel3D洗衣膠囊18顆盒裝(室內晾乾型)</v>
          </cell>
          <cell r="N567">
            <v>145.9</v>
          </cell>
          <cell r="P567">
            <v>0</v>
          </cell>
          <cell r="Q567" t="str">
            <v>on</v>
          </cell>
          <cell r="R567">
            <v>43186.400000000001</v>
          </cell>
          <cell r="S567">
            <v>28888.2</v>
          </cell>
          <cell r="T567">
            <v>23198.100000000002</v>
          </cell>
          <cell r="U567">
            <v>80390.900000000009</v>
          </cell>
          <cell r="V567">
            <v>36183.200000000004</v>
          </cell>
          <cell r="W567">
            <v>17216.2</v>
          </cell>
          <cell r="X567">
            <v>65509.100000000006</v>
          </cell>
          <cell r="Y567">
            <v>11672</v>
          </cell>
          <cell r="Z567">
            <v>11817.9</v>
          </cell>
          <cell r="AA567">
            <v>26991.5</v>
          </cell>
          <cell r="AB567">
            <v>28304.600000000002</v>
          </cell>
          <cell r="AC567">
            <v>20717.8</v>
          </cell>
          <cell r="AD567">
            <v>10504.800000000001</v>
          </cell>
          <cell r="AE567">
            <v>2918</v>
          </cell>
          <cell r="AF567">
            <v>1604.9</v>
          </cell>
          <cell r="AG567">
            <v>291.8</v>
          </cell>
          <cell r="AH567">
            <v>145.9</v>
          </cell>
          <cell r="AI567">
            <v>145.9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0</v>
          </cell>
          <cell r="BW567">
            <v>0</v>
          </cell>
          <cell r="BX567">
            <v>0</v>
          </cell>
          <cell r="BY567">
            <v>0</v>
          </cell>
          <cell r="BZ567">
            <v>0</v>
          </cell>
          <cell r="CA567">
            <v>0</v>
          </cell>
          <cell r="CB567">
            <v>0</v>
          </cell>
          <cell r="CC567">
            <v>0</v>
          </cell>
          <cell r="CD567">
            <v>0</v>
          </cell>
          <cell r="CE567">
            <v>0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  <cell r="CL567">
            <v>0</v>
          </cell>
          <cell r="CM567">
            <v>0</v>
          </cell>
          <cell r="CN567">
            <v>0</v>
          </cell>
          <cell r="CO567">
            <v>0</v>
          </cell>
          <cell r="CP567">
            <v>296</v>
          </cell>
          <cell r="CQ567">
            <v>198</v>
          </cell>
          <cell r="CR567">
            <v>159</v>
          </cell>
          <cell r="CS567">
            <v>551</v>
          </cell>
          <cell r="CT567">
            <v>248</v>
          </cell>
          <cell r="CU567">
            <v>118</v>
          </cell>
          <cell r="CV567">
            <v>449</v>
          </cell>
          <cell r="CW567">
            <v>80</v>
          </cell>
          <cell r="CX567">
            <v>81</v>
          </cell>
          <cell r="CY567">
            <v>185</v>
          </cell>
          <cell r="CZ567">
            <v>194</v>
          </cell>
          <cell r="DA567">
            <v>142</v>
          </cell>
          <cell r="DB567">
            <v>72</v>
          </cell>
          <cell r="DC567">
            <v>20</v>
          </cell>
          <cell r="DD567">
            <v>11</v>
          </cell>
          <cell r="DE567">
            <v>2</v>
          </cell>
          <cell r="DF567">
            <v>1</v>
          </cell>
          <cell r="DG567">
            <v>1</v>
          </cell>
          <cell r="DH567">
            <v>0</v>
          </cell>
          <cell r="DI567">
            <v>0</v>
          </cell>
          <cell r="DJ567">
            <v>0</v>
          </cell>
          <cell r="DK567">
            <v>0</v>
          </cell>
          <cell r="DL567">
            <v>0</v>
          </cell>
          <cell r="DM567">
            <v>0</v>
          </cell>
          <cell r="DN567">
            <v>0</v>
          </cell>
          <cell r="DO567">
            <v>0</v>
          </cell>
          <cell r="DP567">
            <v>0</v>
          </cell>
          <cell r="DQ567">
            <v>0</v>
          </cell>
          <cell r="DR567">
            <v>0</v>
          </cell>
          <cell r="DS567">
            <v>0</v>
          </cell>
          <cell r="DT567">
            <v>0</v>
          </cell>
          <cell r="DU567">
            <v>0</v>
          </cell>
          <cell r="DV567">
            <v>0</v>
          </cell>
          <cell r="DW567">
            <v>0</v>
          </cell>
          <cell r="DX567">
            <v>0</v>
          </cell>
          <cell r="DY567">
            <v>0</v>
          </cell>
          <cell r="DZ567">
            <v>0</v>
          </cell>
          <cell r="EA567">
            <v>0</v>
          </cell>
          <cell r="EB567">
            <v>0</v>
          </cell>
          <cell r="EC567">
            <v>0</v>
          </cell>
          <cell r="ED567">
            <v>0</v>
          </cell>
          <cell r="EE567">
            <v>0</v>
          </cell>
          <cell r="EF567">
            <v>0</v>
          </cell>
          <cell r="EG567">
            <v>0</v>
          </cell>
          <cell r="EH567">
            <v>0</v>
          </cell>
          <cell r="EI567">
            <v>0</v>
          </cell>
          <cell r="EJ567">
            <v>0</v>
          </cell>
          <cell r="EK567">
            <v>0</v>
          </cell>
          <cell r="EL567">
            <v>0</v>
          </cell>
          <cell r="EM567">
            <v>0</v>
          </cell>
          <cell r="EN567">
            <v>0</v>
          </cell>
          <cell r="EO567">
            <v>0</v>
          </cell>
          <cell r="EP567">
            <v>0</v>
          </cell>
          <cell r="EQ567">
            <v>0</v>
          </cell>
          <cell r="ER567">
            <v>0</v>
          </cell>
          <cell r="ES567">
            <v>0</v>
          </cell>
          <cell r="ET567">
            <v>0</v>
          </cell>
          <cell r="EU567">
            <v>0</v>
          </cell>
          <cell r="EV567">
            <v>0</v>
          </cell>
          <cell r="EW567">
            <v>0</v>
          </cell>
          <cell r="EX567">
            <v>0</v>
          </cell>
          <cell r="EY567">
            <v>0</v>
          </cell>
          <cell r="EZ567">
            <v>0</v>
          </cell>
          <cell r="FA567">
            <v>0</v>
          </cell>
          <cell r="FB567">
            <v>0</v>
          </cell>
          <cell r="FC567">
            <v>0</v>
          </cell>
          <cell r="FD567">
            <v>0</v>
          </cell>
          <cell r="FE567">
            <v>0</v>
          </cell>
          <cell r="FF567">
            <v>0</v>
          </cell>
          <cell r="FG567">
            <v>0</v>
          </cell>
        </row>
        <row r="568">
          <cell r="G568">
            <v>372541</v>
          </cell>
          <cell r="H568" t="str">
            <v>(M)ARIEL3D超濃縮抗菌洗衣膠囊30顆袋裝-微香型</v>
          </cell>
          <cell r="N568">
            <v>219.29999999999998</v>
          </cell>
          <cell r="P568">
            <v>0</v>
          </cell>
          <cell r="Q568" t="str">
            <v>on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59430.299999999996</v>
          </cell>
          <cell r="AD568">
            <v>107895.59999999999</v>
          </cell>
          <cell r="AE568">
            <v>83772.599999999991</v>
          </cell>
          <cell r="AF568">
            <v>91886.7</v>
          </cell>
          <cell r="AG568">
            <v>81360.299999999988</v>
          </cell>
          <cell r="AH568">
            <v>57456.6</v>
          </cell>
          <cell r="AI568">
            <v>384652.19999999995</v>
          </cell>
          <cell r="AJ568">
            <v>201536.69999999998</v>
          </cell>
          <cell r="AK568">
            <v>62061.899999999994</v>
          </cell>
          <cell r="AL568">
            <v>100439.4</v>
          </cell>
          <cell r="AM568">
            <v>115132.49999999999</v>
          </cell>
          <cell r="AN568">
            <v>130483.49999999999</v>
          </cell>
          <cell r="AO568">
            <v>88377.9</v>
          </cell>
          <cell r="AP568">
            <v>48465.299999999996</v>
          </cell>
          <cell r="AQ568">
            <v>23903.699999999997</v>
          </cell>
          <cell r="AR568">
            <v>21052.799999999999</v>
          </cell>
          <cell r="AS568">
            <v>31798.499999999996</v>
          </cell>
          <cell r="AT568">
            <v>15570.3</v>
          </cell>
          <cell r="AU568">
            <v>1535.1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V568">
            <v>0</v>
          </cell>
          <cell r="BW568">
            <v>0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  <cell r="CE568">
            <v>0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  <cell r="CL568">
            <v>0</v>
          </cell>
          <cell r="CM568">
            <v>0</v>
          </cell>
          <cell r="CN568">
            <v>0</v>
          </cell>
          <cell r="CO568">
            <v>0</v>
          </cell>
          <cell r="CP568">
            <v>0</v>
          </cell>
          <cell r="CQ568">
            <v>0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0</v>
          </cell>
          <cell r="DA568">
            <v>271</v>
          </cell>
          <cell r="DB568">
            <v>492</v>
          </cell>
          <cell r="DC568">
            <v>382</v>
          </cell>
          <cell r="DD568">
            <v>419</v>
          </cell>
          <cell r="DE568">
            <v>371</v>
          </cell>
          <cell r="DF568">
            <v>262</v>
          </cell>
          <cell r="DG568">
            <v>1754</v>
          </cell>
          <cell r="DH568">
            <v>919</v>
          </cell>
          <cell r="DI568">
            <v>283</v>
          </cell>
          <cell r="DJ568">
            <v>458</v>
          </cell>
          <cell r="DK568">
            <v>525</v>
          </cell>
          <cell r="DL568">
            <v>595</v>
          </cell>
          <cell r="DM568">
            <v>403</v>
          </cell>
          <cell r="DN568">
            <v>221</v>
          </cell>
          <cell r="DO568">
            <v>109</v>
          </cell>
          <cell r="DP568">
            <v>96</v>
          </cell>
          <cell r="DQ568">
            <v>145</v>
          </cell>
          <cell r="DR568">
            <v>71</v>
          </cell>
          <cell r="DS568">
            <v>7</v>
          </cell>
          <cell r="DT568">
            <v>0</v>
          </cell>
          <cell r="DU568">
            <v>0</v>
          </cell>
          <cell r="DV568">
            <v>0</v>
          </cell>
          <cell r="DW568">
            <v>0</v>
          </cell>
          <cell r="DX568">
            <v>0</v>
          </cell>
          <cell r="DY568">
            <v>0</v>
          </cell>
          <cell r="DZ568">
            <v>0</v>
          </cell>
          <cell r="EA568">
            <v>0</v>
          </cell>
          <cell r="EB568">
            <v>0</v>
          </cell>
          <cell r="EC568">
            <v>0</v>
          </cell>
          <cell r="ED568">
            <v>0</v>
          </cell>
          <cell r="EE568">
            <v>0</v>
          </cell>
          <cell r="EF568">
            <v>0</v>
          </cell>
          <cell r="EG568">
            <v>0</v>
          </cell>
          <cell r="EH568">
            <v>0</v>
          </cell>
          <cell r="EI568">
            <v>0</v>
          </cell>
          <cell r="EJ568">
            <v>0</v>
          </cell>
          <cell r="EK568">
            <v>0</v>
          </cell>
          <cell r="EL568">
            <v>0</v>
          </cell>
          <cell r="EM568">
            <v>0</v>
          </cell>
          <cell r="EN568">
            <v>0</v>
          </cell>
          <cell r="EO568">
            <v>0</v>
          </cell>
          <cell r="EP568">
            <v>0</v>
          </cell>
          <cell r="EQ568">
            <v>0</v>
          </cell>
          <cell r="ER568">
            <v>0</v>
          </cell>
          <cell r="ES568">
            <v>0</v>
          </cell>
          <cell r="ET568">
            <v>0</v>
          </cell>
          <cell r="EU568">
            <v>0</v>
          </cell>
          <cell r="EV568">
            <v>0</v>
          </cell>
          <cell r="EW568">
            <v>0</v>
          </cell>
          <cell r="EX568">
            <v>0</v>
          </cell>
          <cell r="EY568">
            <v>0</v>
          </cell>
          <cell r="EZ568">
            <v>0</v>
          </cell>
          <cell r="FA568">
            <v>0</v>
          </cell>
          <cell r="FB568">
            <v>0</v>
          </cell>
          <cell r="FC568">
            <v>0</v>
          </cell>
          <cell r="FD568">
            <v>0</v>
          </cell>
          <cell r="FE568">
            <v>0</v>
          </cell>
          <cell r="FF568">
            <v>0</v>
          </cell>
          <cell r="FG568">
            <v>0</v>
          </cell>
        </row>
        <row r="569">
          <cell r="G569">
            <v>372554</v>
          </cell>
          <cell r="H569" t="str">
            <v>(M)ARIEL3D超濃縮抗菌洗衣膠囊32顆袋裝-室晾款</v>
          </cell>
          <cell r="N569">
            <v>219.29999999999998</v>
          </cell>
          <cell r="P569">
            <v>0</v>
          </cell>
          <cell r="Q569" t="str">
            <v>on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67983</v>
          </cell>
          <cell r="AD569">
            <v>137501.09999999998</v>
          </cell>
          <cell r="AE569">
            <v>108114.9</v>
          </cell>
          <cell r="AF569">
            <v>142545</v>
          </cell>
          <cell r="AG569">
            <v>134211.59999999998</v>
          </cell>
          <cell r="AH569">
            <v>104386.79999999999</v>
          </cell>
          <cell r="AI569">
            <v>69079.5</v>
          </cell>
          <cell r="AJ569">
            <v>76755</v>
          </cell>
          <cell r="AK569">
            <v>53728.499999999993</v>
          </cell>
          <cell r="AL569">
            <v>85527</v>
          </cell>
          <cell r="AM569">
            <v>140132.69999999998</v>
          </cell>
          <cell r="AN569">
            <v>161843.4</v>
          </cell>
          <cell r="AO569">
            <v>117983.4</v>
          </cell>
          <cell r="AP569">
            <v>41228.399999999994</v>
          </cell>
          <cell r="AQ569">
            <v>15789.599999999999</v>
          </cell>
          <cell r="AR569">
            <v>7675.4999999999991</v>
          </cell>
          <cell r="AS569">
            <v>40351.199999999997</v>
          </cell>
          <cell r="AT569">
            <v>10745.699999999999</v>
          </cell>
          <cell r="AU569">
            <v>1754.3999999999999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V569">
            <v>0</v>
          </cell>
          <cell r="BW569">
            <v>0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  <cell r="CL569">
            <v>0</v>
          </cell>
          <cell r="CM569">
            <v>0</v>
          </cell>
          <cell r="CN569">
            <v>0</v>
          </cell>
          <cell r="CO569">
            <v>0</v>
          </cell>
          <cell r="CP569">
            <v>0</v>
          </cell>
          <cell r="CQ569">
            <v>0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0</v>
          </cell>
          <cell r="DA569">
            <v>310</v>
          </cell>
          <cell r="DB569">
            <v>627</v>
          </cell>
          <cell r="DC569">
            <v>493</v>
          </cell>
          <cell r="DD569">
            <v>650</v>
          </cell>
          <cell r="DE569">
            <v>612</v>
          </cell>
          <cell r="DF569">
            <v>476</v>
          </cell>
          <cell r="DG569">
            <v>315</v>
          </cell>
          <cell r="DH569">
            <v>350</v>
          </cell>
          <cell r="DI569">
            <v>245</v>
          </cell>
          <cell r="DJ569">
            <v>390</v>
          </cell>
          <cell r="DK569">
            <v>639</v>
          </cell>
          <cell r="DL569">
            <v>738</v>
          </cell>
          <cell r="DM569">
            <v>538</v>
          </cell>
          <cell r="DN569">
            <v>188</v>
          </cell>
          <cell r="DO569">
            <v>72</v>
          </cell>
          <cell r="DP569">
            <v>35</v>
          </cell>
          <cell r="DQ569">
            <v>184</v>
          </cell>
          <cell r="DR569">
            <v>49</v>
          </cell>
          <cell r="DS569">
            <v>8</v>
          </cell>
          <cell r="DT569">
            <v>0</v>
          </cell>
          <cell r="DU569">
            <v>0</v>
          </cell>
          <cell r="DV569">
            <v>0</v>
          </cell>
          <cell r="DW569">
            <v>0</v>
          </cell>
          <cell r="DX569">
            <v>0</v>
          </cell>
          <cell r="DY569">
            <v>0</v>
          </cell>
          <cell r="DZ569">
            <v>0</v>
          </cell>
          <cell r="EA569">
            <v>0</v>
          </cell>
          <cell r="EB569">
            <v>0</v>
          </cell>
          <cell r="EC569">
            <v>0</v>
          </cell>
          <cell r="ED569">
            <v>0</v>
          </cell>
          <cell r="EE569">
            <v>0</v>
          </cell>
          <cell r="EF569">
            <v>0</v>
          </cell>
          <cell r="EG569">
            <v>0</v>
          </cell>
          <cell r="EH569">
            <v>0</v>
          </cell>
          <cell r="EI569">
            <v>0</v>
          </cell>
          <cell r="EJ569">
            <v>0</v>
          </cell>
          <cell r="EK569">
            <v>0</v>
          </cell>
          <cell r="EL569">
            <v>0</v>
          </cell>
          <cell r="EM569">
            <v>0</v>
          </cell>
          <cell r="EN569">
            <v>0</v>
          </cell>
          <cell r="EO569">
            <v>0</v>
          </cell>
          <cell r="EP569">
            <v>0</v>
          </cell>
          <cell r="EQ569">
            <v>0</v>
          </cell>
          <cell r="ER569">
            <v>0</v>
          </cell>
          <cell r="ES569">
            <v>0</v>
          </cell>
          <cell r="ET569">
            <v>0</v>
          </cell>
          <cell r="EU569">
            <v>0</v>
          </cell>
          <cell r="EV569">
            <v>0</v>
          </cell>
          <cell r="EW569">
            <v>0</v>
          </cell>
          <cell r="EX569">
            <v>0</v>
          </cell>
          <cell r="EY569">
            <v>0</v>
          </cell>
          <cell r="EZ569">
            <v>0</v>
          </cell>
          <cell r="FA569">
            <v>0</v>
          </cell>
          <cell r="FB569">
            <v>0</v>
          </cell>
          <cell r="FC569">
            <v>0</v>
          </cell>
          <cell r="FD569">
            <v>0</v>
          </cell>
          <cell r="FE569">
            <v>0</v>
          </cell>
          <cell r="FF569">
            <v>0</v>
          </cell>
          <cell r="FG569">
            <v>0</v>
          </cell>
        </row>
        <row r="570">
          <cell r="G570">
            <v>372567</v>
          </cell>
          <cell r="H570" t="str">
            <v>(M)ARIEL3D超濃縮抗菌洗衣膠囊32顆袋裝</v>
          </cell>
          <cell r="N570">
            <v>219.29999999999998</v>
          </cell>
          <cell r="P570">
            <v>0</v>
          </cell>
          <cell r="Q570" t="str">
            <v>on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67325.099999999991</v>
          </cell>
          <cell r="AD570">
            <v>152413.5</v>
          </cell>
          <cell r="AE570">
            <v>117106.2</v>
          </cell>
          <cell r="AF570">
            <v>139474.79999999999</v>
          </cell>
          <cell r="AG570">
            <v>144738</v>
          </cell>
          <cell r="AH570">
            <v>123246.59999999999</v>
          </cell>
          <cell r="AI570">
            <v>90132.299999999988</v>
          </cell>
          <cell r="AJ570">
            <v>101316.59999999999</v>
          </cell>
          <cell r="AK570">
            <v>86842.799999999988</v>
          </cell>
          <cell r="AL570">
            <v>150220.5</v>
          </cell>
          <cell r="AM570">
            <v>207896.4</v>
          </cell>
          <cell r="AN570">
            <v>232896.59999999998</v>
          </cell>
          <cell r="AO570">
            <v>144299.4</v>
          </cell>
          <cell r="AP570">
            <v>47149.499999999993</v>
          </cell>
          <cell r="AQ570">
            <v>18640.5</v>
          </cell>
          <cell r="AR570">
            <v>11842.199999999999</v>
          </cell>
          <cell r="AS570">
            <v>33991.5</v>
          </cell>
          <cell r="AT570">
            <v>3947.3999999999996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219.29999999999998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219.29999999999998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0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  <cell r="CE570">
            <v>0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  <cell r="CL570">
            <v>0</v>
          </cell>
          <cell r="CM570">
            <v>0</v>
          </cell>
          <cell r="CN570">
            <v>0</v>
          </cell>
          <cell r="CO570">
            <v>0</v>
          </cell>
          <cell r="CP570">
            <v>0</v>
          </cell>
          <cell r="CQ570">
            <v>0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0</v>
          </cell>
          <cell r="DA570">
            <v>307</v>
          </cell>
          <cell r="DB570">
            <v>695</v>
          </cell>
          <cell r="DC570">
            <v>534</v>
          </cell>
          <cell r="DD570">
            <v>636</v>
          </cell>
          <cell r="DE570">
            <v>660</v>
          </cell>
          <cell r="DF570">
            <v>562</v>
          </cell>
          <cell r="DG570">
            <v>411</v>
          </cell>
          <cell r="DH570">
            <v>462</v>
          </cell>
          <cell r="DI570">
            <v>396</v>
          </cell>
          <cell r="DJ570">
            <v>685</v>
          </cell>
          <cell r="DK570">
            <v>948</v>
          </cell>
          <cell r="DL570">
            <v>1062</v>
          </cell>
          <cell r="DM570">
            <v>658</v>
          </cell>
          <cell r="DN570">
            <v>215</v>
          </cell>
          <cell r="DO570">
            <v>85</v>
          </cell>
          <cell r="DP570">
            <v>54</v>
          </cell>
          <cell r="DQ570">
            <v>155</v>
          </cell>
          <cell r="DR570">
            <v>18</v>
          </cell>
          <cell r="DS570">
            <v>0</v>
          </cell>
          <cell r="DT570">
            <v>0</v>
          </cell>
          <cell r="DU570">
            <v>0</v>
          </cell>
          <cell r="DV570">
            <v>0</v>
          </cell>
          <cell r="DW570">
            <v>0</v>
          </cell>
          <cell r="DX570">
            <v>1</v>
          </cell>
          <cell r="DY570">
            <v>0</v>
          </cell>
          <cell r="DZ570">
            <v>0</v>
          </cell>
          <cell r="EA570">
            <v>0</v>
          </cell>
          <cell r="EB570">
            <v>0</v>
          </cell>
          <cell r="EC570">
            <v>0</v>
          </cell>
          <cell r="ED570">
            <v>0</v>
          </cell>
          <cell r="EE570">
            <v>0</v>
          </cell>
          <cell r="EF570">
            <v>1</v>
          </cell>
          <cell r="EG570">
            <v>0</v>
          </cell>
          <cell r="EH570">
            <v>0</v>
          </cell>
          <cell r="EI570">
            <v>0</v>
          </cell>
          <cell r="EJ570">
            <v>0</v>
          </cell>
          <cell r="EK570">
            <v>0</v>
          </cell>
          <cell r="EL570">
            <v>0</v>
          </cell>
          <cell r="EM570">
            <v>0</v>
          </cell>
          <cell r="EN570">
            <v>0</v>
          </cell>
          <cell r="EO570">
            <v>0</v>
          </cell>
          <cell r="EP570">
            <v>0</v>
          </cell>
          <cell r="EQ570">
            <v>0</v>
          </cell>
          <cell r="ER570">
            <v>0</v>
          </cell>
          <cell r="ES570">
            <v>0</v>
          </cell>
          <cell r="ET570">
            <v>0</v>
          </cell>
          <cell r="EU570">
            <v>0</v>
          </cell>
          <cell r="EV570">
            <v>0</v>
          </cell>
          <cell r="EW570">
            <v>0</v>
          </cell>
          <cell r="EX570">
            <v>0</v>
          </cell>
          <cell r="EY570">
            <v>0</v>
          </cell>
          <cell r="EZ570">
            <v>0</v>
          </cell>
          <cell r="FA570">
            <v>0</v>
          </cell>
          <cell r="FB570">
            <v>0</v>
          </cell>
          <cell r="FC570">
            <v>0</v>
          </cell>
          <cell r="FD570">
            <v>0</v>
          </cell>
          <cell r="FE570">
            <v>0</v>
          </cell>
          <cell r="FF570">
            <v>0</v>
          </cell>
          <cell r="FG570">
            <v>0</v>
          </cell>
        </row>
        <row r="571">
          <cell r="G571">
            <v>121426</v>
          </cell>
          <cell r="H571" t="str">
            <v>M)ARIEL4D抗菌洗衣膠囊(室內晾衣款)31顆袋裝</v>
          </cell>
          <cell r="N571">
            <v>219.3</v>
          </cell>
          <cell r="O571">
            <v>3518</v>
          </cell>
          <cell r="P571">
            <v>1130.5999999999999</v>
          </cell>
          <cell r="Q571" t="str">
            <v>on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17544</v>
          </cell>
          <cell r="AP571">
            <v>267546</v>
          </cell>
          <cell r="AQ571">
            <v>168203.1</v>
          </cell>
          <cell r="AR571">
            <v>115132.5</v>
          </cell>
          <cell r="AS571">
            <v>351976.5</v>
          </cell>
          <cell r="AT571">
            <v>251537.1</v>
          </cell>
          <cell r="AU571">
            <v>149124</v>
          </cell>
          <cell r="AV571">
            <v>653733.30000000005</v>
          </cell>
          <cell r="AW571">
            <v>835971.60000000009</v>
          </cell>
          <cell r="AX571">
            <v>230265</v>
          </cell>
          <cell r="AY571">
            <v>416012.10000000003</v>
          </cell>
          <cell r="AZ571">
            <v>284432.10000000003</v>
          </cell>
          <cell r="BA571">
            <v>426538.5</v>
          </cell>
          <cell r="BB571">
            <v>510091.80000000005</v>
          </cell>
          <cell r="BC571">
            <v>507021.60000000003</v>
          </cell>
          <cell r="BD571">
            <v>292107.60000000003</v>
          </cell>
          <cell r="BE571">
            <v>202633.2</v>
          </cell>
          <cell r="BF571">
            <v>329607.90000000002</v>
          </cell>
          <cell r="BG571">
            <v>245835.30000000002</v>
          </cell>
          <cell r="BH571">
            <v>4934250.0000000009</v>
          </cell>
          <cell r="BI571">
            <v>321493.8</v>
          </cell>
          <cell r="BJ571">
            <v>729611.10000000009</v>
          </cell>
          <cell r="BK571">
            <v>258116.1</v>
          </cell>
          <cell r="BL571">
            <v>347809.80000000005</v>
          </cell>
          <cell r="BM571">
            <v>1339265.1000000001</v>
          </cell>
          <cell r="BN571">
            <v>241010.7</v>
          </cell>
          <cell r="BO571">
            <v>213598.2</v>
          </cell>
          <cell r="BP571">
            <v>69079.5</v>
          </cell>
          <cell r="BQ571">
            <v>12061.5</v>
          </cell>
          <cell r="BR571">
            <v>5043.9000000000005</v>
          </cell>
          <cell r="BS571">
            <v>2850.9</v>
          </cell>
          <cell r="BT571">
            <v>438.6</v>
          </cell>
          <cell r="BU571">
            <v>3540379.2000000007</v>
          </cell>
          <cell r="BV571">
            <v>0</v>
          </cell>
          <cell r="BW571">
            <v>0</v>
          </cell>
          <cell r="BX571">
            <v>0</v>
          </cell>
          <cell r="BY571">
            <v>0</v>
          </cell>
          <cell r="BZ571">
            <v>0</v>
          </cell>
          <cell r="CA571">
            <v>0</v>
          </cell>
          <cell r="CB571">
            <v>0</v>
          </cell>
          <cell r="CC571">
            <v>0</v>
          </cell>
          <cell r="CD571">
            <v>0</v>
          </cell>
          <cell r="CE571">
            <v>0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0</v>
          </cell>
          <cell r="CK571">
            <v>0</v>
          </cell>
          <cell r="CL571">
            <v>0</v>
          </cell>
          <cell r="CM571">
            <v>0</v>
          </cell>
          <cell r="CN571">
            <v>0</v>
          </cell>
          <cell r="CO571">
            <v>0</v>
          </cell>
          <cell r="CP571">
            <v>0</v>
          </cell>
          <cell r="CQ571">
            <v>0</v>
          </cell>
          <cell r="CR571">
            <v>0</v>
          </cell>
          <cell r="CS571">
            <v>0</v>
          </cell>
          <cell r="CT571">
            <v>0</v>
          </cell>
          <cell r="CU571">
            <v>0</v>
          </cell>
          <cell r="CV571">
            <v>0</v>
          </cell>
          <cell r="CW571">
            <v>0</v>
          </cell>
          <cell r="CX571">
            <v>0</v>
          </cell>
          <cell r="CY571">
            <v>0</v>
          </cell>
          <cell r="CZ571">
            <v>0</v>
          </cell>
          <cell r="DA571">
            <v>0</v>
          </cell>
          <cell r="DB571">
            <v>0</v>
          </cell>
          <cell r="DC571">
            <v>0</v>
          </cell>
          <cell r="DD571">
            <v>0</v>
          </cell>
          <cell r="DE571">
            <v>0</v>
          </cell>
          <cell r="DF571">
            <v>0</v>
          </cell>
          <cell r="DG571">
            <v>0</v>
          </cell>
          <cell r="DH571">
            <v>0</v>
          </cell>
          <cell r="DI571">
            <v>0</v>
          </cell>
          <cell r="DJ571">
            <v>0</v>
          </cell>
          <cell r="DK571">
            <v>0</v>
          </cell>
          <cell r="DL571">
            <v>0</v>
          </cell>
          <cell r="DM571">
            <v>80</v>
          </cell>
          <cell r="DN571">
            <v>1220</v>
          </cell>
          <cell r="DO571">
            <v>767</v>
          </cell>
          <cell r="DP571">
            <v>525</v>
          </cell>
          <cell r="DQ571">
            <v>1605</v>
          </cell>
          <cell r="DR571">
            <v>1147</v>
          </cell>
          <cell r="DS571">
            <v>680</v>
          </cell>
          <cell r="DT571">
            <v>2981</v>
          </cell>
          <cell r="DU571">
            <v>3812</v>
          </cell>
          <cell r="DV571">
            <v>1050</v>
          </cell>
          <cell r="DW571">
            <v>1897</v>
          </cell>
          <cell r="DX571">
            <v>1297</v>
          </cell>
          <cell r="DY571">
            <v>1945</v>
          </cell>
          <cell r="DZ571">
            <v>2326</v>
          </cell>
          <cell r="EA571">
            <v>2312</v>
          </cell>
          <cell r="EB571">
            <v>1332</v>
          </cell>
          <cell r="EC571">
            <v>924</v>
          </cell>
          <cell r="ED571">
            <v>1503</v>
          </cell>
          <cell r="EE571">
            <v>1121</v>
          </cell>
          <cell r="EF571">
            <v>22500</v>
          </cell>
          <cell r="EG571">
            <v>1466</v>
          </cell>
          <cell r="EH571">
            <v>3327</v>
          </cell>
          <cell r="EI571">
            <v>1177</v>
          </cell>
          <cell r="EJ571">
            <v>1586</v>
          </cell>
          <cell r="EK571">
            <v>6107</v>
          </cell>
          <cell r="EL571">
            <v>1099</v>
          </cell>
          <cell r="EM571">
            <v>974</v>
          </cell>
          <cell r="EN571">
            <v>315</v>
          </cell>
          <cell r="EO571">
            <v>55</v>
          </cell>
          <cell r="EP571">
            <v>23</v>
          </cell>
          <cell r="EQ571">
            <v>13</v>
          </cell>
          <cell r="ER571">
            <v>2</v>
          </cell>
          <cell r="ES571">
            <v>13.624567474048444</v>
          </cell>
          <cell r="ET571">
            <v>16144</v>
          </cell>
          <cell r="EU571">
            <v>0</v>
          </cell>
          <cell r="EV571">
            <v>0</v>
          </cell>
          <cell r="EW571">
            <v>0</v>
          </cell>
          <cell r="EX571">
            <v>0</v>
          </cell>
          <cell r="EY571">
            <v>0</v>
          </cell>
          <cell r="EZ571">
            <v>0</v>
          </cell>
          <cell r="FA571">
            <v>0</v>
          </cell>
          <cell r="FB571">
            <v>0</v>
          </cell>
          <cell r="FC571">
            <v>0</v>
          </cell>
          <cell r="FD571">
            <v>0</v>
          </cell>
          <cell r="FE571">
            <v>0</v>
          </cell>
          <cell r="FF571">
            <v>0</v>
          </cell>
          <cell r="FG571">
            <v>0</v>
          </cell>
          <cell r="FH571">
            <v>0</v>
          </cell>
          <cell r="FI571">
            <v>0</v>
          </cell>
          <cell r="FJ571">
            <v>0</v>
          </cell>
          <cell r="FK571">
            <v>0</v>
          </cell>
        </row>
        <row r="572">
          <cell r="G572">
            <v>121315</v>
          </cell>
          <cell r="H572" t="str">
            <v>M)ARIEL4D抗菌洗衣膠囊(抗菌去漬款)31顆袋裝</v>
          </cell>
          <cell r="N572">
            <v>219.3</v>
          </cell>
          <cell r="O572">
            <v>4020</v>
          </cell>
          <cell r="P572">
            <v>1311.4</v>
          </cell>
          <cell r="Q572" t="str">
            <v>on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12500.1</v>
          </cell>
          <cell r="AP572">
            <v>286625.10000000003</v>
          </cell>
          <cell r="AQ572">
            <v>174562.80000000002</v>
          </cell>
          <cell r="AR572">
            <v>124781.70000000001</v>
          </cell>
          <cell r="AS572">
            <v>444740.4</v>
          </cell>
          <cell r="AT572">
            <v>310967.40000000002</v>
          </cell>
          <cell r="AU572">
            <v>191668.2</v>
          </cell>
          <cell r="AV572">
            <v>812067.9</v>
          </cell>
          <cell r="AW572">
            <v>1000227.3</v>
          </cell>
          <cell r="AX572">
            <v>290791.8</v>
          </cell>
          <cell r="AY572">
            <v>527197.20000000007</v>
          </cell>
          <cell r="AZ572">
            <v>358994.10000000003</v>
          </cell>
          <cell r="BA572">
            <v>533118.30000000005</v>
          </cell>
          <cell r="BB572">
            <v>592548.6</v>
          </cell>
          <cell r="BC572">
            <v>585750.30000000005</v>
          </cell>
          <cell r="BD572">
            <v>351976.5</v>
          </cell>
          <cell r="BE572">
            <v>241010.7</v>
          </cell>
          <cell r="BF572">
            <v>392766.30000000005</v>
          </cell>
          <cell r="BG572">
            <v>308116.5</v>
          </cell>
          <cell r="BH572">
            <v>5994565.5000000009</v>
          </cell>
          <cell r="BI572">
            <v>450222.9</v>
          </cell>
          <cell r="BJ572">
            <v>861629.70000000007</v>
          </cell>
          <cell r="BK572">
            <v>301756.79999999999</v>
          </cell>
          <cell r="BL572">
            <v>397371.60000000003</v>
          </cell>
          <cell r="BM572">
            <v>1486415.4000000001</v>
          </cell>
          <cell r="BN572">
            <v>235089.6</v>
          </cell>
          <cell r="BO572">
            <v>177413.7</v>
          </cell>
          <cell r="BP572">
            <v>38816.1</v>
          </cell>
          <cell r="BQ572">
            <v>3728.1000000000004</v>
          </cell>
          <cell r="BR572">
            <v>3289.5</v>
          </cell>
          <cell r="BS572">
            <v>1973.7</v>
          </cell>
          <cell r="BT572">
            <v>0</v>
          </cell>
          <cell r="BU572">
            <v>3957707.100000001</v>
          </cell>
          <cell r="BV572">
            <v>0</v>
          </cell>
          <cell r="BW572">
            <v>0</v>
          </cell>
          <cell r="BX572">
            <v>0</v>
          </cell>
          <cell r="BY572">
            <v>0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  <cell r="CL572">
            <v>0</v>
          </cell>
          <cell r="CM572">
            <v>0</v>
          </cell>
          <cell r="CN572">
            <v>0</v>
          </cell>
          <cell r="CO572">
            <v>0</v>
          </cell>
          <cell r="CP572">
            <v>0</v>
          </cell>
          <cell r="CQ572">
            <v>0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0</v>
          </cell>
          <cell r="DA572">
            <v>0</v>
          </cell>
          <cell r="DB572">
            <v>0</v>
          </cell>
          <cell r="DC572">
            <v>0</v>
          </cell>
          <cell r="DD572">
            <v>0</v>
          </cell>
          <cell r="DE572">
            <v>0</v>
          </cell>
          <cell r="DF572">
            <v>0</v>
          </cell>
          <cell r="DG572">
            <v>0</v>
          </cell>
          <cell r="DH572">
            <v>0</v>
          </cell>
          <cell r="DI572">
            <v>0</v>
          </cell>
          <cell r="DJ572">
            <v>0</v>
          </cell>
          <cell r="DK572">
            <v>0</v>
          </cell>
          <cell r="DL572">
            <v>0</v>
          </cell>
          <cell r="DM572">
            <v>57</v>
          </cell>
          <cell r="DN572">
            <v>1307</v>
          </cell>
          <cell r="DO572">
            <v>796</v>
          </cell>
          <cell r="DP572">
            <v>569</v>
          </cell>
          <cell r="DQ572">
            <v>2028</v>
          </cell>
          <cell r="DR572">
            <v>1418</v>
          </cell>
          <cell r="DS572">
            <v>874</v>
          </cell>
          <cell r="DT572">
            <v>3703</v>
          </cell>
          <cell r="DU572">
            <v>4561</v>
          </cell>
          <cell r="DV572">
            <v>1326</v>
          </cell>
          <cell r="DW572">
            <v>2404</v>
          </cell>
          <cell r="DX572">
            <v>1637</v>
          </cell>
          <cell r="DY572">
            <v>2431</v>
          </cell>
          <cell r="DZ572">
            <v>2702</v>
          </cell>
          <cell r="EA572">
            <v>2671</v>
          </cell>
          <cell r="EB572">
            <v>1605</v>
          </cell>
          <cell r="EC572">
            <v>1099</v>
          </cell>
          <cell r="ED572">
            <v>1791</v>
          </cell>
          <cell r="EE572">
            <v>1405</v>
          </cell>
          <cell r="EF572">
            <v>27335</v>
          </cell>
          <cell r="EG572">
            <v>2053</v>
          </cell>
          <cell r="EH572">
            <v>3929</v>
          </cell>
          <cell r="EI572">
            <v>1376</v>
          </cell>
          <cell r="EJ572">
            <v>1812</v>
          </cell>
          <cell r="EK572">
            <v>6778</v>
          </cell>
          <cell r="EL572">
            <v>1072</v>
          </cell>
          <cell r="EM572">
            <v>809</v>
          </cell>
          <cell r="EN572">
            <v>177</v>
          </cell>
          <cell r="EO572">
            <v>17</v>
          </cell>
          <cell r="EP572">
            <v>15</v>
          </cell>
          <cell r="EQ572">
            <v>9</v>
          </cell>
          <cell r="ER572">
            <v>0</v>
          </cell>
          <cell r="ES572">
            <v>6.6267315612130284</v>
          </cell>
          <cell r="ET572">
            <v>18047</v>
          </cell>
          <cell r="EU572">
            <v>0</v>
          </cell>
          <cell r="EV572">
            <v>0</v>
          </cell>
          <cell r="EW572">
            <v>0</v>
          </cell>
          <cell r="EX572">
            <v>0</v>
          </cell>
          <cell r="EY572">
            <v>0</v>
          </cell>
          <cell r="EZ572">
            <v>0</v>
          </cell>
          <cell r="FA572">
            <v>0</v>
          </cell>
          <cell r="FB572">
            <v>0</v>
          </cell>
          <cell r="FC572">
            <v>0</v>
          </cell>
          <cell r="FD572">
            <v>0</v>
          </cell>
          <cell r="FE572">
            <v>0</v>
          </cell>
          <cell r="FF572">
            <v>0</v>
          </cell>
          <cell r="FG572">
            <v>0</v>
          </cell>
          <cell r="FH572">
            <v>0</v>
          </cell>
          <cell r="FI572">
            <v>0</v>
          </cell>
          <cell r="FJ572">
            <v>0</v>
          </cell>
          <cell r="FK572">
            <v>0</v>
          </cell>
        </row>
        <row r="573">
          <cell r="G573">
            <v>121499</v>
          </cell>
          <cell r="H573" t="str">
            <v>M)ARIEL4D抗菌洗衣膠囊(微香型)31顆袋裝</v>
          </cell>
          <cell r="N573">
            <v>219.3</v>
          </cell>
          <cell r="O573">
            <v>2041</v>
          </cell>
          <cell r="P573">
            <v>762.4</v>
          </cell>
          <cell r="Q573" t="str">
            <v>on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8114.1</v>
          </cell>
          <cell r="AP573">
            <v>234651</v>
          </cell>
          <cell r="AQ573">
            <v>137720.4</v>
          </cell>
          <cell r="AR573">
            <v>89035.8</v>
          </cell>
          <cell r="AS573">
            <v>295835.7</v>
          </cell>
          <cell r="AT573">
            <v>153948.6</v>
          </cell>
          <cell r="AU573">
            <v>110307.90000000001</v>
          </cell>
          <cell r="AV573">
            <v>476319.60000000003</v>
          </cell>
          <cell r="AW573">
            <v>691891.5</v>
          </cell>
          <cell r="AX573">
            <v>155703</v>
          </cell>
          <cell r="AY573">
            <v>247151.1</v>
          </cell>
          <cell r="AZ573">
            <v>146711.70000000001</v>
          </cell>
          <cell r="BA573">
            <v>249344.1</v>
          </cell>
          <cell r="BB573">
            <v>306800.7</v>
          </cell>
          <cell r="BC573">
            <v>337502.7</v>
          </cell>
          <cell r="BD573">
            <v>208115.7</v>
          </cell>
          <cell r="BE573">
            <v>150220.5</v>
          </cell>
          <cell r="BF573">
            <v>238598.40000000002</v>
          </cell>
          <cell r="BG573">
            <v>150001.20000000001</v>
          </cell>
          <cell r="BH573">
            <v>3358360.2000000007</v>
          </cell>
          <cell r="BI573">
            <v>212721</v>
          </cell>
          <cell r="BJ573">
            <v>400880.4</v>
          </cell>
          <cell r="BK573">
            <v>141887.1</v>
          </cell>
          <cell r="BL573">
            <v>191229.6</v>
          </cell>
          <cell r="BM573">
            <v>745181.4</v>
          </cell>
          <cell r="BN573">
            <v>185747.1</v>
          </cell>
          <cell r="BO573">
            <v>146053.80000000002</v>
          </cell>
          <cell r="BP573">
            <v>55044.3</v>
          </cell>
          <cell r="BQ573">
            <v>11184.300000000001</v>
          </cell>
          <cell r="BR573">
            <v>4386</v>
          </cell>
          <cell r="BS573">
            <v>7017.6</v>
          </cell>
          <cell r="BT573">
            <v>657.90000000000009</v>
          </cell>
          <cell r="BU573">
            <v>2101990.5</v>
          </cell>
          <cell r="BV573">
            <v>0</v>
          </cell>
          <cell r="BW573">
            <v>0</v>
          </cell>
          <cell r="BX573">
            <v>0</v>
          </cell>
          <cell r="BY573">
            <v>0</v>
          </cell>
          <cell r="BZ573">
            <v>219.3</v>
          </cell>
          <cell r="CA573">
            <v>0</v>
          </cell>
          <cell r="CB573">
            <v>0</v>
          </cell>
          <cell r="CC573">
            <v>0</v>
          </cell>
          <cell r="CD573">
            <v>0</v>
          </cell>
          <cell r="CE573">
            <v>0</v>
          </cell>
          <cell r="CF573">
            <v>0</v>
          </cell>
          <cell r="CG573">
            <v>0</v>
          </cell>
          <cell r="CH573">
            <v>219.3</v>
          </cell>
          <cell r="CI573">
            <v>0</v>
          </cell>
          <cell r="CJ573">
            <v>0</v>
          </cell>
          <cell r="CK573">
            <v>0</v>
          </cell>
          <cell r="CL573">
            <v>0</v>
          </cell>
          <cell r="CM573">
            <v>0</v>
          </cell>
          <cell r="CN573">
            <v>0</v>
          </cell>
          <cell r="CO573">
            <v>0</v>
          </cell>
          <cell r="CP573">
            <v>0</v>
          </cell>
          <cell r="CQ573">
            <v>0</v>
          </cell>
          <cell r="CR573">
            <v>0</v>
          </cell>
          <cell r="CS573">
            <v>0</v>
          </cell>
          <cell r="CT573">
            <v>0</v>
          </cell>
          <cell r="CU573">
            <v>0</v>
          </cell>
          <cell r="CV573">
            <v>0</v>
          </cell>
          <cell r="CW573">
            <v>0</v>
          </cell>
          <cell r="CX573">
            <v>0</v>
          </cell>
          <cell r="CY573">
            <v>0</v>
          </cell>
          <cell r="CZ573">
            <v>0</v>
          </cell>
          <cell r="DA573">
            <v>0</v>
          </cell>
          <cell r="DB573">
            <v>0</v>
          </cell>
          <cell r="DC573">
            <v>0</v>
          </cell>
          <cell r="DD573">
            <v>0</v>
          </cell>
          <cell r="DE573">
            <v>0</v>
          </cell>
          <cell r="DF573">
            <v>0</v>
          </cell>
          <cell r="DG573">
            <v>0</v>
          </cell>
          <cell r="DH573">
            <v>0</v>
          </cell>
          <cell r="DI573">
            <v>0</v>
          </cell>
          <cell r="DJ573">
            <v>0</v>
          </cell>
          <cell r="DK573">
            <v>0</v>
          </cell>
          <cell r="DL573">
            <v>0</v>
          </cell>
          <cell r="DM573">
            <v>37</v>
          </cell>
          <cell r="DN573">
            <v>1070</v>
          </cell>
          <cell r="DO573">
            <v>628</v>
          </cell>
          <cell r="DP573">
            <v>406</v>
          </cell>
          <cell r="DQ573">
            <v>1349</v>
          </cell>
          <cell r="DR573">
            <v>702</v>
          </cell>
          <cell r="DS573">
            <v>503</v>
          </cell>
          <cell r="DT573">
            <v>2172</v>
          </cell>
          <cell r="DU573">
            <v>3155</v>
          </cell>
          <cell r="DV573">
            <v>710</v>
          </cell>
          <cell r="DW573">
            <v>1127</v>
          </cell>
          <cell r="DX573">
            <v>669</v>
          </cell>
          <cell r="DY573">
            <v>1137</v>
          </cell>
          <cell r="DZ573">
            <v>1399</v>
          </cell>
          <cell r="EA573">
            <v>1539</v>
          </cell>
          <cell r="EB573">
            <v>949</v>
          </cell>
          <cell r="EC573">
            <v>685</v>
          </cell>
          <cell r="ED573">
            <v>1088</v>
          </cell>
          <cell r="EE573">
            <v>684</v>
          </cell>
          <cell r="EF573">
            <v>15314</v>
          </cell>
          <cell r="EG573">
            <v>970</v>
          </cell>
          <cell r="EH573">
            <v>1828</v>
          </cell>
          <cell r="EI573">
            <v>647</v>
          </cell>
          <cell r="EJ573">
            <v>872</v>
          </cell>
          <cell r="EK573">
            <v>3398</v>
          </cell>
          <cell r="EL573">
            <v>847</v>
          </cell>
          <cell r="EM573">
            <v>666</v>
          </cell>
          <cell r="EN573">
            <v>251</v>
          </cell>
          <cell r="EO573">
            <v>51</v>
          </cell>
          <cell r="EP573">
            <v>20</v>
          </cell>
          <cell r="EQ573">
            <v>32</v>
          </cell>
          <cell r="ER573">
            <v>3</v>
          </cell>
          <cell r="ES573">
            <v>16.309291747888238</v>
          </cell>
          <cell r="ET573">
            <v>9585</v>
          </cell>
          <cell r="EU573">
            <v>0</v>
          </cell>
          <cell r="EV573">
            <v>0</v>
          </cell>
          <cell r="EW573">
            <v>0</v>
          </cell>
          <cell r="EX573">
            <v>0</v>
          </cell>
          <cell r="EY573">
            <v>1</v>
          </cell>
          <cell r="EZ573">
            <v>0</v>
          </cell>
          <cell r="FA573">
            <v>0</v>
          </cell>
          <cell r="FB573">
            <v>0</v>
          </cell>
          <cell r="FC573">
            <v>0</v>
          </cell>
          <cell r="FD573">
            <v>0</v>
          </cell>
          <cell r="FE573">
            <v>0</v>
          </cell>
          <cell r="FF573">
            <v>0</v>
          </cell>
          <cell r="FG573">
            <v>1</v>
          </cell>
          <cell r="FH573">
            <v>0</v>
          </cell>
          <cell r="FI573">
            <v>0</v>
          </cell>
          <cell r="FJ573">
            <v>0</v>
          </cell>
          <cell r="FK573">
            <v>0</v>
          </cell>
        </row>
        <row r="574">
          <cell r="G574">
            <v>225683</v>
          </cell>
          <cell r="H574" t="str">
            <v>M)ARIEL 4D抗菌洗衣膠囊32顆袋裝-室內晾衣款</v>
          </cell>
          <cell r="N574">
            <v>241.31111111111113</v>
          </cell>
          <cell r="P574">
            <v>1225</v>
          </cell>
          <cell r="Q574" t="str">
            <v>on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17374.400000000001</v>
          </cell>
          <cell r="BN574">
            <v>295606.11111111112</v>
          </cell>
          <cell r="BO574">
            <v>270751.06666666671</v>
          </cell>
          <cell r="BP574">
            <v>404920.04444444447</v>
          </cell>
          <cell r="BQ574">
            <v>152749.93333333335</v>
          </cell>
          <cell r="BR574">
            <v>124033.91111111113</v>
          </cell>
          <cell r="BS574">
            <v>164815.48888888891</v>
          </cell>
          <cell r="BT574">
            <v>407333.1555555556</v>
          </cell>
          <cell r="BU574">
            <v>1837584.111111111</v>
          </cell>
          <cell r="BV574">
            <v>688701.91111111117</v>
          </cell>
          <cell r="BW574">
            <v>558393.91111111117</v>
          </cell>
          <cell r="BX574">
            <v>484794.02222222224</v>
          </cell>
          <cell r="BY574">
            <v>661916.37777777785</v>
          </cell>
          <cell r="BZ574">
            <v>1717411.1777777779</v>
          </cell>
          <cell r="CA574">
            <v>1444729.6222222224</v>
          </cell>
          <cell r="CB574">
            <v>144304.04444444444</v>
          </cell>
          <cell r="CC574">
            <v>51640.577777777784</v>
          </cell>
          <cell r="CD574">
            <v>4826.2222222222226</v>
          </cell>
          <cell r="CE574">
            <v>723.93333333333339</v>
          </cell>
          <cell r="CF574">
            <v>241.31111111111113</v>
          </cell>
          <cell r="CG574">
            <v>241.31111111111113</v>
          </cell>
          <cell r="CH574">
            <v>5757924.4222222231</v>
          </cell>
          <cell r="CI574">
            <v>482.62222222222226</v>
          </cell>
          <cell r="CJ574">
            <v>241.31111111111113</v>
          </cell>
          <cell r="CK574">
            <v>0</v>
          </cell>
          <cell r="CL574">
            <v>241.31111111111113</v>
          </cell>
          <cell r="CM574">
            <v>0</v>
          </cell>
          <cell r="CN574">
            <v>0</v>
          </cell>
          <cell r="CO574">
            <v>0</v>
          </cell>
          <cell r="CP574">
            <v>0</v>
          </cell>
          <cell r="CQ574">
            <v>0</v>
          </cell>
          <cell r="CR574">
            <v>0</v>
          </cell>
          <cell r="CS574">
            <v>0</v>
          </cell>
          <cell r="CT574">
            <v>0</v>
          </cell>
          <cell r="CU574">
            <v>0</v>
          </cell>
          <cell r="CV574">
            <v>0</v>
          </cell>
          <cell r="CW574">
            <v>0</v>
          </cell>
          <cell r="CX574">
            <v>0</v>
          </cell>
          <cell r="CY574">
            <v>0</v>
          </cell>
          <cell r="CZ574">
            <v>0</v>
          </cell>
          <cell r="DA574">
            <v>0</v>
          </cell>
          <cell r="DB574">
            <v>0</v>
          </cell>
          <cell r="DC574">
            <v>0</v>
          </cell>
          <cell r="DD574">
            <v>0</v>
          </cell>
          <cell r="DE574">
            <v>0</v>
          </cell>
          <cell r="DF574">
            <v>0</v>
          </cell>
          <cell r="DG574">
            <v>0</v>
          </cell>
          <cell r="DH574">
            <v>0</v>
          </cell>
          <cell r="DI574">
            <v>0</v>
          </cell>
          <cell r="DJ574">
            <v>0</v>
          </cell>
          <cell r="DK574">
            <v>0</v>
          </cell>
          <cell r="DL574">
            <v>0</v>
          </cell>
          <cell r="DM574">
            <v>0</v>
          </cell>
          <cell r="DN574">
            <v>0</v>
          </cell>
          <cell r="DO574">
            <v>0</v>
          </cell>
          <cell r="DP574">
            <v>0</v>
          </cell>
          <cell r="DQ574">
            <v>0</v>
          </cell>
          <cell r="DR574">
            <v>0</v>
          </cell>
          <cell r="DS574">
            <v>0</v>
          </cell>
          <cell r="DT574">
            <v>0</v>
          </cell>
          <cell r="DU574">
            <v>0</v>
          </cell>
          <cell r="DV574">
            <v>0</v>
          </cell>
          <cell r="DW574">
            <v>0</v>
          </cell>
          <cell r="DX574">
            <v>0</v>
          </cell>
          <cell r="DY574">
            <v>0</v>
          </cell>
          <cell r="DZ574">
            <v>0</v>
          </cell>
          <cell r="EA574">
            <v>0</v>
          </cell>
          <cell r="EB574">
            <v>0</v>
          </cell>
          <cell r="EC574">
            <v>0</v>
          </cell>
          <cell r="ED574">
            <v>0</v>
          </cell>
          <cell r="EE574">
            <v>0</v>
          </cell>
          <cell r="EF574">
            <v>0</v>
          </cell>
          <cell r="EG574">
            <v>0</v>
          </cell>
          <cell r="EH574">
            <v>0</v>
          </cell>
          <cell r="EI574">
            <v>0</v>
          </cell>
          <cell r="EJ574">
            <v>0</v>
          </cell>
          <cell r="EK574">
            <v>72</v>
          </cell>
          <cell r="EL574">
            <v>1225</v>
          </cell>
          <cell r="EM574">
            <v>1122</v>
          </cell>
          <cell r="EN574">
            <v>1678</v>
          </cell>
          <cell r="EO574">
            <v>633</v>
          </cell>
          <cell r="EP574">
            <v>514</v>
          </cell>
          <cell r="EQ574">
            <v>683</v>
          </cell>
          <cell r="ER574">
            <v>1688</v>
          </cell>
          <cell r="ES574">
            <v>0</v>
          </cell>
          <cell r="ET574">
            <v>7615</v>
          </cell>
          <cell r="EU574">
            <v>2854</v>
          </cell>
          <cell r="EV574">
            <v>2314</v>
          </cell>
          <cell r="EW574">
            <v>2009</v>
          </cell>
          <cell r="EX574">
            <v>2743</v>
          </cell>
          <cell r="EY574">
            <v>7117</v>
          </cell>
          <cell r="EZ574">
            <v>5987</v>
          </cell>
          <cell r="FA574">
            <v>598</v>
          </cell>
          <cell r="FB574">
            <v>214</v>
          </cell>
          <cell r="FC574">
            <v>20</v>
          </cell>
          <cell r="FD574">
            <v>3</v>
          </cell>
          <cell r="FE574">
            <v>1</v>
          </cell>
          <cell r="FF574">
            <v>1</v>
          </cell>
          <cell r="FG574">
            <v>23861</v>
          </cell>
          <cell r="FH574">
            <v>2</v>
          </cell>
          <cell r="FI574">
            <v>1</v>
          </cell>
          <cell r="FJ574">
            <v>0</v>
          </cell>
          <cell r="FK574">
            <v>1</v>
          </cell>
        </row>
        <row r="575">
          <cell r="G575">
            <v>224713</v>
          </cell>
          <cell r="H575" t="str">
            <v>M)ARIEL 4D抗菌洗衣膠囊32顆袋裝-抗菌去漬款</v>
          </cell>
          <cell r="N575">
            <v>241.31111111111113</v>
          </cell>
          <cell r="P575">
            <v>1456</v>
          </cell>
          <cell r="Q575" t="str">
            <v>on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33300.933333333334</v>
          </cell>
          <cell r="BN575">
            <v>351348.97777777782</v>
          </cell>
          <cell r="BO575">
            <v>446908.17777777783</v>
          </cell>
          <cell r="BP575">
            <v>460180.2888888889</v>
          </cell>
          <cell r="BQ575">
            <v>180018.08888888892</v>
          </cell>
          <cell r="BR575">
            <v>145993.22222222225</v>
          </cell>
          <cell r="BS575">
            <v>211388.53333333335</v>
          </cell>
          <cell r="BT575">
            <v>452699.64444444451</v>
          </cell>
          <cell r="BU575">
            <v>2281837.8666666672</v>
          </cell>
          <cell r="BV575">
            <v>909260.26666666672</v>
          </cell>
          <cell r="BW575">
            <v>670603.5777777778</v>
          </cell>
          <cell r="BX575">
            <v>826973.17777777789</v>
          </cell>
          <cell r="BY575">
            <v>815390.24444444454</v>
          </cell>
          <cell r="BZ575">
            <v>2262532.9777777782</v>
          </cell>
          <cell r="CA575">
            <v>2557897.777777778</v>
          </cell>
          <cell r="CB575">
            <v>313221.82222222222</v>
          </cell>
          <cell r="CC575">
            <v>88078.555555555562</v>
          </cell>
          <cell r="CD575">
            <v>25337.666666666668</v>
          </cell>
          <cell r="CE575">
            <v>2654.4222222222224</v>
          </cell>
          <cell r="CF575">
            <v>0</v>
          </cell>
          <cell r="CG575">
            <v>241.31111111111113</v>
          </cell>
          <cell r="CH575">
            <v>8472191.8000000007</v>
          </cell>
          <cell r="CI575">
            <v>241.31111111111113</v>
          </cell>
          <cell r="CJ575">
            <v>482.62222222222226</v>
          </cell>
          <cell r="CK575">
            <v>0</v>
          </cell>
          <cell r="CL575">
            <v>241.31111111111113</v>
          </cell>
          <cell r="CM575">
            <v>241.31111111111113</v>
          </cell>
          <cell r="CN575">
            <v>241.31111111111113</v>
          </cell>
          <cell r="CO575">
            <v>1068.6634920634922</v>
          </cell>
          <cell r="CP575">
            <v>0</v>
          </cell>
          <cell r="CQ575">
            <v>0</v>
          </cell>
          <cell r="CR575">
            <v>0</v>
          </cell>
          <cell r="CS575">
            <v>0</v>
          </cell>
          <cell r="CT575">
            <v>0</v>
          </cell>
          <cell r="CU575">
            <v>0</v>
          </cell>
          <cell r="CV575">
            <v>0</v>
          </cell>
          <cell r="CW575">
            <v>0</v>
          </cell>
          <cell r="CX575">
            <v>0</v>
          </cell>
          <cell r="CY575">
            <v>0</v>
          </cell>
          <cell r="CZ575">
            <v>0</v>
          </cell>
          <cell r="DA575">
            <v>0</v>
          </cell>
          <cell r="DB575">
            <v>0</v>
          </cell>
          <cell r="DC575">
            <v>0</v>
          </cell>
          <cell r="DD575">
            <v>0</v>
          </cell>
          <cell r="DE575">
            <v>0</v>
          </cell>
          <cell r="DF575">
            <v>0</v>
          </cell>
          <cell r="DG575">
            <v>0</v>
          </cell>
          <cell r="DH575">
            <v>0</v>
          </cell>
          <cell r="DI575">
            <v>0</v>
          </cell>
          <cell r="DJ575">
            <v>0</v>
          </cell>
          <cell r="DK575">
            <v>0</v>
          </cell>
          <cell r="DL575">
            <v>0</v>
          </cell>
          <cell r="DM575">
            <v>0</v>
          </cell>
          <cell r="DN575">
            <v>0</v>
          </cell>
          <cell r="DO575">
            <v>0</v>
          </cell>
          <cell r="DP575">
            <v>0</v>
          </cell>
          <cell r="DQ575">
            <v>0</v>
          </cell>
          <cell r="DR575">
            <v>0</v>
          </cell>
          <cell r="DS575">
            <v>0</v>
          </cell>
          <cell r="DT575">
            <v>0</v>
          </cell>
          <cell r="DU575">
            <v>0</v>
          </cell>
          <cell r="DV575">
            <v>0</v>
          </cell>
          <cell r="DW575">
            <v>0</v>
          </cell>
          <cell r="DX575">
            <v>0</v>
          </cell>
          <cell r="DY575">
            <v>0</v>
          </cell>
          <cell r="DZ575">
            <v>0</v>
          </cell>
          <cell r="EA575">
            <v>0</v>
          </cell>
          <cell r="EB575">
            <v>0</v>
          </cell>
          <cell r="EC575">
            <v>0</v>
          </cell>
          <cell r="ED575">
            <v>0</v>
          </cell>
          <cell r="EE575">
            <v>0</v>
          </cell>
          <cell r="EF575">
            <v>0</v>
          </cell>
          <cell r="EG575">
            <v>0</v>
          </cell>
          <cell r="EH575">
            <v>0</v>
          </cell>
          <cell r="EI575">
            <v>0</v>
          </cell>
          <cell r="EJ575">
            <v>0</v>
          </cell>
          <cell r="EK575">
            <v>138</v>
          </cell>
          <cell r="EL575">
            <v>1456</v>
          </cell>
          <cell r="EM575">
            <v>1852</v>
          </cell>
          <cell r="EN575">
            <v>1907</v>
          </cell>
          <cell r="EO575">
            <v>746</v>
          </cell>
          <cell r="EP575">
            <v>605</v>
          </cell>
          <cell r="EQ575">
            <v>876</v>
          </cell>
          <cell r="ER575">
            <v>1876</v>
          </cell>
          <cell r="ES575">
            <v>0</v>
          </cell>
          <cell r="ET575">
            <v>9456</v>
          </cell>
          <cell r="EU575">
            <v>3768</v>
          </cell>
          <cell r="EV575">
            <v>2779</v>
          </cell>
          <cell r="EW575">
            <v>3427</v>
          </cell>
          <cell r="EX575">
            <v>3379</v>
          </cell>
          <cell r="EY575">
            <v>9376</v>
          </cell>
          <cell r="EZ575">
            <v>10600</v>
          </cell>
          <cell r="FA575">
            <v>1298</v>
          </cell>
          <cell r="FB575">
            <v>365</v>
          </cell>
          <cell r="FC575">
            <v>105</v>
          </cell>
          <cell r="FD575">
            <v>11</v>
          </cell>
          <cell r="FE575">
            <v>0</v>
          </cell>
          <cell r="FF575">
            <v>1</v>
          </cell>
          <cell r="FG575">
            <v>35109</v>
          </cell>
          <cell r="FH575">
            <v>1</v>
          </cell>
          <cell r="FI575">
            <v>2</v>
          </cell>
          <cell r="FJ575">
            <v>0</v>
          </cell>
          <cell r="FK575">
            <v>1</v>
          </cell>
          <cell r="FL575">
            <v>1</v>
          </cell>
        </row>
        <row r="576">
          <cell r="G576">
            <v>224717</v>
          </cell>
          <cell r="H576" t="str">
            <v>M)ARIEL 4D抗菌洗衣膠囊39顆袋裝-微香型</v>
          </cell>
          <cell r="N576">
            <v>292.25555555555559</v>
          </cell>
          <cell r="P576">
            <v>317</v>
          </cell>
          <cell r="Q576" t="str">
            <v>on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20457.888888888891</v>
          </cell>
          <cell r="BN576">
            <v>92645.011111111118</v>
          </cell>
          <cell r="BO576">
            <v>128884.70000000001</v>
          </cell>
          <cell r="BP576">
            <v>240818.5777777778</v>
          </cell>
          <cell r="BQ576">
            <v>96736.588888888902</v>
          </cell>
          <cell r="BR576">
            <v>85046.366666666683</v>
          </cell>
          <cell r="BS576">
            <v>100535.91111111113</v>
          </cell>
          <cell r="BT576">
            <v>118071.24444444446</v>
          </cell>
          <cell r="BU576">
            <v>883196.28888888902</v>
          </cell>
          <cell r="BV576">
            <v>123331.84444444446</v>
          </cell>
          <cell r="BW576">
            <v>104627.4888888889</v>
          </cell>
          <cell r="BX576">
            <v>107842.30000000002</v>
          </cell>
          <cell r="BY576">
            <v>95275.311111111121</v>
          </cell>
          <cell r="BZ576">
            <v>146127.77777777778</v>
          </cell>
          <cell r="CA576">
            <v>64296.222222222226</v>
          </cell>
          <cell r="CB576">
            <v>24257.211111111115</v>
          </cell>
          <cell r="CC576">
            <v>7014.1333333333341</v>
          </cell>
          <cell r="CD576">
            <v>4383.8333333333339</v>
          </cell>
          <cell r="CE576">
            <v>584.51111111111118</v>
          </cell>
          <cell r="CF576">
            <v>584.51111111111118</v>
          </cell>
          <cell r="CG576">
            <v>292.25555555555559</v>
          </cell>
          <cell r="CH576">
            <v>678617.40000000026</v>
          </cell>
          <cell r="CI576">
            <v>0</v>
          </cell>
          <cell r="CJ576">
            <v>292.25555555555559</v>
          </cell>
          <cell r="CK576">
            <v>0</v>
          </cell>
          <cell r="CL576">
            <v>0</v>
          </cell>
          <cell r="CM576">
            <v>0</v>
          </cell>
          <cell r="CN576">
            <v>0</v>
          </cell>
          <cell r="CO576">
            <v>0</v>
          </cell>
          <cell r="CP576">
            <v>0</v>
          </cell>
          <cell r="CQ576">
            <v>0</v>
          </cell>
          <cell r="CR576">
            <v>0</v>
          </cell>
          <cell r="CS576">
            <v>0</v>
          </cell>
          <cell r="CT576">
            <v>0</v>
          </cell>
          <cell r="CU576">
            <v>0</v>
          </cell>
          <cell r="CV576">
            <v>0</v>
          </cell>
          <cell r="CW576">
            <v>0</v>
          </cell>
          <cell r="CX576">
            <v>0</v>
          </cell>
          <cell r="CY576">
            <v>0</v>
          </cell>
          <cell r="CZ576">
            <v>0</v>
          </cell>
          <cell r="DA576">
            <v>0</v>
          </cell>
          <cell r="DB576">
            <v>0</v>
          </cell>
          <cell r="DC576">
            <v>0</v>
          </cell>
          <cell r="DD576">
            <v>0</v>
          </cell>
          <cell r="DE576">
            <v>0</v>
          </cell>
          <cell r="DF576">
            <v>0</v>
          </cell>
          <cell r="DG576">
            <v>0</v>
          </cell>
          <cell r="DH576">
            <v>0</v>
          </cell>
          <cell r="DI576">
            <v>0</v>
          </cell>
          <cell r="DJ576">
            <v>0</v>
          </cell>
          <cell r="DK576">
            <v>0</v>
          </cell>
          <cell r="DL576">
            <v>0</v>
          </cell>
          <cell r="DM576">
            <v>0</v>
          </cell>
          <cell r="DN576">
            <v>0</v>
          </cell>
          <cell r="DO576">
            <v>0</v>
          </cell>
          <cell r="DP576">
            <v>0</v>
          </cell>
          <cell r="DQ576">
            <v>0</v>
          </cell>
          <cell r="DR576">
            <v>0</v>
          </cell>
          <cell r="DS576">
            <v>0</v>
          </cell>
          <cell r="DT576">
            <v>0</v>
          </cell>
          <cell r="DU576">
            <v>0</v>
          </cell>
          <cell r="DV576">
            <v>0</v>
          </cell>
          <cell r="DW576">
            <v>0</v>
          </cell>
          <cell r="DX576">
            <v>0</v>
          </cell>
          <cell r="DY576">
            <v>0</v>
          </cell>
          <cell r="DZ576">
            <v>0</v>
          </cell>
          <cell r="EA576">
            <v>0</v>
          </cell>
          <cell r="EB576">
            <v>0</v>
          </cell>
          <cell r="EC576">
            <v>0</v>
          </cell>
          <cell r="ED576">
            <v>0</v>
          </cell>
          <cell r="EE576">
            <v>0</v>
          </cell>
          <cell r="EF576">
            <v>0</v>
          </cell>
          <cell r="EG576">
            <v>0</v>
          </cell>
          <cell r="EH576">
            <v>0</v>
          </cell>
          <cell r="EI576">
            <v>0</v>
          </cell>
          <cell r="EJ576">
            <v>0</v>
          </cell>
          <cell r="EK576">
            <v>70</v>
          </cell>
          <cell r="EL576">
            <v>317</v>
          </cell>
          <cell r="EM576">
            <v>441</v>
          </cell>
          <cell r="EN576">
            <v>824</v>
          </cell>
          <cell r="EO576">
            <v>331</v>
          </cell>
          <cell r="EP576">
            <v>291</v>
          </cell>
          <cell r="EQ576">
            <v>344</v>
          </cell>
          <cell r="ER576">
            <v>404</v>
          </cell>
          <cell r="ES576">
            <v>0</v>
          </cell>
          <cell r="ET576">
            <v>3022</v>
          </cell>
          <cell r="EU576">
            <v>422</v>
          </cell>
          <cell r="EV576">
            <v>358</v>
          </cell>
          <cell r="EW576">
            <v>369</v>
          </cell>
          <cell r="EX576">
            <v>326</v>
          </cell>
          <cell r="EY576">
            <v>500</v>
          </cell>
          <cell r="EZ576">
            <v>220</v>
          </cell>
          <cell r="FA576">
            <v>83</v>
          </cell>
          <cell r="FB576">
            <v>24</v>
          </cell>
          <cell r="FC576">
            <v>15</v>
          </cell>
          <cell r="FD576">
            <v>2</v>
          </cell>
          <cell r="FE576">
            <v>2</v>
          </cell>
          <cell r="FF576">
            <v>1</v>
          </cell>
          <cell r="FG576">
            <v>2322</v>
          </cell>
          <cell r="FH576">
            <v>0</v>
          </cell>
          <cell r="FI576">
            <v>1</v>
          </cell>
          <cell r="FJ576">
            <v>0</v>
          </cell>
          <cell r="FK576">
            <v>0</v>
          </cell>
        </row>
        <row r="577">
          <cell r="G577">
            <v>237679</v>
          </cell>
          <cell r="H577" t="str">
            <v>ARIEL 4D抗菌洗衣膠囊53個x2-室內晾衣款</v>
          </cell>
          <cell r="N577">
            <v>649</v>
          </cell>
          <cell r="Q577" t="str">
            <v>on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458194</v>
          </cell>
          <cell r="BQ577">
            <v>656788</v>
          </cell>
          <cell r="BR577">
            <v>1157816</v>
          </cell>
          <cell r="BS577">
            <v>878746</v>
          </cell>
          <cell r="BT577">
            <v>109681</v>
          </cell>
          <cell r="BU577">
            <v>3261225</v>
          </cell>
          <cell r="BV577">
            <v>7139</v>
          </cell>
          <cell r="BW577">
            <v>1298</v>
          </cell>
          <cell r="BX577">
            <v>1947</v>
          </cell>
          <cell r="BY577">
            <v>649</v>
          </cell>
          <cell r="BZ577">
            <v>3245</v>
          </cell>
          <cell r="CA577">
            <v>0</v>
          </cell>
          <cell r="CB577">
            <v>0</v>
          </cell>
          <cell r="CC577">
            <v>0</v>
          </cell>
          <cell r="CD577">
            <v>0</v>
          </cell>
          <cell r="CE577">
            <v>0</v>
          </cell>
          <cell r="CF577">
            <v>0</v>
          </cell>
          <cell r="CG577">
            <v>0</v>
          </cell>
          <cell r="CH577">
            <v>14278</v>
          </cell>
          <cell r="CI577">
            <v>0</v>
          </cell>
          <cell r="CJ577">
            <v>0</v>
          </cell>
          <cell r="CK577">
            <v>0</v>
          </cell>
          <cell r="CL577">
            <v>0</v>
          </cell>
          <cell r="CM577">
            <v>0</v>
          </cell>
          <cell r="CN577">
            <v>0</v>
          </cell>
          <cell r="CO577">
            <v>0</v>
          </cell>
          <cell r="EN577">
            <v>706</v>
          </cell>
          <cell r="EO577">
            <v>1012</v>
          </cell>
          <cell r="EP577">
            <v>1784</v>
          </cell>
          <cell r="EQ577">
            <v>1354</v>
          </cell>
          <cell r="ER577">
            <v>169</v>
          </cell>
          <cell r="ES577">
            <v>0</v>
          </cell>
          <cell r="ET577">
            <v>5025</v>
          </cell>
          <cell r="EU577">
            <v>11</v>
          </cell>
          <cell r="EV577">
            <v>2</v>
          </cell>
          <cell r="EW577">
            <v>3</v>
          </cell>
          <cell r="EX577">
            <v>1</v>
          </cell>
          <cell r="EY577">
            <v>5</v>
          </cell>
          <cell r="EZ577">
            <v>0</v>
          </cell>
          <cell r="FA577">
            <v>0</v>
          </cell>
          <cell r="FB577">
            <v>0</v>
          </cell>
          <cell r="FC577">
            <v>0</v>
          </cell>
          <cell r="FD577">
            <v>0</v>
          </cell>
          <cell r="FE577">
            <v>0</v>
          </cell>
          <cell r="FF577">
            <v>0</v>
          </cell>
          <cell r="FG577">
            <v>22</v>
          </cell>
          <cell r="FH577">
            <v>0</v>
          </cell>
          <cell r="FI577">
            <v>0</v>
          </cell>
          <cell r="FJ577">
            <v>0</v>
          </cell>
          <cell r="FK577">
            <v>0</v>
          </cell>
        </row>
        <row r="578">
          <cell r="G578">
            <v>237732</v>
          </cell>
          <cell r="H578" t="str">
            <v>ARIEL 4D抗菌洗衣膠囊53個x2-抗菌去漬款</v>
          </cell>
          <cell r="N578">
            <v>649</v>
          </cell>
          <cell r="Q578" t="str">
            <v>on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501677</v>
          </cell>
          <cell r="BQ578">
            <v>769714</v>
          </cell>
          <cell r="BR578">
            <v>1188968</v>
          </cell>
          <cell r="BS578">
            <v>1054625</v>
          </cell>
          <cell r="BT578">
            <v>97350</v>
          </cell>
          <cell r="BU578">
            <v>3612334</v>
          </cell>
          <cell r="BV578">
            <v>7139</v>
          </cell>
          <cell r="BW578">
            <v>2596</v>
          </cell>
          <cell r="BX578">
            <v>2596</v>
          </cell>
          <cell r="BY578">
            <v>0</v>
          </cell>
          <cell r="BZ578">
            <v>1298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  <cell r="CE578">
            <v>0</v>
          </cell>
          <cell r="CF578">
            <v>0</v>
          </cell>
          <cell r="CG578">
            <v>0</v>
          </cell>
          <cell r="CH578">
            <v>13629</v>
          </cell>
          <cell r="CI578">
            <v>0</v>
          </cell>
          <cell r="CJ578">
            <v>0</v>
          </cell>
          <cell r="CK578">
            <v>0</v>
          </cell>
          <cell r="CL578">
            <v>0</v>
          </cell>
          <cell r="CM578">
            <v>0</v>
          </cell>
          <cell r="CN578">
            <v>0</v>
          </cell>
          <cell r="CO578">
            <v>0</v>
          </cell>
          <cell r="EN578">
            <v>773</v>
          </cell>
          <cell r="EO578">
            <v>1186</v>
          </cell>
          <cell r="EP578">
            <v>1832</v>
          </cell>
          <cell r="EQ578">
            <v>1625</v>
          </cell>
          <cell r="ER578">
            <v>150</v>
          </cell>
          <cell r="ES578">
            <v>0</v>
          </cell>
          <cell r="ET578">
            <v>5566</v>
          </cell>
          <cell r="EU578">
            <v>11</v>
          </cell>
          <cell r="EV578">
            <v>4</v>
          </cell>
          <cell r="EW578">
            <v>4</v>
          </cell>
          <cell r="EX578">
            <v>0</v>
          </cell>
          <cell r="EY578">
            <v>2</v>
          </cell>
          <cell r="EZ578">
            <v>0</v>
          </cell>
          <cell r="FA578">
            <v>0</v>
          </cell>
          <cell r="FB578">
            <v>0</v>
          </cell>
          <cell r="FC578">
            <v>0</v>
          </cell>
          <cell r="FD578">
            <v>0</v>
          </cell>
          <cell r="FE578">
            <v>0</v>
          </cell>
          <cell r="FF578">
            <v>0</v>
          </cell>
          <cell r="FG578">
            <v>21</v>
          </cell>
          <cell r="FH578">
            <v>0</v>
          </cell>
          <cell r="FI578">
            <v>0</v>
          </cell>
          <cell r="FJ578">
            <v>0</v>
          </cell>
          <cell r="FK578">
            <v>0</v>
          </cell>
        </row>
        <row r="579">
          <cell r="G579">
            <v>121492</v>
          </cell>
          <cell r="H579" t="str">
            <v>M)ARIEL4D抗菌抗蟎洗衣膠囊31顆袋裝</v>
          </cell>
          <cell r="N579">
            <v>201.75</v>
          </cell>
          <cell r="Q579" t="str">
            <v>on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10491</v>
          </cell>
          <cell r="AP579">
            <v>244319.25</v>
          </cell>
          <cell r="AQ579">
            <v>118629</v>
          </cell>
          <cell r="AR579">
            <v>87357.75</v>
          </cell>
          <cell r="AS579">
            <v>185408.25</v>
          </cell>
          <cell r="AT579">
            <v>158979</v>
          </cell>
          <cell r="AU579">
            <v>141830.25</v>
          </cell>
          <cell r="AV579">
            <v>643582.5</v>
          </cell>
          <cell r="AW579">
            <v>626837.25</v>
          </cell>
          <cell r="AX579">
            <v>171891</v>
          </cell>
          <cell r="AY579">
            <v>138198.75</v>
          </cell>
          <cell r="AZ579">
            <v>66375.75</v>
          </cell>
          <cell r="BA579">
            <v>62139</v>
          </cell>
          <cell r="BB579">
            <v>14122.5</v>
          </cell>
          <cell r="BC579">
            <v>7868.25</v>
          </cell>
          <cell r="BD579">
            <v>3228</v>
          </cell>
          <cell r="BE579">
            <v>201.75</v>
          </cell>
          <cell r="BF579">
            <v>403.5</v>
          </cell>
          <cell r="BG579">
            <v>0</v>
          </cell>
          <cell r="BH579">
            <v>1734848.25</v>
          </cell>
          <cell r="BI579">
            <v>0</v>
          </cell>
          <cell r="BJ579">
            <v>403.5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403.5</v>
          </cell>
          <cell r="BV579">
            <v>0</v>
          </cell>
          <cell r="BW579">
            <v>0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  <cell r="CE579">
            <v>0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0</v>
          </cell>
          <cell r="CK579">
            <v>0</v>
          </cell>
          <cell r="CL579">
            <v>0</v>
          </cell>
          <cell r="CM579">
            <v>0</v>
          </cell>
          <cell r="CN579">
            <v>0</v>
          </cell>
          <cell r="CO579">
            <v>0</v>
          </cell>
          <cell r="CP579">
            <v>0</v>
          </cell>
          <cell r="CQ579">
            <v>0</v>
          </cell>
          <cell r="CR579">
            <v>0</v>
          </cell>
          <cell r="CS579">
            <v>0</v>
          </cell>
          <cell r="CT579">
            <v>0</v>
          </cell>
          <cell r="CU579">
            <v>0</v>
          </cell>
          <cell r="CV579">
            <v>0</v>
          </cell>
          <cell r="CW579">
            <v>0</v>
          </cell>
          <cell r="CX579">
            <v>0</v>
          </cell>
          <cell r="CY579">
            <v>0</v>
          </cell>
          <cell r="CZ579">
            <v>0</v>
          </cell>
          <cell r="DA579">
            <v>0</v>
          </cell>
          <cell r="DB579">
            <v>0</v>
          </cell>
          <cell r="DC579">
            <v>0</v>
          </cell>
          <cell r="DD579">
            <v>0</v>
          </cell>
          <cell r="DE579">
            <v>0</v>
          </cell>
          <cell r="DF579">
            <v>0</v>
          </cell>
          <cell r="DG579">
            <v>0</v>
          </cell>
          <cell r="DH579">
            <v>0</v>
          </cell>
          <cell r="DI579">
            <v>0</v>
          </cell>
          <cell r="DJ579">
            <v>0</v>
          </cell>
          <cell r="DK579">
            <v>0</v>
          </cell>
          <cell r="DL579">
            <v>0</v>
          </cell>
          <cell r="DM579">
            <v>52</v>
          </cell>
          <cell r="DN579">
            <v>1211</v>
          </cell>
          <cell r="DO579">
            <v>588</v>
          </cell>
          <cell r="DP579">
            <v>433</v>
          </cell>
          <cell r="DQ579">
            <v>919</v>
          </cell>
          <cell r="DR579">
            <v>788</v>
          </cell>
          <cell r="DS579">
            <v>703</v>
          </cell>
          <cell r="DT579">
            <v>3190</v>
          </cell>
          <cell r="DU579">
            <v>3107</v>
          </cell>
          <cell r="DV579">
            <v>852</v>
          </cell>
          <cell r="DW579">
            <v>685</v>
          </cell>
          <cell r="DX579">
            <v>329</v>
          </cell>
          <cell r="DY579">
            <v>308</v>
          </cell>
          <cell r="DZ579">
            <v>70</v>
          </cell>
          <cell r="EA579">
            <v>39</v>
          </cell>
          <cell r="EB579">
            <v>16</v>
          </cell>
          <cell r="EC579">
            <v>1</v>
          </cell>
          <cell r="ED579">
            <v>2</v>
          </cell>
          <cell r="EE579">
            <v>0</v>
          </cell>
          <cell r="EF579">
            <v>8599</v>
          </cell>
          <cell r="EG579">
            <v>0</v>
          </cell>
          <cell r="EH579">
            <v>2</v>
          </cell>
          <cell r="EI579">
            <v>0</v>
          </cell>
          <cell r="EJ579">
            <v>0</v>
          </cell>
          <cell r="EK579">
            <v>0</v>
          </cell>
          <cell r="EL579">
            <v>0</v>
          </cell>
          <cell r="EM579">
            <v>0</v>
          </cell>
          <cell r="EN579">
            <v>0</v>
          </cell>
          <cell r="EO579">
            <v>0</v>
          </cell>
          <cell r="EP579">
            <v>0</v>
          </cell>
          <cell r="EQ579">
            <v>0</v>
          </cell>
          <cell r="ER579">
            <v>0</v>
          </cell>
          <cell r="ES579">
            <v>0</v>
          </cell>
          <cell r="ET579">
            <v>2</v>
          </cell>
          <cell r="EU579">
            <v>0</v>
          </cell>
          <cell r="EV579">
            <v>0</v>
          </cell>
          <cell r="EW579">
            <v>0</v>
          </cell>
          <cell r="EX579">
            <v>0</v>
          </cell>
          <cell r="EY579">
            <v>0</v>
          </cell>
          <cell r="EZ579">
            <v>0</v>
          </cell>
          <cell r="FA579">
            <v>0</v>
          </cell>
          <cell r="FB579">
            <v>0</v>
          </cell>
          <cell r="FC579">
            <v>0</v>
          </cell>
          <cell r="FD579">
            <v>0</v>
          </cell>
          <cell r="FE579">
            <v>0</v>
          </cell>
          <cell r="FF579">
            <v>0</v>
          </cell>
          <cell r="FG579">
            <v>0</v>
          </cell>
        </row>
        <row r="580">
          <cell r="G580">
            <v>196668</v>
          </cell>
          <cell r="H580" t="str">
            <v>ARIEL 4D抗菌抗蟎洗衣膠囊27顆袋裝</v>
          </cell>
          <cell r="N580">
            <v>219.3</v>
          </cell>
          <cell r="P580">
            <v>300</v>
          </cell>
          <cell r="Q580" t="str">
            <v>on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78290.100000000006</v>
          </cell>
          <cell r="BF580">
            <v>119518.5</v>
          </cell>
          <cell r="BG580">
            <v>95176.200000000012</v>
          </cell>
          <cell r="BH580">
            <v>292984.80000000005</v>
          </cell>
          <cell r="BI580">
            <v>189255.90000000002</v>
          </cell>
          <cell r="BJ580">
            <v>323906.10000000003</v>
          </cell>
          <cell r="BK580">
            <v>96711.3</v>
          </cell>
          <cell r="BL580">
            <v>132457.20000000001</v>
          </cell>
          <cell r="BM580">
            <v>114693.90000000001</v>
          </cell>
          <cell r="BN580">
            <v>76316.400000000009</v>
          </cell>
          <cell r="BO580">
            <v>91228.800000000003</v>
          </cell>
          <cell r="BP580">
            <v>91009.5</v>
          </cell>
          <cell r="BQ580">
            <v>48026.700000000004</v>
          </cell>
          <cell r="BR580">
            <v>59430.3</v>
          </cell>
          <cell r="BS580">
            <v>83553.3</v>
          </cell>
          <cell r="BT580">
            <v>171931.2</v>
          </cell>
          <cell r="BU580">
            <v>1478520.6</v>
          </cell>
          <cell r="BV580">
            <v>212501.7</v>
          </cell>
          <cell r="BW580">
            <v>225001.80000000002</v>
          </cell>
          <cell r="BX580">
            <v>191010.30000000002</v>
          </cell>
          <cell r="BY580">
            <v>204826.2</v>
          </cell>
          <cell r="BZ580">
            <v>146931</v>
          </cell>
          <cell r="CA580">
            <v>123904.5</v>
          </cell>
          <cell r="CB580">
            <v>115790.40000000001</v>
          </cell>
          <cell r="CC580">
            <v>75658.5</v>
          </cell>
          <cell r="CD580">
            <v>18859.8</v>
          </cell>
          <cell r="CE580">
            <v>12061.5</v>
          </cell>
          <cell r="CF580">
            <v>14254.5</v>
          </cell>
          <cell r="CG580">
            <v>4605.3</v>
          </cell>
          <cell r="CH580">
            <v>1345405.5</v>
          </cell>
          <cell r="CI580">
            <v>877.2</v>
          </cell>
          <cell r="CJ580">
            <v>219.3</v>
          </cell>
          <cell r="CK580">
            <v>877.2</v>
          </cell>
          <cell r="CL580">
            <v>0</v>
          </cell>
          <cell r="CM580">
            <v>0</v>
          </cell>
          <cell r="CN580">
            <v>0</v>
          </cell>
          <cell r="CO580">
            <v>0</v>
          </cell>
          <cell r="CP580">
            <v>0</v>
          </cell>
          <cell r="CQ580">
            <v>0</v>
          </cell>
          <cell r="CR580">
            <v>0</v>
          </cell>
          <cell r="CS580">
            <v>0</v>
          </cell>
          <cell r="CT580">
            <v>0</v>
          </cell>
          <cell r="CU580">
            <v>0</v>
          </cell>
          <cell r="CV580">
            <v>0</v>
          </cell>
          <cell r="CW580">
            <v>0</v>
          </cell>
          <cell r="CX580">
            <v>0</v>
          </cell>
          <cell r="CY580">
            <v>0</v>
          </cell>
          <cell r="CZ580">
            <v>0</v>
          </cell>
          <cell r="DA580">
            <v>0</v>
          </cell>
          <cell r="DB580">
            <v>0</v>
          </cell>
          <cell r="DC580">
            <v>0</v>
          </cell>
          <cell r="DD580">
            <v>0</v>
          </cell>
          <cell r="DE580">
            <v>0</v>
          </cell>
          <cell r="DF580">
            <v>0</v>
          </cell>
          <cell r="DG580">
            <v>0</v>
          </cell>
          <cell r="DH580">
            <v>0</v>
          </cell>
          <cell r="DI580">
            <v>0</v>
          </cell>
          <cell r="DJ580">
            <v>0</v>
          </cell>
          <cell r="DK580">
            <v>0</v>
          </cell>
          <cell r="DL580">
            <v>0</v>
          </cell>
          <cell r="DM580">
            <v>0</v>
          </cell>
          <cell r="DN580">
            <v>0</v>
          </cell>
          <cell r="DO580">
            <v>0</v>
          </cell>
          <cell r="DP580">
            <v>0</v>
          </cell>
          <cell r="DQ580">
            <v>0</v>
          </cell>
          <cell r="DR580">
            <v>0</v>
          </cell>
          <cell r="DS580">
            <v>0</v>
          </cell>
          <cell r="DT580">
            <v>0</v>
          </cell>
          <cell r="DU580">
            <v>0</v>
          </cell>
          <cell r="DV580">
            <v>0</v>
          </cell>
          <cell r="DW580">
            <v>0</v>
          </cell>
          <cell r="DX580">
            <v>0</v>
          </cell>
          <cell r="DY580">
            <v>0</v>
          </cell>
          <cell r="DZ580">
            <v>0</v>
          </cell>
          <cell r="EA580">
            <v>0</v>
          </cell>
          <cell r="EB580">
            <v>0</v>
          </cell>
          <cell r="EC580">
            <v>357</v>
          </cell>
          <cell r="ED580">
            <v>545</v>
          </cell>
          <cell r="EE580">
            <v>434</v>
          </cell>
          <cell r="EF580">
            <v>1336</v>
          </cell>
          <cell r="EG580">
            <v>863</v>
          </cell>
          <cell r="EH580">
            <v>1477</v>
          </cell>
          <cell r="EI580">
            <v>441</v>
          </cell>
          <cell r="EJ580">
            <v>604</v>
          </cell>
          <cell r="EK580">
            <v>523</v>
          </cell>
          <cell r="EL580">
            <v>348</v>
          </cell>
          <cell r="EM580">
            <v>416</v>
          </cell>
          <cell r="EN580">
            <v>415</v>
          </cell>
          <cell r="EO580">
            <v>219</v>
          </cell>
          <cell r="EP580">
            <v>271</v>
          </cell>
          <cell r="EQ580">
            <v>381</v>
          </cell>
          <cell r="ER580">
            <v>784</v>
          </cell>
          <cell r="ES580">
            <v>0</v>
          </cell>
          <cell r="ET580">
            <v>6742</v>
          </cell>
          <cell r="EU580">
            <v>969</v>
          </cell>
          <cell r="EV580">
            <v>1026</v>
          </cell>
          <cell r="EW580">
            <v>871</v>
          </cell>
          <cell r="EX580">
            <v>934</v>
          </cell>
          <cell r="EY580">
            <v>670</v>
          </cell>
          <cell r="EZ580">
            <v>565</v>
          </cell>
          <cell r="FA580">
            <v>528</v>
          </cell>
          <cell r="FB580">
            <v>345</v>
          </cell>
          <cell r="FC580">
            <v>86</v>
          </cell>
          <cell r="FD580">
            <v>55</v>
          </cell>
          <cell r="FE580">
            <v>65</v>
          </cell>
          <cell r="FF580">
            <v>21</v>
          </cell>
          <cell r="FG580">
            <v>6135</v>
          </cell>
          <cell r="FH580">
            <v>4</v>
          </cell>
          <cell r="FI580">
            <v>1</v>
          </cell>
          <cell r="FJ580">
            <v>4</v>
          </cell>
          <cell r="FK580">
            <v>0</v>
          </cell>
        </row>
        <row r="581">
          <cell r="G581">
            <v>322928</v>
          </cell>
          <cell r="H581" t="str">
            <v>ARIEL3D抗菌抗蟎洗衣膠囊26顆袋裝</v>
          </cell>
          <cell r="N581">
            <v>189.9</v>
          </cell>
          <cell r="P581">
            <v>0</v>
          </cell>
          <cell r="Q581" t="str">
            <v>on</v>
          </cell>
          <cell r="R581">
            <v>0</v>
          </cell>
          <cell r="S581">
            <v>0</v>
          </cell>
          <cell r="T581">
            <v>0</v>
          </cell>
          <cell r="U581">
            <v>85265.1</v>
          </cell>
          <cell r="V581">
            <v>112230.90000000001</v>
          </cell>
          <cell r="W581">
            <v>100647</v>
          </cell>
          <cell r="X581">
            <v>73301.400000000009</v>
          </cell>
          <cell r="Y581">
            <v>92101.5</v>
          </cell>
          <cell r="Z581">
            <v>126283.5</v>
          </cell>
          <cell r="AA581">
            <v>71402.400000000009</v>
          </cell>
          <cell r="AB581">
            <v>90012.6</v>
          </cell>
          <cell r="AC581">
            <v>45006.3</v>
          </cell>
          <cell r="AD581">
            <v>54881.1</v>
          </cell>
          <cell r="AE581">
            <v>54121.5</v>
          </cell>
          <cell r="AF581">
            <v>56780.1</v>
          </cell>
          <cell r="AG581">
            <v>36270.9</v>
          </cell>
          <cell r="AH581">
            <v>31523.4</v>
          </cell>
          <cell r="AI581">
            <v>23167.8</v>
          </cell>
          <cell r="AJ581">
            <v>32472.9</v>
          </cell>
          <cell r="AK581">
            <v>19749.600000000002</v>
          </cell>
          <cell r="AL581">
            <v>35891.1</v>
          </cell>
          <cell r="AM581">
            <v>45765.9</v>
          </cell>
          <cell r="AN581">
            <v>52982.1</v>
          </cell>
          <cell r="AO581">
            <v>627999.30000000005</v>
          </cell>
          <cell r="AP581">
            <v>688007.70000000007</v>
          </cell>
          <cell r="AQ581">
            <v>452911.5</v>
          </cell>
          <cell r="AR581">
            <v>384927.3</v>
          </cell>
          <cell r="AS581">
            <v>720100.8</v>
          </cell>
          <cell r="AT581">
            <v>48994.200000000004</v>
          </cell>
          <cell r="AU581">
            <v>19559.7</v>
          </cell>
          <cell r="AV581">
            <v>7026.3</v>
          </cell>
          <cell r="AW581">
            <v>3228.3</v>
          </cell>
          <cell r="AX581">
            <v>1329.3</v>
          </cell>
          <cell r="AY581">
            <v>1519.2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13103.1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0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  <cell r="CE581">
            <v>0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0</v>
          </cell>
          <cell r="CK581">
            <v>0</v>
          </cell>
          <cell r="CL581">
            <v>0</v>
          </cell>
          <cell r="CM581">
            <v>0</v>
          </cell>
          <cell r="CN581">
            <v>0</v>
          </cell>
          <cell r="CO581">
            <v>0</v>
          </cell>
          <cell r="CP581">
            <v>0</v>
          </cell>
          <cell r="CQ581">
            <v>0</v>
          </cell>
          <cell r="CR581">
            <v>0</v>
          </cell>
          <cell r="CS581">
            <v>449</v>
          </cell>
          <cell r="CT581">
            <v>591</v>
          </cell>
          <cell r="CU581">
            <v>530</v>
          </cell>
          <cell r="CV581">
            <v>386</v>
          </cell>
          <cell r="CW581">
            <v>485</v>
          </cell>
          <cell r="CX581">
            <v>665</v>
          </cell>
          <cell r="CY581">
            <v>376</v>
          </cell>
          <cell r="CZ581">
            <v>474</v>
          </cell>
          <cell r="DA581">
            <v>237</v>
          </cell>
          <cell r="DB581">
            <v>289</v>
          </cell>
          <cell r="DC581">
            <v>285</v>
          </cell>
          <cell r="DD581">
            <v>299</v>
          </cell>
          <cell r="DE581">
            <v>191</v>
          </cell>
          <cell r="DF581">
            <v>166</v>
          </cell>
          <cell r="DG581">
            <v>122</v>
          </cell>
          <cell r="DH581">
            <v>171</v>
          </cell>
          <cell r="DI581">
            <v>104</v>
          </cell>
          <cell r="DJ581">
            <v>189</v>
          </cell>
          <cell r="DK581">
            <v>241</v>
          </cell>
          <cell r="DL581">
            <v>279</v>
          </cell>
          <cell r="DM581">
            <v>3307</v>
          </cell>
          <cell r="DN581">
            <v>3623</v>
          </cell>
          <cell r="DO581">
            <v>2385</v>
          </cell>
          <cell r="DP581">
            <v>2027</v>
          </cell>
          <cell r="DQ581">
            <v>3792</v>
          </cell>
          <cell r="DR581">
            <v>258</v>
          </cell>
          <cell r="DS581">
            <v>103</v>
          </cell>
          <cell r="DT581">
            <v>37</v>
          </cell>
          <cell r="DU581">
            <v>17</v>
          </cell>
          <cell r="DV581">
            <v>7</v>
          </cell>
          <cell r="DW581">
            <v>8</v>
          </cell>
          <cell r="DX581">
            <v>0</v>
          </cell>
          <cell r="DY581">
            <v>0</v>
          </cell>
          <cell r="DZ581">
            <v>0</v>
          </cell>
          <cell r="EA581">
            <v>0</v>
          </cell>
          <cell r="EB581">
            <v>0</v>
          </cell>
          <cell r="EC581">
            <v>0</v>
          </cell>
          <cell r="ED581">
            <v>0</v>
          </cell>
          <cell r="EE581">
            <v>0</v>
          </cell>
          <cell r="EF581">
            <v>69</v>
          </cell>
          <cell r="EG581">
            <v>0</v>
          </cell>
          <cell r="EH581">
            <v>0</v>
          </cell>
          <cell r="EI581">
            <v>0</v>
          </cell>
          <cell r="EJ581">
            <v>0</v>
          </cell>
          <cell r="EK581">
            <v>0</v>
          </cell>
          <cell r="EL581">
            <v>0</v>
          </cell>
          <cell r="EM581">
            <v>0</v>
          </cell>
          <cell r="EN581">
            <v>0</v>
          </cell>
          <cell r="EO581">
            <v>0</v>
          </cell>
          <cell r="EP581">
            <v>0</v>
          </cell>
          <cell r="EQ581">
            <v>0</v>
          </cell>
          <cell r="ER581">
            <v>0</v>
          </cell>
          <cell r="ES581">
            <v>0</v>
          </cell>
          <cell r="ET581">
            <v>0</v>
          </cell>
          <cell r="EU581">
            <v>0</v>
          </cell>
          <cell r="EV581">
            <v>0</v>
          </cell>
          <cell r="EW581">
            <v>0</v>
          </cell>
          <cell r="EX581">
            <v>0</v>
          </cell>
          <cell r="EY581">
            <v>0</v>
          </cell>
          <cell r="EZ581">
            <v>0</v>
          </cell>
          <cell r="FA581">
            <v>0</v>
          </cell>
          <cell r="FB581">
            <v>0</v>
          </cell>
          <cell r="FC581">
            <v>0</v>
          </cell>
          <cell r="FD581">
            <v>0</v>
          </cell>
          <cell r="FE581">
            <v>0</v>
          </cell>
          <cell r="FF581">
            <v>0</v>
          </cell>
          <cell r="FG581">
            <v>0</v>
          </cell>
        </row>
        <row r="582">
          <cell r="G582">
            <v>289939</v>
          </cell>
          <cell r="H582" t="str">
            <v>Ariel3D抗菌洗衣膠囊34顆袋裝(室內晾衣型)</v>
          </cell>
          <cell r="N582">
            <v>219.29999999999998</v>
          </cell>
          <cell r="P582">
            <v>0</v>
          </cell>
          <cell r="Q582" t="str">
            <v>on</v>
          </cell>
          <cell r="R582">
            <v>114035.99999999999</v>
          </cell>
          <cell r="S582">
            <v>108772.79999999999</v>
          </cell>
          <cell r="T582">
            <v>109430.7</v>
          </cell>
          <cell r="U582">
            <v>100877.99999999999</v>
          </cell>
          <cell r="V582">
            <v>67544.399999999994</v>
          </cell>
          <cell r="W582">
            <v>89913</v>
          </cell>
          <cell r="X582">
            <v>94956.9</v>
          </cell>
          <cell r="Y582">
            <v>88377.9</v>
          </cell>
          <cell r="Z582">
            <v>79386.599999999991</v>
          </cell>
          <cell r="AA582">
            <v>110088.59999999999</v>
          </cell>
          <cell r="AB582">
            <v>139036.19999999998</v>
          </cell>
          <cell r="AC582">
            <v>38816.1</v>
          </cell>
          <cell r="AD582">
            <v>13596.599999999999</v>
          </cell>
          <cell r="AE582">
            <v>10965</v>
          </cell>
          <cell r="AF582">
            <v>1754.3999999999999</v>
          </cell>
          <cell r="AG582">
            <v>1535.1</v>
          </cell>
          <cell r="AH582">
            <v>438.59999999999997</v>
          </cell>
          <cell r="AI582">
            <v>0</v>
          </cell>
          <cell r="AJ582">
            <v>0</v>
          </cell>
          <cell r="AK582">
            <v>219.29999999999998</v>
          </cell>
          <cell r="AL582">
            <v>219.29999999999998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0</v>
          </cell>
          <cell r="BW582">
            <v>0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D582">
            <v>0</v>
          </cell>
          <cell r="CE582">
            <v>0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0</v>
          </cell>
          <cell r="CK582">
            <v>0</v>
          </cell>
          <cell r="CL582">
            <v>0</v>
          </cell>
          <cell r="CM582">
            <v>0</v>
          </cell>
          <cell r="CN582">
            <v>0</v>
          </cell>
          <cell r="CO582">
            <v>0</v>
          </cell>
          <cell r="CP582">
            <v>520</v>
          </cell>
          <cell r="CQ582">
            <v>496</v>
          </cell>
          <cell r="CR582">
            <v>499</v>
          </cell>
          <cell r="CS582">
            <v>460</v>
          </cell>
          <cell r="CT582">
            <v>308</v>
          </cell>
          <cell r="CU582">
            <v>410</v>
          </cell>
          <cell r="CV582">
            <v>433</v>
          </cell>
          <cell r="CW582">
            <v>403</v>
          </cell>
          <cell r="CX582">
            <v>362</v>
          </cell>
          <cell r="CY582">
            <v>502</v>
          </cell>
          <cell r="CZ582">
            <v>634</v>
          </cell>
          <cell r="DA582">
            <v>177</v>
          </cell>
          <cell r="DB582">
            <v>62</v>
          </cell>
          <cell r="DC582">
            <v>50</v>
          </cell>
          <cell r="DD582">
            <v>8</v>
          </cell>
          <cell r="DE582">
            <v>7</v>
          </cell>
          <cell r="DF582">
            <v>2</v>
          </cell>
          <cell r="DG582">
            <v>0</v>
          </cell>
          <cell r="DH582">
            <v>0</v>
          </cell>
          <cell r="DI582">
            <v>1</v>
          </cell>
          <cell r="DJ582">
            <v>1</v>
          </cell>
          <cell r="DK582">
            <v>0</v>
          </cell>
          <cell r="DL582">
            <v>0</v>
          </cell>
          <cell r="DM582">
            <v>0</v>
          </cell>
          <cell r="DN582">
            <v>0</v>
          </cell>
          <cell r="DO582">
            <v>0</v>
          </cell>
          <cell r="DP582">
            <v>0</v>
          </cell>
          <cell r="DQ582">
            <v>0</v>
          </cell>
          <cell r="DR582">
            <v>0</v>
          </cell>
          <cell r="DS582">
            <v>0</v>
          </cell>
          <cell r="DT582">
            <v>0</v>
          </cell>
          <cell r="DU582">
            <v>0</v>
          </cell>
          <cell r="DV582">
            <v>0</v>
          </cell>
          <cell r="DW582">
            <v>0</v>
          </cell>
          <cell r="DX582">
            <v>0</v>
          </cell>
          <cell r="DY582">
            <v>0</v>
          </cell>
          <cell r="DZ582">
            <v>0</v>
          </cell>
          <cell r="EA582">
            <v>0</v>
          </cell>
          <cell r="EB582">
            <v>0</v>
          </cell>
          <cell r="EC582">
            <v>0</v>
          </cell>
          <cell r="ED582">
            <v>0</v>
          </cell>
          <cell r="EE582">
            <v>0</v>
          </cell>
          <cell r="EF582">
            <v>0</v>
          </cell>
          <cell r="EG582">
            <v>0</v>
          </cell>
          <cell r="EH582">
            <v>0</v>
          </cell>
          <cell r="EI582">
            <v>0</v>
          </cell>
          <cell r="EJ582">
            <v>0</v>
          </cell>
          <cell r="EK582">
            <v>0</v>
          </cell>
          <cell r="EL582">
            <v>0</v>
          </cell>
          <cell r="EM582">
            <v>0</v>
          </cell>
          <cell r="EN582">
            <v>0</v>
          </cell>
          <cell r="EO582">
            <v>0</v>
          </cell>
          <cell r="EP582">
            <v>0</v>
          </cell>
          <cell r="EQ582">
            <v>0</v>
          </cell>
          <cell r="ER582">
            <v>0</v>
          </cell>
          <cell r="ES582">
            <v>0</v>
          </cell>
          <cell r="ET582">
            <v>0</v>
          </cell>
          <cell r="EU582">
            <v>0</v>
          </cell>
          <cell r="EV582">
            <v>0</v>
          </cell>
          <cell r="EW582">
            <v>0</v>
          </cell>
          <cell r="EX582">
            <v>0</v>
          </cell>
          <cell r="EY582">
            <v>0</v>
          </cell>
          <cell r="EZ582">
            <v>0</v>
          </cell>
          <cell r="FA582">
            <v>0</v>
          </cell>
          <cell r="FB582">
            <v>0</v>
          </cell>
          <cell r="FC582">
            <v>0</v>
          </cell>
          <cell r="FD582">
            <v>0</v>
          </cell>
          <cell r="FE582">
            <v>0</v>
          </cell>
          <cell r="FF582">
            <v>0</v>
          </cell>
          <cell r="FG582">
            <v>0</v>
          </cell>
        </row>
        <row r="583">
          <cell r="G583">
            <v>289942</v>
          </cell>
          <cell r="H583" t="str">
            <v>Ariel3D抗菌洗衣膠囊34顆袋裝</v>
          </cell>
          <cell r="N583">
            <v>219.29999999999998</v>
          </cell>
          <cell r="P583">
            <v>0</v>
          </cell>
          <cell r="Q583" t="str">
            <v>on</v>
          </cell>
          <cell r="R583">
            <v>112720.2</v>
          </cell>
          <cell r="S583">
            <v>116448.29999999999</v>
          </cell>
          <cell r="T583">
            <v>104167.49999999999</v>
          </cell>
          <cell r="U583">
            <v>116009.7</v>
          </cell>
          <cell r="V583">
            <v>75658.5</v>
          </cell>
          <cell r="W583">
            <v>92106</v>
          </cell>
          <cell r="X583">
            <v>116448.29999999999</v>
          </cell>
          <cell r="Y583">
            <v>111623.7</v>
          </cell>
          <cell r="Z583">
            <v>87720</v>
          </cell>
          <cell r="AA583">
            <v>132895.79999999999</v>
          </cell>
          <cell r="AB583">
            <v>112062.29999999999</v>
          </cell>
          <cell r="AC583">
            <v>21710.699999999997</v>
          </cell>
          <cell r="AD583">
            <v>13157.999999999998</v>
          </cell>
          <cell r="AE583">
            <v>8333.4</v>
          </cell>
          <cell r="AF583">
            <v>1096.5</v>
          </cell>
          <cell r="AG583">
            <v>219.29999999999998</v>
          </cell>
          <cell r="AH583">
            <v>657.9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219.29999999999998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0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0</v>
          </cell>
          <cell r="CD583">
            <v>0</v>
          </cell>
          <cell r="CE583">
            <v>0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0</v>
          </cell>
          <cell r="CK583">
            <v>0</v>
          </cell>
          <cell r="CL583">
            <v>0</v>
          </cell>
          <cell r="CM583">
            <v>0</v>
          </cell>
          <cell r="CN583">
            <v>0</v>
          </cell>
          <cell r="CO583">
            <v>0</v>
          </cell>
          <cell r="CP583">
            <v>514</v>
          </cell>
          <cell r="CQ583">
            <v>531</v>
          </cell>
          <cell r="CR583">
            <v>475</v>
          </cell>
          <cell r="CS583">
            <v>529</v>
          </cell>
          <cell r="CT583">
            <v>345</v>
          </cell>
          <cell r="CU583">
            <v>420</v>
          </cell>
          <cell r="CV583">
            <v>531</v>
          </cell>
          <cell r="CW583">
            <v>509</v>
          </cell>
          <cell r="CX583">
            <v>400</v>
          </cell>
          <cell r="CY583">
            <v>606</v>
          </cell>
          <cell r="CZ583">
            <v>511</v>
          </cell>
          <cell r="DA583">
            <v>99</v>
          </cell>
          <cell r="DB583">
            <v>60</v>
          </cell>
          <cell r="DC583">
            <v>38</v>
          </cell>
          <cell r="DD583">
            <v>5</v>
          </cell>
          <cell r="DE583">
            <v>1</v>
          </cell>
          <cell r="DF583">
            <v>3</v>
          </cell>
          <cell r="DG583">
            <v>0</v>
          </cell>
          <cell r="DH583">
            <v>0</v>
          </cell>
          <cell r="DI583">
            <v>0</v>
          </cell>
          <cell r="DJ583">
            <v>0</v>
          </cell>
          <cell r="DK583">
            <v>1</v>
          </cell>
          <cell r="DL583">
            <v>0</v>
          </cell>
          <cell r="DM583">
            <v>0</v>
          </cell>
          <cell r="DN583">
            <v>0</v>
          </cell>
          <cell r="DO583">
            <v>0</v>
          </cell>
          <cell r="DP583">
            <v>0</v>
          </cell>
          <cell r="DQ583">
            <v>0</v>
          </cell>
          <cell r="DR583">
            <v>0</v>
          </cell>
          <cell r="DS583">
            <v>0</v>
          </cell>
          <cell r="DT583">
            <v>0</v>
          </cell>
          <cell r="DU583">
            <v>0</v>
          </cell>
          <cell r="DV583">
            <v>0</v>
          </cell>
          <cell r="DW583">
            <v>0</v>
          </cell>
          <cell r="DX583">
            <v>0</v>
          </cell>
          <cell r="DY583">
            <v>0</v>
          </cell>
          <cell r="DZ583">
            <v>0</v>
          </cell>
          <cell r="EA583">
            <v>0</v>
          </cell>
          <cell r="EB583">
            <v>0</v>
          </cell>
          <cell r="EC583">
            <v>0</v>
          </cell>
          <cell r="ED583">
            <v>0</v>
          </cell>
          <cell r="EE583">
            <v>0</v>
          </cell>
          <cell r="EF583">
            <v>0</v>
          </cell>
          <cell r="EG583">
            <v>0</v>
          </cell>
          <cell r="EH583">
            <v>0</v>
          </cell>
          <cell r="EI583">
            <v>0</v>
          </cell>
          <cell r="EJ583">
            <v>0</v>
          </cell>
          <cell r="EK583">
            <v>0</v>
          </cell>
          <cell r="EL583">
            <v>0</v>
          </cell>
          <cell r="EM583">
            <v>0</v>
          </cell>
          <cell r="EN583">
            <v>0</v>
          </cell>
          <cell r="EO583">
            <v>0</v>
          </cell>
          <cell r="EP583">
            <v>0</v>
          </cell>
          <cell r="EQ583">
            <v>0</v>
          </cell>
          <cell r="ER583">
            <v>0</v>
          </cell>
          <cell r="ES583">
            <v>0</v>
          </cell>
          <cell r="ET583">
            <v>0</v>
          </cell>
          <cell r="EU583">
            <v>0</v>
          </cell>
          <cell r="EV583">
            <v>0</v>
          </cell>
          <cell r="EW583">
            <v>0</v>
          </cell>
          <cell r="EX583">
            <v>0</v>
          </cell>
          <cell r="EY583">
            <v>0</v>
          </cell>
          <cell r="EZ583">
            <v>0</v>
          </cell>
          <cell r="FA583">
            <v>0</v>
          </cell>
          <cell r="FB583">
            <v>0</v>
          </cell>
          <cell r="FC583">
            <v>0</v>
          </cell>
          <cell r="FD583">
            <v>0</v>
          </cell>
          <cell r="FE583">
            <v>0</v>
          </cell>
          <cell r="FF583">
            <v>0</v>
          </cell>
          <cell r="FG583">
            <v>0</v>
          </cell>
        </row>
        <row r="584">
          <cell r="G584">
            <v>186394</v>
          </cell>
          <cell r="H584" t="str">
            <v>M)ARIEL4D抗菌洗衣膠囊60個袋裝-抗菌去漬</v>
          </cell>
          <cell r="N584">
            <v>400.52</v>
          </cell>
          <cell r="P584">
            <v>0</v>
          </cell>
          <cell r="Q584" t="str">
            <v>on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92520.12</v>
          </cell>
          <cell r="BB584">
            <v>1131869.52</v>
          </cell>
          <cell r="BC584">
            <v>72894.64</v>
          </cell>
          <cell r="BD584">
            <v>4806.24</v>
          </cell>
          <cell r="BE584">
            <v>400.52</v>
          </cell>
          <cell r="BF584">
            <v>0</v>
          </cell>
          <cell r="BG584">
            <v>0</v>
          </cell>
          <cell r="BH584">
            <v>1302491.04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0</v>
          </cell>
          <cell r="BX584">
            <v>0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0</v>
          </cell>
          <cell r="CD584">
            <v>0</v>
          </cell>
          <cell r="CE584">
            <v>0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0</v>
          </cell>
          <cell r="CK584">
            <v>0</v>
          </cell>
          <cell r="CL584">
            <v>0</v>
          </cell>
          <cell r="CM584">
            <v>0</v>
          </cell>
          <cell r="CN584">
            <v>0</v>
          </cell>
          <cell r="CO584">
            <v>0</v>
          </cell>
          <cell r="CP584">
            <v>0</v>
          </cell>
          <cell r="CQ584">
            <v>0</v>
          </cell>
          <cell r="CR584">
            <v>0</v>
          </cell>
          <cell r="CS584">
            <v>0</v>
          </cell>
          <cell r="CT584">
            <v>0</v>
          </cell>
          <cell r="CU584">
            <v>0</v>
          </cell>
          <cell r="CV584">
            <v>0</v>
          </cell>
          <cell r="CW584">
            <v>0</v>
          </cell>
          <cell r="CX584">
            <v>0</v>
          </cell>
          <cell r="CY584">
            <v>0</v>
          </cell>
          <cell r="CZ584">
            <v>0</v>
          </cell>
          <cell r="DA584">
            <v>0</v>
          </cell>
          <cell r="DB584">
            <v>0</v>
          </cell>
          <cell r="DC584">
            <v>0</v>
          </cell>
          <cell r="DD584">
            <v>0</v>
          </cell>
          <cell r="DE584">
            <v>0</v>
          </cell>
          <cell r="DF584">
            <v>0</v>
          </cell>
          <cell r="DG584">
            <v>0</v>
          </cell>
          <cell r="DH584">
            <v>0</v>
          </cell>
          <cell r="DI584">
            <v>0</v>
          </cell>
          <cell r="DJ584">
            <v>0</v>
          </cell>
          <cell r="DK584">
            <v>0</v>
          </cell>
          <cell r="DL584">
            <v>0</v>
          </cell>
          <cell r="DM584">
            <v>0</v>
          </cell>
          <cell r="DN584">
            <v>0</v>
          </cell>
          <cell r="DO584">
            <v>0</v>
          </cell>
          <cell r="DP584">
            <v>0</v>
          </cell>
          <cell r="DQ584">
            <v>0</v>
          </cell>
          <cell r="DR584">
            <v>0</v>
          </cell>
          <cell r="DS584">
            <v>0</v>
          </cell>
          <cell r="DT584">
            <v>0</v>
          </cell>
          <cell r="DU584">
            <v>0</v>
          </cell>
          <cell r="DV584">
            <v>0</v>
          </cell>
          <cell r="DW584">
            <v>0</v>
          </cell>
          <cell r="DX584">
            <v>0</v>
          </cell>
          <cell r="DY584">
            <v>231</v>
          </cell>
          <cell r="DZ584">
            <v>2826</v>
          </cell>
          <cell r="EA584">
            <v>182</v>
          </cell>
          <cell r="EB584">
            <v>12</v>
          </cell>
          <cell r="EC584">
            <v>1</v>
          </cell>
          <cell r="ED584">
            <v>0</v>
          </cell>
          <cell r="EE584">
            <v>0</v>
          </cell>
          <cell r="EF584">
            <v>3252</v>
          </cell>
          <cell r="EG584">
            <v>0</v>
          </cell>
          <cell r="EH584">
            <v>0</v>
          </cell>
          <cell r="EI584">
            <v>0</v>
          </cell>
          <cell r="EJ584">
            <v>0</v>
          </cell>
          <cell r="EK584">
            <v>0</v>
          </cell>
          <cell r="EL584">
            <v>0</v>
          </cell>
          <cell r="EM584">
            <v>0</v>
          </cell>
          <cell r="EN584">
            <v>0</v>
          </cell>
          <cell r="EO584">
            <v>0</v>
          </cell>
          <cell r="EP584">
            <v>0</v>
          </cell>
          <cell r="EQ584">
            <v>0</v>
          </cell>
          <cell r="ER584">
            <v>0</v>
          </cell>
          <cell r="ES584">
            <v>0</v>
          </cell>
          <cell r="ET584">
            <v>0</v>
          </cell>
          <cell r="EU584">
            <v>0</v>
          </cell>
          <cell r="EV584">
            <v>0</v>
          </cell>
          <cell r="EW584">
            <v>0</v>
          </cell>
          <cell r="EX584">
            <v>0</v>
          </cell>
          <cell r="EY584">
            <v>0</v>
          </cell>
          <cell r="EZ584">
            <v>0</v>
          </cell>
          <cell r="FA584">
            <v>0</v>
          </cell>
          <cell r="FB584">
            <v>0</v>
          </cell>
          <cell r="FC584">
            <v>0</v>
          </cell>
          <cell r="FD584">
            <v>0</v>
          </cell>
          <cell r="FE584">
            <v>0</v>
          </cell>
          <cell r="FF584">
            <v>0</v>
          </cell>
          <cell r="FG584">
            <v>0</v>
          </cell>
        </row>
        <row r="585">
          <cell r="G585">
            <v>196858</v>
          </cell>
          <cell r="H585" t="str">
            <v>M)ARIEL4D抗菌洗衣膠囊31顆三入-抗菌去漬</v>
          </cell>
          <cell r="N585">
            <v>600.6</v>
          </cell>
          <cell r="P585">
            <v>19.600000000000001</v>
          </cell>
          <cell r="Q585" t="str">
            <v>on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483483</v>
          </cell>
          <cell r="BE585">
            <v>884683.8</v>
          </cell>
          <cell r="BF585">
            <v>763963.20000000007</v>
          </cell>
          <cell r="BG585">
            <v>292492.2</v>
          </cell>
          <cell r="BH585">
            <v>2424622.2000000002</v>
          </cell>
          <cell r="BI585">
            <v>25225.200000000001</v>
          </cell>
          <cell r="BJ585">
            <v>14414.400000000001</v>
          </cell>
          <cell r="BK585">
            <v>13813.800000000001</v>
          </cell>
          <cell r="BL585">
            <v>4804.8</v>
          </cell>
          <cell r="BM585">
            <v>600.6</v>
          </cell>
          <cell r="BN585">
            <v>1201.2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60060.000000000007</v>
          </cell>
          <cell r="BV585">
            <v>0</v>
          </cell>
          <cell r="BW585">
            <v>0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>
            <v>0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0</v>
          </cell>
          <cell r="CK585">
            <v>0</v>
          </cell>
          <cell r="CL585">
            <v>0</v>
          </cell>
          <cell r="CM585">
            <v>0</v>
          </cell>
          <cell r="CN585">
            <v>0</v>
          </cell>
          <cell r="CO585">
            <v>0</v>
          </cell>
          <cell r="CP585">
            <v>0</v>
          </cell>
          <cell r="CQ585">
            <v>0</v>
          </cell>
          <cell r="CR585">
            <v>0</v>
          </cell>
          <cell r="CS585">
            <v>0</v>
          </cell>
          <cell r="CT585">
            <v>0</v>
          </cell>
          <cell r="CU585">
            <v>0</v>
          </cell>
          <cell r="CV585">
            <v>0</v>
          </cell>
          <cell r="CW585">
            <v>0</v>
          </cell>
          <cell r="CX585">
            <v>0</v>
          </cell>
          <cell r="CY585">
            <v>0</v>
          </cell>
          <cell r="CZ585">
            <v>0</v>
          </cell>
          <cell r="DA585">
            <v>0</v>
          </cell>
          <cell r="DB585">
            <v>0</v>
          </cell>
          <cell r="DC585">
            <v>0</v>
          </cell>
          <cell r="DD585">
            <v>0</v>
          </cell>
          <cell r="DE585">
            <v>0</v>
          </cell>
          <cell r="DF585">
            <v>0</v>
          </cell>
          <cell r="DG585">
            <v>0</v>
          </cell>
          <cell r="DH585">
            <v>0</v>
          </cell>
          <cell r="DI585">
            <v>0</v>
          </cell>
          <cell r="DJ585">
            <v>0</v>
          </cell>
          <cell r="DK585">
            <v>0</v>
          </cell>
          <cell r="DL585">
            <v>0</v>
          </cell>
          <cell r="DM585">
            <v>0</v>
          </cell>
          <cell r="DN585">
            <v>0</v>
          </cell>
          <cell r="DO585">
            <v>0</v>
          </cell>
          <cell r="DP585">
            <v>0</v>
          </cell>
          <cell r="DQ585">
            <v>0</v>
          </cell>
          <cell r="DR585">
            <v>0</v>
          </cell>
          <cell r="DS585">
            <v>0</v>
          </cell>
          <cell r="DT585">
            <v>0</v>
          </cell>
          <cell r="DU585">
            <v>0</v>
          </cell>
          <cell r="DV585">
            <v>0</v>
          </cell>
          <cell r="DW585">
            <v>0</v>
          </cell>
          <cell r="DX585">
            <v>0</v>
          </cell>
          <cell r="DY585">
            <v>0</v>
          </cell>
          <cell r="DZ585">
            <v>0</v>
          </cell>
          <cell r="EA585">
            <v>0</v>
          </cell>
          <cell r="EB585">
            <v>805</v>
          </cell>
          <cell r="EC585">
            <v>1473</v>
          </cell>
          <cell r="ED585">
            <v>1272</v>
          </cell>
          <cell r="EE585">
            <v>487</v>
          </cell>
          <cell r="EF585">
            <v>4037</v>
          </cell>
          <cell r="EG585">
            <v>42</v>
          </cell>
          <cell r="EH585">
            <v>24</v>
          </cell>
          <cell r="EI585">
            <v>23</v>
          </cell>
          <cell r="EJ585">
            <v>8</v>
          </cell>
          <cell r="EK585">
            <v>1</v>
          </cell>
          <cell r="EL585">
            <v>2</v>
          </cell>
          <cell r="EM585">
            <v>0</v>
          </cell>
          <cell r="EN585">
            <v>0</v>
          </cell>
          <cell r="EO585">
            <v>0</v>
          </cell>
          <cell r="EP585">
            <v>0</v>
          </cell>
          <cell r="EQ585">
            <v>0</v>
          </cell>
          <cell r="ER585">
            <v>0</v>
          </cell>
          <cell r="ES585">
            <v>0</v>
          </cell>
          <cell r="ET585">
            <v>100</v>
          </cell>
          <cell r="EU585">
            <v>0</v>
          </cell>
          <cell r="EV585">
            <v>0</v>
          </cell>
          <cell r="EW585">
            <v>0</v>
          </cell>
          <cell r="EX585">
            <v>0</v>
          </cell>
          <cell r="EY585">
            <v>0</v>
          </cell>
          <cell r="EZ585">
            <v>0</v>
          </cell>
          <cell r="FA585">
            <v>0</v>
          </cell>
          <cell r="FB585">
            <v>0</v>
          </cell>
          <cell r="FC585">
            <v>0</v>
          </cell>
          <cell r="FD585">
            <v>0</v>
          </cell>
          <cell r="FE585">
            <v>0</v>
          </cell>
          <cell r="FF585">
            <v>0</v>
          </cell>
          <cell r="FG585">
            <v>0</v>
          </cell>
        </row>
        <row r="586">
          <cell r="G586">
            <v>196868</v>
          </cell>
          <cell r="H586" t="str">
            <v>M)ARIEL4D抗菌洗衣膠囊31顆三入-室內晾衣</v>
          </cell>
          <cell r="N586">
            <v>600.6</v>
          </cell>
          <cell r="P586">
            <v>25</v>
          </cell>
          <cell r="Q586" t="str">
            <v>on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293693.40000000002</v>
          </cell>
          <cell r="BE586">
            <v>470269.80000000005</v>
          </cell>
          <cell r="BF586">
            <v>538137.59999999998</v>
          </cell>
          <cell r="BG586">
            <v>283483.2</v>
          </cell>
          <cell r="BH586">
            <v>1585584</v>
          </cell>
          <cell r="BI586">
            <v>31831.800000000003</v>
          </cell>
          <cell r="BJ586">
            <v>24024</v>
          </cell>
          <cell r="BK586">
            <v>8408.4</v>
          </cell>
          <cell r="BL586">
            <v>9609.6</v>
          </cell>
          <cell r="BM586">
            <v>1201.2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75075</v>
          </cell>
          <cell r="BV586">
            <v>0</v>
          </cell>
          <cell r="BW586">
            <v>0</v>
          </cell>
          <cell r="BX586">
            <v>0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0</v>
          </cell>
          <cell r="CD586">
            <v>0</v>
          </cell>
          <cell r="CE586">
            <v>0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0</v>
          </cell>
          <cell r="CK586">
            <v>0</v>
          </cell>
          <cell r="CL586">
            <v>0</v>
          </cell>
          <cell r="CM586">
            <v>0</v>
          </cell>
          <cell r="CN586">
            <v>0</v>
          </cell>
          <cell r="CO586">
            <v>0</v>
          </cell>
          <cell r="CP586">
            <v>0</v>
          </cell>
          <cell r="CQ586">
            <v>0</v>
          </cell>
          <cell r="CR586">
            <v>0</v>
          </cell>
          <cell r="CS586">
            <v>0</v>
          </cell>
          <cell r="CT586">
            <v>0</v>
          </cell>
          <cell r="CU586">
            <v>0</v>
          </cell>
          <cell r="CV586">
            <v>0</v>
          </cell>
          <cell r="CW586">
            <v>0</v>
          </cell>
          <cell r="CX586">
            <v>0</v>
          </cell>
          <cell r="CY586">
            <v>0</v>
          </cell>
          <cell r="CZ586">
            <v>0</v>
          </cell>
          <cell r="DA586">
            <v>0</v>
          </cell>
          <cell r="DB586">
            <v>0</v>
          </cell>
          <cell r="DC586">
            <v>0</v>
          </cell>
          <cell r="DD586">
            <v>0</v>
          </cell>
          <cell r="DE586">
            <v>0</v>
          </cell>
          <cell r="DF586">
            <v>0</v>
          </cell>
          <cell r="DG586">
            <v>0</v>
          </cell>
          <cell r="DH586">
            <v>0</v>
          </cell>
          <cell r="DI586">
            <v>0</v>
          </cell>
          <cell r="DJ586">
            <v>0</v>
          </cell>
          <cell r="DK586">
            <v>0</v>
          </cell>
          <cell r="DL586">
            <v>0</v>
          </cell>
          <cell r="DM586">
            <v>0</v>
          </cell>
          <cell r="DN586">
            <v>0</v>
          </cell>
          <cell r="DO586">
            <v>0</v>
          </cell>
          <cell r="DP586">
            <v>0</v>
          </cell>
          <cell r="DQ586">
            <v>0</v>
          </cell>
          <cell r="DR586">
            <v>0</v>
          </cell>
          <cell r="DS586">
            <v>0</v>
          </cell>
          <cell r="DT586">
            <v>0</v>
          </cell>
          <cell r="DU586">
            <v>0</v>
          </cell>
          <cell r="DV586">
            <v>0</v>
          </cell>
          <cell r="DW586">
            <v>0</v>
          </cell>
          <cell r="DX586">
            <v>0</v>
          </cell>
          <cell r="DY586">
            <v>0</v>
          </cell>
          <cell r="DZ586">
            <v>0</v>
          </cell>
          <cell r="EA586">
            <v>0</v>
          </cell>
          <cell r="EB586">
            <v>489</v>
          </cell>
          <cell r="EC586">
            <v>783</v>
          </cell>
          <cell r="ED586">
            <v>896</v>
          </cell>
          <cell r="EE586">
            <v>472</v>
          </cell>
          <cell r="EF586">
            <v>2640</v>
          </cell>
          <cell r="EG586">
            <v>53</v>
          </cell>
          <cell r="EH586">
            <v>40</v>
          </cell>
          <cell r="EI586">
            <v>14</v>
          </cell>
          <cell r="EJ586">
            <v>16</v>
          </cell>
          <cell r="EK586">
            <v>2</v>
          </cell>
          <cell r="EL586">
            <v>0</v>
          </cell>
          <cell r="EM586">
            <v>0</v>
          </cell>
          <cell r="EN586">
            <v>0</v>
          </cell>
          <cell r="EO586">
            <v>0</v>
          </cell>
          <cell r="EP586">
            <v>0</v>
          </cell>
          <cell r="EQ586">
            <v>0</v>
          </cell>
          <cell r="ER586">
            <v>0</v>
          </cell>
          <cell r="ES586">
            <v>0</v>
          </cell>
          <cell r="ET586">
            <v>125</v>
          </cell>
          <cell r="EU586">
            <v>0</v>
          </cell>
          <cell r="EV586">
            <v>0</v>
          </cell>
          <cell r="EW586">
            <v>0</v>
          </cell>
          <cell r="EX586">
            <v>0</v>
          </cell>
          <cell r="EY586">
            <v>0</v>
          </cell>
          <cell r="EZ586">
            <v>0</v>
          </cell>
          <cell r="FA586">
            <v>0</v>
          </cell>
          <cell r="FB586">
            <v>0</v>
          </cell>
          <cell r="FC586">
            <v>0</v>
          </cell>
          <cell r="FD586">
            <v>0</v>
          </cell>
          <cell r="FE586">
            <v>0</v>
          </cell>
          <cell r="FF586">
            <v>0</v>
          </cell>
          <cell r="FG586">
            <v>0</v>
          </cell>
        </row>
        <row r="587">
          <cell r="G587">
            <v>256217</v>
          </cell>
          <cell r="H587" t="str">
            <v>M)ARIEL4D抗菌洗衣膠囊室內晾衣款-11個入</v>
          </cell>
          <cell r="N587">
            <v>118.27</v>
          </cell>
          <cell r="Q587" t="str">
            <v>on</v>
          </cell>
          <cell r="CA587">
            <v>9343.33</v>
          </cell>
          <cell r="CB587">
            <v>32287.71</v>
          </cell>
          <cell r="CC587">
            <v>504776.36</v>
          </cell>
          <cell r="CD587">
            <v>188758.91999999998</v>
          </cell>
          <cell r="CE587">
            <v>27083.829999999998</v>
          </cell>
          <cell r="CF587">
            <v>449544.26999999996</v>
          </cell>
          <cell r="CG587">
            <v>370894.72</v>
          </cell>
          <cell r="CH587">
            <v>1582689.14</v>
          </cell>
          <cell r="CI587">
            <v>44587.79</v>
          </cell>
          <cell r="CJ587">
            <v>64930.229999999996</v>
          </cell>
          <cell r="CK587">
            <v>88465.959999999992</v>
          </cell>
          <cell r="CL587">
            <v>39383.909999999996</v>
          </cell>
          <cell r="CM587">
            <v>26374.21</v>
          </cell>
          <cell r="CN587">
            <v>1419.24</v>
          </cell>
          <cell r="CO587">
            <v>6285.2057142857147</v>
          </cell>
          <cell r="EZ587">
            <v>79</v>
          </cell>
          <cell r="FA587">
            <v>273</v>
          </cell>
          <cell r="FB587">
            <v>4268</v>
          </cell>
          <cell r="FC587">
            <v>1596</v>
          </cell>
          <cell r="FD587">
            <v>229</v>
          </cell>
          <cell r="FE587">
            <v>3801</v>
          </cell>
          <cell r="FF587">
            <v>3136</v>
          </cell>
          <cell r="FG587">
            <v>13382</v>
          </cell>
          <cell r="FH587">
            <v>377</v>
          </cell>
          <cell r="FI587">
            <v>549</v>
          </cell>
          <cell r="FJ587">
            <v>748</v>
          </cell>
          <cell r="FK587">
            <v>333</v>
          </cell>
          <cell r="FL587">
            <v>223</v>
          </cell>
        </row>
        <row r="588">
          <cell r="G588">
            <v>256376</v>
          </cell>
          <cell r="H588" t="str">
            <v>ARIEL抗菌洗衣精800g+500g-室內晾衣</v>
          </cell>
          <cell r="N588">
            <v>195.48</v>
          </cell>
          <cell r="Q588" t="str">
            <v>on</v>
          </cell>
          <cell r="CA588">
            <v>59230.439999999995</v>
          </cell>
          <cell r="CB588">
            <v>233989.56</v>
          </cell>
          <cell r="CC588">
            <v>236335.31999999998</v>
          </cell>
          <cell r="CD588">
            <v>153256.31999999998</v>
          </cell>
          <cell r="CE588">
            <v>216396.36</v>
          </cell>
          <cell r="CF588">
            <v>218351.15999999997</v>
          </cell>
          <cell r="CG588">
            <v>111423.59999999999</v>
          </cell>
          <cell r="CH588">
            <v>1228982.76</v>
          </cell>
          <cell r="CI588">
            <v>119829.23999999999</v>
          </cell>
          <cell r="CJ588">
            <v>98326.439999999988</v>
          </cell>
          <cell r="CK588">
            <v>141918.47999999998</v>
          </cell>
          <cell r="CL588">
            <v>130385.15999999999</v>
          </cell>
          <cell r="CM588">
            <v>124520.76</v>
          </cell>
          <cell r="CN588">
            <v>1954.8</v>
          </cell>
          <cell r="CO588">
            <v>8656.971428571429</v>
          </cell>
          <cell r="EZ588">
            <v>303</v>
          </cell>
          <cell r="FA588">
            <v>1197</v>
          </cell>
          <cell r="FB588">
            <v>1209</v>
          </cell>
          <cell r="FC588">
            <v>784</v>
          </cell>
          <cell r="FD588">
            <v>1107</v>
          </cell>
          <cell r="FE588">
            <v>1117</v>
          </cell>
          <cell r="FF588">
            <v>570</v>
          </cell>
          <cell r="FG588">
            <v>6287</v>
          </cell>
          <cell r="FH588">
            <v>613</v>
          </cell>
          <cell r="FI588">
            <v>503</v>
          </cell>
          <cell r="FJ588">
            <v>726</v>
          </cell>
          <cell r="FK588">
            <v>667</v>
          </cell>
          <cell r="FL588">
            <v>637</v>
          </cell>
        </row>
        <row r="589">
          <cell r="G589">
            <v>256526</v>
          </cell>
          <cell r="H589" t="str">
            <v>M)ARIEL4D抗菌洗衣膠囊自然微香款-30個入</v>
          </cell>
          <cell r="N589">
            <v>245.81</v>
          </cell>
          <cell r="Q589" t="str">
            <v>on</v>
          </cell>
          <cell r="CA589">
            <v>245.81</v>
          </cell>
          <cell r="CB589">
            <v>264737.37</v>
          </cell>
          <cell r="CC589">
            <v>310949.65000000002</v>
          </cell>
          <cell r="CD589">
            <v>339955.23</v>
          </cell>
          <cell r="CE589">
            <v>267687.09000000003</v>
          </cell>
          <cell r="CF589">
            <v>166659.18</v>
          </cell>
          <cell r="CG589">
            <v>125117.29000000001</v>
          </cell>
          <cell r="CH589">
            <v>1475351.62</v>
          </cell>
          <cell r="CI589">
            <v>293497.14</v>
          </cell>
          <cell r="CJ589">
            <v>126837.96</v>
          </cell>
          <cell r="CK589">
            <v>160022.31</v>
          </cell>
          <cell r="CL589">
            <v>254413.35</v>
          </cell>
          <cell r="CM589">
            <v>83821.210000000006</v>
          </cell>
          <cell r="CN589">
            <v>6882.68</v>
          </cell>
          <cell r="CO589">
            <v>30480.44</v>
          </cell>
          <cell r="EZ589">
            <v>1</v>
          </cell>
          <cell r="FA589">
            <v>1077</v>
          </cell>
          <cell r="FB589">
            <v>1265</v>
          </cell>
          <cell r="FC589">
            <v>1383</v>
          </cell>
          <cell r="FD589">
            <v>1089</v>
          </cell>
          <cell r="FE589">
            <v>678</v>
          </cell>
          <cell r="FF589">
            <v>509</v>
          </cell>
          <cell r="FG589">
            <v>6002</v>
          </cell>
          <cell r="FH589">
            <v>1194</v>
          </cell>
          <cell r="FI589">
            <v>516</v>
          </cell>
          <cell r="FJ589">
            <v>651</v>
          </cell>
          <cell r="FK589">
            <v>1035</v>
          </cell>
          <cell r="FL589">
            <v>341</v>
          </cell>
        </row>
        <row r="590">
          <cell r="G590">
            <v>256527</v>
          </cell>
          <cell r="H590" t="str">
            <v>M)ARIEL4D抗菌洗衣膠囊室內晾衣款-30個入</v>
          </cell>
          <cell r="N590">
            <v>245.81</v>
          </cell>
          <cell r="Q590" t="str">
            <v>on</v>
          </cell>
          <cell r="CA590">
            <v>27039.1</v>
          </cell>
          <cell r="CB590">
            <v>574212.16</v>
          </cell>
          <cell r="CC590">
            <v>584044.56000000006</v>
          </cell>
          <cell r="CD590">
            <v>732267.99</v>
          </cell>
          <cell r="CE590">
            <v>539061.32999999996</v>
          </cell>
          <cell r="CF590">
            <v>335776.46</v>
          </cell>
          <cell r="CG590">
            <v>297184.28999999998</v>
          </cell>
          <cell r="CH590">
            <v>3089585.89</v>
          </cell>
          <cell r="CI590">
            <v>902860.13</v>
          </cell>
          <cell r="CJ590">
            <v>370435.67</v>
          </cell>
          <cell r="CK590">
            <v>415664.71</v>
          </cell>
          <cell r="CL590">
            <v>1155307</v>
          </cell>
          <cell r="CM590">
            <v>205251.35</v>
          </cell>
          <cell r="CN590">
            <v>11061.45</v>
          </cell>
          <cell r="CO590">
            <v>48986.421428571433</v>
          </cell>
          <cell r="EZ590">
            <v>110</v>
          </cell>
          <cell r="FA590">
            <v>2336</v>
          </cell>
          <cell r="FB590">
            <v>2376</v>
          </cell>
          <cell r="FC590">
            <v>2979</v>
          </cell>
          <cell r="FD590">
            <v>2193</v>
          </cell>
          <cell r="FE590">
            <v>1366</v>
          </cell>
          <cell r="FF590">
            <v>1209</v>
          </cell>
          <cell r="FG590">
            <v>12569</v>
          </cell>
          <cell r="FH590">
            <v>3673</v>
          </cell>
          <cell r="FI590">
            <v>1507</v>
          </cell>
          <cell r="FJ590">
            <v>1691</v>
          </cell>
          <cell r="FK590">
            <v>4700</v>
          </cell>
          <cell r="FL590">
            <v>835</v>
          </cell>
        </row>
        <row r="591">
          <cell r="G591">
            <v>256634</v>
          </cell>
          <cell r="H591" t="str">
            <v>M)ARIEL4D抗菌洗衣膠囊抗菌去漬款-30個入</v>
          </cell>
          <cell r="N591">
            <v>245.81</v>
          </cell>
          <cell r="Q591" t="str">
            <v>on</v>
          </cell>
          <cell r="CA591">
            <v>26301.670000000002</v>
          </cell>
          <cell r="CB591">
            <v>945385.26</v>
          </cell>
          <cell r="CC591">
            <v>630748.46</v>
          </cell>
          <cell r="CD591">
            <v>760290.33</v>
          </cell>
          <cell r="CE591">
            <v>582815.51</v>
          </cell>
          <cell r="CF591">
            <v>740379.72</v>
          </cell>
          <cell r="CG591">
            <v>254659.16</v>
          </cell>
          <cell r="CH591">
            <v>3940580.1100000003</v>
          </cell>
          <cell r="CI591">
            <v>799619.93</v>
          </cell>
          <cell r="CJ591">
            <v>322011.09999999998</v>
          </cell>
          <cell r="CK591">
            <v>423039.01</v>
          </cell>
          <cell r="CL591">
            <v>1327374</v>
          </cell>
          <cell r="CM591">
            <v>100044.67</v>
          </cell>
          <cell r="CN591">
            <v>7374.3</v>
          </cell>
          <cell r="CO591">
            <v>32657.614285714284</v>
          </cell>
          <cell r="EZ591">
            <v>107</v>
          </cell>
          <cell r="FA591">
            <v>3846</v>
          </cell>
          <cell r="FB591">
            <v>2566</v>
          </cell>
          <cell r="FC591">
            <v>3093</v>
          </cell>
          <cell r="FD591">
            <v>2371</v>
          </cell>
          <cell r="FE591">
            <v>3012</v>
          </cell>
          <cell r="FF591">
            <v>1036</v>
          </cell>
          <cell r="FG591">
            <v>16031</v>
          </cell>
          <cell r="FH591">
            <v>3253</v>
          </cell>
          <cell r="FI591">
            <v>1310</v>
          </cell>
          <cell r="FJ591">
            <v>1721</v>
          </cell>
          <cell r="FK591">
            <v>5400</v>
          </cell>
          <cell r="FL591">
            <v>407</v>
          </cell>
        </row>
        <row r="592">
          <cell r="G592">
            <v>256669</v>
          </cell>
          <cell r="H592" t="str">
            <v>M)ARIEL4D抗菌洗衣膠囊抗菌去漬款-11個入</v>
          </cell>
          <cell r="N592">
            <v>118.27</v>
          </cell>
          <cell r="Q592" t="str">
            <v>on</v>
          </cell>
          <cell r="CA592">
            <v>11235.65</v>
          </cell>
          <cell r="CB592">
            <v>35007.919999999998</v>
          </cell>
          <cell r="CC592">
            <v>441028.82999999996</v>
          </cell>
          <cell r="CD592">
            <v>177523.27</v>
          </cell>
          <cell r="CE592">
            <v>24954.969999999998</v>
          </cell>
          <cell r="CF592">
            <v>442329.8</v>
          </cell>
          <cell r="CG592">
            <v>350434.01</v>
          </cell>
          <cell r="CH592">
            <v>1482514.45</v>
          </cell>
          <cell r="CI592">
            <v>39620.449999999997</v>
          </cell>
          <cell r="CJ592">
            <v>71553.349999999991</v>
          </cell>
          <cell r="CK592">
            <v>94024.65</v>
          </cell>
          <cell r="CL592">
            <v>40330.07</v>
          </cell>
          <cell r="CM592">
            <v>35835.81</v>
          </cell>
          <cell r="CN592">
            <v>1419.24</v>
          </cell>
          <cell r="CO592">
            <v>6285.2057142857147</v>
          </cell>
          <cell r="EZ592">
            <v>95</v>
          </cell>
          <cell r="FA592">
            <v>296</v>
          </cell>
          <cell r="FB592">
            <v>3729</v>
          </cell>
          <cell r="FC592">
            <v>1501</v>
          </cell>
          <cell r="FD592">
            <v>211</v>
          </cell>
          <cell r="FE592">
            <v>3740</v>
          </cell>
          <cell r="FF592">
            <v>2963</v>
          </cell>
          <cell r="FG592">
            <v>12535</v>
          </cell>
          <cell r="FH592">
            <v>335</v>
          </cell>
          <cell r="FI592">
            <v>605</v>
          </cell>
          <cell r="FJ592">
            <v>795</v>
          </cell>
          <cell r="FK592">
            <v>341</v>
          </cell>
          <cell r="FL592">
            <v>303</v>
          </cell>
        </row>
        <row r="593">
          <cell r="G593">
            <v>256802</v>
          </cell>
          <cell r="H593" t="str">
            <v>ARIEL抗菌洗衣精800g+500g-抗菌去漬</v>
          </cell>
          <cell r="N593">
            <v>195.48</v>
          </cell>
          <cell r="Q593" t="str">
            <v>on</v>
          </cell>
          <cell r="CA593">
            <v>42223.68</v>
          </cell>
          <cell r="CB593">
            <v>202126.31999999998</v>
          </cell>
          <cell r="CC593">
            <v>205449.47999999998</v>
          </cell>
          <cell r="CD593">
            <v>144655.19999999998</v>
          </cell>
          <cell r="CE593">
            <v>182382.84</v>
          </cell>
          <cell r="CF593">
            <v>226756.8</v>
          </cell>
          <cell r="CG593">
            <v>120611.15999999999</v>
          </cell>
          <cell r="CH593">
            <v>1124205.4799999997</v>
          </cell>
          <cell r="CI593">
            <v>116115.12</v>
          </cell>
          <cell r="CJ593">
            <v>101454.12</v>
          </cell>
          <cell r="CK593">
            <v>118265.4</v>
          </cell>
          <cell r="CL593">
            <v>150519.6</v>
          </cell>
          <cell r="CM593">
            <v>121393.07999999999</v>
          </cell>
          <cell r="CN593">
            <v>4300.5599999999995</v>
          </cell>
          <cell r="CO593">
            <v>19045.337142857141</v>
          </cell>
          <cell r="EZ593">
            <v>216</v>
          </cell>
          <cell r="FA593">
            <v>1034</v>
          </cell>
          <cell r="FB593">
            <v>1051</v>
          </cell>
          <cell r="FC593">
            <v>740</v>
          </cell>
          <cell r="FD593">
            <v>933</v>
          </cell>
          <cell r="FE593">
            <v>1160</v>
          </cell>
          <cell r="FF593">
            <v>617</v>
          </cell>
          <cell r="FG593">
            <v>5751</v>
          </cell>
          <cell r="FH593">
            <v>594</v>
          </cell>
          <cell r="FI593">
            <v>519</v>
          </cell>
          <cell r="FJ593">
            <v>605</v>
          </cell>
          <cell r="FK593">
            <v>770</v>
          </cell>
          <cell r="FL593">
            <v>621</v>
          </cell>
        </row>
        <row r="594">
          <cell r="G594">
            <v>256497</v>
          </cell>
          <cell r="H594" t="str">
            <v>ARIEL抗菌洗衣精800g瓶裝-室內晾衣</v>
          </cell>
          <cell r="N594">
            <v>146.88</v>
          </cell>
          <cell r="Q594" t="str">
            <v>on</v>
          </cell>
          <cell r="CB594">
            <v>62864.639999999999</v>
          </cell>
          <cell r="CC594">
            <v>51408</v>
          </cell>
          <cell r="CD594">
            <v>38923.199999999997</v>
          </cell>
          <cell r="CE594">
            <v>74761.919999999998</v>
          </cell>
          <cell r="CF594">
            <v>82105.919999999998</v>
          </cell>
          <cell r="CG594">
            <v>66683.520000000004</v>
          </cell>
          <cell r="CH594">
            <v>376747.2</v>
          </cell>
          <cell r="CI594">
            <v>278778.23999999999</v>
          </cell>
          <cell r="CJ594">
            <v>127785.59999999999</v>
          </cell>
          <cell r="CK594">
            <v>55667.519999999997</v>
          </cell>
          <cell r="CL594">
            <v>74027.520000000004</v>
          </cell>
          <cell r="CM594">
            <v>30404.16</v>
          </cell>
          <cell r="CN594">
            <v>1468.8</v>
          </cell>
          <cell r="CO594">
            <v>6504.6857142857143</v>
          </cell>
          <cell r="FA594">
            <v>428</v>
          </cell>
          <cell r="FB594">
            <v>350</v>
          </cell>
          <cell r="FC594">
            <v>265</v>
          </cell>
          <cell r="FD594">
            <v>509</v>
          </cell>
          <cell r="FE594">
            <v>559</v>
          </cell>
          <cell r="FF594">
            <v>454</v>
          </cell>
          <cell r="FG594">
            <v>2565</v>
          </cell>
          <cell r="FH594">
            <v>1898</v>
          </cell>
          <cell r="FI594">
            <v>870</v>
          </cell>
          <cell r="FJ594">
            <v>379</v>
          </cell>
          <cell r="FK594">
            <v>504</v>
          </cell>
          <cell r="FL594">
            <v>207</v>
          </cell>
        </row>
        <row r="595">
          <cell r="G595">
            <v>256576</v>
          </cell>
          <cell r="H595" t="str">
            <v>ARIEL抗菌洗衣精800g瓶裝-自然微香</v>
          </cell>
          <cell r="N595">
            <v>146.88</v>
          </cell>
          <cell r="Q595" t="str">
            <v>on</v>
          </cell>
          <cell r="CB595">
            <v>33341.760000000002</v>
          </cell>
          <cell r="CC595">
            <v>29669.759999999998</v>
          </cell>
          <cell r="CD595">
            <v>23794.559999999998</v>
          </cell>
          <cell r="CE595">
            <v>22619.52</v>
          </cell>
          <cell r="CF595">
            <v>31872.959999999999</v>
          </cell>
          <cell r="CG595">
            <v>25557.119999999999</v>
          </cell>
          <cell r="CH595">
            <v>166855.67999999999</v>
          </cell>
          <cell r="CI595">
            <v>62570.879999999997</v>
          </cell>
          <cell r="CJ595">
            <v>39657.599999999999</v>
          </cell>
          <cell r="CK595">
            <v>12925.439999999999</v>
          </cell>
          <cell r="CL595">
            <v>19681.919999999998</v>
          </cell>
          <cell r="CM595">
            <v>13219.199999999999</v>
          </cell>
          <cell r="CN595">
            <v>587.52</v>
          </cell>
          <cell r="CO595">
            <v>2601.8742857142856</v>
          </cell>
          <cell r="FA595">
            <v>227</v>
          </cell>
          <cell r="FB595">
            <v>202</v>
          </cell>
          <cell r="FC595">
            <v>162</v>
          </cell>
          <cell r="FD595">
            <v>154</v>
          </cell>
          <cell r="FE595">
            <v>217</v>
          </cell>
          <cell r="FF595">
            <v>174</v>
          </cell>
          <cell r="FG595">
            <v>1136</v>
          </cell>
          <cell r="FH595">
            <v>426</v>
          </cell>
          <cell r="FI595">
            <v>270</v>
          </cell>
          <cell r="FJ595">
            <v>88</v>
          </cell>
          <cell r="FK595">
            <v>134</v>
          </cell>
          <cell r="FL595">
            <v>90</v>
          </cell>
        </row>
        <row r="596">
          <cell r="G596">
            <v>256583</v>
          </cell>
          <cell r="H596" t="str">
            <v>ARIEL抗菌洗衣精1690g補充包-抗菌去漬</v>
          </cell>
          <cell r="N596">
            <v>235.29</v>
          </cell>
          <cell r="Q596" t="str">
            <v>on</v>
          </cell>
          <cell r="CB596">
            <v>62116.56</v>
          </cell>
          <cell r="CC596">
            <v>95292.45</v>
          </cell>
          <cell r="CD596">
            <v>99292.37999999999</v>
          </cell>
          <cell r="CE596">
            <v>96233.61</v>
          </cell>
          <cell r="CF596">
            <v>101645.28</v>
          </cell>
          <cell r="CG596">
            <v>67998.81</v>
          </cell>
          <cell r="CH596">
            <v>522579.09</v>
          </cell>
          <cell r="CI596">
            <v>93174.84</v>
          </cell>
          <cell r="CJ596">
            <v>82586.789999999994</v>
          </cell>
          <cell r="CK596">
            <v>101880.56999999999</v>
          </cell>
          <cell r="CL596">
            <v>73645.77</v>
          </cell>
          <cell r="CM596">
            <v>16235.01</v>
          </cell>
          <cell r="CN596">
            <v>2117.61</v>
          </cell>
          <cell r="CO596">
            <v>9377.9871428571423</v>
          </cell>
          <cell r="FA596">
            <v>264</v>
          </cell>
          <cell r="FB596">
            <v>405</v>
          </cell>
          <cell r="FC596">
            <v>422</v>
          </cell>
          <cell r="FD596">
            <v>409</v>
          </cell>
          <cell r="FE596">
            <v>432</v>
          </cell>
          <cell r="FF596">
            <v>289</v>
          </cell>
          <cell r="FG596">
            <v>2221</v>
          </cell>
          <cell r="FH596">
            <v>396</v>
          </cell>
          <cell r="FI596">
            <v>351</v>
          </cell>
          <cell r="FJ596">
            <v>433</v>
          </cell>
          <cell r="FK596">
            <v>313</v>
          </cell>
          <cell r="FL596">
            <v>69</v>
          </cell>
        </row>
        <row r="597">
          <cell r="G597">
            <v>256644</v>
          </cell>
          <cell r="H597" t="str">
            <v>ARIEL抗菌洗衣精800g瓶裝-高效除蟎</v>
          </cell>
          <cell r="N597">
            <v>146.88</v>
          </cell>
          <cell r="Q597" t="str">
            <v>on</v>
          </cell>
          <cell r="CB597">
            <v>34076.159999999996</v>
          </cell>
          <cell r="CC597">
            <v>28494.719999999998</v>
          </cell>
          <cell r="CD597">
            <v>19681.919999999998</v>
          </cell>
          <cell r="CE597">
            <v>22178.880000000001</v>
          </cell>
          <cell r="CF597">
            <v>43329.599999999999</v>
          </cell>
          <cell r="CG597">
            <v>33048</v>
          </cell>
          <cell r="CH597">
            <v>180809.28</v>
          </cell>
          <cell r="CI597">
            <v>93415.679999999993</v>
          </cell>
          <cell r="CJ597">
            <v>48617.279999999999</v>
          </cell>
          <cell r="CK597">
            <v>18800.64</v>
          </cell>
          <cell r="CL597">
            <v>29082.239999999998</v>
          </cell>
          <cell r="CM597">
            <v>15128.64</v>
          </cell>
          <cell r="CN597">
            <v>1468.8</v>
          </cell>
          <cell r="CO597">
            <v>6504.6857142857143</v>
          </cell>
          <cell r="FA597">
            <v>232</v>
          </cell>
          <cell r="FB597">
            <v>194</v>
          </cell>
          <cell r="FC597">
            <v>134</v>
          </cell>
          <cell r="FD597">
            <v>151</v>
          </cell>
          <cell r="FE597">
            <v>295</v>
          </cell>
          <cell r="FF597">
            <v>225</v>
          </cell>
          <cell r="FG597">
            <v>1231</v>
          </cell>
          <cell r="FH597">
            <v>636</v>
          </cell>
          <cell r="FI597">
            <v>331</v>
          </cell>
          <cell r="FJ597">
            <v>128</v>
          </cell>
          <cell r="FK597">
            <v>198</v>
          </cell>
          <cell r="FL597">
            <v>103</v>
          </cell>
        </row>
        <row r="598">
          <cell r="G598">
            <v>256650</v>
          </cell>
          <cell r="H598" t="str">
            <v>ARIEL抗菌洗衣精1690g補充包-自然微香</v>
          </cell>
          <cell r="N598">
            <v>235.29</v>
          </cell>
          <cell r="Q598" t="str">
            <v>on</v>
          </cell>
          <cell r="CB598">
            <v>4941.09</v>
          </cell>
          <cell r="CC598">
            <v>10117.469999999999</v>
          </cell>
          <cell r="CD598">
            <v>13646.82</v>
          </cell>
          <cell r="CE598">
            <v>13882.109999999999</v>
          </cell>
          <cell r="CF598">
            <v>9411.6</v>
          </cell>
          <cell r="CG598">
            <v>10588.05</v>
          </cell>
          <cell r="CH598">
            <v>62587.14</v>
          </cell>
          <cell r="CI598">
            <v>12470.369999999999</v>
          </cell>
          <cell r="CJ598">
            <v>11764.5</v>
          </cell>
          <cell r="CK598">
            <v>13411.529999999999</v>
          </cell>
          <cell r="CL598">
            <v>18352.62</v>
          </cell>
          <cell r="CM598">
            <v>5882.25</v>
          </cell>
          <cell r="CN598">
            <v>705.87</v>
          </cell>
          <cell r="CO598">
            <v>3125.9957142857143</v>
          </cell>
          <cell r="FA598">
            <v>21</v>
          </cell>
          <cell r="FB598">
            <v>43</v>
          </cell>
          <cell r="FC598">
            <v>58</v>
          </cell>
          <cell r="FD598">
            <v>59</v>
          </cell>
          <cell r="FE598">
            <v>40</v>
          </cell>
          <cell r="FF598">
            <v>45</v>
          </cell>
          <cell r="FG598">
            <v>266</v>
          </cell>
          <cell r="FH598">
            <v>53</v>
          </cell>
          <cell r="FI598">
            <v>50</v>
          </cell>
          <cell r="FJ598">
            <v>57</v>
          </cell>
          <cell r="FK598">
            <v>78</v>
          </cell>
          <cell r="FL598">
            <v>25</v>
          </cell>
        </row>
        <row r="599">
          <cell r="G599">
            <v>256651</v>
          </cell>
          <cell r="H599" t="str">
            <v>ARIEL抗菌洗衣精1690g補充包-高效除蟎</v>
          </cell>
          <cell r="N599">
            <v>235.29</v>
          </cell>
          <cell r="Q599" t="str">
            <v>on</v>
          </cell>
          <cell r="CB599">
            <v>23529</v>
          </cell>
          <cell r="CC599">
            <v>23764.29</v>
          </cell>
          <cell r="CD599">
            <v>31764.149999999998</v>
          </cell>
          <cell r="CE599">
            <v>37881.69</v>
          </cell>
          <cell r="CF599">
            <v>34822.92</v>
          </cell>
          <cell r="CG599">
            <v>28705.379999999997</v>
          </cell>
          <cell r="CH599">
            <v>180467.43</v>
          </cell>
          <cell r="CI599">
            <v>29646.539999999997</v>
          </cell>
          <cell r="CJ599">
            <v>31293.57</v>
          </cell>
          <cell r="CK599">
            <v>46116.84</v>
          </cell>
          <cell r="CL599">
            <v>40940.46</v>
          </cell>
          <cell r="CM599">
            <v>12940.949999999999</v>
          </cell>
          <cell r="CN599">
            <v>941.16</v>
          </cell>
          <cell r="CO599">
            <v>4167.994285714286</v>
          </cell>
          <cell r="FA599">
            <v>100</v>
          </cell>
          <cell r="FB599">
            <v>101</v>
          </cell>
          <cell r="FC599">
            <v>135</v>
          </cell>
          <cell r="FD599">
            <v>161</v>
          </cell>
          <cell r="FE599">
            <v>148</v>
          </cell>
          <cell r="FF599">
            <v>122</v>
          </cell>
          <cell r="FG599">
            <v>767</v>
          </cell>
          <cell r="FH599">
            <v>126</v>
          </cell>
          <cell r="FI599">
            <v>133</v>
          </cell>
          <cell r="FJ599">
            <v>196</v>
          </cell>
          <cell r="FK599">
            <v>174</v>
          </cell>
          <cell r="FL599">
            <v>55</v>
          </cell>
        </row>
        <row r="600">
          <cell r="G600">
            <v>256661</v>
          </cell>
          <cell r="H600" t="str">
            <v>ARIEL抗菌洗衣精800g瓶裝-抗菌去漬</v>
          </cell>
          <cell r="N600">
            <v>146.88</v>
          </cell>
          <cell r="Q600" t="str">
            <v>on</v>
          </cell>
          <cell r="CB600">
            <v>46267.199999999997</v>
          </cell>
          <cell r="CC600">
            <v>31579.200000000001</v>
          </cell>
          <cell r="CD600">
            <v>28641.599999999999</v>
          </cell>
          <cell r="CE600">
            <v>57283.199999999997</v>
          </cell>
          <cell r="CF600">
            <v>58605.119999999995</v>
          </cell>
          <cell r="CG600">
            <v>61395.839999999997</v>
          </cell>
          <cell r="CH600">
            <v>283772.16000000003</v>
          </cell>
          <cell r="CI600">
            <v>236476.79999999999</v>
          </cell>
          <cell r="CJ600">
            <v>122497.92</v>
          </cell>
          <cell r="CK600">
            <v>40098.239999999998</v>
          </cell>
          <cell r="CL600">
            <v>58017.599999999999</v>
          </cell>
          <cell r="CM600">
            <v>31872.959999999999</v>
          </cell>
          <cell r="CN600">
            <v>2056.3199999999997</v>
          </cell>
          <cell r="CO600">
            <v>9106.5599999999977</v>
          </cell>
          <cell r="FA600">
            <v>315</v>
          </cell>
          <cell r="FB600">
            <v>215</v>
          </cell>
          <cell r="FC600">
            <v>195</v>
          </cell>
          <cell r="FD600">
            <v>390</v>
          </cell>
          <cell r="FE600">
            <v>399</v>
          </cell>
          <cell r="FF600">
            <v>418</v>
          </cell>
          <cell r="FG600">
            <v>1932</v>
          </cell>
          <cell r="FH600">
            <v>1610</v>
          </cell>
          <cell r="FI600">
            <v>834</v>
          </cell>
          <cell r="FJ600">
            <v>273</v>
          </cell>
          <cell r="FK600">
            <v>395</v>
          </cell>
          <cell r="FL600">
            <v>217</v>
          </cell>
        </row>
        <row r="601">
          <cell r="G601">
            <v>256701</v>
          </cell>
          <cell r="H601" t="str">
            <v>ARIEL抗菌洗衣精1690g補充包-室內晾衣</v>
          </cell>
          <cell r="N601">
            <v>235.29</v>
          </cell>
          <cell r="Q601" t="str">
            <v>on</v>
          </cell>
          <cell r="CB601">
            <v>84939.69</v>
          </cell>
          <cell r="CC601">
            <v>115056.81</v>
          </cell>
          <cell r="CD601">
            <v>102115.86</v>
          </cell>
          <cell r="CE601">
            <v>141174</v>
          </cell>
          <cell r="CF601">
            <v>137174.07</v>
          </cell>
          <cell r="CG601">
            <v>108939.26999999999</v>
          </cell>
          <cell r="CH601">
            <v>689399.7</v>
          </cell>
          <cell r="CI601">
            <v>150820.88999999998</v>
          </cell>
          <cell r="CJ601">
            <v>128938.92</v>
          </cell>
          <cell r="CK601">
            <v>143526.9</v>
          </cell>
          <cell r="CL601">
            <v>79528.02</v>
          </cell>
          <cell r="CM601">
            <v>13882.109999999999</v>
          </cell>
          <cell r="CN601">
            <v>1647.03</v>
          </cell>
          <cell r="CO601">
            <v>7293.99</v>
          </cell>
          <cell r="FA601">
            <v>361</v>
          </cell>
          <cell r="FB601">
            <v>489</v>
          </cell>
          <cell r="FC601">
            <v>434</v>
          </cell>
          <cell r="FD601">
            <v>600</v>
          </cell>
          <cell r="FE601">
            <v>583</v>
          </cell>
          <cell r="FF601">
            <v>463</v>
          </cell>
          <cell r="FG601">
            <v>2930</v>
          </cell>
          <cell r="FH601">
            <v>641</v>
          </cell>
          <cell r="FI601">
            <v>548</v>
          </cell>
          <cell r="FJ601">
            <v>610</v>
          </cell>
          <cell r="FK601">
            <v>338</v>
          </cell>
          <cell r="FL601">
            <v>59</v>
          </cell>
        </row>
        <row r="602">
          <cell r="G602">
            <v>264823</v>
          </cell>
          <cell r="H602" t="str">
            <v>M)ARIEL4D抗菌洗衣膠囊64顆補充-室內晾衣</v>
          </cell>
          <cell r="N602">
            <v>445.06350000000003</v>
          </cell>
          <cell r="Q602" t="str">
            <v>on</v>
          </cell>
          <cell r="CE602">
            <v>432601.72200000001</v>
          </cell>
          <cell r="CF602">
            <v>737025.15600000008</v>
          </cell>
          <cell r="CG602">
            <v>170904.38400000002</v>
          </cell>
          <cell r="CH602">
            <v>1340531.2620000001</v>
          </cell>
          <cell r="CI602">
            <v>537636.70799999998</v>
          </cell>
          <cell r="CJ602">
            <v>63644.080500000004</v>
          </cell>
          <cell r="CK602">
            <v>33824.826000000001</v>
          </cell>
          <cell r="CL602">
            <v>24033.429</v>
          </cell>
          <cell r="CM602">
            <v>615522.82050000003</v>
          </cell>
          <cell r="CN602">
            <v>399667.02300000004</v>
          </cell>
          <cell r="CO602">
            <v>1769953.959</v>
          </cell>
          <cell r="FD602">
            <v>972</v>
          </cell>
          <cell r="FE602">
            <v>1656</v>
          </cell>
          <cell r="FF602">
            <v>384</v>
          </cell>
          <cell r="FG602">
            <v>3012</v>
          </cell>
          <cell r="FH602">
            <v>1208</v>
          </cell>
          <cell r="FI602">
            <v>143</v>
          </cell>
          <cell r="FJ602">
            <v>76</v>
          </cell>
          <cell r="FK602">
            <v>54</v>
          </cell>
          <cell r="FL602">
            <v>1383</v>
          </cell>
        </row>
        <row r="603">
          <cell r="G603">
            <v>264996</v>
          </cell>
          <cell r="H603" t="str">
            <v>M)ARIEL4D抗菌洗衣膠囊64顆補充-抗菌去漬</v>
          </cell>
          <cell r="N603">
            <v>445.06350000000003</v>
          </cell>
          <cell r="Q603" t="str">
            <v>on</v>
          </cell>
          <cell r="CE603">
            <v>408123.22950000002</v>
          </cell>
          <cell r="CF603">
            <v>740140.60050000006</v>
          </cell>
          <cell r="CG603">
            <v>149541.33600000001</v>
          </cell>
          <cell r="CH603">
            <v>1297805.1660000002</v>
          </cell>
          <cell r="CI603">
            <v>587483.82000000007</v>
          </cell>
          <cell r="CJ603">
            <v>60973.699500000002</v>
          </cell>
          <cell r="CK603">
            <v>46286.604000000007</v>
          </cell>
          <cell r="CL603">
            <v>24033.429</v>
          </cell>
          <cell r="CM603">
            <v>655578.5355</v>
          </cell>
          <cell r="CN603">
            <v>400557.15</v>
          </cell>
          <cell r="CO603">
            <v>1773895.9500000002</v>
          </cell>
          <cell r="FD603">
            <v>917</v>
          </cell>
          <cell r="FE603">
            <v>1663</v>
          </cell>
          <cell r="FF603">
            <v>336</v>
          </cell>
          <cell r="FG603">
            <v>2916</v>
          </cell>
          <cell r="FH603">
            <v>1320</v>
          </cell>
          <cell r="FI603">
            <v>137</v>
          </cell>
          <cell r="FJ603">
            <v>104</v>
          </cell>
          <cell r="FK603">
            <v>54</v>
          </cell>
          <cell r="FL603">
            <v>1473</v>
          </cell>
        </row>
        <row r="604">
          <cell r="G604">
            <v>275083</v>
          </cell>
          <cell r="H604" t="str">
            <v>M)ARIEL4D抗菌洗衣膠囊-室內晾衣款11個入</v>
          </cell>
          <cell r="N604">
            <v>109.3</v>
          </cell>
          <cell r="CL604">
            <v>13116</v>
          </cell>
          <cell r="CM604">
            <v>31478.399999999998</v>
          </cell>
          <cell r="CN604">
            <v>6339.4</v>
          </cell>
          <cell r="CO604">
            <v>28074.485714285714</v>
          </cell>
          <cell r="FK604">
            <v>120</v>
          </cell>
          <cell r="FL604">
            <v>288</v>
          </cell>
        </row>
        <row r="605">
          <cell r="G605">
            <v>275092</v>
          </cell>
          <cell r="H605" t="str">
            <v>ARIEL抗菌洗衣精(抗菌去漬)補充包1690g</v>
          </cell>
          <cell r="N605">
            <v>213.9</v>
          </cell>
          <cell r="CL605">
            <v>18609.3</v>
          </cell>
          <cell r="CM605">
            <v>72084.3</v>
          </cell>
          <cell r="CN605">
            <v>32726.7</v>
          </cell>
          <cell r="CO605">
            <v>144932.52857142859</v>
          </cell>
          <cell r="FK605">
            <v>87</v>
          </cell>
          <cell r="FL605">
            <v>337</v>
          </cell>
        </row>
        <row r="606">
          <cell r="G606">
            <v>275117</v>
          </cell>
          <cell r="H606" t="str">
            <v>ARIEL抗菌洗衣精(室內晾衣)補充包1690g</v>
          </cell>
          <cell r="N606">
            <v>213.9</v>
          </cell>
          <cell r="CL606">
            <v>38715.9</v>
          </cell>
          <cell r="CM606">
            <v>124489.8</v>
          </cell>
          <cell r="CN606">
            <v>25668</v>
          </cell>
          <cell r="CO606">
            <v>113672.57142857142</v>
          </cell>
          <cell r="FK606">
            <v>181</v>
          </cell>
          <cell r="FL606">
            <v>582</v>
          </cell>
        </row>
        <row r="607">
          <cell r="G607">
            <v>275130</v>
          </cell>
          <cell r="H607" t="str">
            <v>ARIEL抗菌洗衣精/洗衣液(自然微香)800g</v>
          </cell>
          <cell r="N607">
            <v>135</v>
          </cell>
          <cell r="CO607">
            <v>0</v>
          </cell>
          <cell r="FL607">
            <v>32</v>
          </cell>
        </row>
        <row r="608">
          <cell r="G608">
            <v>275184</v>
          </cell>
          <cell r="H608" t="str">
            <v>M)ARIEL4D抗菌洗衣膠囊-自然微香款12個入</v>
          </cell>
          <cell r="N608">
            <v>109.3</v>
          </cell>
          <cell r="CL608">
            <v>7323.0999999999995</v>
          </cell>
          <cell r="CM608">
            <v>13116</v>
          </cell>
          <cell r="CN608">
            <v>2404.6</v>
          </cell>
          <cell r="CO608">
            <v>10648.942857142856</v>
          </cell>
          <cell r="FK608">
            <v>67</v>
          </cell>
          <cell r="FL608">
            <v>120</v>
          </cell>
        </row>
        <row r="609">
          <cell r="G609">
            <v>275188</v>
          </cell>
          <cell r="H609" t="str">
            <v>M)ARIEL抗菌洗衣膠囊補充包-室內晾衣款30個</v>
          </cell>
          <cell r="N609">
            <v>225.69</v>
          </cell>
          <cell r="CL609">
            <v>55971.12</v>
          </cell>
          <cell r="CM609">
            <v>224787.24</v>
          </cell>
          <cell r="CN609">
            <v>49426.11</v>
          </cell>
          <cell r="CO609">
            <v>218887.05857142858</v>
          </cell>
          <cell r="FK609">
            <v>248</v>
          </cell>
          <cell r="FL609">
            <v>996</v>
          </cell>
        </row>
        <row r="610">
          <cell r="G610">
            <v>275192</v>
          </cell>
          <cell r="H610" t="str">
            <v>M)ARIEL抗菌洗衣膠囊補充包(抗菌去漬)30個</v>
          </cell>
          <cell r="N610">
            <v>225.69</v>
          </cell>
          <cell r="CL610">
            <v>56873.88</v>
          </cell>
          <cell r="CM610">
            <v>223433.1</v>
          </cell>
          <cell r="CN610">
            <v>54616.979999999996</v>
          </cell>
          <cell r="CO610">
            <v>241875.19714285713</v>
          </cell>
          <cell r="FK610">
            <v>252</v>
          </cell>
          <cell r="FL610">
            <v>990</v>
          </cell>
        </row>
        <row r="611">
          <cell r="G611">
            <v>275200</v>
          </cell>
          <cell r="H611" t="str">
            <v>ARIEL抗菌洗衣精800g+500g-抗菌去漬款</v>
          </cell>
          <cell r="N611">
            <v>180</v>
          </cell>
          <cell r="CL611">
            <v>24300</v>
          </cell>
          <cell r="CM611">
            <v>75780</v>
          </cell>
          <cell r="CN611">
            <v>17640</v>
          </cell>
          <cell r="CO611">
            <v>78120</v>
          </cell>
          <cell r="FK611">
            <v>135</v>
          </cell>
          <cell r="FL611">
            <v>421</v>
          </cell>
        </row>
        <row r="612">
          <cell r="G612">
            <v>275210</v>
          </cell>
          <cell r="H612" t="str">
            <v>ARIEL抗菌洗衣精(高效除蟎)補充包1690g</v>
          </cell>
          <cell r="N612">
            <v>213.9</v>
          </cell>
          <cell r="CL612">
            <v>11550.6</v>
          </cell>
          <cell r="CM612">
            <v>36790.800000000003</v>
          </cell>
          <cell r="CN612">
            <v>12834</v>
          </cell>
          <cell r="CO612">
            <v>56836.28571428571</v>
          </cell>
          <cell r="FK612">
            <v>54</v>
          </cell>
          <cell r="FL612">
            <v>172</v>
          </cell>
        </row>
        <row r="613">
          <cell r="G613">
            <v>275230</v>
          </cell>
          <cell r="H613" t="str">
            <v>M)ARIEL抗菌洗衣膠囊補充包-自然微香款30個</v>
          </cell>
          <cell r="N613">
            <v>225.69</v>
          </cell>
          <cell r="CL613">
            <v>14444.16</v>
          </cell>
          <cell r="CM613">
            <v>70415.28</v>
          </cell>
          <cell r="CN613">
            <v>22569</v>
          </cell>
          <cell r="CO613">
            <v>99948.42857142858</v>
          </cell>
          <cell r="FK613">
            <v>64</v>
          </cell>
          <cell r="FL613">
            <v>312</v>
          </cell>
        </row>
        <row r="614">
          <cell r="G614">
            <v>275248</v>
          </cell>
          <cell r="H614" t="str">
            <v>M)ARIEL4D抗菌洗衣膠囊-抗菌去漬款11個入</v>
          </cell>
          <cell r="N614">
            <v>109.3</v>
          </cell>
          <cell r="CL614">
            <v>14099.699999999999</v>
          </cell>
          <cell r="CM614">
            <v>27871.5</v>
          </cell>
          <cell r="CN614">
            <v>7432.4</v>
          </cell>
          <cell r="CO614">
            <v>32914.91428571428</v>
          </cell>
          <cell r="FK614">
            <v>129</v>
          </cell>
          <cell r="FL614">
            <v>255</v>
          </cell>
        </row>
        <row r="615">
          <cell r="G615">
            <v>275260</v>
          </cell>
          <cell r="H615" t="str">
            <v>ARIEL抗菌洗衣精800g+500g-室內晾衣款</v>
          </cell>
          <cell r="N615">
            <v>180</v>
          </cell>
          <cell r="CL615">
            <v>33120</v>
          </cell>
          <cell r="CM615">
            <v>87120</v>
          </cell>
          <cell r="CN615">
            <v>20340</v>
          </cell>
          <cell r="CO615">
            <v>90077.142857142855</v>
          </cell>
          <cell r="FK615">
            <v>184</v>
          </cell>
          <cell r="FL615">
            <v>484</v>
          </cell>
        </row>
        <row r="616">
          <cell r="G616">
            <v>275277</v>
          </cell>
          <cell r="H616" t="str">
            <v>ARIEL抗菌洗衣精(自然微香)補充包1690g</v>
          </cell>
          <cell r="N616">
            <v>213.9</v>
          </cell>
          <cell r="CO616">
            <v>0</v>
          </cell>
          <cell r="FL616">
            <v>68</v>
          </cell>
        </row>
        <row r="617">
          <cell r="G617">
            <v>275287</v>
          </cell>
          <cell r="H617" t="str">
            <v>ARIEL抗菌洗衣精/洗衣液(室內晾衣)800g</v>
          </cell>
          <cell r="N617">
            <v>135</v>
          </cell>
          <cell r="CL617">
            <v>20655</v>
          </cell>
          <cell r="CM617">
            <v>42795</v>
          </cell>
          <cell r="CN617">
            <v>12420</v>
          </cell>
          <cell r="CO617">
            <v>55002.857142857138</v>
          </cell>
          <cell r="FK617">
            <v>153</v>
          </cell>
          <cell r="FL617">
            <v>317</v>
          </cell>
        </row>
        <row r="618">
          <cell r="G618">
            <v>275289</v>
          </cell>
          <cell r="H618" t="str">
            <v>ARIEL抗菌洗衣精/洗衣液(抗菌去漬)800g</v>
          </cell>
          <cell r="N618">
            <v>135</v>
          </cell>
          <cell r="CL618">
            <v>10935</v>
          </cell>
          <cell r="CM618">
            <v>33750</v>
          </cell>
          <cell r="CN618">
            <v>8100</v>
          </cell>
          <cell r="CO618">
            <v>35871.428571428572</v>
          </cell>
          <cell r="FK618">
            <v>81</v>
          </cell>
          <cell r="FL618">
            <v>250</v>
          </cell>
        </row>
        <row r="619">
          <cell r="G619">
            <v>275290</v>
          </cell>
          <cell r="H619" t="str">
            <v>ARIEL抗菌洗衣精/洗衣液(高效除蟎)800g</v>
          </cell>
          <cell r="N619">
            <v>135</v>
          </cell>
          <cell r="CL619">
            <v>4455</v>
          </cell>
          <cell r="CM619">
            <v>11745</v>
          </cell>
          <cell r="CN619">
            <v>4320</v>
          </cell>
          <cell r="CO619">
            <v>19131.428571428569</v>
          </cell>
          <cell r="FK619">
            <v>33</v>
          </cell>
          <cell r="FL619">
            <v>87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4DA7D-6B94-4FCA-A48B-B210FFBBD2F8}">
  <dimension ref="A1:AV100"/>
  <sheetViews>
    <sheetView zoomScale="85" zoomScaleNormal="85" workbookViewId="0">
      <pane xSplit="3" ySplit="2" topLeftCell="S58" activePane="bottomRight" state="frozen"/>
      <selection pane="topRight" activeCell="D1" sqref="D1"/>
      <selection pane="bottomLeft" activeCell="A3" sqref="A3"/>
      <selection pane="bottomRight" activeCell="AF70" sqref="AF70:AG73"/>
    </sheetView>
  </sheetViews>
  <sheetFormatPr defaultRowHeight="14.4"/>
  <cols>
    <col min="1" max="1" width="9.44140625" customWidth="1"/>
    <col min="2" max="2" width="10" style="77" bestFit="1" customWidth="1"/>
    <col min="3" max="3" width="16.6640625" style="77" customWidth="1"/>
    <col min="4" max="9" width="9" customWidth="1"/>
    <col min="10" max="15" width="8.88671875" customWidth="1"/>
    <col min="16" max="21" width="9" customWidth="1"/>
    <col min="22" max="27" width="8.88671875" customWidth="1"/>
    <col min="28" max="33" width="9" customWidth="1"/>
    <col min="35" max="35" width="7.6640625" customWidth="1"/>
    <col min="36" max="36" width="9" customWidth="1"/>
    <col min="38" max="38" width="8.88671875" customWidth="1"/>
    <col min="41" max="42" width="9" customWidth="1"/>
    <col min="47" max="47" width="21.6640625" bestFit="1" customWidth="1"/>
  </cols>
  <sheetData>
    <row r="1" spans="1:48" s="21" customFormat="1" ht="15" thickBot="1">
      <c r="A1" s="18" t="s">
        <v>78</v>
      </c>
      <c r="B1" s="19" t="s">
        <v>0</v>
      </c>
      <c r="C1" s="19" t="s">
        <v>79</v>
      </c>
      <c r="D1" s="61">
        <v>202401</v>
      </c>
      <c r="E1" s="57">
        <v>202402</v>
      </c>
      <c r="F1" s="57">
        <v>202403</v>
      </c>
      <c r="G1" s="57">
        <v>202404</v>
      </c>
      <c r="H1" s="57">
        <v>202405</v>
      </c>
      <c r="I1" s="57">
        <v>202406</v>
      </c>
      <c r="J1" s="69">
        <v>202407</v>
      </c>
      <c r="K1" s="7">
        <v>202408</v>
      </c>
      <c r="L1" s="7">
        <v>202409</v>
      </c>
      <c r="M1" s="7">
        <v>202410</v>
      </c>
      <c r="N1" s="7">
        <v>202411</v>
      </c>
      <c r="O1" s="7">
        <v>202412</v>
      </c>
      <c r="P1" s="7">
        <v>202501</v>
      </c>
      <c r="Q1" s="7">
        <v>202502</v>
      </c>
      <c r="R1" s="7">
        <v>202503</v>
      </c>
      <c r="S1" s="7">
        <v>202504</v>
      </c>
      <c r="T1" s="7">
        <v>202505</v>
      </c>
      <c r="U1" s="10">
        <v>202506</v>
      </c>
      <c r="V1" s="8">
        <v>202507</v>
      </c>
      <c r="W1" s="8">
        <v>202508</v>
      </c>
      <c r="X1" s="8">
        <v>202509</v>
      </c>
      <c r="Y1" s="8">
        <v>202510</v>
      </c>
      <c r="Z1" s="8">
        <v>202511</v>
      </c>
      <c r="AA1" s="8">
        <v>202512</v>
      </c>
      <c r="AB1" s="8">
        <v>202601</v>
      </c>
      <c r="AC1" s="8">
        <v>202602</v>
      </c>
      <c r="AD1" s="8">
        <v>202603</v>
      </c>
      <c r="AE1" s="8">
        <v>202604</v>
      </c>
      <c r="AF1" s="8">
        <v>202605</v>
      </c>
      <c r="AG1" s="9">
        <v>202606</v>
      </c>
      <c r="AH1" s="22"/>
      <c r="AJ1" s="16" t="s">
        <v>98</v>
      </c>
      <c r="AK1" s="15" t="s">
        <v>99</v>
      </c>
      <c r="AL1" s="15" t="s">
        <v>134</v>
      </c>
      <c r="AM1" s="15" t="s">
        <v>91</v>
      </c>
      <c r="AN1" s="15" t="s">
        <v>92</v>
      </c>
      <c r="AO1" s="15" t="s">
        <v>93</v>
      </c>
      <c r="AP1" s="15" t="s">
        <v>94</v>
      </c>
      <c r="AQ1" s="15" t="s">
        <v>95</v>
      </c>
      <c r="AR1" s="15" t="s">
        <v>96</v>
      </c>
      <c r="AS1" s="17" t="s">
        <v>97</v>
      </c>
      <c r="AT1" s="22"/>
    </row>
    <row r="2" spans="1:48" s="21" customFormat="1" ht="15" thickTop="1">
      <c r="A2" s="269" t="s">
        <v>77</v>
      </c>
      <c r="B2" s="207" t="s">
        <v>141</v>
      </c>
      <c r="C2" s="207" t="s">
        <v>83</v>
      </c>
      <c r="D2" s="208">
        <f t="shared" ref="D2:AG2" si="0">SUM(D3,D8,D14,D18,D24,D27,D34)</f>
        <v>26.875748523688891</v>
      </c>
      <c r="E2" s="209">
        <f t="shared" si="0"/>
        <v>31.613833355472217</v>
      </c>
      <c r="F2" s="209">
        <f t="shared" si="0"/>
        <v>25.597481125572216</v>
      </c>
      <c r="G2" s="209">
        <f t="shared" si="0"/>
        <v>25.517446473649997</v>
      </c>
      <c r="H2" s="209">
        <f t="shared" si="0"/>
        <v>30.361310246072222</v>
      </c>
      <c r="I2" s="209">
        <f t="shared" si="0"/>
        <v>25.890438801177776</v>
      </c>
      <c r="J2" s="208">
        <f t="shared" si="0"/>
        <v>25.464543748966673</v>
      </c>
      <c r="K2" s="209">
        <f t="shared" si="0"/>
        <v>26.673421175411114</v>
      </c>
      <c r="L2" s="209">
        <f t="shared" si="0"/>
        <v>26.836338446188893</v>
      </c>
      <c r="M2" s="209">
        <f t="shared" si="0"/>
        <v>29.629039933994125</v>
      </c>
      <c r="N2" s="209">
        <f t="shared" si="0"/>
        <v>36.169668328808889</v>
      </c>
      <c r="O2" s="209">
        <f t="shared" si="0"/>
        <v>32.819054901157095</v>
      </c>
      <c r="P2" s="209">
        <f t="shared" si="0"/>
        <v>32.20715746312036</v>
      </c>
      <c r="Q2" s="209">
        <f t="shared" si="0"/>
        <v>33.211523697020482</v>
      </c>
      <c r="R2" s="209">
        <f t="shared" si="0"/>
        <v>25.679427559950007</v>
      </c>
      <c r="S2" s="209">
        <f t="shared" si="0"/>
        <v>30.715304028084052</v>
      </c>
      <c r="T2" s="209">
        <f t="shared" si="0"/>
        <v>47.354672591209606</v>
      </c>
      <c r="U2" s="209">
        <f t="shared" si="0"/>
        <v>30.335384473039564</v>
      </c>
      <c r="V2" s="208">
        <f t="shared" si="0"/>
        <v>35.817669530691475</v>
      </c>
      <c r="W2" s="209">
        <f t="shared" si="0"/>
        <v>30.161700508780399</v>
      </c>
      <c r="X2" s="209">
        <f t="shared" si="0"/>
        <v>26.54468695136492</v>
      </c>
      <c r="Y2" s="209">
        <f t="shared" si="0"/>
        <v>40.442232660642667</v>
      </c>
      <c r="Z2" s="209">
        <f t="shared" si="0"/>
        <v>38.715582222879419</v>
      </c>
      <c r="AA2" s="209">
        <f t="shared" si="0"/>
        <v>52.684601028637481</v>
      </c>
      <c r="AB2" s="209">
        <f t="shared" si="0"/>
        <v>34.967442793744588</v>
      </c>
      <c r="AC2" s="209">
        <f t="shared" si="0"/>
        <v>34.620973787244587</v>
      </c>
      <c r="AD2" s="209">
        <f t="shared" si="0"/>
        <v>25.897203968022797</v>
      </c>
      <c r="AE2" s="209">
        <f t="shared" si="0"/>
        <v>36.442017264711346</v>
      </c>
      <c r="AF2" s="209">
        <f t="shared" si="0"/>
        <v>38.633270930166667</v>
      </c>
      <c r="AG2" s="210">
        <f t="shared" si="0"/>
        <v>41.653470930166669</v>
      </c>
      <c r="AI2" s="346"/>
      <c r="AJ2" s="49">
        <f>IFERROR(AE2/S2*100,"NA")</f>
        <v>118.64449471635106</v>
      </c>
      <c r="AK2" s="47">
        <f>IFERROR(SUM(V2:AE2)/SUM(J2:S2)*100,"NA")</f>
        <v>119.00053117608549</v>
      </c>
      <c r="AL2" s="47">
        <f>IFERROR(SUM(AB2:AE2)/SUM(P2:S2)*100,"NA")</f>
        <v>108.30304712540777</v>
      </c>
      <c r="AM2" s="47">
        <f t="shared" ref="AM2" si="1">IFERROR(SUM(V2:X2)/SUM(J2:L2)*100,"NA")</f>
        <v>117.15716763804977</v>
      </c>
      <c r="AN2" s="47">
        <f t="shared" ref="AN2" si="2">IFERROR(SUM(Y2:AA2)/SUM(M2:O2)*100,"NA")</f>
        <v>133.69033294028455</v>
      </c>
      <c r="AO2" s="47">
        <f t="shared" ref="AO2" si="3">IFERROR(SUM(AB2:AD2)/SUM(P2:R2)*100,"NA")</f>
        <v>104.81624908635838</v>
      </c>
      <c r="AP2" s="47">
        <f t="shared" ref="AP2" si="4">IFERROR(SUM(AE2:AG2)/SUM(S2:U2)*100,"NA")</f>
        <v>107.67803174016652</v>
      </c>
      <c r="AQ2" s="47">
        <f>IFERROR(SUM(V2:AA2)/SUM(J2:O2)*100,"NA")</f>
        <v>126.33811705737195</v>
      </c>
      <c r="AR2" s="47">
        <f t="shared" ref="AR2" si="5">IFERROR(SUM(AB2:AG2)/SUM(P2:U2)*100,"NA")</f>
        <v>106.37127257665422</v>
      </c>
      <c r="AS2" s="50">
        <f>IFERROR(SUM(V2:AG2)/SUM(J2:U2)*100,"NA")</f>
        <v>115.77460099537534</v>
      </c>
      <c r="AU2" s="228"/>
    </row>
    <row r="3" spans="1:48" s="21" customFormat="1">
      <c r="A3" s="322" t="s">
        <v>77</v>
      </c>
      <c r="B3" s="213" t="s">
        <v>4</v>
      </c>
      <c r="C3" s="213" t="s">
        <v>83</v>
      </c>
      <c r="D3" s="214">
        <f>Hair!F3</f>
        <v>7.2976788669444455</v>
      </c>
      <c r="E3" s="215">
        <f>Hair!G3</f>
        <v>9.0880794056944438</v>
      </c>
      <c r="F3" s="215">
        <f>Hair!H3</f>
        <v>7.5479909665277782</v>
      </c>
      <c r="G3" s="215">
        <f>Hair!I3</f>
        <v>6.8362571906944449</v>
      </c>
      <c r="H3" s="215">
        <f>Hair!J3</f>
        <v>7.7994483220833342</v>
      </c>
      <c r="I3" s="215">
        <f>Hair!K3</f>
        <v>7.7877277375</v>
      </c>
      <c r="J3" s="214">
        <f>Hair!L3</f>
        <v>7.0275253505555568</v>
      </c>
      <c r="K3" s="215">
        <f>Hair!M3</f>
        <v>7.4311767452777779</v>
      </c>
      <c r="L3" s="215">
        <f>Hair!N3</f>
        <v>6.7473106013888886</v>
      </c>
      <c r="M3" s="215">
        <f>Hair!O3</f>
        <v>7.804432405</v>
      </c>
      <c r="N3" s="215">
        <f>Hair!P3</f>
        <v>10.393136878055556</v>
      </c>
      <c r="O3" s="215">
        <f>Hair!Q3</f>
        <v>11.154347761666667</v>
      </c>
      <c r="P3" s="215">
        <f>Hair!R3</f>
        <v>8.6016333604999993</v>
      </c>
      <c r="Q3" s="215">
        <f>Hair!S3</f>
        <v>10.178626068944444</v>
      </c>
      <c r="R3" s="215">
        <f>Hair!T3</f>
        <v>8.5728452785555564</v>
      </c>
      <c r="S3" s="215">
        <f>Hair!U3</f>
        <v>10.208679187777779</v>
      </c>
      <c r="T3" s="215">
        <f>Hair!V3</f>
        <v>12.943774429611114</v>
      </c>
      <c r="U3" s="215">
        <f>Hair!W3</f>
        <v>10.198951900722221</v>
      </c>
      <c r="V3" s="214">
        <f>Hair!X3</f>
        <v>11.880161451611112</v>
      </c>
      <c r="W3" s="215">
        <f>Hair!Y3</f>
        <v>8.828240505777778</v>
      </c>
      <c r="X3" s="215">
        <f>Hair!Z3</f>
        <v>7.9189202290555558</v>
      </c>
      <c r="Y3" s="215">
        <f>Hair!AA3</f>
        <v>11.781652638611112</v>
      </c>
      <c r="Z3" s="215">
        <f>Hair!AB3</f>
        <v>13.142757905944444</v>
      </c>
      <c r="AA3" s="215">
        <f>Hair!AC3</f>
        <v>18.085230708277777</v>
      </c>
      <c r="AB3" s="215">
        <f>Hair!AD3</f>
        <v>11.635981232944445</v>
      </c>
      <c r="AC3" s="215">
        <f>Hair!AE3</f>
        <v>11.136239075611112</v>
      </c>
      <c r="AD3" s="215">
        <f>Hair!AF3</f>
        <v>8.4134842914583317</v>
      </c>
      <c r="AE3" s="215">
        <f>Hair!AG3</f>
        <v>11.617562547712962</v>
      </c>
      <c r="AF3" s="215">
        <f>Hair!AH3</f>
        <v>11.489820000000002</v>
      </c>
      <c r="AG3" s="216">
        <f>Hair!AI3</f>
        <v>12.432500000000001</v>
      </c>
      <c r="AH3" s="230"/>
      <c r="AI3" s="346"/>
      <c r="AJ3" s="88">
        <f t="shared" ref="AJ3:AJ66" si="6">IFERROR(AE3/S3*100,"NA")</f>
        <v>113.8008388158769</v>
      </c>
      <c r="AK3" s="89">
        <f t="shared" ref="AK3:AK66" si="7">IFERROR(SUM(V3:AE3)/SUM(J3:S3)*100,"NA")</f>
        <v>129.86904503286439</v>
      </c>
      <c r="AL3" s="89">
        <f t="shared" ref="AL3:AL66" si="8">IFERROR(SUM(AB3:AE3)/SUM(P3:S3)*100,"NA")</f>
        <v>113.95429798140724</v>
      </c>
      <c r="AM3" s="89">
        <f t="shared" ref="AM3:AM68" si="9">IFERROR(SUM(V3:X3)/SUM(J3:L3)*100,"NA")</f>
        <v>134.99625127638606</v>
      </c>
      <c r="AN3" s="89">
        <f t="shared" ref="AN3:AN68" si="10">IFERROR(SUM(Y3:AA3)/SUM(M3:O3)*100,"NA")</f>
        <v>146.53094442622415</v>
      </c>
      <c r="AO3" s="89">
        <f t="shared" ref="AO3:AO68" si="11">IFERROR(SUM(AB3:AD3)/SUM(P3:R3)*100,"NA")</f>
        <v>114.01157174999943</v>
      </c>
      <c r="AP3" s="89">
        <f t="shared" ref="AP3:AP68" si="12">IFERROR(SUM(AE3:AG3)/SUM(S3:U3)*100,"NA")</f>
        <v>106.56187346711197</v>
      </c>
      <c r="AQ3" s="89">
        <f t="shared" ref="AQ3:AQ68" si="13">IFERROR(SUM(V3:AA3)/SUM(J3:O3)*100,"NA")</f>
        <v>141.69283395290114</v>
      </c>
      <c r="AR3" s="89">
        <f t="shared" ref="AR3:AR68" si="14">IFERROR(SUM(AB3:AG3)/SUM(P3:U3)*100,"NA")</f>
        <v>109.91866485568953</v>
      </c>
      <c r="AS3" s="90">
        <f t="shared" ref="AS3:AS68" si="15">IFERROR(SUM(V3:AG3)/SUM(J3:U3)*100,"NA")</f>
        <v>124.35692640457083</v>
      </c>
      <c r="AT3" s="230"/>
      <c r="AU3" s="228"/>
    </row>
    <row r="4" spans="1:48" s="21" customFormat="1">
      <c r="A4" s="271"/>
      <c r="B4" s="22" t="s">
        <v>81</v>
      </c>
      <c r="C4" s="22" t="s">
        <v>81</v>
      </c>
      <c r="D4" s="72">
        <f>Hair!F6</f>
        <v>1.1561017483333331</v>
      </c>
      <c r="E4" s="24">
        <f>Hair!G6</f>
        <v>1.5203780316666669</v>
      </c>
      <c r="F4" s="24">
        <f>Hair!H6</f>
        <v>1.4297258333333334</v>
      </c>
      <c r="G4" s="24">
        <f>Hair!I6</f>
        <v>1.1546553633333332</v>
      </c>
      <c r="H4" s="24">
        <f>Hair!J6</f>
        <v>1.498395645</v>
      </c>
      <c r="I4" s="24">
        <f>Hair!K6</f>
        <v>1.8250481466666668</v>
      </c>
      <c r="J4" s="72">
        <f>Hair!L6</f>
        <v>1.4857060299999998</v>
      </c>
      <c r="K4" s="24">
        <f>Hair!M6</f>
        <v>1.6607624183333334</v>
      </c>
      <c r="L4" s="24">
        <f>Hair!N6</f>
        <v>1.371501293333333</v>
      </c>
      <c r="M4" s="24">
        <f>Hair!O6</f>
        <v>1.5249065033333333</v>
      </c>
      <c r="N4" s="24">
        <f>Hair!P6</f>
        <v>1.7258727416666666</v>
      </c>
      <c r="O4" s="24">
        <f>Hair!Q6</f>
        <v>1.6620787616666668</v>
      </c>
      <c r="P4" s="24">
        <f>Hair!R6</f>
        <v>1.7330809601666668</v>
      </c>
      <c r="Q4" s="24">
        <f>Hair!S6</f>
        <v>1.444955797</v>
      </c>
      <c r="R4" s="24">
        <f>Hair!T6</f>
        <v>1.2976342903333333</v>
      </c>
      <c r="S4" s="24">
        <f>Hair!U6</f>
        <v>2.7419589479999997</v>
      </c>
      <c r="T4" s="24">
        <f>Hair!V6</f>
        <v>3.1714116278333337</v>
      </c>
      <c r="U4" s="24">
        <f>Hair!W6</f>
        <v>1.7046371266666664</v>
      </c>
      <c r="V4" s="72">
        <f>Hair!X6</f>
        <v>2.1981883113333334</v>
      </c>
      <c r="W4" s="24">
        <f>Hair!Y6</f>
        <v>1.9127667699999999</v>
      </c>
      <c r="X4" s="24">
        <f>Hair!Z6</f>
        <v>1.5971440496666667</v>
      </c>
      <c r="Y4" s="24">
        <f>Hair!AA6</f>
        <v>1.8832435761666666</v>
      </c>
      <c r="Z4" s="24">
        <f>Hair!AB6</f>
        <v>2.4219897764999998</v>
      </c>
      <c r="AA4" s="24">
        <f>Hair!AC6</f>
        <v>2.2640175869999997</v>
      </c>
      <c r="AB4" s="24">
        <f>Hair!AD6</f>
        <v>1.7007495873333336</v>
      </c>
      <c r="AC4" s="24">
        <f>Hair!AE6</f>
        <v>1.73998348</v>
      </c>
      <c r="AD4" s="24">
        <f>Hair!AF6</f>
        <v>1.5325133008333331</v>
      </c>
      <c r="AE4" s="24">
        <f>Hair!AG6</f>
        <v>2.0781516006111111</v>
      </c>
      <c r="AF4" s="24">
        <f>Hair!AH6</f>
        <v>2.0699999999999998</v>
      </c>
      <c r="AG4" s="25">
        <f>Hair!AI6</f>
        <v>2.4699999999999998</v>
      </c>
      <c r="AH4" s="230"/>
      <c r="AI4" s="346"/>
      <c r="AJ4" s="51">
        <f t="shared" si="6"/>
        <v>75.79076273650729</v>
      </c>
      <c r="AK4" s="52">
        <f t="shared" si="7"/>
        <v>116.09933086206681</v>
      </c>
      <c r="AL4" s="52">
        <f t="shared" si="8"/>
        <v>97.696861340552729</v>
      </c>
      <c r="AM4" s="52">
        <f t="shared" si="9"/>
        <v>126.3421283758819</v>
      </c>
      <c r="AN4" s="52">
        <f t="shared" si="10"/>
        <v>133.71546522924746</v>
      </c>
      <c r="AO4" s="52">
        <f t="shared" si="11"/>
        <v>111.11733448204598</v>
      </c>
      <c r="AP4" s="52">
        <f t="shared" si="12"/>
        <v>86.875097257242658</v>
      </c>
      <c r="AQ4" s="52">
        <f t="shared" si="13"/>
        <v>130.18316523527201</v>
      </c>
      <c r="AR4" s="52">
        <f t="shared" si="14"/>
        <v>95.846749433275434</v>
      </c>
      <c r="AS4" s="53">
        <f t="shared" si="15"/>
        <v>110.89103502230182</v>
      </c>
      <c r="AT4" s="230"/>
      <c r="AU4" s="336"/>
      <c r="AV4" s="229"/>
    </row>
    <row r="5" spans="1:48" s="21" customFormat="1">
      <c r="A5" s="271"/>
      <c r="B5" s="22" t="s">
        <v>85</v>
      </c>
      <c r="C5" s="22" t="s">
        <v>85</v>
      </c>
      <c r="D5" s="72">
        <f>Hair!F42</f>
        <v>3.6296791691666668</v>
      </c>
      <c r="E5" s="24">
        <f>Hair!G42</f>
        <v>3.4605705808333331</v>
      </c>
      <c r="F5" s="24">
        <f>Hair!H42</f>
        <v>3.1276284308333335</v>
      </c>
      <c r="G5" s="24">
        <f>Hair!I42</f>
        <v>3.1032521591666664</v>
      </c>
      <c r="H5" s="24">
        <f>Hair!J42</f>
        <v>2.6596319483333328</v>
      </c>
      <c r="I5" s="24">
        <f>Hair!K42</f>
        <v>2.6082212741666666</v>
      </c>
      <c r="J5" s="72">
        <f>Hair!L42</f>
        <v>2.9359616083333337</v>
      </c>
      <c r="K5" s="24">
        <f>Hair!M42</f>
        <v>2.5585861591666665</v>
      </c>
      <c r="L5" s="24">
        <f>Hair!N42</f>
        <v>2.2970123525000004</v>
      </c>
      <c r="M5" s="24">
        <f>Hair!O42</f>
        <v>2.6333966883333333</v>
      </c>
      <c r="N5" s="24">
        <f>Hair!P42</f>
        <v>4.4341580241666669</v>
      </c>
      <c r="O5" s="24">
        <f>Hair!Q42</f>
        <v>4.94134604</v>
      </c>
      <c r="P5" s="24">
        <f>Hair!R42</f>
        <v>3.8385562261666668</v>
      </c>
      <c r="Q5" s="24">
        <f>Hair!S42</f>
        <v>3.3691993619999998</v>
      </c>
      <c r="R5" s="24">
        <f>Hair!T42</f>
        <v>2.3729949435000002</v>
      </c>
      <c r="S5" s="24">
        <f>Hair!U42</f>
        <v>2.9553758565000003</v>
      </c>
      <c r="T5" s="24">
        <f>Hair!V42</f>
        <v>5.0984640435000008</v>
      </c>
      <c r="U5" s="24">
        <f>Hair!W42</f>
        <v>4.1551195385000002</v>
      </c>
      <c r="V5" s="72">
        <f>Hair!X42</f>
        <v>4.3156669378333339</v>
      </c>
      <c r="W5" s="24">
        <f>Hair!Y42</f>
        <v>2.9207525158333332</v>
      </c>
      <c r="X5" s="24">
        <f>Hair!Z42</f>
        <v>2.9787506148333334</v>
      </c>
      <c r="Y5" s="24">
        <f>Hair!AA42</f>
        <v>5.4139164353333342</v>
      </c>
      <c r="Z5" s="24">
        <f>Hair!AB42</f>
        <v>5.0326995229999998</v>
      </c>
      <c r="AA5" s="24">
        <f>Hair!AC42</f>
        <v>5.4857741253333332</v>
      </c>
      <c r="AB5" s="24">
        <f>Hair!AD42</f>
        <v>4.0534603028333338</v>
      </c>
      <c r="AC5" s="24">
        <f>Hair!AE42</f>
        <v>4.9678833426666662</v>
      </c>
      <c r="AD5" s="24">
        <f>Hair!AF42</f>
        <v>3.4420324961249995</v>
      </c>
      <c r="AE5" s="24">
        <f>Hair!AG42</f>
        <v>4.8366561399351848</v>
      </c>
      <c r="AF5" s="24">
        <f>Hair!AH42</f>
        <v>5.1598199999999999</v>
      </c>
      <c r="AG5" s="25">
        <f>Hair!AI42</f>
        <v>4.9024999999999999</v>
      </c>
      <c r="AH5" s="230"/>
      <c r="AI5" s="346"/>
      <c r="AJ5" s="51">
        <f t="shared" si="6"/>
        <v>163.65621074211359</v>
      </c>
      <c r="AK5" s="52">
        <f t="shared" si="7"/>
        <v>134.36047559222587</v>
      </c>
      <c r="AL5" s="52">
        <f t="shared" si="8"/>
        <v>138.00141882655515</v>
      </c>
      <c r="AM5" s="52">
        <f t="shared" si="9"/>
        <v>131.105579770589</v>
      </c>
      <c r="AN5" s="52">
        <f t="shared" si="10"/>
        <v>132.6715110069494</v>
      </c>
      <c r="AO5" s="52">
        <f t="shared" si="11"/>
        <v>130.08768050509789</v>
      </c>
      <c r="AP5" s="52">
        <f t="shared" si="12"/>
        <v>122.03313652556191</v>
      </c>
      <c r="AQ5" s="52">
        <f t="shared" si="13"/>
        <v>132.05531083613249</v>
      </c>
      <c r="AR5" s="52">
        <f t="shared" si="14"/>
        <v>125.57465114966327</v>
      </c>
      <c r="AS5" s="53">
        <f t="shared" si="15"/>
        <v>128.65999670006624</v>
      </c>
      <c r="AT5" s="230"/>
      <c r="AU5" s="40"/>
      <c r="AV5" s="229"/>
    </row>
    <row r="6" spans="1:48" s="21" customFormat="1">
      <c r="A6" s="271"/>
      <c r="B6" s="22" t="s">
        <v>87</v>
      </c>
      <c r="C6" s="22" t="s">
        <v>87</v>
      </c>
      <c r="D6" s="72">
        <f>Hair!F84</f>
        <v>0.38689099999999998</v>
      </c>
      <c r="E6" s="24">
        <f>Hair!G84</f>
        <v>0.59313870000000013</v>
      </c>
      <c r="F6" s="24">
        <f>Hair!H84</f>
        <v>0.5326613</v>
      </c>
      <c r="G6" s="24">
        <f>Hair!I84</f>
        <v>0.58804339999999999</v>
      </c>
      <c r="H6" s="24">
        <f>Hair!J84</f>
        <v>0.61408039999999997</v>
      </c>
      <c r="I6" s="24">
        <f>Hair!K84</f>
        <v>0.396426</v>
      </c>
      <c r="J6" s="72">
        <f>Hair!L84</f>
        <v>0.53450980000000003</v>
      </c>
      <c r="K6" s="24">
        <f>Hair!M84</f>
        <v>0.66035069999999996</v>
      </c>
      <c r="L6" s="24">
        <f>Hair!N84</f>
        <v>0.76450079999999998</v>
      </c>
      <c r="M6" s="24">
        <f>Hair!O84</f>
        <v>0.43895960000000001</v>
      </c>
      <c r="N6" s="24">
        <f>Hair!P84</f>
        <v>0.68617740000000005</v>
      </c>
      <c r="O6" s="24">
        <f>Hair!Q84</f>
        <v>0.8649464</v>
      </c>
      <c r="P6" s="24">
        <f>Hair!R84</f>
        <v>0.7786516</v>
      </c>
      <c r="Q6" s="24">
        <f>Hair!S84</f>
        <v>0.48286909999999994</v>
      </c>
      <c r="R6" s="24">
        <f>Hair!T84</f>
        <v>0.43740869999999998</v>
      </c>
      <c r="S6" s="24">
        <f>Hair!U84</f>
        <v>0.48587855000000002</v>
      </c>
      <c r="T6" s="24">
        <f>Hair!V84</f>
        <v>0.54012735000000001</v>
      </c>
      <c r="U6" s="24">
        <f>Hair!W84</f>
        <v>0.35678655000000004</v>
      </c>
      <c r="V6" s="72">
        <f>Hair!X84</f>
        <v>0.53017285000000003</v>
      </c>
      <c r="W6" s="24">
        <f>Hair!Y84</f>
        <v>0.5182190499999999</v>
      </c>
      <c r="X6" s="24">
        <f>Hair!Z84</f>
        <v>0.74502215000000005</v>
      </c>
      <c r="Y6" s="24">
        <f>Hair!AA84</f>
        <v>0.44909575000000002</v>
      </c>
      <c r="Z6" s="24">
        <f>Hair!AB84</f>
        <v>0.40127669999999999</v>
      </c>
      <c r="AA6" s="24">
        <f>Hair!AC84</f>
        <v>0.56744260000000002</v>
      </c>
      <c r="AB6" s="24">
        <f>Hair!AD84</f>
        <v>0.41552900000000004</v>
      </c>
      <c r="AC6" s="24">
        <f>Hair!AE84</f>
        <v>0.36941305000000002</v>
      </c>
      <c r="AD6" s="24">
        <f>Hair!AF84</f>
        <v>0.29331019999999997</v>
      </c>
      <c r="AE6" s="24">
        <f>Hair!AG84</f>
        <v>0.38632085555555562</v>
      </c>
      <c r="AF6" s="24">
        <f>Hair!AH84</f>
        <v>0.36</v>
      </c>
      <c r="AG6" s="25">
        <f>Hair!AI84</f>
        <v>0.46</v>
      </c>
      <c r="AH6" s="230"/>
      <c r="AI6" s="346"/>
      <c r="AJ6" s="51">
        <f t="shared" si="6"/>
        <v>79.5097572336864</v>
      </c>
      <c r="AK6" s="52">
        <f t="shared" si="7"/>
        <v>76.224480345711811</v>
      </c>
      <c r="AL6" s="52">
        <f t="shared" si="8"/>
        <v>67.034409388502809</v>
      </c>
      <c r="AM6" s="52">
        <f t="shared" si="9"/>
        <v>91.530543652158485</v>
      </c>
      <c r="AN6" s="52">
        <f t="shared" si="10"/>
        <v>71.244001633298396</v>
      </c>
      <c r="AO6" s="52">
        <f t="shared" si="11"/>
        <v>63.466571948192787</v>
      </c>
      <c r="AP6" s="52">
        <f t="shared" si="12"/>
        <v>87.238027337765374</v>
      </c>
      <c r="AQ6" s="52">
        <f t="shared" si="13"/>
        <v>81.30836975638627</v>
      </c>
      <c r="AR6" s="52">
        <f t="shared" si="14"/>
        <v>74.133007998614659</v>
      </c>
      <c r="AS6" s="53">
        <f t="shared" si="15"/>
        <v>78.163447935329543</v>
      </c>
      <c r="AT6" s="230"/>
      <c r="AU6" s="40"/>
      <c r="AV6" s="229"/>
    </row>
    <row r="7" spans="1:48" s="21" customFormat="1">
      <c r="A7" s="272"/>
      <c r="B7" s="31" t="s">
        <v>5</v>
      </c>
      <c r="C7" s="31" t="s">
        <v>5</v>
      </c>
      <c r="D7" s="74">
        <f>Hair!F102</f>
        <v>2.1250069494444448</v>
      </c>
      <c r="E7" s="32">
        <f>Hair!G102</f>
        <v>3.5139920931944442</v>
      </c>
      <c r="F7" s="32">
        <f>Hair!H102</f>
        <v>2.4579754023611109</v>
      </c>
      <c r="G7" s="32">
        <f>Hair!I102</f>
        <v>1.9903062681944446</v>
      </c>
      <c r="H7" s="32">
        <f>Hair!J102</f>
        <v>3.0273403287500007</v>
      </c>
      <c r="I7" s="32">
        <f>Hair!K102</f>
        <v>2.9580323166666664</v>
      </c>
      <c r="J7" s="74">
        <f>Hair!L102</f>
        <v>2.0713479122222225</v>
      </c>
      <c r="K7" s="32">
        <f>Hair!M102</f>
        <v>2.5514774677777781</v>
      </c>
      <c r="L7" s="32">
        <f>Hair!N102</f>
        <v>2.3142961555555557</v>
      </c>
      <c r="M7" s="32">
        <f>Hair!O102</f>
        <v>3.2071696133333334</v>
      </c>
      <c r="N7" s="32">
        <f>Hair!P102</f>
        <v>3.5469287122222219</v>
      </c>
      <c r="O7" s="32">
        <f>Hair!Q102</f>
        <v>3.6859765600000003</v>
      </c>
      <c r="P7" s="32">
        <f>Hair!R102</f>
        <v>2.2513445741666662</v>
      </c>
      <c r="Q7" s="32">
        <f>Hair!S102</f>
        <v>4.8816018099444438</v>
      </c>
      <c r="R7" s="32">
        <f>Hair!T102</f>
        <v>4.4648073447222227</v>
      </c>
      <c r="S7" s="32">
        <f>Hair!U102</f>
        <v>4.025465833277778</v>
      </c>
      <c r="T7" s="32">
        <f>Hair!V102</f>
        <v>4.1337714082777781</v>
      </c>
      <c r="U7" s="32">
        <f>Hair!W102</f>
        <v>3.9824086855555558</v>
      </c>
      <c r="V7" s="74">
        <f>Hair!X102</f>
        <v>4.8361333524444445</v>
      </c>
      <c r="W7" s="32">
        <f>Hair!Y102</f>
        <v>3.4765021699444443</v>
      </c>
      <c r="X7" s="32">
        <f>Hair!Z102</f>
        <v>2.5980034145555555</v>
      </c>
      <c r="Y7" s="32">
        <f>Hair!AA102</f>
        <v>4.0353968771111113</v>
      </c>
      <c r="Z7" s="32">
        <f>Hair!AB102</f>
        <v>5.286791906444444</v>
      </c>
      <c r="AA7" s="32">
        <f>Hair!AC102</f>
        <v>9.7679963959444454</v>
      </c>
      <c r="AB7" s="32">
        <f>Hair!AD102</f>
        <v>5.466242342777778</v>
      </c>
      <c r="AC7" s="32">
        <f>Hair!AE102</f>
        <v>4.0589592029444441</v>
      </c>
      <c r="AD7" s="32">
        <f>Hair!AF102</f>
        <v>3.1456282944999998</v>
      </c>
      <c r="AE7" s="32">
        <f>Hair!AG102</f>
        <v>4.3164339516111108</v>
      </c>
      <c r="AF7" s="32">
        <f>Hair!AH102</f>
        <v>3.9000000000000004</v>
      </c>
      <c r="AG7" s="33">
        <f>Hair!AI102</f>
        <v>4.6000000000000005</v>
      </c>
      <c r="AH7" s="230"/>
      <c r="AI7" s="346"/>
      <c r="AJ7" s="54">
        <f t="shared" si="6"/>
        <v>107.2281850196803</v>
      </c>
      <c r="AK7" s="48">
        <f t="shared" si="7"/>
        <v>142.38635031802943</v>
      </c>
      <c r="AL7" s="48">
        <f t="shared" si="8"/>
        <v>108.73087793651864</v>
      </c>
      <c r="AM7" s="48">
        <f t="shared" si="9"/>
        <v>157.2790512754174</v>
      </c>
      <c r="AN7" s="48">
        <f t="shared" si="10"/>
        <v>182.85486827218423</v>
      </c>
      <c r="AO7" s="48">
        <f t="shared" si="11"/>
        <v>109.2524478142789</v>
      </c>
      <c r="AP7" s="48">
        <f t="shared" si="12"/>
        <v>105.5576322069586</v>
      </c>
      <c r="AQ7" s="48">
        <f t="shared" si="13"/>
        <v>172.64478912143278</v>
      </c>
      <c r="AR7" s="48">
        <f t="shared" si="14"/>
        <v>107.36271414282047</v>
      </c>
      <c r="AS7" s="55">
        <f t="shared" si="15"/>
        <v>134.95301946758667</v>
      </c>
      <c r="AT7" s="230"/>
      <c r="AU7" s="40"/>
      <c r="AV7" s="229"/>
    </row>
    <row r="8" spans="1:48" s="21" customFormat="1">
      <c r="A8" s="322" t="s">
        <v>77</v>
      </c>
      <c r="B8" s="213" t="s">
        <v>107</v>
      </c>
      <c r="C8" s="213" t="s">
        <v>83</v>
      </c>
      <c r="D8" s="214">
        <f>Fabric!F3</f>
        <v>3.2809508544444443</v>
      </c>
      <c r="E8" s="215">
        <f>Fabric!G3</f>
        <v>4.8481083311111117</v>
      </c>
      <c r="F8" s="215">
        <f>Fabric!H3</f>
        <v>3.977496316111111</v>
      </c>
      <c r="G8" s="215">
        <f>Fabric!I3</f>
        <v>5.4007096688888883</v>
      </c>
      <c r="H8" s="215">
        <f>Fabric!J3</f>
        <v>6.0796202938888886</v>
      </c>
      <c r="I8" s="215">
        <f>Fabric!K3</f>
        <v>3.6145921011111115</v>
      </c>
      <c r="J8" s="214">
        <f>Fabric!L3</f>
        <v>4.1013033494444455</v>
      </c>
      <c r="K8" s="215">
        <f>Fabric!M3</f>
        <v>3.8499107833333337</v>
      </c>
      <c r="L8" s="215">
        <f>Fabric!N3</f>
        <v>3.3481747050000004</v>
      </c>
      <c r="M8" s="215">
        <f>Fabric!O3</f>
        <v>3.7467754172274557</v>
      </c>
      <c r="N8" s="215">
        <f>Fabric!P3</f>
        <v>9.1287294116866669</v>
      </c>
      <c r="O8" s="215">
        <f>Fabric!Q3</f>
        <v>6.2294760080237666</v>
      </c>
      <c r="P8" s="215">
        <f>Fabric!R3</f>
        <v>5.3451212373870334</v>
      </c>
      <c r="Q8" s="215">
        <f>Fabric!S3</f>
        <v>5.5582471483426996</v>
      </c>
      <c r="R8" s="215">
        <f>Fabric!T3</f>
        <v>4.5886486690611212</v>
      </c>
      <c r="S8" s="215">
        <f>Fabric!U3</f>
        <v>5.1885798951729338</v>
      </c>
      <c r="T8" s="215">
        <f>Fabric!V3</f>
        <v>7.1809985408984884</v>
      </c>
      <c r="U8" s="215">
        <f>Fabric!W3</f>
        <v>3.8578637792840116</v>
      </c>
      <c r="V8" s="214">
        <f>Fabric!X3</f>
        <v>6.1518244630137007</v>
      </c>
      <c r="W8" s="215">
        <f>Fabric!Y3</f>
        <v>3.7429165907359558</v>
      </c>
      <c r="X8" s="215">
        <f>Fabric!Z3</f>
        <v>3.2458620181760334</v>
      </c>
      <c r="Y8" s="215">
        <f>Fabric!AA3</f>
        <v>5.5904814278982231</v>
      </c>
      <c r="Z8" s="215">
        <f>Fabric!AB3</f>
        <v>5.0388264196183101</v>
      </c>
      <c r="AA8" s="215">
        <f>Fabric!AC3</f>
        <v>8.125698770176367</v>
      </c>
      <c r="AB8" s="215">
        <f>Fabric!AD3</f>
        <v>4.8051852706168114</v>
      </c>
      <c r="AC8" s="215">
        <f>Fabric!AE3</f>
        <v>4.6802066511168112</v>
      </c>
      <c r="AD8" s="215">
        <f>Fabric!AF3</f>
        <v>3.8795478206728005</v>
      </c>
      <c r="AE8" s="215">
        <f>Fabric!AG3</f>
        <v>6.8530662662141228</v>
      </c>
      <c r="AF8" s="215">
        <f>Fabric!AH3</f>
        <v>6.36</v>
      </c>
      <c r="AG8" s="216">
        <f>Fabric!AI3</f>
        <v>6.36</v>
      </c>
      <c r="AI8" s="346"/>
      <c r="AJ8" s="88">
        <f t="shared" si="6"/>
        <v>132.0798061255586</v>
      </c>
      <c r="AK8" s="89">
        <f t="shared" si="7"/>
        <v>102.01360427837243</v>
      </c>
      <c r="AL8" s="89">
        <f t="shared" si="8"/>
        <v>97.763164465404628</v>
      </c>
      <c r="AM8" s="89">
        <f t="shared" si="9"/>
        <v>116.29481258306727</v>
      </c>
      <c r="AN8" s="89">
        <f t="shared" si="10"/>
        <v>98.168151948269184</v>
      </c>
      <c r="AO8" s="89">
        <f t="shared" si="11"/>
        <v>86.269849143197035</v>
      </c>
      <c r="AP8" s="89">
        <f t="shared" si="12"/>
        <v>120.61707573170621</v>
      </c>
      <c r="AQ8" s="89">
        <f t="shared" si="13"/>
        <v>104.90468978918857</v>
      </c>
      <c r="AR8" s="89">
        <f t="shared" si="14"/>
        <v>103.8416378037728</v>
      </c>
      <c r="AS8" s="90">
        <f t="shared" si="15"/>
        <v>104.36191200607139</v>
      </c>
      <c r="AU8" s="228"/>
    </row>
    <row r="9" spans="1:48" s="21" customFormat="1">
      <c r="A9" s="271"/>
      <c r="B9" s="22" t="s">
        <v>34</v>
      </c>
      <c r="C9" s="22" t="s">
        <v>83</v>
      </c>
      <c r="D9" s="72">
        <f>Fabric!F4</f>
        <v>2.6030706444444442</v>
      </c>
      <c r="E9" s="24">
        <f>Fabric!G4</f>
        <v>4.1279238611111113</v>
      </c>
      <c r="F9" s="24">
        <f>Fabric!H4</f>
        <v>3.495721046111111</v>
      </c>
      <c r="G9" s="24">
        <f>Fabric!I4</f>
        <v>4.2067223888888892</v>
      </c>
      <c r="H9" s="24">
        <f>Fabric!J4</f>
        <v>4.7707850938888887</v>
      </c>
      <c r="I9" s="24">
        <f>Fabric!K4</f>
        <v>3.0188219611111116</v>
      </c>
      <c r="J9" s="72">
        <f>Fabric!L4</f>
        <v>2.9258491194444449</v>
      </c>
      <c r="K9" s="24">
        <f>Fabric!M4</f>
        <v>2.7380167233333337</v>
      </c>
      <c r="L9" s="24">
        <f>Fabric!N4</f>
        <v>2.7041545950000003</v>
      </c>
      <c r="M9" s="24">
        <f>Fabric!O4</f>
        <v>2.8992885805555559</v>
      </c>
      <c r="N9" s="24">
        <f>Fabric!P4</f>
        <v>7.1127069716666682</v>
      </c>
      <c r="O9" s="24">
        <f>Fabric!Q4</f>
        <v>5.2421580366666669</v>
      </c>
      <c r="P9" s="24">
        <f>Fabric!R4</f>
        <v>3.821368753333334</v>
      </c>
      <c r="Q9" s="24">
        <f>Fabric!S4</f>
        <v>4.3797461549999994</v>
      </c>
      <c r="R9" s="24">
        <f>Fabric!T4</f>
        <v>3.3276565907222215</v>
      </c>
      <c r="S9" s="24">
        <f>Fabric!U4</f>
        <v>3.5888627028333335</v>
      </c>
      <c r="T9" s="24">
        <f>Fabric!V4</f>
        <v>5.368878059388889</v>
      </c>
      <c r="U9" s="24">
        <f>Fabric!W4</f>
        <v>2.7343832836111113</v>
      </c>
      <c r="V9" s="72">
        <f>Fabric!X4</f>
        <v>4.6669303715000003</v>
      </c>
      <c r="W9" s="24">
        <f>Fabric!Y4</f>
        <v>2.3916649555555556</v>
      </c>
      <c r="X9" s="24">
        <f>Fabric!Z4</f>
        <v>2.1746448333333332</v>
      </c>
      <c r="Y9" s="24">
        <f>Fabric!AA4</f>
        <v>4.1537989302222229</v>
      </c>
      <c r="Z9" s="24">
        <f>Fabric!AB4</f>
        <v>3.551819599111111</v>
      </c>
      <c r="AA9" s="24">
        <f>Fabric!AC4</f>
        <v>7.1492853181666662</v>
      </c>
      <c r="AB9" s="24">
        <f>Fabric!AD4</f>
        <v>3.3946849006111113</v>
      </c>
      <c r="AC9" s="24">
        <f>Fabric!AE4</f>
        <v>3.437546586611111</v>
      </c>
      <c r="AD9" s="24">
        <f>Fabric!AF4</f>
        <v>3.0067485630000004</v>
      </c>
      <c r="AE9" s="24">
        <f>Fabric!AG4</f>
        <v>5.6050281517222231</v>
      </c>
      <c r="AF9" s="24">
        <f>Fabric!AH4</f>
        <v>5</v>
      </c>
      <c r="AG9" s="25">
        <f>Fabric!AI4</f>
        <v>5</v>
      </c>
      <c r="AI9" s="346"/>
      <c r="AJ9" s="51">
        <f t="shared" si="6"/>
        <v>156.17839454535743</v>
      </c>
      <c r="AK9" s="52">
        <f t="shared" si="7"/>
        <v>102.0452966018911</v>
      </c>
      <c r="AL9" s="52">
        <f t="shared" si="8"/>
        <v>102.15889599984354</v>
      </c>
      <c r="AM9" s="52">
        <f t="shared" si="9"/>
        <v>110.33959858301779</v>
      </c>
      <c r="AN9" s="52">
        <f t="shared" si="10"/>
        <v>97.382681778688124</v>
      </c>
      <c r="AO9" s="52">
        <f t="shared" si="11"/>
        <v>85.342831636729372</v>
      </c>
      <c r="AP9" s="52">
        <f t="shared" si="12"/>
        <v>133.4661528611075</v>
      </c>
      <c r="AQ9" s="52">
        <f t="shared" si="13"/>
        <v>101.97259566666554</v>
      </c>
      <c r="AR9" s="52">
        <f t="shared" si="14"/>
        <v>109.57375934428542</v>
      </c>
      <c r="AS9" s="53">
        <f t="shared" si="15"/>
        <v>105.74062003808278</v>
      </c>
      <c r="AU9" s="228"/>
    </row>
    <row r="10" spans="1:48" s="21" customFormat="1">
      <c r="A10" s="271"/>
      <c r="B10" s="22" t="s">
        <v>34</v>
      </c>
      <c r="C10" s="22" t="s">
        <v>35</v>
      </c>
      <c r="D10" s="72">
        <f>Fabric!F5</f>
        <v>0.58634320000000006</v>
      </c>
      <c r="E10" s="24">
        <f>Fabric!G5</f>
        <v>0.99059209999999986</v>
      </c>
      <c r="F10" s="24">
        <f>Fabric!H5</f>
        <v>0.68382615000000002</v>
      </c>
      <c r="G10" s="24">
        <f>Fabric!I5</f>
        <v>0.74044633333333332</v>
      </c>
      <c r="H10" s="24">
        <f>Fabric!J5</f>
        <v>1.1259406833333334</v>
      </c>
      <c r="I10" s="24">
        <f>Fabric!K5</f>
        <v>1.0298289166666668</v>
      </c>
      <c r="J10" s="72">
        <f>Fabric!L5</f>
        <v>0.75706356666666685</v>
      </c>
      <c r="K10" s="24">
        <f>Fabric!M5</f>
        <v>0.90302606666666674</v>
      </c>
      <c r="L10" s="24">
        <f>Fabric!N5</f>
        <v>0.87952816666666678</v>
      </c>
      <c r="M10" s="24">
        <f>Fabric!O5</f>
        <v>0.66086808333333336</v>
      </c>
      <c r="N10" s="24">
        <f>Fabric!P5</f>
        <v>1.0989112166666668</v>
      </c>
      <c r="O10" s="24">
        <f>Fabric!Q5</f>
        <v>0.61280022666666678</v>
      </c>
      <c r="P10" s="24">
        <f>Fabric!R5</f>
        <v>1.0280903400000001</v>
      </c>
      <c r="Q10" s="24">
        <f>Fabric!S5</f>
        <v>1.060153193333333</v>
      </c>
      <c r="R10" s="24">
        <f>Fabric!T5</f>
        <v>0.77415714999999996</v>
      </c>
      <c r="S10" s="24">
        <f>Fabric!U5</f>
        <v>0.97737117666666673</v>
      </c>
      <c r="T10" s="24">
        <f>Fabric!V5</f>
        <v>1.2637562066666668</v>
      </c>
      <c r="U10" s="24">
        <f>Fabric!W5</f>
        <v>0.72701046333333341</v>
      </c>
      <c r="V10" s="72">
        <f>Fabric!X5</f>
        <v>1.3700894566666666</v>
      </c>
      <c r="W10" s="24">
        <f>Fabric!Y5</f>
        <v>1.0131400866666667</v>
      </c>
      <c r="X10" s="24">
        <f>Fabric!Z5</f>
        <v>0.78915228333333343</v>
      </c>
      <c r="Y10" s="24">
        <f>Fabric!AA5</f>
        <v>1.01588952</v>
      </c>
      <c r="Z10" s="24">
        <f>Fabric!AB5</f>
        <v>0.98783759999999998</v>
      </c>
      <c r="AA10" s="24">
        <f>Fabric!AC5</f>
        <v>1.02940261</v>
      </c>
      <c r="AB10" s="24">
        <f>Fabric!AD5</f>
        <v>0.74250945000000002</v>
      </c>
      <c r="AC10" s="24">
        <f>Fabric!AE5</f>
        <v>0.94926119999999992</v>
      </c>
      <c r="AD10" s="24">
        <f>Fabric!AF5</f>
        <v>0.60003110999999998</v>
      </c>
      <c r="AE10" s="24">
        <f>Fabric!AG5</f>
        <v>0.80969183999999994</v>
      </c>
      <c r="AF10" s="24">
        <f>Fabric!AH5</f>
        <v>1</v>
      </c>
      <c r="AG10" s="25">
        <f>Fabric!AI5</f>
        <v>1</v>
      </c>
      <c r="AI10" s="346"/>
      <c r="AJ10" s="51">
        <f t="shared" si="6"/>
        <v>82.843842680266192</v>
      </c>
      <c r="AK10" s="52">
        <f t="shared" si="7"/>
        <v>106.34184099785884</v>
      </c>
      <c r="AL10" s="52">
        <f t="shared" si="8"/>
        <v>80.772861333485594</v>
      </c>
      <c r="AM10" s="52">
        <f t="shared" si="9"/>
        <v>124.91571868281386</v>
      </c>
      <c r="AN10" s="52">
        <f t="shared" si="10"/>
        <v>127.84101421718692</v>
      </c>
      <c r="AO10" s="52">
        <f t="shared" si="11"/>
        <v>80.065721523345331</v>
      </c>
      <c r="AP10" s="52">
        <f t="shared" si="12"/>
        <v>94.661770616731715</v>
      </c>
      <c r="AQ10" s="52">
        <f t="shared" si="13"/>
        <v>126.32862940947081</v>
      </c>
      <c r="AR10" s="52">
        <f t="shared" si="14"/>
        <v>87.496096179643985</v>
      </c>
      <c r="AS10" s="53">
        <f t="shared" si="15"/>
        <v>105.25256608306002</v>
      </c>
    </row>
    <row r="11" spans="1:48" s="21" customFormat="1">
      <c r="A11" s="271"/>
      <c r="B11" s="22" t="s">
        <v>34</v>
      </c>
      <c r="C11" s="22" t="s">
        <v>36</v>
      </c>
      <c r="D11" s="72">
        <f>Fabric!F6</f>
        <v>2.0167274444444443</v>
      </c>
      <c r="E11" s="24">
        <f>Fabric!G6</f>
        <v>3.1373317611111116</v>
      </c>
      <c r="F11" s="24">
        <f>Fabric!H6</f>
        <v>2.8118948961111108</v>
      </c>
      <c r="G11" s="24">
        <f>Fabric!I6</f>
        <v>3.4662760555555558</v>
      </c>
      <c r="H11" s="24">
        <f>Fabric!J6</f>
        <v>3.6448444105555553</v>
      </c>
      <c r="I11" s="24">
        <f>Fabric!K6</f>
        <v>1.9889930444444446</v>
      </c>
      <c r="J11" s="72">
        <f>Fabric!L6</f>
        <v>2.168785552777778</v>
      </c>
      <c r="K11" s="24">
        <f>Fabric!M6</f>
        <v>1.8349906566666672</v>
      </c>
      <c r="L11" s="24">
        <f>Fabric!N6</f>
        <v>1.8246264283333335</v>
      </c>
      <c r="M11" s="24">
        <f>Fabric!O6</f>
        <v>2.2384204972222226</v>
      </c>
      <c r="N11" s="24">
        <f>Fabric!P6</f>
        <v>6.0137957550000012</v>
      </c>
      <c r="O11" s="24">
        <f>Fabric!Q6</f>
        <v>4.6293578100000001</v>
      </c>
      <c r="P11" s="24">
        <f>Fabric!R6</f>
        <v>2.7932784133333337</v>
      </c>
      <c r="Q11" s="24">
        <f>Fabric!S6</f>
        <v>3.3195929616666664</v>
      </c>
      <c r="R11" s="24">
        <f>Fabric!T6</f>
        <v>2.5534994407222218</v>
      </c>
      <c r="S11" s="24">
        <f>Fabric!U6</f>
        <v>2.6114915261666667</v>
      </c>
      <c r="T11" s="24">
        <f>Fabric!V6</f>
        <v>4.1051218527222222</v>
      </c>
      <c r="U11" s="24">
        <f>Fabric!W6</f>
        <v>2.0073728202777779</v>
      </c>
      <c r="V11" s="72">
        <f>Fabric!X6</f>
        <v>3.2968409148333335</v>
      </c>
      <c r="W11" s="24">
        <f>Fabric!Y6</f>
        <v>1.3785248688888889</v>
      </c>
      <c r="X11" s="24">
        <f>Fabric!Z6</f>
        <v>1.3854925499999997</v>
      </c>
      <c r="Y11" s="24">
        <f>Fabric!AA6</f>
        <v>3.1379094102222225</v>
      </c>
      <c r="Z11" s="24">
        <f>Fabric!AB6</f>
        <v>2.5639819991111112</v>
      </c>
      <c r="AA11" s="24">
        <f>Fabric!AC6</f>
        <v>6.1198827081666662</v>
      </c>
      <c r="AB11" s="24">
        <f>Fabric!AD6</f>
        <v>2.6521754506111113</v>
      </c>
      <c r="AC11" s="24">
        <f>Fabric!AE6</f>
        <v>2.488285386611111</v>
      </c>
      <c r="AD11" s="24">
        <f>Fabric!AF6</f>
        <v>2.4067174530000002</v>
      </c>
      <c r="AE11" s="24">
        <f>Fabric!AG6</f>
        <v>4.795336311722223</v>
      </c>
      <c r="AF11" s="24">
        <f>Fabric!AH6</f>
        <v>4</v>
      </c>
      <c r="AG11" s="25">
        <f>Fabric!AI6</f>
        <v>4</v>
      </c>
      <c r="AI11" s="346"/>
      <c r="AJ11" s="51">
        <f t="shared" si="6"/>
        <v>183.62442549301161</v>
      </c>
      <c r="AK11" s="52">
        <f t="shared" si="7"/>
        <v>100.79134748904809</v>
      </c>
      <c r="AL11" s="52">
        <f t="shared" si="8"/>
        <v>109.44019555994369</v>
      </c>
      <c r="AM11" s="52">
        <f t="shared" si="9"/>
        <v>103.98832596838356</v>
      </c>
      <c r="AN11" s="52">
        <f t="shared" si="10"/>
        <v>91.772745010795703</v>
      </c>
      <c r="AO11" s="52">
        <f t="shared" si="11"/>
        <v>87.085799242866457</v>
      </c>
      <c r="AP11" s="52">
        <f t="shared" si="12"/>
        <v>146.66846117826805</v>
      </c>
      <c r="AQ11" s="52">
        <f t="shared" si="13"/>
        <v>95.578058369373693</v>
      </c>
      <c r="AR11" s="52">
        <f t="shared" si="14"/>
        <v>116.97583082698098</v>
      </c>
      <c r="AS11" s="53">
        <f t="shared" si="15"/>
        <v>105.88585511441254</v>
      </c>
    </row>
    <row r="12" spans="1:48" s="21" customFormat="1">
      <c r="A12" s="271"/>
      <c r="B12" s="22" t="s">
        <v>38</v>
      </c>
      <c r="C12" s="22" t="s">
        <v>38</v>
      </c>
      <c r="D12" s="72">
        <f>Fabric!F7</f>
        <v>0.67788021000000009</v>
      </c>
      <c r="E12" s="24">
        <f>Fabric!G7</f>
        <v>0.72018447000000008</v>
      </c>
      <c r="F12" s="24">
        <f>Fabric!H7</f>
        <v>0.45857486999999997</v>
      </c>
      <c r="G12" s="24">
        <f>Fabric!I7</f>
        <v>1.1614318799999999</v>
      </c>
      <c r="H12" s="24">
        <f>Fabric!J7</f>
        <v>1.2403565999999999</v>
      </c>
      <c r="I12" s="24">
        <f>Fabric!K7</f>
        <v>0.51718814000000002</v>
      </c>
      <c r="J12" s="72">
        <f>Fabric!L7</f>
        <v>1.11408543</v>
      </c>
      <c r="K12" s="24">
        <f>Fabric!M7</f>
        <v>1.01871826</v>
      </c>
      <c r="L12" s="24">
        <f>Fabric!N7</f>
        <v>0.55683150999999986</v>
      </c>
      <c r="M12" s="24">
        <f>Fabric!O7</f>
        <v>0.76404023667190002</v>
      </c>
      <c r="N12" s="24">
        <f>Fabric!P7</f>
        <v>1.9423050400199999</v>
      </c>
      <c r="O12" s="24">
        <f>Fabric!Q7</f>
        <v>0.89190441135709986</v>
      </c>
      <c r="P12" s="24">
        <f>Fabric!R7</f>
        <v>1.3874243040536998</v>
      </c>
      <c r="Q12" s="24">
        <f>Fabric!S7</f>
        <v>1.0039761733427</v>
      </c>
      <c r="R12" s="24">
        <f>Fabric!T7</f>
        <v>1.1529372183388999</v>
      </c>
      <c r="S12" s="24">
        <f>Fabric!U7</f>
        <v>1.2353057003395997</v>
      </c>
      <c r="T12" s="24">
        <f>Fabric!V7</f>
        <v>1.2790385180095998</v>
      </c>
      <c r="U12" s="24">
        <f>Fabric!W7</f>
        <v>0.90561088667290013</v>
      </c>
      <c r="V12" s="72">
        <f>Fabric!X7</f>
        <v>1.0539087970137</v>
      </c>
      <c r="W12" s="24">
        <f>Fabric!Y7</f>
        <v>0.79949411268040016</v>
      </c>
      <c r="X12" s="24">
        <f>Fabric!Z7</f>
        <v>0.84791993934270005</v>
      </c>
      <c r="Y12" s="24">
        <f>Fabric!AA7</f>
        <v>1.1859601136759998</v>
      </c>
      <c r="Z12" s="24">
        <f>Fabric!AB7</f>
        <v>1.2855061730071999</v>
      </c>
      <c r="AA12" s="24">
        <f>Fabric!AC7</f>
        <v>0.77498545500969995</v>
      </c>
      <c r="AB12" s="24">
        <f>Fabric!AD7</f>
        <v>1.2090009160057</v>
      </c>
      <c r="AC12" s="24">
        <f>Fabric!AE7</f>
        <v>1.1174806780057003</v>
      </c>
      <c r="AD12" s="24">
        <f>Fabric!AF7</f>
        <v>0.76144042067280004</v>
      </c>
      <c r="AE12" s="24">
        <f>Fabric!AG7</f>
        <v>1.0990384672696778</v>
      </c>
      <c r="AF12" s="24">
        <f>Fabric!AH7</f>
        <v>1.1599999999999999</v>
      </c>
      <c r="AG12" s="25">
        <f>Fabric!AI7</f>
        <v>1.1599999999999999</v>
      </c>
      <c r="AI12" s="346"/>
      <c r="AJ12" s="51">
        <f t="shared" si="6"/>
        <v>88.968946469488444</v>
      </c>
      <c r="AK12" s="52">
        <f t="shared" si="7"/>
        <v>91.571801873970458</v>
      </c>
      <c r="AL12" s="52">
        <f t="shared" si="8"/>
        <v>87.599850762763197</v>
      </c>
      <c r="AM12" s="52">
        <f t="shared" si="9"/>
        <v>100.43454402428999</v>
      </c>
      <c r="AN12" s="52">
        <f t="shared" si="10"/>
        <v>90.223081307432892</v>
      </c>
      <c r="AO12" s="52">
        <f t="shared" si="11"/>
        <v>87.122680731007137</v>
      </c>
      <c r="AP12" s="52">
        <f t="shared" si="12"/>
        <v>99.973197374694294</v>
      </c>
      <c r="AQ12" s="52">
        <f t="shared" si="13"/>
        <v>94.591022205802048</v>
      </c>
      <c r="AR12" s="52">
        <f t="shared" si="14"/>
        <v>93.433183642798838</v>
      </c>
      <c r="AS12" s="53">
        <f t="shared" si="15"/>
        <v>93.982554151862999</v>
      </c>
    </row>
    <row r="13" spans="1:48" s="21" customFormat="1">
      <c r="A13" s="272"/>
      <c r="B13" s="31" t="s">
        <v>37</v>
      </c>
      <c r="C13" s="31" t="s">
        <v>37</v>
      </c>
      <c r="D13" s="74">
        <f>Fabric!F8</f>
        <v>0</v>
      </c>
      <c r="E13" s="32">
        <f>Fabric!G8</f>
        <v>0</v>
      </c>
      <c r="F13" s="32">
        <f>Fabric!H8</f>
        <v>2.3200399999999999E-2</v>
      </c>
      <c r="G13" s="32">
        <f>Fabric!I8</f>
        <v>3.2555399999999998E-2</v>
      </c>
      <c r="H13" s="32">
        <f>Fabric!J8</f>
        <v>6.8478599999999987E-2</v>
      </c>
      <c r="I13" s="32">
        <f>Fabric!K8</f>
        <v>7.8581999999999999E-2</v>
      </c>
      <c r="J13" s="74">
        <f>Fabric!L8</f>
        <v>6.1368799999999994E-2</v>
      </c>
      <c r="K13" s="32">
        <f>Fabric!M8</f>
        <v>9.3175800000000003E-2</v>
      </c>
      <c r="L13" s="32">
        <f>Fabric!N8</f>
        <v>8.7188600000000005E-2</v>
      </c>
      <c r="M13" s="32">
        <f>Fabric!O8</f>
        <v>8.344660000000001E-2</v>
      </c>
      <c r="N13" s="32">
        <f>Fabric!P8</f>
        <v>7.3717399999999988E-2</v>
      </c>
      <c r="O13" s="32">
        <f>Fabric!Q8</f>
        <v>9.5413559999999994E-2</v>
      </c>
      <c r="P13" s="32">
        <f>Fabric!R8</f>
        <v>0.13632817999999999</v>
      </c>
      <c r="Q13" s="32">
        <f>Fabric!S8</f>
        <v>0.17452481999999997</v>
      </c>
      <c r="R13" s="32">
        <f>Fabric!T8</f>
        <v>0.10805485999999999</v>
      </c>
      <c r="S13" s="32">
        <f>Fabric!U8</f>
        <v>0.36441149199999995</v>
      </c>
      <c r="T13" s="32">
        <f>Fabric!V8</f>
        <v>0.53308196350000003</v>
      </c>
      <c r="U13" s="32">
        <f>Fabric!W8</f>
        <v>0.21786960900000002</v>
      </c>
      <c r="V13" s="74">
        <f>Fabric!X8</f>
        <v>0.4309852945</v>
      </c>
      <c r="W13" s="32">
        <f>Fabric!Y8</f>
        <v>0.55175752249999999</v>
      </c>
      <c r="X13" s="32">
        <f>Fabric!Z8</f>
        <v>0.22329724549999999</v>
      </c>
      <c r="Y13" s="32">
        <f>Fabric!AA8</f>
        <v>0.25072238400000002</v>
      </c>
      <c r="Z13" s="32">
        <f>Fabric!AB8</f>
        <v>0.20150064749999996</v>
      </c>
      <c r="AA13" s="32">
        <f>Fabric!AC8</f>
        <v>0.201427997</v>
      </c>
      <c r="AB13" s="32">
        <f>Fabric!AD8</f>
        <v>0.20149945400000002</v>
      </c>
      <c r="AC13" s="32">
        <f>Fabric!AE8</f>
        <v>0.12517938649999999</v>
      </c>
      <c r="AD13" s="32">
        <f>Fabric!AF8</f>
        <v>0.111358837</v>
      </c>
      <c r="AE13" s="32">
        <f>Fabric!AG8</f>
        <v>0.1489996472222222</v>
      </c>
      <c r="AF13" s="32">
        <f>Fabric!AH8</f>
        <v>0.2</v>
      </c>
      <c r="AG13" s="33">
        <f>Fabric!AI8</f>
        <v>0.2</v>
      </c>
      <c r="AI13" s="346"/>
      <c r="AJ13" s="54">
        <f t="shared" si="6"/>
        <v>40.887746542916986</v>
      </c>
      <c r="AK13" s="48">
        <f t="shared" si="7"/>
        <v>191.50522461404097</v>
      </c>
      <c r="AL13" s="48">
        <f t="shared" si="8"/>
        <v>74.942272678873167</v>
      </c>
      <c r="AM13" s="48">
        <f t="shared" si="9"/>
        <v>498.91370424087381</v>
      </c>
      <c r="AN13" s="48">
        <f t="shared" si="10"/>
        <v>258.79220169044316</v>
      </c>
      <c r="AO13" s="48">
        <f t="shared" si="11"/>
        <v>104.56659311668206</v>
      </c>
      <c r="AP13" s="48">
        <f t="shared" si="12"/>
        <v>49.221609061290749</v>
      </c>
      <c r="AQ13" s="48">
        <f t="shared" si="13"/>
        <v>376.21901878081712</v>
      </c>
      <c r="AR13" s="48">
        <f t="shared" si="14"/>
        <v>64.332661784872542</v>
      </c>
      <c r="AS13" s="55">
        <f t="shared" si="15"/>
        <v>140.33097298834571</v>
      </c>
    </row>
    <row r="14" spans="1:48" s="21" customFormat="1">
      <c r="A14" s="322" t="s">
        <v>77</v>
      </c>
      <c r="B14" s="213" t="s">
        <v>138</v>
      </c>
      <c r="C14" s="213" t="s">
        <v>83</v>
      </c>
      <c r="D14" s="214">
        <f>Oral!F3</f>
        <v>4.8753329947999999</v>
      </c>
      <c r="E14" s="215">
        <f>Oral!G3</f>
        <v>5.8560400704999989</v>
      </c>
      <c r="F14" s="215">
        <f>Oral!H3</f>
        <v>4.9593555317666667</v>
      </c>
      <c r="G14" s="215">
        <f>Oral!I3</f>
        <v>5.698335543899999</v>
      </c>
      <c r="H14" s="215">
        <f>Oral!J3</f>
        <v>7.1931792282666667</v>
      </c>
      <c r="I14" s="215">
        <f>Oral!K3</f>
        <v>5.1703308198333335</v>
      </c>
      <c r="J14" s="214">
        <f>Oral!L3</f>
        <v>4.1319147015666662</v>
      </c>
      <c r="K14" s="215">
        <f>Oral!M3</f>
        <v>6.2557798350000002</v>
      </c>
      <c r="L14" s="215">
        <f>Oral!N3</f>
        <v>6.0177651033333337</v>
      </c>
      <c r="M14" s="215">
        <f>Oral!O3</f>
        <v>4.9087399583</v>
      </c>
      <c r="N14" s="215">
        <f>Oral!P3</f>
        <v>6.5901054168333335</v>
      </c>
      <c r="O14" s="215">
        <f>Oral!Q3</f>
        <v>5.6943933649999998</v>
      </c>
      <c r="P14" s="215">
        <f>Oral!R3</f>
        <v>5.5200398876999994</v>
      </c>
      <c r="Q14" s="215">
        <f>Oral!S3</f>
        <v>5.5036254928999995</v>
      </c>
      <c r="R14" s="215">
        <f>Oral!T3</f>
        <v>4.5064107683666652</v>
      </c>
      <c r="S14" s="215">
        <f>Oral!U3</f>
        <v>4.7142141546666672</v>
      </c>
      <c r="T14" s="215">
        <f>Oral!V3</f>
        <v>6.9855010714999999</v>
      </c>
      <c r="U14" s="215">
        <f>Oral!W3</f>
        <v>4.5213830029333337</v>
      </c>
      <c r="V14" s="214">
        <f>Oral!X3</f>
        <v>6.1740755553</v>
      </c>
      <c r="W14" s="215">
        <f>Oral!Y3</f>
        <v>5.9903360823333323</v>
      </c>
      <c r="X14" s="215">
        <f>Oral!Z3</f>
        <v>5.1374191620333329</v>
      </c>
      <c r="Y14" s="215">
        <f>Oral!AA3</f>
        <v>8.5311756679999995</v>
      </c>
      <c r="Z14" s="215">
        <f>Oral!AB3</f>
        <v>8.848191852433331</v>
      </c>
      <c r="AA14" s="215">
        <f>Oral!AC3</f>
        <v>7.2161623393333336</v>
      </c>
      <c r="AB14" s="215">
        <f>Oral!AD3</f>
        <v>5.6449005721666659</v>
      </c>
      <c r="AC14" s="215">
        <f>Oral!AE3</f>
        <v>6.5019624277000005</v>
      </c>
      <c r="AD14" s="215">
        <f>Oral!AF3</f>
        <v>4.8707600361666659</v>
      </c>
      <c r="AE14" s="215">
        <f>Oral!AG3</f>
        <v>5.8729736774407417</v>
      </c>
      <c r="AF14" s="215">
        <f>Oral!AH3</f>
        <v>5.49</v>
      </c>
      <c r="AG14" s="216">
        <f>Oral!AI3</f>
        <v>6.3580000000000005</v>
      </c>
      <c r="AI14" s="346"/>
      <c r="AJ14" s="88">
        <f t="shared" si="6"/>
        <v>124.58012056213022</v>
      </c>
      <c r="AK14" s="89">
        <f t="shared" si="7"/>
        <v>120.32756530946598</v>
      </c>
      <c r="AL14" s="89">
        <f t="shared" si="8"/>
        <v>113.07186554900272</v>
      </c>
      <c r="AM14" s="89">
        <f t="shared" si="9"/>
        <v>105.4638588582217</v>
      </c>
      <c r="AN14" s="89">
        <f t="shared" si="10"/>
        <v>143.05350045744743</v>
      </c>
      <c r="AO14" s="89">
        <f t="shared" si="11"/>
        <v>109.57849061909232</v>
      </c>
      <c r="AP14" s="89">
        <f t="shared" si="12"/>
        <v>109.24644821920889</v>
      </c>
      <c r="AQ14" s="89">
        <f t="shared" si="13"/>
        <v>124.69935646177184</v>
      </c>
      <c r="AR14" s="89">
        <f t="shared" si="14"/>
        <v>109.40885618854807</v>
      </c>
      <c r="AS14" s="90">
        <f t="shared" si="15"/>
        <v>117.27024726824507</v>
      </c>
      <c r="AU14" s="228"/>
    </row>
    <row r="15" spans="1:48" s="21" customFormat="1">
      <c r="A15" s="271"/>
      <c r="B15" s="22" t="s">
        <v>732</v>
      </c>
      <c r="C15" s="22" t="s">
        <v>720</v>
      </c>
      <c r="D15" s="72">
        <f>Oral!F6</f>
        <v>2.1323989750000001</v>
      </c>
      <c r="E15" s="24">
        <f>Oral!G6</f>
        <v>2.0234925499999998</v>
      </c>
      <c r="F15" s="24">
        <f>Oral!H6</f>
        <v>1.7709607666666665</v>
      </c>
      <c r="G15" s="24">
        <f>Oral!I6</f>
        <v>1.5462309999999999</v>
      </c>
      <c r="H15" s="24">
        <f>Oral!J6</f>
        <v>1.8634205541666666</v>
      </c>
      <c r="I15" s="24">
        <f>Oral!K6</f>
        <v>1.5405686833333334</v>
      </c>
      <c r="J15" s="72">
        <f>Oral!L6</f>
        <v>1.0881453041666664</v>
      </c>
      <c r="K15" s="24">
        <f>Oral!M6</f>
        <v>1.5423587749999998</v>
      </c>
      <c r="L15" s="24">
        <f>Oral!N6</f>
        <v>1.6134830458333336</v>
      </c>
      <c r="M15" s="24">
        <f>Oral!O6</f>
        <v>1.7023934999999999</v>
      </c>
      <c r="N15" s="24">
        <f>Oral!P6</f>
        <v>1.9288867958333336</v>
      </c>
      <c r="O15" s="24">
        <f>Oral!Q6</f>
        <v>1.1655538499999998</v>
      </c>
      <c r="P15" s="24">
        <f>Oral!R6</f>
        <v>1.5631523499999997</v>
      </c>
      <c r="Q15" s="24">
        <f>Oral!S6</f>
        <v>1.7304068874999998</v>
      </c>
      <c r="R15" s="24">
        <f>Oral!T6</f>
        <v>1.7834875291666661</v>
      </c>
      <c r="S15" s="24">
        <f>Oral!U6</f>
        <v>1.5330711666666665</v>
      </c>
      <c r="T15" s="24">
        <f>Oral!V6</f>
        <v>1.6814350999999998</v>
      </c>
      <c r="U15" s="24">
        <f>Oral!W6</f>
        <v>1.3145665458333333</v>
      </c>
      <c r="V15" s="72">
        <f>Oral!X6</f>
        <v>1.8132189875000004</v>
      </c>
      <c r="W15" s="24">
        <f>Oral!Y6</f>
        <v>1.3269437083333331</v>
      </c>
      <c r="X15" s="24">
        <f>Oral!Z6</f>
        <v>1.4019187333333334</v>
      </c>
      <c r="Y15" s="24">
        <f>Oral!AA6</f>
        <v>1.4138869125000002</v>
      </c>
      <c r="Z15" s="24">
        <f>Oral!AB6</f>
        <v>1.3323751458333333</v>
      </c>
      <c r="AA15" s="24">
        <f>Oral!AC6</f>
        <v>1.0847957458333333</v>
      </c>
      <c r="AB15" s="24">
        <f>Oral!AD6</f>
        <v>1.153403441666667</v>
      </c>
      <c r="AC15" s="24">
        <f>Oral!AE6</f>
        <v>1.0025340375</v>
      </c>
      <c r="AD15" s="24">
        <f>Oral!AF6</f>
        <v>0.71737324166666661</v>
      </c>
      <c r="AE15" s="24">
        <f>Oral!AG6</f>
        <v>1.0492294115740741</v>
      </c>
      <c r="AF15" s="24">
        <f>Oral!AH6</f>
        <v>1.1400000000000001</v>
      </c>
      <c r="AG15" s="25">
        <f>Oral!AI6</f>
        <v>1.34</v>
      </c>
      <c r="AI15" s="346"/>
      <c r="AJ15" s="51">
        <f t="shared" si="6"/>
        <v>68.439706804700904</v>
      </c>
      <c r="AK15" s="52">
        <f t="shared" si="7"/>
        <v>78.56192657414023</v>
      </c>
      <c r="AL15" s="52">
        <f t="shared" si="8"/>
        <v>59.341454599878219</v>
      </c>
      <c r="AM15" s="52">
        <f t="shared" si="9"/>
        <v>107.02392102960647</v>
      </c>
      <c r="AN15" s="52">
        <f t="shared" si="10"/>
        <v>79.866380360355649</v>
      </c>
      <c r="AO15" s="52">
        <f t="shared" si="11"/>
        <v>56.594135387880328</v>
      </c>
      <c r="AP15" s="52">
        <f t="shared" si="12"/>
        <v>77.923883268857779</v>
      </c>
      <c r="AQ15" s="52">
        <f t="shared" si="13"/>
        <v>92.614807687283729</v>
      </c>
      <c r="AR15" s="52">
        <f t="shared" si="14"/>
        <v>66.650639518302043</v>
      </c>
      <c r="AS15" s="53">
        <f t="shared" si="15"/>
        <v>79.239160378098944</v>
      </c>
      <c r="AU15" s="228"/>
    </row>
    <row r="16" spans="1:48" s="21" customFormat="1">
      <c r="A16" s="271"/>
      <c r="B16" s="22" t="s">
        <v>732</v>
      </c>
      <c r="C16" s="22" t="s">
        <v>721</v>
      </c>
      <c r="D16" s="72">
        <f>Oral!F30</f>
        <v>1.2720631197999999</v>
      </c>
      <c r="E16" s="24">
        <f>Oral!G30</f>
        <v>2.0157073204999998</v>
      </c>
      <c r="F16" s="24">
        <f>Oral!H30</f>
        <v>1.5602138650999999</v>
      </c>
      <c r="G16" s="24">
        <f>Oral!I30</f>
        <v>1.6239192438999996</v>
      </c>
      <c r="H16" s="24">
        <f>Oral!J30</f>
        <v>2.2183715740999999</v>
      </c>
      <c r="I16" s="24">
        <f>Oral!K30</f>
        <v>1.8884163865000001</v>
      </c>
      <c r="J16" s="72">
        <f>Oral!L30</f>
        <v>1.5417833193999999</v>
      </c>
      <c r="K16" s="24">
        <f>Oral!M30</f>
        <v>1.8191797960000002</v>
      </c>
      <c r="L16" s="24">
        <f>Oral!N30</f>
        <v>1.4586887995</v>
      </c>
      <c r="M16" s="24">
        <f>Oral!O30</f>
        <v>1.5430268122999999</v>
      </c>
      <c r="N16" s="24">
        <f>Oral!P30</f>
        <v>1.7523833770000001</v>
      </c>
      <c r="O16" s="24">
        <f>Oral!Q30</f>
        <v>1.727123765</v>
      </c>
      <c r="P16" s="24">
        <f>Oral!R30</f>
        <v>1.5493621317000001</v>
      </c>
      <c r="Q16" s="24">
        <f>Oral!S30</f>
        <v>2.0867696294</v>
      </c>
      <c r="R16" s="24">
        <f>Oral!T30</f>
        <v>1.5170251411999998</v>
      </c>
      <c r="S16" s="24">
        <f>Oral!U30</f>
        <v>1.388011452</v>
      </c>
      <c r="T16" s="24">
        <f>Oral!V30</f>
        <v>2.8721282674999999</v>
      </c>
      <c r="U16" s="24">
        <f>Oral!W30</f>
        <v>1.7210533731</v>
      </c>
      <c r="V16" s="72">
        <f>Oral!X30</f>
        <v>2.0712050617999997</v>
      </c>
      <c r="W16" s="24">
        <f>Oral!Y30</f>
        <v>2.0553085699999998</v>
      </c>
      <c r="X16" s="24">
        <f>Oral!Z30</f>
        <v>1.8748383746999999</v>
      </c>
      <c r="Y16" s="24">
        <f>Oral!AA30</f>
        <v>2.6708909575000002</v>
      </c>
      <c r="Z16" s="24">
        <f>Oral!AB30</f>
        <v>2.7378228705999996</v>
      </c>
      <c r="AA16" s="24">
        <f>Oral!AC30</f>
        <v>3.9180987434999999</v>
      </c>
      <c r="AB16" s="24">
        <f>Oral!AD30</f>
        <v>2.7485765564999998</v>
      </c>
      <c r="AC16" s="24">
        <f>Oral!AE30</f>
        <v>3.6705176081999999</v>
      </c>
      <c r="AD16" s="24">
        <f>Oral!AF30</f>
        <v>2.4335013224999997</v>
      </c>
      <c r="AE16" s="24">
        <f>Oral!AG30</f>
        <v>2.7590690043111112</v>
      </c>
      <c r="AF16" s="24">
        <f>Oral!AH30</f>
        <v>2.2000000000000002</v>
      </c>
      <c r="AG16" s="25">
        <f>Oral!AI30</f>
        <v>2.2000000000000002</v>
      </c>
      <c r="AI16" s="346"/>
      <c r="AJ16" s="51">
        <f t="shared" si="6"/>
        <v>198.7785475642539</v>
      </c>
      <c r="AK16" s="52">
        <f t="shared" si="7"/>
        <v>164.43414884461868</v>
      </c>
      <c r="AL16" s="52">
        <f t="shared" si="8"/>
        <v>177.51667381986726</v>
      </c>
      <c r="AM16" s="52">
        <f t="shared" si="9"/>
        <v>124.51837004964534</v>
      </c>
      <c r="AN16" s="52">
        <f t="shared" si="10"/>
        <v>185.69934332877784</v>
      </c>
      <c r="AO16" s="52">
        <f t="shared" si="11"/>
        <v>171.78975247675524</v>
      </c>
      <c r="AP16" s="52">
        <f t="shared" si="12"/>
        <v>119.69299257648767</v>
      </c>
      <c r="AQ16" s="52">
        <f t="shared" si="13"/>
        <v>155.73943412375235</v>
      </c>
      <c r="AR16" s="52">
        <f t="shared" si="14"/>
        <v>143.80421397607515</v>
      </c>
      <c r="AS16" s="53">
        <f t="shared" si="15"/>
        <v>149.40421656202648</v>
      </c>
      <c r="AU16" s="228"/>
    </row>
    <row r="17" spans="1:47" s="21" customFormat="1">
      <c r="A17" s="272"/>
      <c r="B17" s="31" t="s">
        <v>723</v>
      </c>
      <c r="C17" s="31" t="s">
        <v>720</v>
      </c>
      <c r="D17" s="74">
        <f>Oral!F48</f>
        <v>1.4708709</v>
      </c>
      <c r="E17" s="32">
        <f>Oral!G48</f>
        <v>1.8168402000000001</v>
      </c>
      <c r="F17" s="32">
        <f>Oral!H48</f>
        <v>1.6281809</v>
      </c>
      <c r="G17" s="32">
        <f>Oral!I48</f>
        <v>2.5281853000000001</v>
      </c>
      <c r="H17" s="32">
        <f>Oral!J48</f>
        <v>3.1113871000000004</v>
      </c>
      <c r="I17" s="32">
        <f>Oral!K48</f>
        <v>1.7413457499999998</v>
      </c>
      <c r="J17" s="74">
        <f>Oral!L48</f>
        <v>1.5019860779999998</v>
      </c>
      <c r="K17" s="32">
        <f>Oral!M48</f>
        <v>2.8942412639999997</v>
      </c>
      <c r="L17" s="32">
        <f>Oral!N48</f>
        <v>2.9455932579999997</v>
      </c>
      <c r="M17" s="32">
        <f>Oral!O48</f>
        <v>1.6633196459999999</v>
      </c>
      <c r="N17" s="32">
        <f>Oral!P48</f>
        <v>2.908835244</v>
      </c>
      <c r="O17" s="32">
        <f>Oral!Q48</f>
        <v>2.8017157499999996</v>
      </c>
      <c r="P17" s="32">
        <f>Oral!R48</f>
        <v>2.407525406</v>
      </c>
      <c r="Q17" s="32">
        <f>Oral!S48</f>
        <v>1.6864489759999999</v>
      </c>
      <c r="R17" s="32">
        <f>Oral!T48</f>
        <v>1.205898098</v>
      </c>
      <c r="S17" s="32">
        <f>Oral!U48</f>
        <v>1.7931315360000002</v>
      </c>
      <c r="T17" s="32">
        <f>Oral!V48</f>
        <v>2.4319377040000001</v>
      </c>
      <c r="U17" s="32">
        <f>Oral!W48</f>
        <v>1.485763084</v>
      </c>
      <c r="V17" s="74">
        <f>Oral!X48</f>
        <v>2.2896515060000002</v>
      </c>
      <c r="W17" s="32">
        <f>Oral!Y48</f>
        <v>2.6080838039999996</v>
      </c>
      <c r="X17" s="32">
        <f>Oral!Z48</f>
        <v>1.8606620539999998</v>
      </c>
      <c r="Y17" s="32">
        <f>Oral!AA48</f>
        <v>4.4463977980000005</v>
      </c>
      <c r="Z17" s="32">
        <f>Oral!AB48</f>
        <v>4.7779938359999994</v>
      </c>
      <c r="AA17" s="32">
        <f>Oral!AC48</f>
        <v>2.2132678499999998</v>
      </c>
      <c r="AB17" s="32">
        <f>Oral!AD48</f>
        <v>1.7429205739999998</v>
      </c>
      <c r="AC17" s="32">
        <f>Oral!AE48</f>
        <v>1.8289107819999999</v>
      </c>
      <c r="AD17" s="32">
        <f>Oral!AF48</f>
        <v>1.7198854719999999</v>
      </c>
      <c r="AE17" s="32">
        <f>Oral!AG48</f>
        <v>2.0646752615555557</v>
      </c>
      <c r="AF17" s="32">
        <f>Oral!AH48</f>
        <v>2.15</v>
      </c>
      <c r="AG17" s="33">
        <f>Oral!AI48</f>
        <v>2.8180000000000001</v>
      </c>
      <c r="AI17" s="346"/>
      <c r="AJ17" s="54">
        <f t="shared" si="6"/>
        <v>115.14354748125714</v>
      </c>
      <c r="AK17" s="48">
        <f t="shared" si="7"/>
        <v>117.16633497607143</v>
      </c>
      <c r="AL17" s="48">
        <f t="shared" si="8"/>
        <v>103.71335012586232</v>
      </c>
      <c r="AM17" s="48">
        <f t="shared" si="9"/>
        <v>92.053425603998008</v>
      </c>
      <c r="AN17" s="48">
        <f t="shared" si="10"/>
        <v>155.11066090522033</v>
      </c>
      <c r="AO17" s="48">
        <f t="shared" si="11"/>
        <v>99.846116071079507</v>
      </c>
      <c r="AP17" s="48">
        <f t="shared" si="12"/>
        <v>123.14623968209429</v>
      </c>
      <c r="AQ17" s="48">
        <f t="shared" si="13"/>
        <v>123.65071100798662</v>
      </c>
      <c r="AR17" s="48">
        <f t="shared" si="14"/>
        <v>111.93100086634158</v>
      </c>
      <c r="AS17" s="55">
        <f t="shared" si="15"/>
        <v>118.63476285351537</v>
      </c>
      <c r="AU17" s="228"/>
    </row>
    <row r="18" spans="1:47" s="21" customFormat="1">
      <c r="A18" s="322" t="s">
        <v>77</v>
      </c>
      <c r="B18" s="213" t="s">
        <v>139</v>
      </c>
      <c r="C18" s="213" t="s">
        <v>83</v>
      </c>
      <c r="D18" s="214">
        <f>Fem!F3</f>
        <v>2.7367969116666666</v>
      </c>
      <c r="E18" s="215">
        <f>Fem!G3</f>
        <v>2.8721022233333335</v>
      </c>
      <c r="F18" s="215">
        <f>Fem!H3</f>
        <v>2.8830513166666667</v>
      </c>
      <c r="G18" s="215">
        <f>Fem!I3</f>
        <v>2.375407468333333</v>
      </c>
      <c r="H18" s="215">
        <f>Fem!J3</f>
        <v>3.2515813133333329</v>
      </c>
      <c r="I18" s="215">
        <f>Fem!K3</f>
        <v>3.1253921340666664</v>
      </c>
      <c r="J18" s="214">
        <f>Fem!L3</f>
        <v>2.1753227074000003</v>
      </c>
      <c r="K18" s="215">
        <f>Fem!M3</f>
        <v>2.4889472254666667</v>
      </c>
      <c r="L18" s="215">
        <f>Fem!N3</f>
        <v>2.0857766928000001</v>
      </c>
      <c r="M18" s="215">
        <f>Fem!O3</f>
        <v>2.8543786058000005</v>
      </c>
      <c r="N18" s="215">
        <f>Fem!P3</f>
        <v>3.6170855400666673</v>
      </c>
      <c r="O18" s="215">
        <f>Fem!Q3</f>
        <v>2.2483556684666666</v>
      </c>
      <c r="P18" s="215">
        <f>Fem!R3</f>
        <v>2.4102484848666665</v>
      </c>
      <c r="Q18" s="215">
        <f>Fem!S3</f>
        <v>3.3897307450000005</v>
      </c>
      <c r="R18" s="215">
        <f>Fem!T3</f>
        <v>2.407985108133333</v>
      </c>
      <c r="S18" s="215">
        <f>Fem!U3</f>
        <v>2.5721250414666668</v>
      </c>
      <c r="T18" s="215">
        <f>Fem!V3</f>
        <v>5.6034383008666664</v>
      </c>
      <c r="U18" s="215">
        <f>Fem!W3</f>
        <v>4.2020225359333336</v>
      </c>
      <c r="V18" s="214">
        <f>Fem!X3</f>
        <v>2.9448645829333335</v>
      </c>
      <c r="W18" s="215">
        <f>Fem!Y3</f>
        <v>2.0529656716000004</v>
      </c>
      <c r="X18" s="215">
        <f>Fem!Z3</f>
        <v>1.9081337499333335</v>
      </c>
      <c r="Y18" s="215">
        <f>Fem!AA3</f>
        <v>2.9056356304666666</v>
      </c>
      <c r="Z18" s="215">
        <f>Fem!AB3</f>
        <v>2.1683459108833332</v>
      </c>
      <c r="AA18" s="215">
        <f>Fem!AC3</f>
        <v>4.5394777175166663</v>
      </c>
      <c r="AB18" s="215">
        <f>Fem!AD3</f>
        <v>4.7275647670166663</v>
      </c>
      <c r="AC18" s="215">
        <f>Fem!AE3</f>
        <v>3.5119219413166669</v>
      </c>
      <c r="AD18" s="215">
        <f>Fem!AF3</f>
        <v>2.4802825335583334</v>
      </c>
      <c r="AE18" s="215">
        <f>Fem!AG3</f>
        <v>3.0012110642138894</v>
      </c>
      <c r="AF18" s="215">
        <f>Fem!AH3</f>
        <v>4.29</v>
      </c>
      <c r="AG18" s="216">
        <f>Fem!AI3</f>
        <v>3.89</v>
      </c>
      <c r="AI18" s="346"/>
      <c r="AJ18" s="88">
        <f t="shared" si="6"/>
        <v>116.68216030829322</v>
      </c>
      <c r="AK18" s="89">
        <f t="shared" si="7"/>
        <v>115.20173129972645</v>
      </c>
      <c r="AL18" s="89">
        <f t="shared" si="8"/>
        <v>127.28076570719848</v>
      </c>
      <c r="AM18" s="89">
        <f t="shared" si="9"/>
        <v>102.30987113788422</v>
      </c>
      <c r="AN18" s="89">
        <f t="shared" si="10"/>
        <v>110.24837053472594</v>
      </c>
      <c r="AO18" s="89">
        <f t="shared" si="11"/>
        <v>130.60204455644245</v>
      </c>
      <c r="AP18" s="89">
        <f t="shared" si="12"/>
        <v>90.334344468952978</v>
      </c>
      <c r="AQ18" s="89">
        <f t="shared" si="13"/>
        <v>106.7845241418473</v>
      </c>
      <c r="AR18" s="89">
        <f t="shared" si="14"/>
        <v>106.39006524488927</v>
      </c>
      <c r="AS18" s="90">
        <f t="shared" si="15"/>
        <v>106.55931100649528</v>
      </c>
      <c r="AU18" s="228"/>
    </row>
    <row r="19" spans="1:47" s="21" customFormat="1">
      <c r="A19" s="271"/>
      <c r="B19" s="22" t="s">
        <v>733</v>
      </c>
      <c r="C19" s="22" t="s">
        <v>20</v>
      </c>
      <c r="D19" s="72">
        <f>Fem!F4</f>
        <v>1.4023466200000001</v>
      </c>
      <c r="E19" s="24">
        <f>Fem!G4</f>
        <v>1.1811655200000002</v>
      </c>
      <c r="F19" s="24">
        <f>Fem!H4</f>
        <v>1.1604639800000003</v>
      </c>
      <c r="G19" s="24">
        <f>Fem!I4</f>
        <v>1.2367934800000002</v>
      </c>
      <c r="H19" s="24">
        <f>Fem!J4</f>
        <v>0.92683128000000004</v>
      </c>
      <c r="I19" s="24">
        <f>Fem!K4</f>
        <v>0.82295030000000002</v>
      </c>
      <c r="J19" s="72">
        <f>Fem!L4</f>
        <v>1.0779940800000001</v>
      </c>
      <c r="K19" s="24">
        <f>Fem!M4</f>
        <v>1.1590808000000001</v>
      </c>
      <c r="L19" s="24">
        <f>Fem!N4</f>
        <v>0.77364228000000002</v>
      </c>
      <c r="M19" s="24">
        <f>Fem!O4</f>
        <v>1.4302342000000003</v>
      </c>
      <c r="N19" s="24">
        <f>Fem!P4</f>
        <v>1.5506018200000002</v>
      </c>
      <c r="O19" s="24">
        <f>Fem!Q4</f>
        <v>0.98409924000000015</v>
      </c>
      <c r="P19" s="24">
        <f>Fem!R4</f>
        <v>0.86430492000000014</v>
      </c>
      <c r="Q19" s="24">
        <f>Fem!S4</f>
        <v>1.5859669800000002</v>
      </c>
      <c r="R19" s="24">
        <f>Fem!T4</f>
        <v>1.00022532</v>
      </c>
      <c r="S19" s="24">
        <f>Fem!U4</f>
        <v>1.2817882000000003</v>
      </c>
      <c r="T19" s="24">
        <f>Fem!V4</f>
        <v>1.0387979000000001</v>
      </c>
      <c r="U19" s="24">
        <f>Fem!W4</f>
        <v>0.64724682000000011</v>
      </c>
      <c r="V19" s="72">
        <f>Fem!X4</f>
        <v>1.3024082800000001</v>
      </c>
      <c r="W19" s="24">
        <f>Fem!Y4</f>
        <v>0.74896576000000004</v>
      </c>
      <c r="X19" s="24">
        <f>Fem!Z4</f>
        <v>0.68056330000000009</v>
      </c>
      <c r="Y19" s="24">
        <f>Fem!AA4</f>
        <v>1.4666736600000001</v>
      </c>
      <c r="Z19" s="24">
        <f>Fem!AB4</f>
        <v>1.0534547600000002</v>
      </c>
      <c r="AA19" s="24">
        <f>Fem!AC4</f>
        <v>2.4016828400000003</v>
      </c>
      <c r="AB19" s="24">
        <f>Fem!AD4</f>
        <v>1.7890261600000001</v>
      </c>
      <c r="AC19" s="24">
        <f>Fem!AE4</f>
        <v>1.1835242200000002</v>
      </c>
      <c r="AD19" s="24">
        <f>Fem!AF4</f>
        <v>0.99522038000000013</v>
      </c>
      <c r="AE19" s="24">
        <f>Fem!AG4</f>
        <v>1.3152172488888891</v>
      </c>
      <c r="AF19" s="24">
        <f>Fem!AH4</f>
        <v>1.1000000000000001</v>
      </c>
      <c r="AG19" s="25">
        <f>Fem!AI4</f>
        <v>0.8</v>
      </c>
      <c r="AI19" s="346"/>
      <c r="AJ19" s="51">
        <f t="shared" si="6"/>
        <v>102.60800098556757</v>
      </c>
      <c r="AK19" s="52">
        <f t="shared" si="7"/>
        <v>110.49543297617038</v>
      </c>
      <c r="AL19" s="52">
        <f t="shared" si="8"/>
        <v>111.63713808472879</v>
      </c>
      <c r="AM19" s="52">
        <f t="shared" si="9"/>
        <v>90.740418140108517</v>
      </c>
      <c r="AN19" s="52">
        <f t="shared" si="10"/>
        <v>124.13345836067948</v>
      </c>
      <c r="AO19" s="52">
        <f t="shared" si="11"/>
        <v>114.99127537335039</v>
      </c>
      <c r="AP19" s="52">
        <f t="shared" si="12"/>
        <v>108.3355207505714</v>
      </c>
      <c r="AQ19" s="52">
        <f t="shared" si="13"/>
        <v>109.72089976925771</v>
      </c>
      <c r="AR19" s="52">
        <f t="shared" si="14"/>
        <v>111.91365748114801</v>
      </c>
      <c r="AS19" s="53">
        <f t="shared" si="15"/>
        <v>110.77165841022934</v>
      </c>
    </row>
    <row r="20" spans="1:47" s="21" customFormat="1">
      <c r="A20" s="271"/>
      <c r="B20" s="22" t="s">
        <v>733</v>
      </c>
      <c r="C20" s="22" t="s">
        <v>47</v>
      </c>
      <c r="D20" s="72">
        <f>Fem!F5</f>
        <v>0.55883642999999994</v>
      </c>
      <c r="E20" s="24">
        <f>Fem!G5</f>
        <v>0.83782709999999994</v>
      </c>
      <c r="F20" s="24">
        <f>Fem!H5</f>
        <v>0.82225735</v>
      </c>
      <c r="G20" s="24">
        <f>Fem!I5</f>
        <v>0.41180800000000001</v>
      </c>
      <c r="H20" s="24">
        <f>Fem!J5</f>
        <v>1.4820447999999999</v>
      </c>
      <c r="I20" s="24">
        <f>Fem!K5</f>
        <v>1.5384021673999999</v>
      </c>
      <c r="J20" s="72">
        <f>Fem!L5</f>
        <v>0.50145089739999993</v>
      </c>
      <c r="K20" s="24">
        <f>Fem!M5</f>
        <v>0.60875691379999997</v>
      </c>
      <c r="L20" s="24">
        <f>Fem!N5</f>
        <v>0.47854368280000004</v>
      </c>
      <c r="M20" s="24">
        <f>Fem!O5</f>
        <v>0.50618348079999997</v>
      </c>
      <c r="N20" s="24">
        <f>Fem!P5</f>
        <v>0.80349816339999991</v>
      </c>
      <c r="O20" s="24">
        <f>Fem!Q5</f>
        <v>0.59350944179999998</v>
      </c>
      <c r="P20" s="24">
        <f>Fem!R5</f>
        <v>0.71756804320000001</v>
      </c>
      <c r="Q20" s="24">
        <f>Fem!S5</f>
        <v>0.70624964999999995</v>
      </c>
      <c r="R20" s="24">
        <f>Fem!T5</f>
        <v>0.47043262979999995</v>
      </c>
      <c r="S20" s="24">
        <f>Fem!U5</f>
        <v>0.5253407698</v>
      </c>
      <c r="T20" s="24">
        <f>Fem!V5</f>
        <v>3.4825228792000003</v>
      </c>
      <c r="U20" s="24">
        <f>Fem!W5</f>
        <v>2.6853095276000003</v>
      </c>
      <c r="V20" s="72">
        <f>Fem!X5</f>
        <v>0.87168527959999986</v>
      </c>
      <c r="W20" s="24">
        <f>Fem!Y5</f>
        <v>0.59532785660000009</v>
      </c>
      <c r="X20" s="24">
        <f>Fem!Z5</f>
        <v>0.61884178659999989</v>
      </c>
      <c r="Y20" s="24">
        <f>Fem!AA5</f>
        <v>0.74908489879999995</v>
      </c>
      <c r="Z20" s="24">
        <f>Fem!AB5</f>
        <v>0.52770918254999988</v>
      </c>
      <c r="AA20" s="24">
        <f>Fem!AC5</f>
        <v>1.0266660908499998</v>
      </c>
      <c r="AB20" s="24">
        <f>Fem!AD5</f>
        <v>2.0924112603499996</v>
      </c>
      <c r="AC20" s="24">
        <f>Fem!AE5</f>
        <v>1.7401986796500002</v>
      </c>
      <c r="AD20" s="24">
        <f>Fem!AF5</f>
        <v>0.98075566022499994</v>
      </c>
      <c r="AE20" s="24">
        <f>Fem!AG5</f>
        <v>0.97729979032500003</v>
      </c>
      <c r="AF20" s="24">
        <f>Fem!AH5</f>
        <v>2.4500000000000002</v>
      </c>
      <c r="AG20" s="25">
        <f>Fem!AI5</f>
        <v>2.4500000000000002</v>
      </c>
      <c r="AI20" s="346"/>
      <c r="AJ20" s="51">
        <f t="shared" si="6"/>
        <v>186.03159063726639</v>
      </c>
      <c r="AK20" s="52">
        <f t="shared" si="7"/>
        <v>172.20540470554826</v>
      </c>
      <c r="AL20" s="52">
        <f t="shared" si="8"/>
        <v>239.32413240325351</v>
      </c>
      <c r="AM20" s="52">
        <f t="shared" si="9"/>
        <v>131.28893541106561</v>
      </c>
      <c r="AN20" s="52">
        <f t="shared" si="10"/>
        <v>121.03147125606071</v>
      </c>
      <c r="AO20" s="52">
        <f t="shared" si="11"/>
        <v>254.10398730205205</v>
      </c>
      <c r="AP20" s="52">
        <f t="shared" si="12"/>
        <v>87.810364908420809</v>
      </c>
      <c r="AQ20" s="52">
        <f t="shared" si="13"/>
        <v>125.698375458396</v>
      </c>
      <c r="AR20" s="52">
        <f t="shared" si="14"/>
        <v>124.49211793325399</v>
      </c>
      <c r="AS20" s="53">
        <f t="shared" si="15"/>
        <v>124.84082679651152</v>
      </c>
    </row>
    <row r="21" spans="1:47" s="21" customFormat="1">
      <c r="A21" s="271"/>
      <c r="B21" s="22" t="s">
        <v>733</v>
      </c>
      <c r="C21" s="22" t="s">
        <v>124</v>
      </c>
      <c r="D21" s="72">
        <f>Fem!F6</f>
        <v>0.56522482666666651</v>
      </c>
      <c r="E21" s="24">
        <f>Fem!G6</f>
        <v>0.57272804333333338</v>
      </c>
      <c r="F21" s="24">
        <f>Fem!H6</f>
        <v>0.69025782666666669</v>
      </c>
      <c r="G21" s="24">
        <f>Fem!I6</f>
        <v>0.55431168999999991</v>
      </c>
      <c r="H21" s="24">
        <f>Fem!J6</f>
        <v>0.61951738499999998</v>
      </c>
      <c r="I21" s="24">
        <f>Fem!K6</f>
        <v>0.5421726899999999</v>
      </c>
      <c r="J21" s="72">
        <f>Fem!L6</f>
        <v>0.39921133999999997</v>
      </c>
      <c r="K21" s="24">
        <f>Fem!M6</f>
        <v>0.47733278166666659</v>
      </c>
      <c r="L21" s="24">
        <f>Fem!N6</f>
        <v>0.58129780499999995</v>
      </c>
      <c r="M21" s="24">
        <f>Fem!O6</f>
        <v>0.70312726166666673</v>
      </c>
      <c r="N21" s="24">
        <f>Fem!P6</f>
        <v>0.96359507000000011</v>
      </c>
      <c r="O21" s="24">
        <f>Fem!Q6</f>
        <v>0.42914572833333336</v>
      </c>
      <c r="P21" s="24">
        <f>Fem!R6</f>
        <v>0.58159972833333318</v>
      </c>
      <c r="Q21" s="24">
        <f>Fem!S6</f>
        <v>0.83897152666666674</v>
      </c>
      <c r="R21" s="24">
        <f>Fem!T6</f>
        <v>0.747603825</v>
      </c>
      <c r="S21" s="24">
        <f>Fem!U6</f>
        <v>0.58518483666666665</v>
      </c>
      <c r="T21" s="24">
        <f>Fem!V6</f>
        <v>0.86371497000000008</v>
      </c>
      <c r="U21" s="24">
        <f>Fem!W6</f>
        <v>0.6842226400000001</v>
      </c>
      <c r="V21" s="72">
        <f>Fem!X6</f>
        <v>0.54325783000000005</v>
      </c>
      <c r="W21" s="24">
        <f>Fem!Y6</f>
        <v>0.44909461000000006</v>
      </c>
      <c r="X21" s="24">
        <f>Fem!Z6</f>
        <v>0.49315501833333342</v>
      </c>
      <c r="Y21" s="24">
        <f>Fem!AA6</f>
        <v>0.55759881833333325</v>
      </c>
      <c r="Z21" s="24">
        <f>Fem!AB6</f>
        <v>0.47879376000000001</v>
      </c>
      <c r="AA21" s="24">
        <f>Fem!AC6</f>
        <v>0.9953618099999999</v>
      </c>
      <c r="AB21" s="24">
        <f>Fem!AD6</f>
        <v>0.75251652000000002</v>
      </c>
      <c r="AC21" s="24">
        <f>Fem!AE6</f>
        <v>0.48276717000000002</v>
      </c>
      <c r="AD21" s="24">
        <f>Fem!AF6</f>
        <v>0.41422311833333336</v>
      </c>
      <c r="AE21" s="24">
        <f>Fem!AG6</f>
        <v>0.56644724000000002</v>
      </c>
      <c r="AF21" s="24">
        <f>Fem!AH6</f>
        <v>0.64</v>
      </c>
      <c r="AG21" s="25">
        <f>Fem!AI6</f>
        <v>0.54</v>
      </c>
      <c r="AI21" s="346"/>
      <c r="AJ21" s="51">
        <f t="shared" si="6"/>
        <v>96.79800372589969</v>
      </c>
      <c r="AK21" s="52">
        <f t="shared" si="7"/>
        <v>90.901416709682451</v>
      </c>
      <c r="AL21" s="52">
        <f t="shared" si="8"/>
        <v>80.481815505473804</v>
      </c>
      <c r="AM21" s="52">
        <f t="shared" si="9"/>
        <v>101.89770448775089</v>
      </c>
      <c r="AN21" s="52">
        <f t="shared" si="10"/>
        <v>96.940949056370101</v>
      </c>
      <c r="AO21" s="52">
        <f t="shared" si="11"/>
        <v>76.078118577644261</v>
      </c>
      <c r="AP21" s="52">
        <f t="shared" si="12"/>
        <v>81.872807757899395</v>
      </c>
      <c r="AQ21" s="52">
        <f t="shared" si="13"/>
        <v>98.974363689306344</v>
      </c>
      <c r="AR21" s="52">
        <f t="shared" si="14"/>
        <v>78.951851790756322</v>
      </c>
      <c r="AS21" s="53">
        <f t="shared" si="15"/>
        <v>88.010302768842578</v>
      </c>
    </row>
    <row r="22" spans="1:47" s="21" customFormat="1">
      <c r="A22" s="271"/>
      <c r="B22" s="22" t="s">
        <v>733</v>
      </c>
      <c r="C22" s="22" t="s">
        <v>125</v>
      </c>
      <c r="D22" s="72">
        <f>Fem!F7</f>
        <v>0.13845495000000002</v>
      </c>
      <c r="E22" s="24">
        <f>Fem!G7</f>
        <v>0.14847616999999999</v>
      </c>
      <c r="F22" s="24">
        <f>Fem!H7</f>
        <v>0.13136966</v>
      </c>
      <c r="G22" s="24">
        <f>Fem!I7</f>
        <v>0.10160958</v>
      </c>
      <c r="H22" s="24">
        <f>Fem!J7</f>
        <v>9.8785429999999994E-2</v>
      </c>
      <c r="I22" s="24">
        <f>Fem!K7</f>
        <v>9.6467660000000025E-2</v>
      </c>
      <c r="J22" s="72">
        <f>Fem!L7</f>
        <v>0.10474187000000001</v>
      </c>
      <c r="K22" s="24">
        <f>Fem!M7</f>
        <v>9.9278939999999996E-2</v>
      </c>
      <c r="L22" s="24">
        <f>Fem!N7</f>
        <v>0.11424873999999999</v>
      </c>
      <c r="M22" s="24">
        <f>Fem!O7</f>
        <v>0.11892155</v>
      </c>
      <c r="N22" s="24">
        <f>Fem!P7</f>
        <v>0.13904725999999995</v>
      </c>
      <c r="O22" s="24">
        <f>Fem!Q7</f>
        <v>0.12569871000000002</v>
      </c>
      <c r="P22" s="24">
        <f>Fem!R7</f>
        <v>0.10867913999999997</v>
      </c>
      <c r="Q22" s="24">
        <f>Fem!S7</f>
        <v>0.13760308000000002</v>
      </c>
      <c r="R22" s="24">
        <f>Fem!T7</f>
        <v>9.5385270000000008E-2</v>
      </c>
      <c r="S22" s="24">
        <f>Fem!U7</f>
        <v>7.7340580000000006E-2</v>
      </c>
      <c r="T22" s="24">
        <f>Fem!V7</f>
        <v>0.11110481</v>
      </c>
      <c r="U22" s="24">
        <f>Fem!W7</f>
        <v>9.7359090000000009E-2</v>
      </c>
      <c r="V22" s="72">
        <f>Fem!X7</f>
        <v>9.9805270000000001E-2</v>
      </c>
      <c r="W22" s="24">
        <f>Fem!Y7</f>
        <v>0.15238464000000002</v>
      </c>
      <c r="X22" s="24">
        <f>Fem!Z7</f>
        <v>3.7972980000000003E-2</v>
      </c>
      <c r="Y22" s="24">
        <f>Fem!AA7</f>
        <v>1.4329440000000001E-2</v>
      </c>
      <c r="Z22" s="24">
        <f>Fem!AB7</f>
        <v>8.2261599999999997E-3</v>
      </c>
      <c r="AA22" s="24">
        <f>Fem!AC7</f>
        <v>1.1145120000000001E-2</v>
      </c>
      <c r="AB22" s="24">
        <f>Fem!AD7</f>
        <v>7.56276E-3</v>
      </c>
      <c r="AC22" s="24">
        <f>Fem!AE7</f>
        <v>6.6340000000000001E-3</v>
      </c>
      <c r="AD22" s="24">
        <f>Fem!AF7</f>
        <v>6.5013199999999997E-3</v>
      </c>
      <c r="AE22" s="24">
        <f>Fem!AG7</f>
        <v>2.8128160000000003E-2</v>
      </c>
      <c r="AF22" s="24">
        <f>Fem!AH7</f>
        <v>0</v>
      </c>
      <c r="AG22" s="25">
        <f>Fem!AI7</f>
        <v>0</v>
      </c>
      <c r="AI22" s="346"/>
      <c r="AJ22" s="51">
        <f t="shared" si="6"/>
        <v>36.369212643608314</v>
      </c>
      <c r="AK22" s="52">
        <f t="shared" si="7"/>
        <v>33.247822458108878</v>
      </c>
      <c r="AL22" s="52">
        <f t="shared" si="8"/>
        <v>11.652816137884887</v>
      </c>
      <c r="AM22" s="52">
        <f t="shared" si="9"/>
        <v>91.168913268642882</v>
      </c>
      <c r="AN22" s="52">
        <f t="shared" si="10"/>
        <v>8.7838345033741749</v>
      </c>
      <c r="AO22" s="52">
        <f t="shared" si="11"/>
        <v>6.0579600359402059</v>
      </c>
      <c r="AP22" s="52">
        <f t="shared" si="12"/>
        <v>9.8417491566262374</v>
      </c>
      <c r="AQ22" s="52">
        <f t="shared" si="13"/>
        <v>46.138553417616208</v>
      </c>
      <c r="AR22" s="52">
        <f t="shared" si="14"/>
        <v>7.7814216944224635</v>
      </c>
      <c r="AS22" s="53">
        <f t="shared" si="15"/>
        <v>28.034249714444549</v>
      </c>
    </row>
    <row r="23" spans="1:47" s="21" customFormat="1">
      <c r="A23" s="272"/>
      <c r="B23" s="31" t="s">
        <v>733</v>
      </c>
      <c r="C23" s="31" t="s">
        <v>734</v>
      </c>
      <c r="D23" s="74">
        <f>Fem!F8</f>
        <v>7.1934084999999995E-2</v>
      </c>
      <c r="E23" s="32">
        <f>Fem!G8</f>
        <v>0.13190539000000001</v>
      </c>
      <c r="F23" s="32">
        <f>Fem!H8</f>
        <v>7.8702499999999995E-2</v>
      </c>
      <c r="G23" s="32">
        <f>Fem!I8</f>
        <v>7.0884718333333319E-2</v>
      </c>
      <c r="H23" s="32">
        <f>Fem!J8</f>
        <v>0.12440241833333333</v>
      </c>
      <c r="I23" s="32">
        <f>Fem!K8</f>
        <v>0.12539931666666668</v>
      </c>
      <c r="J23" s="74">
        <f>Fem!L8</f>
        <v>9.192452000000001E-2</v>
      </c>
      <c r="K23" s="32">
        <f>Fem!M8</f>
        <v>0.14449779000000001</v>
      </c>
      <c r="L23" s="32">
        <f>Fem!N8</f>
        <v>0.13804418499999999</v>
      </c>
      <c r="M23" s="32">
        <f>Fem!O8</f>
        <v>9.591211333333334E-2</v>
      </c>
      <c r="N23" s="32">
        <f>Fem!P8</f>
        <v>0.16034322666666667</v>
      </c>
      <c r="O23" s="32">
        <f>Fem!Q8</f>
        <v>0.11590254833333334</v>
      </c>
      <c r="P23" s="32">
        <f>Fem!R8</f>
        <v>0.13809665333333335</v>
      </c>
      <c r="Q23" s="32">
        <f>Fem!S8</f>
        <v>0.12093950833333333</v>
      </c>
      <c r="R23" s="32">
        <f>Fem!T8</f>
        <v>9.4338063333333319E-2</v>
      </c>
      <c r="S23" s="32">
        <f>Fem!U8</f>
        <v>0.10247065499999999</v>
      </c>
      <c r="T23" s="32">
        <f>Fem!V8</f>
        <v>0.10729774166666667</v>
      </c>
      <c r="U23" s="32">
        <f>Fem!W8</f>
        <v>8.7884458333333346E-2</v>
      </c>
      <c r="V23" s="74">
        <f>Fem!X8</f>
        <v>0.12770792333333333</v>
      </c>
      <c r="W23" s="32">
        <f>Fem!Y8</f>
        <v>0.10719280499999999</v>
      </c>
      <c r="X23" s="32">
        <f>Fem!Z8</f>
        <v>7.7600665000000013E-2</v>
      </c>
      <c r="Y23" s="32">
        <f>Fem!AA8</f>
        <v>0.11794881333333333</v>
      </c>
      <c r="Z23" s="32">
        <f>Fem!AB8</f>
        <v>0.10016204833333334</v>
      </c>
      <c r="AA23" s="32">
        <f>Fem!AC8</f>
        <v>0.10462185666666668</v>
      </c>
      <c r="AB23" s="32">
        <f>Fem!AD8</f>
        <v>8.6048066666666659E-2</v>
      </c>
      <c r="AC23" s="32">
        <f>Fem!AE8</f>
        <v>9.8797871666666676E-2</v>
      </c>
      <c r="AD23" s="32">
        <f>Fem!AF8</f>
        <v>8.3582054999999988E-2</v>
      </c>
      <c r="AE23" s="32">
        <f>Fem!AG8</f>
        <v>0.114118625</v>
      </c>
      <c r="AF23" s="32">
        <f>Fem!AH8</f>
        <v>0.1</v>
      </c>
      <c r="AG23" s="33">
        <f>Fem!AI8</f>
        <v>0.1</v>
      </c>
      <c r="AI23" s="346"/>
      <c r="AJ23" s="54">
        <f t="shared" si="6"/>
        <v>111.36712749615975</v>
      </c>
      <c r="AK23" s="48">
        <f t="shared" si="7"/>
        <v>84.640893620734786</v>
      </c>
      <c r="AL23" s="48">
        <f t="shared" si="8"/>
        <v>83.920349907918975</v>
      </c>
      <c r="AM23" s="48">
        <f t="shared" si="9"/>
        <v>83.452430993414595</v>
      </c>
      <c r="AN23" s="48">
        <f t="shared" si="10"/>
        <v>86.719300719018747</v>
      </c>
      <c r="AO23" s="48">
        <f t="shared" si="11"/>
        <v>75.96139569413512</v>
      </c>
      <c r="AP23" s="48">
        <f t="shared" si="12"/>
        <v>105.53187033935892</v>
      </c>
      <c r="AQ23" s="48">
        <f t="shared" si="13"/>
        <v>85.080815179198865</v>
      </c>
      <c r="AR23" s="48">
        <f t="shared" si="14"/>
        <v>89.481165412248799</v>
      </c>
      <c r="AS23" s="55">
        <f t="shared" si="15"/>
        <v>87.13050155549152</v>
      </c>
    </row>
    <row r="24" spans="1:47" s="21" customFormat="1">
      <c r="A24" s="322" t="s">
        <v>77</v>
      </c>
      <c r="B24" s="213" t="s">
        <v>137</v>
      </c>
      <c r="C24" s="213" t="s">
        <v>83</v>
      </c>
      <c r="D24" s="214">
        <f>Home!F3</f>
        <v>4.0659284299999996</v>
      </c>
      <c r="E24" s="215">
        <f>Home!G3</f>
        <v>2.3311651799999997</v>
      </c>
      <c r="F24" s="215">
        <f>Home!H3</f>
        <v>1.5093453399999999</v>
      </c>
      <c r="G24" s="215">
        <f>Home!I3</f>
        <v>1.4853936950000002</v>
      </c>
      <c r="H24" s="215">
        <f>Home!J3</f>
        <v>1.1837526199999999</v>
      </c>
      <c r="I24" s="215">
        <f>Home!K3</f>
        <v>1.8465215649999998</v>
      </c>
      <c r="J24" s="214">
        <f>Home!L3</f>
        <v>2.3533579800000002</v>
      </c>
      <c r="K24" s="215">
        <f>Home!M3</f>
        <v>1.9243719049999999</v>
      </c>
      <c r="L24" s="215">
        <f>Home!N3</f>
        <v>2.9630663899999998</v>
      </c>
      <c r="M24" s="215">
        <f>Home!O3</f>
        <v>2.5375411400000001</v>
      </c>
      <c r="N24" s="215">
        <f>Home!P3</f>
        <v>2.0075178199999999</v>
      </c>
      <c r="O24" s="215">
        <f>Home!Q3</f>
        <v>2.2628521350000002</v>
      </c>
      <c r="P24" s="215">
        <f>Home!R3</f>
        <v>2.4142862699999994</v>
      </c>
      <c r="Q24" s="215">
        <f>Home!S3</f>
        <v>2.2682874150000001</v>
      </c>
      <c r="R24" s="215">
        <f>Home!T3</f>
        <v>1.2310928900000002</v>
      </c>
      <c r="S24" s="215">
        <f>Home!U3</f>
        <v>1.2701608899999999</v>
      </c>
      <c r="T24" s="215">
        <f>Home!V3</f>
        <v>2.8666596950000001</v>
      </c>
      <c r="U24" s="215">
        <f>Home!W3</f>
        <v>2.0183636250000001</v>
      </c>
      <c r="V24" s="214">
        <f>Home!X3</f>
        <v>1.9535059699999997</v>
      </c>
      <c r="W24" s="215">
        <f>Home!Y3</f>
        <v>2.458913205</v>
      </c>
      <c r="X24" s="215">
        <f>Home!Z3</f>
        <v>2.2258530749999998</v>
      </c>
      <c r="Y24" s="215">
        <f>Home!AA3</f>
        <v>2.5390048250000001</v>
      </c>
      <c r="Z24" s="215">
        <f>Home!AB3</f>
        <v>1.4132786850000001</v>
      </c>
      <c r="AA24" s="215">
        <f>Home!AC3</f>
        <v>2.4890700849999998</v>
      </c>
      <c r="AB24" s="215">
        <f>Home!AD3</f>
        <v>1.304319405</v>
      </c>
      <c r="AC24" s="215">
        <f>Home!AE3</f>
        <v>0.7108725600000001</v>
      </c>
      <c r="AD24" s="215">
        <f>Home!AF3</f>
        <v>0.76983911999999988</v>
      </c>
      <c r="AE24" s="215">
        <f>Home!AG3</f>
        <v>1.5238438144444444</v>
      </c>
      <c r="AF24" s="215">
        <f>Home!AH3</f>
        <v>2.351</v>
      </c>
      <c r="AG24" s="216">
        <f>Home!AI3</f>
        <v>2.4605199999999998</v>
      </c>
      <c r="AI24" s="346"/>
      <c r="AJ24" s="88">
        <f t="shared" si="6"/>
        <v>119.97250320346775</v>
      </c>
      <c r="AK24" s="89">
        <f t="shared" si="7"/>
        <v>81.895547938915911</v>
      </c>
      <c r="AL24" s="89">
        <f t="shared" si="8"/>
        <v>59.980211390620376</v>
      </c>
      <c r="AM24" s="89">
        <f t="shared" si="9"/>
        <v>91.678760151279079</v>
      </c>
      <c r="AN24" s="89">
        <f t="shared" si="10"/>
        <v>94.615712589589847</v>
      </c>
      <c r="AO24" s="89">
        <f t="shared" si="11"/>
        <v>47.094827712703776</v>
      </c>
      <c r="AP24" s="89">
        <f t="shared" si="12"/>
        <v>102.92728208120427</v>
      </c>
      <c r="AQ24" s="89">
        <f t="shared" si="13"/>
        <v>93.101987966028787</v>
      </c>
      <c r="AR24" s="89">
        <f t="shared" si="14"/>
        <v>75.56970470444378</v>
      </c>
      <c r="AS24" s="90">
        <f t="shared" si="15"/>
        <v>85.000368766076349</v>
      </c>
      <c r="AU24" s="228"/>
    </row>
    <row r="25" spans="1:47" s="21" customFormat="1">
      <c r="A25" s="271"/>
      <c r="B25" s="22" t="s">
        <v>40</v>
      </c>
      <c r="C25" s="22" t="s">
        <v>735</v>
      </c>
      <c r="D25" s="72">
        <f>Home!F4</f>
        <v>2.6582154999999994</v>
      </c>
      <c r="E25" s="24">
        <f>Home!G4</f>
        <v>0.49193009999999998</v>
      </c>
      <c r="F25" s="24">
        <f>Home!H4</f>
        <v>0.3923010999999999</v>
      </c>
      <c r="G25" s="24">
        <f>Home!I4</f>
        <v>0.38172872500000005</v>
      </c>
      <c r="H25" s="24">
        <f>Home!J4</f>
        <v>0.47144284999999997</v>
      </c>
      <c r="I25" s="24">
        <f>Home!K4</f>
        <v>1.4026337249999998</v>
      </c>
      <c r="J25" s="72">
        <f>Home!L4</f>
        <v>2.05375365</v>
      </c>
      <c r="K25" s="24">
        <f>Home!M4</f>
        <v>0.850267675</v>
      </c>
      <c r="L25" s="24">
        <f>Home!N4</f>
        <v>1.3296683499999999</v>
      </c>
      <c r="M25" s="24">
        <f>Home!O4</f>
        <v>2.1941408</v>
      </c>
      <c r="N25" s="24">
        <f>Home!P4</f>
        <v>0.54244169999999992</v>
      </c>
      <c r="O25" s="24">
        <f>Home!Q4</f>
        <v>0.92929947499999987</v>
      </c>
      <c r="P25" s="24">
        <f>Home!R4</f>
        <v>1.6684821999999995</v>
      </c>
      <c r="Q25" s="24">
        <f>Home!S4</f>
        <v>0.47773182499999994</v>
      </c>
      <c r="R25" s="24">
        <f>Home!T4</f>
        <v>0.34874970000000005</v>
      </c>
      <c r="S25" s="24">
        <f>Home!U4</f>
        <v>0.34315619999999997</v>
      </c>
      <c r="T25" s="24">
        <f>Home!V4</f>
        <v>1.790353775</v>
      </c>
      <c r="U25" s="24">
        <f>Home!W4</f>
        <v>1.2798643249999999</v>
      </c>
      <c r="V25" s="72">
        <f>Home!X4</f>
        <v>1.1963476499999999</v>
      </c>
      <c r="W25" s="24">
        <f>Home!Y4</f>
        <v>1.174068825</v>
      </c>
      <c r="X25" s="24">
        <f>Home!Z4</f>
        <v>0.65900622499999995</v>
      </c>
      <c r="Y25" s="24">
        <f>Home!AA4</f>
        <v>1.5101228250000001</v>
      </c>
      <c r="Z25" s="24">
        <f>Home!AB4</f>
        <v>0.34184912499999992</v>
      </c>
      <c r="AA25" s="24">
        <f>Home!AC4</f>
        <v>1.2754477749999997</v>
      </c>
      <c r="AB25" s="24">
        <f>Home!AD4</f>
        <v>0.92530457499999996</v>
      </c>
      <c r="AC25" s="24">
        <f>Home!AE4</f>
        <v>0.3381846</v>
      </c>
      <c r="AD25" s="24">
        <f>Home!AF4</f>
        <v>0.38722969999999995</v>
      </c>
      <c r="AE25" s="24">
        <f>Home!AG4</f>
        <v>0.43816838333333336</v>
      </c>
      <c r="AF25" s="24">
        <f>Home!AH4</f>
        <v>1.1033999999999999</v>
      </c>
      <c r="AG25" s="25">
        <f>Home!AI4</f>
        <v>1.1033999999999999</v>
      </c>
      <c r="AI25" s="346"/>
      <c r="AJ25" s="51">
        <f t="shared" si="6"/>
        <v>127.68773617767459</v>
      </c>
      <c r="AK25" s="52">
        <f t="shared" si="7"/>
        <v>76.792387132178675</v>
      </c>
      <c r="AL25" s="52">
        <f t="shared" si="8"/>
        <v>73.601092044527803</v>
      </c>
      <c r="AM25" s="52">
        <f t="shared" si="9"/>
        <v>71.555142973486824</v>
      </c>
      <c r="AN25" s="52">
        <f t="shared" si="10"/>
        <v>85.311522474751797</v>
      </c>
      <c r="AO25" s="52">
        <f t="shared" si="11"/>
        <v>66.162039089365933</v>
      </c>
      <c r="AP25" s="52">
        <f t="shared" si="12"/>
        <v>77.488378093587144</v>
      </c>
      <c r="AQ25" s="52">
        <f t="shared" si="13"/>
        <v>77.93894020823268</v>
      </c>
      <c r="AR25" s="52">
        <f t="shared" si="14"/>
        <v>72.705509403100422</v>
      </c>
      <c r="AS25" s="53">
        <f t="shared" si="15"/>
        <v>75.699580380788774</v>
      </c>
    </row>
    <row r="26" spans="1:47" s="21" customFormat="1">
      <c r="A26" s="272"/>
      <c r="B26" s="31" t="s">
        <v>40</v>
      </c>
      <c r="C26" s="31" t="s">
        <v>736</v>
      </c>
      <c r="D26" s="74">
        <f>Home!F5</f>
        <v>1.4077129300000002</v>
      </c>
      <c r="E26" s="32">
        <f>Home!G5</f>
        <v>1.8392350799999997</v>
      </c>
      <c r="F26" s="32">
        <f>Home!H5</f>
        <v>1.11704424</v>
      </c>
      <c r="G26" s="32">
        <f>Home!I5</f>
        <v>1.1036649700000001</v>
      </c>
      <c r="H26" s="32">
        <f>Home!J5</f>
        <v>0.71230977000000006</v>
      </c>
      <c r="I26" s="32">
        <f>Home!K5</f>
        <v>0.44388783999999992</v>
      </c>
      <c r="J26" s="74">
        <f>Home!L5</f>
        <v>0.29960432999999997</v>
      </c>
      <c r="K26" s="32">
        <f>Home!M5</f>
        <v>1.0741042299999999</v>
      </c>
      <c r="L26" s="32">
        <f>Home!N5</f>
        <v>1.6333980399999999</v>
      </c>
      <c r="M26" s="32">
        <f>Home!O5</f>
        <v>0.34340033999999997</v>
      </c>
      <c r="N26" s="32">
        <f>Home!P5</f>
        <v>1.46507612</v>
      </c>
      <c r="O26" s="32">
        <f>Home!Q5</f>
        <v>1.3335526600000001</v>
      </c>
      <c r="P26" s="32">
        <f>Home!R5</f>
        <v>0.74580406999999993</v>
      </c>
      <c r="Q26" s="32">
        <f>Home!S5</f>
        <v>1.7905555900000001</v>
      </c>
      <c r="R26" s="32">
        <f>Home!T5</f>
        <v>0.88234319000000005</v>
      </c>
      <c r="S26" s="32">
        <f>Home!U5</f>
        <v>0.92700468999999996</v>
      </c>
      <c r="T26" s="32">
        <f>Home!V5</f>
        <v>1.0763059199999998</v>
      </c>
      <c r="U26" s="32">
        <f>Home!W5</f>
        <v>0.73849930000000008</v>
      </c>
      <c r="V26" s="74">
        <f>Home!X5</f>
        <v>0.75715831999999994</v>
      </c>
      <c r="W26" s="32">
        <f>Home!Y5</f>
        <v>1.2848443800000002</v>
      </c>
      <c r="X26" s="32">
        <f>Home!Z5</f>
        <v>1.5668468500000001</v>
      </c>
      <c r="Y26" s="32">
        <f>Home!AA5</f>
        <v>1.0288820000000001</v>
      </c>
      <c r="Z26" s="32">
        <f>Home!AB5</f>
        <v>1.0714295600000001</v>
      </c>
      <c r="AA26" s="32">
        <f>Home!AC5</f>
        <v>1.2136223100000001</v>
      </c>
      <c r="AB26" s="32">
        <f>Home!AD5</f>
        <v>0.37901482999999997</v>
      </c>
      <c r="AC26" s="32">
        <f>Home!AE5</f>
        <v>0.37268796000000004</v>
      </c>
      <c r="AD26" s="32">
        <f>Home!AF5</f>
        <v>0.38260941999999998</v>
      </c>
      <c r="AE26" s="32">
        <f>Home!AG5</f>
        <v>1.085675431111111</v>
      </c>
      <c r="AF26" s="32">
        <f>Home!AH5</f>
        <v>1.2475999999999998</v>
      </c>
      <c r="AG26" s="33">
        <f>Home!AI5</f>
        <v>1.3571200000000001</v>
      </c>
      <c r="AI26" s="346"/>
      <c r="AJ26" s="54">
        <f t="shared" si="6"/>
        <v>117.1164982035971</v>
      </c>
      <c r="AK26" s="48">
        <f t="shared" si="7"/>
        <v>87.11679474011612</v>
      </c>
      <c r="AL26" s="48">
        <f t="shared" si="8"/>
        <v>51.084607527710233</v>
      </c>
      <c r="AM26" s="48">
        <f t="shared" si="9"/>
        <v>120.01069566339953</v>
      </c>
      <c r="AN26" s="48">
        <f t="shared" si="10"/>
        <v>105.47113802688119</v>
      </c>
      <c r="AO26" s="48">
        <f t="shared" si="11"/>
        <v>33.179608166296177</v>
      </c>
      <c r="AP26" s="48">
        <f t="shared" si="12"/>
        <v>134.59705640611355</v>
      </c>
      <c r="AQ26" s="48">
        <f t="shared" si="13"/>
        <v>112.58140550522766</v>
      </c>
      <c r="AR26" s="48">
        <f t="shared" si="14"/>
        <v>78.316656893201724</v>
      </c>
      <c r="AS26" s="55">
        <f t="shared" si="15"/>
        <v>95.433196814659254</v>
      </c>
    </row>
    <row r="27" spans="1:47" s="21" customFormat="1">
      <c r="A27" s="322" t="s">
        <v>77</v>
      </c>
      <c r="B27" s="213" t="s">
        <v>136</v>
      </c>
      <c r="C27" s="213" t="s">
        <v>83</v>
      </c>
      <c r="D27" s="214">
        <f>Skin!F3</f>
        <v>3.776985985833333</v>
      </c>
      <c r="E27" s="215">
        <f>Skin!G3</f>
        <v>5.4227941341666659</v>
      </c>
      <c r="F27" s="215">
        <f>Skin!H3</f>
        <v>3.9762772691666668</v>
      </c>
      <c r="G27" s="215">
        <f>Skin!I3</f>
        <v>2.9057808000000001</v>
      </c>
      <c r="H27" s="215">
        <f>Skin!J3</f>
        <v>3.8329953374999999</v>
      </c>
      <c r="I27" s="215">
        <f>Skin!K3</f>
        <v>3.5466866608333341</v>
      </c>
      <c r="J27" s="214">
        <f>Skin!L3</f>
        <v>4.8695032358333341</v>
      </c>
      <c r="K27" s="215">
        <f>Skin!M3</f>
        <v>3.7218802575000005</v>
      </c>
      <c r="L27" s="215">
        <f>Skin!N3</f>
        <v>4.879102907500001</v>
      </c>
      <c r="M27" s="215">
        <f>Skin!O3</f>
        <v>6.9427730066666662</v>
      </c>
      <c r="N27" s="215">
        <f>Skin!P3</f>
        <v>3.4056849791666668</v>
      </c>
      <c r="O27" s="215">
        <f>Skin!Q3</f>
        <v>4.2605043108333334</v>
      </c>
      <c r="P27" s="215">
        <f>Skin!R3</f>
        <v>6.7288987433333327</v>
      </c>
      <c r="Q27" s="215">
        <f>Skin!S3</f>
        <v>5.3082444616666669</v>
      </c>
      <c r="R27" s="215">
        <f>Skin!T3</f>
        <v>3.4609148083333339</v>
      </c>
      <c r="S27" s="215">
        <f>Skin!U3</f>
        <v>5.8759059175000008</v>
      </c>
      <c r="T27" s="215">
        <f>Skin!V3</f>
        <v>10.694532313333335</v>
      </c>
      <c r="U27" s="215">
        <f>Skin!W3</f>
        <v>4.6147653233333337</v>
      </c>
      <c r="V27" s="214">
        <f>Skin!X3</f>
        <v>5.6037275633333339</v>
      </c>
      <c r="W27" s="215">
        <f>Skin!Y3</f>
        <v>6.2154374558333334</v>
      </c>
      <c r="X27" s="215">
        <f>Skin!Z3</f>
        <v>5.2433642016666662</v>
      </c>
      <c r="Y27" s="215">
        <f>Skin!AA3</f>
        <v>7.9624026666666659</v>
      </c>
      <c r="Z27" s="215">
        <f>Skin!AB3</f>
        <v>7.1444628199999993</v>
      </c>
      <c r="AA27" s="215">
        <f>Skin!AC3</f>
        <v>11.014674630833333</v>
      </c>
      <c r="AB27" s="215">
        <f>Skin!AD3</f>
        <v>5.9713665391666666</v>
      </c>
      <c r="AC27" s="215">
        <f>Skin!AE3</f>
        <v>6.8570419949999994</v>
      </c>
      <c r="AD27" s="215">
        <f>Skin!AF3</f>
        <v>4.5713876341666664</v>
      </c>
      <c r="AE27" s="215">
        <f>Skin!AG3</f>
        <v>6.4353207617592583</v>
      </c>
      <c r="AF27" s="215">
        <f>Skin!AH3</f>
        <v>7.6499999999999995</v>
      </c>
      <c r="AG27" s="216">
        <f>Skin!AI3</f>
        <v>9.15</v>
      </c>
      <c r="AI27" s="346"/>
      <c r="AJ27" s="88">
        <f t="shared" si="6"/>
        <v>109.52048674899937</v>
      </c>
      <c r="AK27" s="89">
        <f t="shared" si="7"/>
        <v>135.51984121319998</v>
      </c>
      <c r="AL27" s="89">
        <f t="shared" si="8"/>
        <v>111.51472420943351</v>
      </c>
      <c r="AM27" s="89">
        <f t="shared" si="9"/>
        <v>126.66602164995153</v>
      </c>
      <c r="AN27" s="89">
        <f t="shared" si="10"/>
        <v>178.8048978910717</v>
      </c>
      <c r="AO27" s="89">
        <f t="shared" si="11"/>
        <v>112.27081582327212</v>
      </c>
      <c r="AP27" s="89">
        <f t="shared" si="12"/>
        <v>109.67711828848287</v>
      </c>
      <c r="AQ27" s="89">
        <f t="shared" si="13"/>
        <v>153.79244017058687</v>
      </c>
      <c r="AR27" s="89">
        <f t="shared" si="14"/>
        <v>110.77291165977942</v>
      </c>
      <c r="AS27" s="90">
        <f t="shared" si="15"/>
        <v>129.4250749010495</v>
      </c>
      <c r="AU27" s="228"/>
    </row>
    <row r="28" spans="1:47" s="21" customFormat="1">
      <c r="A28" s="271"/>
      <c r="B28" s="22" t="s">
        <v>16</v>
      </c>
      <c r="C28" s="22" t="s">
        <v>17</v>
      </c>
      <c r="D28" s="72">
        <f>Skin!F4</f>
        <v>1.6345184241666668</v>
      </c>
      <c r="E28" s="24">
        <f>Skin!G4</f>
        <v>1.8170266774999999</v>
      </c>
      <c r="F28" s="24">
        <f>Skin!H4</f>
        <v>0.62381006999999999</v>
      </c>
      <c r="G28" s="24">
        <f>Skin!I4</f>
        <v>0.53393293249999996</v>
      </c>
      <c r="H28" s="24">
        <f>Skin!J4</f>
        <v>0.68026901500000003</v>
      </c>
      <c r="I28" s="24">
        <f>Skin!K4</f>
        <v>0.44490422250000006</v>
      </c>
      <c r="J28" s="72">
        <f>Skin!L4</f>
        <v>0.41393446749999996</v>
      </c>
      <c r="K28" s="24">
        <f>Skin!M4</f>
        <v>0.82545993000000006</v>
      </c>
      <c r="L28" s="24">
        <f>Skin!N4</f>
        <v>1.19229849</v>
      </c>
      <c r="M28" s="24">
        <f>Skin!O4</f>
        <v>0.71112993000000002</v>
      </c>
      <c r="N28" s="24">
        <f>Skin!P4</f>
        <v>0.68680936000000004</v>
      </c>
      <c r="O28" s="24">
        <f>Skin!Q4</f>
        <v>1.4769494299999999</v>
      </c>
      <c r="P28" s="24">
        <f>Skin!R4</f>
        <v>3.2789403799999999</v>
      </c>
      <c r="Q28" s="24">
        <f>Skin!S4</f>
        <v>0.71747033999999998</v>
      </c>
      <c r="R28" s="24">
        <f>Skin!T4</f>
        <v>0.55581782999999996</v>
      </c>
      <c r="S28" s="24">
        <f>Skin!U4</f>
        <v>1.4147315600000001</v>
      </c>
      <c r="T28" s="24">
        <f>Skin!V4</f>
        <v>3.23433291</v>
      </c>
      <c r="U28" s="24">
        <f>Skin!W4</f>
        <v>0.54944892999999995</v>
      </c>
      <c r="V28" s="72">
        <f>Skin!X4</f>
        <v>1.06487417</v>
      </c>
      <c r="W28" s="24">
        <f>Skin!Y4</f>
        <v>1.1979811800000002</v>
      </c>
      <c r="X28" s="24">
        <f>Skin!Z4</f>
        <v>1.0935933199999999</v>
      </c>
      <c r="Y28" s="24">
        <f>Skin!AA4</f>
        <v>0.85207884999999994</v>
      </c>
      <c r="Z28" s="24">
        <f>Skin!AB4</f>
        <v>0.56252599000000003</v>
      </c>
      <c r="AA28" s="24">
        <f>Skin!AC4</f>
        <v>0.85671845999999996</v>
      </c>
      <c r="AB28" s="24">
        <f>Skin!AD4</f>
        <v>0.70837399000000001</v>
      </c>
      <c r="AC28" s="24">
        <f>Skin!AE4</f>
        <v>0.7528250700000001</v>
      </c>
      <c r="AD28" s="24">
        <f>Skin!AF4</f>
        <v>0.48488175999999999</v>
      </c>
      <c r="AE28" s="24">
        <f>Skin!AG4</f>
        <v>0.69433310111111113</v>
      </c>
      <c r="AF28" s="24">
        <f>Skin!AH4</f>
        <v>1</v>
      </c>
      <c r="AG28" s="25">
        <f>Skin!AI4</f>
        <v>1</v>
      </c>
      <c r="AI28" s="346"/>
      <c r="AJ28" s="51">
        <f t="shared" si="6"/>
        <v>49.078787859310289</v>
      </c>
      <c r="AK28" s="52">
        <f t="shared" si="7"/>
        <v>73.341511463751857</v>
      </c>
      <c r="AL28" s="52">
        <f t="shared" si="8"/>
        <v>44.250571018332337</v>
      </c>
      <c r="AM28" s="52">
        <f t="shared" si="9"/>
        <v>138.02929996849778</v>
      </c>
      <c r="AN28" s="52">
        <f t="shared" si="10"/>
        <v>79.005607563133779</v>
      </c>
      <c r="AO28" s="52">
        <f t="shared" si="11"/>
        <v>42.750068425277114</v>
      </c>
      <c r="AP28" s="52">
        <f t="shared" si="12"/>
        <v>51.828915187774861</v>
      </c>
      <c r="AQ28" s="52">
        <f t="shared" si="13"/>
        <v>106.05267922472063</v>
      </c>
      <c r="AR28" s="52">
        <f t="shared" si="14"/>
        <v>47.590367429538134</v>
      </c>
      <c r="AS28" s="53">
        <f t="shared" si="15"/>
        <v>68.193964564150988</v>
      </c>
    </row>
    <row r="29" spans="1:47" s="21" customFormat="1">
      <c r="A29" s="271"/>
      <c r="B29" s="22" t="s">
        <v>16</v>
      </c>
      <c r="C29" s="22" t="s">
        <v>737</v>
      </c>
      <c r="D29" s="72">
        <f>Skin!F5</f>
        <v>0.34007664500000001</v>
      </c>
      <c r="E29" s="24">
        <f>Skin!G5</f>
        <v>0.36814122249999998</v>
      </c>
      <c r="F29" s="24">
        <f>Skin!H5</f>
        <v>0.17168918</v>
      </c>
      <c r="G29" s="24">
        <f>Skin!I5</f>
        <v>0.17499089499999998</v>
      </c>
      <c r="H29" s="24">
        <f>Skin!J5</f>
        <v>0.20965890249999999</v>
      </c>
      <c r="I29" s="24">
        <f>Skin!K5</f>
        <v>0.13206860000000001</v>
      </c>
      <c r="J29" s="72">
        <f>Skin!L5</f>
        <v>0.10950688083333333</v>
      </c>
      <c r="K29" s="24">
        <f>Skin!M5</f>
        <v>0.75195251083333337</v>
      </c>
      <c r="L29" s="24">
        <f>Skin!N5</f>
        <v>0.84482168833333349</v>
      </c>
      <c r="M29" s="24">
        <f>Skin!O5</f>
        <v>1.0609469025</v>
      </c>
      <c r="N29" s="24">
        <f>Skin!P5</f>
        <v>0.99002474666666673</v>
      </c>
      <c r="O29" s="24">
        <f>Skin!Q5</f>
        <v>1.0442376483333333</v>
      </c>
      <c r="P29" s="24">
        <f>Skin!R5</f>
        <v>1.4368090908333333</v>
      </c>
      <c r="Q29" s="24">
        <f>Skin!S5</f>
        <v>1.1069222458333334</v>
      </c>
      <c r="R29" s="24">
        <f>Skin!T5</f>
        <v>0.85794690000000007</v>
      </c>
      <c r="S29" s="24">
        <f>Skin!U5</f>
        <v>0.90913265333333337</v>
      </c>
      <c r="T29" s="24">
        <f>Skin!V5</f>
        <v>1.2778084225000002</v>
      </c>
      <c r="U29" s="24">
        <f>Skin!W5</f>
        <v>0.76239115833333337</v>
      </c>
      <c r="V29" s="72">
        <f>Skin!X5</f>
        <v>0.73242803750000007</v>
      </c>
      <c r="W29" s="24">
        <f>Skin!Y5</f>
        <v>0.48160593000000002</v>
      </c>
      <c r="X29" s="24">
        <f>Skin!Z5</f>
        <v>0.51880433999999997</v>
      </c>
      <c r="Y29" s="24">
        <f>Skin!AA5</f>
        <v>0.93419373999999999</v>
      </c>
      <c r="Z29" s="24">
        <f>Skin!AB5</f>
        <v>0.79062449000000001</v>
      </c>
      <c r="AA29" s="24">
        <f>Skin!AC5</f>
        <v>0.83856027583333337</v>
      </c>
      <c r="AB29" s="24">
        <f>Skin!AD5</f>
        <v>0.60683918000000003</v>
      </c>
      <c r="AC29" s="24">
        <f>Skin!AE5</f>
        <v>0.64853067000000009</v>
      </c>
      <c r="AD29" s="24">
        <f>Skin!AF5</f>
        <v>0.57237351000000003</v>
      </c>
      <c r="AE29" s="24">
        <f>Skin!AG5</f>
        <v>0.69807877888888903</v>
      </c>
      <c r="AF29" s="24">
        <f>Skin!AH5</f>
        <v>0.65</v>
      </c>
      <c r="AG29" s="25">
        <f>Skin!AI5</f>
        <v>0.65</v>
      </c>
      <c r="AI29" s="346"/>
      <c r="AJ29" s="51">
        <f t="shared" si="6"/>
        <v>76.785139806538055</v>
      </c>
      <c r="AK29" s="52">
        <f t="shared" si="7"/>
        <v>74.866257731773587</v>
      </c>
      <c r="AL29" s="52">
        <f t="shared" si="8"/>
        <v>58.592738195687566</v>
      </c>
      <c r="AM29" s="52">
        <f t="shared" si="9"/>
        <v>101.55643919464899</v>
      </c>
      <c r="AN29" s="52">
        <f t="shared" si="10"/>
        <v>82.817614560145358</v>
      </c>
      <c r="AO29" s="52">
        <f t="shared" si="11"/>
        <v>53.73063625767913</v>
      </c>
      <c r="AP29" s="52">
        <f t="shared" si="12"/>
        <v>67.7468192881785</v>
      </c>
      <c r="AQ29" s="52">
        <f t="shared" si="13"/>
        <v>89.476734837699524</v>
      </c>
      <c r="AR29" s="52">
        <f t="shared" si="14"/>
        <v>60.239581661198116</v>
      </c>
      <c r="AS29" s="53">
        <f t="shared" si="15"/>
        <v>72.82706419552531</v>
      </c>
    </row>
    <row r="30" spans="1:47" s="21" customFormat="1">
      <c r="A30" s="271"/>
      <c r="B30" s="22" t="s">
        <v>16</v>
      </c>
      <c r="C30" s="22" t="s">
        <v>19</v>
      </c>
      <c r="D30" s="72">
        <f>Skin!F6</f>
        <v>0</v>
      </c>
      <c r="E30" s="24">
        <f>Skin!G6</f>
        <v>0</v>
      </c>
      <c r="F30" s="24">
        <f>Skin!H6</f>
        <v>0</v>
      </c>
      <c r="G30" s="24">
        <f>Skin!I6</f>
        <v>0</v>
      </c>
      <c r="H30" s="24">
        <f>Skin!J6</f>
        <v>0</v>
      </c>
      <c r="I30" s="24">
        <f>Skin!K6</f>
        <v>0</v>
      </c>
      <c r="J30" s="72">
        <f>Skin!L6</f>
        <v>0</v>
      </c>
      <c r="K30" s="24">
        <f>Skin!M6</f>
        <v>0</v>
      </c>
      <c r="L30" s="24">
        <f>Skin!N6</f>
        <v>0</v>
      </c>
      <c r="M30" s="24">
        <f>Skin!O6</f>
        <v>0</v>
      </c>
      <c r="N30" s="24">
        <f>Skin!P6</f>
        <v>0</v>
      </c>
      <c r="O30" s="24">
        <f>Skin!Q6</f>
        <v>0</v>
      </c>
      <c r="P30" s="24">
        <f>Skin!R6</f>
        <v>0</v>
      </c>
      <c r="Q30" s="24">
        <f>Skin!S6</f>
        <v>0</v>
      </c>
      <c r="R30" s="24">
        <f>Skin!T6</f>
        <v>0</v>
      </c>
      <c r="S30" s="24">
        <f>Skin!U6</f>
        <v>0</v>
      </c>
      <c r="T30" s="24">
        <f>Skin!V6</f>
        <v>0</v>
      </c>
      <c r="U30" s="24">
        <f>Skin!W6</f>
        <v>0</v>
      </c>
      <c r="V30" s="72">
        <f>Skin!X6</f>
        <v>0</v>
      </c>
      <c r="W30" s="24">
        <f>Skin!Y6</f>
        <v>0</v>
      </c>
      <c r="X30" s="24">
        <f>Skin!Z6</f>
        <v>0.15743620999999999</v>
      </c>
      <c r="Y30" s="24">
        <f>Skin!AA6</f>
        <v>0.98906057000000003</v>
      </c>
      <c r="Z30" s="24">
        <f>Skin!AB6</f>
        <v>3.7991898099999997</v>
      </c>
      <c r="AA30" s="24">
        <f>Skin!AC6</f>
        <v>6.5621740099999997</v>
      </c>
      <c r="AB30" s="24">
        <f>Skin!AD6</f>
        <v>2.32618502</v>
      </c>
      <c r="AC30" s="24">
        <f>Skin!AE6</f>
        <v>3.5497949999999996</v>
      </c>
      <c r="AD30" s="24">
        <f>Skin!AF6</f>
        <v>2.0676626100000002</v>
      </c>
      <c r="AE30" s="24">
        <f>Skin!AG6</f>
        <v>2.7709466388888884</v>
      </c>
      <c r="AF30" s="24">
        <f>Skin!AH6</f>
        <v>3.3</v>
      </c>
      <c r="AG30" s="25">
        <f>Skin!AI6</f>
        <v>1.8</v>
      </c>
      <c r="AI30" s="346"/>
      <c r="AJ30" s="51" t="str">
        <f t="shared" si="6"/>
        <v>NA</v>
      </c>
      <c r="AK30" s="52" t="str">
        <f t="shared" si="7"/>
        <v>NA</v>
      </c>
      <c r="AL30" s="52" t="str">
        <f t="shared" si="8"/>
        <v>NA</v>
      </c>
      <c r="AM30" s="52" t="str">
        <f t="shared" si="9"/>
        <v>NA</v>
      </c>
      <c r="AN30" s="52" t="str">
        <f t="shared" si="10"/>
        <v>NA</v>
      </c>
      <c r="AO30" s="52" t="str">
        <f t="shared" si="11"/>
        <v>NA</v>
      </c>
      <c r="AP30" s="52" t="str">
        <f t="shared" si="12"/>
        <v>NA</v>
      </c>
      <c r="AQ30" s="52" t="str">
        <f t="shared" si="13"/>
        <v>NA</v>
      </c>
      <c r="AR30" s="52" t="str">
        <f t="shared" si="14"/>
        <v>NA</v>
      </c>
      <c r="AS30" s="53" t="str">
        <f t="shared" si="15"/>
        <v>NA</v>
      </c>
    </row>
    <row r="31" spans="1:47" s="21" customFormat="1">
      <c r="A31" s="271"/>
      <c r="B31" s="22" t="s">
        <v>16</v>
      </c>
      <c r="C31" s="22" t="s">
        <v>18</v>
      </c>
      <c r="D31" s="72">
        <f>Skin!F7</f>
        <v>0.934228265</v>
      </c>
      <c r="E31" s="24">
        <f>Skin!G7</f>
        <v>2.141507480833333</v>
      </c>
      <c r="F31" s="24">
        <f>Skin!H7</f>
        <v>2.3207923149999998</v>
      </c>
      <c r="G31" s="24">
        <f>Skin!I7</f>
        <v>1.3661057716666667</v>
      </c>
      <c r="H31" s="24">
        <f>Skin!J7</f>
        <v>1.7731532333333333</v>
      </c>
      <c r="I31" s="24">
        <f>Skin!K7</f>
        <v>2.1702832800000005</v>
      </c>
      <c r="J31" s="72">
        <f>Skin!L7</f>
        <v>3.6342715600000002</v>
      </c>
      <c r="K31" s="24">
        <f>Skin!M7</f>
        <v>1.2701595783333333</v>
      </c>
      <c r="L31" s="24">
        <f>Skin!N7</f>
        <v>2.1026486900000001</v>
      </c>
      <c r="M31" s="24">
        <f>Skin!O7</f>
        <v>4.2319630999999998</v>
      </c>
      <c r="N31" s="24">
        <f>Skin!P7</f>
        <v>0.71736043999999999</v>
      </c>
      <c r="O31" s="24">
        <f>Skin!Q7</f>
        <v>0.79673190000000005</v>
      </c>
      <c r="P31" s="24">
        <f>Skin!R7</f>
        <v>0.84084952000000002</v>
      </c>
      <c r="Q31" s="24">
        <f>Skin!S7</f>
        <v>2.68908798</v>
      </c>
      <c r="R31" s="24">
        <f>Skin!T7</f>
        <v>1.4039039900000001</v>
      </c>
      <c r="S31" s="24">
        <f>Skin!U7</f>
        <v>2.8195646299999999</v>
      </c>
      <c r="T31" s="24">
        <f>Skin!V7</f>
        <v>5.2137416600000002</v>
      </c>
      <c r="U31" s="24">
        <f>Skin!W7</f>
        <v>2.6699522600000001</v>
      </c>
      <c r="V31" s="72">
        <f>Skin!X7</f>
        <v>3.0759933500000005</v>
      </c>
      <c r="W31" s="24">
        <f>Skin!Y7</f>
        <v>3.8971060300000002</v>
      </c>
      <c r="X31" s="24">
        <f>Skin!Z7</f>
        <v>2.7469588200000001</v>
      </c>
      <c r="Y31" s="24">
        <f>Skin!AA7</f>
        <v>4.1345098</v>
      </c>
      <c r="Z31" s="24">
        <f>Skin!AB7</f>
        <v>1.25080977</v>
      </c>
      <c r="AA31" s="24">
        <f>Skin!AC7</f>
        <v>1.83632858</v>
      </c>
      <c r="AB31" s="24">
        <f>Skin!AD7</f>
        <v>1.5100843000000002</v>
      </c>
      <c r="AC31" s="24">
        <f>Skin!AE7</f>
        <v>1.1939092099999999</v>
      </c>
      <c r="AD31" s="24">
        <f>Skin!AF7</f>
        <v>0.96448436000000004</v>
      </c>
      <c r="AE31" s="24">
        <f>Skin!AG7</f>
        <v>1.577270286666667</v>
      </c>
      <c r="AF31" s="24">
        <f>Skin!AH7</f>
        <v>1</v>
      </c>
      <c r="AG31" s="25">
        <f>Skin!AI7</f>
        <v>2</v>
      </c>
      <c r="AI31" s="346"/>
      <c r="AJ31" s="51">
        <f t="shared" si="6"/>
        <v>55.940206863308084</v>
      </c>
      <c r="AK31" s="52">
        <f t="shared" si="7"/>
        <v>108.19696060150663</v>
      </c>
      <c r="AL31" s="52">
        <f t="shared" si="8"/>
        <v>67.657337633007515</v>
      </c>
      <c r="AM31" s="52">
        <f t="shared" si="9"/>
        <v>138.7176746680787</v>
      </c>
      <c r="AN31" s="52">
        <f t="shared" si="10"/>
        <v>125.68009872873765</v>
      </c>
      <c r="AO31" s="52">
        <f t="shared" si="11"/>
        <v>74.353379155680983</v>
      </c>
      <c r="AP31" s="52">
        <f t="shared" si="12"/>
        <v>42.76520337506625</v>
      </c>
      <c r="AQ31" s="52">
        <f t="shared" si="13"/>
        <v>132.84346157659832</v>
      </c>
      <c r="AR31" s="52">
        <f t="shared" si="14"/>
        <v>52.731952443700479</v>
      </c>
      <c r="AS31" s="53">
        <f t="shared" si="15"/>
        <v>88.71872400181708</v>
      </c>
    </row>
    <row r="32" spans="1:47" s="21" customFormat="1">
      <c r="A32" s="271"/>
      <c r="B32" s="22" t="s">
        <v>16</v>
      </c>
      <c r="C32" s="22" t="s">
        <v>102</v>
      </c>
      <c r="D32" s="72">
        <f>Skin!F8</f>
        <v>0.86816265166666651</v>
      </c>
      <c r="E32" s="24">
        <f>Skin!G8</f>
        <v>1.0961187533333334</v>
      </c>
      <c r="F32" s="24">
        <f>Skin!H8</f>
        <v>0.85998570416666664</v>
      </c>
      <c r="G32" s="24">
        <f>Skin!I8</f>
        <v>0.83075120083333331</v>
      </c>
      <c r="H32" s="24">
        <f>Skin!J8</f>
        <v>1.1699141866666665</v>
      </c>
      <c r="I32" s="24">
        <f>Skin!K8</f>
        <v>0.79943055833333321</v>
      </c>
      <c r="J32" s="72">
        <f>Skin!L8</f>
        <v>0.71179032750000015</v>
      </c>
      <c r="K32" s="24">
        <f>Skin!M8</f>
        <v>0.87430823833333338</v>
      </c>
      <c r="L32" s="24">
        <f>Skin!N8</f>
        <v>0.73933403916666673</v>
      </c>
      <c r="M32" s="24">
        <f>Skin!O8</f>
        <v>0.93873307416666674</v>
      </c>
      <c r="N32" s="24">
        <f>Skin!P8</f>
        <v>1.0114904325</v>
      </c>
      <c r="O32" s="24">
        <f>Skin!Q8</f>
        <v>0.94258533249999998</v>
      </c>
      <c r="P32" s="24">
        <f>Skin!R8</f>
        <v>1.1722997525000001</v>
      </c>
      <c r="Q32" s="24">
        <f>Skin!S8</f>
        <v>0.7947638958333334</v>
      </c>
      <c r="R32" s="24">
        <f>Skin!T8</f>
        <v>0.64324608833333341</v>
      </c>
      <c r="S32" s="24">
        <f>Skin!U8</f>
        <v>0.73247707416666674</v>
      </c>
      <c r="T32" s="24">
        <f>Skin!V8</f>
        <v>0.96864932083333344</v>
      </c>
      <c r="U32" s="24">
        <f>Skin!W8</f>
        <v>0.63297297499999994</v>
      </c>
      <c r="V32" s="72">
        <f>Skin!X8</f>
        <v>0.73043200583333323</v>
      </c>
      <c r="W32" s="24">
        <f>Skin!Y8</f>
        <v>0.63874431583333324</v>
      </c>
      <c r="X32" s="24">
        <f>Skin!Z8</f>
        <v>0.72657151166666656</v>
      </c>
      <c r="Y32" s="24">
        <f>Skin!AA8</f>
        <v>1.0525597066666665</v>
      </c>
      <c r="Z32" s="24">
        <f>Skin!AB8</f>
        <v>0.7413127599999999</v>
      </c>
      <c r="AA32" s="24">
        <f>Skin!AC8</f>
        <v>0.92089330500000011</v>
      </c>
      <c r="AB32" s="24">
        <f>Skin!AD8</f>
        <v>0.81988404916666657</v>
      </c>
      <c r="AC32" s="24">
        <f>Skin!AE8</f>
        <v>0.71198204499999995</v>
      </c>
      <c r="AD32" s="24">
        <f>Skin!AF8</f>
        <v>0.48198539416666669</v>
      </c>
      <c r="AE32" s="24">
        <f>Skin!AG8</f>
        <v>0.69469195620370372</v>
      </c>
      <c r="AF32" s="24">
        <f>Skin!AH8</f>
        <v>0.7</v>
      </c>
      <c r="AG32" s="25">
        <f>Skin!AI8</f>
        <v>0.7</v>
      </c>
      <c r="AI32" s="346"/>
      <c r="AJ32" s="51">
        <f t="shared" si="6"/>
        <v>94.841460668792834</v>
      </c>
      <c r="AK32" s="52">
        <f t="shared" si="7"/>
        <v>87.828901220429813</v>
      </c>
      <c r="AL32" s="52">
        <f t="shared" si="8"/>
        <v>81.026508653174204</v>
      </c>
      <c r="AM32" s="52">
        <f t="shared" si="9"/>
        <v>90.122922884421016</v>
      </c>
      <c r="AN32" s="52">
        <f t="shared" si="10"/>
        <v>93.845322058982333</v>
      </c>
      <c r="AO32" s="52">
        <f t="shared" si="11"/>
        <v>77.149905240938821</v>
      </c>
      <c r="AP32" s="52">
        <f t="shared" si="12"/>
        <v>89.743049637329861</v>
      </c>
      <c r="AQ32" s="52">
        <f t="shared" si="13"/>
        <v>92.186489576436614</v>
      </c>
      <c r="AR32" s="52">
        <f t="shared" si="14"/>
        <v>83.094730955765542</v>
      </c>
      <c r="AS32" s="53">
        <f t="shared" si="15"/>
        <v>87.763098858158358</v>
      </c>
    </row>
    <row r="33" spans="1:47" s="21" customFormat="1">
      <c r="A33" s="272"/>
      <c r="B33" s="31" t="s">
        <v>16</v>
      </c>
      <c r="C33" s="31" t="s">
        <v>766</v>
      </c>
      <c r="D33" s="74"/>
      <c r="E33" s="32"/>
      <c r="F33" s="32"/>
      <c r="G33" s="32"/>
      <c r="H33" s="32"/>
      <c r="I33" s="32"/>
      <c r="J33" s="74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74"/>
      <c r="W33" s="32"/>
      <c r="X33" s="32"/>
      <c r="Y33" s="32"/>
      <c r="Z33" s="32"/>
      <c r="AA33" s="32"/>
      <c r="AB33" s="32"/>
      <c r="AC33" s="32"/>
      <c r="AD33" s="32"/>
      <c r="AE33" s="32">
        <f>Skin!AG9</f>
        <v>0</v>
      </c>
      <c r="AF33" s="32">
        <f>Skin!AH9</f>
        <v>1</v>
      </c>
      <c r="AG33" s="33">
        <f>Skin!AI9</f>
        <v>3</v>
      </c>
      <c r="AI33" s="346"/>
      <c r="AJ33" s="54" t="str">
        <f t="shared" si="6"/>
        <v>NA</v>
      </c>
      <c r="AK33" s="48" t="str">
        <f t="shared" si="7"/>
        <v>NA</v>
      </c>
      <c r="AL33" s="48" t="str">
        <f t="shared" si="8"/>
        <v>NA</v>
      </c>
      <c r="AM33" s="48" t="str">
        <f t="shared" ref="AM33" si="16">IFERROR(SUM(V33:X33)/SUM(J33:L33)*100,"NA")</f>
        <v>NA</v>
      </c>
      <c r="AN33" s="48" t="str">
        <f t="shared" ref="AN33" si="17">IFERROR(SUM(Y33:AA33)/SUM(M33:O33)*100,"NA")</f>
        <v>NA</v>
      </c>
      <c r="AO33" s="48" t="str">
        <f t="shared" ref="AO33" si="18">IFERROR(SUM(AB33:AD33)/SUM(P33:R33)*100,"NA")</f>
        <v>NA</v>
      </c>
      <c r="AP33" s="48" t="str">
        <f t="shared" ref="AP33" si="19">IFERROR(SUM(AE33:AG33)/SUM(S33:U33)*100,"NA")</f>
        <v>NA</v>
      </c>
      <c r="AQ33" s="48" t="str">
        <f t="shared" ref="AQ33" si="20">IFERROR(SUM(V33:AA33)/SUM(J33:O33)*100,"NA")</f>
        <v>NA</v>
      </c>
      <c r="AR33" s="48" t="str">
        <f t="shared" ref="AR33" si="21">IFERROR(SUM(AB33:AG33)/SUM(P33:U33)*100,"NA")</f>
        <v>NA</v>
      </c>
      <c r="AS33" s="55" t="str">
        <f t="shared" ref="AS33" si="22">IFERROR(SUM(V33:AG33)/SUM(J33:U33)*100,"NA")</f>
        <v>NA</v>
      </c>
    </row>
    <row r="34" spans="1:47" s="21" customFormat="1" ht="15" thickBot="1">
      <c r="A34" s="272" t="s">
        <v>77</v>
      </c>
      <c r="B34" s="31" t="s">
        <v>140</v>
      </c>
      <c r="C34" s="119" t="s">
        <v>83</v>
      </c>
      <c r="D34" s="74">
        <f>Shave!F3</f>
        <v>0.84207448000000007</v>
      </c>
      <c r="E34" s="32">
        <f>Shave!G3</f>
        <v>1.1955440106666668</v>
      </c>
      <c r="F34" s="32">
        <f>Shave!H3</f>
        <v>0.74396438533333331</v>
      </c>
      <c r="G34" s="32">
        <f>Shave!I3</f>
        <v>0.8155621068333333</v>
      </c>
      <c r="H34" s="32">
        <f>Shave!J3</f>
        <v>1.0207331310000001</v>
      </c>
      <c r="I34" s="32">
        <f>Shave!K3</f>
        <v>0.79918778283333336</v>
      </c>
      <c r="J34" s="74">
        <f>Shave!L3</f>
        <v>0.8056164241666669</v>
      </c>
      <c r="K34" s="32">
        <f>Shave!M3</f>
        <v>1.0013544238333332</v>
      </c>
      <c r="L34" s="32">
        <f>Shave!N3</f>
        <v>0.79514204616666673</v>
      </c>
      <c r="M34" s="32">
        <f>Shave!O3</f>
        <v>0.83439940099999999</v>
      </c>
      <c r="N34" s="32">
        <f>Shave!P3</f>
        <v>1.027408283</v>
      </c>
      <c r="O34" s="32">
        <f>Shave!Q3</f>
        <v>0.96912565216666657</v>
      </c>
      <c r="P34" s="32">
        <f>Shave!R3</f>
        <v>1.1869294793333336</v>
      </c>
      <c r="Q34" s="32">
        <f>Shave!S3</f>
        <v>1.0047623651666666</v>
      </c>
      <c r="R34" s="32">
        <f>Shave!T3</f>
        <v>0.91153003750000017</v>
      </c>
      <c r="S34" s="32">
        <f>Shave!U3</f>
        <v>0.88563894150000011</v>
      </c>
      <c r="T34" s="32">
        <f>Shave!V3</f>
        <v>1.0797682399999999</v>
      </c>
      <c r="U34" s="32">
        <f>Shave!W3</f>
        <v>0.92203430583333335</v>
      </c>
      <c r="V34" s="74">
        <f>Shave!X3</f>
        <v>1.1095099444999998</v>
      </c>
      <c r="W34" s="32">
        <f>Shave!Y3</f>
        <v>0.87289099749999988</v>
      </c>
      <c r="X34" s="32">
        <f>Shave!Z3</f>
        <v>0.86513451550000009</v>
      </c>
      <c r="Y34" s="32">
        <f>Shave!AA3</f>
        <v>1.1318798040000002</v>
      </c>
      <c r="Z34" s="32">
        <f>Shave!AB3</f>
        <v>0.95971862900000005</v>
      </c>
      <c r="AA34" s="32">
        <f>Shave!AC3</f>
        <v>1.2142867774999999</v>
      </c>
      <c r="AB34" s="32">
        <f>Shave!AD3</f>
        <v>0.87812500683333339</v>
      </c>
      <c r="AC34" s="32">
        <f>Shave!AE3</f>
        <v>1.2227291365000001</v>
      </c>
      <c r="AD34" s="32">
        <f>Shave!AF3</f>
        <v>0.91190253200000004</v>
      </c>
      <c r="AE34" s="32">
        <f>Shave!AG3</f>
        <v>1.1380391329259261</v>
      </c>
      <c r="AF34" s="32">
        <f>Shave!AH3</f>
        <v>1.0024509301666666</v>
      </c>
      <c r="AG34" s="33">
        <f>Shave!AI3</f>
        <v>1.0024509301666666</v>
      </c>
      <c r="AI34" s="346"/>
      <c r="AJ34" s="54">
        <f t="shared" si="6"/>
        <v>128.49922012219085</v>
      </c>
      <c r="AK34" s="48">
        <f t="shared" si="7"/>
        <v>109.36444625684305</v>
      </c>
      <c r="AL34" s="48">
        <f t="shared" si="8"/>
        <v>104.05967999197252</v>
      </c>
      <c r="AM34" s="48">
        <f t="shared" si="9"/>
        <v>109.43166470153977</v>
      </c>
      <c r="AN34" s="48">
        <f t="shared" si="10"/>
        <v>116.77721860368709</v>
      </c>
      <c r="AO34" s="48">
        <f t="shared" si="11"/>
        <v>97.084797345900299</v>
      </c>
      <c r="AP34" s="48">
        <f t="shared" si="12"/>
        <v>108.84864704780179</v>
      </c>
      <c r="AQ34" s="48">
        <f t="shared" si="13"/>
        <v>113.25912585916778</v>
      </c>
      <c r="AR34" s="48">
        <f t="shared" si="14"/>
        <v>102.75485850371903</v>
      </c>
      <c r="AS34" s="55">
        <f t="shared" si="15"/>
        <v>107.75062364113109</v>
      </c>
      <c r="AU34" s="228"/>
    </row>
    <row r="35" spans="1:47" ht="15" thickTop="1">
      <c r="A35" s="325" t="s">
        <v>731</v>
      </c>
      <c r="B35" s="207" t="s">
        <v>103</v>
      </c>
      <c r="C35" s="207" t="s">
        <v>83</v>
      </c>
      <c r="D35" s="208">
        <f t="shared" ref="D35:AG35" si="23">SUM(D36,D41,D47,D51,D57,D60,D67)</f>
        <v>30.327187714999997</v>
      </c>
      <c r="E35" s="209">
        <f t="shared" si="23"/>
        <v>27.337311892999995</v>
      </c>
      <c r="F35" s="209">
        <f t="shared" si="23"/>
        <v>25.749337090000012</v>
      </c>
      <c r="G35" s="209">
        <f t="shared" si="23"/>
        <v>23.580707465999996</v>
      </c>
      <c r="H35" s="209">
        <f t="shared" si="23"/>
        <v>31.153656214999998</v>
      </c>
      <c r="I35" s="209">
        <f t="shared" si="23"/>
        <v>25.846479976999991</v>
      </c>
      <c r="J35" s="208">
        <f t="shared" si="23"/>
        <v>37.72434067799999</v>
      </c>
      <c r="K35" s="209">
        <f t="shared" si="23"/>
        <v>24.662676246999997</v>
      </c>
      <c r="L35" s="209">
        <f t="shared" si="23"/>
        <v>28.828361714999993</v>
      </c>
      <c r="M35" s="209">
        <f t="shared" si="23"/>
        <v>34.884789721999994</v>
      </c>
      <c r="N35" s="209">
        <f t="shared" si="23"/>
        <v>35.84043819499999</v>
      </c>
      <c r="O35" s="209">
        <f t="shared" si="23"/>
        <v>38.425557735999995</v>
      </c>
      <c r="P35" s="209">
        <f t="shared" si="23"/>
        <v>47.119368286000011</v>
      </c>
      <c r="Q35" s="209">
        <f t="shared" si="23"/>
        <v>30.181863276999998</v>
      </c>
      <c r="R35" s="209">
        <f t="shared" si="23"/>
        <v>20.083421014999992</v>
      </c>
      <c r="S35" s="209">
        <f t="shared" si="23"/>
        <v>47.155815591</v>
      </c>
      <c r="T35" s="209">
        <f t="shared" si="23"/>
        <v>36.332929782999997</v>
      </c>
      <c r="U35" s="209">
        <f t="shared" si="23"/>
        <v>31.055811514999998</v>
      </c>
      <c r="V35" s="208">
        <f t="shared" si="23"/>
        <v>38.614966602999999</v>
      </c>
      <c r="W35" s="209">
        <f t="shared" si="23"/>
        <v>35.649347512000006</v>
      </c>
      <c r="X35" s="209">
        <f t="shared" si="23"/>
        <v>45.882210972000003</v>
      </c>
      <c r="Y35" s="209">
        <f t="shared" si="23"/>
        <v>48.824892444999982</v>
      </c>
      <c r="Z35" s="209">
        <f t="shared" si="23"/>
        <v>33.055440089999998</v>
      </c>
      <c r="AA35" s="209">
        <f t="shared" si="23"/>
        <v>56.350816088699993</v>
      </c>
      <c r="AB35" s="209">
        <f t="shared" si="23"/>
        <v>35.222587754599992</v>
      </c>
      <c r="AC35" s="209">
        <f t="shared" si="23"/>
        <v>46.486615533100007</v>
      </c>
      <c r="AD35" s="209">
        <f t="shared" si="23"/>
        <v>23.446981893000004</v>
      </c>
      <c r="AE35" s="209">
        <f t="shared" si="23"/>
        <v>25.4371545827</v>
      </c>
      <c r="AF35" s="209">
        <f t="shared" si="23"/>
        <v>66.700750930166649</v>
      </c>
      <c r="AG35" s="210">
        <f t="shared" si="23"/>
        <v>44.967478930166664</v>
      </c>
      <c r="AI35" s="346"/>
      <c r="AJ35" s="49">
        <f t="shared" si="6"/>
        <v>53.942773046968249</v>
      </c>
      <c r="AK35" s="47">
        <f t="shared" si="7"/>
        <v>112.775741857314</v>
      </c>
      <c r="AL35" s="47">
        <f t="shared" si="8"/>
        <v>90.350710370404556</v>
      </c>
      <c r="AM35" s="47">
        <f t="shared" si="9"/>
        <v>131.7173999366737</v>
      </c>
      <c r="AN35" s="47">
        <f t="shared" si="10"/>
        <v>126.64237622910845</v>
      </c>
      <c r="AO35" s="47">
        <f t="shared" si="11"/>
        <v>107.98024370059277</v>
      </c>
      <c r="AP35" s="47">
        <f t="shared" si="12"/>
        <v>119.69611491526044</v>
      </c>
      <c r="AQ35" s="47">
        <f t="shared" si="13"/>
        <v>128.95274739744406</v>
      </c>
      <c r="AR35" s="47">
        <f t="shared" si="14"/>
        <v>114.31249624958208</v>
      </c>
      <c r="AS35" s="50">
        <f t="shared" si="15"/>
        <v>121.42732497063106</v>
      </c>
    </row>
    <row r="36" spans="1:47">
      <c r="A36" s="323" t="s">
        <v>731</v>
      </c>
      <c r="B36" s="213" t="s">
        <v>4</v>
      </c>
      <c r="C36" s="213" t="s">
        <v>83</v>
      </c>
      <c r="D36" s="214">
        <f>Hair!F4</f>
        <v>9.7945465499999997</v>
      </c>
      <c r="E36" s="215">
        <f>Hair!G4</f>
        <v>6.2381746459999992</v>
      </c>
      <c r="F36" s="215">
        <f>Hair!H4</f>
        <v>7.8761365680000086</v>
      </c>
      <c r="G36" s="215">
        <f>Hair!I4</f>
        <v>5.1384892509999975</v>
      </c>
      <c r="H36" s="215">
        <f>Hair!J4</f>
        <v>10.926275137000006</v>
      </c>
      <c r="I36" s="215">
        <f>Hair!K4</f>
        <v>6.5666194130000024</v>
      </c>
      <c r="J36" s="214">
        <f>Hair!L4</f>
        <v>8.0995558560000021</v>
      </c>
      <c r="K36" s="215">
        <f>Hair!M4</f>
        <v>6.3692823910000023</v>
      </c>
      <c r="L36" s="215">
        <f>Hair!N4</f>
        <v>9.093034973</v>
      </c>
      <c r="M36" s="215">
        <f>Hair!O4</f>
        <v>8.5704228930000017</v>
      </c>
      <c r="N36" s="215">
        <f>Hair!P4</f>
        <v>14.405405306999999</v>
      </c>
      <c r="O36" s="215">
        <f>Hair!Q4</f>
        <v>11.803248480000001</v>
      </c>
      <c r="P36" s="215">
        <f>Hair!R4</f>
        <v>9.327932895</v>
      </c>
      <c r="Q36" s="215">
        <f>Hair!S4</f>
        <v>11.557274542999998</v>
      </c>
      <c r="R36" s="215">
        <f>Hair!T4</f>
        <v>6.5753492889999983</v>
      </c>
      <c r="S36" s="215">
        <f>Hair!U4</f>
        <v>13.191758167</v>
      </c>
      <c r="T36" s="215">
        <f>Hair!V4</f>
        <v>9.889040403000001</v>
      </c>
      <c r="U36" s="215">
        <f>Hair!W4</f>
        <v>10.212244939</v>
      </c>
      <c r="V36" s="214">
        <f>Hair!X4</f>
        <v>9.9959792639999989</v>
      </c>
      <c r="W36" s="215">
        <f>Hair!Y4</f>
        <v>11.036149327000002</v>
      </c>
      <c r="X36" s="215">
        <f>Hair!Z4</f>
        <v>11.582716853000004</v>
      </c>
      <c r="Y36" s="215">
        <f>Hair!AA4</f>
        <v>12.23188858</v>
      </c>
      <c r="Z36" s="215">
        <f>Hair!AB4</f>
        <v>13.009476396000004</v>
      </c>
      <c r="AA36" s="215">
        <f>Hair!AC4</f>
        <v>19.940132750099998</v>
      </c>
      <c r="AB36" s="215">
        <f>Hair!AD4</f>
        <v>11.954693302499999</v>
      </c>
      <c r="AC36" s="215">
        <f>Hair!AE4</f>
        <v>18.230000000000004</v>
      </c>
      <c r="AD36" s="215">
        <f>Hair!AF4</f>
        <v>8.7800000000000011</v>
      </c>
      <c r="AE36" s="215">
        <f>Hair!AG4</f>
        <v>10.210000000000001</v>
      </c>
      <c r="AF36" s="215">
        <f>Hair!AH4</f>
        <v>21.249819999999996</v>
      </c>
      <c r="AG36" s="216">
        <f>Hair!AI4</f>
        <v>14.619700000000002</v>
      </c>
      <c r="AI36" s="346"/>
      <c r="AJ36" s="88">
        <f t="shared" si="6"/>
        <v>77.396809968370619</v>
      </c>
      <c r="AK36" s="89">
        <f t="shared" si="7"/>
        <v>128.26229818444753</v>
      </c>
      <c r="AL36" s="89">
        <f t="shared" si="8"/>
        <v>120.96406669760853</v>
      </c>
      <c r="AM36" s="89">
        <f t="shared" si="9"/>
        <v>138.42212433396674</v>
      </c>
      <c r="AN36" s="89">
        <f t="shared" si="10"/>
        <v>129.90999773171669</v>
      </c>
      <c r="AO36" s="89">
        <f t="shared" si="11"/>
        <v>141.89331152266411</v>
      </c>
      <c r="AP36" s="89">
        <f t="shared" si="12"/>
        <v>138.40585042200627</v>
      </c>
      <c r="AQ36" s="89">
        <f t="shared" si="13"/>
        <v>133.34774854274357</v>
      </c>
      <c r="AR36" s="89">
        <f t="shared" si="14"/>
        <v>139.98217878799289</v>
      </c>
      <c r="AS36" s="90">
        <f t="shared" si="15"/>
        <v>136.73216472680258</v>
      </c>
    </row>
    <row r="37" spans="1:47">
      <c r="A37" s="277"/>
      <c r="B37" s="22" t="s">
        <v>81</v>
      </c>
      <c r="C37" s="22" t="s">
        <v>81</v>
      </c>
      <c r="D37" s="72">
        <f>Hair!F24</f>
        <v>1.2118073059999996</v>
      </c>
      <c r="E37" s="24">
        <f>Hair!G24</f>
        <v>1.1418995140000001</v>
      </c>
      <c r="F37" s="24">
        <f>Hair!H24</f>
        <v>1.5661166730000025</v>
      </c>
      <c r="G37" s="24">
        <f>Hair!I24</f>
        <v>0.98512224400000037</v>
      </c>
      <c r="H37" s="24">
        <f>Hair!J24</f>
        <v>3.4274796960000065</v>
      </c>
      <c r="I37" s="24">
        <f>Hair!K24</f>
        <v>1.3125103329999999</v>
      </c>
      <c r="J37" s="72">
        <f>Hair!L24</f>
        <v>2.5037590079999985</v>
      </c>
      <c r="K37" s="24">
        <f>Hair!M24</f>
        <v>0.78586633899999947</v>
      </c>
      <c r="L37" s="24">
        <f>Hair!N24</f>
        <v>1.1611587149999996</v>
      </c>
      <c r="M37" s="24">
        <f>Hair!O24</f>
        <v>1.9558980480000012</v>
      </c>
      <c r="N37" s="24">
        <f>Hair!P24</f>
        <v>1.5098681709999988</v>
      </c>
      <c r="O37" s="24">
        <f>Hair!Q24</f>
        <v>2.2364868799999993</v>
      </c>
      <c r="P37" s="24">
        <f>Hair!R24</f>
        <v>1.3245948779999996</v>
      </c>
      <c r="Q37" s="24">
        <f>Hair!S24</f>
        <v>1.2391637479999993</v>
      </c>
      <c r="R37" s="24">
        <f>Hair!T24</f>
        <v>1.3058972989999991</v>
      </c>
      <c r="S37" s="24">
        <f>Hair!U24</f>
        <v>4.9331154600000007</v>
      </c>
      <c r="T37" s="24">
        <f>Hair!V24</f>
        <v>3.037132809</v>
      </c>
      <c r="U37" s="24">
        <f>Hair!W24</f>
        <v>1.2376091549999999</v>
      </c>
      <c r="V37" s="72">
        <f>Hair!X24</f>
        <v>2.2736804930000005</v>
      </c>
      <c r="W37" s="24">
        <f>Hair!Y24</f>
        <v>1.381309632</v>
      </c>
      <c r="X37" s="24">
        <f>Hair!Z24</f>
        <v>1.1035584920000003</v>
      </c>
      <c r="Y37" s="24">
        <f>Hair!AA24</f>
        <v>1.4732087419999997</v>
      </c>
      <c r="Z37" s="24">
        <f>Hair!AB24</f>
        <v>2.768814264</v>
      </c>
      <c r="AA37" s="24">
        <f>Hair!AC24</f>
        <v>1.8888172733999999</v>
      </c>
      <c r="AB37" s="24">
        <f>Hair!AD24</f>
        <v>1.7562992200000003</v>
      </c>
      <c r="AC37" s="24">
        <f>Hair!AE24</f>
        <v>3.96</v>
      </c>
      <c r="AD37" s="24">
        <f>Hair!AF24</f>
        <v>1.2</v>
      </c>
      <c r="AE37" s="24">
        <f>Hair!AG24</f>
        <v>1.57</v>
      </c>
      <c r="AF37" s="24">
        <f>Hair!AH24</f>
        <v>2.8899999999999997</v>
      </c>
      <c r="AG37" s="25">
        <f>Hair!AI24</f>
        <v>2.4900000000000002</v>
      </c>
      <c r="AI37" s="346"/>
      <c r="AJ37" s="51">
        <f t="shared" si="6"/>
        <v>31.825729860375084</v>
      </c>
      <c r="AK37" s="52">
        <f t="shared" si="7"/>
        <v>102.21504437218326</v>
      </c>
      <c r="AL37" s="52">
        <f t="shared" si="8"/>
        <v>96.404857616326694</v>
      </c>
      <c r="AM37" s="52">
        <f t="shared" si="9"/>
        <v>106.91483906459634</v>
      </c>
      <c r="AN37" s="52">
        <f t="shared" si="10"/>
        <v>107.51610237144966</v>
      </c>
      <c r="AO37" s="52">
        <f t="shared" si="11"/>
        <v>178.73163283890682</v>
      </c>
      <c r="AP37" s="52">
        <f t="shared" si="12"/>
        <v>75.479014063413246</v>
      </c>
      <c r="AQ37" s="52">
        <f t="shared" si="13"/>
        <v>107.25252674370668</v>
      </c>
      <c r="AR37" s="52">
        <f t="shared" si="14"/>
        <v>106.03161969672405</v>
      </c>
      <c r="AS37" s="53">
        <f t="shared" si="15"/>
        <v>106.56522369430496</v>
      </c>
    </row>
    <row r="38" spans="1:47">
      <c r="A38" s="277"/>
      <c r="B38" s="22" t="s">
        <v>85</v>
      </c>
      <c r="C38" s="22" t="s">
        <v>85</v>
      </c>
      <c r="D38" s="72">
        <f>Hair!F63</f>
        <v>2.9362765630000003</v>
      </c>
      <c r="E38" s="24">
        <f>Hair!G63</f>
        <v>2.0315400999999995</v>
      </c>
      <c r="F38" s="24">
        <f>Hair!H63</f>
        <v>4.2586452190000026</v>
      </c>
      <c r="G38" s="24">
        <f>Hair!I63</f>
        <v>2.4166023019999989</v>
      </c>
      <c r="H38" s="24">
        <f>Hair!J63</f>
        <v>2.4171461899999986</v>
      </c>
      <c r="I38" s="24">
        <f>Hair!K63</f>
        <v>3.1386365280000006</v>
      </c>
      <c r="J38" s="72">
        <f>Hair!L63</f>
        <v>2.5800147120000014</v>
      </c>
      <c r="K38" s="24">
        <f>Hair!M63</f>
        <v>2.7070763200000005</v>
      </c>
      <c r="L38" s="24">
        <f>Hair!N63</f>
        <v>3.5474115779999993</v>
      </c>
      <c r="M38" s="24">
        <f>Hair!O63</f>
        <v>3.5993808929999997</v>
      </c>
      <c r="N38" s="24">
        <f>Hair!P63</f>
        <v>8.5198763399999997</v>
      </c>
      <c r="O38" s="24">
        <f>Hair!Q63</f>
        <v>3.907896899999999</v>
      </c>
      <c r="P38" s="24">
        <f>Hair!R63</f>
        <v>3.8625197370000004</v>
      </c>
      <c r="Q38" s="24">
        <f>Hair!S63</f>
        <v>3.1591852309999995</v>
      </c>
      <c r="R38" s="24">
        <f>Hair!T63</f>
        <v>1.6310404939999996</v>
      </c>
      <c r="S38" s="24">
        <f>Hair!U63</f>
        <v>4.6016323790000007</v>
      </c>
      <c r="T38" s="24">
        <f>Hair!V63</f>
        <v>4.2832915679999992</v>
      </c>
      <c r="U38" s="24">
        <f>Hair!W63</f>
        <v>4.4522066179999982</v>
      </c>
      <c r="V38" s="72">
        <f>Hair!X63</f>
        <v>2.7817377129999987</v>
      </c>
      <c r="W38" s="24">
        <f>Hair!Y63</f>
        <v>3.8760405089999979</v>
      </c>
      <c r="X38" s="24">
        <f>Hair!Z63</f>
        <v>7.8077229390000022</v>
      </c>
      <c r="Y38" s="24">
        <f>Hair!AA63</f>
        <v>5.9805235680000024</v>
      </c>
      <c r="Z38" s="24">
        <f>Hair!AB63</f>
        <v>3.9292988840000032</v>
      </c>
      <c r="AA38" s="24">
        <f>Hair!AC63</f>
        <v>4.4663050233000003</v>
      </c>
      <c r="AB38" s="24">
        <f>Hair!AD63</f>
        <v>3.6591559824999988</v>
      </c>
      <c r="AC38" s="24">
        <f>Hair!AE63</f>
        <v>8.57</v>
      </c>
      <c r="AD38" s="24">
        <f>Hair!AF63</f>
        <v>4.6100000000000003</v>
      </c>
      <c r="AE38" s="24">
        <f>Hair!AG63</f>
        <v>3.65</v>
      </c>
      <c r="AF38" s="24">
        <f>Hair!AH63</f>
        <v>9.2998199999999986</v>
      </c>
      <c r="AG38" s="25">
        <f>Hair!AI63</f>
        <v>4.4024999999999999</v>
      </c>
      <c r="AI38" s="346"/>
      <c r="AJ38" s="51">
        <f t="shared" si="6"/>
        <v>79.319678309313275</v>
      </c>
      <c r="AK38" s="52">
        <f t="shared" si="7"/>
        <v>129.42265678263297</v>
      </c>
      <c r="AL38" s="52">
        <f t="shared" si="8"/>
        <v>154.58406443734032</v>
      </c>
      <c r="AM38" s="52">
        <f t="shared" si="9"/>
        <v>163.73871625354579</v>
      </c>
      <c r="AN38" s="52">
        <f t="shared" si="10"/>
        <v>89.698566295681175</v>
      </c>
      <c r="AO38" s="52">
        <f t="shared" si="11"/>
        <v>194.6105551868134</v>
      </c>
      <c r="AP38" s="52">
        <f t="shared" si="12"/>
        <v>130.10534698923072</v>
      </c>
      <c r="AQ38" s="52">
        <f t="shared" si="13"/>
        <v>116.00847415134797</v>
      </c>
      <c r="AR38" s="52">
        <f t="shared" si="14"/>
        <v>155.48735218206059</v>
      </c>
      <c r="AS38" s="53">
        <f t="shared" si="15"/>
        <v>134.53797750489264</v>
      </c>
    </row>
    <row r="39" spans="1:47">
      <c r="A39" s="277"/>
      <c r="B39" s="22" t="s">
        <v>87</v>
      </c>
      <c r="C39" s="22" t="s">
        <v>87</v>
      </c>
      <c r="D39" s="72">
        <f>Hair!F93</f>
        <v>0.19709030000000005</v>
      </c>
      <c r="E39" s="24">
        <f>Hair!G93</f>
        <v>0.92776140000000007</v>
      </c>
      <c r="F39" s="24">
        <f>Hair!H93</f>
        <v>0.64336910000000003</v>
      </c>
      <c r="G39" s="24">
        <f>Hair!I93</f>
        <v>0.39422489999999999</v>
      </c>
      <c r="H39" s="24">
        <f>Hair!J93</f>
        <v>0.47042289999999998</v>
      </c>
      <c r="I39" s="24">
        <f>Hair!K93</f>
        <v>0.30018849999999997</v>
      </c>
      <c r="J39" s="72">
        <f>Hair!L93</f>
        <v>1.0208628</v>
      </c>
      <c r="K39" s="24">
        <f>Hair!M93</f>
        <v>0.68908759999999991</v>
      </c>
      <c r="L39" s="24">
        <f>Hair!N93</f>
        <v>0.70661770000000002</v>
      </c>
      <c r="M39" s="24">
        <f>Hair!O93</f>
        <v>0.32648280000000002</v>
      </c>
      <c r="N39" s="24">
        <f>Hair!P93</f>
        <v>0.91061659999999989</v>
      </c>
      <c r="O39" s="24">
        <f>Hair!Q93</f>
        <v>1.8292150999999999</v>
      </c>
      <c r="P39" s="24">
        <f>Hair!R93</f>
        <v>0.31864080000000006</v>
      </c>
      <c r="Q39" s="24">
        <f>Hair!S93</f>
        <v>0.13275480000000003</v>
      </c>
      <c r="R39" s="24">
        <f>Hair!T93</f>
        <v>0.25483199999999995</v>
      </c>
      <c r="S39" s="24">
        <f>Hair!U93</f>
        <v>0.21192320000000001</v>
      </c>
      <c r="T39" s="24">
        <f>Hair!V93</f>
        <v>0.4339395499999999</v>
      </c>
      <c r="U39" s="24">
        <f>Hair!W93</f>
        <v>0.31912919000000006</v>
      </c>
      <c r="V39" s="72">
        <f>Hair!X93</f>
        <v>0.92415894999999992</v>
      </c>
      <c r="W39" s="24">
        <f>Hair!Y93</f>
        <v>1.2579474500000003</v>
      </c>
      <c r="X39" s="24">
        <f>Hair!Z93</f>
        <v>0.24731057000000015</v>
      </c>
      <c r="Y39" s="24">
        <f>Hair!AA93</f>
        <v>0.57549731000000026</v>
      </c>
      <c r="Z39" s="24">
        <f>Hair!AB93</f>
        <v>0.12106776000000002</v>
      </c>
      <c r="AA39" s="24">
        <f>Hair!AC93</f>
        <v>0.63977427000000009</v>
      </c>
      <c r="AB39" s="24">
        <f>Hair!AD93</f>
        <v>0.28923810000000005</v>
      </c>
      <c r="AC39" s="24">
        <f>Hair!AE93</f>
        <v>0.31</v>
      </c>
      <c r="AD39" s="24">
        <f>Hair!AF93</f>
        <v>0.16</v>
      </c>
      <c r="AE39" s="24">
        <f>Hair!AG93</f>
        <v>0.27</v>
      </c>
      <c r="AF39" s="24">
        <f>Hair!AH93</f>
        <v>0.36</v>
      </c>
      <c r="AG39" s="25">
        <f>Hair!AI93</f>
        <v>1.4272</v>
      </c>
      <c r="AI39" s="346"/>
      <c r="AJ39" s="51">
        <f t="shared" si="6"/>
        <v>127.40464470147677</v>
      </c>
      <c r="AK39" s="52">
        <f t="shared" si="7"/>
        <v>74.90969208190667</v>
      </c>
      <c r="AL39" s="52">
        <f t="shared" si="8"/>
        <v>112.09902556312102</v>
      </c>
      <c r="AM39" s="52">
        <f t="shared" si="9"/>
        <v>100.53169906529844</v>
      </c>
      <c r="AN39" s="52">
        <f t="shared" si="10"/>
        <v>43.581287568512636</v>
      </c>
      <c r="AO39" s="52">
        <f t="shared" si="11"/>
        <v>107.50614957557592</v>
      </c>
      <c r="AP39" s="52">
        <f t="shared" si="12"/>
        <v>213.18312772643466</v>
      </c>
      <c r="AQ39" s="52">
        <f t="shared" si="13"/>
        <v>68.682052575774662</v>
      </c>
      <c r="AR39" s="52">
        <f t="shared" si="14"/>
        <v>168.525919700532</v>
      </c>
      <c r="AS39" s="53">
        <f t="shared" si="15"/>
        <v>92.005876924759718</v>
      </c>
    </row>
    <row r="40" spans="1:47">
      <c r="A40" s="278"/>
      <c r="B40" s="31" t="s">
        <v>5</v>
      </c>
      <c r="C40" s="31" t="s">
        <v>5</v>
      </c>
      <c r="D40" s="74">
        <f>Hair!F114</f>
        <v>5.449372380999999</v>
      </c>
      <c r="E40" s="32">
        <f>Hair!G114</f>
        <v>2.1369736320000001</v>
      </c>
      <c r="F40" s="32">
        <f>Hair!H114</f>
        <v>1.408005576000003</v>
      </c>
      <c r="G40" s="32">
        <f>Hair!I114</f>
        <v>1.342539804999999</v>
      </c>
      <c r="H40" s="32">
        <f>Hair!J114</f>
        <v>4.6112263510000018</v>
      </c>
      <c r="I40" s="32">
        <f>Hair!K114</f>
        <v>1.8152840520000015</v>
      </c>
      <c r="J40" s="74">
        <f>Hair!L114</f>
        <v>1.9949193360000017</v>
      </c>
      <c r="K40" s="32">
        <f>Hair!M114</f>
        <v>2.1872521320000025</v>
      </c>
      <c r="L40" s="32">
        <f>Hair!N114</f>
        <v>3.6778469800000004</v>
      </c>
      <c r="M40" s="32">
        <f>Hair!O114</f>
        <v>2.6886611520000008</v>
      </c>
      <c r="N40" s="32">
        <f>Hair!P114</f>
        <v>3.4650441960000018</v>
      </c>
      <c r="O40" s="32">
        <f>Hair!Q114</f>
        <v>3.8296496000000015</v>
      </c>
      <c r="P40" s="32">
        <f>Hair!R114</f>
        <v>3.8221774800000006</v>
      </c>
      <c r="Q40" s="32">
        <f>Hair!S114</f>
        <v>7.0261707639999988</v>
      </c>
      <c r="R40" s="32">
        <f>Hair!T114</f>
        <v>3.3835794959999994</v>
      </c>
      <c r="S40" s="32">
        <f>Hair!U114</f>
        <v>3.4450871279999991</v>
      </c>
      <c r="T40" s="32">
        <f>Hair!V114</f>
        <v>2.1346764760000023</v>
      </c>
      <c r="U40" s="32">
        <f>Hair!W114</f>
        <v>4.203299976000002</v>
      </c>
      <c r="V40" s="74">
        <f>Hair!X114</f>
        <v>4.0164021080000003</v>
      </c>
      <c r="W40" s="32">
        <f>Hair!Y114</f>
        <v>4.5208517360000036</v>
      </c>
      <c r="X40" s="32">
        <f>Hair!Z114</f>
        <v>2.4241248520000021</v>
      </c>
      <c r="Y40" s="32">
        <f>Hair!AA114</f>
        <v>4.2026589599999982</v>
      </c>
      <c r="Z40" s="32">
        <f>Hair!AB114</f>
        <v>6.1902954880000021</v>
      </c>
      <c r="AA40" s="32">
        <f>Hair!AC114</f>
        <v>12.945236183399997</v>
      </c>
      <c r="AB40" s="32">
        <f>Hair!AD114</f>
        <v>6.25</v>
      </c>
      <c r="AC40" s="32">
        <f>Hair!AE114</f>
        <v>5.3900000000000006</v>
      </c>
      <c r="AD40" s="32">
        <f>Hair!AF114</f>
        <v>2.81</v>
      </c>
      <c r="AE40" s="32">
        <f>Hair!AG114</f>
        <v>4.72</v>
      </c>
      <c r="AF40" s="32">
        <f>Hair!AH114</f>
        <v>8.6999999999999993</v>
      </c>
      <c r="AG40" s="33">
        <f>Hair!AI114</f>
        <v>6.3000000000000007</v>
      </c>
      <c r="AI40" s="346"/>
      <c r="AJ40" s="54">
        <f t="shared" si="6"/>
        <v>137.00669459527239</v>
      </c>
      <c r="AK40" s="48">
        <f t="shared" si="7"/>
        <v>150.53205198658131</v>
      </c>
      <c r="AL40" s="48">
        <f t="shared" si="8"/>
        <v>108.44591206800811</v>
      </c>
      <c r="AM40" s="48">
        <f t="shared" si="9"/>
        <v>139.45741690707032</v>
      </c>
      <c r="AN40" s="48">
        <f t="shared" si="10"/>
        <v>233.77101939138615</v>
      </c>
      <c r="AO40" s="48">
        <f t="shared" si="11"/>
        <v>101.53227492426828</v>
      </c>
      <c r="AP40" s="48">
        <f t="shared" si="12"/>
        <v>201.57284922807372</v>
      </c>
      <c r="AQ40" s="48">
        <f t="shared" si="13"/>
        <v>192.22581160067534</v>
      </c>
      <c r="AR40" s="48">
        <f t="shared" si="14"/>
        <v>142.28612263350172</v>
      </c>
      <c r="AS40" s="55">
        <f t="shared" si="15"/>
        <v>163.57440093981523</v>
      </c>
    </row>
    <row r="41" spans="1:47">
      <c r="A41" s="323" t="s">
        <v>731</v>
      </c>
      <c r="B41" s="213" t="s">
        <v>107</v>
      </c>
      <c r="C41" s="213" t="s">
        <v>83</v>
      </c>
      <c r="D41" s="214">
        <f>Fabric!F21</f>
        <v>3.6757135750000014</v>
      </c>
      <c r="E41" s="215">
        <f>Fabric!G21</f>
        <v>7.6111533329999999</v>
      </c>
      <c r="F41" s="215">
        <f>Fabric!H21</f>
        <v>2.6889690169999998</v>
      </c>
      <c r="G41" s="215">
        <f>Fabric!I21</f>
        <v>6.3776531280000013</v>
      </c>
      <c r="H41" s="215">
        <f>Fabric!J21</f>
        <v>3.106331460000002</v>
      </c>
      <c r="I41" s="215">
        <f>Fabric!K21</f>
        <v>3.839455399000002</v>
      </c>
      <c r="J41" s="214">
        <f>Fabric!L21</f>
        <v>6.9030455040000005</v>
      </c>
      <c r="K41" s="215">
        <f>Fabric!M21</f>
        <v>1.5553889159999994</v>
      </c>
      <c r="L41" s="215">
        <f>Fabric!N21</f>
        <v>2.9440610400000011</v>
      </c>
      <c r="M41" s="215">
        <f>Fabric!O21</f>
        <v>6.2957684850000009</v>
      </c>
      <c r="N41" s="215">
        <f>Fabric!P21</f>
        <v>7.4260811530000019</v>
      </c>
      <c r="O41" s="215">
        <f>Fabric!Q21</f>
        <v>5.3516186530000027</v>
      </c>
      <c r="P41" s="215">
        <f>Fabric!R21</f>
        <v>11.320470080000003</v>
      </c>
      <c r="Q41" s="215">
        <f>Fabric!S21</f>
        <v>2.3717442069999994</v>
      </c>
      <c r="R41" s="215">
        <f>Fabric!T21</f>
        <v>3.1632727590000003</v>
      </c>
      <c r="S41" s="215">
        <f>Fabric!U21</f>
        <v>6.1523093210000006</v>
      </c>
      <c r="T41" s="215">
        <f>Fabric!V21</f>
        <v>7.3510939700000062</v>
      </c>
      <c r="U41" s="215">
        <f>Fabric!W21</f>
        <v>2.8897659780000002</v>
      </c>
      <c r="V41" s="214">
        <f>Fabric!X21</f>
        <v>2.5368842999999979</v>
      </c>
      <c r="W41" s="215">
        <f>Fabric!Y21</f>
        <v>4.8875895049999993</v>
      </c>
      <c r="X41" s="215">
        <f>Fabric!Z21</f>
        <v>3.7839630220000022</v>
      </c>
      <c r="Y41" s="215">
        <f>Fabric!AA21</f>
        <v>7.9738948539999992</v>
      </c>
      <c r="Z41" s="215">
        <f>Fabric!AB21</f>
        <v>4.1994232220000001</v>
      </c>
      <c r="AA41" s="215">
        <f>Fabric!AC21</f>
        <v>13.126576694899995</v>
      </c>
      <c r="AB41" s="215">
        <f>Fabric!AD21</f>
        <v>3.0494653914999974</v>
      </c>
      <c r="AC41" s="215">
        <f>Fabric!AE21</f>
        <v>2.82</v>
      </c>
      <c r="AD41" s="215">
        <f>Fabric!AF21</f>
        <v>2.5170614699999994</v>
      </c>
      <c r="AE41" s="215">
        <f>Fabric!AG21</f>
        <v>1.8492560166000001</v>
      </c>
      <c r="AF41" s="215">
        <f>Fabric!AH21</f>
        <v>8.66</v>
      </c>
      <c r="AG41" s="216">
        <f>Fabric!AI21</f>
        <v>6.160000000000001</v>
      </c>
      <c r="AI41" s="346"/>
      <c r="AJ41" s="88">
        <f t="shared" si="6"/>
        <v>30.057916793745033</v>
      </c>
      <c r="AK41" s="89">
        <f t="shared" si="7"/>
        <v>87.398706397735538</v>
      </c>
      <c r="AL41" s="89">
        <f t="shared" si="8"/>
        <v>44.48832350055541</v>
      </c>
      <c r="AM41" s="89">
        <f t="shared" si="9"/>
        <v>98.298103834544293</v>
      </c>
      <c r="AN41" s="89">
        <f t="shared" si="10"/>
        <v>132.64443773363436</v>
      </c>
      <c r="AO41" s="89">
        <f t="shared" si="11"/>
        <v>49.755470361743207</v>
      </c>
      <c r="AP41" s="89">
        <f t="shared" si="12"/>
        <v>101.68415724299318</v>
      </c>
      <c r="AQ41" s="89">
        <f t="shared" si="13"/>
        <v>119.79385425244197</v>
      </c>
      <c r="AR41" s="89">
        <f t="shared" si="14"/>
        <v>75.358783346670677</v>
      </c>
      <c r="AS41" s="90">
        <f t="shared" si="15"/>
        <v>96.609621857670774</v>
      </c>
    </row>
    <row r="42" spans="1:47">
      <c r="A42" s="277"/>
      <c r="B42" s="22" t="s">
        <v>34</v>
      </c>
      <c r="C42" s="22" t="s">
        <v>83</v>
      </c>
      <c r="D42" s="72">
        <f>Fabric!F22</f>
        <v>3.4291200150000014</v>
      </c>
      <c r="E42" s="24">
        <f>Fabric!G22</f>
        <v>6.7302243329999998</v>
      </c>
      <c r="F42" s="24">
        <f>Fabric!H22</f>
        <v>2.2357586169999997</v>
      </c>
      <c r="G42" s="24">
        <f>Fabric!I22</f>
        <v>4.0169941980000017</v>
      </c>
      <c r="H42" s="24">
        <f>Fabric!J22</f>
        <v>2.3349456600000016</v>
      </c>
      <c r="I42" s="24">
        <f>Fabric!K22</f>
        <v>3.285030509000002</v>
      </c>
      <c r="J42" s="72">
        <f>Fabric!L22</f>
        <v>4.1926867040000007</v>
      </c>
      <c r="K42" s="24">
        <f>Fabric!M22</f>
        <v>1.1912665259999993</v>
      </c>
      <c r="L42" s="24">
        <f>Fabric!N22</f>
        <v>2.380363490000001</v>
      </c>
      <c r="M42" s="24">
        <f>Fabric!O22</f>
        <v>3.6695907630000013</v>
      </c>
      <c r="N42" s="24">
        <f>Fabric!P22</f>
        <v>6.2476744750000019</v>
      </c>
      <c r="O42" s="24">
        <f>Fabric!Q22</f>
        <v>3.4666326090000021</v>
      </c>
      <c r="P42" s="24">
        <f>Fabric!R22</f>
        <v>9.5789261640000021</v>
      </c>
      <c r="Q42" s="24">
        <f>Fabric!S22</f>
        <v>1.0793310269999996</v>
      </c>
      <c r="R42" s="24">
        <f>Fabric!T22</f>
        <v>2.1378753889999995</v>
      </c>
      <c r="S42" s="24">
        <f>Fabric!U22</f>
        <v>4.7157838990000007</v>
      </c>
      <c r="T42" s="24">
        <f>Fabric!V22</f>
        <v>4.0969541430000023</v>
      </c>
      <c r="U42" s="24">
        <f>Fabric!W22</f>
        <v>1.9797838739999989</v>
      </c>
      <c r="V42" s="72">
        <f>Fabric!X22</f>
        <v>2.3526138639999985</v>
      </c>
      <c r="W42" s="24">
        <f>Fabric!Y22</f>
        <v>2.9820867829999989</v>
      </c>
      <c r="X42" s="24">
        <f>Fabric!Z22</f>
        <v>2.760358710000002</v>
      </c>
      <c r="Y42" s="24">
        <f>Fabric!AA22</f>
        <v>5.9995286640000023</v>
      </c>
      <c r="Z42" s="24">
        <f>Fabric!AB22</f>
        <v>3.8868755900000003</v>
      </c>
      <c r="AA42" s="24">
        <f>Fabric!AC22</f>
        <v>12.984161908299994</v>
      </c>
      <c r="AB42" s="24">
        <f>Fabric!AD22</f>
        <v>1.33</v>
      </c>
      <c r="AC42" s="24">
        <f>Fabric!AE22</f>
        <v>2.1799999999999997</v>
      </c>
      <c r="AD42" s="24">
        <f>Fabric!AF22</f>
        <v>1.3767291700000008</v>
      </c>
      <c r="AE42" s="24">
        <f>Fabric!AG22</f>
        <v>1.7257408700000001</v>
      </c>
      <c r="AF42" s="24">
        <f>Fabric!AH22</f>
        <v>7.4</v>
      </c>
      <c r="AG42" s="25">
        <f>Fabric!AI22</f>
        <v>2.6</v>
      </c>
      <c r="AI42" s="346"/>
      <c r="AJ42" s="51">
        <f t="shared" si="6"/>
        <v>36.594994744478214</v>
      </c>
      <c r="AK42" s="52">
        <f t="shared" si="7"/>
        <v>97.201159288848416</v>
      </c>
      <c r="AL42" s="52">
        <f t="shared" si="8"/>
        <v>37.759830843925982</v>
      </c>
      <c r="AM42" s="52">
        <f t="shared" si="9"/>
        <v>104.25977776187368</v>
      </c>
      <c r="AN42" s="52">
        <f t="shared" si="10"/>
        <v>170.88120683337721</v>
      </c>
      <c r="AO42" s="52">
        <f t="shared" si="11"/>
        <v>38.189110181914046</v>
      </c>
      <c r="AP42" s="52">
        <f t="shared" si="12"/>
        <v>108.64690348802067</v>
      </c>
      <c r="AQ42" s="52">
        <f t="shared" si="13"/>
        <v>146.42193751721828</v>
      </c>
      <c r="AR42" s="52">
        <f t="shared" si="14"/>
        <v>70.425678763564179</v>
      </c>
      <c r="AS42" s="53">
        <f t="shared" si="15"/>
        <v>106.35097304708312</v>
      </c>
    </row>
    <row r="43" spans="1:47">
      <c r="A43" s="277"/>
      <c r="B43" s="22" t="s">
        <v>34</v>
      </c>
      <c r="C43" s="22" t="s">
        <v>35</v>
      </c>
      <c r="D43" s="72">
        <f>Fabric!F23</f>
        <v>0.72447558100000031</v>
      </c>
      <c r="E43" s="24">
        <f>Fabric!G23</f>
        <v>1.2140413859999999</v>
      </c>
      <c r="F43" s="24">
        <f>Fabric!H23</f>
        <v>0.31423077799999993</v>
      </c>
      <c r="G43" s="24">
        <f>Fabric!I23</f>
        <v>1.3133818830000004</v>
      </c>
      <c r="H43" s="24">
        <f>Fabric!J23</f>
        <v>1.0246358760000005</v>
      </c>
      <c r="I43" s="24">
        <f>Fabric!K23</f>
        <v>0.83862670100000014</v>
      </c>
      <c r="J43" s="72">
        <f>Fabric!L23</f>
        <v>0.69514387199999983</v>
      </c>
      <c r="K43" s="24">
        <f>Fabric!M23</f>
        <v>0.73106664599999993</v>
      </c>
      <c r="L43" s="24">
        <f>Fabric!N23</f>
        <v>0.72902241400000023</v>
      </c>
      <c r="M43" s="24">
        <f>Fabric!O23</f>
        <v>0.51547411200000004</v>
      </c>
      <c r="N43" s="24">
        <f>Fabric!P23</f>
        <v>0.66793910100000009</v>
      </c>
      <c r="O43" s="24">
        <f>Fabric!Q23</f>
        <v>1.3412820000000001</v>
      </c>
      <c r="P43" s="24">
        <f>Fabric!R23</f>
        <v>3.0015810000000016</v>
      </c>
      <c r="Q43" s="24">
        <f>Fabric!S23</f>
        <v>0.192914639</v>
      </c>
      <c r="R43" s="24">
        <f>Fabric!T23</f>
        <v>0.41876664799999985</v>
      </c>
      <c r="S43" s="24">
        <f>Fabric!U23</f>
        <v>1.1661897000000001</v>
      </c>
      <c r="T43" s="24">
        <f>Fabric!V23</f>
        <v>0.48400607700000003</v>
      </c>
      <c r="U43" s="24">
        <f>Fabric!W23</f>
        <v>0.803643</v>
      </c>
      <c r="V43" s="72">
        <f>Fabric!X23</f>
        <v>0.81850086399999933</v>
      </c>
      <c r="W43" s="24">
        <f>Fabric!Y23</f>
        <v>1.2307192829999991</v>
      </c>
      <c r="X43" s="24">
        <f>Fabric!Z23</f>
        <v>0.47738550000000007</v>
      </c>
      <c r="Y43" s="24">
        <f>Fabric!AA23</f>
        <v>3.1383921140000006</v>
      </c>
      <c r="Z43" s="24">
        <f>Fabric!AB23</f>
        <v>0.40378929000000002</v>
      </c>
      <c r="AA43" s="24">
        <f>Fabric!AC23</f>
        <v>1.3032063482999998</v>
      </c>
      <c r="AB43" s="24">
        <f>Fabric!AD23</f>
        <v>0.85</v>
      </c>
      <c r="AC43" s="24">
        <f>Fabric!AE23</f>
        <v>0.96</v>
      </c>
      <c r="AD43" s="24">
        <f>Fabric!AF23</f>
        <v>-0.2239227</v>
      </c>
      <c r="AE43" s="24">
        <f>Fabric!AG23</f>
        <v>0.45251370000000002</v>
      </c>
      <c r="AF43" s="24">
        <f>Fabric!AH23</f>
        <v>1</v>
      </c>
      <c r="AG43" s="25">
        <f>Fabric!AI23</f>
        <v>1</v>
      </c>
      <c r="AI43" s="346"/>
      <c r="AJ43" s="51">
        <f t="shared" si="6"/>
        <v>38.802752245196473</v>
      </c>
      <c r="AK43" s="52">
        <f t="shared" si="7"/>
        <v>99.484155071272255</v>
      </c>
      <c r="AL43" s="52">
        <f t="shared" si="8"/>
        <v>42.653237349070992</v>
      </c>
      <c r="AM43" s="52">
        <f t="shared" si="9"/>
        <v>117.2312101159003</v>
      </c>
      <c r="AN43" s="52">
        <f t="shared" si="10"/>
        <v>191.91971083679476</v>
      </c>
      <c r="AO43" s="52">
        <f t="shared" si="11"/>
        <v>43.895991323588063</v>
      </c>
      <c r="AP43" s="52">
        <f t="shared" si="12"/>
        <v>99.945999834527839</v>
      </c>
      <c r="AQ43" s="52">
        <f t="shared" si="13"/>
        <v>157.52364504092185</v>
      </c>
      <c r="AR43" s="52">
        <f t="shared" si="14"/>
        <v>66.565414971633629</v>
      </c>
      <c r="AS43" s="53">
        <f t="shared" si="15"/>
        <v>106.17431270908159</v>
      </c>
    </row>
    <row r="44" spans="1:47">
      <c r="A44" s="277"/>
      <c r="B44" s="22" t="s">
        <v>34</v>
      </c>
      <c r="C44" s="22" t="s">
        <v>36</v>
      </c>
      <c r="D44" s="72">
        <f>Fabric!F24</f>
        <v>2.7046444340000013</v>
      </c>
      <c r="E44" s="24">
        <f>Fabric!G24</f>
        <v>5.5161829469999999</v>
      </c>
      <c r="F44" s="24">
        <f>Fabric!H24</f>
        <v>1.9215278389999999</v>
      </c>
      <c r="G44" s="24">
        <f>Fabric!I24</f>
        <v>2.7036123150000013</v>
      </c>
      <c r="H44" s="24">
        <f>Fabric!J24</f>
        <v>1.3103097840000009</v>
      </c>
      <c r="I44" s="24">
        <f>Fabric!K24</f>
        <v>2.4464038080000017</v>
      </c>
      <c r="J44" s="72">
        <f>Fabric!L24</f>
        <v>3.4975428320000006</v>
      </c>
      <c r="K44" s="24">
        <f>Fabric!M24</f>
        <v>0.46019987999999939</v>
      </c>
      <c r="L44" s="24">
        <f>Fabric!N24</f>
        <v>1.6513410760000009</v>
      </c>
      <c r="M44" s="24">
        <f>Fabric!O24</f>
        <v>3.1541166510000012</v>
      </c>
      <c r="N44" s="24">
        <f>Fabric!P24</f>
        <v>5.579735374000002</v>
      </c>
      <c r="O44" s="24">
        <f>Fabric!Q24</f>
        <v>2.1253506090000021</v>
      </c>
      <c r="P44" s="24">
        <f>Fabric!R24</f>
        <v>6.5773451640000005</v>
      </c>
      <c r="Q44" s="24">
        <f>Fabric!S24</f>
        <v>0.88641638799999967</v>
      </c>
      <c r="R44" s="24">
        <f>Fabric!T24</f>
        <v>1.7191087409999997</v>
      </c>
      <c r="S44" s="24">
        <f>Fabric!U24</f>
        <v>3.5495941990000004</v>
      </c>
      <c r="T44" s="24">
        <f>Fabric!V24</f>
        <v>3.6129480660000022</v>
      </c>
      <c r="U44" s="24">
        <f>Fabric!W24</f>
        <v>1.1761408739999988</v>
      </c>
      <c r="V44" s="72">
        <f>Fabric!X24</f>
        <v>1.5341129999999994</v>
      </c>
      <c r="W44" s="24">
        <f>Fabric!Y24</f>
        <v>1.7513674999999995</v>
      </c>
      <c r="X44" s="24">
        <f>Fabric!Z24</f>
        <v>2.282973210000002</v>
      </c>
      <c r="Y44" s="24">
        <f>Fabric!AA24</f>
        <v>2.8611365500000017</v>
      </c>
      <c r="Z44" s="24">
        <f>Fabric!AB24</f>
        <v>3.4830863000000001</v>
      </c>
      <c r="AA44" s="24">
        <f>Fabric!AC24</f>
        <v>11.680955559999994</v>
      </c>
      <c r="AB44" s="24">
        <f>Fabric!AD24</f>
        <v>0.48</v>
      </c>
      <c r="AC44" s="24">
        <f>Fabric!AE24</f>
        <v>1.22</v>
      </c>
      <c r="AD44" s="24">
        <f>Fabric!AF24</f>
        <v>1.6006518700000008</v>
      </c>
      <c r="AE44" s="24">
        <f>Fabric!AG24</f>
        <v>1.2732271700000002</v>
      </c>
      <c r="AF44" s="24">
        <f>Fabric!AH24</f>
        <v>6.4</v>
      </c>
      <c r="AG44" s="25">
        <f>Fabric!AI24</f>
        <v>1.6</v>
      </c>
      <c r="AI44" s="346"/>
      <c r="AJ44" s="51">
        <f t="shared" si="6"/>
        <v>35.869654349747826</v>
      </c>
      <c r="AK44" s="52">
        <f t="shared" si="7"/>
        <v>96.461598686132987</v>
      </c>
      <c r="AL44" s="52">
        <f t="shared" si="8"/>
        <v>35.922967174766818</v>
      </c>
      <c r="AM44" s="52">
        <f t="shared" si="9"/>
        <v>99.275637884266871</v>
      </c>
      <c r="AN44" s="52">
        <f t="shared" si="10"/>
        <v>165.98988910625377</v>
      </c>
      <c r="AO44" s="52">
        <f t="shared" si="11"/>
        <v>35.943574990012117</v>
      </c>
      <c r="AP44" s="52">
        <f t="shared" si="12"/>
        <v>111.20733352523182</v>
      </c>
      <c r="AQ44" s="52">
        <f t="shared" si="13"/>
        <v>143.26707415339359</v>
      </c>
      <c r="AR44" s="52">
        <f t="shared" si="14"/>
        <v>71.762353085863083</v>
      </c>
      <c r="AS44" s="53">
        <f t="shared" si="15"/>
        <v>106.40683014499027</v>
      </c>
    </row>
    <row r="45" spans="1:47">
      <c r="A45" s="277"/>
      <c r="B45" s="22" t="s">
        <v>38</v>
      </c>
      <c r="C45" s="22" t="s">
        <v>38</v>
      </c>
      <c r="D45" s="72">
        <f>Fabric!F25</f>
        <v>0.24659355999999999</v>
      </c>
      <c r="E45" s="24">
        <f>Fabric!G25</f>
        <v>0.88092899999999996</v>
      </c>
      <c r="F45" s="24">
        <f>Fabric!H25</f>
        <v>0.26162000000000002</v>
      </c>
      <c r="G45" s="24">
        <f>Fabric!I25</f>
        <v>2.2034949299999997</v>
      </c>
      <c r="H45" s="24">
        <f>Fabric!J25</f>
        <v>0.66698400000000002</v>
      </c>
      <c r="I45" s="24">
        <f>Fabric!K25</f>
        <v>0.47621709000000007</v>
      </c>
      <c r="J45" s="72">
        <f>Fabric!L25</f>
        <v>2.6415059999999997</v>
      </c>
      <c r="K45" s="24">
        <f>Fabric!M25</f>
        <v>0.21369399000000006</v>
      </c>
      <c r="L45" s="24">
        <f>Fabric!N25</f>
        <v>0.45742474999999999</v>
      </c>
      <c r="M45" s="24">
        <f>Fabric!O25</f>
        <v>2.5154145219999999</v>
      </c>
      <c r="N45" s="24">
        <f>Fabric!P25</f>
        <v>1.1327542780000004</v>
      </c>
      <c r="O45" s="24">
        <f>Fabric!Q25</f>
        <v>1.8689414440000005</v>
      </c>
      <c r="P45" s="24">
        <f>Fabric!R25</f>
        <v>0.9692935159999998</v>
      </c>
      <c r="Q45" s="24">
        <f>Fabric!S25</f>
        <v>1.29428418</v>
      </c>
      <c r="R45" s="24">
        <f>Fabric!T25</f>
        <v>1.0301884700000008</v>
      </c>
      <c r="S45" s="24">
        <f>Fabric!U25</f>
        <v>0.25911582200000005</v>
      </c>
      <c r="T45" s="24">
        <f>Fabric!V25</f>
        <v>2.2686036270000036</v>
      </c>
      <c r="U45" s="24">
        <f>Fabric!W25</f>
        <v>0.99205670400000112</v>
      </c>
      <c r="V45" s="72">
        <f>Fabric!X25</f>
        <v>0.16898593599999931</v>
      </c>
      <c r="W45" s="24">
        <f>Fabric!Y25</f>
        <v>0.52896162200000074</v>
      </c>
      <c r="X45" s="24">
        <f>Fabric!Z25</f>
        <v>1.0182681120000006</v>
      </c>
      <c r="Y45" s="24">
        <f>Fabric!AA25</f>
        <v>1.9510297899999973</v>
      </c>
      <c r="Z45" s="24">
        <f>Fabric!AB25</f>
        <v>0.35115443200000002</v>
      </c>
      <c r="AA45" s="24">
        <f>Fabric!AC25</f>
        <v>0.18617268660000041</v>
      </c>
      <c r="AB45" s="24">
        <f>Fabric!AD25</f>
        <v>1.6718644914999974</v>
      </c>
      <c r="AC45" s="24">
        <f>Fabric!AE25</f>
        <v>0.73</v>
      </c>
      <c r="AD45" s="24">
        <f>Fabric!AF25</f>
        <v>1.1597410499999987</v>
      </c>
      <c r="AE45" s="24">
        <f>Fabric!AG25</f>
        <v>9.2720696599999999E-2</v>
      </c>
      <c r="AF45" s="24">
        <f>Fabric!AH25</f>
        <v>1.0599999999999998</v>
      </c>
      <c r="AG45" s="25">
        <f>Fabric!AI25</f>
        <v>3.3600000000000003</v>
      </c>
      <c r="AI45" s="346"/>
      <c r="AJ45" s="51">
        <f t="shared" si="6"/>
        <v>35.78349476474655</v>
      </c>
      <c r="AK45" s="52">
        <f t="shared" si="7"/>
        <v>63.467188191888738</v>
      </c>
      <c r="AL45" s="52">
        <f t="shared" si="8"/>
        <v>102.85526652567205</v>
      </c>
      <c r="AM45" s="52">
        <f t="shared" si="9"/>
        <v>51.808333412374409</v>
      </c>
      <c r="AN45" s="52">
        <f t="shared" si="10"/>
        <v>45.102540977972119</v>
      </c>
      <c r="AO45" s="52">
        <f t="shared" si="11"/>
        <v>108.13170583463926</v>
      </c>
      <c r="AP45" s="52">
        <f t="shared" si="12"/>
        <v>128.21044579081203</v>
      </c>
      <c r="AQ45" s="52">
        <f t="shared" si="13"/>
        <v>47.618332670447437</v>
      </c>
      <c r="AR45" s="52">
        <f t="shared" si="14"/>
        <v>118.50408877015724</v>
      </c>
      <c r="AS45" s="53">
        <f t="shared" si="15"/>
        <v>78.493135286588554</v>
      </c>
    </row>
    <row r="46" spans="1:47">
      <c r="A46" s="278"/>
      <c r="B46" s="31" t="s">
        <v>37</v>
      </c>
      <c r="C46" s="31" t="s">
        <v>37</v>
      </c>
      <c r="D46" s="74">
        <f>Fabric!F26</f>
        <v>0</v>
      </c>
      <c r="E46" s="32">
        <f>Fabric!G26</f>
        <v>0</v>
      </c>
      <c r="F46" s="32">
        <f>Fabric!H26</f>
        <v>0.19159040000000002</v>
      </c>
      <c r="G46" s="32">
        <f>Fabric!I26</f>
        <v>0.157164</v>
      </c>
      <c r="H46" s="32">
        <f>Fabric!J26</f>
        <v>0.10440180000000009</v>
      </c>
      <c r="I46" s="32">
        <f>Fabric!K26</f>
        <v>7.8207800000000022E-2</v>
      </c>
      <c r="J46" s="74">
        <f>Fabric!L26</f>
        <v>6.8852799999999992E-2</v>
      </c>
      <c r="K46" s="32">
        <f>Fabric!M26</f>
        <v>0.15042840000000002</v>
      </c>
      <c r="L46" s="32">
        <f>Fabric!N26</f>
        <v>0.10627280000000004</v>
      </c>
      <c r="M46" s="32">
        <f>Fabric!O26</f>
        <v>0.11076320000000003</v>
      </c>
      <c r="N46" s="32">
        <f>Fabric!P26</f>
        <v>4.5652399999999996E-2</v>
      </c>
      <c r="O46" s="32">
        <f>Fabric!Q26</f>
        <v>1.6044599999999996E-2</v>
      </c>
      <c r="P46" s="32">
        <f>Fabric!R26</f>
        <v>0.77225040000000011</v>
      </c>
      <c r="Q46" s="32">
        <f>Fabric!S26</f>
        <v>-1.8710000000000001E-3</v>
      </c>
      <c r="R46" s="32">
        <f>Fabric!T26</f>
        <v>-4.7910999999999995E-3</v>
      </c>
      <c r="S46" s="32">
        <f>Fabric!U26</f>
        <v>1.1774096000000003</v>
      </c>
      <c r="T46" s="32">
        <f>Fabric!V26</f>
        <v>0.98553620000000008</v>
      </c>
      <c r="U46" s="32">
        <f>Fabric!W26</f>
        <v>-8.2074599999999998E-2</v>
      </c>
      <c r="V46" s="74">
        <f>Fabric!X26</f>
        <v>1.5284499999999999E-2</v>
      </c>
      <c r="W46" s="32">
        <f>Fabric!Y26</f>
        <v>1.3765410999999999</v>
      </c>
      <c r="X46" s="32">
        <f>Fabric!Z26</f>
        <v>5.3361999999999993E-3</v>
      </c>
      <c r="Y46" s="32">
        <f>Fabric!AA26</f>
        <v>2.3336399999999997E-2</v>
      </c>
      <c r="Z46" s="32">
        <f>Fabric!AB26</f>
        <v>-3.860679999999999E-2</v>
      </c>
      <c r="AA46" s="32">
        <f>Fabric!AC26</f>
        <v>-4.3757900000000002E-2</v>
      </c>
      <c r="AB46" s="32">
        <f>Fabric!AD26</f>
        <v>4.7600900000000008E-2</v>
      </c>
      <c r="AC46" s="32">
        <f>Fabric!AE26</f>
        <v>-0.09</v>
      </c>
      <c r="AD46" s="32">
        <f>Fabric!AF26</f>
        <v>-1.9408750000000016E-2</v>
      </c>
      <c r="AE46" s="32">
        <f>Fabric!AG26</f>
        <v>3.0794450000000001E-2</v>
      </c>
      <c r="AF46" s="32">
        <f>Fabric!AH26</f>
        <v>0.2</v>
      </c>
      <c r="AG46" s="33">
        <f>Fabric!AI26</f>
        <v>0.2</v>
      </c>
      <c r="AI46" s="346"/>
      <c r="AJ46" s="54">
        <f t="shared" si="6"/>
        <v>2.615440709843031</v>
      </c>
      <c r="AK46" s="48">
        <f t="shared" si="7"/>
        <v>53.548284336648699</v>
      </c>
      <c r="AL46" s="48">
        <f t="shared" si="8"/>
        <v>-1.5961623015650195</v>
      </c>
      <c r="AM46" s="48">
        <f t="shared" si="9"/>
        <v>429.16437825982763</v>
      </c>
      <c r="AN46" s="48">
        <f t="shared" si="10"/>
        <v>-34.227201406469419</v>
      </c>
      <c r="AO46" s="48">
        <f t="shared" si="11"/>
        <v>-8.0732490295371537</v>
      </c>
      <c r="AP46" s="48">
        <f t="shared" si="12"/>
        <v>20.702600430050644</v>
      </c>
      <c r="AQ46" s="48">
        <f t="shared" si="13"/>
        <v>268.69384447270772</v>
      </c>
      <c r="AR46" s="48">
        <f t="shared" si="14"/>
        <v>12.963001932751897</v>
      </c>
      <c r="AS46" s="55">
        <f t="shared" si="15"/>
        <v>51.043011640366601</v>
      </c>
    </row>
    <row r="47" spans="1:47">
      <c r="A47" s="323" t="s">
        <v>731</v>
      </c>
      <c r="B47" s="213" t="s">
        <v>115</v>
      </c>
      <c r="C47" s="213" t="s">
        <v>83</v>
      </c>
      <c r="D47" s="214">
        <f>Oral!F4</f>
        <v>4.559064523</v>
      </c>
      <c r="E47" s="215">
        <f>Oral!G4</f>
        <v>4.5141284559999999</v>
      </c>
      <c r="F47" s="215">
        <f>Oral!H4</f>
        <v>5.7120866660000003</v>
      </c>
      <c r="G47" s="215">
        <f>Oral!I4</f>
        <v>5.9887367000000014</v>
      </c>
      <c r="H47" s="215">
        <f>Oral!J4</f>
        <v>6.9970306009999996</v>
      </c>
      <c r="I47" s="215">
        <f>Oral!K4</f>
        <v>5.3289377799999995</v>
      </c>
      <c r="J47" s="214">
        <f>Oral!L4</f>
        <v>4.105261979999999</v>
      </c>
      <c r="K47" s="215">
        <f>Oral!M4</f>
        <v>8.005606577</v>
      </c>
      <c r="L47" s="215">
        <f>Oral!N4</f>
        <v>6.0325522689999982</v>
      </c>
      <c r="M47" s="215">
        <f>Oral!O4</f>
        <v>5.8481566560000005</v>
      </c>
      <c r="N47" s="215">
        <f>Oral!P4</f>
        <v>6.2623130189999987</v>
      </c>
      <c r="O47" s="215">
        <f>Oral!Q4</f>
        <v>5.7286786239999996</v>
      </c>
      <c r="P47" s="215">
        <f>Oral!R4</f>
        <v>9.5947391440000018</v>
      </c>
      <c r="Q47" s="215">
        <f>Oral!S4</f>
        <v>8.1956247770000026</v>
      </c>
      <c r="R47" s="215">
        <f>Oral!T4</f>
        <v>3.127488219</v>
      </c>
      <c r="S47" s="215">
        <f>Oral!U4</f>
        <v>5.9309880379999989</v>
      </c>
      <c r="T47" s="215">
        <f>Oral!V4</f>
        <v>5.9021361399999988</v>
      </c>
      <c r="U47" s="215">
        <f>Oral!W4</f>
        <v>6.9117568719999998</v>
      </c>
      <c r="V47" s="214">
        <f>Oral!X4</f>
        <v>5.5192560310000003</v>
      </c>
      <c r="W47" s="215">
        <f>Oral!Y4</f>
        <v>7.054476376000002</v>
      </c>
      <c r="X47" s="215">
        <f>Oral!Z4</f>
        <v>4.8596346989999999</v>
      </c>
      <c r="Y47" s="215">
        <f>Oral!AA4</f>
        <v>12.122520032999997</v>
      </c>
      <c r="Z47" s="215">
        <f>Oral!AB4</f>
        <v>5.1846085550000005</v>
      </c>
      <c r="AA47" s="215">
        <f>Oral!AC4</f>
        <v>6.8866760252000008</v>
      </c>
      <c r="AB47" s="215">
        <f>Oral!AD4</f>
        <v>5.5481780776000003</v>
      </c>
      <c r="AC47" s="215">
        <f>Oral!AE4</f>
        <v>7.92</v>
      </c>
      <c r="AD47" s="215">
        <f>Oral!AF4</f>
        <v>4.1500000000000004</v>
      </c>
      <c r="AE47" s="215">
        <f>Oral!AG4</f>
        <v>3.26</v>
      </c>
      <c r="AF47" s="215">
        <f>Oral!AH4</f>
        <v>6.8900000000000006</v>
      </c>
      <c r="AG47" s="216">
        <f>Oral!AI4</f>
        <v>7.0780000000000003</v>
      </c>
      <c r="AI47" s="346"/>
      <c r="AJ47" s="88">
        <f t="shared" si="6"/>
        <v>54.965546703400726</v>
      </c>
      <c r="AK47" s="89">
        <f t="shared" si="7"/>
        <v>99.481056513267774</v>
      </c>
      <c r="AL47" s="89">
        <f t="shared" si="8"/>
        <v>77.761936602042198</v>
      </c>
      <c r="AM47" s="89">
        <f t="shared" si="9"/>
        <v>96.08643966973159</v>
      </c>
      <c r="AN47" s="89">
        <f t="shared" si="10"/>
        <v>135.6219714511607</v>
      </c>
      <c r="AO47" s="89">
        <f t="shared" si="11"/>
        <v>84.225559869551674</v>
      </c>
      <c r="AP47" s="89">
        <f t="shared" si="12"/>
        <v>91.90775846507708</v>
      </c>
      <c r="AQ47" s="89">
        <f t="shared" si="13"/>
        <v>115.68704717717961</v>
      </c>
      <c r="AR47" s="89">
        <f t="shared" si="14"/>
        <v>87.856219869349857</v>
      </c>
      <c r="AS47" s="90">
        <f t="shared" si="15"/>
        <v>101.09464495012776</v>
      </c>
    </row>
    <row r="48" spans="1:47">
      <c r="A48" s="277"/>
      <c r="B48" s="22" t="s">
        <v>732</v>
      </c>
      <c r="C48" s="22" t="s">
        <v>720</v>
      </c>
      <c r="D48" s="72">
        <f>Oral!F18</f>
        <v>1.3878042830000001</v>
      </c>
      <c r="E48" s="24">
        <f>Oral!G18</f>
        <v>1.7917228560000003</v>
      </c>
      <c r="F48" s="24">
        <f>Oral!H18</f>
        <v>1.8312673760000002</v>
      </c>
      <c r="G48" s="24">
        <f>Oral!I18</f>
        <v>0.90258873999999989</v>
      </c>
      <c r="H48" s="24">
        <f>Oral!J18</f>
        <v>2.0635398410000008</v>
      </c>
      <c r="I48" s="24">
        <f>Oral!K18</f>
        <v>1.324091510000001</v>
      </c>
      <c r="J48" s="72">
        <f>Oral!L18</f>
        <v>0.74359435200000001</v>
      </c>
      <c r="K48" s="24">
        <f>Oral!M18</f>
        <v>1.8697203710000001</v>
      </c>
      <c r="L48" s="24">
        <f>Oral!N18</f>
        <v>1.7290604769999993</v>
      </c>
      <c r="M48" s="24">
        <f>Oral!O18</f>
        <v>1.7433296879999998</v>
      </c>
      <c r="N48" s="24">
        <f>Oral!P18</f>
        <v>1.5225032189999994</v>
      </c>
      <c r="O48" s="24">
        <f>Oral!Q18</f>
        <v>1.12670761</v>
      </c>
      <c r="P48" s="24">
        <f>Oral!R18</f>
        <v>2.0177789279999998</v>
      </c>
      <c r="Q48" s="24">
        <f>Oral!S18</f>
        <v>2.1499002010000003</v>
      </c>
      <c r="R48" s="24">
        <f>Oral!T18</f>
        <v>1.1978574230000003</v>
      </c>
      <c r="S48" s="24">
        <f>Oral!U18</f>
        <v>1.798007414</v>
      </c>
      <c r="T48" s="24">
        <f>Oral!V18</f>
        <v>1.0044519400000003</v>
      </c>
      <c r="U48" s="24">
        <f>Oral!W18</f>
        <v>1.834877884</v>
      </c>
      <c r="V48" s="72">
        <f>Oral!X18</f>
        <v>1.3403713030000011</v>
      </c>
      <c r="W48" s="24">
        <f>Oral!Y18</f>
        <v>1.5250609600000007</v>
      </c>
      <c r="X48" s="24">
        <f>Oral!Z18</f>
        <v>1.5699266390000002</v>
      </c>
      <c r="Y48" s="24">
        <f>Oral!AA18</f>
        <v>2.2978512150000006</v>
      </c>
      <c r="Z48" s="24">
        <f>Oral!AB18</f>
        <v>0.40980831099999998</v>
      </c>
      <c r="AA48" s="24">
        <f>Oral!AC18</f>
        <v>0.94476232770000024</v>
      </c>
      <c r="AB48" s="24">
        <f>Oral!AD18</f>
        <v>1.2964618411</v>
      </c>
      <c r="AC48" s="24">
        <f>Oral!AE18</f>
        <v>1.81</v>
      </c>
      <c r="AD48" s="24">
        <f>Oral!AF18</f>
        <v>0.41</v>
      </c>
      <c r="AE48" s="24">
        <f>Oral!AG18</f>
        <v>0.78</v>
      </c>
      <c r="AF48" s="24">
        <f>Oral!AH18</f>
        <v>1.1400000000000001</v>
      </c>
      <c r="AG48" s="25">
        <f>Oral!AI18</f>
        <v>1.34</v>
      </c>
      <c r="AI48" s="346"/>
      <c r="AJ48" s="51">
        <f t="shared" si="6"/>
        <v>43.381356157188797</v>
      </c>
      <c r="AK48" s="52">
        <f t="shared" si="7"/>
        <v>77.895864402777946</v>
      </c>
      <c r="AL48" s="52">
        <f t="shared" si="8"/>
        <v>59.976763756767603</v>
      </c>
      <c r="AM48" s="52">
        <f t="shared" si="9"/>
        <v>102.14130971455444</v>
      </c>
      <c r="AN48" s="52">
        <f t="shared" si="10"/>
        <v>83.150555801691695</v>
      </c>
      <c r="AO48" s="52">
        <f t="shared" si="11"/>
        <v>65.537934687803798</v>
      </c>
      <c r="AP48" s="52">
        <f t="shared" si="12"/>
        <v>70.298963234469852</v>
      </c>
      <c r="AQ48" s="52">
        <f t="shared" si="13"/>
        <v>92.591400051628042</v>
      </c>
      <c r="AR48" s="52">
        <f t="shared" si="14"/>
        <v>67.74514987757334</v>
      </c>
      <c r="AS48" s="53">
        <f t="shared" si="15"/>
        <v>79.327620748685788</v>
      </c>
    </row>
    <row r="49" spans="1:45">
      <c r="A49" s="277"/>
      <c r="B49" s="22" t="s">
        <v>732</v>
      </c>
      <c r="C49" s="22" t="s">
        <v>721</v>
      </c>
      <c r="D49" s="72">
        <f>Oral!F39</f>
        <v>1.5188343399999997</v>
      </c>
      <c r="E49" s="24">
        <f>Oral!G39</f>
        <v>1.5182172</v>
      </c>
      <c r="F49" s="24">
        <f>Oral!H39</f>
        <v>2.0127038900000001</v>
      </c>
      <c r="G49" s="24">
        <f>Oral!I39</f>
        <v>1.6214050599999996</v>
      </c>
      <c r="H49" s="24">
        <f>Oral!J39</f>
        <v>2.8187883599999997</v>
      </c>
      <c r="I49" s="24">
        <f>Oral!K39</f>
        <v>1.7130940499999991</v>
      </c>
      <c r="J49" s="72">
        <f>Oral!L39</f>
        <v>1.9384248599999991</v>
      </c>
      <c r="K49" s="24">
        <f>Oral!M39</f>
        <v>2.0311902299999991</v>
      </c>
      <c r="L49" s="24">
        <f>Oral!N39</f>
        <v>1.8503959199999995</v>
      </c>
      <c r="M49" s="24">
        <f>Oral!O39</f>
        <v>2.6570652000000008</v>
      </c>
      <c r="N49" s="24">
        <f>Oral!P39</f>
        <v>1.6558299199999991</v>
      </c>
      <c r="O49" s="24">
        <f>Oral!Q39</f>
        <v>2.6858887499999997</v>
      </c>
      <c r="P49" s="24">
        <f>Oral!R39</f>
        <v>4.6341908400000014</v>
      </c>
      <c r="Q49" s="24">
        <f>Oral!S39</f>
        <v>4.9243830000000015</v>
      </c>
      <c r="R49" s="24">
        <f>Oral!T39</f>
        <v>0.83163944000000012</v>
      </c>
      <c r="S49" s="24">
        <f>Oral!U39</f>
        <v>1.9159702799999998</v>
      </c>
      <c r="T49" s="24">
        <f>Oral!V39</f>
        <v>2.9841947999999983</v>
      </c>
      <c r="U49" s="24">
        <f>Oral!W39</f>
        <v>3.0033273399999998</v>
      </c>
      <c r="V49" s="72">
        <f>Oral!X39</f>
        <v>1.2288178799999998</v>
      </c>
      <c r="W49" s="24">
        <f>Oral!Y39</f>
        <v>2.6440239400000003</v>
      </c>
      <c r="X49" s="24">
        <f>Oral!Z39</f>
        <v>2.3163120199999998</v>
      </c>
      <c r="Y49" s="24">
        <f>Oral!AA39</f>
        <v>3.494541149999999</v>
      </c>
      <c r="Z49" s="24">
        <f>Oral!AB39</f>
        <v>1.5923750399999999</v>
      </c>
      <c r="AA49" s="24">
        <f>Oral!AC39</f>
        <v>4.3028929800000002</v>
      </c>
      <c r="AB49" s="24">
        <f>Oral!AD39</f>
        <v>2.99</v>
      </c>
      <c r="AC49" s="24">
        <f>Oral!AE39</f>
        <v>3.26</v>
      </c>
      <c r="AD49" s="24">
        <f>Oral!AF39</f>
        <v>2.41</v>
      </c>
      <c r="AE49" s="24">
        <f>Oral!AG39</f>
        <v>1.4</v>
      </c>
      <c r="AF49" s="24">
        <f>Oral!AH39</f>
        <v>2.2000000000000002</v>
      </c>
      <c r="AG49" s="25">
        <f>Oral!AI39</f>
        <v>2.2000000000000002</v>
      </c>
      <c r="AI49" s="346"/>
      <c r="AJ49" s="51">
        <f t="shared" si="6"/>
        <v>73.070026952610149</v>
      </c>
      <c r="AK49" s="52">
        <f t="shared" si="7"/>
        <v>102.04571148678761</v>
      </c>
      <c r="AL49" s="52">
        <f t="shared" si="8"/>
        <v>81.747521081182356</v>
      </c>
      <c r="AM49" s="52">
        <f t="shared" si="9"/>
        <v>106.34264831055708</v>
      </c>
      <c r="AN49" s="52">
        <f t="shared" si="10"/>
        <v>134.1634395976854</v>
      </c>
      <c r="AO49" s="52">
        <f t="shared" si="11"/>
        <v>83.347663485113728</v>
      </c>
      <c r="AP49" s="52">
        <f t="shared" si="12"/>
        <v>73.385279466112308</v>
      </c>
      <c r="AQ49" s="52">
        <f t="shared" si="13"/>
        <v>121.53219671457916</v>
      </c>
      <c r="AR49" s="52">
        <f t="shared" si="14"/>
        <v>79.043580546941897</v>
      </c>
      <c r="AS49" s="53">
        <f t="shared" si="15"/>
        <v>96.549497629611594</v>
      </c>
    </row>
    <row r="50" spans="1:45">
      <c r="A50" s="278"/>
      <c r="B50" s="31" t="s">
        <v>723</v>
      </c>
      <c r="C50" s="31" t="s">
        <v>720</v>
      </c>
      <c r="D50" s="74">
        <f>Oral!F60</f>
        <v>1.6524259000000003</v>
      </c>
      <c r="E50" s="32">
        <f>Oral!G60</f>
        <v>1.2041884</v>
      </c>
      <c r="F50" s="32">
        <f>Oral!H60</f>
        <v>1.8681153999999995</v>
      </c>
      <c r="G50" s="32">
        <f>Oral!I60</f>
        <v>3.4647429000000018</v>
      </c>
      <c r="H50" s="32">
        <f>Oral!J60</f>
        <v>2.1147023999999996</v>
      </c>
      <c r="I50" s="32">
        <f>Oral!K60</f>
        <v>2.2917522199999993</v>
      </c>
      <c r="J50" s="74">
        <f>Oral!L60</f>
        <v>1.4232427679999999</v>
      </c>
      <c r="K50" s="32">
        <f>Oral!M60</f>
        <v>4.1046959760000004</v>
      </c>
      <c r="L50" s="32">
        <f>Oral!N60</f>
        <v>2.4530958719999996</v>
      </c>
      <c r="M50" s="32">
        <f>Oral!O60</f>
        <v>1.4477617679999999</v>
      </c>
      <c r="N50" s="32">
        <f>Oral!P60</f>
        <v>3.0839798799999998</v>
      </c>
      <c r="O50" s="32">
        <f>Oral!Q60</f>
        <v>1.9160822640000001</v>
      </c>
      <c r="P50" s="32">
        <f>Oral!R60</f>
        <v>2.9427693760000002</v>
      </c>
      <c r="Q50" s="32">
        <f>Oral!S60</f>
        <v>1.1213415760000001</v>
      </c>
      <c r="R50" s="32">
        <f>Oral!T60</f>
        <v>1.0979913559999999</v>
      </c>
      <c r="S50" s="32">
        <f>Oral!U60</f>
        <v>2.2170103439999997</v>
      </c>
      <c r="T50" s="32">
        <f>Oral!V60</f>
        <v>1.9134894000000005</v>
      </c>
      <c r="U50" s="32">
        <f>Oral!W60</f>
        <v>2.0735516480000005</v>
      </c>
      <c r="V50" s="74">
        <f>Oral!X60</f>
        <v>2.9500668479999996</v>
      </c>
      <c r="W50" s="32">
        <f>Oral!Y60</f>
        <v>2.8853914760000001</v>
      </c>
      <c r="X50" s="32">
        <f>Oral!Z60</f>
        <v>0.97339604000000013</v>
      </c>
      <c r="Y50" s="32">
        <f>Oral!AA60</f>
        <v>6.3301276679999976</v>
      </c>
      <c r="Z50" s="32">
        <f>Oral!AB60</f>
        <v>3.1824252040000007</v>
      </c>
      <c r="AA50" s="32">
        <f>Oral!AC60</f>
        <v>1.6390207175</v>
      </c>
      <c r="AB50" s="32">
        <f>Oral!AD60</f>
        <v>1.2617162365000001</v>
      </c>
      <c r="AC50" s="32">
        <f>Oral!AE60</f>
        <v>2.85</v>
      </c>
      <c r="AD50" s="32">
        <f>Oral!AF60</f>
        <v>1.33</v>
      </c>
      <c r="AE50" s="32">
        <f>Oral!AG60</f>
        <v>1.08</v>
      </c>
      <c r="AF50" s="32">
        <f>Oral!AH60</f>
        <v>3.55</v>
      </c>
      <c r="AG50" s="33">
        <f>Oral!AI60</f>
        <v>3.5380000000000003</v>
      </c>
      <c r="AI50" s="346"/>
      <c r="AJ50" s="54">
        <f t="shared" si="6"/>
        <v>48.714251736481756</v>
      </c>
      <c r="AK50" s="48">
        <f t="shared" si="7"/>
        <v>112.26236493036306</v>
      </c>
      <c r="AL50" s="48">
        <f t="shared" si="8"/>
        <v>88.380765331348954</v>
      </c>
      <c r="AM50" s="48">
        <f t="shared" si="9"/>
        <v>85.312928606398103</v>
      </c>
      <c r="AN50" s="48">
        <f t="shared" si="10"/>
        <v>172.95096363822657</v>
      </c>
      <c r="AO50" s="48">
        <f t="shared" si="11"/>
        <v>105.41666770274327</v>
      </c>
      <c r="AP50" s="48">
        <f t="shared" si="12"/>
        <v>131.65590489035071</v>
      </c>
      <c r="AQ50" s="48">
        <f t="shared" si="13"/>
        <v>124.47573672336445</v>
      </c>
      <c r="AR50" s="48">
        <f t="shared" si="14"/>
        <v>119.73897763233661</v>
      </c>
      <c r="AS50" s="55">
        <f t="shared" si="15"/>
        <v>122.38856066806282</v>
      </c>
    </row>
    <row r="51" spans="1:45">
      <c r="A51" s="323" t="s">
        <v>731</v>
      </c>
      <c r="B51" s="213" t="s">
        <v>126</v>
      </c>
      <c r="C51" s="213" t="s">
        <v>83</v>
      </c>
      <c r="D51" s="214">
        <f>Fem!F21</f>
        <v>2.1701545039999957</v>
      </c>
      <c r="E51" s="215">
        <f>Fem!G21</f>
        <v>2.747500103999998</v>
      </c>
      <c r="F51" s="215">
        <f>Fem!H21</f>
        <v>2.692099535999998</v>
      </c>
      <c r="G51" s="215">
        <f>Fem!I21</f>
        <v>2.6318458919999972</v>
      </c>
      <c r="H51" s="215">
        <f>Fem!J21</f>
        <v>3.5084110079999942</v>
      </c>
      <c r="I51" s="215">
        <f>Fem!K21</f>
        <v>3.3302431579999903</v>
      </c>
      <c r="J51" s="214">
        <f>Fem!L21</f>
        <v>2.2927104479999914</v>
      </c>
      <c r="K51" s="215">
        <f>Fem!M21</f>
        <v>2.6062901619999925</v>
      </c>
      <c r="L51" s="215">
        <f>Fem!N21</f>
        <v>2.1807679839999952</v>
      </c>
      <c r="M51" s="215">
        <f>Fem!O21</f>
        <v>2.9698954039999932</v>
      </c>
      <c r="N51" s="215">
        <f>Fem!P21</f>
        <v>3.1237166679999913</v>
      </c>
      <c r="O51" s="215">
        <f>Fem!Q21</f>
        <v>2.7153060159999951</v>
      </c>
      <c r="P51" s="215">
        <f>Fem!R21</f>
        <v>6.0089560950000003</v>
      </c>
      <c r="Q51" s="215">
        <f>Fem!S21</f>
        <v>2.4458270039999976</v>
      </c>
      <c r="R51" s="215">
        <f>Fem!T21</f>
        <v>2.3217877169999936</v>
      </c>
      <c r="S51" s="215">
        <f>Fem!U21</f>
        <v>2.7676525799999974</v>
      </c>
      <c r="T51" s="215">
        <f>Fem!V21</f>
        <v>4.9131874989999966</v>
      </c>
      <c r="U51" s="215">
        <f>Fem!W21</f>
        <v>3.8123476929999955</v>
      </c>
      <c r="V51" s="214">
        <f>Fem!X21</f>
        <v>1.4414439559999972</v>
      </c>
      <c r="W51" s="215">
        <f>Fem!Y21</f>
        <v>2.4374859379999969</v>
      </c>
      <c r="X51" s="215">
        <f>Fem!Z21</f>
        <v>1.7195319779999974</v>
      </c>
      <c r="Y51" s="215">
        <f>Fem!AA21</f>
        <v>3.7005075179999967</v>
      </c>
      <c r="Z51" s="215">
        <f>Fem!AB21</f>
        <v>2.7971299719999987</v>
      </c>
      <c r="AA51" s="215">
        <f>Fem!AC21</f>
        <v>5.8033477803999975</v>
      </c>
      <c r="AB51" s="215">
        <f>Fem!AD21</f>
        <v>4.7595904362000008</v>
      </c>
      <c r="AC51" s="215">
        <f>Fem!AE21</f>
        <v>3.53</v>
      </c>
      <c r="AD51" s="215">
        <f>Fem!AF21</f>
        <v>2.8499204229999986</v>
      </c>
      <c r="AE51" s="215">
        <f>Fem!AG21</f>
        <v>1.7278985660999988</v>
      </c>
      <c r="AF51" s="215">
        <f>Fem!AH21</f>
        <v>5.839999999999999</v>
      </c>
      <c r="AG51" s="216">
        <f>Fem!AI21</f>
        <v>2.8400000000000003</v>
      </c>
      <c r="AI51" s="346"/>
      <c r="AJ51" s="88">
        <f t="shared" si="6"/>
        <v>62.431917162810969</v>
      </c>
      <c r="AK51" s="89">
        <f t="shared" si="7"/>
        <v>104.53215970206466</v>
      </c>
      <c r="AL51" s="89">
        <f t="shared" si="8"/>
        <v>95.002932608894554</v>
      </c>
      <c r="AM51" s="89">
        <f t="shared" si="9"/>
        <v>79.076904812180189</v>
      </c>
      <c r="AN51" s="89">
        <f t="shared" si="10"/>
        <v>139.64240724586949</v>
      </c>
      <c r="AO51" s="89">
        <f t="shared" si="11"/>
        <v>103.36786209079747</v>
      </c>
      <c r="AP51" s="89">
        <f t="shared" si="12"/>
        <v>90.557108894157267</v>
      </c>
      <c r="AQ51" s="89">
        <f t="shared" si="13"/>
        <v>112.6552968199567</v>
      </c>
      <c r="AR51" s="89">
        <f t="shared" si="14"/>
        <v>96.756367340734357</v>
      </c>
      <c r="AS51" s="90">
        <f t="shared" si="15"/>
        <v>103.37647744446494</v>
      </c>
    </row>
    <row r="52" spans="1:45">
      <c r="A52" s="277"/>
      <c r="B52" s="22" t="s">
        <v>733</v>
      </c>
      <c r="C52" s="22" t="s">
        <v>20</v>
      </c>
      <c r="D52" s="72">
        <f>Fem!F22</f>
        <v>1.0843047799999999</v>
      </c>
      <c r="E52" s="24">
        <f>Fem!G22</f>
        <v>1.1560025999999992</v>
      </c>
      <c r="F52" s="24">
        <f>Fem!H22</f>
        <v>1.14278992</v>
      </c>
      <c r="G52" s="24">
        <f>Fem!I22</f>
        <v>1.6412704399999996</v>
      </c>
      <c r="H52" s="24">
        <f>Fem!J22</f>
        <v>0.49694164000000024</v>
      </c>
      <c r="I52" s="24">
        <f>Fem!K22</f>
        <v>0.8547858600000009</v>
      </c>
      <c r="J52" s="72">
        <f>Fem!L22</f>
        <v>1.3937515199999995</v>
      </c>
      <c r="K52" s="24">
        <f>Fem!M22</f>
        <v>1.2668039</v>
      </c>
      <c r="L52" s="24">
        <f>Fem!N22</f>
        <v>0.76237256000000087</v>
      </c>
      <c r="M52" s="24">
        <f>Fem!O22</f>
        <v>1.4323213199999996</v>
      </c>
      <c r="N52" s="24">
        <f>Fem!P22</f>
        <v>1.6854240200000004</v>
      </c>
      <c r="O52" s="24">
        <f>Fem!Q22</f>
        <v>1.6024711800000009</v>
      </c>
      <c r="P52" s="24">
        <f>Fem!R22</f>
        <v>0.89094456000000033</v>
      </c>
      <c r="Q52" s="24">
        <f>Fem!S22</f>
        <v>1.3476997199999996</v>
      </c>
      <c r="R52" s="24">
        <f>Fem!T22</f>
        <v>1.4488788200000011</v>
      </c>
      <c r="S52" s="24">
        <f>Fem!U22</f>
        <v>1.670571419999999</v>
      </c>
      <c r="T52" s="24">
        <f>Fem!V22</f>
        <v>0.16430694000000007</v>
      </c>
      <c r="U52" s="24">
        <f>Fem!W22</f>
        <v>0.73120706000000057</v>
      </c>
      <c r="V52" s="72">
        <f>Fem!X22</f>
        <v>0.68542144000000071</v>
      </c>
      <c r="W52" s="24">
        <f>Fem!Y22</f>
        <v>1.30781934</v>
      </c>
      <c r="X52" s="24">
        <f>Fem!Z22</f>
        <v>0.46431066000000043</v>
      </c>
      <c r="Y52" s="24">
        <f>Fem!AA22</f>
        <v>1.9636240799999998</v>
      </c>
      <c r="Z52" s="24">
        <f>Fem!AB22</f>
        <v>1.8833342999999998</v>
      </c>
      <c r="AA52" s="24">
        <f>Fem!AC22</f>
        <v>2.2299153999999985</v>
      </c>
      <c r="AB52" s="24">
        <f>Fem!AD22</f>
        <v>1.8861586799999996</v>
      </c>
      <c r="AC52" s="24">
        <f>Fem!AE22</f>
        <v>0.89</v>
      </c>
      <c r="AD52" s="24">
        <f>Fem!AF22</f>
        <v>1.3535270199999998</v>
      </c>
      <c r="AE52" s="24">
        <f>Fem!AG22</f>
        <v>0.91608102000000047</v>
      </c>
      <c r="AF52" s="24">
        <f>Fem!AH22</f>
        <v>1.1000000000000001</v>
      </c>
      <c r="AG52" s="25">
        <f>Fem!AI22</f>
        <v>0.8</v>
      </c>
      <c r="AI52" s="346"/>
      <c r="AJ52" s="51">
        <f t="shared" si="6"/>
        <v>54.836387659499231</v>
      </c>
      <c r="AK52" s="52">
        <f t="shared" si="7"/>
        <v>100.58478277351463</v>
      </c>
      <c r="AL52" s="52">
        <f t="shared" si="8"/>
        <v>94.170916566809652</v>
      </c>
      <c r="AM52" s="52">
        <f t="shared" si="9"/>
        <v>71.796761555000671</v>
      </c>
      <c r="AN52" s="52">
        <f t="shared" si="10"/>
        <v>128.74142010756736</v>
      </c>
      <c r="AO52" s="52">
        <f t="shared" si="11"/>
        <v>111.99077505439894</v>
      </c>
      <c r="AP52" s="52">
        <f t="shared" si="12"/>
        <v>109.74229454918148</v>
      </c>
      <c r="AQ52" s="52">
        <f t="shared" si="13"/>
        <v>104.80503225750198</v>
      </c>
      <c r="AR52" s="52">
        <f t="shared" si="14"/>
        <v>111.06814086277339</v>
      </c>
      <c r="AS52" s="53">
        <f t="shared" si="15"/>
        <v>107.52557829181954</v>
      </c>
    </row>
    <row r="53" spans="1:45">
      <c r="A53" s="277"/>
      <c r="B53" s="22" t="s">
        <v>733</v>
      </c>
      <c r="C53" s="22" t="s">
        <v>47</v>
      </c>
      <c r="D53" s="72">
        <f>Fem!F23</f>
        <v>0.38953375000000001</v>
      </c>
      <c r="E53" s="24">
        <f>Fem!G23</f>
        <v>0.91339619999999988</v>
      </c>
      <c r="F53" s="24">
        <f>Fem!H23</f>
        <v>0.60677347999999975</v>
      </c>
      <c r="G53" s="24">
        <f>Fem!I23</f>
        <v>0.42603404999999994</v>
      </c>
      <c r="H53" s="24">
        <f>Fem!J23</f>
        <v>2.1492638999999998</v>
      </c>
      <c r="I53" s="24">
        <f>Fem!K23</f>
        <v>1.7092751000000004</v>
      </c>
      <c r="J53" s="72">
        <f>Fem!L23</f>
        <v>0.40071599999999996</v>
      </c>
      <c r="K53" s="24">
        <f>Fem!M23</f>
        <v>0.52819139999999987</v>
      </c>
      <c r="L53" s="24">
        <f>Fem!N23</f>
        <v>0.46884809999999982</v>
      </c>
      <c r="M53" s="24">
        <f>Fem!O23</f>
        <v>0.47232360000000001</v>
      </c>
      <c r="N53" s="24">
        <f>Fem!P23</f>
        <v>0.74191744999999987</v>
      </c>
      <c r="O53" s="24">
        <f>Fem!Q23</f>
        <v>0.77579065000000014</v>
      </c>
      <c r="P53" s="24">
        <f>Fem!R23</f>
        <v>0.56206559999999994</v>
      </c>
      <c r="Q53" s="24">
        <f>Fem!S23</f>
        <v>0.79781135000000003</v>
      </c>
      <c r="R53" s="24">
        <f>Fem!T23</f>
        <v>0.4767534499999998</v>
      </c>
      <c r="S53" s="24">
        <f>Fem!U23</f>
        <v>0.79175649999999997</v>
      </c>
      <c r="T53" s="24">
        <f>Fem!V23</f>
        <v>4.1182495000000001</v>
      </c>
      <c r="U53" s="24">
        <f>Fem!W23</f>
        <v>2.2276931999999996</v>
      </c>
      <c r="V53" s="72">
        <f>Fem!X23</f>
        <v>0.45257619999999998</v>
      </c>
      <c r="W53" s="24">
        <f>Fem!Y23</f>
        <v>0.64193040000000035</v>
      </c>
      <c r="X53" s="24">
        <f>Fem!Z23</f>
        <v>0.80641200000000024</v>
      </c>
      <c r="Y53" s="24">
        <f>Fem!AA23</f>
        <v>1.0528501000000008</v>
      </c>
      <c r="Z53" s="24">
        <f>Fem!AB23</f>
        <v>0.64439619999999997</v>
      </c>
      <c r="AA53" s="24">
        <f>Fem!AC23</f>
        <v>3.0175174159999987</v>
      </c>
      <c r="AB53" s="24">
        <f>Fem!AD23</f>
        <v>1.869703794199999</v>
      </c>
      <c r="AC53" s="24">
        <f>Fem!AE23</f>
        <v>1.72</v>
      </c>
      <c r="AD53" s="24">
        <f>Fem!AF23</f>
        <v>1.0519821189999998</v>
      </c>
      <c r="AE53" s="24">
        <f>Fem!AG23</f>
        <v>0.37923712310000013</v>
      </c>
      <c r="AF53" s="24">
        <f>Fem!AH23</f>
        <v>4</v>
      </c>
      <c r="AG53" s="25">
        <f>Fem!AI23</f>
        <v>1.4000000000000001</v>
      </c>
      <c r="AI53" s="346"/>
      <c r="AJ53" s="51">
        <f t="shared" si="6"/>
        <v>47.898201416723467</v>
      </c>
      <c r="AK53" s="52">
        <f t="shared" si="7"/>
        <v>193.42201802803544</v>
      </c>
      <c r="AL53" s="52">
        <f t="shared" si="8"/>
        <v>191.02678666904023</v>
      </c>
      <c r="AM53" s="52">
        <f t="shared" si="9"/>
        <v>135.99793383034452</v>
      </c>
      <c r="AN53" s="52">
        <f t="shared" si="10"/>
        <v>236.91902576225291</v>
      </c>
      <c r="AO53" s="52">
        <f t="shared" si="11"/>
        <v>252.72836130775138</v>
      </c>
      <c r="AP53" s="52">
        <f t="shared" si="12"/>
        <v>80.967787534392045</v>
      </c>
      <c r="AQ53" s="52">
        <f t="shared" si="13"/>
        <v>195.28033862339404</v>
      </c>
      <c r="AR53" s="52">
        <f t="shared" si="14"/>
        <v>116.1192367650504</v>
      </c>
      <c r="AS53" s="53">
        <f t="shared" si="15"/>
        <v>137.8130107321102</v>
      </c>
    </row>
    <row r="54" spans="1:45">
      <c r="A54" s="277"/>
      <c r="B54" s="22" t="s">
        <v>733</v>
      </c>
      <c r="C54" s="22" t="s">
        <v>124</v>
      </c>
      <c r="D54" s="72">
        <f>Fem!F24</f>
        <v>0.39235617000000012</v>
      </c>
      <c r="E54" s="24">
        <f>Fem!G24</f>
        <v>0.26844035999999999</v>
      </c>
      <c r="F54" s="24">
        <f>Fem!H24</f>
        <v>0.49669392000000018</v>
      </c>
      <c r="G54" s="24">
        <f>Fem!I24</f>
        <v>0.27968682000000011</v>
      </c>
      <c r="H54" s="24">
        <f>Fem!J24</f>
        <v>0.44865926000000034</v>
      </c>
      <c r="I54" s="24">
        <f>Fem!K24</f>
        <v>0.4019171000000003</v>
      </c>
      <c r="J54" s="72">
        <f>Fem!L24</f>
        <v>0.15011195999999991</v>
      </c>
      <c r="K54" s="24">
        <f>Fem!M24</f>
        <v>0.3642650600000002</v>
      </c>
      <c r="L54" s="24">
        <f>Fem!N24</f>
        <v>0.57624712</v>
      </c>
      <c r="M54" s="24">
        <f>Fem!O24</f>
        <v>0.63820596000000018</v>
      </c>
      <c r="N54" s="24">
        <f>Fem!P24</f>
        <v>0.25219253999999985</v>
      </c>
      <c r="O54" s="24">
        <f>Fem!Q24</f>
        <v>4.1531999999999999E-2</v>
      </c>
      <c r="P54" s="24">
        <f>Fem!R24</f>
        <v>4.2363586950000061</v>
      </c>
      <c r="Q54" s="24">
        <f>Fem!S24</f>
        <v>0.16163410000000009</v>
      </c>
      <c r="R54" s="24">
        <f>Fem!T24</f>
        <v>0.22265096100000004</v>
      </c>
      <c r="S54" s="24">
        <f>Fem!U24</f>
        <v>0.123771672</v>
      </c>
      <c r="T54" s="24">
        <f>Fem!V24</f>
        <v>0.53071593900000036</v>
      </c>
      <c r="U54" s="24">
        <f>Fem!W24</f>
        <v>0.55035946500000021</v>
      </c>
      <c r="V54" s="72">
        <f>Fem!X24</f>
        <v>0.18973065600000011</v>
      </c>
      <c r="W54" s="24">
        <f>Fem!Y24</f>
        <v>0.27485534400000017</v>
      </c>
      <c r="X54" s="24">
        <f>Fem!Z24</f>
        <v>0.37073693400000024</v>
      </c>
      <c r="Y54" s="24">
        <f>Fem!AA24</f>
        <v>0.52703303399999957</v>
      </c>
      <c r="Z54" s="24">
        <f>Fem!AB24</f>
        <v>0.23414097600000011</v>
      </c>
      <c r="AA54" s="24">
        <f>Fem!AC24</f>
        <v>0.49313765839999946</v>
      </c>
      <c r="AB54" s="24">
        <f>Fem!AD24</f>
        <v>0.91414640440000083</v>
      </c>
      <c r="AC54" s="24">
        <f>Fem!AE24</f>
        <v>0.78</v>
      </c>
      <c r="AD54" s="24">
        <f>Fem!AF24</f>
        <v>0.3338364840000001</v>
      </c>
      <c r="AE54" s="24">
        <f>Fem!AG24</f>
        <v>0.33058263099999985</v>
      </c>
      <c r="AF54" s="24">
        <f>Fem!AH24</f>
        <v>0.64</v>
      </c>
      <c r="AG54" s="25">
        <f>Fem!AI24</f>
        <v>0.54</v>
      </c>
      <c r="AI54" s="346"/>
      <c r="AJ54" s="51">
        <f t="shared" si="6"/>
        <v>267.09070472926942</v>
      </c>
      <c r="AK54" s="52">
        <f t="shared" si="7"/>
        <v>65.734000255666515</v>
      </c>
      <c r="AL54" s="52">
        <f t="shared" si="8"/>
        <v>49.712457840021976</v>
      </c>
      <c r="AM54" s="52">
        <f t="shared" si="9"/>
        <v>76.591274973979623</v>
      </c>
      <c r="AN54" s="52">
        <f t="shared" si="10"/>
        <v>134.59283373599203</v>
      </c>
      <c r="AO54" s="52">
        <f t="shared" si="11"/>
        <v>43.889617886395627</v>
      </c>
      <c r="AP54" s="52">
        <f t="shared" si="12"/>
        <v>125.37546557485268</v>
      </c>
      <c r="AQ54" s="52">
        <f t="shared" si="13"/>
        <v>103.31659580776515</v>
      </c>
      <c r="AR54" s="52">
        <f t="shared" si="14"/>
        <v>60.742787542678897</v>
      </c>
      <c r="AS54" s="53">
        <f t="shared" si="15"/>
        <v>71.714672677166604</v>
      </c>
    </row>
    <row r="55" spans="1:45">
      <c r="A55" s="277"/>
      <c r="B55" s="22" t="s">
        <v>733</v>
      </c>
      <c r="C55" s="22" t="s">
        <v>125</v>
      </c>
      <c r="D55" s="72">
        <f>Fem!F25</f>
        <v>0.10088125999999997</v>
      </c>
      <c r="E55" s="24">
        <f>Fem!G25</f>
        <v>0.11520684000000003</v>
      </c>
      <c r="F55" s="24">
        <f>Fem!H25</f>
        <v>0.13017227999999997</v>
      </c>
      <c r="G55" s="24">
        <f>Fem!I25</f>
        <v>5.5459160000000007E-2</v>
      </c>
      <c r="H55" s="24">
        <f>Fem!J25</f>
        <v>8.8713600000000017E-2</v>
      </c>
      <c r="I55" s="24">
        <f>Fem!K25</f>
        <v>9.9279850000000003E-2</v>
      </c>
      <c r="J55" s="72">
        <f>Fem!L25</f>
        <v>0.12221147999999997</v>
      </c>
      <c r="K55" s="24">
        <f>Fem!M25</f>
        <v>0.10529347999999999</v>
      </c>
      <c r="L55" s="24">
        <f>Fem!N25</f>
        <v>0.12380471999999999</v>
      </c>
      <c r="M55" s="24">
        <f>Fem!O25</f>
        <v>0.15526416000000007</v>
      </c>
      <c r="N55" s="24">
        <f>Fem!P25</f>
        <v>0.12629389000000002</v>
      </c>
      <c r="O55" s="24">
        <f>Fem!Q25</f>
        <v>0.17210745000000016</v>
      </c>
      <c r="P55" s="24">
        <f>Fem!R25</f>
        <v>9.9221640000000014E-2</v>
      </c>
      <c r="Q55" s="24">
        <f>Fem!S25</f>
        <v>9.9391780000000027E-2</v>
      </c>
      <c r="R55" s="24">
        <f>Fem!T25</f>
        <v>8.6151090000000027E-2</v>
      </c>
      <c r="S55" s="24">
        <f>Fem!U25</f>
        <v>7.2601199999999991E-2</v>
      </c>
      <c r="T55" s="24">
        <f>Fem!V25</f>
        <v>5.679683E-2</v>
      </c>
      <c r="U55" s="24">
        <f>Fem!W25</f>
        <v>0.18716234000000001</v>
      </c>
      <c r="V55" s="72">
        <f>Fem!X25</f>
        <v>4.2096840000000003E-2</v>
      </c>
      <c r="W55" s="24">
        <f>Fem!Y25</f>
        <v>7.3679890000000012E-2</v>
      </c>
      <c r="X55" s="24">
        <f>Fem!Z25</f>
        <v>0</v>
      </c>
      <c r="Y55" s="24">
        <f>Fem!AA25</f>
        <v>-2.3122340000000005E-2</v>
      </c>
      <c r="Z55" s="24">
        <f>Fem!AB25</f>
        <v>0</v>
      </c>
      <c r="AA55" s="24">
        <f>Fem!AC25</f>
        <v>-4.1738950000000004E-2</v>
      </c>
      <c r="AB55" s="24">
        <f>Fem!AD25</f>
        <v>-6.6340000000000008E-4</v>
      </c>
      <c r="AC55" s="24">
        <f>Fem!AE25</f>
        <v>0</v>
      </c>
      <c r="AD55" s="24">
        <f>Fem!AF25</f>
        <v>-1.3268000000000001E-4</v>
      </c>
      <c r="AE55" s="24">
        <f>Fem!AG25</f>
        <v>0</v>
      </c>
      <c r="AF55" s="24">
        <f>Fem!AH25</f>
        <v>0</v>
      </c>
      <c r="AG55" s="25">
        <f>Fem!AI25</f>
        <v>0</v>
      </c>
      <c r="AI55" s="346"/>
      <c r="AJ55" s="51">
        <f t="shared" si="6"/>
        <v>0</v>
      </c>
      <c r="AK55" s="52">
        <f t="shared" si="7"/>
        <v>4.311932964863689</v>
      </c>
      <c r="AL55" s="52">
        <f t="shared" si="8"/>
        <v>-0.22276339831261371</v>
      </c>
      <c r="AM55" s="52">
        <f t="shared" si="9"/>
        <v>32.955747191480754</v>
      </c>
      <c r="AN55" s="52">
        <f t="shared" si="10"/>
        <v>-14.297161675287185</v>
      </c>
      <c r="AO55" s="52">
        <f t="shared" si="11"/>
        <v>-0.27955730859860306</v>
      </c>
      <c r="AP55" s="52">
        <f t="shared" si="12"/>
        <v>0</v>
      </c>
      <c r="AQ55" s="52">
        <f t="shared" si="13"/>
        <v>6.3250943960781498</v>
      </c>
      <c r="AR55" s="52">
        <f t="shared" si="14"/>
        <v>-0.13238767037212898</v>
      </c>
      <c r="AS55" s="53">
        <f t="shared" si="15"/>
        <v>3.5639165086859199</v>
      </c>
    </row>
    <row r="56" spans="1:45">
      <c r="A56" s="278"/>
      <c r="B56" s="31" t="s">
        <v>733</v>
      </c>
      <c r="C56" s="31" t="s">
        <v>734</v>
      </c>
      <c r="D56" s="74">
        <f>Fem!F26</f>
        <v>0.20307854399999586</v>
      </c>
      <c r="E56" s="32">
        <f>Fem!G26</f>
        <v>0.294454103999999</v>
      </c>
      <c r="F56" s="32">
        <f>Fem!H26</f>
        <v>0.31566993599999799</v>
      </c>
      <c r="G56" s="32">
        <f>Fem!I26</f>
        <v>0.22939542199999732</v>
      </c>
      <c r="H56" s="32">
        <f>Fem!J26</f>
        <v>0.32483260799999381</v>
      </c>
      <c r="I56" s="32">
        <f>Fem!K26</f>
        <v>0.26498524799998902</v>
      </c>
      <c r="J56" s="74">
        <f>Fem!L26</f>
        <v>0.22591948799999226</v>
      </c>
      <c r="K56" s="32">
        <f>Fem!M26</f>
        <v>0.34173632199999249</v>
      </c>
      <c r="L56" s="32">
        <f>Fem!N26</f>
        <v>0.24949548399999436</v>
      </c>
      <c r="M56" s="32">
        <f>Fem!O26</f>
        <v>0.27178036399999339</v>
      </c>
      <c r="N56" s="32">
        <f>Fem!P26</f>
        <v>0.31788876799999161</v>
      </c>
      <c r="O56" s="32">
        <f>Fem!Q26</f>
        <v>0.12340473599999405</v>
      </c>
      <c r="P56" s="32">
        <f>Fem!R26</f>
        <v>0.22036559999999372</v>
      </c>
      <c r="Q56" s="32">
        <f>Fem!S26</f>
        <v>3.9290053999998235E-2</v>
      </c>
      <c r="R56" s="32">
        <f>Fem!T26</f>
        <v>8.7353395999993158E-2</v>
      </c>
      <c r="S56" s="32">
        <f>Fem!U26</f>
        <v>0.10895178799999848</v>
      </c>
      <c r="T56" s="32">
        <f>Fem!V26</f>
        <v>4.3118289999995799E-2</v>
      </c>
      <c r="U56" s="32">
        <f>Fem!W26</f>
        <v>0.11592562799999541</v>
      </c>
      <c r="V56" s="74">
        <f>Fem!X26</f>
        <v>7.1618819999996503E-2</v>
      </c>
      <c r="W56" s="32">
        <f>Fem!Y26</f>
        <v>0.13920096399999601</v>
      </c>
      <c r="X56" s="32">
        <f>Fem!Z26</f>
        <v>7.807238399999665E-2</v>
      </c>
      <c r="Y56" s="32">
        <f>Fem!AA26</f>
        <v>0.18012264399999686</v>
      </c>
      <c r="Z56" s="32">
        <f>Fem!AB26</f>
        <v>3.5258495999999015E-2</v>
      </c>
      <c r="AA56" s="32">
        <f>Fem!AC26</f>
        <v>0.10451625600000079</v>
      </c>
      <c r="AB56" s="32">
        <f>Fem!AD26</f>
        <v>9.0244957599999995E-2</v>
      </c>
      <c r="AC56" s="32">
        <f>Fem!AE26</f>
        <v>0.14000000000000001</v>
      </c>
      <c r="AD56" s="32">
        <f>Fem!AF26</f>
        <v>0.11070747999999958</v>
      </c>
      <c r="AE56" s="32">
        <f>Fem!AG26</f>
        <v>0.10199779199999807</v>
      </c>
      <c r="AF56" s="32">
        <f>Fem!AH26</f>
        <v>0.1</v>
      </c>
      <c r="AG56" s="33">
        <f>Fem!AI26</f>
        <v>0.1</v>
      </c>
      <c r="AI56" s="346"/>
      <c r="AJ56" s="54">
        <f t="shared" si="6"/>
        <v>93.617364039954538</v>
      </c>
      <c r="AK56" s="48">
        <f t="shared" si="7"/>
        <v>52.95273421522527</v>
      </c>
      <c r="AL56" s="48">
        <f t="shared" si="8"/>
        <v>97.146551344835814</v>
      </c>
      <c r="AM56" s="48">
        <f t="shared" si="9"/>
        <v>35.3535716239099</v>
      </c>
      <c r="AN56" s="48">
        <f t="shared" si="10"/>
        <v>44.861747198399101</v>
      </c>
      <c r="AO56" s="48">
        <f t="shared" si="11"/>
        <v>98.254624079693087</v>
      </c>
      <c r="AP56" s="48">
        <f t="shared" si="12"/>
        <v>112.6875488072222</v>
      </c>
      <c r="AQ56" s="48">
        <f t="shared" si="13"/>
        <v>39.784312735017132</v>
      </c>
      <c r="AR56" s="48">
        <f t="shared" si="14"/>
        <v>104.54394430732239</v>
      </c>
      <c r="AS56" s="55">
        <f t="shared" si="15"/>
        <v>58.349913130384692</v>
      </c>
    </row>
    <row r="57" spans="1:45">
      <c r="A57" s="323" t="s">
        <v>731</v>
      </c>
      <c r="B57" s="213" t="s">
        <v>113</v>
      </c>
      <c r="C57" s="213" t="s">
        <v>83</v>
      </c>
      <c r="D57" s="214">
        <f>Home!F21</f>
        <v>3.9299089449999993</v>
      </c>
      <c r="E57" s="215">
        <f>Home!G21</f>
        <v>0.98839566000000034</v>
      </c>
      <c r="F57" s="215">
        <f>Home!H21</f>
        <v>1.496203490000001</v>
      </c>
      <c r="G57" s="215">
        <f>Home!I21</f>
        <v>1.0852884249999997</v>
      </c>
      <c r="H57" s="215">
        <f>Home!J21</f>
        <v>0.71868227499999993</v>
      </c>
      <c r="I57" s="215">
        <f>Home!K21</f>
        <v>3.4134017299999981</v>
      </c>
      <c r="J57" s="214">
        <f>Home!L21</f>
        <v>2.1291529799999998</v>
      </c>
      <c r="K57" s="215">
        <f>Home!M21</f>
        <v>3.0237710900000017</v>
      </c>
      <c r="L57" s="215">
        <f>Home!N21</f>
        <v>3.3876486299999988</v>
      </c>
      <c r="M57" s="215">
        <f>Home!O21</f>
        <v>1.8241687800000006</v>
      </c>
      <c r="N57" s="215">
        <f>Home!P21</f>
        <v>1.9765602200000005</v>
      </c>
      <c r="O57" s="215">
        <f>Home!Q21</f>
        <v>3.9905987099999995</v>
      </c>
      <c r="P57" s="215">
        <f>Home!R21</f>
        <v>2.6160256200000003</v>
      </c>
      <c r="Q57" s="215">
        <f>Home!S21</f>
        <v>1.9840283700000003</v>
      </c>
      <c r="R57" s="215">
        <f>Home!T21</f>
        <v>4.3909874999999932E-2</v>
      </c>
      <c r="S57" s="215">
        <f>Home!U21</f>
        <v>2.2526376899999994</v>
      </c>
      <c r="T57" s="215">
        <f>Home!V21</f>
        <v>2.5057308799999993</v>
      </c>
      <c r="U57" s="215">
        <f>Home!W21</f>
        <v>1.3886581600000003</v>
      </c>
      <c r="V57" s="214">
        <f>Home!X21</f>
        <v>1.828058339999999</v>
      </c>
      <c r="W57" s="215">
        <f>Home!Y21</f>
        <v>2.6883828350000005</v>
      </c>
      <c r="X57" s="215">
        <f>Home!Z21</f>
        <v>2.7948273850000001</v>
      </c>
      <c r="Y57" s="215">
        <f>Home!AA21</f>
        <v>1.4373993099999998</v>
      </c>
      <c r="Z57" s="215">
        <f>Home!AB21</f>
        <v>1.9749061050000001</v>
      </c>
      <c r="AA57" s="215">
        <f>Home!AC21</f>
        <v>2.1749703349999989</v>
      </c>
      <c r="AB57" s="215">
        <f>Home!AD21</f>
        <v>0.93499125999999999</v>
      </c>
      <c r="AC57" s="215">
        <f>Home!AE21</f>
        <v>0.47</v>
      </c>
      <c r="AD57" s="215">
        <f>Home!AF21</f>
        <v>1.55</v>
      </c>
      <c r="AE57" s="215">
        <f>Home!AG21</f>
        <v>1</v>
      </c>
      <c r="AF57" s="215">
        <f>Home!AH21</f>
        <v>2.2684799999999998</v>
      </c>
      <c r="AG57" s="216">
        <f>Home!AI21</f>
        <v>2.477328</v>
      </c>
      <c r="AI57" s="346"/>
      <c r="AJ57" s="88">
        <f t="shared" si="6"/>
        <v>44.39240293453495</v>
      </c>
      <c r="AK57" s="89">
        <f t="shared" si="7"/>
        <v>72.555413153178762</v>
      </c>
      <c r="AL57" s="89">
        <f t="shared" si="8"/>
        <v>57.34695891098206</v>
      </c>
      <c r="AM57" s="89">
        <f t="shared" si="9"/>
        <v>85.606303193227305</v>
      </c>
      <c r="AN57" s="89">
        <f t="shared" si="10"/>
        <v>71.711471497070391</v>
      </c>
      <c r="AO57" s="89">
        <f t="shared" si="11"/>
        <v>63.630797867976071</v>
      </c>
      <c r="AP57" s="89">
        <f t="shared" si="12"/>
        <v>93.472962659461245</v>
      </c>
      <c r="AQ57" s="89">
        <f t="shared" si="13"/>
        <v>78.977608154542978</v>
      </c>
      <c r="AR57" s="89">
        <f t="shared" si="14"/>
        <v>80.630218175072002</v>
      </c>
      <c r="AS57" s="90">
        <f t="shared" si="15"/>
        <v>79.63510809381728</v>
      </c>
    </row>
    <row r="58" spans="1:45">
      <c r="A58" s="277"/>
      <c r="B58" s="22" t="s">
        <v>40</v>
      </c>
      <c r="C58" s="22" t="s">
        <v>735</v>
      </c>
      <c r="D58" s="72">
        <f>Home!F22</f>
        <v>1.7808550249999988</v>
      </c>
      <c r="E58" s="24">
        <f>Home!G22</f>
        <v>0.2077929</v>
      </c>
      <c r="F58" s="24">
        <f>Home!H22</f>
        <v>0.19561594999999998</v>
      </c>
      <c r="G58" s="24">
        <f>Home!I22</f>
        <v>0.26599197499999988</v>
      </c>
      <c r="H58" s="24">
        <f>Home!J22</f>
        <v>0.42963847500000008</v>
      </c>
      <c r="I58" s="24">
        <f>Home!K22</f>
        <v>2.9812842499999981</v>
      </c>
      <c r="J58" s="72">
        <f>Home!L22</f>
        <v>1.9245692999999999</v>
      </c>
      <c r="K58" s="24">
        <f>Home!M22</f>
        <v>0.59354275000000023</v>
      </c>
      <c r="L58" s="24">
        <f>Home!N22</f>
        <v>2.3250981999999989</v>
      </c>
      <c r="M58" s="24">
        <f>Home!O22</f>
        <v>1.0600779000000005</v>
      </c>
      <c r="N58" s="24">
        <f>Home!P22</f>
        <v>0.11665829999999999</v>
      </c>
      <c r="O58" s="24">
        <f>Home!Q22</f>
        <v>2.2182141999999994</v>
      </c>
      <c r="P58" s="24">
        <f>Home!R22</f>
        <v>1.1348733000000002</v>
      </c>
      <c r="Q58" s="24">
        <f>Home!S22</f>
        <v>0.19693219999999995</v>
      </c>
      <c r="R58" s="24">
        <f>Home!T22</f>
        <v>-4.6984575000000015E-2</v>
      </c>
      <c r="S58" s="24">
        <f>Home!U22</f>
        <v>0.37153544999999988</v>
      </c>
      <c r="T58" s="24">
        <f>Home!V22</f>
        <v>2.2697243499999993</v>
      </c>
      <c r="U58" s="24">
        <f>Home!W22</f>
        <v>0.89517495000000036</v>
      </c>
      <c r="V58" s="72">
        <f>Home!X22</f>
        <v>1.4282579999999991</v>
      </c>
      <c r="W58" s="24">
        <f>Home!Y22</f>
        <v>0.87818912500000024</v>
      </c>
      <c r="X58" s="24">
        <f>Home!Z22</f>
        <v>1.2113065249999992</v>
      </c>
      <c r="Y58" s="24">
        <f>Home!AA22</f>
        <v>0.84424299999999985</v>
      </c>
      <c r="Z58" s="24">
        <f>Home!AB22</f>
        <v>6.5448825000000002E-2</v>
      </c>
      <c r="AA58" s="24">
        <f>Home!AC22</f>
        <v>1.627356024999999</v>
      </c>
      <c r="AB58" s="24">
        <f>Home!AD22</f>
        <v>0.77</v>
      </c>
      <c r="AC58" s="24">
        <f>Home!AE22</f>
        <v>0.17</v>
      </c>
      <c r="AD58" s="24">
        <f>Home!AF22</f>
        <v>7.0000000000000007E-2</v>
      </c>
      <c r="AE58" s="24">
        <f>Home!AG22</f>
        <v>0.2</v>
      </c>
      <c r="AF58" s="24">
        <f>Home!AH22</f>
        <v>1.5494399999999999</v>
      </c>
      <c r="AG58" s="25">
        <f>Home!AI22</f>
        <v>0.85736000000000001</v>
      </c>
      <c r="AI58" s="346"/>
      <c r="AJ58" s="51">
        <f t="shared" si="6"/>
        <v>53.830664072566982</v>
      </c>
      <c r="AK58" s="52">
        <f t="shared" si="7"/>
        <v>73.422497345190024</v>
      </c>
      <c r="AL58" s="52">
        <f t="shared" si="8"/>
        <v>73.051911911167053</v>
      </c>
      <c r="AM58" s="52">
        <f t="shared" si="9"/>
        <v>72.632685107981828</v>
      </c>
      <c r="AN58" s="52">
        <f t="shared" si="10"/>
        <v>74.730041711360457</v>
      </c>
      <c r="AO58" s="52">
        <f t="shared" si="11"/>
        <v>78.610176745058837</v>
      </c>
      <c r="AP58" s="52">
        <f t="shared" si="12"/>
        <v>73.712656510911174</v>
      </c>
      <c r="AQ58" s="52">
        <f t="shared" si="13"/>
        <v>73.497006883447938</v>
      </c>
      <c r="AR58" s="52">
        <f t="shared" si="14"/>
        <v>75.017801249463915</v>
      </c>
      <c r="AS58" s="53">
        <f t="shared" si="15"/>
        <v>74.05845145992771</v>
      </c>
    </row>
    <row r="59" spans="1:45">
      <c r="A59" s="278"/>
      <c r="B59" s="31" t="s">
        <v>40</v>
      </c>
      <c r="C59" s="31" t="s">
        <v>736</v>
      </c>
      <c r="D59" s="74">
        <f>Home!F23</f>
        <v>2.1490539200000005</v>
      </c>
      <c r="E59" s="32">
        <f>Home!G23</f>
        <v>0.78060276000000028</v>
      </c>
      <c r="F59" s="32">
        <f>Home!H23</f>
        <v>1.3005875400000011</v>
      </c>
      <c r="G59" s="32">
        <f>Home!I23</f>
        <v>0.81929644999999973</v>
      </c>
      <c r="H59" s="32">
        <f>Home!J23</f>
        <v>0.28904379999999985</v>
      </c>
      <c r="I59" s="32">
        <f>Home!K23</f>
        <v>0.43211748000000016</v>
      </c>
      <c r="J59" s="74">
        <f>Home!L23</f>
        <v>0.20458367999999999</v>
      </c>
      <c r="K59" s="32">
        <f>Home!M23</f>
        <v>2.4302283400000015</v>
      </c>
      <c r="L59" s="32">
        <f>Home!N23</f>
        <v>1.0625504299999999</v>
      </c>
      <c r="M59" s="32">
        <f>Home!O23</f>
        <v>0.76409088000000014</v>
      </c>
      <c r="N59" s="32">
        <f>Home!P23</f>
        <v>1.8599019200000004</v>
      </c>
      <c r="O59" s="32">
        <f>Home!Q23</f>
        <v>1.7723845100000002</v>
      </c>
      <c r="P59" s="32">
        <f>Home!R23</f>
        <v>1.4811523199999999</v>
      </c>
      <c r="Q59" s="32">
        <f>Home!S23</f>
        <v>1.7870961700000003</v>
      </c>
      <c r="R59" s="32">
        <f>Home!T23</f>
        <v>9.0894449999999946E-2</v>
      </c>
      <c r="S59" s="32">
        <f>Home!U23</f>
        <v>1.8811022399999997</v>
      </c>
      <c r="T59" s="32">
        <f>Home!V23</f>
        <v>0.23600652999999994</v>
      </c>
      <c r="U59" s="32">
        <f>Home!W23</f>
        <v>0.49348321000000001</v>
      </c>
      <c r="V59" s="74">
        <f>Home!X23</f>
        <v>0.39980033999999987</v>
      </c>
      <c r="W59" s="32">
        <f>Home!Y23</f>
        <v>1.8101937100000005</v>
      </c>
      <c r="X59" s="32">
        <f>Home!Z23</f>
        <v>1.5835208600000008</v>
      </c>
      <c r="Y59" s="32">
        <f>Home!AA23</f>
        <v>0.59315630999999991</v>
      </c>
      <c r="Z59" s="32">
        <f>Home!AB23</f>
        <v>1.90945728</v>
      </c>
      <c r="AA59" s="32">
        <f>Home!AC23</f>
        <v>0.54761430999999994</v>
      </c>
      <c r="AB59" s="32">
        <f>Home!AD23</f>
        <v>0.16499125999999995</v>
      </c>
      <c r="AC59" s="32">
        <f>Home!AE23</f>
        <v>0.3</v>
      </c>
      <c r="AD59" s="32">
        <f>Home!AF23</f>
        <v>1.48</v>
      </c>
      <c r="AE59" s="32">
        <f>Home!AG23</f>
        <v>0.8</v>
      </c>
      <c r="AF59" s="32">
        <f>Home!AH23</f>
        <v>0.7190399999999999</v>
      </c>
      <c r="AG59" s="33">
        <f>Home!AI23</f>
        <v>1.6199680000000001</v>
      </c>
      <c r="AI59" s="346"/>
      <c r="AJ59" s="54">
        <f t="shared" si="6"/>
        <v>42.528257262614297</v>
      </c>
      <c r="AK59" s="48">
        <f t="shared" si="7"/>
        <v>71.911991150036528</v>
      </c>
      <c r="AL59" s="48">
        <f t="shared" si="8"/>
        <v>52.382878390434385</v>
      </c>
      <c r="AM59" s="48">
        <f t="shared" si="9"/>
        <v>102.60056895422845</v>
      </c>
      <c r="AN59" s="48">
        <f t="shared" si="10"/>
        <v>69.380484997544471</v>
      </c>
      <c r="AO59" s="48">
        <f t="shared" si="11"/>
        <v>57.901413983889583</v>
      </c>
      <c r="AP59" s="48">
        <f t="shared" si="12"/>
        <v>120.24123356113276</v>
      </c>
      <c r="AQ59" s="48">
        <f t="shared" si="13"/>
        <v>84.556002700042342</v>
      </c>
      <c r="AR59" s="48">
        <f t="shared" si="14"/>
        <v>85.162897986766879</v>
      </c>
      <c r="AS59" s="55">
        <f t="shared" si="15"/>
        <v>84.813620683391463</v>
      </c>
    </row>
    <row r="60" spans="1:45">
      <c r="A60" s="323" t="s">
        <v>731</v>
      </c>
      <c r="B60" s="213" t="s">
        <v>104</v>
      </c>
      <c r="C60" s="213" t="s">
        <v>83</v>
      </c>
      <c r="D60" s="214">
        <f>Skin!F24</f>
        <v>4.4121633210000013</v>
      </c>
      <c r="E60" s="215">
        <f>Skin!G24</f>
        <v>4.3334671380000005</v>
      </c>
      <c r="F60" s="215">
        <f>Skin!H24</f>
        <v>4.6134315929999996</v>
      </c>
      <c r="G60" s="215">
        <f>Skin!I24</f>
        <v>0.51600163000000032</v>
      </c>
      <c r="H60" s="215">
        <f>Skin!J24</f>
        <v>5.0999902100000005</v>
      </c>
      <c r="I60" s="215">
        <f>Skin!K24</f>
        <v>2.6557137770000008</v>
      </c>
      <c r="J60" s="214">
        <f>Skin!L24</f>
        <v>13.405783421999999</v>
      </c>
      <c r="K60" s="215">
        <f>Skin!M24</f>
        <v>1.529259784</v>
      </c>
      <c r="L60" s="215">
        <f>Skin!N24</f>
        <v>4.5254854910000004</v>
      </c>
      <c r="M60" s="215">
        <f>Skin!O24</f>
        <v>8.6147053960000015</v>
      </c>
      <c r="N60" s="215">
        <f>Skin!P24</f>
        <v>2.0125780840000003</v>
      </c>
      <c r="O60" s="215">
        <f>Skin!Q24</f>
        <v>8.0985226650000008</v>
      </c>
      <c r="P60" s="215">
        <f>Skin!R24</f>
        <v>6.4928507519999998</v>
      </c>
      <c r="Q60" s="215">
        <f>Skin!S24</f>
        <v>2.7219695819999998</v>
      </c>
      <c r="R60" s="215">
        <f>Skin!T24</f>
        <v>3.919458273</v>
      </c>
      <c r="S60" s="215">
        <f>Skin!U24</f>
        <v>16.057899827000004</v>
      </c>
      <c r="T60" s="215">
        <f>Skin!V24</f>
        <v>4.9642328500000001</v>
      </c>
      <c r="U60" s="215">
        <f>Skin!W24</f>
        <v>4.8196367530000002</v>
      </c>
      <c r="V60" s="214">
        <f>Skin!X24</f>
        <v>16.540813740000004</v>
      </c>
      <c r="W60" s="215">
        <f>Skin!Y24</f>
        <v>6.3612439630000015</v>
      </c>
      <c r="X60" s="215">
        <f>Skin!Z24</f>
        <v>20.336049407999997</v>
      </c>
      <c r="Y60" s="215">
        <f>Skin!AA24</f>
        <v>9.5313466869999974</v>
      </c>
      <c r="Z60" s="215">
        <f>Skin!AB24</f>
        <v>5.5962140579999966</v>
      </c>
      <c r="AA60" s="215">
        <f>Skin!AC24</f>
        <v>7.3082473906000009</v>
      </c>
      <c r="AB60" s="215">
        <f>Skin!AD24</f>
        <v>6.7729919867999984</v>
      </c>
      <c r="AC60" s="215">
        <f>Skin!AE24</f>
        <v>9.1866155331000012</v>
      </c>
      <c r="AD60" s="215">
        <f>Skin!AF24</f>
        <v>3.03</v>
      </c>
      <c r="AE60" s="215">
        <f>Skin!AG24</f>
        <v>6.8</v>
      </c>
      <c r="AF60" s="215">
        <f>Skin!AH24</f>
        <v>21.150000000000002</v>
      </c>
      <c r="AG60" s="216">
        <f>Skin!AI24</f>
        <v>11.15</v>
      </c>
      <c r="AI60" s="346"/>
      <c r="AJ60" s="88">
        <f t="shared" si="6"/>
        <v>42.346758126902586</v>
      </c>
      <c r="AK60" s="89">
        <f t="shared" si="7"/>
        <v>135.74583100675059</v>
      </c>
      <c r="AL60" s="89">
        <f t="shared" si="8"/>
        <v>88.344237749187499</v>
      </c>
      <c r="AM60" s="89">
        <f t="shared" si="9"/>
        <v>222.18361990168086</v>
      </c>
      <c r="AN60" s="89">
        <f t="shared" si="10"/>
        <v>119.81224179013839</v>
      </c>
      <c r="AO60" s="89">
        <f t="shared" si="11"/>
        <v>144.58051399777196</v>
      </c>
      <c r="AP60" s="89">
        <f t="shared" si="12"/>
        <v>151.30542862366215</v>
      </c>
      <c r="AQ60" s="89">
        <f t="shared" si="13"/>
        <v>171.98276691998001</v>
      </c>
      <c r="AR60" s="89">
        <f t="shared" si="14"/>
        <v>149.03924447331212</v>
      </c>
      <c r="AS60" s="90">
        <f t="shared" si="15"/>
        <v>160.39359873136141</v>
      </c>
    </row>
    <row r="61" spans="1:45">
      <c r="A61" s="277"/>
      <c r="B61" s="22" t="s">
        <v>16</v>
      </c>
      <c r="C61" s="22" t="s">
        <v>17</v>
      </c>
      <c r="D61" s="72">
        <f>Skin!F25</f>
        <v>1.8199430430000003</v>
      </c>
      <c r="E61" s="24">
        <f>Skin!G25</f>
        <v>2.0116189199999996</v>
      </c>
      <c r="F61" s="24">
        <f>Skin!H25</f>
        <v>0.39789503999999992</v>
      </c>
      <c r="G61" s="24">
        <f>Skin!I25</f>
        <v>2.5090197999999959E-2</v>
      </c>
      <c r="H61" s="24">
        <f>Skin!J25</f>
        <v>0.88352511600000005</v>
      </c>
      <c r="I61" s="24">
        <f>Skin!K25</f>
        <v>0.26646108000000002</v>
      </c>
      <c r="J61" s="72">
        <f>Skin!L25</f>
        <v>1.4394884399999996</v>
      </c>
      <c r="K61" s="24">
        <f>Skin!M25</f>
        <v>0.17691605199999999</v>
      </c>
      <c r="L61" s="24">
        <f>Skin!N25</f>
        <v>0.99131687899999987</v>
      </c>
      <c r="M61" s="24">
        <f>Skin!O25</f>
        <v>1.3067848800000001</v>
      </c>
      <c r="N61" s="24">
        <f>Skin!P25</f>
        <v>0.31682892000000007</v>
      </c>
      <c r="O61" s="24">
        <f>Skin!Q25</f>
        <v>5.5717693200000014</v>
      </c>
      <c r="P61" s="24">
        <f>Skin!R25</f>
        <v>2.1878547600000005</v>
      </c>
      <c r="Q61" s="24">
        <f>Skin!S25</f>
        <v>2.0298959999999998E-2</v>
      </c>
      <c r="R61" s="24">
        <f>Skin!T25</f>
        <v>9.4283430000000043E-2</v>
      </c>
      <c r="S61" s="24">
        <f>Skin!U25</f>
        <v>4.8786981600000017</v>
      </c>
      <c r="T61" s="24">
        <f>Skin!V25</f>
        <v>2.0085594700000002</v>
      </c>
      <c r="U61" s="24">
        <f>Skin!W25</f>
        <v>5.2207170000000004E-2</v>
      </c>
      <c r="V61" s="72">
        <f>Skin!X25</f>
        <v>3.7214759999999993E-2</v>
      </c>
      <c r="W61" s="24">
        <f>Skin!Y25</f>
        <v>0.76856985999999961</v>
      </c>
      <c r="X61" s="24">
        <f>Skin!Z25</f>
        <v>1.0085006399999998</v>
      </c>
      <c r="Y61" s="24">
        <f>Skin!AA25</f>
        <v>0.76854659999999997</v>
      </c>
      <c r="Z61" s="24">
        <f>Skin!AB25</f>
        <v>0.17090005000000003</v>
      </c>
      <c r="AA61" s="24">
        <f>Skin!AC25</f>
        <v>0.60336654999999983</v>
      </c>
      <c r="AB61" s="24">
        <f>Skin!AD25</f>
        <v>0.95553107999999998</v>
      </c>
      <c r="AC61" s="24">
        <f>Skin!AE25</f>
        <v>0.89608155999999994</v>
      </c>
      <c r="AD61" s="24">
        <f>Skin!AF25</f>
        <v>0.28000000000000003</v>
      </c>
      <c r="AE61" s="24">
        <f>Skin!AG25</f>
        <v>0.54</v>
      </c>
      <c r="AF61" s="24">
        <f>Skin!AH25</f>
        <v>1</v>
      </c>
      <c r="AG61" s="25">
        <f>Skin!AI25</f>
        <v>0.8</v>
      </c>
      <c r="AI61" s="346"/>
      <c r="AJ61" s="51">
        <f t="shared" si="6"/>
        <v>11.06852652675688</v>
      </c>
      <c r="AK61" s="52">
        <f t="shared" si="7"/>
        <v>35.495913686081131</v>
      </c>
      <c r="AL61" s="52">
        <f t="shared" si="8"/>
        <v>37.203207078965342</v>
      </c>
      <c r="AM61" s="52">
        <f t="shared" si="9"/>
        <v>69.573585589946063</v>
      </c>
      <c r="AN61" s="52">
        <f t="shared" si="10"/>
        <v>21.441710250447365</v>
      </c>
      <c r="AO61" s="52">
        <f t="shared" si="11"/>
        <v>92.580709097748866</v>
      </c>
      <c r="AP61" s="52">
        <f t="shared" si="12"/>
        <v>33.720179688785208</v>
      </c>
      <c r="AQ61" s="52">
        <f t="shared" si="13"/>
        <v>34.245258357513912</v>
      </c>
      <c r="AR61" s="52">
        <f t="shared" si="14"/>
        <v>48.384116864602731</v>
      </c>
      <c r="AS61" s="53">
        <f t="shared" si="15"/>
        <v>41.106371500859069</v>
      </c>
    </row>
    <row r="62" spans="1:45">
      <c r="A62" s="277"/>
      <c r="B62" s="22" t="s">
        <v>16</v>
      </c>
      <c r="C62" s="22" t="s">
        <v>737</v>
      </c>
      <c r="D62" s="72">
        <f>Skin!F26</f>
        <v>0</v>
      </c>
      <c r="E62" s="24">
        <f>Skin!G26</f>
        <v>0</v>
      </c>
      <c r="F62" s="24">
        <f>Skin!H26</f>
        <v>0</v>
      </c>
      <c r="G62" s="24">
        <f>Skin!I26</f>
        <v>0</v>
      </c>
      <c r="H62" s="24">
        <f>Skin!J26</f>
        <v>0</v>
      </c>
      <c r="I62" s="24">
        <f>Skin!K26</f>
        <v>0</v>
      </c>
      <c r="J62" s="72">
        <f>Skin!L26</f>
        <v>6.2134363199999996</v>
      </c>
      <c r="K62" s="24">
        <f>Skin!M26</f>
        <v>9.2735990000000004E-2</v>
      </c>
      <c r="L62" s="24">
        <f>Skin!N26</f>
        <v>0.17724989000000002</v>
      </c>
      <c r="M62" s="24">
        <f>Skin!O26</f>
        <v>1.6802696400000003</v>
      </c>
      <c r="N62" s="24">
        <f>Skin!P26</f>
        <v>0.75845374999999982</v>
      </c>
      <c r="O62" s="24">
        <f>Skin!Q26</f>
        <v>1.2933763200000001</v>
      </c>
      <c r="P62" s="24">
        <f>Skin!R26</f>
        <v>2.0895874799999992</v>
      </c>
      <c r="Q62" s="24">
        <f>Skin!S26</f>
        <v>0.24752088000000003</v>
      </c>
      <c r="R62" s="24">
        <f>Skin!T26</f>
        <v>0.7745132099999994</v>
      </c>
      <c r="S62" s="24">
        <f>Skin!U26</f>
        <v>1.2620936699999994</v>
      </c>
      <c r="T62" s="24">
        <f>Skin!V26</f>
        <v>0.96548531999999965</v>
      </c>
      <c r="U62" s="24">
        <f>Skin!W26</f>
        <v>1.2746153199999994</v>
      </c>
      <c r="V62" s="72">
        <f>Skin!X26</f>
        <v>0.14348472000000004</v>
      </c>
      <c r="W62" s="24">
        <f>Skin!Y26</f>
        <v>0.33956195</v>
      </c>
      <c r="X62" s="24">
        <f>Skin!Z26</f>
        <v>0.49991955999999999</v>
      </c>
      <c r="Y62" s="24">
        <f>Skin!AA26</f>
        <v>0.89887955999999936</v>
      </c>
      <c r="Z62" s="24">
        <f>Skin!AB26</f>
        <v>0.50735321999999983</v>
      </c>
      <c r="AA62" s="24">
        <f>Skin!AC26</f>
        <v>0.72727490999999922</v>
      </c>
      <c r="AB62" s="24">
        <f>Skin!AD26</f>
        <v>0.6541790799999998</v>
      </c>
      <c r="AC62" s="24">
        <f>Skin!AE26</f>
        <v>0.63161482999999985</v>
      </c>
      <c r="AD62" s="24">
        <f>Skin!AF26</f>
        <v>0.56999999999999995</v>
      </c>
      <c r="AE62" s="24">
        <f>Skin!AG26</f>
        <v>0.52</v>
      </c>
      <c r="AF62" s="24">
        <f>Skin!AH26</f>
        <v>0.65</v>
      </c>
      <c r="AG62" s="25">
        <f>Skin!AI26</f>
        <v>0.65</v>
      </c>
      <c r="AI62" s="346"/>
      <c r="AJ62" s="51">
        <f t="shared" si="6"/>
        <v>41.201379292235913</v>
      </c>
      <c r="AK62" s="52">
        <f t="shared" si="7"/>
        <v>37.646024761479744</v>
      </c>
      <c r="AL62" s="52">
        <f t="shared" si="8"/>
        <v>54.319812325047486</v>
      </c>
      <c r="AM62" s="52">
        <f t="shared" si="9"/>
        <v>15.161225039455243</v>
      </c>
      <c r="AN62" s="52">
        <f t="shared" si="10"/>
        <v>57.166417185568662</v>
      </c>
      <c r="AO62" s="52">
        <f t="shared" si="11"/>
        <v>59.640732918559905</v>
      </c>
      <c r="AP62" s="52">
        <f t="shared" si="12"/>
        <v>51.96741924921924</v>
      </c>
      <c r="AQ62" s="52">
        <f t="shared" si="13"/>
        <v>30.50724130843745</v>
      </c>
      <c r="AR62" s="52">
        <f t="shared" si="14"/>
        <v>55.577505886057423</v>
      </c>
      <c r="AS62" s="53">
        <f t="shared" si="15"/>
        <v>40.359685655819277</v>
      </c>
    </row>
    <row r="63" spans="1:45">
      <c r="A63" s="277"/>
      <c r="B63" s="22" t="s">
        <v>16</v>
      </c>
      <c r="C63" s="22" t="s">
        <v>19</v>
      </c>
      <c r="D63" s="72">
        <f>Skin!F27</f>
        <v>0</v>
      </c>
      <c r="E63" s="24">
        <f>Skin!G27</f>
        <v>0</v>
      </c>
      <c r="F63" s="24">
        <f>Skin!H27</f>
        <v>0</v>
      </c>
      <c r="G63" s="24">
        <f>Skin!I27</f>
        <v>0</v>
      </c>
      <c r="H63" s="24">
        <f>Skin!J27</f>
        <v>0</v>
      </c>
      <c r="I63" s="24">
        <f>Skin!K27</f>
        <v>0</v>
      </c>
      <c r="J63" s="72">
        <f>Skin!L27</f>
        <v>0</v>
      </c>
      <c r="K63" s="24">
        <f>Skin!M27</f>
        <v>0</v>
      </c>
      <c r="L63" s="24">
        <f>Skin!N27</f>
        <v>0</v>
      </c>
      <c r="M63" s="24">
        <f>Skin!O27</f>
        <v>0</v>
      </c>
      <c r="N63" s="24">
        <f>Skin!P27</f>
        <v>0</v>
      </c>
      <c r="O63" s="24">
        <f>Skin!Q27</f>
        <v>0</v>
      </c>
      <c r="P63" s="24">
        <f>Skin!R27</f>
        <v>0</v>
      </c>
      <c r="Q63" s="24">
        <f>Skin!S27</f>
        <v>0</v>
      </c>
      <c r="R63" s="24">
        <f>Skin!T27</f>
        <v>0</v>
      </c>
      <c r="S63" s="24">
        <f>Skin!U27</f>
        <v>0</v>
      </c>
      <c r="T63" s="24">
        <f>Skin!V27</f>
        <v>0</v>
      </c>
      <c r="U63" s="24">
        <f>Skin!W27</f>
        <v>0</v>
      </c>
      <c r="V63" s="72">
        <f>Skin!X27</f>
        <v>0</v>
      </c>
      <c r="W63" s="24">
        <f>Skin!Y27</f>
        <v>0</v>
      </c>
      <c r="X63" s="24">
        <f>Skin!Z27</f>
        <v>18.638582159999999</v>
      </c>
      <c r="Y63" s="24">
        <f>Skin!AA27</f>
        <v>3.1193230799999982</v>
      </c>
      <c r="Z63" s="24">
        <f>Skin!AB27</f>
        <v>4.1215791999999967</v>
      </c>
      <c r="AA63" s="24">
        <f>Skin!AC27</f>
        <v>3.7111497000000013</v>
      </c>
      <c r="AB63" s="24">
        <f>Skin!AD27</f>
        <v>2.8085815299999992</v>
      </c>
      <c r="AC63" s="24">
        <f>Skin!AE27</f>
        <v>5.9484611400000009</v>
      </c>
      <c r="AD63" s="24">
        <f>Skin!AF27</f>
        <v>1.1499999999999999</v>
      </c>
      <c r="AE63" s="24">
        <f>Skin!AG27</f>
        <v>4.37</v>
      </c>
      <c r="AF63" s="24">
        <f>Skin!AH27</f>
        <v>3</v>
      </c>
      <c r="AG63" s="25">
        <f>Skin!AI27</f>
        <v>1.5</v>
      </c>
      <c r="AI63" s="346"/>
      <c r="AJ63" s="51" t="str">
        <f t="shared" si="6"/>
        <v>NA</v>
      </c>
      <c r="AK63" s="52" t="str">
        <f t="shared" si="7"/>
        <v>NA</v>
      </c>
      <c r="AL63" s="52" t="str">
        <f t="shared" si="8"/>
        <v>NA</v>
      </c>
      <c r="AM63" s="52" t="str">
        <f t="shared" si="9"/>
        <v>NA</v>
      </c>
      <c r="AN63" s="52" t="str">
        <f t="shared" si="10"/>
        <v>NA</v>
      </c>
      <c r="AO63" s="52" t="str">
        <f t="shared" si="11"/>
        <v>NA</v>
      </c>
      <c r="AP63" s="52" t="str">
        <f t="shared" si="12"/>
        <v>NA</v>
      </c>
      <c r="AQ63" s="52" t="str">
        <f t="shared" si="13"/>
        <v>NA</v>
      </c>
      <c r="AR63" s="52" t="str">
        <f t="shared" si="14"/>
        <v>NA</v>
      </c>
      <c r="AS63" s="53" t="str">
        <f t="shared" si="15"/>
        <v>NA</v>
      </c>
    </row>
    <row r="64" spans="1:45">
      <c r="A64" s="277"/>
      <c r="B64" s="22" t="s">
        <v>16</v>
      </c>
      <c r="C64" s="22" t="s">
        <v>18</v>
      </c>
      <c r="D64" s="72">
        <f>Skin!F28</f>
        <v>1.6320032890000002</v>
      </c>
      <c r="E64" s="24">
        <f>Skin!G28</f>
        <v>0.97406391600000031</v>
      </c>
      <c r="F64" s="24">
        <f>Skin!H28</f>
        <v>2.641458249999999</v>
      </c>
      <c r="G64" s="24">
        <f>Skin!I28</f>
        <v>0.24886482699999998</v>
      </c>
      <c r="H64" s="24">
        <f>Skin!J28</f>
        <v>2.6599010519999999</v>
      </c>
      <c r="I64" s="24">
        <f>Skin!K28</f>
        <v>1.2498180250000004</v>
      </c>
      <c r="J64" s="72">
        <f>Skin!L28</f>
        <v>4.5747012239999982</v>
      </c>
      <c r="K64" s="24">
        <f>Skin!M28</f>
        <v>0.50984347000000008</v>
      </c>
      <c r="L64" s="24">
        <f>Skin!N28</f>
        <v>2.0659365820000004</v>
      </c>
      <c r="M64" s="24">
        <f>Skin!O28</f>
        <v>3.9771623040000015</v>
      </c>
      <c r="N64" s="24">
        <f>Skin!P28</f>
        <v>0.13403933600000001</v>
      </c>
      <c r="O64" s="24">
        <f>Skin!Q28</f>
        <v>0.40883362699999998</v>
      </c>
      <c r="P64" s="24">
        <f>Skin!R28</f>
        <v>0.71842847999999981</v>
      </c>
      <c r="Q64" s="24">
        <f>Skin!S28</f>
        <v>1.6565968799999997</v>
      </c>
      <c r="R64" s="24">
        <f>Skin!T28</f>
        <v>2.224514279000001</v>
      </c>
      <c r="S64" s="24">
        <f>Skin!U28</f>
        <v>9.0490072400000034</v>
      </c>
      <c r="T64" s="24">
        <f>Skin!V28</f>
        <v>0.81061098400000031</v>
      </c>
      <c r="U64" s="24">
        <f>Skin!W28</f>
        <v>2.1164432400000002</v>
      </c>
      <c r="V64" s="72">
        <f>Skin!X28</f>
        <v>15.905056800000006</v>
      </c>
      <c r="W64" s="24">
        <f>Skin!Y28</f>
        <v>4.5485135850000011</v>
      </c>
      <c r="X64" s="24">
        <f>Skin!Z28</f>
        <v>-0.86084184999999991</v>
      </c>
      <c r="Y64" s="24">
        <f>Skin!AA28</f>
        <v>2.9433165199999998</v>
      </c>
      <c r="Z64" s="24">
        <f>Skin!AB28</f>
        <v>0.36133034699999983</v>
      </c>
      <c r="AA64" s="24">
        <f>Skin!AC28</f>
        <v>1.3218439855999999</v>
      </c>
      <c r="AB64" s="24">
        <f>Skin!AD28</f>
        <v>0.90217900019999975</v>
      </c>
      <c r="AC64" s="24">
        <f>Skin!AE28</f>
        <v>0.46160446999999993</v>
      </c>
      <c r="AD64" s="24">
        <f>Skin!AF28</f>
        <v>0.59</v>
      </c>
      <c r="AE64" s="24">
        <f>Skin!AG28</f>
        <v>0.75</v>
      </c>
      <c r="AF64" s="24">
        <f>Skin!AH28</f>
        <v>1</v>
      </c>
      <c r="AG64" s="25">
        <f>Skin!AI28</f>
        <v>1.5</v>
      </c>
      <c r="AI64" s="346"/>
      <c r="AJ64" s="51">
        <f t="shared" si="6"/>
        <v>8.2882020105445271</v>
      </c>
      <c r="AK64" s="52">
        <f t="shared" si="7"/>
        <v>106.33490824311582</v>
      </c>
      <c r="AL64" s="52">
        <f t="shared" si="8"/>
        <v>19.810046403988313</v>
      </c>
      <c r="AM64" s="52">
        <f t="shared" si="9"/>
        <v>274.00573162482618</v>
      </c>
      <c r="AN64" s="52">
        <f t="shared" si="10"/>
        <v>102.35519369455395</v>
      </c>
      <c r="AO64" s="52">
        <f t="shared" si="11"/>
        <v>42.477804814065642</v>
      </c>
      <c r="AP64" s="52">
        <f t="shared" si="12"/>
        <v>27.13746927376323</v>
      </c>
      <c r="AQ64" s="52">
        <f t="shared" si="13"/>
        <v>207.52482804308042</v>
      </c>
      <c r="AR64" s="52">
        <f t="shared" si="14"/>
        <v>31.394236853697997</v>
      </c>
      <c r="AS64" s="53">
        <f t="shared" si="15"/>
        <v>104.16653795239949</v>
      </c>
    </row>
    <row r="65" spans="1:45">
      <c r="A65" s="277"/>
      <c r="B65" s="22" t="s">
        <v>16</v>
      </c>
      <c r="C65" s="22" t="s">
        <v>102</v>
      </c>
      <c r="D65" s="72">
        <f>Skin!F29</f>
        <v>0.96021698900000052</v>
      </c>
      <c r="E65" s="24">
        <f>Skin!G29</f>
        <v>1.3477843020000002</v>
      </c>
      <c r="F65" s="24">
        <f>Skin!H29</f>
        <v>1.5740783030000003</v>
      </c>
      <c r="G65" s="24">
        <f>Skin!I29</f>
        <v>0.2420466050000003</v>
      </c>
      <c r="H65" s="24">
        <f>Skin!J29</f>
        <v>1.5565640420000004</v>
      </c>
      <c r="I65" s="24">
        <f>Skin!K29</f>
        <v>1.1394346720000001</v>
      </c>
      <c r="J65" s="72">
        <f>Skin!L29</f>
        <v>1.1781574380000004</v>
      </c>
      <c r="K65" s="24">
        <f>Skin!M29</f>
        <v>0.74976427199999995</v>
      </c>
      <c r="L65" s="24">
        <f>Skin!N29</f>
        <v>1.2909821400000001</v>
      </c>
      <c r="M65" s="24">
        <f>Skin!O29</f>
        <v>1.6504885720000004</v>
      </c>
      <c r="N65" s="24">
        <f>Skin!P29</f>
        <v>0.80325607799999998</v>
      </c>
      <c r="O65" s="24">
        <f>Skin!Q29</f>
        <v>0.82454339800000009</v>
      </c>
      <c r="P65" s="24">
        <f>Skin!R29</f>
        <v>1.4969800320000004</v>
      </c>
      <c r="Q65" s="24">
        <f>Skin!S29</f>
        <v>0.7975528620000002</v>
      </c>
      <c r="R65" s="24">
        <f>Skin!T29</f>
        <v>0.82614735399999972</v>
      </c>
      <c r="S65" s="24">
        <f>Skin!U29</f>
        <v>0.86810075699999989</v>
      </c>
      <c r="T65" s="24">
        <f>Skin!V29</f>
        <v>1.1795770760000002</v>
      </c>
      <c r="U65" s="24">
        <f>Skin!W29</f>
        <v>1.3763710230000008</v>
      </c>
      <c r="V65" s="72">
        <f>Skin!X29</f>
        <v>0.45505745999999991</v>
      </c>
      <c r="W65" s="24">
        <f>Skin!Y29</f>
        <v>0.7045985680000002</v>
      </c>
      <c r="X65" s="24">
        <f>Skin!Z29</f>
        <v>1.0498888980000001</v>
      </c>
      <c r="Y65" s="24">
        <f>Skin!AA29</f>
        <v>1.8012809270000005</v>
      </c>
      <c r="Z65" s="24">
        <f>Skin!AB29</f>
        <v>0.43505124099999992</v>
      </c>
      <c r="AA65" s="24">
        <f>Skin!AC29</f>
        <v>0.94461224500000007</v>
      </c>
      <c r="AB65" s="24">
        <f>Skin!AD29</f>
        <v>1.4525212966000003</v>
      </c>
      <c r="AC65" s="24">
        <f>Skin!AE29</f>
        <v>1.2488535331000001</v>
      </c>
      <c r="AD65" s="24">
        <f>Skin!AF29</f>
        <v>0.44000000000000006</v>
      </c>
      <c r="AE65" s="24">
        <f>Skin!AG29</f>
        <v>0.62</v>
      </c>
      <c r="AF65" s="24">
        <f>Skin!AH29</f>
        <v>0.7</v>
      </c>
      <c r="AG65" s="25">
        <f>Skin!AI29</f>
        <v>0.7</v>
      </c>
      <c r="AI65" s="346"/>
      <c r="AJ65" s="51">
        <f t="shared" si="6"/>
        <v>71.420280998556947</v>
      </c>
      <c r="AK65" s="52">
        <f t="shared" si="7"/>
        <v>87.277205971814823</v>
      </c>
      <c r="AL65" s="52">
        <f t="shared" si="8"/>
        <v>94.298855339138896</v>
      </c>
      <c r="AM65" s="52">
        <f t="shared" si="9"/>
        <v>68.642774962041813</v>
      </c>
      <c r="AN65" s="52">
        <f t="shared" si="10"/>
        <v>97.030656440962019</v>
      </c>
      <c r="AO65" s="52">
        <f t="shared" si="11"/>
        <v>100.66314329105852</v>
      </c>
      <c r="AP65" s="52">
        <f t="shared" si="12"/>
        <v>58.994485328687119</v>
      </c>
      <c r="AQ65" s="52">
        <f t="shared" si="13"/>
        <v>82.966448022865521</v>
      </c>
      <c r="AR65" s="52">
        <f t="shared" si="14"/>
        <v>78.863078176077252</v>
      </c>
      <c r="AS65" s="53">
        <f t="shared" si="15"/>
        <v>80.907284801693351</v>
      </c>
    </row>
    <row r="66" spans="1:45">
      <c r="A66" s="278"/>
      <c r="B66" s="31" t="s">
        <v>16</v>
      </c>
      <c r="C66" s="31" t="s">
        <v>766</v>
      </c>
      <c r="D66" s="74"/>
      <c r="E66" s="32"/>
      <c r="F66" s="32"/>
      <c r="G66" s="32"/>
      <c r="H66" s="32"/>
      <c r="I66" s="32"/>
      <c r="J66" s="74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74"/>
      <c r="W66" s="32"/>
      <c r="X66" s="32"/>
      <c r="Y66" s="32"/>
      <c r="Z66" s="32"/>
      <c r="AA66" s="32"/>
      <c r="AB66" s="32"/>
      <c r="AC66" s="32"/>
      <c r="AD66" s="32"/>
      <c r="AE66" s="32">
        <f>Skin!AG30</f>
        <v>0</v>
      </c>
      <c r="AF66" s="32">
        <f>Skin!AH30</f>
        <v>14.8</v>
      </c>
      <c r="AG66" s="33">
        <f>Skin!AI30</f>
        <v>6</v>
      </c>
      <c r="AI66" s="346"/>
      <c r="AJ66" s="54" t="str">
        <f t="shared" si="6"/>
        <v>NA</v>
      </c>
      <c r="AK66" s="48" t="str">
        <f t="shared" si="7"/>
        <v>NA</v>
      </c>
      <c r="AL66" s="48" t="str">
        <f t="shared" si="8"/>
        <v>NA</v>
      </c>
      <c r="AM66" s="48" t="str">
        <f t="shared" si="9"/>
        <v>NA</v>
      </c>
      <c r="AN66" s="48" t="str">
        <f t="shared" si="10"/>
        <v>NA</v>
      </c>
      <c r="AO66" s="48" t="str">
        <f t="shared" si="11"/>
        <v>NA</v>
      </c>
      <c r="AP66" s="48" t="str">
        <f t="shared" si="12"/>
        <v>NA</v>
      </c>
      <c r="AQ66" s="48" t="str">
        <f t="shared" si="13"/>
        <v>NA</v>
      </c>
      <c r="AR66" s="48" t="str">
        <f t="shared" si="14"/>
        <v>NA</v>
      </c>
      <c r="AS66" s="55" t="str">
        <f t="shared" si="15"/>
        <v>NA</v>
      </c>
    </row>
    <row r="67" spans="1:45" ht="15" thickBot="1">
      <c r="A67" s="278" t="s">
        <v>731</v>
      </c>
      <c r="B67" s="31" t="s">
        <v>140</v>
      </c>
      <c r="C67" s="119" t="s">
        <v>83</v>
      </c>
      <c r="D67" s="74">
        <f>Shave!F30</f>
        <v>1.7856362969999999</v>
      </c>
      <c r="E67" s="32">
        <f>Shave!G30</f>
        <v>0.90449255599999989</v>
      </c>
      <c r="F67" s="32">
        <f>Shave!H30</f>
        <v>0.67041022000000006</v>
      </c>
      <c r="G67" s="32">
        <f>Shave!I30</f>
        <v>1.84269244</v>
      </c>
      <c r="H67" s="32">
        <f>Shave!J30</f>
        <v>0.7969355239999999</v>
      </c>
      <c r="I67" s="32">
        <f>Shave!K30</f>
        <v>0.71210871999999992</v>
      </c>
      <c r="J67" s="74">
        <f>Shave!L30</f>
        <v>0.78883048799999989</v>
      </c>
      <c r="K67" s="32">
        <f>Shave!M30</f>
        <v>1.5730773270000002</v>
      </c>
      <c r="L67" s="32">
        <f>Shave!N30</f>
        <v>0.66481132799999987</v>
      </c>
      <c r="M67" s="32">
        <f>Shave!O30</f>
        <v>0.76167210800000018</v>
      </c>
      <c r="N67" s="32">
        <f>Shave!P30</f>
        <v>0.63378374399999993</v>
      </c>
      <c r="O67" s="32">
        <f>Shave!Q30</f>
        <v>0.73758458800000015</v>
      </c>
      <c r="P67" s="32">
        <f>Shave!R30</f>
        <v>1.7583936999999998</v>
      </c>
      <c r="Q67" s="32">
        <f>Shave!S30</f>
        <v>0.90539479400000011</v>
      </c>
      <c r="R67" s="32">
        <f>Shave!T30</f>
        <v>0.93215488300000016</v>
      </c>
      <c r="S67" s="32">
        <f>Shave!U30</f>
        <v>0.80256996800000013</v>
      </c>
      <c r="T67" s="32">
        <f>Shave!V30</f>
        <v>0.80750804100000007</v>
      </c>
      <c r="U67" s="32">
        <f>Shave!W30</f>
        <v>1.0214011200000002</v>
      </c>
      <c r="V67" s="74">
        <f>Shave!X30</f>
        <v>0.75253097200000019</v>
      </c>
      <c r="W67" s="32">
        <f>Shave!Y30</f>
        <v>1.1840195680000003</v>
      </c>
      <c r="X67" s="32">
        <f>Shave!Z30</f>
        <v>0.80548762699999998</v>
      </c>
      <c r="Y67" s="32">
        <f>Shave!AA30</f>
        <v>1.827335463</v>
      </c>
      <c r="Z67" s="32">
        <f>Shave!AB30</f>
        <v>0.293681782</v>
      </c>
      <c r="AA67" s="32">
        <f>Shave!AC30</f>
        <v>1.1108651125</v>
      </c>
      <c r="AB67" s="32">
        <f>Shave!AD30</f>
        <v>2.2026772999999999</v>
      </c>
      <c r="AC67" s="32">
        <f>Shave!AE30</f>
        <v>4.3299999999999992</v>
      </c>
      <c r="AD67" s="32">
        <f>Shave!AF30</f>
        <v>0.57000000000000006</v>
      </c>
      <c r="AE67" s="32">
        <f>Shave!AG30</f>
        <v>0.59000000000000008</v>
      </c>
      <c r="AF67" s="32">
        <f>Shave!AH30</f>
        <v>0.64245093016666666</v>
      </c>
      <c r="AG67" s="33">
        <f>Shave!AI30</f>
        <v>0.64245093016666666</v>
      </c>
      <c r="AI67" s="346"/>
      <c r="AJ67" s="54">
        <f t="shared" ref="AJ67:AJ100" si="24">IFERROR(AE67/S67*100,"NA")</f>
        <v>73.513839730419619</v>
      </c>
      <c r="AK67" s="48">
        <f t="shared" ref="AK67:AK100" si="25">IFERROR(SUM(V67:AE67)/SUM(J67:S67)*100,"NA")</f>
        <v>142.98187473246421</v>
      </c>
      <c r="AL67" s="48">
        <f t="shared" ref="AL67:AL100" si="26">IFERROR(SUM(AB67:AE67)/SUM(P67:S67)*100,"NA")</f>
        <v>174.89266705862408</v>
      </c>
      <c r="AM67" s="48">
        <f t="shared" si="9"/>
        <v>90.594403955240068</v>
      </c>
      <c r="AN67" s="48">
        <f t="shared" si="10"/>
        <v>151.51528760983078</v>
      </c>
      <c r="AO67" s="48">
        <f t="shared" si="11"/>
        <v>197.51916410668221</v>
      </c>
      <c r="AP67" s="48">
        <f t="shared" si="12"/>
        <v>71.248973236045487</v>
      </c>
      <c r="AQ67" s="48">
        <f t="shared" si="13"/>
        <v>115.7790480041442</v>
      </c>
      <c r="AR67" s="48">
        <f t="shared" si="14"/>
        <v>144.16203737073582</v>
      </c>
      <c r="AS67" s="55">
        <f t="shared" si="15"/>
        <v>131.30113813914031</v>
      </c>
    </row>
    <row r="68" spans="1:45" ht="15" thickTop="1">
      <c r="A68" s="324" t="s">
        <v>745</v>
      </c>
      <c r="B68" s="207" t="s">
        <v>103</v>
      </c>
      <c r="C68" s="207" t="s">
        <v>83</v>
      </c>
      <c r="D68" s="208">
        <f t="shared" ref="D68:AG68" si="27">SUM(D69,D74,D80,D84,D90,D93,D100)</f>
        <v>26.40584239</v>
      </c>
      <c r="E68" s="209">
        <f t="shared" si="27"/>
        <v>32.260576270000001</v>
      </c>
      <c r="F68" s="209">
        <f t="shared" si="27"/>
        <v>31.641672670000002</v>
      </c>
      <c r="G68" s="209">
        <f t="shared" si="27"/>
        <v>25.66761344</v>
      </c>
      <c r="H68" s="209">
        <f t="shared" si="27"/>
        <v>41.700788439999997</v>
      </c>
      <c r="I68" s="209">
        <f t="shared" si="27"/>
        <v>17.918732249999998</v>
      </c>
      <c r="J68" s="208">
        <f t="shared" si="27"/>
        <v>44.771094519999998</v>
      </c>
      <c r="K68" s="209">
        <f t="shared" si="27"/>
        <v>28.212450159999996</v>
      </c>
      <c r="L68" s="209">
        <f t="shared" si="27"/>
        <v>33.161316429999999</v>
      </c>
      <c r="M68" s="209">
        <f t="shared" si="27"/>
        <v>39.42714797</v>
      </c>
      <c r="N68" s="209">
        <f t="shared" si="27"/>
        <v>34.576384400000002</v>
      </c>
      <c r="O68" s="209">
        <f t="shared" si="27"/>
        <v>42.151997049999999</v>
      </c>
      <c r="P68" s="209">
        <f t="shared" si="27"/>
        <v>31.830050369999995</v>
      </c>
      <c r="Q68" s="209">
        <f t="shared" si="27"/>
        <v>30.923501760000001</v>
      </c>
      <c r="R68" s="209">
        <f t="shared" si="27"/>
        <v>34.811095510000001</v>
      </c>
      <c r="S68" s="209">
        <f t="shared" si="27"/>
        <v>46.74368667000001</v>
      </c>
      <c r="T68" s="209">
        <f t="shared" si="27"/>
        <v>39.428501280000006</v>
      </c>
      <c r="U68" s="209">
        <f t="shared" si="27"/>
        <v>27.444376240000004</v>
      </c>
      <c r="V68" s="208">
        <f t="shared" si="27"/>
        <v>41.317514690000003</v>
      </c>
      <c r="W68" s="209">
        <f t="shared" si="27"/>
        <v>26.115619299999999</v>
      </c>
      <c r="X68" s="209">
        <f t="shared" si="27"/>
        <v>60.715866020000007</v>
      </c>
      <c r="Y68" s="209">
        <f t="shared" si="27"/>
        <v>42.512116859999999</v>
      </c>
      <c r="Z68" s="209">
        <f t="shared" si="27"/>
        <v>50.792429819999995</v>
      </c>
      <c r="AA68" s="209">
        <f t="shared" si="27"/>
        <v>53.998649389999997</v>
      </c>
      <c r="AB68" s="209">
        <f t="shared" si="27"/>
        <v>35.017280069999998</v>
      </c>
      <c r="AC68" s="209">
        <f t="shared" si="27"/>
        <v>37.140909346000001</v>
      </c>
      <c r="AD68" s="209">
        <f t="shared" si="27"/>
        <v>29.193207720000004</v>
      </c>
      <c r="AE68" s="209">
        <f t="shared" si="27"/>
        <v>31.69302041000001</v>
      </c>
      <c r="AF68" s="209">
        <f t="shared" si="27"/>
        <v>61.700750930166656</v>
      </c>
      <c r="AG68" s="210">
        <f t="shared" si="27"/>
        <v>45.967478930166664</v>
      </c>
      <c r="AI68" s="21"/>
      <c r="AJ68" s="49">
        <f t="shared" si="24"/>
        <v>67.801713274662433</v>
      </c>
      <c r="AK68" s="47">
        <f t="shared" si="25"/>
        <v>111.42577520605414</v>
      </c>
      <c r="AL68" s="47">
        <f t="shared" si="26"/>
        <v>92.194548694739197</v>
      </c>
      <c r="AM68" s="47">
        <f t="shared" si="9"/>
        <v>120.73029129238455</v>
      </c>
      <c r="AN68" s="47">
        <f t="shared" si="10"/>
        <v>126.81548334851539</v>
      </c>
      <c r="AO68" s="47">
        <f t="shared" si="11"/>
        <v>103.88127214887565</v>
      </c>
      <c r="AP68" s="47">
        <f t="shared" si="12"/>
        <v>122.65927179181435</v>
      </c>
      <c r="AQ68" s="47">
        <f t="shared" si="13"/>
        <v>123.90990201289236</v>
      </c>
      <c r="AR68" s="47">
        <f t="shared" si="14"/>
        <v>113.98393129787796</v>
      </c>
      <c r="AS68" s="50">
        <f t="shared" si="15"/>
        <v>119.07422153009071</v>
      </c>
    </row>
    <row r="69" spans="1:45">
      <c r="A69" s="315" t="s">
        <v>745</v>
      </c>
      <c r="B69" s="213" t="s">
        <v>4</v>
      </c>
      <c r="C69" s="213" t="s">
        <v>83</v>
      </c>
      <c r="D69" s="214">
        <f>Hair!F5</f>
        <v>10.280722339999999</v>
      </c>
      <c r="E69" s="215">
        <f>Hair!G5</f>
        <v>8.4725031699999995</v>
      </c>
      <c r="F69" s="215">
        <f>Hair!H5</f>
        <v>11.79399087</v>
      </c>
      <c r="G69" s="215">
        <f>Hair!I5</f>
        <v>5.1878483899999992</v>
      </c>
      <c r="H69" s="215">
        <f>Hair!J5</f>
        <v>16.04300125</v>
      </c>
      <c r="I69" s="215">
        <f>Hair!K5</f>
        <v>2.6986178000000001</v>
      </c>
      <c r="J69" s="214">
        <f>Hair!L5</f>
        <v>9.409554700000001</v>
      </c>
      <c r="K69" s="215">
        <f>Hair!M5</f>
        <v>7.7307953999999999</v>
      </c>
      <c r="L69" s="215">
        <f>Hair!N5</f>
        <v>10.334459729999999</v>
      </c>
      <c r="M69" s="215">
        <f>Hair!O5</f>
        <v>10.9180265</v>
      </c>
      <c r="N69" s="215">
        <f>Hair!P5</f>
        <v>14.591541119999999</v>
      </c>
      <c r="O69" s="215">
        <f>Hair!Q5</f>
        <v>11.154510439999999</v>
      </c>
      <c r="P69" s="215">
        <f>Hair!R5</f>
        <v>6.0369744799999996</v>
      </c>
      <c r="Q69" s="215">
        <f>Hair!S5</f>
        <v>12.00731375</v>
      </c>
      <c r="R69" s="215">
        <f>Hair!T5</f>
        <v>12.20047098</v>
      </c>
      <c r="S69" s="215">
        <f>Hair!U5</f>
        <v>11.71031515</v>
      </c>
      <c r="T69" s="215">
        <f>Hair!V5</f>
        <v>12.725737240000001</v>
      </c>
      <c r="U69" s="215">
        <f>Hair!W5</f>
        <v>8.512913880000001</v>
      </c>
      <c r="V69" s="214">
        <f>Hair!X5</f>
        <v>11.581008799999999</v>
      </c>
      <c r="W69" s="215">
        <f>Hair!Y5</f>
        <v>4.86260447</v>
      </c>
      <c r="X69" s="215">
        <f>Hair!Z5</f>
        <v>18.670594250000004</v>
      </c>
      <c r="Y69" s="215">
        <f>Hair!AA5</f>
        <v>7.9558952999999981</v>
      </c>
      <c r="Z69" s="215">
        <f>Hair!AB5</f>
        <v>17.385761890000001</v>
      </c>
      <c r="AA69" s="215">
        <f>Hair!AC5</f>
        <v>20.980689469999998</v>
      </c>
      <c r="AB69" s="215">
        <f>Hair!AD5</f>
        <v>14.044034400000001</v>
      </c>
      <c r="AC69" s="215">
        <f>Hair!AE5</f>
        <v>18.227866156000001</v>
      </c>
      <c r="AD69" s="215">
        <f>Hair!AF5</f>
        <v>10.144152440000001</v>
      </c>
      <c r="AE69" s="215">
        <f>Hair!AG5</f>
        <v>15.442258770000002</v>
      </c>
      <c r="AF69" s="215">
        <f>Hair!AH5</f>
        <v>16.249819999999996</v>
      </c>
      <c r="AG69" s="216">
        <f>Hair!AI5</f>
        <v>14.619700000000002</v>
      </c>
      <c r="AI69" s="21"/>
      <c r="AJ69" s="88">
        <f t="shared" si="24"/>
        <v>131.86885726128389</v>
      </c>
      <c r="AK69" s="89">
        <f t="shared" si="25"/>
        <v>131.2938672398391</v>
      </c>
      <c r="AL69" s="89">
        <f t="shared" si="26"/>
        <v>137.90539678118691</v>
      </c>
      <c r="AM69" s="89">
        <f t="shared" ref="AM69:AM100" si="28">IFERROR(SUM(V69:X69)/SUM(J69:L69)*100,"NA")</f>
        <v>127.80509760492858</v>
      </c>
      <c r="AN69" s="89">
        <f t="shared" ref="AN69:AN100" si="29">IFERROR(SUM(Y69:AA69)/SUM(M69:O69)*100,"NA")</f>
        <v>126.34259228936411</v>
      </c>
      <c r="AO69" s="89">
        <f t="shared" ref="AO69:AO100" si="30">IFERROR(SUM(AB69:AD69)/SUM(P69:R69)*100,"NA")</f>
        <v>140.2426539470539</v>
      </c>
      <c r="AP69" s="89">
        <f t="shared" ref="AP69:AP100" si="31">IFERROR(SUM(AE69:AG69)/SUM(S69:U69)*100,"NA")</f>
        <v>140.55609025939862</v>
      </c>
      <c r="AQ69" s="89">
        <f t="shared" ref="AQ69:AQ100" si="32">IFERROR(SUM(V69:AA69)/SUM(J69:O69)*100,"NA")</f>
        <v>126.96907735548206</v>
      </c>
      <c r="AR69" s="89">
        <f t="shared" ref="AR69:AR100" si="33">IFERROR(SUM(AB69:AG69)/SUM(P69:U69)*100,"NA")</f>
        <v>140.40607843903939</v>
      </c>
      <c r="AS69" s="90">
        <f t="shared" ref="AS69:AS100" si="34">IFERROR(SUM(V69:AG69)/SUM(J69:U69)*100,"NA")</f>
        <v>133.63770792290305</v>
      </c>
    </row>
    <row r="70" spans="1:45">
      <c r="A70" s="289"/>
      <c r="B70" s="22" t="s">
        <v>81</v>
      </c>
      <c r="C70" s="22" t="s">
        <v>81</v>
      </c>
      <c r="D70" s="72">
        <f>Hair!F126</f>
        <v>1.5981646</v>
      </c>
      <c r="E70" s="24">
        <f>Hair!G126</f>
        <v>1.4739449199999999</v>
      </c>
      <c r="F70" s="24">
        <f>Hair!H126</f>
        <v>2.4688746800000003</v>
      </c>
      <c r="G70" s="24">
        <f>Hair!I126</f>
        <v>2.1199009200000001</v>
      </c>
      <c r="H70" s="24">
        <f>Hair!J126</f>
        <v>2.0502545999999997</v>
      </c>
      <c r="I70" s="24">
        <f>Hair!K126</f>
        <v>1.4429788000000003</v>
      </c>
      <c r="J70" s="72">
        <f>Hair!L126</f>
        <v>2.7901609999999999</v>
      </c>
      <c r="K70" s="24">
        <f>Hair!M126</f>
        <v>0.56868740000000007</v>
      </c>
      <c r="L70" s="24">
        <f>Hair!N126</f>
        <v>2.6153693000000002</v>
      </c>
      <c r="M70" s="24">
        <f>Hair!O126</f>
        <v>0.72618013999999997</v>
      </c>
      <c r="N70" s="24">
        <f>Hair!P126</f>
        <v>2.4827119599999996</v>
      </c>
      <c r="O70" s="24">
        <f>Hair!Q126</f>
        <v>1.8115924800000001</v>
      </c>
      <c r="P70" s="24">
        <f>Hair!R126</f>
        <v>1.1219477199999999</v>
      </c>
      <c r="Q70" s="24">
        <f>Hair!S126</f>
        <v>1.3801257399999998</v>
      </c>
      <c r="R70" s="24">
        <f>Hair!T126</f>
        <v>5.7148087800000003</v>
      </c>
      <c r="S70" s="24">
        <f>Hair!U126</f>
        <v>2.4031361999999996</v>
      </c>
      <c r="T70" s="24">
        <f>Hair!V126</f>
        <v>1.606098</v>
      </c>
      <c r="U70" s="24">
        <f>Hair!W126</f>
        <v>0.6464394</v>
      </c>
      <c r="V70" s="72">
        <f>Hair!X126</f>
        <v>1.5140460000000002</v>
      </c>
      <c r="W70" s="24">
        <f>Hair!Y126</f>
        <v>0.89705160000000006</v>
      </c>
      <c r="X70" s="24">
        <f>Hair!Z126</f>
        <v>1.620495</v>
      </c>
      <c r="Y70" s="24">
        <f>Hair!AA126</f>
        <v>1.8315576</v>
      </c>
      <c r="Z70" s="24">
        <f>Hair!AB126</f>
        <v>3.6284573999999998</v>
      </c>
      <c r="AA70" s="24">
        <f>Hair!AC126</f>
        <v>1.7159022000000002</v>
      </c>
      <c r="AB70" s="24">
        <f>Hair!AD126</f>
        <v>1.3056858</v>
      </c>
      <c r="AC70" s="24">
        <f>Hair!AE126</f>
        <v>3.963977799999999</v>
      </c>
      <c r="AD70" s="24">
        <f>Hair!AF126</f>
        <v>3.480318</v>
      </c>
      <c r="AE70" s="24">
        <f>Hair!AG126</f>
        <v>2.1764994</v>
      </c>
      <c r="AF70" s="24">
        <f>Hair!AH126</f>
        <v>2.8899999999999997</v>
      </c>
      <c r="AG70" s="25">
        <f>Hair!AI126</f>
        <v>2.4900000000000002</v>
      </c>
      <c r="AI70" s="21"/>
      <c r="AJ70" s="51">
        <f t="shared" si="24"/>
        <v>90.569123797477658</v>
      </c>
      <c r="AK70" s="52">
        <f t="shared" si="25"/>
        <v>102.40239088317028</v>
      </c>
      <c r="AL70" s="52">
        <f t="shared" si="26"/>
        <v>102.88570647717256</v>
      </c>
      <c r="AM70" s="52">
        <f t="shared" si="28"/>
        <v>67.483188635727146</v>
      </c>
      <c r="AN70" s="52">
        <f t="shared" si="29"/>
        <v>142.93276048663813</v>
      </c>
      <c r="AO70" s="52">
        <f t="shared" si="30"/>
        <v>106.48785444928075</v>
      </c>
      <c r="AP70" s="52">
        <f t="shared" si="31"/>
        <v>162.30732755835803</v>
      </c>
      <c r="AQ70" s="52">
        <f t="shared" si="32"/>
        <v>101.93554599824964</v>
      </c>
      <c r="AR70" s="52">
        <f t="shared" si="33"/>
        <v>126.67632755050452</v>
      </c>
      <c r="AS70" s="53">
        <f t="shared" si="34"/>
        <v>115.27922755795798</v>
      </c>
    </row>
    <row r="71" spans="1:45">
      <c r="A71" s="289"/>
      <c r="B71" s="22" t="s">
        <v>85</v>
      </c>
      <c r="C71" s="22" t="s">
        <v>85</v>
      </c>
      <c r="D71" s="72">
        <f>Hair!F128</f>
        <v>3.2989015799999999</v>
      </c>
      <c r="E71" s="24">
        <f>Hair!G128</f>
        <v>3.6211378099999996</v>
      </c>
      <c r="F71" s="24">
        <f>Hair!H128</f>
        <v>4.3362175799999996</v>
      </c>
      <c r="G71" s="24">
        <f>Hair!I128</f>
        <v>0.81709726999999988</v>
      </c>
      <c r="H71" s="24">
        <f>Hair!J128</f>
        <v>7.8717860799999997</v>
      </c>
      <c r="I71" s="24">
        <f>Hair!K128</f>
        <v>2.9153999999999999E-2</v>
      </c>
      <c r="J71" s="72">
        <f>Hair!L128</f>
        <v>3.0889832999999998</v>
      </c>
      <c r="K71" s="24">
        <f>Hair!M128</f>
        <v>3.2274845999999999</v>
      </c>
      <c r="L71" s="24">
        <f>Hair!N128</f>
        <v>2.9084168300000002</v>
      </c>
      <c r="M71" s="24">
        <f>Hair!O128</f>
        <v>5.7782407600000001</v>
      </c>
      <c r="N71" s="24">
        <f>Hair!P128</f>
        <v>7.7995982000000001</v>
      </c>
      <c r="O71" s="24">
        <f>Hair!Q128</f>
        <v>3.5540731599999997</v>
      </c>
      <c r="P71" s="24">
        <f>Hair!R128</f>
        <v>2.5024369000000002</v>
      </c>
      <c r="Q71" s="24">
        <f>Hair!S128</f>
        <v>3.46233294</v>
      </c>
      <c r="R71" s="24">
        <f>Hair!T128</f>
        <v>2.7693108</v>
      </c>
      <c r="S71" s="24">
        <f>Hair!U128</f>
        <v>3.9644076500000005</v>
      </c>
      <c r="T71" s="24">
        <f>Hair!V128</f>
        <v>7.4187700500000009</v>
      </c>
      <c r="U71" s="24">
        <f>Hair!W128</f>
        <v>2.7268085000000002</v>
      </c>
      <c r="V71" s="72">
        <f>Hair!X128</f>
        <v>3.4838806</v>
      </c>
      <c r="W71" s="24">
        <f>Hair!Y128</f>
        <v>1.2886380000000002</v>
      </c>
      <c r="X71" s="24">
        <f>Hair!Z128</f>
        <v>14.503316300000003</v>
      </c>
      <c r="Y71" s="24">
        <f>Hair!AA128</f>
        <v>4.8596915999999988</v>
      </c>
      <c r="Z71" s="24">
        <f>Hair!AB128</f>
        <v>6.42099099</v>
      </c>
      <c r="AA71" s="24">
        <f>Hair!AC128</f>
        <v>1.67886427</v>
      </c>
      <c r="AB71" s="24">
        <f>Hair!AD128</f>
        <v>3.7256730799999995</v>
      </c>
      <c r="AC71" s="24">
        <f>Hair!AE128</f>
        <v>8.57</v>
      </c>
      <c r="AD71" s="24">
        <f>Hair!AF128</f>
        <v>4.9016872400000011</v>
      </c>
      <c r="AE71" s="24">
        <f>Hair!AG128</f>
        <v>5.6506083100000017</v>
      </c>
      <c r="AF71" s="24">
        <f>Hair!AH128</f>
        <v>7.2998199999999986</v>
      </c>
      <c r="AG71" s="25">
        <f>Hair!AI128</f>
        <v>4.4024999999999999</v>
      </c>
      <c r="AI71" s="21"/>
      <c r="AJ71" s="51">
        <f t="shared" si="24"/>
        <v>142.53348315479113</v>
      </c>
      <c r="AK71" s="52">
        <f t="shared" si="25"/>
        <v>141.03942703924656</v>
      </c>
      <c r="AL71" s="52">
        <f t="shared" si="26"/>
        <v>179.92668188695086</v>
      </c>
      <c r="AM71" s="52">
        <f t="shared" si="28"/>
        <v>208.95475080911936</v>
      </c>
      <c r="AN71" s="52">
        <f t="shared" si="29"/>
        <v>75.645653381976359</v>
      </c>
      <c r="AO71" s="52">
        <f t="shared" si="30"/>
        <v>196.89949095775697</v>
      </c>
      <c r="AP71" s="52">
        <f t="shared" si="31"/>
        <v>122.98331170586118</v>
      </c>
      <c r="AQ71" s="52">
        <f t="shared" si="32"/>
        <v>122.30386698146896</v>
      </c>
      <c r="AR71" s="52">
        <f t="shared" si="33"/>
        <v>151.24403580146412</v>
      </c>
      <c r="AS71" s="53">
        <f t="shared" si="34"/>
        <v>135.74084961352841</v>
      </c>
    </row>
    <row r="72" spans="1:45">
      <c r="A72" s="289"/>
      <c r="B72" s="22" t="s">
        <v>87</v>
      </c>
      <c r="C72" s="22" t="s">
        <v>87</v>
      </c>
      <c r="D72" s="72">
        <f>Hair!F130</f>
        <v>0.11519040000000001</v>
      </c>
      <c r="E72" s="24">
        <f>Hair!G130</f>
        <v>1.0948943999999998</v>
      </c>
      <c r="F72" s="24">
        <f>Hair!H130</f>
        <v>0.7178808000000001</v>
      </c>
      <c r="G72" s="24">
        <f>Hair!I130</f>
        <v>0.41601359999999998</v>
      </c>
      <c r="H72" s="24">
        <f>Hair!J130</f>
        <v>0.90749219999999997</v>
      </c>
      <c r="I72" s="24">
        <f>Hair!K130</f>
        <v>0</v>
      </c>
      <c r="J72" s="72">
        <f>Hair!L130</f>
        <v>1.4885424</v>
      </c>
      <c r="K72" s="24">
        <f>Hair!M130</f>
        <v>0.99053100000000005</v>
      </c>
      <c r="L72" s="24">
        <f>Hair!N130</f>
        <v>0</v>
      </c>
      <c r="M72" s="24">
        <f>Hair!O130</f>
        <v>1.4952108</v>
      </c>
      <c r="N72" s="24">
        <f>Hair!P130</f>
        <v>0.70484159999999996</v>
      </c>
      <c r="O72" s="24">
        <f>Hair!Q130</f>
        <v>1.5698466000000002</v>
      </c>
      <c r="P72" s="24">
        <f>Hair!R130</f>
        <v>6.5721600000000005E-2</v>
      </c>
      <c r="Q72" s="24">
        <f>Hair!S130</f>
        <v>1.2518399999999999E-2</v>
      </c>
      <c r="R72" s="24">
        <f>Hair!T130</f>
        <v>1.48656E-2</v>
      </c>
      <c r="S72" s="24">
        <f>Hair!U130</f>
        <v>0.15789750000000002</v>
      </c>
      <c r="T72" s="24">
        <f>Hair!V130</f>
        <v>0.43294419000000006</v>
      </c>
      <c r="U72" s="24">
        <f>Hair!W130</f>
        <v>0.39562199999999997</v>
      </c>
      <c r="V72" s="72">
        <f>Hair!X130</f>
        <v>1.3469856</v>
      </c>
      <c r="W72" s="24">
        <f>Hair!Y130</f>
        <v>0.68601075</v>
      </c>
      <c r="X72" s="24">
        <f>Hair!Z130</f>
        <v>7.4645550000000005E-2</v>
      </c>
      <c r="Y72" s="24">
        <f>Hair!AA130</f>
        <v>0.52875509999999992</v>
      </c>
      <c r="Z72" s="24">
        <f>Hair!AB130</f>
        <v>0.57982305000000001</v>
      </c>
      <c r="AA72" s="24">
        <f>Hair!AC130</f>
        <v>0.9225167999999998</v>
      </c>
      <c r="AB72" s="24">
        <f>Hair!AD130</f>
        <v>0.13460052000000003</v>
      </c>
      <c r="AC72" s="24">
        <f>Hair!AE130</f>
        <v>0.30473783999999993</v>
      </c>
      <c r="AD72" s="24">
        <f>Hair!AF130</f>
        <v>0.1071888</v>
      </c>
      <c r="AE72" s="24">
        <f>Hair!AG130</f>
        <v>0.26976665999999999</v>
      </c>
      <c r="AF72" s="24">
        <f>Hair!AH130</f>
        <v>0.36</v>
      </c>
      <c r="AG72" s="25">
        <f>Hair!AI130</f>
        <v>1.4272</v>
      </c>
      <c r="AI72" s="21"/>
      <c r="AJ72" s="51">
        <f t="shared" si="24"/>
        <v>170.84922813850753</v>
      </c>
      <c r="AK72" s="52">
        <f t="shared" si="25"/>
        <v>76.231528411145547</v>
      </c>
      <c r="AL72" s="52">
        <f t="shared" si="26"/>
        <v>325.21264478406829</v>
      </c>
      <c r="AM72" s="52">
        <f t="shared" si="28"/>
        <v>85.017325424894636</v>
      </c>
      <c r="AN72" s="52">
        <f t="shared" si="29"/>
        <v>53.876640992238791</v>
      </c>
      <c r="AO72" s="52">
        <f t="shared" si="30"/>
        <v>586.99708717842952</v>
      </c>
      <c r="AP72" s="52">
        <f t="shared" si="31"/>
        <v>208.51924717066876</v>
      </c>
      <c r="AQ72" s="52">
        <f t="shared" si="32"/>
        <v>66.230678983315698</v>
      </c>
      <c r="AR72" s="52">
        <f t="shared" si="33"/>
        <v>241.16041870735313</v>
      </c>
      <c r="AS72" s="53">
        <f t="shared" si="34"/>
        <v>91.999622233164914</v>
      </c>
    </row>
    <row r="73" spans="1:45">
      <c r="A73" s="286"/>
      <c r="B73" s="31" t="s">
        <v>5</v>
      </c>
      <c r="C73" s="31" t="s">
        <v>5</v>
      </c>
      <c r="D73" s="74">
        <f>Hair!F132</f>
        <v>5.2684657599999989</v>
      </c>
      <c r="E73" s="32">
        <f>Hair!G132</f>
        <v>2.28252604</v>
      </c>
      <c r="F73" s="32">
        <f>Hair!H132</f>
        <v>4.27101781</v>
      </c>
      <c r="G73" s="32">
        <f>Hair!I132</f>
        <v>1.8348366</v>
      </c>
      <c r="H73" s="32">
        <f>Hair!J132</f>
        <v>5.2134683700000002</v>
      </c>
      <c r="I73" s="32">
        <f>Hair!K132</f>
        <v>1.226485</v>
      </c>
      <c r="J73" s="74">
        <f>Hair!L132</f>
        <v>2.041868</v>
      </c>
      <c r="K73" s="32">
        <f>Hair!M132</f>
        <v>2.9440923999999997</v>
      </c>
      <c r="L73" s="32">
        <f>Hair!N132</f>
        <v>4.8106735999999994</v>
      </c>
      <c r="M73" s="32">
        <f>Hair!O132</f>
        <v>2.9183948000000002</v>
      </c>
      <c r="N73" s="32">
        <f>Hair!P132</f>
        <v>3.6043893599999999</v>
      </c>
      <c r="O73" s="32">
        <f>Hair!Q132</f>
        <v>4.2189981999999997</v>
      </c>
      <c r="P73" s="32">
        <f>Hair!R132</f>
        <v>2.3468682600000004</v>
      </c>
      <c r="Q73" s="32">
        <f>Hair!S132</f>
        <v>7.1523366699999995</v>
      </c>
      <c r="R73" s="32">
        <f>Hair!T132</f>
        <v>3.7014857999999999</v>
      </c>
      <c r="S73" s="32">
        <f>Hair!U132</f>
        <v>5.1848738000000001</v>
      </c>
      <c r="T73" s="32">
        <f>Hair!V132</f>
        <v>3.267925</v>
      </c>
      <c r="U73" s="32">
        <f>Hair!W132</f>
        <v>4.7440439800000007</v>
      </c>
      <c r="V73" s="74">
        <f>Hair!X132</f>
        <v>5.2360965999999998</v>
      </c>
      <c r="W73" s="32">
        <f>Hair!Y132</f>
        <v>1.9909041199999997</v>
      </c>
      <c r="X73" s="32">
        <f>Hair!Z132</f>
        <v>2.4721373999999998</v>
      </c>
      <c r="Y73" s="32">
        <f>Hair!AA132</f>
        <v>0.73589099999999996</v>
      </c>
      <c r="Z73" s="32">
        <f>Hair!AB132</f>
        <v>6.7564904500000003</v>
      </c>
      <c r="AA73" s="32">
        <f>Hair!AC132</f>
        <v>16.663406199999997</v>
      </c>
      <c r="AB73" s="32">
        <f>Hair!AD132</f>
        <v>8.8780750000000008</v>
      </c>
      <c r="AC73" s="32">
        <f>Hair!AE132</f>
        <v>5.3891505160000026</v>
      </c>
      <c r="AD73" s="32">
        <f>Hair!AF132</f>
        <v>1.6549583999999999</v>
      </c>
      <c r="AE73" s="32">
        <f>Hair!AG132</f>
        <v>7.3453844000000004</v>
      </c>
      <c r="AF73" s="32">
        <f>Hair!AH132</f>
        <v>5.6999999999999993</v>
      </c>
      <c r="AG73" s="33">
        <f>Hair!AI132</f>
        <v>6.3000000000000007</v>
      </c>
      <c r="AI73" s="21"/>
      <c r="AJ73" s="54">
        <f t="shared" si="24"/>
        <v>141.66949251493836</v>
      </c>
      <c r="AK73" s="48">
        <f t="shared" si="25"/>
        <v>146.75398759296843</v>
      </c>
      <c r="AL73" s="48">
        <f t="shared" si="26"/>
        <v>126.55346142912262</v>
      </c>
      <c r="AM73" s="48">
        <f t="shared" si="28"/>
        <v>99.004802261674769</v>
      </c>
      <c r="AN73" s="48">
        <f t="shared" si="29"/>
        <v>224.87690441346828</v>
      </c>
      <c r="AO73" s="48">
        <f t="shared" si="30"/>
        <v>120.61629381116485</v>
      </c>
      <c r="AP73" s="48">
        <f t="shared" si="31"/>
        <v>146.59100454934722</v>
      </c>
      <c r="AQ73" s="48">
        <f t="shared" si="32"/>
        <v>164.83707982439594</v>
      </c>
      <c r="AR73" s="48">
        <f t="shared" si="33"/>
        <v>133.60175602254591</v>
      </c>
      <c r="AS73" s="55">
        <f t="shared" si="34"/>
        <v>147.26983107287865</v>
      </c>
    </row>
    <row r="74" spans="1:45">
      <c r="A74" s="315" t="s">
        <v>745</v>
      </c>
      <c r="B74" s="213" t="s">
        <v>107</v>
      </c>
      <c r="C74" s="213" t="s">
        <v>83</v>
      </c>
      <c r="D74" s="214">
        <f>Fabric!F39</f>
        <v>2.7809609000000002</v>
      </c>
      <c r="E74" s="215">
        <f>Fabric!G39</f>
        <v>6.4711891000000001</v>
      </c>
      <c r="F74" s="215">
        <f>Fabric!H39</f>
        <v>5.3840903999999998</v>
      </c>
      <c r="G74" s="215">
        <f>Fabric!I39</f>
        <v>6.3855227599999997</v>
      </c>
      <c r="H74" s="215">
        <f>Fabric!J39</f>
        <v>4.8072243800000001</v>
      </c>
      <c r="I74" s="215">
        <f>Fabric!K39</f>
        <v>3.0644819999999999</v>
      </c>
      <c r="J74" s="214">
        <f>Fabric!L39</f>
        <v>5.6289812999999995</v>
      </c>
      <c r="K74" s="215">
        <f>Fabric!M39</f>
        <v>3.5542104999999999</v>
      </c>
      <c r="L74" s="215">
        <f>Fabric!N39</f>
        <v>4.9351769999999995</v>
      </c>
      <c r="M74" s="215">
        <f>Fabric!O39</f>
        <v>6.1177350000000006</v>
      </c>
      <c r="N74" s="215">
        <f>Fabric!P39</f>
        <v>3.5888228</v>
      </c>
      <c r="O74" s="215">
        <f>Fabric!Q39</f>
        <v>9.412625199999999</v>
      </c>
      <c r="P74" s="215">
        <f>Fabric!R39</f>
        <v>5.0501939</v>
      </c>
      <c r="Q74" s="215">
        <f>Fabric!S39</f>
        <v>2.0273216999999999</v>
      </c>
      <c r="R74" s="215">
        <f>Fabric!T39</f>
        <v>4.6956876000000003</v>
      </c>
      <c r="S74" s="215">
        <f>Fabric!U39</f>
        <v>8.4882603999999997</v>
      </c>
      <c r="T74" s="215">
        <f>Fabric!V39</f>
        <v>6.7464153000000007</v>
      </c>
      <c r="U74" s="215">
        <f>Fabric!W39</f>
        <v>6.0605583999999988</v>
      </c>
      <c r="V74" s="214">
        <f>Fabric!X39</f>
        <v>1.6837876000000003</v>
      </c>
      <c r="W74" s="215">
        <f>Fabric!Y39</f>
        <v>2.9252493999999998</v>
      </c>
      <c r="X74" s="215">
        <f>Fabric!Z39</f>
        <v>7.1204615999999987</v>
      </c>
      <c r="Y74" s="215">
        <f>Fabric!AA39</f>
        <v>5.9590471999999997</v>
      </c>
      <c r="Z74" s="215">
        <f>Fabric!AB39</f>
        <v>7.4892357000000001</v>
      </c>
      <c r="AA74" s="215">
        <f>Fabric!AC39</f>
        <v>10.8183335</v>
      </c>
      <c r="AB74" s="215">
        <f>Fabric!AD39</f>
        <v>1.98</v>
      </c>
      <c r="AC74" s="215">
        <f>Fabric!AE39</f>
        <v>3.1261779000000005</v>
      </c>
      <c r="AD74" s="215">
        <f>Fabric!AF39</f>
        <v>3.6652673300000007</v>
      </c>
      <c r="AE74" s="215">
        <f>Fabric!AG39</f>
        <v>1.3656622700000001</v>
      </c>
      <c r="AF74" s="215">
        <f>Fabric!AH39</f>
        <v>8.66</v>
      </c>
      <c r="AG74" s="216">
        <f>Fabric!AI39</f>
        <v>7.160000000000001</v>
      </c>
      <c r="AI74" s="21"/>
      <c r="AJ74" s="88">
        <f t="shared" si="24"/>
        <v>16.088835705370208</v>
      </c>
      <c r="AK74" s="89">
        <f t="shared" si="25"/>
        <v>86.231909419402129</v>
      </c>
      <c r="AL74" s="89">
        <f t="shared" si="26"/>
        <v>50.031467124615823</v>
      </c>
      <c r="AM74" s="89">
        <f t="shared" si="28"/>
        <v>83.079701105413832</v>
      </c>
      <c r="AN74" s="89">
        <f t="shared" si="29"/>
        <v>126.92287322109945</v>
      </c>
      <c r="AO74" s="89">
        <f t="shared" si="30"/>
        <v>74.503472682778465</v>
      </c>
      <c r="AP74" s="89">
        <f t="shared" si="31"/>
        <v>80.701917571312364</v>
      </c>
      <c r="AQ74" s="89">
        <f t="shared" si="32"/>
        <v>108.29953787390562</v>
      </c>
      <c r="AR74" s="89">
        <f t="shared" si="33"/>
        <v>78.495113828677958</v>
      </c>
      <c r="AS74" s="90">
        <f t="shared" si="34"/>
        <v>93.435334184615897</v>
      </c>
    </row>
    <row r="75" spans="1:45">
      <c r="A75" s="289"/>
      <c r="B75" s="22" t="s">
        <v>34</v>
      </c>
      <c r="C75" s="22" t="s">
        <v>83</v>
      </c>
      <c r="D75" s="72">
        <f>Fabric!F40</f>
        <v>2.4924109000000003</v>
      </c>
      <c r="E75" s="24">
        <f>Fabric!G40</f>
        <v>6.1984760999999997</v>
      </c>
      <c r="F75" s="24">
        <f>Fabric!H40</f>
        <v>4.6618373999999996</v>
      </c>
      <c r="G75" s="24">
        <f>Fabric!I40</f>
        <v>3.5313379600000001</v>
      </c>
      <c r="H75" s="24">
        <f>Fabric!J40</f>
        <v>4.0101177799999999</v>
      </c>
      <c r="I75" s="24">
        <f>Fabric!K40</f>
        <v>2.2831860000000002</v>
      </c>
      <c r="J75" s="72">
        <f>Fabric!L40</f>
        <v>3.3278382999999998</v>
      </c>
      <c r="K75" s="24">
        <f>Fabric!M40</f>
        <v>2.7685917</v>
      </c>
      <c r="L75" s="24">
        <f>Fabric!N40</f>
        <v>3.9408607999999998</v>
      </c>
      <c r="M75" s="24">
        <f>Fabric!O40</f>
        <v>2.4290813</v>
      </c>
      <c r="N75" s="24">
        <f>Fabric!P40</f>
        <v>0.51997950000000004</v>
      </c>
      <c r="O75" s="24">
        <f>Fabric!Q40</f>
        <v>8.5852217999999993</v>
      </c>
      <c r="P75" s="24">
        <f>Fabric!R40</f>
        <v>4.1486768999999999</v>
      </c>
      <c r="Q75" s="24">
        <f>Fabric!S40</f>
        <v>1.4611010999999998</v>
      </c>
      <c r="R75" s="24">
        <f>Fabric!T40</f>
        <v>3.3102672000000002</v>
      </c>
      <c r="S75" s="24">
        <f>Fabric!U40</f>
        <v>6.3011672000000001</v>
      </c>
      <c r="T75" s="24">
        <f>Fabric!V40</f>
        <v>3.4769814000000001</v>
      </c>
      <c r="U75" s="24">
        <f>Fabric!W40</f>
        <v>4.5577940999999988</v>
      </c>
      <c r="V75" s="72">
        <f>Fabric!X40</f>
        <v>1.6766376000000003</v>
      </c>
      <c r="W75" s="24">
        <f>Fabric!Y40</f>
        <v>1.5575858999999999</v>
      </c>
      <c r="X75" s="24">
        <f>Fabric!Z40</f>
        <v>3.5101535999999998</v>
      </c>
      <c r="Y75" s="24">
        <f>Fabric!AA40</f>
        <v>5.3425127999999997</v>
      </c>
      <c r="Z75" s="24">
        <f>Fabric!AB40</f>
        <v>7.4467404000000004</v>
      </c>
      <c r="AA75" s="24">
        <f>Fabric!AC40</f>
        <v>10.282381000000001</v>
      </c>
      <c r="AB75" s="24">
        <f>Fabric!AD40</f>
        <v>0.55000000000000004</v>
      </c>
      <c r="AC75" s="24">
        <f>Fabric!AE40</f>
        <v>2.7151218000000004</v>
      </c>
      <c r="AD75" s="24">
        <f>Fabric!AF40</f>
        <v>2.8593500299999994</v>
      </c>
      <c r="AE75" s="24">
        <f>Fabric!AG40</f>
        <v>0.91372967000000016</v>
      </c>
      <c r="AF75" s="24">
        <f>Fabric!AH40</f>
        <v>7.4</v>
      </c>
      <c r="AG75" s="25">
        <f>Fabric!AI40</f>
        <v>3.6</v>
      </c>
      <c r="AI75" s="21"/>
      <c r="AJ75" s="51">
        <f t="shared" si="24"/>
        <v>14.500958965189817</v>
      </c>
      <c r="AK75" s="52">
        <f t="shared" si="25"/>
        <v>100.16695392497299</v>
      </c>
      <c r="AL75" s="52">
        <f t="shared" si="26"/>
        <v>46.239427681857983</v>
      </c>
      <c r="AM75" s="52">
        <f t="shared" si="28"/>
        <v>67.193202173638326</v>
      </c>
      <c r="AN75" s="52">
        <f t="shared" si="29"/>
        <v>200.02660763661194</v>
      </c>
      <c r="AO75" s="52">
        <f t="shared" si="30"/>
        <v>68.659650177557381</v>
      </c>
      <c r="AP75" s="52">
        <f t="shared" si="31"/>
        <v>83.103915238165698</v>
      </c>
      <c r="AQ75" s="52">
        <f t="shared" si="32"/>
        <v>138.21899194427795</v>
      </c>
      <c r="AR75" s="52">
        <f t="shared" si="33"/>
        <v>77.563686296895597</v>
      </c>
      <c r="AS75" s="53">
        <f t="shared" si="34"/>
        <v>106.75176478984594</v>
      </c>
    </row>
    <row r="76" spans="1:45">
      <c r="A76" s="289"/>
      <c r="B76" s="22" t="s">
        <v>34</v>
      </c>
      <c r="C76" s="22" t="s">
        <v>35</v>
      </c>
      <c r="D76" s="72">
        <f>Fabric!F41</f>
        <v>0.67662</v>
      </c>
      <c r="E76" s="24">
        <f>Fabric!G41</f>
        <v>0.46447740000000004</v>
      </c>
      <c r="F76" s="24">
        <f>Fabric!H41</f>
        <v>0.52772219999999992</v>
      </c>
      <c r="G76" s="24">
        <f>Fabric!I41</f>
        <v>1.3728069599999999</v>
      </c>
      <c r="H76" s="24">
        <f>Fabric!J41</f>
        <v>1.1195517799999999</v>
      </c>
      <c r="I76" s="24">
        <f>Fabric!K41</f>
        <v>0.71584890000000001</v>
      </c>
      <c r="J76" s="72">
        <f>Fabric!L41</f>
        <v>0.3924474</v>
      </c>
      <c r="K76" s="24">
        <f>Fabric!M41</f>
        <v>0.60518189999999994</v>
      </c>
      <c r="L76" s="24">
        <f>Fabric!N41</f>
        <v>0.33040920000000001</v>
      </c>
      <c r="M76" s="24">
        <f>Fabric!O41</f>
        <v>0.4294557</v>
      </c>
      <c r="N76" s="24">
        <f>Fabric!P41</f>
        <v>0.32922689999999999</v>
      </c>
      <c r="O76" s="24">
        <f>Fabric!Q41</f>
        <v>2.8950047999999997</v>
      </c>
      <c r="P76" s="24">
        <f>Fabric!R41</f>
        <v>1.4673150000000001</v>
      </c>
      <c r="Q76" s="24">
        <f>Fabric!S41</f>
        <v>0.115038</v>
      </c>
      <c r="R76" s="24">
        <f>Fabric!T41</f>
        <v>1.4069034</v>
      </c>
      <c r="S76" s="24">
        <f>Fabric!U41</f>
        <v>1.3561109999999998</v>
      </c>
      <c r="T76" s="24">
        <f>Fabric!V41</f>
        <v>0.36555660000000001</v>
      </c>
      <c r="U76" s="24">
        <f>Fabric!W41</f>
        <v>0.35560619999999993</v>
      </c>
      <c r="V76" s="72">
        <f>Fabric!X41</f>
        <v>0.88220880000000013</v>
      </c>
      <c r="W76" s="24">
        <f>Fabric!Y41</f>
        <v>0.85268879999999991</v>
      </c>
      <c r="X76" s="24">
        <f>Fabric!Z41</f>
        <v>0.74097899999999994</v>
      </c>
      <c r="Y76" s="24">
        <f>Fabric!AA41</f>
        <v>2.9166767999999998</v>
      </c>
      <c r="Z76" s="24">
        <f>Fabric!AB41</f>
        <v>0.67278600000000011</v>
      </c>
      <c r="AA76" s="24">
        <f>Fabric!AC41</f>
        <v>1.1184714</v>
      </c>
      <c r="AB76" s="24">
        <f>Fabric!AD41</f>
        <v>0.68</v>
      </c>
      <c r="AC76" s="24">
        <f>Fabric!AE41</f>
        <v>1.2248118000000001</v>
      </c>
      <c r="AD76" s="24">
        <f>Fabric!AF41</f>
        <v>0.53580870000000003</v>
      </c>
      <c r="AE76" s="24">
        <f>Fabric!AG41</f>
        <v>1.2345210000000002</v>
      </c>
      <c r="AF76" s="24">
        <f>Fabric!AH41</f>
        <v>1</v>
      </c>
      <c r="AG76" s="25">
        <f>Fabric!AI41</f>
        <v>1</v>
      </c>
      <c r="AI76" s="21"/>
      <c r="AJ76" s="51">
        <f t="shared" si="24"/>
        <v>91.033919789751749</v>
      </c>
      <c r="AK76" s="52">
        <f t="shared" si="25"/>
        <v>116.42375551234167</v>
      </c>
      <c r="AL76" s="52">
        <f t="shared" si="26"/>
        <v>84.576082105278374</v>
      </c>
      <c r="AM76" s="52">
        <f t="shared" si="28"/>
        <v>186.43108614697542</v>
      </c>
      <c r="AN76" s="52">
        <f t="shared" si="29"/>
        <v>128.85432399060738</v>
      </c>
      <c r="AO76" s="52">
        <f t="shared" si="30"/>
        <v>81.646408785810394</v>
      </c>
      <c r="AP76" s="52">
        <f t="shared" si="31"/>
        <v>155.70990208416436</v>
      </c>
      <c r="AQ76" s="52">
        <f t="shared" si="32"/>
        <v>144.20325293288417</v>
      </c>
      <c r="AR76" s="52">
        <f t="shared" si="33"/>
        <v>112.01238867578446</v>
      </c>
      <c r="AS76" s="53">
        <f t="shared" si="34"/>
        <v>127.97198013295063</v>
      </c>
    </row>
    <row r="77" spans="1:45">
      <c r="A77" s="289"/>
      <c r="B77" s="22" t="s">
        <v>34</v>
      </c>
      <c r="C77" s="22" t="s">
        <v>36</v>
      </c>
      <c r="D77" s="72">
        <f>Fabric!F42</f>
        <v>1.8157909000000001</v>
      </c>
      <c r="E77" s="24">
        <f>Fabric!G42</f>
        <v>5.7339986999999999</v>
      </c>
      <c r="F77" s="24">
        <f>Fabric!H42</f>
        <v>4.1341152000000001</v>
      </c>
      <c r="G77" s="24">
        <f>Fabric!I42</f>
        <v>2.158531</v>
      </c>
      <c r="H77" s="24">
        <f>Fabric!J42</f>
        <v>2.8905660000000002</v>
      </c>
      <c r="I77" s="24">
        <f>Fabric!K42</f>
        <v>1.5673371</v>
      </c>
      <c r="J77" s="72">
        <f>Fabric!L42</f>
        <v>2.9353908999999998</v>
      </c>
      <c r="K77" s="24">
        <f>Fabric!M42</f>
        <v>2.1634098000000002</v>
      </c>
      <c r="L77" s="24">
        <f>Fabric!N42</f>
        <v>3.6104515999999998</v>
      </c>
      <c r="M77" s="24">
        <f>Fabric!O42</f>
        <v>1.9996255999999999</v>
      </c>
      <c r="N77" s="24">
        <f>Fabric!P42</f>
        <v>0.19075259999999999</v>
      </c>
      <c r="O77" s="24">
        <f>Fabric!Q42</f>
        <v>5.6902169999999996</v>
      </c>
      <c r="P77" s="24">
        <f>Fabric!R42</f>
        <v>2.6813619000000002</v>
      </c>
      <c r="Q77" s="24">
        <f>Fabric!S42</f>
        <v>1.3460630999999998</v>
      </c>
      <c r="R77" s="24">
        <f>Fabric!T42</f>
        <v>1.9033638000000004</v>
      </c>
      <c r="S77" s="24">
        <f>Fabric!U42</f>
        <v>4.9450561999999998</v>
      </c>
      <c r="T77" s="24">
        <f>Fabric!V42</f>
        <v>3.1114248</v>
      </c>
      <c r="U77" s="24">
        <f>Fabric!W42</f>
        <v>4.2021878999999993</v>
      </c>
      <c r="V77" s="72">
        <f>Fabric!X42</f>
        <v>0.79442880000000005</v>
      </c>
      <c r="W77" s="24">
        <f>Fabric!Y42</f>
        <v>0.70489710000000005</v>
      </c>
      <c r="X77" s="24">
        <f>Fabric!Z42</f>
        <v>2.7691745999999999</v>
      </c>
      <c r="Y77" s="24">
        <f>Fabric!AA42</f>
        <v>2.4258360000000003</v>
      </c>
      <c r="Z77" s="24">
        <f>Fabric!AB42</f>
        <v>6.7739544</v>
      </c>
      <c r="AA77" s="24">
        <f>Fabric!AC42</f>
        <v>9.1639096000000002</v>
      </c>
      <c r="AB77" s="24">
        <f>Fabric!AD42</f>
        <v>-0.13</v>
      </c>
      <c r="AC77" s="24">
        <f>Fabric!AE42</f>
        <v>1.49031</v>
      </c>
      <c r="AD77" s="24">
        <f>Fabric!AF42</f>
        <v>2.3235413299999994</v>
      </c>
      <c r="AE77" s="24">
        <f>Fabric!AG42</f>
        <v>-0.32079133000000004</v>
      </c>
      <c r="AF77" s="24">
        <f>Fabric!AH42</f>
        <v>6.4</v>
      </c>
      <c r="AG77" s="25">
        <f>Fabric!AI42</f>
        <v>2.6</v>
      </c>
      <c r="AI77" s="21"/>
      <c r="AJ77" s="51">
        <f t="shared" si="24"/>
        <v>-6.4871119159373771</v>
      </c>
      <c r="AK77" s="52">
        <f t="shared" si="25"/>
        <v>94.646295555810241</v>
      </c>
      <c r="AL77" s="52">
        <f t="shared" si="26"/>
        <v>30.922286957932922</v>
      </c>
      <c r="AM77" s="52">
        <f t="shared" si="28"/>
        <v>49.011101676317267</v>
      </c>
      <c r="AN77" s="52">
        <f t="shared" si="29"/>
        <v>233.02427715104565</v>
      </c>
      <c r="AO77" s="52">
        <f t="shared" si="30"/>
        <v>62.11401980795538</v>
      </c>
      <c r="AP77" s="52">
        <f t="shared" si="31"/>
        <v>70.800579906355082</v>
      </c>
      <c r="AQ77" s="52">
        <f t="shared" si="32"/>
        <v>136.42199242639214</v>
      </c>
      <c r="AR77" s="52">
        <f t="shared" si="33"/>
        <v>67.968271533460836</v>
      </c>
      <c r="AS77" s="53">
        <f t="shared" si="34"/>
        <v>100.620930460681</v>
      </c>
    </row>
    <row r="78" spans="1:45">
      <c r="A78" s="289"/>
      <c r="B78" s="22" t="s">
        <v>38</v>
      </c>
      <c r="C78" s="22" t="s">
        <v>38</v>
      </c>
      <c r="D78" s="72">
        <f>Fabric!F43</f>
        <v>0.28854999999999997</v>
      </c>
      <c r="E78" s="24">
        <f>Fabric!G43</f>
        <v>0.27271299999999998</v>
      </c>
      <c r="F78" s="24">
        <f>Fabric!H43</f>
        <v>0.42289300000000002</v>
      </c>
      <c r="G78" s="24">
        <f>Fabric!I43</f>
        <v>2.72546</v>
      </c>
      <c r="H78" s="24">
        <f>Fabric!J43</f>
        <v>0.65191699999999997</v>
      </c>
      <c r="I78" s="24">
        <f>Fabric!K43</f>
        <v>0.66155200000000003</v>
      </c>
      <c r="J78" s="72">
        <f>Fabric!L43</f>
        <v>2.3011430000000002</v>
      </c>
      <c r="K78" s="24">
        <f>Fabric!M43</f>
        <v>0.68683000000000005</v>
      </c>
      <c r="L78" s="24">
        <f>Fabric!N43</f>
        <v>0.86858500000000005</v>
      </c>
      <c r="M78" s="24">
        <f>Fabric!O43</f>
        <v>3.5898648999999998</v>
      </c>
      <c r="N78" s="24">
        <f>Fabric!P43</f>
        <v>3.0322676999999998</v>
      </c>
      <c r="O78" s="24">
        <f>Fabric!Q43</f>
        <v>0.81397059999999999</v>
      </c>
      <c r="P78" s="24">
        <f>Fabric!R43</f>
        <v>0.164741</v>
      </c>
      <c r="Q78" s="24">
        <f>Fabric!S43</f>
        <v>0.56622059999999996</v>
      </c>
      <c r="R78" s="24">
        <f>Fabric!T43</f>
        <v>1.370412</v>
      </c>
      <c r="S78" s="24">
        <f>Fabric!U43</f>
        <v>0</v>
      </c>
      <c r="T78" s="24">
        <f>Fabric!V43</f>
        <v>3.2694339000000006</v>
      </c>
      <c r="U78" s="24">
        <f>Fabric!W43</f>
        <v>1.1184683</v>
      </c>
      <c r="V78" s="72">
        <f>Fabric!X43</f>
        <v>7.1500000000000001E-3</v>
      </c>
      <c r="W78" s="24">
        <f>Fabric!Y43</f>
        <v>0.17110549999999997</v>
      </c>
      <c r="X78" s="24">
        <f>Fabric!Z43</f>
        <v>3.610307999999999</v>
      </c>
      <c r="Y78" s="24">
        <f>Fabric!AA43</f>
        <v>0.61653440000000004</v>
      </c>
      <c r="Z78" s="24">
        <f>Fabric!AB43</f>
        <v>4.24953E-2</v>
      </c>
      <c r="AA78" s="24">
        <f>Fabric!AC43</f>
        <v>0.46389699999999995</v>
      </c>
      <c r="AB78" s="24">
        <f>Fabric!AD43</f>
        <v>1.42</v>
      </c>
      <c r="AC78" s="24">
        <f>Fabric!AE43</f>
        <v>0.3433676</v>
      </c>
      <c r="AD78" s="24">
        <f>Fabric!AF43</f>
        <v>0.62492955000000161</v>
      </c>
      <c r="AE78" s="24">
        <f>Fabric!AG43</f>
        <v>0.35367509999999996</v>
      </c>
      <c r="AF78" s="24">
        <f>Fabric!AH43</f>
        <v>1.0599999999999998</v>
      </c>
      <c r="AG78" s="25">
        <f>Fabric!AI43</f>
        <v>3.3600000000000003</v>
      </c>
      <c r="AI78" s="21"/>
      <c r="AJ78" s="51" t="str">
        <f t="shared" si="24"/>
        <v>NA</v>
      </c>
      <c r="AK78" s="52">
        <f t="shared" si="25"/>
        <v>57.140828467908733</v>
      </c>
      <c r="AL78" s="52">
        <f t="shared" si="26"/>
        <v>130.48475768421196</v>
      </c>
      <c r="AM78" s="52">
        <f t="shared" si="28"/>
        <v>98.236912293293628</v>
      </c>
      <c r="AN78" s="52">
        <f t="shared" si="29"/>
        <v>15.101010163495312</v>
      </c>
      <c r="AO78" s="52">
        <f t="shared" si="30"/>
        <v>113.65409511188307</v>
      </c>
      <c r="AP78" s="52">
        <f t="shared" si="31"/>
        <v>108.79173879490749</v>
      </c>
      <c r="AQ78" s="52">
        <f t="shared" si="32"/>
        <v>43.492761475922073</v>
      </c>
      <c r="AR78" s="52">
        <f t="shared" si="33"/>
        <v>110.36627923874033</v>
      </c>
      <c r="AS78" s="53">
        <f t="shared" si="34"/>
        <v>67.897341273900594</v>
      </c>
    </row>
    <row r="79" spans="1:45">
      <c r="A79" s="286"/>
      <c r="B79" s="31" t="s">
        <v>37</v>
      </c>
      <c r="C79" s="31" t="s">
        <v>37</v>
      </c>
      <c r="D79" s="74">
        <f>Fabric!F44</f>
        <v>0</v>
      </c>
      <c r="E79" s="32">
        <f>Fabric!G44</f>
        <v>0</v>
      </c>
      <c r="F79" s="32">
        <f>Fabric!H44</f>
        <v>0.29936000000000001</v>
      </c>
      <c r="G79" s="32">
        <f>Fabric!I44</f>
        <v>0.1287248</v>
      </c>
      <c r="H79" s="32">
        <f>Fabric!J44</f>
        <v>0.1451896</v>
      </c>
      <c r="I79" s="32">
        <f>Fabric!K44</f>
        <v>0.119744</v>
      </c>
      <c r="J79" s="74">
        <f>Fabric!L44</f>
        <v>0</v>
      </c>
      <c r="K79" s="32">
        <f>Fabric!M44</f>
        <v>9.8788799999999996E-2</v>
      </c>
      <c r="L79" s="32">
        <f>Fabric!N44</f>
        <v>0.12573120000000002</v>
      </c>
      <c r="M79" s="32">
        <f>Fabric!O44</f>
        <v>9.8788799999999996E-2</v>
      </c>
      <c r="N79" s="32">
        <f>Fabric!P44</f>
        <v>3.65756E-2</v>
      </c>
      <c r="O79" s="32">
        <f>Fabric!Q44</f>
        <v>1.34328E-2</v>
      </c>
      <c r="P79" s="32">
        <f>Fabric!R44</f>
        <v>0.73677599999999999</v>
      </c>
      <c r="Q79" s="32">
        <f>Fabric!S44</f>
        <v>0</v>
      </c>
      <c r="R79" s="32">
        <f>Fabric!T44</f>
        <v>1.50084E-2</v>
      </c>
      <c r="S79" s="32">
        <f>Fabric!U44</f>
        <v>2.1870932000000001</v>
      </c>
      <c r="T79" s="32">
        <f>Fabric!V44</f>
        <v>0</v>
      </c>
      <c r="U79" s="32">
        <f>Fabric!W44</f>
        <v>0.38429600000000003</v>
      </c>
      <c r="V79" s="74">
        <f>Fabric!X44</f>
        <v>0</v>
      </c>
      <c r="W79" s="32">
        <f>Fabric!Y44</f>
        <v>1.196558</v>
      </c>
      <c r="X79" s="32">
        <f>Fabric!Z44</f>
        <v>0</v>
      </c>
      <c r="Y79" s="32">
        <f>Fabric!AA44</f>
        <v>0</v>
      </c>
      <c r="Z79" s="32">
        <f>Fabric!AB44</f>
        <v>0</v>
      </c>
      <c r="AA79" s="32">
        <f>Fabric!AC44</f>
        <v>7.2055499999999995E-2</v>
      </c>
      <c r="AB79" s="32">
        <f>Fabric!AD44</f>
        <v>0.01</v>
      </c>
      <c r="AC79" s="32">
        <f>Fabric!AE44</f>
        <v>6.7688499999999999E-2</v>
      </c>
      <c r="AD79" s="32">
        <f>Fabric!AF44</f>
        <v>0.18098775</v>
      </c>
      <c r="AE79" s="32">
        <f>Fabric!AG44</f>
        <v>9.8257499999999998E-2</v>
      </c>
      <c r="AF79" s="32">
        <f>Fabric!AH44</f>
        <v>0.2</v>
      </c>
      <c r="AG79" s="33">
        <f>Fabric!AI44</f>
        <v>0.2</v>
      </c>
      <c r="AI79" s="21"/>
      <c r="AJ79" s="54">
        <f t="shared" si="24"/>
        <v>4.4926068994224844</v>
      </c>
      <c r="AK79" s="48">
        <f t="shared" si="25"/>
        <v>49.077646338917013</v>
      </c>
      <c r="AL79" s="48">
        <f t="shared" si="26"/>
        <v>12.145240414231608</v>
      </c>
      <c r="AM79" s="48">
        <f t="shared" si="28"/>
        <v>532.94049527881702</v>
      </c>
      <c r="AN79" s="48">
        <f t="shared" si="29"/>
        <v>48.425306390174008</v>
      </c>
      <c r="AO79" s="48">
        <f t="shared" si="30"/>
        <v>34.408302433516837</v>
      </c>
      <c r="AP79" s="48">
        <f t="shared" si="31"/>
        <v>19.376977238607054</v>
      </c>
      <c r="AQ79" s="48">
        <f t="shared" si="32"/>
        <v>339.8218726594971</v>
      </c>
      <c r="AR79" s="48">
        <f t="shared" si="33"/>
        <v>22.777436303658646</v>
      </c>
      <c r="AS79" s="55">
        <f t="shared" si="34"/>
        <v>54.796491039555676</v>
      </c>
    </row>
    <row r="80" spans="1:45">
      <c r="A80" s="315" t="s">
        <v>745</v>
      </c>
      <c r="B80" s="213" t="s">
        <v>115</v>
      </c>
      <c r="C80" s="213" t="s">
        <v>83</v>
      </c>
      <c r="D80" s="214">
        <f>Oral!F5</f>
        <v>4.0149622000000003</v>
      </c>
      <c r="E80" s="215">
        <f>Oral!G5</f>
        <v>7.0904382400000001</v>
      </c>
      <c r="F80" s="215">
        <f>Oral!H5</f>
        <v>6.4562731999999992</v>
      </c>
      <c r="G80" s="215">
        <f>Oral!I5</f>
        <v>9.8837742000000013</v>
      </c>
      <c r="H80" s="215">
        <f>Oral!J5</f>
        <v>7.9566037599999992</v>
      </c>
      <c r="I80" s="215">
        <f>Oral!K5</f>
        <v>3.1500274599999996</v>
      </c>
      <c r="J80" s="214">
        <f>Oral!L5</f>
        <v>8.4579539500000003</v>
      </c>
      <c r="K80" s="215">
        <f>Oral!M5</f>
        <v>8.1339644199999999</v>
      </c>
      <c r="L80" s="215">
        <f>Oral!N5</f>
        <v>6.449899460000001</v>
      </c>
      <c r="M80" s="215">
        <f>Oral!O5</f>
        <v>10.77507164</v>
      </c>
      <c r="N80" s="215">
        <f>Oral!P5</f>
        <v>7.4250127599999995</v>
      </c>
      <c r="O80" s="215">
        <f>Oral!Q5</f>
        <v>5.26660678</v>
      </c>
      <c r="P80" s="215">
        <f>Oral!R5</f>
        <v>4.2527665799999994</v>
      </c>
      <c r="Q80" s="215">
        <f>Oral!S5</f>
        <v>6.0636590899999998</v>
      </c>
      <c r="R80" s="215">
        <f>Oral!T5</f>
        <v>3.8513850499999993</v>
      </c>
      <c r="S80" s="215">
        <f>Oral!U5</f>
        <v>7.2405718399999994</v>
      </c>
      <c r="T80" s="215">
        <f>Oral!V5</f>
        <v>5.5693625999999998</v>
      </c>
      <c r="U80" s="215">
        <f>Oral!W5</f>
        <v>3.3008397</v>
      </c>
      <c r="V80" s="214">
        <f>Oral!X5</f>
        <v>6.2932550599999999</v>
      </c>
      <c r="W80" s="215">
        <f>Oral!Y5</f>
        <v>4.1015632599999998</v>
      </c>
      <c r="X80" s="215">
        <f>Oral!Z5</f>
        <v>5.3813497200000002</v>
      </c>
      <c r="Y80" s="215">
        <f>Oral!AA5</f>
        <v>9.1300240600000002</v>
      </c>
      <c r="Z80" s="215">
        <f>Oral!AB5</f>
        <v>6.4880805400000003</v>
      </c>
      <c r="AA80" s="215">
        <f>Oral!AC5</f>
        <v>4.1896457899999993</v>
      </c>
      <c r="AB80" s="215">
        <f>Oral!AD5</f>
        <v>4.9799039700000005</v>
      </c>
      <c r="AC80" s="215">
        <f>Oral!AE5</f>
        <v>5.6321112199999996</v>
      </c>
      <c r="AD80" s="215">
        <f>Oral!AF5</f>
        <v>4.9697949000000001</v>
      </c>
      <c r="AE80" s="215">
        <f>Oral!AG5</f>
        <v>5.8951050700000005</v>
      </c>
      <c r="AF80" s="215">
        <f>Oral!AH5</f>
        <v>6.8900000000000006</v>
      </c>
      <c r="AG80" s="216">
        <f>Oral!AI5</f>
        <v>7.0780000000000003</v>
      </c>
      <c r="AI80" s="21"/>
      <c r="AJ80" s="88">
        <f t="shared" si="24"/>
        <v>81.417672530129906</v>
      </c>
      <c r="AK80" s="89">
        <f t="shared" si="25"/>
        <v>84.015673083608405</v>
      </c>
      <c r="AL80" s="89">
        <f t="shared" si="26"/>
        <v>100.32012040053904</v>
      </c>
      <c r="AM80" s="89">
        <f t="shared" si="28"/>
        <v>68.467549550104209</v>
      </c>
      <c r="AN80" s="89">
        <f t="shared" si="29"/>
        <v>84.407939057388646</v>
      </c>
      <c r="AO80" s="89">
        <f t="shared" si="30"/>
        <v>109.98036604204438</v>
      </c>
      <c r="AP80" s="89">
        <f t="shared" si="31"/>
        <v>123.29081704822408</v>
      </c>
      <c r="AQ80" s="89">
        <f t="shared" si="32"/>
        <v>76.510555138090822</v>
      </c>
      <c r="AR80" s="89">
        <f t="shared" si="33"/>
        <v>117.06265442684234</v>
      </c>
      <c r="AS80" s="90">
        <f t="shared" si="34"/>
        <v>92.501005065058592</v>
      </c>
    </row>
    <row r="81" spans="1:45">
      <c r="A81" s="289"/>
      <c r="B81" s="22" t="s">
        <v>732</v>
      </c>
      <c r="C81" s="22" t="s">
        <v>720</v>
      </c>
      <c r="D81" s="72">
        <f>Oral!F72</f>
        <v>1.9293887999999999</v>
      </c>
      <c r="E81" s="24">
        <f>Oral!G72</f>
        <v>2.7239931999999998</v>
      </c>
      <c r="F81" s="24">
        <f>Oral!H72</f>
        <v>3.0379011999999994</v>
      </c>
      <c r="G81" s="24">
        <f>Oral!I72</f>
        <v>3.3913737999999998</v>
      </c>
      <c r="H81" s="24">
        <f>Oral!J72</f>
        <v>3.1461999999999994</v>
      </c>
      <c r="I81" s="24">
        <f>Oral!K72</f>
        <v>0.22412799999999999</v>
      </c>
      <c r="J81" s="72">
        <f>Oral!L72</f>
        <v>1.5435395999999999</v>
      </c>
      <c r="K81" s="24">
        <f>Oral!M72</f>
        <v>2.8278216</v>
      </c>
      <c r="L81" s="24">
        <f>Oral!N72</f>
        <v>2.4626352000000002</v>
      </c>
      <c r="M81" s="24">
        <f>Oral!O72</f>
        <v>1.7032155999999998</v>
      </c>
      <c r="N81" s="24">
        <f>Oral!P72</f>
        <v>0.4117016</v>
      </c>
      <c r="O81" s="24">
        <f>Oral!Q72</f>
        <v>1.4873992</v>
      </c>
      <c r="P81" s="24">
        <f>Oral!R72</f>
        <v>0.53896320000000009</v>
      </c>
      <c r="Q81" s="24">
        <f>Oral!S72</f>
        <v>1.1171312</v>
      </c>
      <c r="R81" s="24">
        <f>Oral!T72</f>
        <v>1.2557563999999999</v>
      </c>
      <c r="S81" s="24">
        <f>Oral!U72</f>
        <v>1.6290692</v>
      </c>
      <c r="T81" s="24">
        <f>Oral!V72</f>
        <v>2.9458607999999997</v>
      </c>
      <c r="U81" s="24">
        <f>Oral!W72</f>
        <v>0.27941759999999999</v>
      </c>
      <c r="V81" s="72">
        <f>Oral!X72</f>
        <v>1.6815751999999999</v>
      </c>
      <c r="W81" s="24">
        <f>Oral!Y72</f>
        <v>1.4102043999999998</v>
      </c>
      <c r="X81" s="24">
        <f>Oral!Z72</f>
        <v>1.7086835999999999</v>
      </c>
      <c r="Y81" s="24">
        <f>Oral!AA72</f>
        <v>1.3608856</v>
      </c>
      <c r="Z81" s="24">
        <f>Oral!AB72</f>
        <v>0.96140159999999997</v>
      </c>
      <c r="AA81" s="24">
        <f>Oral!AC72</f>
        <v>0.58908359999999993</v>
      </c>
      <c r="AB81" s="24">
        <f>Oral!AD72</f>
        <v>0.83575200000000005</v>
      </c>
      <c r="AC81" s="24">
        <f>Oral!AE72</f>
        <v>1.6685443999999998</v>
      </c>
      <c r="AD81" s="24">
        <f>Oral!AF72</f>
        <v>1.6607616000000001</v>
      </c>
      <c r="AE81" s="24">
        <f>Oral!AG72</f>
        <v>1.7782095999999998</v>
      </c>
      <c r="AF81" s="24">
        <f>Oral!AH72</f>
        <v>1.1400000000000001</v>
      </c>
      <c r="AG81" s="25">
        <f>Oral!AI72</f>
        <v>1.34</v>
      </c>
      <c r="AI81" s="21"/>
      <c r="AJ81" s="51">
        <f t="shared" si="24"/>
        <v>109.15494565853922</v>
      </c>
      <c r="AK81" s="52">
        <f t="shared" si="25"/>
        <v>91.172393340911412</v>
      </c>
      <c r="AL81" s="52">
        <f t="shared" si="26"/>
        <v>130.88245553764438</v>
      </c>
      <c r="AM81" s="52">
        <f t="shared" si="28"/>
        <v>70.243864922141299</v>
      </c>
      <c r="AN81" s="52">
        <f t="shared" si="29"/>
        <v>80.819408311829577</v>
      </c>
      <c r="AO81" s="52">
        <f t="shared" si="30"/>
        <v>143.03816665331891</v>
      </c>
      <c r="AP81" s="52">
        <f t="shared" si="31"/>
        <v>87.719503234585005</v>
      </c>
      <c r="AQ81" s="52">
        <f t="shared" si="32"/>
        <v>73.894239735704346</v>
      </c>
      <c r="AR81" s="52">
        <f t="shared" si="33"/>
        <v>108.46062856184567</v>
      </c>
      <c r="AS81" s="53">
        <f t="shared" si="34"/>
        <v>88.642173723810174</v>
      </c>
    </row>
    <row r="82" spans="1:45">
      <c r="A82" s="289"/>
      <c r="B82" s="22" t="s">
        <v>732</v>
      </c>
      <c r="C82" s="22" t="s">
        <v>721</v>
      </c>
      <c r="D82" s="72">
        <f>Oral!F74</f>
        <v>0.76361800000000002</v>
      </c>
      <c r="E82" s="24">
        <f>Oral!G74</f>
        <v>2.9832974399999999</v>
      </c>
      <c r="F82" s="24">
        <f>Oral!H74</f>
        <v>1.4445840000000001</v>
      </c>
      <c r="G82" s="24">
        <f>Oral!I74</f>
        <v>1.1569912200000001</v>
      </c>
      <c r="H82" s="24">
        <f>Oral!J74</f>
        <v>3.9189327599999997</v>
      </c>
      <c r="I82" s="24">
        <f>Oral!K74</f>
        <v>1.16555751</v>
      </c>
      <c r="J82" s="72">
        <f>Oral!L74</f>
        <v>3.4842470400000001</v>
      </c>
      <c r="K82" s="24">
        <f>Oral!M74</f>
        <v>1.6835058000000001</v>
      </c>
      <c r="L82" s="24">
        <f>Oral!N74</f>
        <v>2.26077138</v>
      </c>
      <c r="M82" s="24">
        <f>Oral!O74</f>
        <v>6.96021</v>
      </c>
      <c r="N82" s="24">
        <f>Oral!P74</f>
        <v>2.2766653200000002</v>
      </c>
      <c r="O82" s="24">
        <f>Oral!Q74</f>
        <v>1.7021146800000002</v>
      </c>
      <c r="P82" s="24">
        <f>Oral!R74</f>
        <v>2.61892098</v>
      </c>
      <c r="Q82" s="24">
        <f>Oral!S74</f>
        <v>3.2548168799999999</v>
      </c>
      <c r="R82" s="24">
        <f>Oral!T74</f>
        <v>1.35188292</v>
      </c>
      <c r="S82" s="24">
        <f>Oral!U74</f>
        <v>1.2646088400000002</v>
      </c>
      <c r="T82" s="24">
        <f>Oral!V74</f>
        <v>2.6235017999999997</v>
      </c>
      <c r="U82" s="24">
        <f>Oral!W74</f>
        <v>1.2482016</v>
      </c>
      <c r="V82" s="72">
        <f>Oral!X74</f>
        <v>1.16462226</v>
      </c>
      <c r="W82" s="24">
        <f>Oral!Y74</f>
        <v>0.69258485999999997</v>
      </c>
      <c r="X82" s="24">
        <f>Oral!Z74</f>
        <v>2.0903797200000001</v>
      </c>
      <c r="Y82" s="24">
        <f>Oral!AA74</f>
        <v>2.0153313600000002</v>
      </c>
      <c r="Z82" s="24">
        <f>Oral!AB74</f>
        <v>1.7212579000000001</v>
      </c>
      <c r="AA82" s="24">
        <f>Oral!AC74</f>
        <v>2.6813753599999997</v>
      </c>
      <c r="AB82" s="24">
        <f>Oral!AD74</f>
        <v>2.4625406400000003</v>
      </c>
      <c r="AC82" s="24">
        <f>Oral!AE74</f>
        <v>2.0966822399999998</v>
      </c>
      <c r="AD82" s="24">
        <f>Oral!AF74</f>
        <v>1.3342088999999999</v>
      </c>
      <c r="AE82" s="24">
        <f>Oral!AG74</f>
        <v>2.6962796400000002</v>
      </c>
      <c r="AF82" s="24">
        <f>Oral!AH74</f>
        <v>2.2000000000000002</v>
      </c>
      <c r="AG82" s="25">
        <f>Oral!AI74</f>
        <v>2.2000000000000002</v>
      </c>
      <c r="AI82" s="21"/>
      <c r="AJ82" s="51">
        <f t="shared" si="24"/>
        <v>213.21056398751725</v>
      </c>
      <c r="AK82" s="52">
        <f t="shared" si="25"/>
        <v>70.576527175634865</v>
      </c>
      <c r="AL82" s="52">
        <f t="shared" si="26"/>
        <v>101.17172095988612</v>
      </c>
      <c r="AM82" s="52">
        <f t="shared" si="28"/>
        <v>53.140929787531874</v>
      </c>
      <c r="AN82" s="52">
        <f t="shared" si="29"/>
        <v>58.670541064577264</v>
      </c>
      <c r="AO82" s="52">
        <f t="shared" si="30"/>
        <v>81.562982052872144</v>
      </c>
      <c r="AP82" s="52">
        <f t="shared" si="31"/>
        <v>138.1590391786618</v>
      </c>
      <c r="AQ82" s="52">
        <f t="shared" si="32"/>
        <v>56.43415508405144</v>
      </c>
      <c r="AR82" s="52">
        <f t="shared" si="33"/>
        <v>105.07831905402121</v>
      </c>
      <c r="AS82" s="53">
        <f t="shared" si="34"/>
        <v>76.002873392394918</v>
      </c>
    </row>
    <row r="83" spans="1:45">
      <c r="A83" s="286"/>
      <c r="B83" s="31" t="s">
        <v>723</v>
      </c>
      <c r="C83" s="31" t="s">
        <v>720</v>
      </c>
      <c r="D83" s="74">
        <f>Oral!F76</f>
        <v>1.3219554000000004</v>
      </c>
      <c r="E83" s="32">
        <f>Oral!G76</f>
        <v>1.3831475999999998</v>
      </c>
      <c r="F83" s="32">
        <f>Oral!H76</f>
        <v>1.9737880000000001</v>
      </c>
      <c r="G83" s="32">
        <f>Oral!I76</f>
        <v>5.3354091800000001</v>
      </c>
      <c r="H83" s="32">
        <f>Oral!J76</f>
        <v>0.89147100000000001</v>
      </c>
      <c r="I83" s="32">
        <f>Oral!K76</f>
        <v>1.7603419499999995</v>
      </c>
      <c r="J83" s="74">
        <f>Oral!L76</f>
        <v>3.4301673099999999</v>
      </c>
      <c r="K83" s="32">
        <f>Oral!M76</f>
        <v>3.62263702</v>
      </c>
      <c r="L83" s="32">
        <f>Oral!N76</f>
        <v>1.7264928800000001</v>
      </c>
      <c r="M83" s="32">
        <f>Oral!O76</f>
        <v>2.1116460400000001</v>
      </c>
      <c r="N83" s="32">
        <f>Oral!P76</f>
        <v>4.7366458399999996</v>
      </c>
      <c r="O83" s="32">
        <f>Oral!Q76</f>
        <v>2.0770929000000002</v>
      </c>
      <c r="P83" s="32">
        <f>Oral!R76</f>
        <v>1.0948823999999999</v>
      </c>
      <c r="Q83" s="32">
        <f>Oral!S76</f>
        <v>1.6917110099999999</v>
      </c>
      <c r="R83" s="32">
        <f>Oral!T76</f>
        <v>1.2437457299999999</v>
      </c>
      <c r="S83" s="32">
        <f>Oral!U76</f>
        <v>4.3468937999999993</v>
      </c>
      <c r="T83" s="32">
        <f>Oral!V76</f>
        <v>0</v>
      </c>
      <c r="U83" s="32">
        <f>Oral!W76</f>
        <v>1.7732205000000001</v>
      </c>
      <c r="V83" s="74">
        <f>Oral!X76</f>
        <v>3.4470575999999999</v>
      </c>
      <c r="W83" s="32">
        <f>Oral!Y76</f>
        <v>1.9987740000000001</v>
      </c>
      <c r="X83" s="32">
        <f>Oral!Z76</f>
        <v>1.5822863999999999</v>
      </c>
      <c r="Y83" s="32">
        <f>Oral!AA76</f>
        <v>5.7538070999999995</v>
      </c>
      <c r="Z83" s="32">
        <f>Oral!AB76</f>
        <v>3.8054210400000001</v>
      </c>
      <c r="AA83" s="32">
        <f>Oral!AC76</f>
        <v>0.91918683000000001</v>
      </c>
      <c r="AB83" s="32">
        <f>Oral!AD76</f>
        <v>1.6816113300000002</v>
      </c>
      <c r="AC83" s="32">
        <f>Oral!AE76</f>
        <v>1.86688458</v>
      </c>
      <c r="AD83" s="32">
        <f>Oral!AF76</f>
        <v>1.9748243999999999</v>
      </c>
      <c r="AE83" s="32">
        <f>Oral!AG76</f>
        <v>1.4206158299999998</v>
      </c>
      <c r="AF83" s="32">
        <f>Oral!AH76</f>
        <v>3.55</v>
      </c>
      <c r="AG83" s="33">
        <f>Oral!AI76</f>
        <v>3.5380000000000003</v>
      </c>
      <c r="AI83" s="21"/>
      <c r="AJ83" s="54">
        <f t="shared" si="24"/>
        <v>32.68117178294073</v>
      </c>
      <c r="AK83" s="48">
        <f t="shared" si="25"/>
        <v>93.744915492675446</v>
      </c>
      <c r="AL83" s="48">
        <f t="shared" si="26"/>
        <v>82.890570069309788</v>
      </c>
      <c r="AM83" s="48">
        <f t="shared" si="28"/>
        <v>80.053309870802295</v>
      </c>
      <c r="AN83" s="48">
        <f t="shared" si="29"/>
        <v>117.40014832167269</v>
      </c>
      <c r="AO83" s="48">
        <f t="shared" si="30"/>
        <v>137.043561798127</v>
      </c>
      <c r="AP83" s="48">
        <f t="shared" si="31"/>
        <v>139.02707388978016</v>
      </c>
      <c r="AQ83" s="48">
        <f t="shared" si="32"/>
        <v>98.88081005853752</v>
      </c>
      <c r="AR83" s="48">
        <f t="shared" si="33"/>
        <v>138.23950055969127</v>
      </c>
      <c r="AS83" s="55">
        <f t="shared" si="34"/>
        <v>113.22317634841956</v>
      </c>
    </row>
    <row r="84" spans="1:45">
      <c r="A84" s="315" t="s">
        <v>745</v>
      </c>
      <c r="B84" s="213" t="s">
        <v>126</v>
      </c>
      <c r="C84" s="213" t="s">
        <v>83</v>
      </c>
      <c r="D84" s="214">
        <f>Fem!F39</f>
        <v>1.4956918099999998</v>
      </c>
      <c r="E84" s="215">
        <f>Fem!G39</f>
        <v>2.0540973600000001</v>
      </c>
      <c r="F84" s="215">
        <f>Fem!H39</f>
        <v>2.1534280799999999</v>
      </c>
      <c r="G84" s="215">
        <f>Fem!I39</f>
        <v>1.42868496</v>
      </c>
      <c r="H84" s="215">
        <f>Fem!J39</f>
        <v>4.2775001999999986</v>
      </c>
      <c r="I84" s="215">
        <f>Fem!K39</f>
        <v>2.2376196799999999</v>
      </c>
      <c r="J84" s="214">
        <f>Fem!L39</f>
        <v>2.5698236400000005</v>
      </c>
      <c r="K84" s="215">
        <f>Fem!M39</f>
        <v>2.4737797199999991</v>
      </c>
      <c r="L84" s="215">
        <f>Fem!N39</f>
        <v>3.2778338800000002</v>
      </c>
      <c r="M84" s="215">
        <f>Fem!O39</f>
        <v>3.3825027199999997</v>
      </c>
      <c r="N84" s="215">
        <f>Fem!P39</f>
        <v>2.3128656799999998</v>
      </c>
      <c r="O84" s="215">
        <f>Fem!Q39</f>
        <v>2.9929737599999999</v>
      </c>
      <c r="P84" s="215">
        <f>Fem!R39</f>
        <v>6.1062402899999988</v>
      </c>
      <c r="Q84" s="215">
        <f>Fem!S39</f>
        <v>1.9984370500000004</v>
      </c>
      <c r="R84" s="215">
        <f>Fem!T39</f>
        <v>2.4404631999999999</v>
      </c>
      <c r="S84" s="215">
        <f>Fem!U39</f>
        <v>3.6867200100000002</v>
      </c>
      <c r="T84" s="215">
        <f>Fem!V39</f>
        <v>6.2903809600000002</v>
      </c>
      <c r="U84" s="215">
        <f>Fem!W39</f>
        <v>3.2433750700000004</v>
      </c>
      <c r="V84" s="214">
        <f>Fem!X39</f>
        <v>2.5557488100000003</v>
      </c>
      <c r="W84" s="215">
        <f>Fem!Y39</f>
        <v>2.0833928100000003</v>
      </c>
      <c r="X84" s="215">
        <f>Fem!Z39</f>
        <v>4.0842946000000007</v>
      </c>
      <c r="Y84" s="215">
        <f>Fem!AA39</f>
        <v>4.1206932300000005</v>
      </c>
      <c r="Z84" s="215">
        <f>Fem!AB39</f>
        <v>5.9823199600000008</v>
      </c>
      <c r="AA84" s="215">
        <f>Fem!AC39</f>
        <v>2.2739644500000002</v>
      </c>
      <c r="AB84" s="215">
        <f>Fem!AD39</f>
        <v>6.3159853099999994</v>
      </c>
      <c r="AC84" s="215">
        <f>Fem!AE39</f>
        <v>2.14149995</v>
      </c>
      <c r="AD84" s="215">
        <f>Fem!AF39</f>
        <v>2.5920337299999998</v>
      </c>
      <c r="AE84" s="215">
        <f>Fem!AG39</f>
        <v>2.1976977299999998</v>
      </c>
      <c r="AF84" s="215">
        <f>Fem!AH39</f>
        <v>5.839999999999999</v>
      </c>
      <c r="AG84" s="216">
        <f>Fem!AI39</f>
        <v>2.8400000000000003</v>
      </c>
      <c r="AI84" s="21"/>
      <c r="AJ84" s="88">
        <f t="shared" si="24"/>
        <v>59.611191629385488</v>
      </c>
      <c r="AK84" s="89">
        <f t="shared" si="25"/>
        <v>109.9418296701803</v>
      </c>
      <c r="AL84" s="89">
        <f t="shared" si="26"/>
        <v>93.081411762427649</v>
      </c>
      <c r="AM84" s="89">
        <f t="shared" si="28"/>
        <v>104.83088399763021</v>
      </c>
      <c r="AN84" s="89">
        <f t="shared" si="29"/>
        <v>142.45499788189747</v>
      </c>
      <c r="AO84" s="89">
        <f t="shared" si="30"/>
        <v>104.78304151648605</v>
      </c>
      <c r="AP84" s="89">
        <f t="shared" si="31"/>
        <v>82.279168292339321</v>
      </c>
      <c r="AQ84" s="89">
        <f t="shared" si="32"/>
        <v>124.04872140787437</v>
      </c>
      <c r="AR84" s="89">
        <f t="shared" si="33"/>
        <v>92.26445544212342</v>
      </c>
      <c r="AS84" s="90">
        <f t="shared" si="34"/>
        <v>105.5235137412392</v>
      </c>
    </row>
    <row r="85" spans="1:45">
      <c r="A85" s="289"/>
      <c r="B85" s="22" t="s">
        <v>733</v>
      </c>
      <c r="C85" s="22" t="s">
        <v>20</v>
      </c>
      <c r="D85" s="72">
        <f>Fem!F40</f>
        <v>1.4430254899999999</v>
      </c>
      <c r="E85" s="24">
        <f>Fem!G40</f>
        <v>1.1677780800000002</v>
      </c>
      <c r="F85" s="24">
        <f>Fem!H40</f>
        <v>0.91391328000000005</v>
      </c>
      <c r="G85" s="24">
        <f>Fem!I40</f>
        <v>0.91391328000000005</v>
      </c>
      <c r="H85" s="24">
        <f>Fem!J40</f>
        <v>1.9934431199999998</v>
      </c>
      <c r="I85" s="24">
        <f>Fem!K40</f>
        <v>0.63587088000000003</v>
      </c>
      <c r="J85" s="72">
        <f>Fem!L40</f>
        <v>1.0444723200000001</v>
      </c>
      <c r="K85" s="24">
        <f>Fem!M40</f>
        <v>1.03238352</v>
      </c>
      <c r="L85" s="24">
        <f>Fem!N40</f>
        <v>1.0553522399999999</v>
      </c>
      <c r="M85" s="24">
        <f>Fem!O40</f>
        <v>2.03817168</v>
      </c>
      <c r="N85" s="24">
        <f>Fem!P40</f>
        <v>1.1677780799999999</v>
      </c>
      <c r="O85" s="24">
        <f>Fem!Q40</f>
        <v>2.0139940799999998</v>
      </c>
      <c r="P85" s="24">
        <f>Fem!R40</f>
        <v>0.87039359999999999</v>
      </c>
      <c r="Q85" s="24">
        <f>Fem!S40</f>
        <v>1.0964541600000002</v>
      </c>
      <c r="R85" s="24">
        <f>Fem!T40</f>
        <v>1.3781231999999999</v>
      </c>
      <c r="S85" s="24">
        <f>Fem!U40</f>
        <v>2.4032534400000003</v>
      </c>
      <c r="T85" s="24">
        <f>Fem!V40</f>
        <v>0.86918472000000002</v>
      </c>
      <c r="U85" s="24">
        <f>Fem!W40</f>
        <v>0.60927552000000007</v>
      </c>
      <c r="V85" s="72">
        <f>Fem!X40</f>
        <v>1.2185510400000001</v>
      </c>
      <c r="W85" s="24">
        <f>Fem!Y40</f>
        <v>1.0444723200000001</v>
      </c>
      <c r="X85" s="24">
        <f>Fem!Z40</f>
        <v>1.8278265600000001</v>
      </c>
      <c r="Y85" s="24">
        <f>Fem!AA40</f>
        <v>2.4533264400000001</v>
      </c>
      <c r="Z85" s="24">
        <f>Fem!AB40</f>
        <v>4.5175845600000004</v>
      </c>
      <c r="AA85" s="24">
        <f>Fem!AC40</f>
        <v>-0.96106167999999981</v>
      </c>
      <c r="AB85" s="24">
        <f>Fem!AD40</f>
        <v>2.6291845600000006</v>
      </c>
      <c r="AC85" s="24">
        <f>Fem!AE40</f>
        <v>0.27905659999999999</v>
      </c>
      <c r="AD85" s="24">
        <f>Fem!AF40</f>
        <v>1.19022852</v>
      </c>
      <c r="AE85" s="24">
        <f>Fem!AG40</f>
        <v>1.0265928</v>
      </c>
      <c r="AF85" s="24">
        <f>Fem!AH40</f>
        <v>1.1000000000000001</v>
      </c>
      <c r="AG85" s="25">
        <f>Fem!AI40</f>
        <v>0.8</v>
      </c>
      <c r="AI85" s="21"/>
      <c r="AJ85" s="51">
        <f t="shared" si="24"/>
        <v>42.716793115252955</v>
      </c>
      <c r="AK85" s="52">
        <f t="shared" si="25"/>
        <v>107.9812437232881</v>
      </c>
      <c r="AL85" s="52">
        <f t="shared" si="26"/>
        <v>89.1590537070891</v>
      </c>
      <c r="AM85" s="52">
        <f t="shared" si="28"/>
        <v>130.60594365109998</v>
      </c>
      <c r="AN85" s="52">
        <f t="shared" si="29"/>
        <v>115.13245169319677</v>
      </c>
      <c r="AO85" s="52">
        <f t="shared" si="30"/>
        <v>122.52631574415823</v>
      </c>
      <c r="AP85" s="52">
        <f t="shared" si="31"/>
        <v>75.394350054175035</v>
      </c>
      <c r="AQ85" s="52">
        <f t="shared" si="32"/>
        <v>120.93529112913932</v>
      </c>
      <c r="AR85" s="52">
        <f t="shared" si="33"/>
        <v>97.210032400140818</v>
      </c>
      <c r="AS85" s="53">
        <f t="shared" si="34"/>
        <v>109.92965780237958</v>
      </c>
    </row>
    <row r="86" spans="1:45">
      <c r="A86" s="289"/>
      <c r="B86" s="22" t="s">
        <v>733</v>
      </c>
      <c r="C86" s="22" t="s">
        <v>47</v>
      </c>
      <c r="D86" s="72">
        <f>Fem!F41</f>
        <v>0</v>
      </c>
      <c r="E86" s="24">
        <f>Fem!G41</f>
        <v>0.45119999999999999</v>
      </c>
      <c r="F86" s="24">
        <f>Fem!H41</f>
        <v>0.42003240000000003</v>
      </c>
      <c r="G86" s="24">
        <f>Fem!I41</f>
        <v>0.45925679999999997</v>
      </c>
      <c r="H86" s="24">
        <f>Fem!J41</f>
        <v>1.6744991999999996</v>
      </c>
      <c r="I86" s="24">
        <f>Fem!K41</f>
        <v>1.3133243999999999</v>
      </c>
      <c r="J86" s="72">
        <f>Fem!L41</f>
        <v>0.86241239999999997</v>
      </c>
      <c r="K86" s="24">
        <f>Fem!M41</f>
        <v>1.0100351999999999</v>
      </c>
      <c r="L86" s="24">
        <f>Fem!N41</f>
        <v>1.0765488000000001</v>
      </c>
      <c r="M86" s="24">
        <f>Fem!O41</f>
        <v>0.41715000000000002</v>
      </c>
      <c r="N86" s="24">
        <f>Fem!P41</f>
        <v>0.8019324000000001</v>
      </c>
      <c r="O86" s="24">
        <f>Fem!Q41</f>
        <v>0.64842240000000007</v>
      </c>
      <c r="P86" s="24">
        <f>Fem!R41</f>
        <v>0.78598080000000003</v>
      </c>
      <c r="Q86" s="24">
        <f>Fem!S41</f>
        <v>0.61452479999999998</v>
      </c>
      <c r="R86" s="24">
        <f>Fem!T41</f>
        <v>0.56667719999999999</v>
      </c>
      <c r="S86" s="24">
        <f>Fem!U41</f>
        <v>0.79820639999999998</v>
      </c>
      <c r="T86" s="24">
        <f>Fem!V41</f>
        <v>4.4439876000000007</v>
      </c>
      <c r="U86" s="24">
        <f>Fem!W41</f>
        <v>1.9506779999999999</v>
      </c>
      <c r="V86" s="72">
        <f>Fem!X41</f>
        <v>1.0979711999999999</v>
      </c>
      <c r="W86" s="24">
        <f>Fem!Y41</f>
        <v>0.27449279999999998</v>
      </c>
      <c r="X86" s="24">
        <f>Fem!Z41</f>
        <v>1.6447248000000001</v>
      </c>
      <c r="Y86" s="24">
        <f>Fem!AA41</f>
        <v>1.0354143600000001</v>
      </c>
      <c r="Z86" s="24">
        <f>Fem!AB41</f>
        <v>0.99297480000000005</v>
      </c>
      <c r="AA86" s="24">
        <f>Fem!AC41</f>
        <v>2.9771505899999999</v>
      </c>
      <c r="AB86" s="24">
        <f>Fem!AD41</f>
        <v>2.1997722299999993</v>
      </c>
      <c r="AC86" s="24">
        <f>Fem!AE41</f>
        <v>1.02028023</v>
      </c>
      <c r="AD86" s="24">
        <f>Fem!AF41</f>
        <v>1.16417697</v>
      </c>
      <c r="AE86" s="24">
        <f>Fem!AG41</f>
        <v>0.60867239999999989</v>
      </c>
      <c r="AF86" s="24">
        <f>Fem!AH41</f>
        <v>4</v>
      </c>
      <c r="AG86" s="25">
        <f>Fem!AI41</f>
        <v>1.4000000000000001</v>
      </c>
      <c r="AI86" s="21"/>
      <c r="AJ86" s="51">
        <f t="shared" si="24"/>
        <v>76.255013740806874</v>
      </c>
      <c r="AK86" s="52">
        <f t="shared" si="25"/>
        <v>171.66735066494761</v>
      </c>
      <c r="AL86" s="52">
        <f t="shared" si="26"/>
        <v>180.54969730842947</v>
      </c>
      <c r="AM86" s="52">
        <f t="shared" si="28"/>
        <v>102.312393463756</v>
      </c>
      <c r="AN86" s="52">
        <f t="shared" si="29"/>
        <v>268.03356810649166</v>
      </c>
      <c r="AO86" s="52">
        <f t="shared" si="30"/>
        <v>222.86843042751286</v>
      </c>
      <c r="AP86" s="52">
        <f t="shared" si="31"/>
        <v>83.536484452941735</v>
      </c>
      <c r="AQ86" s="52">
        <f t="shared" si="32"/>
        <v>166.56756049391203</v>
      </c>
      <c r="AR86" s="52">
        <f t="shared" si="33"/>
        <v>113.45894819319201</v>
      </c>
      <c r="AS86" s="53">
        <f t="shared" si="34"/>
        <v>131.76085997151225</v>
      </c>
    </row>
    <row r="87" spans="1:45">
      <c r="A87" s="289"/>
      <c r="B87" s="22" t="s">
        <v>733</v>
      </c>
      <c r="C87" s="22" t="s">
        <v>124</v>
      </c>
      <c r="D87" s="72">
        <f>Fem!F42</f>
        <v>0</v>
      </c>
      <c r="E87" s="24">
        <f>Fem!G42</f>
        <v>0.32615279999999996</v>
      </c>
      <c r="F87" s="24">
        <f>Fem!H42</f>
        <v>0.36347735999999997</v>
      </c>
      <c r="G87" s="24">
        <f>Fem!I42</f>
        <v>5.5514879999999996E-2</v>
      </c>
      <c r="H87" s="24">
        <f>Fem!J42</f>
        <v>0.29760492</v>
      </c>
      <c r="I87" s="24">
        <f>Fem!K42</f>
        <v>0.16737588</v>
      </c>
      <c r="J87" s="72">
        <f>Fem!L42</f>
        <v>0.28371551999999994</v>
      </c>
      <c r="K87" s="24">
        <f>Fem!M42</f>
        <v>4.9690319999999989E-2</v>
      </c>
      <c r="L87" s="24">
        <f>Fem!N42</f>
        <v>0.68515008000000011</v>
      </c>
      <c r="M87" s="24">
        <f>Fem!O42</f>
        <v>0.53068667999999997</v>
      </c>
      <c r="N87" s="24">
        <f>Fem!P42</f>
        <v>0</v>
      </c>
      <c r="O87" s="24">
        <f>Fem!Q42</f>
        <v>0</v>
      </c>
      <c r="P87" s="24">
        <f>Fem!R42</f>
        <v>4.1598790499999989</v>
      </c>
      <c r="Q87" s="24">
        <f>Fem!S42</f>
        <v>0.16198045000000005</v>
      </c>
      <c r="R87" s="24">
        <f>Fem!T42</f>
        <v>0.22126472000000003</v>
      </c>
      <c r="S87" s="24">
        <f>Fem!U42</f>
        <v>0.16098185000000001</v>
      </c>
      <c r="T87" s="24">
        <f>Fem!V42</f>
        <v>0.787408</v>
      </c>
      <c r="U87" s="24">
        <f>Fem!W42</f>
        <v>0.33878202999999996</v>
      </c>
      <c r="V87" s="72">
        <f>Fem!X42</f>
        <v>0.20260688999999998</v>
      </c>
      <c r="W87" s="24">
        <f>Fem!Y42</f>
        <v>0.56025665000000002</v>
      </c>
      <c r="X87" s="24">
        <f>Fem!Z42</f>
        <v>0.47574532000000008</v>
      </c>
      <c r="Y87" s="24">
        <f>Fem!AA42</f>
        <v>0.58661979000000009</v>
      </c>
      <c r="Z87" s="24">
        <f>Fem!AB42</f>
        <v>0.41509479999999993</v>
      </c>
      <c r="AA87" s="24">
        <f>Fem!AC42</f>
        <v>0.24528314000000001</v>
      </c>
      <c r="AB87" s="24">
        <f>Fem!AD42</f>
        <v>0</v>
      </c>
      <c r="AC87" s="24">
        <f>Fem!AE42</f>
        <v>0.71246140000000002</v>
      </c>
      <c r="AD87" s="24">
        <f>Fem!AF42</f>
        <v>0.21748040000000002</v>
      </c>
      <c r="AE87" s="24">
        <f>Fem!AG42</f>
        <v>0.35717641000000006</v>
      </c>
      <c r="AF87" s="24">
        <f>Fem!AH42</f>
        <v>0.64</v>
      </c>
      <c r="AG87" s="25">
        <f>Fem!AI42</f>
        <v>0.54</v>
      </c>
      <c r="AI87" s="21"/>
      <c r="AJ87" s="51">
        <f t="shared" si="24"/>
        <v>221.87371433487689</v>
      </c>
      <c r="AK87" s="52">
        <f t="shared" si="25"/>
        <v>60.331272076661634</v>
      </c>
      <c r="AL87" s="52">
        <f t="shared" si="26"/>
        <v>27.361589871633157</v>
      </c>
      <c r="AM87" s="52">
        <f t="shared" si="28"/>
        <v>121.60440440030038</v>
      </c>
      <c r="AN87" s="52">
        <f t="shared" si="29"/>
        <v>234.97814755780189</v>
      </c>
      <c r="AO87" s="52">
        <f t="shared" si="30"/>
        <v>20.469213584479103</v>
      </c>
      <c r="AP87" s="52">
        <f t="shared" si="31"/>
        <v>119.42277747708413</v>
      </c>
      <c r="AQ87" s="52">
        <f t="shared" si="32"/>
        <v>160.44011376914116</v>
      </c>
      <c r="AR87" s="52">
        <f t="shared" si="33"/>
        <v>42.315487372931216</v>
      </c>
      <c r="AS87" s="53">
        <f t="shared" si="34"/>
        <v>67.114287238577688</v>
      </c>
    </row>
    <row r="88" spans="1:45">
      <c r="A88" s="289"/>
      <c r="B88" s="22" t="s">
        <v>733</v>
      </c>
      <c r="C88" s="22" t="s">
        <v>125</v>
      </c>
      <c r="D88" s="72">
        <f>Fem!F43</f>
        <v>5.2666319999999996E-2</v>
      </c>
      <c r="E88" s="24">
        <f>Fem!G43</f>
        <v>0.10896648</v>
      </c>
      <c r="F88" s="24">
        <f>Fem!H43</f>
        <v>0.20016264</v>
      </c>
      <c r="G88" s="24">
        <f>Fem!I43</f>
        <v>0</v>
      </c>
      <c r="H88" s="24">
        <f>Fem!J43</f>
        <v>0.13399368000000003</v>
      </c>
      <c r="I88" s="24">
        <f>Fem!K43</f>
        <v>2.5346279999999999E-2</v>
      </c>
      <c r="J88" s="72">
        <f>Fem!L43</f>
        <v>0.13832388000000001</v>
      </c>
      <c r="K88" s="24">
        <f>Fem!M43</f>
        <v>6.3367319999999991E-2</v>
      </c>
      <c r="L88" s="24">
        <f>Fem!N43</f>
        <v>0.18328703999999998</v>
      </c>
      <c r="M88" s="24">
        <f>Fem!O43</f>
        <v>0.21060708000000006</v>
      </c>
      <c r="N88" s="24">
        <f>Fem!P43</f>
        <v>3.9038639999999999E-2</v>
      </c>
      <c r="O88" s="24">
        <f>Fem!Q43</f>
        <v>0.19455936000000001</v>
      </c>
      <c r="P88" s="24">
        <f>Fem!R43</f>
        <v>5.9545919999999995E-2</v>
      </c>
      <c r="Q88" s="24">
        <f>Fem!S43</f>
        <v>0.11036676000000001</v>
      </c>
      <c r="R88" s="24">
        <f>Fem!T43</f>
        <v>0.15602952</v>
      </c>
      <c r="S88" s="24">
        <f>Fem!U43</f>
        <v>6.8652599999999994E-2</v>
      </c>
      <c r="T88" s="24">
        <f>Fem!V43</f>
        <v>9.1579919999999995E-2</v>
      </c>
      <c r="U88" s="24">
        <f>Fem!W43</f>
        <v>0.14819808000000004</v>
      </c>
      <c r="V88" s="72">
        <f>Fem!X43</f>
        <v>3.6619680000000002E-2</v>
      </c>
      <c r="W88" s="24">
        <f>Fem!Y43</f>
        <v>4.2988319999999997E-2</v>
      </c>
      <c r="X88" s="24">
        <f>Fem!Z43</f>
        <v>0</v>
      </c>
      <c r="Y88" s="24">
        <f>Fem!AA43</f>
        <v>0</v>
      </c>
      <c r="Z88" s="24">
        <f>Fem!AB43</f>
        <v>0</v>
      </c>
      <c r="AA88" s="24">
        <f>Fem!AC43</f>
        <v>0</v>
      </c>
      <c r="AB88" s="24">
        <f>Fem!AD43</f>
        <v>1.2591060799999998</v>
      </c>
      <c r="AC88" s="24">
        <f>Fem!AE43</f>
        <v>0</v>
      </c>
      <c r="AD88" s="24">
        <f>Fem!AF43</f>
        <v>0</v>
      </c>
      <c r="AE88" s="24">
        <f>Fem!AG43</f>
        <v>0</v>
      </c>
      <c r="AF88" s="24">
        <f>Fem!AH43</f>
        <v>0</v>
      </c>
      <c r="AG88" s="25">
        <f>Fem!AI43</f>
        <v>0</v>
      </c>
      <c r="AI88" s="21"/>
      <c r="AJ88" s="51">
        <f t="shared" si="24"/>
        <v>0</v>
      </c>
      <c r="AK88" s="52">
        <f t="shared" si="25"/>
        <v>109.39189532167804</v>
      </c>
      <c r="AL88" s="52">
        <f t="shared" si="26"/>
        <v>319.08836102249694</v>
      </c>
      <c r="AM88" s="52">
        <f t="shared" si="28"/>
        <v>20.67857133951259</v>
      </c>
      <c r="AN88" s="52">
        <f t="shared" si="29"/>
        <v>0</v>
      </c>
      <c r="AO88" s="52">
        <f t="shared" si="30"/>
        <v>386.29734965279113</v>
      </c>
      <c r="AP88" s="52">
        <f t="shared" si="31"/>
        <v>0</v>
      </c>
      <c r="AQ88" s="52">
        <f t="shared" si="32"/>
        <v>9.6007719981632036</v>
      </c>
      <c r="AR88" s="52">
        <f t="shared" si="33"/>
        <v>198.48046448397528</v>
      </c>
      <c r="AS88" s="53">
        <f t="shared" si="34"/>
        <v>91.469951968770388</v>
      </c>
    </row>
    <row r="89" spans="1:45">
      <c r="A89" s="286"/>
      <c r="B89" s="31" t="s">
        <v>733</v>
      </c>
      <c r="C89" s="31" t="s">
        <v>734</v>
      </c>
      <c r="D89" s="74">
        <f>Fem!F44</f>
        <v>0</v>
      </c>
      <c r="E89" s="32">
        <f>Fem!G44</f>
        <v>0</v>
      </c>
      <c r="F89" s="32">
        <f>Fem!H44</f>
        <v>0.25584239999999997</v>
      </c>
      <c r="G89" s="32">
        <f>Fem!I44</f>
        <v>0</v>
      </c>
      <c r="H89" s="32">
        <f>Fem!J44</f>
        <v>0.17795928</v>
      </c>
      <c r="I89" s="32">
        <f>Fem!K44</f>
        <v>9.5702239999999994E-2</v>
      </c>
      <c r="J89" s="74">
        <f>Fem!L44</f>
        <v>0.24089951999999998</v>
      </c>
      <c r="K89" s="32">
        <f>Fem!M44</f>
        <v>0.31830335999999998</v>
      </c>
      <c r="L89" s="32">
        <f>Fem!N44</f>
        <v>0.27749572</v>
      </c>
      <c r="M89" s="32">
        <f>Fem!O44</f>
        <v>0.18588727999999999</v>
      </c>
      <c r="N89" s="32">
        <f>Fem!P44</f>
        <v>0.30411655999999998</v>
      </c>
      <c r="O89" s="32">
        <f>Fem!Q44</f>
        <v>0.13599791999999999</v>
      </c>
      <c r="P89" s="32">
        <f>Fem!R44</f>
        <v>0.23044092000000002</v>
      </c>
      <c r="Q89" s="32">
        <f>Fem!S44</f>
        <v>1.5110880000000002E-2</v>
      </c>
      <c r="R89" s="32">
        <f>Fem!T44</f>
        <v>0.11836856</v>
      </c>
      <c r="S89" s="32">
        <f>Fem!U44</f>
        <v>0.25562572</v>
      </c>
      <c r="T89" s="32">
        <f>Fem!V44</f>
        <v>9.8220719999999997E-2</v>
      </c>
      <c r="U89" s="32">
        <f>Fem!W44</f>
        <v>0.19644143999999999</v>
      </c>
      <c r="V89" s="74">
        <f>Fem!X44</f>
        <v>0</v>
      </c>
      <c r="W89" s="32">
        <f>Fem!Y44</f>
        <v>0.16118272</v>
      </c>
      <c r="X89" s="32">
        <f>Fem!Z44</f>
        <v>0.13599791999999999</v>
      </c>
      <c r="Y89" s="32">
        <f>Fem!AA44</f>
        <v>4.533264E-2</v>
      </c>
      <c r="Z89" s="32">
        <f>Fem!AB44</f>
        <v>5.6665800000000002E-2</v>
      </c>
      <c r="AA89" s="32">
        <f>Fem!AC44</f>
        <v>1.25924E-2</v>
      </c>
      <c r="AB89" s="32">
        <f>Fem!AD44</f>
        <v>0.22792244</v>
      </c>
      <c r="AC89" s="32">
        <f>Fem!AE44</f>
        <v>0.12970171999999999</v>
      </c>
      <c r="AD89" s="32">
        <f>Fem!AF44</f>
        <v>2.014784E-2</v>
      </c>
      <c r="AE89" s="32">
        <f>Fem!AG44</f>
        <v>0.20525611999999999</v>
      </c>
      <c r="AF89" s="32">
        <f>Fem!AH44</f>
        <v>0.1</v>
      </c>
      <c r="AG89" s="33">
        <f>Fem!AI44</f>
        <v>0.1</v>
      </c>
      <c r="AI89" s="21"/>
      <c r="AJ89" s="54">
        <f t="shared" si="24"/>
        <v>80.295566502463046</v>
      </c>
      <c r="AK89" s="48">
        <f t="shared" si="25"/>
        <v>47.77530559735284</v>
      </c>
      <c r="AL89" s="48">
        <f t="shared" si="26"/>
        <v>94.105691056910572</v>
      </c>
      <c r="AM89" s="48">
        <f t="shared" si="28"/>
        <v>35.518242769857629</v>
      </c>
      <c r="AN89" s="48">
        <f t="shared" si="29"/>
        <v>18.305194541306083</v>
      </c>
      <c r="AO89" s="48">
        <f t="shared" si="30"/>
        <v>103.80622837370241</v>
      </c>
      <c r="AP89" s="48">
        <f t="shared" si="31"/>
        <v>73.64438409946446</v>
      </c>
      <c r="AQ89" s="48">
        <f t="shared" si="32"/>
        <v>28.151458170147713</v>
      </c>
      <c r="AR89" s="48">
        <f t="shared" si="33"/>
        <v>85.65095847309361</v>
      </c>
      <c r="AS89" s="55">
        <f t="shared" si="34"/>
        <v>50.266955994858208</v>
      </c>
    </row>
    <row r="90" spans="1:45">
      <c r="A90" s="315" t="s">
        <v>745</v>
      </c>
      <c r="B90" s="213" t="s">
        <v>113</v>
      </c>
      <c r="C90" s="213" t="s">
        <v>83</v>
      </c>
      <c r="D90" s="214">
        <f>Home!F39</f>
        <v>1.8292221</v>
      </c>
      <c r="E90" s="215">
        <f>Home!G39</f>
        <v>2.8949756999999998</v>
      </c>
      <c r="F90" s="215">
        <f>Home!H39</f>
        <v>1.1773662</v>
      </c>
      <c r="G90" s="215">
        <f>Home!I39</f>
        <v>2.2637166</v>
      </c>
      <c r="H90" s="215">
        <f>Home!J39</f>
        <v>2.7107805000000003</v>
      </c>
      <c r="I90" s="215">
        <f>Home!K39</f>
        <v>4.6344864000000001</v>
      </c>
      <c r="J90" s="214">
        <f>Home!L39</f>
        <v>4.6818336599999997</v>
      </c>
      <c r="K90" s="215">
        <f>Home!M39</f>
        <v>1.1281538999999998</v>
      </c>
      <c r="L90" s="215">
        <f>Home!N39</f>
        <v>4.3344634800000001</v>
      </c>
      <c r="M90" s="215">
        <f>Home!O39</f>
        <v>0.28381829999999997</v>
      </c>
      <c r="N90" s="215">
        <f>Home!P39</f>
        <v>1.94370456</v>
      </c>
      <c r="O90" s="215">
        <f>Home!Q39</f>
        <v>5.0643379799999995</v>
      </c>
      <c r="P90" s="215">
        <f>Home!R39</f>
        <v>1.93807296</v>
      </c>
      <c r="Q90" s="215">
        <f>Home!S39</f>
        <v>2.6693442000000003</v>
      </c>
      <c r="R90" s="215">
        <f>Home!T39</f>
        <v>1.1109414</v>
      </c>
      <c r="S90" s="215">
        <f>Home!U39</f>
        <v>3.1468959600000002</v>
      </c>
      <c r="T90" s="215">
        <f>Home!V39</f>
        <v>2.4937197000000002</v>
      </c>
      <c r="U90" s="215">
        <f>Home!W39</f>
        <v>1.1226780000000001</v>
      </c>
      <c r="V90" s="214">
        <f>Home!X39</f>
        <v>2.1003149999999997</v>
      </c>
      <c r="W90" s="215">
        <f>Home!Y39</f>
        <v>3.1933992</v>
      </c>
      <c r="X90" s="215">
        <f>Home!Z39</f>
        <v>1.2972623999999999</v>
      </c>
      <c r="Y90" s="215">
        <f>Home!AA39</f>
        <v>2.6569343999999999</v>
      </c>
      <c r="Z90" s="215">
        <f>Home!AB39</f>
        <v>2.07673248</v>
      </c>
      <c r="AA90" s="215">
        <f>Home!AC39</f>
        <v>1.9812105600000001</v>
      </c>
      <c r="AB90" s="215">
        <f>Home!AD39</f>
        <v>1.3477712399999999</v>
      </c>
      <c r="AC90" s="215">
        <f>Home!AE39</f>
        <v>0.79065660000000004</v>
      </c>
      <c r="AD90" s="215">
        <f>Home!AF39</f>
        <v>1.1801461200000001</v>
      </c>
      <c r="AE90" s="215">
        <f>Home!AG39</f>
        <v>1.6353373200000001</v>
      </c>
      <c r="AF90" s="215">
        <f>Home!AH39</f>
        <v>2.2684799999999998</v>
      </c>
      <c r="AG90" s="216">
        <f>Home!AI39</f>
        <v>2.477328</v>
      </c>
      <c r="AI90" s="21"/>
      <c r="AJ90" s="88">
        <f t="shared" si="24"/>
        <v>51.966678936535295</v>
      </c>
      <c r="AK90" s="89">
        <f t="shared" si="25"/>
        <v>69.424630618197725</v>
      </c>
      <c r="AL90" s="89">
        <f t="shared" si="26"/>
        <v>55.880079571590223</v>
      </c>
      <c r="AM90" s="89">
        <f t="shared" si="28"/>
        <v>64.971249543336555</v>
      </c>
      <c r="AN90" s="89">
        <f t="shared" si="29"/>
        <v>92.087295511251128</v>
      </c>
      <c r="AO90" s="89">
        <f t="shared" si="30"/>
        <v>58.033680909998765</v>
      </c>
      <c r="AP90" s="89">
        <f t="shared" si="31"/>
        <v>94.349671044743602</v>
      </c>
      <c r="AQ90" s="89">
        <f t="shared" si="32"/>
        <v>76.311172520733791</v>
      </c>
      <c r="AR90" s="89">
        <f t="shared" si="33"/>
        <v>77.711821392184248</v>
      </c>
      <c r="AS90" s="90">
        <f t="shared" si="34"/>
        <v>76.895517499467843</v>
      </c>
    </row>
    <row r="91" spans="1:45">
      <c r="A91" s="289"/>
      <c r="B91" s="22" t="s">
        <v>40</v>
      </c>
      <c r="C91" s="22" t="s">
        <v>735</v>
      </c>
      <c r="D91" s="72">
        <f>Home!F40</f>
        <v>0.30480930000000001</v>
      </c>
      <c r="E91" s="24">
        <f>Home!G40</f>
        <v>0.37803330000000002</v>
      </c>
      <c r="F91" s="24">
        <f>Home!H40</f>
        <v>0.9977646</v>
      </c>
      <c r="G91" s="24">
        <f>Home!I40</f>
        <v>2.2550262000000001</v>
      </c>
      <c r="H91" s="24">
        <f>Home!J40</f>
        <v>2.0666229</v>
      </c>
      <c r="I91" s="24">
        <f>Home!K40</f>
        <v>2.6628600000000002</v>
      </c>
      <c r="J91" s="72">
        <f>Home!L40</f>
        <v>3.1740236999999998</v>
      </c>
      <c r="K91" s="24">
        <f>Home!M40</f>
        <v>2.8264500000000001E-2</v>
      </c>
      <c r="L91" s="24">
        <f>Home!N40</f>
        <v>2.5242042000000002</v>
      </c>
      <c r="M91" s="24">
        <f>Home!O40</f>
        <v>0.28381829999999997</v>
      </c>
      <c r="N91" s="24">
        <f>Home!P40</f>
        <v>9.8710800000000001E-2</v>
      </c>
      <c r="O91" s="24">
        <f>Home!Q40</f>
        <v>1.6193726999999998</v>
      </c>
      <c r="P91" s="24">
        <f>Home!R40</f>
        <v>0.75897000000000003</v>
      </c>
      <c r="Q91" s="24">
        <f>Home!S40</f>
        <v>0.6027882</v>
      </c>
      <c r="R91" s="24">
        <f>Home!T40</f>
        <v>0.10965899999999999</v>
      </c>
      <c r="S91" s="24">
        <f>Home!U40</f>
        <v>1.1727815999999998</v>
      </c>
      <c r="T91" s="24">
        <f>Home!V40</f>
        <v>1.8419397000000002</v>
      </c>
      <c r="U91" s="24">
        <f>Home!W40</f>
        <v>0.4912494</v>
      </c>
      <c r="V91" s="72">
        <f>Home!X40</f>
        <v>1.5024845999999998</v>
      </c>
      <c r="W91" s="24">
        <f>Home!Y40</f>
        <v>1.7127936000000001</v>
      </c>
      <c r="X91" s="24">
        <f>Home!Z40</f>
        <v>0.23680320000000002</v>
      </c>
      <c r="Y91" s="24">
        <f>Home!AA40</f>
        <v>1.5441023999999999</v>
      </c>
      <c r="Z91" s="24">
        <f>Home!AB40</f>
        <v>0.59038080000000004</v>
      </c>
      <c r="AA91" s="24">
        <f>Home!AC40</f>
        <v>1.7572572000000002</v>
      </c>
      <c r="AB91" s="24">
        <f>Home!AD40</f>
        <v>4.5407999999999997E-2</v>
      </c>
      <c r="AC91" s="24">
        <f>Home!AE40</f>
        <v>4.5327600000000003E-2</v>
      </c>
      <c r="AD91" s="24">
        <f>Home!AF40</f>
        <v>0.45090240000000004</v>
      </c>
      <c r="AE91" s="24">
        <f>Home!AG40</f>
        <v>0.35006160000000003</v>
      </c>
      <c r="AF91" s="24">
        <f>Home!AH40</f>
        <v>1.5494399999999999</v>
      </c>
      <c r="AG91" s="25">
        <f>Home!AI40</f>
        <v>0.85736000000000001</v>
      </c>
      <c r="AI91" s="21"/>
      <c r="AJ91" s="51">
        <f t="shared" si="24"/>
        <v>29.848831189029578</v>
      </c>
      <c r="AK91" s="52">
        <f t="shared" si="25"/>
        <v>79.396939608061359</v>
      </c>
      <c r="AL91" s="52">
        <f t="shared" si="26"/>
        <v>33.722865315573102</v>
      </c>
      <c r="AM91" s="52">
        <f t="shared" si="28"/>
        <v>60.282650510459078</v>
      </c>
      <c r="AN91" s="52">
        <f t="shared" si="29"/>
        <v>194.40216298321928</v>
      </c>
      <c r="AO91" s="52">
        <f t="shared" si="30"/>
        <v>36.810633992860765</v>
      </c>
      <c r="AP91" s="52">
        <f t="shared" si="31"/>
        <v>78.633332560366242</v>
      </c>
      <c r="AQ91" s="52">
        <f t="shared" si="32"/>
        <v>95.023902895636468</v>
      </c>
      <c r="AR91" s="52">
        <f t="shared" si="33"/>
        <v>66.269691377680246</v>
      </c>
      <c r="AS91" s="53">
        <f t="shared" si="34"/>
        <v>83.759671905596434</v>
      </c>
    </row>
    <row r="92" spans="1:45">
      <c r="A92" s="286"/>
      <c r="B92" s="31" t="s">
        <v>40</v>
      </c>
      <c r="C92" s="31" t="s">
        <v>736</v>
      </c>
      <c r="D92" s="74">
        <f>Home!F41</f>
        <v>1.5244127999999999</v>
      </c>
      <c r="E92" s="32">
        <f>Home!G41</f>
        <v>2.5169424</v>
      </c>
      <c r="F92" s="32">
        <f>Home!H41</f>
        <v>0.1796016</v>
      </c>
      <c r="G92" s="32">
        <f>Home!I41</f>
        <v>8.6904000000000009E-3</v>
      </c>
      <c r="H92" s="32">
        <f>Home!J41</f>
        <v>0.6441576</v>
      </c>
      <c r="I92" s="32">
        <f>Home!K41</f>
        <v>1.9716264000000001</v>
      </c>
      <c r="J92" s="74">
        <f>Home!L41</f>
        <v>1.5078099599999999</v>
      </c>
      <c r="K92" s="32">
        <f>Home!M41</f>
        <v>1.0998893999999999</v>
      </c>
      <c r="L92" s="32">
        <f>Home!N41</f>
        <v>1.8102592799999999</v>
      </c>
      <c r="M92" s="32">
        <f>Home!O41</f>
        <v>0</v>
      </c>
      <c r="N92" s="32">
        <f>Home!P41</f>
        <v>1.8449937599999999</v>
      </c>
      <c r="O92" s="32">
        <f>Home!Q41</f>
        <v>3.4449652799999999</v>
      </c>
      <c r="P92" s="32">
        <f>Home!R41</f>
        <v>1.17910296</v>
      </c>
      <c r="Q92" s="32">
        <f>Home!S41</f>
        <v>2.0665560000000003</v>
      </c>
      <c r="R92" s="32">
        <f>Home!T41</f>
        <v>1.0012824</v>
      </c>
      <c r="S92" s="32">
        <f>Home!U41</f>
        <v>1.9741143600000002</v>
      </c>
      <c r="T92" s="32">
        <f>Home!V41</f>
        <v>0.65178000000000003</v>
      </c>
      <c r="U92" s="32">
        <f>Home!W41</f>
        <v>0.63142860000000001</v>
      </c>
      <c r="V92" s="74">
        <f>Home!X41</f>
        <v>0.59783039999999998</v>
      </c>
      <c r="W92" s="32">
        <f>Home!Y41</f>
        <v>1.4806056000000001</v>
      </c>
      <c r="X92" s="32">
        <f>Home!Z41</f>
        <v>1.0604591999999999</v>
      </c>
      <c r="Y92" s="32">
        <f>Home!AA41</f>
        <v>1.112832</v>
      </c>
      <c r="Z92" s="32">
        <f>Home!AB41</f>
        <v>1.4863516799999998</v>
      </c>
      <c r="AA92" s="32">
        <f>Home!AC41</f>
        <v>0.22395335999999999</v>
      </c>
      <c r="AB92" s="32">
        <f>Home!AD41</f>
        <v>1.30236324</v>
      </c>
      <c r="AC92" s="32">
        <f>Home!AE41</f>
        <v>0.74532900000000002</v>
      </c>
      <c r="AD92" s="32">
        <f>Home!AF41</f>
        <v>0.72924372000000004</v>
      </c>
      <c r="AE92" s="32">
        <f>Home!AG41</f>
        <v>1.28527572</v>
      </c>
      <c r="AF92" s="32">
        <f>Home!AH41</f>
        <v>0.7190399999999999</v>
      </c>
      <c r="AG92" s="33">
        <f>Home!AI41</f>
        <v>1.6199680000000001</v>
      </c>
      <c r="AI92" s="21"/>
      <c r="AJ92" s="54">
        <f t="shared" si="24"/>
        <v>65.106447024679966</v>
      </c>
      <c r="AK92" s="48">
        <f t="shared" si="25"/>
        <v>62.930884924448435</v>
      </c>
      <c r="AL92" s="48">
        <f t="shared" si="26"/>
        <v>65.297786466378085</v>
      </c>
      <c r="AM92" s="48">
        <f t="shared" si="28"/>
        <v>71.048542002647636</v>
      </c>
      <c r="AN92" s="48">
        <f t="shared" si="29"/>
        <v>53.367843090142344</v>
      </c>
      <c r="AO92" s="48">
        <f t="shared" si="30"/>
        <v>65.386727166866265</v>
      </c>
      <c r="AP92" s="48">
        <f t="shared" si="31"/>
        <v>111.26571618799505</v>
      </c>
      <c r="AQ92" s="48">
        <f t="shared" si="32"/>
        <v>61.414120273009985</v>
      </c>
      <c r="AR92" s="48">
        <f t="shared" si="33"/>
        <v>85.301095577614177</v>
      </c>
      <c r="AS92" s="55">
        <f t="shared" si="34"/>
        <v>71.828498676112076</v>
      </c>
    </row>
    <row r="93" spans="1:45">
      <c r="A93" s="315" t="s">
        <v>745</v>
      </c>
      <c r="B93" s="213" t="s">
        <v>104</v>
      </c>
      <c r="C93" s="213" t="s">
        <v>83</v>
      </c>
      <c r="D93" s="214">
        <f>Skin!F45</f>
        <v>4.2359289699999998</v>
      </c>
      <c r="E93" s="215">
        <f>Skin!G45</f>
        <v>4.3824768299999999</v>
      </c>
      <c r="F93" s="215">
        <f>Skin!H45</f>
        <v>4.0707142899999997</v>
      </c>
      <c r="G93" s="215">
        <f>Skin!I45</f>
        <v>-1.9288891200000002</v>
      </c>
      <c r="H93" s="215">
        <f>Skin!J45</f>
        <v>5.1970617899999993</v>
      </c>
      <c r="I93" s="215">
        <f>Skin!K45</f>
        <v>1.7085736499999999</v>
      </c>
      <c r="J93" s="214">
        <f>Skin!L45</f>
        <v>12.946326559999999</v>
      </c>
      <c r="K93" s="215">
        <f>Skin!M45</f>
        <v>4.267525019999999</v>
      </c>
      <c r="L93" s="215">
        <f>Skin!N45</f>
        <v>2.8884985200000002</v>
      </c>
      <c r="M93" s="215">
        <f>Skin!O45</f>
        <v>7.0563822600000004</v>
      </c>
      <c r="N93" s="215">
        <f>Skin!P45</f>
        <v>4.3300518799999992</v>
      </c>
      <c r="O93" s="215">
        <f>Skin!Q45</f>
        <v>7.3292284399999987</v>
      </c>
      <c r="P93" s="215">
        <f>Skin!R45</f>
        <v>5.7713964299999994</v>
      </c>
      <c r="Q93" s="215">
        <f>Skin!S45</f>
        <v>5.0057814199999999</v>
      </c>
      <c r="R93" s="215">
        <f>Skin!T45</f>
        <v>7.9949872799999993</v>
      </c>
      <c r="S93" s="215">
        <f>Skin!U45</f>
        <v>11.24746597</v>
      </c>
      <c r="T93" s="215">
        <f>Skin!V45</f>
        <v>4.85892298</v>
      </c>
      <c r="U93" s="215">
        <f>Skin!W45</f>
        <v>5.1518098700000001</v>
      </c>
      <c r="V93" s="214">
        <f>Skin!X45</f>
        <v>16.128978119999999</v>
      </c>
      <c r="W93" s="215">
        <f>Skin!Y45</f>
        <v>7.5376361599999999</v>
      </c>
      <c r="X93" s="215">
        <f>Skin!Z45</f>
        <v>22.700959229999999</v>
      </c>
      <c r="Y93" s="215">
        <f>Skin!AA45</f>
        <v>11.32724971</v>
      </c>
      <c r="Z93" s="215">
        <f>Skin!AB45</f>
        <v>10.582107550000002</v>
      </c>
      <c r="AA93" s="215">
        <f>Skin!AC45</f>
        <v>13.016394350000002</v>
      </c>
      <c r="AB93" s="215">
        <f>Skin!AD45</f>
        <v>2.31528205</v>
      </c>
      <c r="AC93" s="215">
        <f>Skin!AE45</f>
        <v>5.9356248599999999</v>
      </c>
      <c r="AD93" s="215">
        <f>Skin!AF45</f>
        <v>5.67</v>
      </c>
      <c r="AE93" s="215">
        <f>Skin!AG45</f>
        <v>4.7200000000000006</v>
      </c>
      <c r="AF93" s="215">
        <f>Skin!AH45</f>
        <v>21.150000000000002</v>
      </c>
      <c r="AG93" s="216">
        <f>Skin!AI45</f>
        <v>11.15</v>
      </c>
      <c r="AI93" s="21"/>
      <c r="AJ93" s="88">
        <f t="shared" si="24"/>
        <v>41.965008052387113</v>
      </c>
      <c r="AK93" s="89">
        <f t="shared" si="25"/>
        <v>145.17381267345877</v>
      </c>
      <c r="AL93" s="89">
        <f t="shared" si="26"/>
        <v>62.09572278854553</v>
      </c>
      <c r="AM93" s="89">
        <f t="shared" si="28"/>
        <v>230.65747675939647</v>
      </c>
      <c r="AN93" s="89">
        <f t="shared" si="29"/>
        <v>186.61242400962334</v>
      </c>
      <c r="AO93" s="89">
        <f t="shared" si="30"/>
        <v>74.1571726734539</v>
      </c>
      <c r="AP93" s="89">
        <f t="shared" si="31"/>
        <v>174.14457505765299</v>
      </c>
      <c r="AQ93" s="89">
        <f t="shared" si="32"/>
        <v>209.42165635873562</v>
      </c>
      <c r="AR93" s="89">
        <f t="shared" si="33"/>
        <v>127.25566765675134</v>
      </c>
      <c r="AS93" s="90">
        <f t="shared" si="34"/>
        <v>167.7069810206948</v>
      </c>
    </row>
    <row r="94" spans="1:45">
      <c r="A94" s="289"/>
      <c r="B94" s="22" t="s">
        <v>16</v>
      </c>
      <c r="C94" s="22" t="s">
        <v>17</v>
      </c>
      <c r="D94" s="72">
        <f>Skin!F46</f>
        <v>2.0057516399999997</v>
      </c>
      <c r="E94" s="24">
        <f>Skin!G46</f>
        <v>1.9467391200000002</v>
      </c>
      <c r="F94" s="24">
        <f>Skin!H46</f>
        <v>0.37564703999999999</v>
      </c>
      <c r="G94" s="24">
        <f>Skin!I46</f>
        <v>0.11154616000000002</v>
      </c>
      <c r="H94" s="24">
        <f>Skin!J46</f>
        <v>1.03929396</v>
      </c>
      <c r="I94" s="24">
        <f>Skin!K46</f>
        <v>0.4384632</v>
      </c>
      <c r="J94" s="72">
        <f>Skin!L46</f>
        <v>1.1124000000000001</v>
      </c>
      <c r="K94" s="24">
        <f>Skin!M46</f>
        <v>0.42154739999999996</v>
      </c>
      <c r="L94" s="24">
        <f>Skin!N46</f>
        <v>0.85519331999999992</v>
      </c>
      <c r="M94" s="24">
        <f>Skin!O46</f>
        <v>0.98646275999999999</v>
      </c>
      <c r="N94" s="24">
        <f>Skin!P46</f>
        <v>0.87903160000000002</v>
      </c>
      <c r="O94" s="24">
        <f>Skin!Q46</f>
        <v>4.8667343999999995</v>
      </c>
      <c r="P94" s="24">
        <f>Skin!R46</f>
        <v>2.3360400000000001</v>
      </c>
      <c r="Q94" s="24">
        <f>Skin!S46</f>
        <v>0.58956287999999979</v>
      </c>
      <c r="R94" s="24">
        <f>Skin!T46</f>
        <v>0.92429064000000005</v>
      </c>
      <c r="S94" s="24">
        <f>Skin!U46</f>
        <v>4.9994932800000003</v>
      </c>
      <c r="T94" s="24">
        <f>Skin!V46</f>
        <v>1.1874791899999999</v>
      </c>
      <c r="U94" s="24">
        <f>Skin!W46</f>
        <v>0</v>
      </c>
      <c r="V94" s="72">
        <f>Skin!X46</f>
        <v>0</v>
      </c>
      <c r="W94" s="24">
        <f>Skin!Y46</f>
        <v>0.84666803999999996</v>
      </c>
      <c r="X94" s="24">
        <f>Skin!Z46</f>
        <v>0.95836761999999986</v>
      </c>
      <c r="Y94" s="24">
        <f>Skin!AA46</f>
        <v>0.57162864999999996</v>
      </c>
      <c r="Z94" s="24">
        <f>Skin!AB46</f>
        <v>1.04963352</v>
      </c>
      <c r="AA94" s="24">
        <f>Skin!AC46</f>
        <v>0.8538939499999999</v>
      </c>
      <c r="AB94" s="24">
        <f>Skin!AD46</f>
        <v>0.17798398999999998</v>
      </c>
      <c r="AC94" s="24">
        <f>Skin!AE46</f>
        <v>0.55140551999999998</v>
      </c>
      <c r="AD94" s="24">
        <f>Skin!AF46</f>
        <v>1.22</v>
      </c>
      <c r="AE94" s="24">
        <f>Skin!AG46</f>
        <v>0.35</v>
      </c>
      <c r="AF94" s="24">
        <f>Skin!AH46</f>
        <v>1</v>
      </c>
      <c r="AG94" s="25">
        <f>Skin!AI46</f>
        <v>0.8</v>
      </c>
      <c r="AI94" s="21"/>
      <c r="AJ94" s="51">
        <f t="shared" si="24"/>
        <v>7.0007094799015306</v>
      </c>
      <c r="AK94" s="52">
        <f t="shared" si="25"/>
        <v>36.6127122725633</v>
      </c>
      <c r="AL94" s="52">
        <f t="shared" si="26"/>
        <v>25.983602728270387</v>
      </c>
      <c r="AM94" s="52">
        <f t="shared" si="28"/>
        <v>75.551667797952049</v>
      </c>
      <c r="AN94" s="52">
        <f t="shared" si="29"/>
        <v>36.765775618117885</v>
      </c>
      <c r="AO94" s="52">
        <f t="shared" si="30"/>
        <v>50.634894182735735</v>
      </c>
      <c r="AP94" s="52">
        <f t="shared" si="31"/>
        <v>34.750437478510392</v>
      </c>
      <c r="AQ94" s="52">
        <f t="shared" si="32"/>
        <v>46.924881065118313</v>
      </c>
      <c r="AR94" s="52">
        <f t="shared" si="33"/>
        <v>40.843322149407314</v>
      </c>
      <c r="AS94" s="53">
        <f t="shared" si="34"/>
        <v>43.738794750287099</v>
      </c>
    </row>
    <row r="95" spans="1:45">
      <c r="A95" s="289"/>
      <c r="B95" s="22" t="s">
        <v>16</v>
      </c>
      <c r="C95" s="22" t="s">
        <v>737</v>
      </c>
      <c r="D95" s="72">
        <f>Skin!F47</f>
        <v>0</v>
      </c>
      <c r="E95" s="24">
        <f>Skin!G47</f>
        <v>0</v>
      </c>
      <c r="F95" s="24">
        <f>Skin!H47</f>
        <v>0</v>
      </c>
      <c r="G95" s="24">
        <f>Skin!I47</f>
        <v>0</v>
      </c>
      <c r="H95" s="24">
        <f>Skin!J47</f>
        <v>0</v>
      </c>
      <c r="I95" s="24">
        <f>Skin!K47</f>
        <v>0</v>
      </c>
      <c r="J95" s="72">
        <f>Skin!L47</f>
        <v>6.3946108799999992</v>
      </c>
      <c r="K95" s="24">
        <f>Skin!M47</f>
        <v>0.20915567999999998</v>
      </c>
      <c r="L95" s="24">
        <f>Skin!N47</f>
        <v>5.3030160000000007E-2</v>
      </c>
      <c r="M95" s="24">
        <f>Skin!O47</f>
        <v>1.52327196</v>
      </c>
      <c r="N95" s="24">
        <f>Skin!P47</f>
        <v>1.35008448</v>
      </c>
      <c r="O95" s="24">
        <f>Skin!Q47</f>
        <v>1.17279456</v>
      </c>
      <c r="P95" s="24">
        <f>Skin!R47</f>
        <v>1.8186923999999998</v>
      </c>
      <c r="Q95" s="24">
        <f>Skin!S47</f>
        <v>0.79849968000000004</v>
      </c>
      <c r="R95" s="24">
        <f>Skin!T47</f>
        <v>1.1476771200000002</v>
      </c>
      <c r="S95" s="24">
        <f>Skin!U47</f>
        <v>0.68821619999999994</v>
      </c>
      <c r="T95" s="24">
        <f>Skin!V47</f>
        <v>1.2490996799999996</v>
      </c>
      <c r="U95" s="24">
        <f>Skin!W47</f>
        <v>1.1348789999999997</v>
      </c>
      <c r="V95" s="72">
        <f>Skin!X47</f>
        <v>6.9217200000000001E-3</v>
      </c>
      <c r="W95" s="24">
        <f>Skin!Y47</f>
        <v>0.34597692000000002</v>
      </c>
      <c r="X95" s="24">
        <f>Skin!Z47</f>
        <v>0.38441880000000006</v>
      </c>
      <c r="Y95" s="24">
        <f>Skin!AA47</f>
        <v>0.84877271999999981</v>
      </c>
      <c r="Z95" s="24">
        <f>Skin!AB47</f>
        <v>0.90442272000000001</v>
      </c>
      <c r="AA95" s="24">
        <f>Skin!AC47</f>
        <v>2.03784024</v>
      </c>
      <c r="AB95" s="24">
        <f>Skin!AD47</f>
        <v>5.5982279999999995E-2</v>
      </c>
      <c r="AC95" s="24">
        <f>Skin!AE47</f>
        <v>0.66436619999999991</v>
      </c>
      <c r="AD95" s="24">
        <f>Skin!AF47</f>
        <v>0.14000000000000001</v>
      </c>
      <c r="AE95" s="24">
        <f>Skin!AG47</f>
        <v>0.64</v>
      </c>
      <c r="AF95" s="24">
        <f>Skin!AH47</f>
        <v>0.65</v>
      </c>
      <c r="AG95" s="25">
        <f>Skin!AI47</f>
        <v>0.65</v>
      </c>
      <c r="AI95" s="21"/>
      <c r="AJ95" s="51">
        <f t="shared" si="24"/>
        <v>92.994032979752589</v>
      </c>
      <c r="AK95" s="52">
        <f t="shared" si="25"/>
        <v>39.777569448858522</v>
      </c>
      <c r="AL95" s="52">
        <f t="shared" si="26"/>
        <v>33.692335655633279</v>
      </c>
      <c r="AM95" s="52">
        <f t="shared" si="28"/>
        <v>11.076159765924176</v>
      </c>
      <c r="AN95" s="52">
        <f t="shared" si="29"/>
        <v>93.694864081938618</v>
      </c>
      <c r="AO95" s="52">
        <f t="shared" si="30"/>
        <v>22.852015151017731</v>
      </c>
      <c r="AP95" s="52">
        <f t="shared" si="31"/>
        <v>63.147035776584602</v>
      </c>
      <c r="AQ95" s="52">
        <f t="shared" si="32"/>
        <v>42.309401470196107</v>
      </c>
      <c r="AR95" s="52">
        <f t="shared" si="33"/>
        <v>40.958347724013144</v>
      </c>
      <c r="AS95" s="53">
        <f t="shared" si="34"/>
        <v>41.782763224822915</v>
      </c>
    </row>
    <row r="96" spans="1:45">
      <c r="A96" s="289"/>
      <c r="B96" s="22" t="s">
        <v>16</v>
      </c>
      <c r="C96" s="22" t="s">
        <v>19</v>
      </c>
      <c r="D96" s="72">
        <f>Skin!F48</f>
        <v>0</v>
      </c>
      <c r="E96" s="24">
        <f>Skin!G48</f>
        <v>0</v>
      </c>
      <c r="F96" s="24">
        <f>Skin!H48</f>
        <v>0</v>
      </c>
      <c r="G96" s="24">
        <f>Skin!I48</f>
        <v>0</v>
      </c>
      <c r="H96" s="24">
        <f>Skin!J48</f>
        <v>0</v>
      </c>
      <c r="I96" s="24">
        <f>Skin!K48</f>
        <v>0</v>
      </c>
      <c r="J96" s="72">
        <f>Skin!L48</f>
        <v>0</v>
      </c>
      <c r="K96" s="24">
        <f>Skin!M48</f>
        <v>0</v>
      </c>
      <c r="L96" s="24">
        <f>Skin!N48</f>
        <v>0</v>
      </c>
      <c r="M96" s="24">
        <f>Skin!O48</f>
        <v>0</v>
      </c>
      <c r="N96" s="24">
        <f>Skin!P48</f>
        <v>0</v>
      </c>
      <c r="O96" s="24">
        <f>Skin!Q48</f>
        <v>0</v>
      </c>
      <c r="P96" s="24">
        <f>Skin!R48</f>
        <v>0</v>
      </c>
      <c r="Q96" s="24">
        <f>Skin!S48</f>
        <v>0</v>
      </c>
      <c r="R96" s="24">
        <f>Skin!T48</f>
        <v>0</v>
      </c>
      <c r="S96" s="24">
        <f>Skin!U48</f>
        <v>0</v>
      </c>
      <c r="T96" s="24">
        <f>Skin!V48</f>
        <v>0</v>
      </c>
      <c r="U96" s="24">
        <f>Skin!W48</f>
        <v>0</v>
      </c>
      <c r="V96" s="72">
        <f>Skin!X48</f>
        <v>0</v>
      </c>
      <c r="W96" s="24">
        <f>Skin!Y48</f>
        <v>0</v>
      </c>
      <c r="X96" s="24">
        <f>Skin!Z48</f>
        <v>18.939159119999999</v>
      </c>
      <c r="Y96" s="24">
        <f>Skin!AA48</f>
        <v>4.6990970399999998</v>
      </c>
      <c r="Z96" s="24">
        <f>Skin!AB48</f>
        <v>6.666229920000001</v>
      </c>
      <c r="AA96" s="24">
        <f>Skin!AC48</f>
        <v>6.5050844400000001</v>
      </c>
      <c r="AB96" s="24">
        <f>Skin!AD48</f>
        <v>1.7032694399999999</v>
      </c>
      <c r="AC96" s="24">
        <f>Skin!AE48</f>
        <v>3.5810461199999994</v>
      </c>
      <c r="AD96" s="24">
        <f>Skin!AF48</f>
        <v>3.65</v>
      </c>
      <c r="AE96" s="24">
        <f>Skin!AG48</f>
        <v>2.25</v>
      </c>
      <c r="AF96" s="24">
        <f>Skin!AH48</f>
        <v>3</v>
      </c>
      <c r="AG96" s="25">
        <f>Skin!AI48</f>
        <v>1.5</v>
      </c>
      <c r="AI96" s="21"/>
      <c r="AJ96" s="51" t="str">
        <f t="shared" si="24"/>
        <v>NA</v>
      </c>
      <c r="AK96" s="52" t="str">
        <f t="shared" si="25"/>
        <v>NA</v>
      </c>
      <c r="AL96" s="52" t="str">
        <f t="shared" si="26"/>
        <v>NA</v>
      </c>
      <c r="AM96" s="52" t="str">
        <f t="shared" si="28"/>
        <v>NA</v>
      </c>
      <c r="AN96" s="52" t="str">
        <f t="shared" si="29"/>
        <v>NA</v>
      </c>
      <c r="AO96" s="52" t="str">
        <f t="shared" si="30"/>
        <v>NA</v>
      </c>
      <c r="AP96" s="52" t="str">
        <f t="shared" si="31"/>
        <v>NA</v>
      </c>
      <c r="AQ96" s="52" t="str">
        <f t="shared" si="32"/>
        <v>NA</v>
      </c>
      <c r="AR96" s="52" t="str">
        <f t="shared" si="33"/>
        <v>NA</v>
      </c>
      <c r="AS96" s="53" t="str">
        <f t="shared" si="34"/>
        <v>NA</v>
      </c>
    </row>
    <row r="97" spans="1:45">
      <c r="A97" s="289"/>
      <c r="B97" s="22" t="s">
        <v>16</v>
      </c>
      <c r="C97" s="22" t="s">
        <v>18</v>
      </c>
      <c r="D97" s="72">
        <f>Skin!F49</f>
        <v>1.5191176000000002</v>
      </c>
      <c r="E97" s="24">
        <f>Skin!G49</f>
        <v>1.6558895999999999</v>
      </c>
      <c r="F97" s="24">
        <f>Skin!H49</f>
        <v>3.0048840000000001</v>
      </c>
      <c r="G97" s="24">
        <f>Skin!I49</f>
        <v>0.93111733000000008</v>
      </c>
      <c r="H97" s="24">
        <f>Skin!J49</f>
        <v>2.3328710799999999</v>
      </c>
      <c r="I97" s="24">
        <f>Skin!K49</f>
        <v>0.548647</v>
      </c>
      <c r="J97" s="72">
        <f>Skin!L49</f>
        <v>5.1904222799999999</v>
      </c>
      <c r="K97" s="24">
        <f>Skin!M49</f>
        <v>2.6716049199999996</v>
      </c>
      <c r="L97" s="24">
        <f>Skin!N49</f>
        <v>0.96309999999999996</v>
      </c>
      <c r="M97" s="24">
        <f>Skin!O49</f>
        <v>3.9776013999999997</v>
      </c>
      <c r="N97" s="24">
        <f>Skin!P49</f>
        <v>1.2635942099999999</v>
      </c>
      <c r="O97" s="24">
        <f>Skin!Q49</f>
        <v>0.33271919999999999</v>
      </c>
      <c r="P97" s="24">
        <f>Skin!R49</f>
        <v>5.0747399999999998E-2</v>
      </c>
      <c r="Q97" s="24">
        <f>Skin!S49</f>
        <v>3.4527384100000003</v>
      </c>
      <c r="R97" s="24">
        <f>Skin!T49</f>
        <v>5.1507719999999999</v>
      </c>
      <c r="S97" s="24">
        <f>Skin!U49</f>
        <v>5.28173388</v>
      </c>
      <c r="T97" s="24">
        <f>Skin!V49</f>
        <v>0.76240955999999993</v>
      </c>
      <c r="U97" s="24">
        <f>Skin!W49</f>
        <v>2.0236021800000001</v>
      </c>
      <c r="V97" s="72">
        <f>Skin!X49</f>
        <v>16.072985639999999</v>
      </c>
      <c r="W97" s="24">
        <f>Skin!Y49</f>
        <v>6.0704142000000001</v>
      </c>
      <c r="X97" s="24">
        <f>Skin!Z49</f>
        <v>1.7858921999999999</v>
      </c>
      <c r="Y97" s="24">
        <f>Skin!AA49</f>
        <v>3.3889359000000003</v>
      </c>
      <c r="Z97" s="24">
        <f>Skin!AB49</f>
        <v>1.2127046399999999</v>
      </c>
      <c r="AA97" s="24">
        <f>Skin!AC49</f>
        <v>1.3049664600000002</v>
      </c>
      <c r="AB97" s="24">
        <f>Skin!AD49</f>
        <v>0.17291603999999997</v>
      </c>
      <c r="AC97" s="24">
        <f>Skin!AE49</f>
        <v>0.48803521999999999</v>
      </c>
      <c r="AD97" s="24">
        <f>Skin!AF49</f>
        <v>0.39</v>
      </c>
      <c r="AE97" s="24">
        <f>Skin!AG49</f>
        <v>1.04</v>
      </c>
      <c r="AF97" s="24">
        <f>Skin!AH49</f>
        <v>1</v>
      </c>
      <c r="AG97" s="25">
        <f>Skin!AI49</f>
        <v>1.5</v>
      </c>
      <c r="AI97" s="21"/>
      <c r="AJ97" s="51">
        <f t="shared" si="24"/>
        <v>19.690503604092982</v>
      </c>
      <c r="AK97" s="52">
        <f t="shared" si="25"/>
        <v>112.67623902631885</v>
      </c>
      <c r="AL97" s="52">
        <f t="shared" si="26"/>
        <v>15.003964601244673</v>
      </c>
      <c r="AM97" s="52">
        <f t="shared" si="28"/>
        <v>271.14954263775371</v>
      </c>
      <c r="AN97" s="52">
        <f t="shared" si="29"/>
        <v>105.96873474641426</v>
      </c>
      <c r="AO97" s="52">
        <f t="shared" si="30"/>
        <v>12.143748003273313</v>
      </c>
      <c r="AP97" s="52">
        <f t="shared" si="31"/>
        <v>43.878428581390992</v>
      </c>
      <c r="AQ97" s="52">
        <f t="shared" si="32"/>
        <v>207.20752824583224</v>
      </c>
      <c r="AR97" s="52">
        <f t="shared" si="33"/>
        <v>27.454552794575044</v>
      </c>
      <c r="AS97" s="53">
        <f t="shared" si="34"/>
        <v>110.62240941222056</v>
      </c>
    </row>
    <row r="98" spans="1:45">
      <c r="A98" s="289"/>
      <c r="B98" s="22" t="s">
        <v>16</v>
      </c>
      <c r="C98" s="22" t="s">
        <v>102</v>
      </c>
      <c r="D98" s="72">
        <f>Skin!F50</f>
        <v>0.71105973</v>
      </c>
      <c r="E98" s="24">
        <f>Skin!G50</f>
        <v>0.77984811000000009</v>
      </c>
      <c r="F98" s="24">
        <f>Skin!H50</f>
        <v>0.69018325000000003</v>
      </c>
      <c r="G98" s="24">
        <f>Skin!I50</f>
        <v>-2.9715526100000003</v>
      </c>
      <c r="H98" s="24">
        <f>Skin!J50</f>
        <v>1.82489675</v>
      </c>
      <c r="I98" s="24">
        <f>Skin!K50</f>
        <v>0.72146345000000001</v>
      </c>
      <c r="J98" s="72">
        <f>Skin!L50</f>
        <v>0.24889340000000001</v>
      </c>
      <c r="K98" s="24">
        <f>Skin!M50</f>
        <v>0.96521701999999987</v>
      </c>
      <c r="L98" s="24">
        <f>Skin!N50</f>
        <v>1.0171750400000001</v>
      </c>
      <c r="M98" s="24">
        <f>Skin!O50</f>
        <v>0.56904614000000009</v>
      </c>
      <c r="N98" s="24">
        <f>Skin!P50</f>
        <v>0.83734158999999975</v>
      </c>
      <c r="O98" s="24">
        <f>Skin!Q50</f>
        <v>0.95698028000000013</v>
      </c>
      <c r="P98" s="24">
        <f>Skin!R50</f>
        <v>1.5659166299999998</v>
      </c>
      <c r="Q98" s="24">
        <f>Skin!S50</f>
        <v>0.16498044999999997</v>
      </c>
      <c r="R98" s="24">
        <f>Skin!T50</f>
        <v>0.77224751999999997</v>
      </c>
      <c r="S98" s="24">
        <f>Skin!U50</f>
        <v>0.27802261</v>
      </c>
      <c r="T98" s="24">
        <f>Skin!V50</f>
        <v>1.6599345500000002</v>
      </c>
      <c r="U98" s="24">
        <f>Skin!W50</f>
        <v>1.99332869</v>
      </c>
      <c r="V98" s="72">
        <f>Skin!X50</f>
        <v>4.9070759999999998E-2</v>
      </c>
      <c r="W98" s="24">
        <f>Skin!Y50</f>
        <v>0.27457700000000002</v>
      </c>
      <c r="X98" s="24">
        <f>Skin!Z50</f>
        <v>0.63312149000000006</v>
      </c>
      <c r="Y98" s="24">
        <f>Skin!AA50</f>
        <v>1.8188154000000003</v>
      </c>
      <c r="Z98" s="24">
        <f>Skin!AB50</f>
        <v>0.74911675</v>
      </c>
      <c r="AA98" s="24">
        <f>Skin!AC50</f>
        <v>2.3146092600000001</v>
      </c>
      <c r="AB98" s="24">
        <f>Skin!AD50</f>
        <v>0.20513030000000002</v>
      </c>
      <c r="AC98" s="24">
        <f>Skin!AE50</f>
        <v>0.65077180000000001</v>
      </c>
      <c r="AD98" s="24">
        <f>Skin!AF50</f>
        <v>0.27</v>
      </c>
      <c r="AE98" s="24">
        <f>Skin!AG50</f>
        <v>0.44</v>
      </c>
      <c r="AF98" s="24">
        <f>Skin!AH50</f>
        <v>0.7</v>
      </c>
      <c r="AG98" s="25">
        <f>Skin!AI50</f>
        <v>0.7</v>
      </c>
      <c r="AI98" s="21"/>
      <c r="AJ98" s="51">
        <f t="shared" si="24"/>
        <v>158.26050981968694</v>
      </c>
      <c r="AK98" s="52">
        <f t="shared" si="25"/>
        <v>100.39849233427951</v>
      </c>
      <c r="AL98" s="52">
        <f t="shared" si="26"/>
        <v>56.303773982722895</v>
      </c>
      <c r="AM98" s="52">
        <f t="shared" si="28"/>
        <v>42.879733102370501</v>
      </c>
      <c r="AN98" s="52">
        <f t="shared" si="29"/>
        <v>206.59251497611666</v>
      </c>
      <c r="AO98" s="52">
        <f t="shared" si="30"/>
        <v>44.97950697694413</v>
      </c>
      <c r="AP98" s="52">
        <f t="shared" si="31"/>
        <v>46.804024693345561</v>
      </c>
      <c r="AQ98" s="52">
        <f t="shared" si="32"/>
        <v>127.08925054145597</v>
      </c>
      <c r="AR98" s="52">
        <f t="shared" si="33"/>
        <v>46.094244440858013</v>
      </c>
      <c r="AS98" s="53">
        <f t="shared" si="34"/>
        <v>79.836302125081687</v>
      </c>
    </row>
    <row r="99" spans="1:45">
      <c r="A99" s="286"/>
      <c r="B99" s="31" t="s">
        <v>16</v>
      </c>
      <c r="C99" s="31" t="s">
        <v>766</v>
      </c>
      <c r="D99" s="74"/>
      <c r="E99" s="32"/>
      <c r="F99" s="32"/>
      <c r="G99" s="32"/>
      <c r="H99" s="32"/>
      <c r="I99" s="32"/>
      <c r="J99" s="74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74"/>
      <c r="W99" s="32"/>
      <c r="X99" s="32"/>
      <c r="Y99" s="32"/>
      <c r="Z99" s="32"/>
      <c r="AA99" s="32"/>
      <c r="AB99" s="32"/>
      <c r="AC99" s="32"/>
      <c r="AD99" s="32"/>
      <c r="AE99" s="32">
        <f>Skin!AG51</f>
        <v>0</v>
      </c>
      <c r="AF99" s="32">
        <f>Skin!AH51</f>
        <v>14.8</v>
      </c>
      <c r="AG99" s="33">
        <f>Skin!AI51</f>
        <v>6</v>
      </c>
      <c r="AI99" s="21"/>
      <c r="AJ99" s="54" t="str">
        <f t="shared" si="24"/>
        <v>NA</v>
      </c>
      <c r="AK99" s="48" t="str">
        <f t="shared" si="25"/>
        <v>NA</v>
      </c>
      <c r="AL99" s="48" t="str">
        <f t="shared" si="26"/>
        <v>NA</v>
      </c>
      <c r="AM99" s="48" t="str">
        <f t="shared" si="28"/>
        <v>NA</v>
      </c>
      <c r="AN99" s="48" t="str">
        <f t="shared" si="29"/>
        <v>NA</v>
      </c>
      <c r="AO99" s="48" t="str">
        <f t="shared" si="30"/>
        <v>NA</v>
      </c>
      <c r="AP99" s="48" t="str">
        <f t="shared" si="31"/>
        <v>NA</v>
      </c>
      <c r="AQ99" s="48" t="str">
        <f t="shared" si="32"/>
        <v>NA</v>
      </c>
      <c r="AR99" s="48" t="str">
        <f t="shared" si="33"/>
        <v>NA</v>
      </c>
      <c r="AS99" s="55" t="str">
        <f t="shared" si="34"/>
        <v>NA</v>
      </c>
    </row>
    <row r="100" spans="1:45">
      <c r="A100" s="286" t="s">
        <v>745</v>
      </c>
      <c r="B100" s="31" t="s">
        <v>140</v>
      </c>
      <c r="C100" s="119" t="s">
        <v>83</v>
      </c>
      <c r="D100" s="74">
        <f>Shave!F57</f>
        <v>1.7683540699999998</v>
      </c>
      <c r="E100" s="32">
        <f>Shave!G57</f>
        <v>0.89489586999999993</v>
      </c>
      <c r="F100" s="32">
        <f>Shave!H57</f>
        <v>0.60580963000000021</v>
      </c>
      <c r="G100" s="32">
        <f>Shave!I57</f>
        <v>2.44695565</v>
      </c>
      <c r="H100" s="32">
        <f>Shave!J57</f>
        <v>0.70861656000000017</v>
      </c>
      <c r="I100" s="32">
        <f>Shave!K57</f>
        <v>0.42492526000000003</v>
      </c>
      <c r="J100" s="74">
        <f>Shave!L57</f>
        <v>1.07662071</v>
      </c>
      <c r="K100" s="32">
        <f>Shave!M57</f>
        <v>0.92402120000000021</v>
      </c>
      <c r="L100" s="32">
        <f>Shave!N57</f>
        <v>0.94098436000000008</v>
      </c>
      <c r="M100" s="32">
        <f>Shave!O57</f>
        <v>0.89361154999999981</v>
      </c>
      <c r="N100" s="32">
        <f>Shave!P57</f>
        <v>0.38438559999999999</v>
      </c>
      <c r="O100" s="32">
        <f>Shave!Q57</f>
        <v>0.93171445000000019</v>
      </c>
      <c r="P100" s="32">
        <f>Shave!R57</f>
        <v>2.6744057299999997</v>
      </c>
      <c r="Q100" s="32">
        <f>Shave!S57</f>
        <v>1.1516445500000001</v>
      </c>
      <c r="R100" s="32">
        <f>Shave!T57</f>
        <v>2.5171599999999996</v>
      </c>
      <c r="S100" s="32">
        <f>Shave!U57</f>
        <v>1.2234573399999999</v>
      </c>
      <c r="T100" s="32">
        <f>Shave!V57</f>
        <v>0.74396249999999997</v>
      </c>
      <c r="U100" s="32">
        <f>Shave!W57</f>
        <v>5.2201320000000002E-2</v>
      </c>
      <c r="V100" s="74">
        <f>Shave!X57</f>
        <v>0.97442130000000016</v>
      </c>
      <c r="W100" s="32">
        <f>Shave!Y57</f>
        <v>1.4117740000000001</v>
      </c>
      <c r="X100" s="32">
        <f>Shave!Z57</f>
        <v>1.46094422</v>
      </c>
      <c r="Y100" s="32">
        <f>Shave!AA57</f>
        <v>1.3622729599999999</v>
      </c>
      <c r="Z100" s="32">
        <f>Shave!AB57</f>
        <v>0.78819170000000005</v>
      </c>
      <c r="AA100" s="32">
        <f>Shave!AC57</f>
        <v>0.73841127000000006</v>
      </c>
      <c r="AB100" s="32">
        <f>Shave!AD57</f>
        <v>4.0343031000000007</v>
      </c>
      <c r="AC100" s="32">
        <f>Shave!AE57</f>
        <v>1.28697266</v>
      </c>
      <c r="AD100" s="32">
        <f>Shave!AF57</f>
        <v>0.97181319999999993</v>
      </c>
      <c r="AE100" s="32">
        <f>Shave!AG57</f>
        <v>0.43695924999999997</v>
      </c>
      <c r="AF100" s="32">
        <f>Shave!AH57</f>
        <v>0.64245093016666666</v>
      </c>
      <c r="AG100" s="33">
        <f>Shave!AI57</f>
        <v>0.64245093016666666</v>
      </c>
      <c r="AI100" s="21"/>
      <c r="AJ100" s="54">
        <f t="shared" si="24"/>
        <v>35.715119417240984</v>
      </c>
      <c r="AK100" s="48">
        <f t="shared" si="25"/>
        <v>105.88188274166251</v>
      </c>
      <c r="AL100" s="48">
        <f t="shared" si="26"/>
        <v>88.943357208017574</v>
      </c>
      <c r="AM100" s="48">
        <f t="shared" si="28"/>
        <v>130.78274283972857</v>
      </c>
      <c r="AN100" s="48">
        <f t="shared" si="29"/>
        <v>130.73542855094757</v>
      </c>
      <c r="AO100" s="48">
        <f t="shared" si="30"/>
        <v>99.209843000821991</v>
      </c>
      <c r="AP100" s="48">
        <f t="shared" si="31"/>
        <v>85.25663844467411</v>
      </c>
      <c r="AQ100" s="48">
        <f t="shared" si="32"/>
        <v>130.76244696021072</v>
      </c>
      <c r="AR100" s="48">
        <f t="shared" si="33"/>
        <v>95.840148493215779</v>
      </c>
      <c r="AS100" s="55">
        <f t="shared" si="34"/>
        <v>109.15184782699259</v>
      </c>
    </row>
  </sheetData>
  <autoFilter ref="A1:AV100" xr:uid="{60C4DA7D-6B94-4FCA-A48B-B210FFBBD2F8}"/>
  <phoneticPr fontId="5" type="noConversion"/>
  <conditionalFormatting sqref="AJ2:AS100">
    <cfRule type="cellIs" dxfId="85" priority="1" operator="equal">
      <formula>"NA"</formula>
    </cfRule>
    <cfRule type="cellIs" dxfId="84" priority="2" operator="greaterThan">
      <formula>100</formula>
    </cfRule>
    <cfRule type="cellIs" dxfId="83" priority="3" operator="lessThan">
      <formula>100</formula>
    </cfRule>
    <cfRule type="cellIs" dxfId="82" priority="4" operator="lessThan">
      <formula>100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33"/>
  <sheetViews>
    <sheetView tabSelected="1" zoomScale="80" zoomScaleNormal="80" workbookViewId="0">
      <pane xSplit="5" ySplit="2" topLeftCell="AB18" activePane="bottomRight" state="frozen"/>
      <selection pane="topRight" activeCell="F1" sqref="F1"/>
      <selection pane="bottomLeft" activeCell="A2" sqref="A2"/>
      <selection pane="bottomRight" activeCell="AO35" sqref="AO35"/>
    </sheetView>
  </sheetViews>
  <sheetFormatPr defaultColWidth="9" defaultRowHeight="14.4" outlineLevelRow="1" outlineLevelCol="1"/>
  <cols>
    <col min="1" max="1" width="11.33203125" style="22" bestFit="1" customWidth="1"/>
    <col min="2" max="2" width="9.33203125" style="22" bestFit="1" customWidth="1"/>
    <col min="3" max="3" width="10.33203125" style="22" bestFit="1" customWidth="1"/>
    <col min="4" max="4" width="7.109375" style="22" bestFit="1" customWidth="1"/>
    <col min="5" max="5" width="9.44140625" style="22" bestFit="1" customWidth="1"/>
    <col min="6" max="11" width="8.44140625" style="22" hidden="1" customWidth="1" outlineLevel="1"/>
    <col min="12" max="12" width="8.44140625" style="22" bestFit="1" customWidth="1" collapsed="1"/>
    <col min="13" max="17" width="8.44140625" style="22" bestFit="1" customWidth="1"/>
    <col min="18" max="23" width="8.44140625" style="22" customWidth="1"/>
    <col min="24" max="29" width="9.33203125" style="22" bestFit="1" customWidth="1"/>
    <col min="30" max="35" width="8.44140625" style="22" customWidth="1"/>
    <col min="36" max="36" width="10.33203125" style="22" customWidth="1"/>
    <col min="37" max="37" width="11.33203125" style="22" bestFit="1" customWidth="1"/>
    <col min="38" max="39" width="10.33203125" style="22" customWidth="1"/>
    <col min="40" max="49" width="8.6640625" style="22" customWidth="1"/>
    <col min="50" max="16384" width="9" style="22"/>
  </cols>
  <sheetData>
    <row r="1" spans="1:51">
      <c r="F1" s="148" t="s">
        <v>90</v>
      </c>
      <c r="G1" s="148" t="s">
        <v>90</v>
      </c>
      <c r="H1" s="148" t="s">
        <v>90</v>
      </c>
      <c r="I1" s="148" t="s">
        <v>90</v>
      </c>
      <c r="J1" s="148" t="s">
        <v>90</v>
      </c>
      <c r="K1" s="148" t="s">
        <v>90</v>
      </c>
      <c r="L1" s="148" t="s">
        <v>90</v>
      </c>
      <c r="M1" s="148" t="s">
        <v>90</v>
      </c>
      <c r="N1" s="148" t="s">
        <v>90</v>
      </c>
      <c r="O1" s="148" t="s">
        <v>90</v>
      </c>
      <c r="P1" s="148" t="s">
        <v>90</v>
      </c>
      <c r="Q1" s="148" t="s">
        <v>90</v>
      </c>
      <c r="R1" s="148" t="s">
        <v>90</v>
      </c>
      <c r="S1" s="148" t="s">
        <v>90</v>
      </c>
      <c r="T1" s="148" t="s">
        <v>90</v>
      </c>
      <c r="U1" s="148" t="s">
        <v>90</v>
      </c>
      <c r="V1" s="148" t="s">
        <v>90</v>
      </c>
      <c r="W1" s="148" t="s">
        <v>90</v>
      </c>
      <c r="X1" s="148" t="s">
        <v>90</v>
      </c>
      <c r="Y1" s="148" t="s">
        <v>90</v>
      </c>
      <c r="Z1" s="148" t="s">
        <v>90</v>
      </c>
      <c r="AA1" s="148" t="s">
        <v>90</v>
      </c>
      <c r="AB1" s="148" t="s">
        <v>90</v>
      </c>
      <c r="AC1" s="148" t="s">
        <v>90</v>
      </c>
      <c r="AD1" s="148" t="s">
        <v>90</v>
      </c>
      <c r="AE1" s="148" t="s">
        <v>90</v>
      </c>
      <c r="AF1" s="148" t="s">
        <v>90</v>
      </c>
      <c r="AG1" s="148" t="s">
        <v>90</v>
      </c>
      <c r="AH1" s="148" t="s">
        <v>719</v>
      </c>
      <c r="AI1" s="148" t="s">
        <v>719</v>
      </c>
      <c r="AK1" s="22" t="s">
        <v>751</v>
      </c>
    </row>
    <row r="2" spans="1:51" ht="15" thickBot="1">
      <c r="A2" s="18" t="s">
        <v>78</v>
      </c>
      <c r="B2" s="19" t="s">
        <v>89</v>
      </c>
      <c r="C2" s="19" t="s">
        <v>0</v>
      </c>
      <c r="D2" s="19" t="s">
        <v>79</v>
      </c>
      <c r="E2" s="20" t="s">
        <v>80</v>
      </c>
      <c r="F2" s="57">
        <v>202401</v>
      </c>
      <c r="G2" s="57">
        <v>202402</v>
      </c>
      <c r="H2" s="57">
        <v>202403</v>
      </c>
      <c r="I2" s="57">
        <v>202404</v>
      </c>
      <c r="J2" s="57">
        <v>202405</v>
      </c>
      <c r="K2" s="57">
        <v>202406</v>
      </c>
      <c r="L2" s="7">
        <v>202407</v>
      </c>
      <c r="M2" s="7">
        <v>202408</v>
      </c>
      <c r="N2" s="7">
        <v>202409</v>
      </c>
      <c r="O2" s="7">
        <v>202410</v>
      </c>
      <c r="P2" s="7">
        <v>202411</v>
      </c>
      <c r="Q2" s="7">
        <v>202412</v>
      </c>
      <c r="R2" s="7">
        <v>202501</v>
      </c>
      <c r="S2" s="7">
        <v>202502</v>
      </c>
      <c r="T2" s="7">
        <v>202503</v>
      </c>
      <c r="U2" s="7">
        <v>202504</v>
      </c>
      <c r="V2" s="7">
        <v>202505</v>
      </c>
      <c r="W2" s="10">
        <v>202506</v>
      </c>
      <c r="X2" s="8">
        <v>202507</v>
      </c>
      <c r="Y2" s="8">
        <v>202508</v>
      </c>
      <c r="Z2" s="8">
        <v>202509</v>
      </c>
      <c r="AA2" s="8">
        <v>202510</v>
      </c>
      <c r="AB2" s="8">
        <v>202511</v>
      </c>
      <c r="AC2" s="8">
        <v>202512</v>
      </c>
      <c r="AD2" s="8">
        <v>202601</v>
      </c>
      <c r="AE2" s="8">
        <v>202602</v>
      </c>
      <c r="AF2" s="8">
        <v>202603</v>
      </c>
      <c r="AG2" s="8">
        <v>202604</v>
      </c>
      <c r="AH2" s="8">
        <v>202605</v>
      </c>
      <c r="AI2" s="9">
        <v>202606</v>
      </c>
      <c r="AK2" s="22" t="s">
        <v>749</v>
      </c>
      <c r="AL2" s="240" t="s">
        <v>750</v>
      </c>
      <c r="AN2" s="16" t="s">
        <v>98</v>
      </c>
      <c r="AO2" s="15" t="s">
        <v>99</v>
      </c>
      <c r="AP2" s="15" t="s">
        <v>134</v>
      </c>
      <c r="AQ2" s="15" t="s">
        <v>91</v>
      </c>
      <c r="AR2" s="15" t="s">
        <v>92</v>
      </c>
      <c r="AS2" s="15" t="s">
        <v>93</v>
      </c>
      <c r="AT2" s="15" t="s">
        <v>94</v>
      </c>
      <c r="AU2" s="15" t="s">
        <v>95</v>
      </c>
      <c r="AV2" s="15" t="s">
        <v>96</v>
      </c>
      <c r="AW2" s="17" t="s">
        <v>97</v>
      </c>
    </row>
    <row r="3" spans="1:51" ht="15" thickTop="1">
      <c r="A3" s="136" t="s">
        <v>77</v>
      </c>
      <c r="B3" s="137" t="s">
        <v>83</v>
      </c>
      <c r="C3" s="138" t="s">
        <v>4</v>
      </c>
      <c r="D3" s="138" t="s">
        <v>83</v>
      </c>
      <c r="E3" s="139" t="s">
        <v>83</v>
      </c>
      <c r="F3" s="140">
        <f>F6+F42+F84+F102</f>
        <v>7.2976788669444455</v>
      </c>
      <c r="G3" s="140">
        <f t="shared" ref="G3:AI3" si="0">G6+G42+G84+G102</f>
        <v>9.0880794056944438</v>
      </c>
      <c r="H3" s="140">
        <f t="shared" si="0"/>
        <v>7.5479909665277782</v>
      </c>
      <c r="I3" s="140">
        <f t="shared" si="0"/>
        <v>6.8362571906944449</v>
      </c>
      <c r="J3" s="140">
        <f t="shared" si="0"/>
        <v>7.7994483220833342</v>
      </c>
      <c r="K3" s="141">
        <f t="shared" si="0"/>
        <v>7.7877277375</v>
      </c>
      <c r="L3" s="140">
        <f t="shared" si="0"/>
        <v>7.0275253505555568</v>
      </c>
      <c r="M3" s="140">
        <f t="shared" si="0"/>
        <v>7.4311767452777779</v>
      </c>
      <c r="N3" s="140">
        <f t="shared" si="0"/>
        <v>6.7473106013888886</v>
      </c>
      <c r="O3" s="140">
        <f t="shared" si="0"/>
        <v>7.804432405</v>
      </c>
      <c r="P3" s="140">
        <f t="shared" si="0"/>
        <v>10.393136878055556</v>
      </c>
      <c r="Q3" s="140">
        <f t="shared" si="0"/>
        <v>11.154347761666667</v>
      </c>
      <c r="R3" s="140">
        <f t="shared" si="0"/>
        <v>8.6016333604999993</v>
      </c>
      <c r="S3" s="140">
        <f t="shared" si="0"/>
        <v>10.178626068944444</v>
      </c>
      <c r="T3" s="140">
        <f t="shared" si="0"/>
        <v>8.5728452785555564</v>
      </c>
      <c r="U3" s="140">
        <f t="shared" si="0"/>
        <v>10.208679187777779</v>
      </c>
      <c r="V3" s="140">
        <f t="shared" si="0"/>
        <v>12.943774429611114</v>
      </c>
      <c r="W3" s="141">
        <f t="shared" si="0"/>
        <v>10.198951900722221</v>
      </c>
      <c r="X3" s="140">
        <f t="shared" si="0"/>
        <v>11.880161451611112</v>
      </c>
      <c r="Y3" s="140">
        <f t="shared" si="0"/>
        <v>8.828240505777778</v>
      </c>
      <c r="Z3" s="140">
        <f t="shared" si="0"/>
        <v>7.9189202290555558</v>
      </c>
      <c r="AA3" s="140">
        <f t="shared" si="0"/>
        <v>11.781652638611112</v>
      </c>
      <c r="AB3" s="140">
        <f t="shared" si="0"/>
        <v>13.142757905944444</v>
      </c>
      <c r="AC3" s="140">
        <f t="shared" si="0"/>
        <v>18.085230708277777</v>
      </c>
      <c r="AD3" s="140">
        <f t="shared" si="0"/>
        <v>11.635981232944445</v>
      </c>
      <c r="AE3" s="140">
        <f t="shared" si="0"/>
        <v>11.136239075611112</v>
      </c>
      <c r="AF3" s="140">
        <f>AF6+AF42+AF84+AF102</f>
        <v>8.4134842914583317</v>
      </c>
      <c r="AG3" s="140">
        <f t="shared" si="0"/>
        <v>11.617562547712962</v>
      </c>
      <c r="AH3" s="140">
        <f t="shared" si="0"/>
        <v>11.489820000000002</v>
      </c>
      <c r="AI3" s="141">
        <f t="shared" si="0"/>
        <v>12.432500000000001</v>
      </c>
      <c r="AK3" s="316">
        <v>11.445720000000001</v>
      </c>
      <c r="AL3" s="317">
        <f>AG3-AK3</f>
        <v>0.17184254771296104</v>
      </c>
      <c r="AN3" s="82">
        <f>IFERROR(AG3/U3*100,"NA")</f>
        <v>113.8008388158769</v>
      </c>
      <c r="AO3" s="83">
        <f>IFERROR(SUM(X3:AG3)/SUM(L3:U3)*100,"NA")</f>
        <v>129.86904503286439</v>
      </c>
      <c r="AP3" s="83">
        <f>IFERROR(SUM(AD3:AG3)/SUM(R3:U3)*100,"NA")</f>
        <v>113.95429798140724</v>
      </c>
      <c r="AQ3" s="83">
        <f t="shared" ref="AQ3" si="1">IFERROR(SUM(X3:Z3)/SUM(L3:N3)*100,"NA")</f>
        <v>134.99625127638606</v>
      </c>
      <c r="AR3" s="83">
        <f t="shared" ref="AR3" si="2">IFERROR(SUM(AA3:AC3)/SUM(O3:Q3)*100,"NA")</f>
        <v>146.53094442622415</v>
      </c>
      <c r="AS3" s="83">
        <f t="shared" ref="AS3" si="3">IFERROR(SUM(AD3:AF3)/SUM(R3:T3)*100,"NA")</f>
        <v>114.01157174999943</v>
      </c>
      <c r="AT3" s="83">
        <f t="shared" ref="AT3" si="4">IFERROR(SUM(AG3:AI3)/SUM(U3:W3)*100,"NA")</f>
        <v>106.56187346711197</v>
      </c>
      <c r="AU3" s="83">
        <f t="shared" ref="AU3" si="5">IFERROR(SUM(X3:AC3)/SUM(L3:Q3)*100,"NA")</f>
        <v>141.69283395290114</v>
      </c>
      <c r="AV3" s="83">
        <f t="shared" ref="AV3" si="6">IFERROR(SUM(AD3:AI3)/SUM(R3:W3)*100,"NA")</f>
        <v>109.91866485568953</v>
      </c>
      <c r="AW3" s="84">
        <f t="shared" ref="AW3" si="7">IFERROR(SUM(X3:AI3)/SUM(L3:W3)*100,"NA")</f>
        <v>124.35692640457083</v>
      </c>
      <c r="AY3" s="22">
        <f>AVERAGE(AG3:AI3)/AVERAGE(AD3:AF3,X3:AB3)*100</f>
        <v>111.84315116471862</v>
      </c>
    </row>
    <row r="4" spans="1:51">
      <c r="A4" s="142" t="s">
        <v>709</v>
      </c>
      <c r="B4" s="143" t="s">
        <v>103</v>
      </c>
      <c r="C4" s="138" t="s">
        <v>4</v>
      </c>
      <c r="D4" s="138" t="s">
        <v>83</v>
      </c>
      <c r="E4" s="139" t="s">
        <v>83</v>
      </c>
      <c r="F4" s="149">
        <f>F24+F63+F93+F114</f>
        <v>9.7945465499999997</v>
      </c>
      <c r="G4" s="149">
        <f t="shared" ref="G4:AI4" si="8">G24+G63+G93+G114</f>
        <v>6.2381746459999992</v>
      </c>
      <c r="H4" s="149">
        <f t="shared" si="8"/>
        <v>7.8761365680000086</v>
      </c>
      <c r="I4" s="149">
        <f t="shared" si="8"/>
        <v>5.1384892509999975</v>
      </c>
      <c r="J4" s="149">
        <f t="shared" si="8"/>
        <v>10.926275137000006</v>
      </c>
      <c r="K4" s="150">
        <f t="shared" si="8"/>
        <v>6.5666194130000024</v>
      </c>
      <c r="L4" s="149">
        <f t="shared" si="8"/>
        <v>8.0995558560000021</v>
      </c>
      <c r="M4" s="149">
        <f t="shared" si="8"/>
        <v>6.3692823910000023</v>
      </c>
      <c r="N4" s="149">
        <f t="shared" si="8"/>
        <v>9.093034973</v>
      </c>
      <c r="O4" s="149">
        <f t="shared" si="8"/>
        <v>8.5704228930000017</v>
      </c>
      <c r="P4" s="149">
        <f t="shared" si="8"/>
        <v>14.405405306999999</v>
      </c>
      <c r="Q4" s="149">
        <f t="shared" si="8"/>
        <v>11.803248480000001</v>
      </c>
      <c r="R4" s="149">
        <f t="shared" si="8"/>
        <v>9.327932895</v>
      </c>
      <c r="S4" s="149">
        <f t="shared" si="8"/>
        <v>11.557274542999998</v>
      </c>
      <c r="T4" s="149">
        <f t="shared" si="8"/>
        <v>6.5753492889999983</v>
      </c>
      <c r="U4" s="149">
        <f t="shared" si="8"/>
        <v>13.191758167</v>
      </c>
      <c r="V4" s="149">
        <f t="shared" si="8"/>
        <v>9.889040403000001</v>
      </c>
      <c r="W4" s="150">
        <f t="shared" si="8"/>
        <v>10.212244939</v>
      </c>
      <c r="X4" s="149">
        <f t="shared" si="8"/>
        <v>9.9959792639999989</v>
      </c>
      <c r="Y4" s="149">
        <f t="shared" si="8"/>
        <v>11.036149327000002</v>
      </c>
      <c r="Z4" s="149">
        <f t="shared" si="8"/>
        <v>11.582716853000004</v>
      </c>
      <c r="AA4" s="149">
        <f t="shared" si="8"/>
        <v>12.23188858</v>
      </c>
      <c r="AB4" s="149">
        <f t="shared" si="8"/>
        <v>13.009476396000004</v>
      </c>
      <c r="AC4" s="149">
        <f t="shared" si="8"/>
        <v>19.940132750099998</v>
      </c>
      <c r="AD4" s="149">
        <f t="shared" si="8"/>
        <v>11.954693302499999</v>
      </c>
      <c r="AE4" s="149">
        <f t="shared" si="8"/>
        <v>18.230000000000004</v>
      </c>
      <c r="AF4" s="149">
        <f t="shared" si="8"/>
        <v>8.7800000000000011</v>
      </c>
      <c r="AG4" s="149">
        <f t="shared" si="8"/>
        <v>10.210000000000001</v>
      </c>
      <c r="AH4" s="149">
        <f t="shared" si="8"/>
        <v>21.249819999999996</v>
      </c>
      <c r="AI4" s="150">
        <f t="shared" si="8"/>
        <v>14.619700000000002</v>
      </c>
      <c r="AK4" s="316">
        <v>20.375720000000001</v>
      </c>
      <c r="AL4" s="318">
        <f t="shared" ref="AL4:AL11" si="9">AG4-AK4</f>
        <v>-10.16572</v>
      </c>
      <c r="AN4" s="156">
        <f t="shared" ref="AN4:AN11" si="10">IFERROR(AG4/U4*100,"NA")</f>
        <v>77.396809968370619</v>
      </c>
      <c r="AO4" s="157">
        <f t="shared" ref="AO4:AO11" si="11">IFERROR(SUM(X4:AG4)/SUM(L4:U4)*100,"NA")</f>
        <v>128.26229818444753</v>
      </c>
      <c r="AP4" s="157">
        <f t="shared" ref="AP4:AP11" si="12">IFERROR(SUM(AD4:AG4)/SUM(R4:U4)*100,"NA")</f>
        <v>120.96406669760853</v>
      </c>
      <c r="AQ4" s="157">
        <f t="shared" ref="AQ4:AQ11" si="13">IFERROR(SUM(X4:Z4)/SUM(L4:N4)*100,"NA")</f>
        <v>138.42212433396674</v>
      </c>
      <c r="AR4" s="157">
        <f t="shared" ref="AR4:AR11" si="14">IFERROR(SUM(AA4:AC4)/SUM(O4:Q4)*100,"NA")</f>
        <v>129.90999773171669</v>
      </c>
      <c r="AS4" s="157">
        <f t="shared" ref="AS4:AS11" si="15">IFERROR(SUM(AD4:AF4)/SUM(R4:T4)*100,"NA")</f>
        <v>141.89331152266411</v>
      </c>
      <c r="AT4" s="157">
        <f t="shared" ref="AT4:AT11" si="16">IFERROR(SUM(AG4:AI4)/SUM(U4:W4)*100,"NA")</f>
        <v>138.40585042200627</v>
      </c>
      <c r="AU4" s="157">
        <f t="shared" ref="AU4:AU11" si="17">IFERROR(SUM(X4:AC4)/SUM(L4:Q4)*100,"NA")</f>
        <v>133.34774854274357</v>
      </c>
      <c r="AV4" s="157">
        <f t="shared" ref="AV4:AV11" si="18">IFERROR(SUM(AD4:AI4)/SUM(R4:W4)*100,"NA")</f>
        <v>139.98217878799289</v>
      </c>
      <c r="AW4" s="158">
        <f t="shared" ref="AW4:AW11" si="19">IFERROR(SUM(X4:AI4)/SUM(L4:W4)*100,"NA")</f>
        <v>136.73216472680258</v>
      </c>
    </row>
    <row r="5" spans="1:51">
      <c r="A5" s="217" t="s">
        <v>745</v>
      </c>
      <c r="B5" s="138" t="s">
        <v>83</v>
      </c>
      <c r="C5" s="138" t="s">
        <v>4</v>
      </c>
      <c r="D5" s="138" t="s">
        <v>83</v>
      </c>
      <c r="E5" s="139" t="s">
        <v>83</v>
      </c>
      <c r="F5" s="140">
        <f>F126+F128+F130+F132</f>
        <v>10.280722339999999</v>
      </c>
      <c r="G5" s="140">
        <f t="shared" ref="G5:AI5" si="20">G126+G128+G130+G132</f>
        <v>8.4725031699999995</v>
      </c>
      <c r="H5" s="140">
        <f t="shared" si="20"/>
        <v>11.79399087</v>
      </c>
      <c r="I5" s="140">
        <f t="shared" si="20"/>
        <v>5.1878483899999992</v>
      </c>
      <c r="J5" s="140">
        <f t="shared" si="20"/>
        <v>16.04300125</v>
      </c>
      <c r="K5" s="141">
        <f t="shared" si="20"/>
        <v>2.6986178000000001</v>
      </c>
      <c r="L5" s="140">
        <f>L126+L128+L130+L132</f>
        <v>9.409554700000001</v>
      </c>
      <c r="M5" s="140">
        <f t="shared" si="20"/>
        <v>7.7307953999999999</v>
      </c>
      <c r="N5" s="140">
        <f t="shared" si="20"/>
        <v>10.334459729999999</v>
      </c>
      <c r="O5" s="140">
        <f t="shared" si="20"/>
        <v>10.9180265</v>
      </c>
      <c r="P5" s="140">
        <f t="shared" si="20"/>
        <v>14.591541119999999</v>
      </c>
      <c r="Q5" s="140">
        <f t="shared" si="20"/>
        <v>11.154510439999999</v>
      </c>
      <c r="R5" s="140">
        <f t="shared" si="20"/>
        <v>6.0369744799999996</v>
      </c>
      <c r="S5" s="140">
        <f t="shared" si="20"/>
        <v>12.00731375</v>
      </c>
      <c r="T5" s="140">
        <f t="shared" si="20"/>
        <v>12.20047098</v>
      </c>
      <c r="U5" s="140">
        <f t="shared" si="20"/>
        <v>11.71031515</v>
      </c>
      <c r="V5" s="140">
        <f t="shared" si="20"/>
        <v>12.725737240000001</v>
      </c>
      <c r="W5" s="141">
        <f t="shared" si="20"/>
        <v>8.512913880000001</v>
      </c>
      <c r="X5" s="140">
        <f t="shared" si="20"/>
        <v>11.581008799999999</v>
      </c>
      <c r="Y5" s="140">
        <f t="shared" si="20"/>
        <v>4.86260447</v>
      </c>
      <c r="Z5" s="140">
        <f t="shared" si="20"/>
        <v>18.670594250000004</v>
      </c>
      <c r="AA5" s="140">
        <f t="shared" si="20"/>
        <v>7.9558952999999981</v>
      </c>
      <c r="AB5" s="140">
        <f t="shared" si="20"/>
        <v>17.385761890000001</v>
      </c>
      <c r="AC5" s="140">
        <f t="shared" si="20"/>
        <v>20.980689469999998</v>
      </c>
      <c r="AD5" s="140">
        <f>AD126+AD128+AD130+AD132</f>
        <v>14.044034400000001</v>
      </c>
      <c r="AE5" s="140">
        <f t="shared" si="20"/>
        <v>18.227866156000001</v>
      </c>
      <c r="AF5" s="140">
        <f t="shared" si="20"/>
        <v>10.144152440000001</v>
      </c>
      <c r="AG5" s="140">
        <f t="shared" si="20"/>
        <v>15.442258770000002</v>
      </c>
      <c r="AH5" s="140">
        <f t="shared" si="20"/>
        <v>16.249819999999996</v>
      </c>
      <c r="AI5" s="141">
        <f t="shared" si="20"/>
        <v>14.619700000000002</v>
      </c>
      <c r="AK5" s="316">
        <v>20.375720000000001</v>
      </c>
      <c r="AL5" s="318">
        <f t="shared" si="9"/>
        <v>-4.9334612299999989</v>
      </c>
      <c r="AN5" s="156">
        <f t="shared" si="10"/>
        <v>131.86885726128389</v>
      </c>
      <c r="AO5" s="157">
        <f t="shared" si="11"/>
        <v>131.2938672398391</v>
      </c>
      <c r="AP5" s="157">
        <f t="shared" si="12"/>
        <v>137.90539678118691</v>
      </c>
      <c r="AQ5" s="157">
        <f t="shared" si="13"/>
        <v>127.80509760492858</v>
      </c>
      <c r="AR5" s="157">
        <f t="shared" si="14"/>
        <v>126.34259228936411</v>
      </c>
      <c r="AS5" s="157">
        <f t="shared" si="15"/>
        <v>140.2426539470539</v>
      </c>
      <c r="AT5" s="157">
        <f t="shared" si="16"/>
        <v>140.55609025939862</v>
      </c>
      <c r="AU5" s="157">
        <f t="shared" si="17"/>
        <v>126.96907735548206</v>
      </c>
      <c r="AV5" s="157">
        <f t="shared" si="18"/>
        <v>140.40607843903939</v>
      </c>
      <c r="AW5" s="158">
        <f t="shared" si="19"/>
        <v>133.63770792290305</v>
      </c>
    </row>
    <row r="6" spans="1:51" s="102" customFormat="1">
      <c r="A6" s="310" t="s">
        <v>77</v>
      </c>
      <c r="B6" s="95" t="s">
        <v>83</v>
      </c>
      <c r="C6" s="96" t="s">
        <v>4</v>
      </c>
      <c r="D6" s="96" t="s">
        <v>81</v>
      </c>
      <c r="E6" s="97" t="s">
        <v>83</v>
      </c>
      <c r="F6" s="98">
        <f t="shared" ref="F6:AC6" si="21">F10+F11</f>
        <v>1.1561017483333331</v>
      </c>
      <c r="G6" s="98">
        <f t="shared" si="21"/>
        <v>1.5203780316666669</v>
      </c>
      <c r="H6" s="98">
        <f t="shared" si="21"/>
        <v>1.4297258333333334</v>
      </c>
      <c r="I6" s="98">
        <f t="shared" si="21"/>
        <v>1.1546553633333332</v>
      </c>
      <c r="J6" s="98">
        <f t="shared" si="21"/>
        <v>1.498395645</v>
      </c>
      <c r="K6" s="99">
        <f t="shared" si="21"/>
        <v>1.8250481466666668</v>
      </c>
      <c r="L6" s="98">
        <f>L10+L11</f>
        <v>1.4857060299999998</v>
      </c>
      <c r="M6" s="98">
        <f t="shared" si="21"/>
        <v>1.6607624183333334</v>
      </c>
      <c r="N6" s="98">
        <f t="shared" si="21"/>
        <v>1.371501293333333</v>
      </c>
      <c r="O6" s="98">
        <f t="shared" si="21"/>
        <v>1.5249065033333333</v>
      </c>
      <c r="P6" s="98">
        <f t="shared" si="21"/>
        <v>1.7258727416666666</v>
      </c>
      <c r="Q6" s="98">
        <f t="shared" si="21"/>
        <v>1.6620787616666668</v>
      </c>
      <c r="R6" s="98">
        <f t="shared" si="21"/>
        <v>1.7330809601666668</v>
      </c>
      <c r="S6" s="98">
        <f t="shared" si="21"/>
        <v>1.444955797</v>
      </c>
      <c r="T6" s="98">
        <f t="shared" si="21"/>
        <v>1.2976342903333333</v>
      </c>
      <c r="U6" s="98">
        <f t="shared" si="21"/>
        <v>2.7419589479999997</v>
      </c>
      <c r="V6" s="98">
        <f t="shared" si="21"/>
        <v>3.1714116278333337</v>
      </c>
      <c r="W6" s="99">
        <f t="shared" si="21"/>
        <v>1.7046371266666664</v>
      </c>
      <c r="X6" s="98">
        <f t="shared" si="21"/>
        <v>2.1981883113333334</v>
      </c>
      <c r="Y6" s="98">
        <f t="shared" si="21"/>
        <v>1.9127667699999999</v>
      </c>
      <c r="Z6" s="98">
        <f t="shared" si="21"/>
        <v>1.5971440496666667</v>
      </c>
      <c r="AA6" s="98">
        <f t="shared" si="21"/>
        <v>1.8832435761666666</v>
      </c>
      <c r="AB6" s="98">
        <f t="shared" si="21"/>
        <v>2.4219897764999998</v>
      </c>
      <c r="AC6" s="98">
        <f t="shared" si="21"/>
        <v>2.2640175869999997</v>
      </c>
      <c r="AD6" s="98">
        <f>AD10+AD11</f>
        <v>1.7007495873333336</v>
      </c>
      <c r="AE6" s="98">
        <f>AE10+AE11</f>
        <v>1.73998348</v>
      </c>
      <c r="AF6" s="98">
        <f>AF10+AF11</f>
        <v>1.5325133008333331</v>
      </c>
      <c r="AG6" s="98">
        <f>AG10+AG11</f>
        <v>2.0781516006111111</v>
      </c>
      <c r="AH6" s="98">
        <f t="shared" ref="AH6:AI6" si="22">AH10+AH11</f>
        <v>2.0699999999999998</v>
      </c>
      <c r="AI6" s="99">
        <f t="shared" si="22"/>
        <v>2.4699999999999998</v>
      </c>
      <c r="AJ6" s="236"/>
      <c r="AK6" s="319">
        <v>1.62</v>
      </c>
      <c r="AL6" s="281">
        <f t="shared" si="9"/>
        <v>0.45815160061111104</v>
      </c>
      <c r="AM6" s="236"/>
      <c r="AN6" s="82">
        <f t="shared" si="10"/>
        <v>75.79076273650729</v>
      </c>
      <c r="AO6" s="83">
        <f t="shared" si="11"/>
        <v>116.09933086206681</v>
      </c>
      <c r="AP6" s="83">
        <f t="shared" si="12"/>
        <v>97.696861340552729</v>
      </c>
      <c r="AQ6" s="83">
        <f t="shared" si="13"/>
        <v>126.3421283758819</v>
      </c>
      <c r="AR6" s="83">
        <f t="shared" si="14"/>
        <v>133.71546522924746</v>
      </c>
      <c r="AS6" s="83">
        <f t="shared" si="15"/>
        <v>111.11733448204598</v>
      </c>
      <c r="AT6" s="83">
        <f t="shared" si="16"/>
        <v>86.875097257242658</v>
      </c>
      <c r="AU6" s="83">
        <f t="shared" si="17"/>
        <v>130.18316523527201</v>
      </c>
      <c r="AV6" s="83">
        <f t="shared" si="18"/>
        <v>95.846749433275434</v>
      </c>
      <c r="AW6" s="84">
        <f t="shared" si="19"/>
        <v>110.89103502230182</v>
      </c>
    </row>
    <row r="7" spans="1:51">
      <c r="A7" s="271" t="s">
        <v>77</v>
      </c>
      <c r="B7" s="22" t="s">
        <v>710</v>
      </c>
      <c r="C7" s="22" t="s">
        <v>4</v>
      </c>
      <c r="D7" s="22" t="s">
        <v>81</v>
      </c>
      <c r="E7" s="23" t="s">
        <v>9</v>
      </c>
      <c r="F7" s="24">
        <f>SUMIFS('Offtake Raw'!H:H,'Offtake Raw'!$C:$C,Hair!$D7,'Offtake Raw'!$D:$D,Hair!$E7)/1000000</f>
        <v>0.22073820000000002</v>
      </c>
      <c r="G7" s="24">
        <f>SUMIFS('Offtake Raw'!I:I,'Offtake Raw'!$C:$C,Hair!$D7,'Offtake Raw'!$D:$D,Hair!$E7)/1000000</f>
        <v>0.2234718</v>
      </c>
      <c r="H7" s="24">
        <f>SUMIFS('Offtake Raw'!J:J,'Offtake Raw'!$C:$C,Hair!$D7,'Offtake Raw'!$D:$D,Hair!$E7)/1000000</f>
        <v>0.22871119999999995</v>
      </c>
      <c r="I7" s="24">
        <f>SUMIFS('Offtake Raw'!K:K,'Offtake Raw'!$C:$C,Hair!$D7,'Offtake Raw'!$D:$D,Hair!$E7)/1000000</f>
        <v>0.22939459999999998</v>
      </c>
      <c r="J7" s="24">
        <f>SUMIFS('Offtake Raw'!L:L,'Offtake Raw'!$C:$C,Hair!$D7,'Offtake Raw'!$D:$D,Hair!$E7)/1000000</f>
        <v>0.1949968</v>
      </c>
      <c r="K7" s="25">
        <f>SUMIFS('Offtake Raw'!M:M,'Offtake Raw'!$C:$C,Hair!$D7,'Offtake Raw'!$D:$D,Hair!$E7)/1000000</f>
        <v>0.18839059999999996</v>
      </c>
      <c r="L7" s="24">
        <f>SUMIFS('Offtake Raw'!N:N,'Offtake Raw'!$C:$C,Hair!$D7,'Offtake Raw'!$D:$D,Hair!$E7)/1000000</f>
        <v>0.2235924</v>
      </c>
      <c r="M7" s="24">
        <f>SUMIFS('Offtake Raw'!O:O,'Offtake Raw'!$C:$C,Hair!$D7,'Offtake Raw'!$D:$D,Hair!$E7)/1000000</f>
        <v>0.4734448</v>
      </c>
      <c r="N7" s="24">
        <f>SUMIFS('Offtake Raw'!P:P,'Offtake Raw'!$C:$C,Hair!$D7,'Offtake Raw'!$D:$D,Hair!$E7)/1000000</f>
        <v>0.36052299999999998</v>
      </c>
      <c r="O7" s="24">
        <f>SUMIFS('Offtake Raw'!Q:Q,'Offtake Raw'!$C:$C,Hair!$D7,'Offtake Raw'!$D:$D,Hair!$E7)/1000000</f>
        <v>0.425259</v>
      </c>
      <c r="P7" s="24">
        <f>SUMIFS('Offtake Raw'!R:R,'Offtake Raw'!$C:$C,Hair!$D7,'Offtake Raw'!$D:$D,Hair!$E7)/1000000</f>
        <v>0.33646559999999998</v>
      </c>
      <c r="Q7" s="24">
        <f>SUMIFS('Offtake Raw'!S:S,'Offtake Raw'!$C:$C,Hair!$D7,'Offtake Raw'!$D:$D,Hair!$E7)/1000000</f>
        <v>0.44455651000000002</v>
      </c>
      <c r="R7" s="24">
        <f>SUMIFS('Offtake Raw'!T:T,'Offtake Raw'!$C:$C,Hair!$D7,'Offtake Raw'!$D:$D,Hair!$E7)/1000000</f>
        <v>0.64891844999999992</v>
      </c>
      <c r="S7" s="24">
        <f>SUMIFS('Offtake Raw'!U:U,'Offtake Raw'!$C:$C,Hair!$D7,'Offtake Raw'!$D:$D,Hair!$E7)/1000000</f>
        <v>0.38463275000000002</v>
      </c>
      <c r="T7" s="24">
        <f>SUMIFS('Offtake Raw'!V:V,'Offtake Raw'!$C:$C,Hair!$D7,'Offtake Raw'!$D:$D,Hair!$E7)/1000000</f>
        <v>0.40790885999999998</v>
      </c>
      <c r="U7" s="24">
        <f>SUMIFS('Offtake Raw'!W:W,'Offtake Raw'!$C:$C,Hair!$D7,'Offtake Raw'!$D:$D,Hair!$E7)/1000000</f>
        <v>0.40881819999999996</v>
      </c>
      <c r="V7" s="24">
        <f>SUMIFS('Offtake Raw'!X:X,'Offtake Raw'!$C:$C,Hair!$D7,'Offtake Raw'!$D:$D,Hair!$E7)/1000000</f>
        <v>0.45029508999999995</v>
      </c>
      <c r="W7" s="25">
        <f>SUMIFS('Offtake Raw'!Y:Y,'Offtake Raw'!$C:$C,Hair!$D7,'Offtake Raw'!$D:$D,Hair!$E7)/1000000</f>
        <v>0.41537081999999997</v>
      </c>
      <c r="X7" s="24">
        <f>SUMIFS('Offtake Raw'!Z:Z,'Offtake Raw'!$C:$C,Hair!$D7,'Offtake Raw'!$D:$D,Hair!$E7)/1000000</f>
        <v>0.82888855999999989</v>
      </c>
      <c r="Y7" s="24">
        <f>SUMIFS('Offtake Raw'!AA:AA,'Offtake Raw'!$C:$C,Hair!$D7,'Offtake Raw'!$D:$D,Hair!$E7)/1000000</f>
        <v>0.85068401999999999</v>
      </c>
      <c r="Z7" s="24">
        <f>SUMIFS('Offtake Raw'!AB:AB,'Offtake Raw'!$C:$C,Hair!$D7,'Offtake Raw'!$D:$D,Hair!$E7)/1000000</f>
        <v>0.36791353000000004</v>
      </c>
      <c r="AA7" s="24">
        <f>SUMIFS('Offtake Raw'!AC:AC,'Offtake Raw'!$C:$C,Hair!$D7,'Offtake Raw'!$D:$D,Hair!$E7)/1000000</f>
        <v>0.47134485000000004</v>
      </c>
      <c r="AB7" s="24">
        <f>SUMIFS('Offtake Raw'!AD:AD,'Offtake Raw'!$C:$C,Hair!$D7,'Offtake Raw'!$D:$D,Hair!$E7)/1000000</f>
        <v>0.73173034999999997</v>
      </c>
      <c r="AC7" s="24">
        <f>SUMIFS('Offtake Raw'!AE:AE,'Offtake Raw'!$C:$C,Hair!$D7,'Offtake Raw'!$D:$D,Hair!$E7)/1000000</f>
        <v>0.82686716000000005</v>
      </c>
      <c r="AD7" s="24">
        <f>SUMIFS('Offtake Raw'!AF:AF,'Offtake Raw'!$C:$C,Hair!$D7,'Offtake Raw'!$D:$D,Hair!$E7)/1000000</f>
        <v>0.54163944000000008</v>
      </c>
      <c r="AE7" s="24">
        <f>SUMIFS('Offtake Raw'!AG:AG,'Offtake Raw'!$C:$C,Hair!$D7,'Offtake Raw'!$D:$D,Hair!$E7)/1000000</f>
        <v>0.39654746999999996</v>
      </c>
      <c r="AF7" s="24">
        <f>SUMIFS('Offtake Raw'!AH:AH,'Offtake Raw'!$C:$C,Hair!$D7,'Offtake Raw'!$D:$D,Hair!$E7)/1000000</f>
        <v>0.46387828000000003</v>
      </c>
      <c r="AG7" s="24">
        <f>SUMIFS('Offtake Raw'!AI:AI,'Offtake Raw'!$C:$C,Hair!$D7,'Offtake Raw'!$D:$D,Hair!$E7)/1000000</f>
        <v>0.67386843888888892</v>
      </c>
      <c r="AH7" s="24">
        <f t="shared" ref="AH7:AI10" si="23">AH13+AH19</f>
        <v>0.64999999999999991</v>
      </c>
      <c r="AI7" s="25">
        <f t="shared" si="23"/>
        <v>0.85</v>
      </c>
      <c r="AJ7" s="237"/>
      <c r="AK7" s="320">
        <v>0.35</v>
      </c>
      <c r="AL7" s="262">
        <f t="shared" si="9"/>
        <v>0.32386843888888894</v>
      </c>
      <c r="AM7" s="237"/>
      <c r="AN7" s="151">
        <f t="shared" si="10"/>
        <v>164.83327769871522</v>
      </c>
      <c r="AO7" s="152">
        <f t="shared" si="11"/>
        <v>149.56692420315068</v>
      </c>
      <c r="AP7" s="152">
        <f t="shared" si="12"/>
        <v>112.19575313439012</v>
      </c>
      <c r="AQ7" s="152">
        <f t="shared" si="13"/>
        <v>193.60468652280977</v>
      </c>
      <c r="AR7" s="152">
        <f t="shared" si="14"/>
        <v>168.28103691352675</v>
      </c>
      <c r="AS7" s="152">
        <f t="shared" si="15"/>
        <v>97.267016194676941</v>
      </c>
      <c r="AT7" s="152">
        <f t="shared" si="16"/>
        <v>170.56850076293921</v>
      </c>
      <c r="AU7" s="152">
        <f t="shared" si="17"/>
        <v>180.11105513398377</v>
      </c>
      <c r="AV7" s="152">
        <f t="shared" si="18"/>
        <v>131.66447485880718</v>
      </c>
      <c r="AW7" s="153">
        <f t="shared" si="19"/>
        <v>153.68859019382677</v>
      </c>
    </row>
    <row r="8" spans="1:51">
      <c r="A8" s="271" t="s">
        <v>77</v>
      </c>
      <c r="B8" s="22" t="s">
        <v>83</v>
      </c>
      <c r="C8" s="22" t="s">
        <v>4</v>
      </c>
      <c r="D8" s="22" t="s">
        <v>81</v>
      </c>
      <c r="E8" s="23" t="s">
        <v>82</v>
      </c>
      <c r="F8" s="24">
        <f>SUMIFS('Offtake Raw'!H:H,'Offtake Raw'!$C:$C,Hair!$D8,'Offtake Raw'!$D:$D,Hair!$E8)/1000000</f>
        <v>0.15302299999999999</v>
      </c>
      <c r="G8" s="24">
        <f>SUMIFS('Offtake Raw'!I:I,'Offtake Raw'!$C:$C,Hair!$D8,'Offtake Raw'!$D:$D,Hair!$E8)/1000000</f>
        <v>0.2028296</v>
      </c>
      <c r="H8" s="24">
        <f>SUMIFS('Offtake Raw'!J:J,'Offtake Raw'!$C:$C,Hair!$D8,'Offtake Raw'!$D:$D,Hair!$E8)/1000000</f>
        <v>0.18128900000000001</v>
      </c>
      <c r="I8" s="24">
        <f>SUMIFS('Offtake Raw'!K:K,'Offtake Raw'!$C:$C,Hair!$D8,'Offtake Raw'!$D:$D,Hair!$E8)/1000000</f>
        <v>0.13151489999999999</v>
      </c>
      <c r="J8" s="24">
        <f>SUMIFS('Offtake Raw'!L:L,'Offtake Raw'!$C:$C,Hair!$D8,'Offtake Raw'!$D:$D,Hair!$E8)/1000000</f>
        <v>0.18438389999999999</v>
      </c>
      <c r="K8" s="25">
        <f>SUMIFS('Offtake Raw'!M:M,'Offtake Raw'!$C:$C,Hair!$D8,'Offtake Raw'!$D:$D,Hair!$E8)/1000000</f>
        <v>0.30148659999999999</v>
      </c>
      <c r="L8" s="24">
        <f>SUMIFS('Offtake Raw'!N:N,'Offtake Raw'!$C:$C,Hair!$D8,'Offtake Raw'!$D:$D,Hair!$E8)/1000000</f>
        <v>0.1113329</v>
      </c>
      <c r="M8" s="24">
        <f>SUMIFS('Offtake Raw'!O:O,'Offtake Raw'!$C:$C,Hair!$D8,'Offtake Raw'!$D:$D,Hair!$E8)/1000000</f>
        <v>0.13819489999999998</v>
      </c>
      <c r="N8" s="24">
        <f>SUMIFS('Offtake Raw'!P:P,'Offtake Raw'!$C:$C,Hair!$D8,'Offtake Raw'!$D:$D,Hair!$E8)/1000000</f>
        <v>0.170126</v>
      </c>
      <c r="O8" s="24">
        <f>SUMIFS('Offtake Raw'!Q:Q,'Offtake Raw'!$C:$C,Hair!$D8,'Offtake Raw'!$D:$D,Hair!$E8)/1000000</f>
        <v>7.5745999999999994E-2</v>
      </c>
      <c r="P8" s="24">
        <f>SUMIFS('Offtake Raw'!R:R,'Offtake Raw'!$C:$C,Hair!$D8,'Offtake Raw'!$D:$D,Hair!$E8)/1000000</f>
        <v>0.16697999999999999</v>
      </c>
      <c r="Q8" s="24">
        <f>SUMIFS('Offtake Raw'!S:S,'Offtake Raw'!$C:$C,Hair!$D8,'Offtake Raw'!$D:$D,Hair!$E8)/1000000</f>
        <v>0.131406</v>
      </c>
      <c r="R8" s="24">
        <f>SUMIFS('Offtake Raw'!T:T,'Offtake Raw'!$C:$C,Hair!$D8,'Offtake Raw'!$D:$D,Hair!$E8)/1000000</f>
        <v>0.12584000000000001</v>
      </c>
      <c r="S8" s="24">
        <f>SUMIFS('Offtake Raw'!U:U,'Offtake Raw'!$C:$C,Hair!$D8,'Offtake Raw'!$D:$D,Hair!$E8)/1000000</f>
        <v>0.16891600000000001</v>
      </c>
      <c r="T8" s="24">
        <f>SUMIFS('Offtake Raw'!V:V,'Offtake Raw'!$C:$C,Hair!$D8,'Offtake Raw'!$D:$D,Hair!$E8)/1000000</f>
        <v>0.121726</v>
      </c>
      <c r="U8" s="24">
        <f>SUMIFS('Offtake Raw'!W:W,'Offtake Raw'!$C:$C,Hair!$D8,'Offtake Raw'!$D:$D,Hair!$E8)/1000000</f>
        <v>0.12656600000000001</v>
      </c>
      <c r="V8" s="24">
        <f>SUMIFS('Offtake Raw'!X:X,'Offtake Raw'!$C:$C,Hair!$D8,'Offtake Raw'!$D:$D,Hair!$E8)/1000000</f>
        <v>0.32500600000000002</v>
      </c>
      <c r="W8" s="25">
        <f>SUMIFS('Offtake Raw'!Y:Y,'Offtake Raw'!$C:$C,Hair!$D8,'Offtake Raw'!$D:$D,Hair!$E8)/1000000</f>
        <v>0.157058</v>
      </c>
      <c r="X8" s="24">
        <f>SUMIFS('Offtake Raw'!Z:Z,'Offtake Raw'!$C:$C,Hair!$D8,'Offtake Raw'!$D:$D,Hair!$E8)/1000000</f>
        <v>0.15149199999999999</v>
      </c>
      <c r="Y8" s="24">
        <f>SUMIFS('Offtake Raw'!AA:AA,'Offtake Raw'!$C:$C,Hair!$D8,'Offtake Raw'!$D:$D,Hair!$E8)/1000000</f>
        <v>0.13237399999999999</v>
      </c>
      <c r="Z8" s="24">
        <f>SUMIFS('Offtake Raw'!AB:AB,'Offtake Raw'!$C:$C,Hair!$D8,'Offtake Raw'!$D:$D,Hair!$E8)/1000000</f>
        <v>0.456654</v>
      </c>
      <c r="AA8" s="24">
        <f>SUMIFS('Offtake Raw'!AC:AC,'Offtake Raw'!$C:$C,Hair!$D8,'Offtake Raw'!$D:$D,Hair!$E8)/1000000</f>
        <v>0.23764399999999999</v>
      </c>
      <c r="AB8" s="24">
        <f>SUMIFS('Offtake Raw'!AD:AD,'Offtake Raw'!$C:$C,Hair!$D8,'Offtake Raw'!$D:$D,Hair!$E8)/1000000</f>
        <v>0.27079799999999998</v>
      </c>
      <c r="AC8" s="24">
        <f>SUMIFS('Offtake Raw'!AE:AE,'Offtake Raw'!$C:$C,Hair!$D8,'Offtake Raw'!$D:$D,Hair!$E8)/1000000</f>
        <v>0.23038400000000001</v>
      </c>
      <c r="AD8" s="24">
        <f>SUMIFS('Offtake Raw'!AF:AF,'Offtake Raw'!$C:$C,Hair!$D8,'Offtake Raw'!$D:$D,Hair!$E8)/1000000</f>
        <v>0.14955599999999999</v>
      </c>
      <c r="AE8" s="24">
        <f>SUMIFS('Offtake Raw'!AG:AG,'Offtake Raw'!$C:$C,Hair!$D8,'Offtake Raw'!$D:$D,Hair!$E8)/1000000</f>
        <v>0.16891600000000001</v>
      </c>
      <c r="AF8" s="24">
        <f>SUMIFS('Offtake Raw'!AH:AH,'Offtake Raw'!$C:$C,Hair!$D8,'Offtake Raw'!$D:$D,Hair!$E8)/1000000</f>
        <v>0.15342800000000001</v>
      </c>
      <c r="AG8" s="24">
        <f>SUMIFS('Offtake Raw'!AI:AI,'Offtake Raw'!$C:$C,Hair!$D8,'Offtake Raw'!$D:$D,Hair!$E8)/1000000</f>
        <v>0.23955311111111113</v>
      </c>
      <c r="AH8" s="24">
        <f t="shared" si="23"/>
        <v>0.27</v>
      </c>
      <c r="AI8" s="25">
        <f t="shared" si="23"/>
        <v>0.27</v>
      </c>
      <c r="AJ8" s="237"/>
      <c r="AK8" s="282">
        <v>0.12</v>
      </c>
      <c r="AL8" s="263">
        <f t="shared" si="9"/>
        <v>0.11955311111111114</v>
      </c>
      <c r="AM8" s="237"/>
      <c r="AN8" s="154">
        <f t="shared" si="10"/>
        <v>189.27129806670914</v>
      </c>
      <c r="AO8" s="147">
        <f t="shared" si="11"/>
        <v>163.87969178450689</v>
      </c>
      <c r="AP8" s="147">
        <f t="shared" si="12"/>
        <v>131.01109130520896</v>
      </c>
      <c r="AQ8" s="147">
        <f t="shared" si="13"/>
        <v>176.45973895625394</v>
      </c>
      <c r="AR8" s="147">
        <f t="shared" si="14"/>
        <v>197.47736093143595</v>
      </c>
      <c r="AS8" s="147">
        <f t="shared" si="15"/>
        <v>113.30621731551422</v>
      </c>
      <c r="AT8" s="147">
        <f t="shared" si="16"/>
        <v>128.08325437640457</v>
      </c>
      <c r="AU8" s="147">
        <f t="shared" si="17"/>
        <v>186.36589367055947</v>
      </c>
      <c r="AV8" s="147">
        <f t="shared" si="18"/>
        <v>122.07964701526382</v>
      </c>
      <c r="AW8" s="155">
        <f t="shared" si="19"/>
        <v>150.13482951659577</v>
      </c>
    </row>
    <row r="9" spans="1:51">
      <c r="A9" s="271" t="s">
        <v>77</v>
      </c>
      <c r="B9" s="22" t="s">
        <v>83</v>
      </c>
      <c r="C9" s="22" t="s">
        <v>4</v>
      </c>
      <c r="D9" s="22" t="s">
        <v>81</v>
      </c>
      <c r="E9" s="23" t="s">
        <v>708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5">
        <v>0</v>
      </c>
      <c r="L9" s="24">
        <v>0</v>
      </c>
      <c r="M9" s="24">
        <v>0</v>
      </c>
      <c r="N9" s="24">
        <v>0</v>
      </c>
      <c r="O9" s="24">
        <v>0</v>
      </c>
      <c r="P9" s="24">
        <v>0</v>
      </c>
      <c r="Q9" s="24">
        <v>0</v>
      </c>
      <c r="R9" s="24">
        <v>0</v>
      </c>
      <c r="S9" s="24">
        <v>0</v>
      </c>
      <c r="T9" s="24">
        <v>0</v>
      </c>
      <c r="U9" s="24">
        <v>0</v>
      </c>
      <c r="V9" s="24">
        <v>0</v>
      </c>
      <c r="W9" s="25">
        <v>0</v>
      </c>
      <c r="X9" s="24">
        <v>0</v>
      </c>
      <c r="Y9" s="24">
        <v>0</v>
      </c>
      <c r="Z9" s="24">
        <v>0</v>
      </c>
      <c r="AA9" s="24">
        <v>0</v>
      </c>
      <c r="AB9" s="24">
        <v>0</v>
      </c>
      <c r="AC9" s="24">
        <v>0</v>
      </c>
      <c r="AD9" s="24">
        <v>0</v>
      </c>
      <c r="AE9" s="24">
        <f>SUMIFS('Offtake Raw'!AG:AG,'Offtake Raw'!$C:$C,Hair!$D9,'Offtake Raw'!$D:$D,Hair!$E9)/1000000</f>
        <v>0.20866560000000003</v>
      </c>
      <c r="AF9" s="24">
        <f>SUMIFS('Offtake Raw'!AH:AH,'Offtake Raw'!$C:$C,Hair!$D9,'Offtake Raw'!$D:$D,Hair!$E9)/1000000</f>
        <v>0.17191200000000001</v>
      </c>
      <c r="AG9" s="24">
        <f>SUMIFS('Offtake Raw'!AI:AI,'Offtake Raw'!$C:$C,Hair!$D9,'Offtake Raw'!$D:$D,Hair!$E9)/1000000</f>
        <v>0.14197560000000004</v>
      </c>
      <c r="AH9" s="24">
        <f t="shared" si="23"/>
        <v>0.15</v>
      </c>
      <c r="AI9" s="25">
        <f t="shared" si="23"/>
        <v>0.15</v>
      </c>
      <c r="AJ9" s="237"/>
      <c r="AK9" s="282">
        <v>0.15</v>
      </c>
      <c r="AL9" s="263">
        <f t="shared" si="9"/>
        <v>-8.0243999999999593E-3</v>
      </c>
      <c r="AM9" s="237"/>
      <c r="AN9" s="154" t="str">
        <f t="shared" si="10"/>
        <v>NA</v>
      </c>
      <c r="AO9" s="147" t="str">
        <f t="shared" si="11"/>
        <v>NA</v>
      </c>
      <c r="AP9" s="147" t="str">
        <f t="shared" si="12"/>
        <v>NA</v>
      </c>
      <c r="AQ9" s="147" t="str">
        <f t="shared" si="13"/>
        <v>NA</v>
      </c>
      <c r="AR9" s="147" t="str">
        <f t="shared" si="14"/>
        <v>NA</v>
      </c>
      <c r="AS9" s="147" t="str">
        <f t="shared" si="15"/>
        <v>NA</v>
      </c>
      <c r="AT9" s="147" t="str">
        <f t="shared" si="16"/>
        <v>NA</v>
      </c>
      <c r="AU9" s="147" t="str">
        <f t="shared" si="17"/>
        <v>NA</v>
      </c>
      <c r="AV9" s="147" t="str">
        <f t="shared" si="18"/>
        <v>NA</v>
      </c>
      <c r="AW9" s="155" t="str">
        <f t="shared" si="19"/>
        <v>NA</v>
      </c>
    </row>
    <row r="10" spans="1:51">
      <c r="A10" s="271" t="s">
        <v>77</v>
      </c>
      <c r="B10" s="22" t="s">
        <v>83</v>
      </c>
      <c r="C10" s="22" t="s">
        <v>4</v>
      </c>
      <c r="D10" s="22" t="s">
        <v>81</v>
      </c>
      <c r="E10" s="23" t="s">
        <v>8</v>
      </c>
      <c r="F10" s="24">
        <f>SUMIFS('Offtake Raw'!H:H,'Offtake Raw'!$C:$C,Hair!$D10,'Offtake Raw'!$D:$D,Hair!$E10)/1000000</f>
        <v>0.78234054833333322</v>
      </c>
      <c r="G10" s="24">
        <f>SUMIFS('Offtake Raw'!I:I,'Offtake Raw'!$C:$C,Hair!$D10,'Offtake Raw'!$D:$D,Hair!$E10)/1000000</f>
        <v>1.0940766316666668</v>
      </c>
      <c r="H10" s="24">
        <f>SUMIFS('Offtake Raw'!J:J,'Offtake Raw'!$C:$C,Hair!$D10,'Offtake Raw'!$D:$D,Hair!$E10)/1000000</f>
        <v>1.0197256333333333</v>
      </c>
      <c r="I10" s="24">
        <f>SUMIFS('Offtake Raw'!K:K,'Offtake Raw'!$C:$C,Hair!$D10,'Offtake Raw'!$D:$D,Hair!$E10)/1000000</f>
        <v>0.79374586333333319</v>
      </c>
      <c r="J10" s="24">
        <f>SUMIFS('Offtake Raw'!L:L,'Offtake Raw'!$C:$C,Hair!$D10,'Offtake Raw'!$D:$D,Hair!$E10)/1000000</f>
        <v>1.119014945</v>
      </c>
      <c r="K10" s="25">
        <f>SUMIFS('Offtake Raw'!M:M,'Offtake Raw'!$C:$C,Hair!$D10,'Offtake Raw'!$D:$D,Hair!$E10)/1000000</f>
        <v>1.3351709466666668</v>
      </c>
      <c r="L10" s="24">
        <f>SUMIFS('Offtake Raw'!N:N,'Offtake Raw'!$C:$C,Hair!$D10,'Offtake Raw'!$D:$D,Hair!$E10)/1000000</f>
        <v>1.1507807299999999</v>
      </c>
      <c r="M10" s="24">
        <f>SUMIFS('Offtake Raw'!O:O,'Offtake Raw'!$C:$C,Hair!$D10,'Offtake Raw'!$D:$D,Hair!$E10)/1000000</f>
        <v>1.0491227183333334</v>
      </c>
      <c r="N10" s="24">
        <f>SUMIFS('Offtake Raw'!P:P,'Offtake Raw'!$C:$C,Hair!$D10,'Offtake Raw'!$D:$D,Hair!$E10)/1000000</f>
        <v>0.84085229333333322</v>
      </c>
      <c r="O10" s="24">
        <f>SUMIFS('Offtake Raw'!Q:Q,'Offtake Raw'!$C:$C,Hair!$D10,'Offtake Raw'!$D:$D,Hair!$E10)/1000000</f>
        <v>1.0239015033333334</v>
      </c>
      <c r="P10" s="24">
        <f>SUMIFS('Offtake Raw'!R:R,'Offtake Raw'!$C:$C,Hair!$D10,'Offtake Raw'!$D:$D,Hair!$E10)/1000000</f>
        <v>1.2224271416666668</v>
      </c>
      <c r="Q10" s="24">
        <f>SUMIFS('Offtake Raw'!S:S,'Offtake Raw'!$C:$C,Hair!$D10,'Offtake Raw'!$D:$D,Hair!$E10)/1000000</f>
        <v>1.0861162516666667</v>
      </c>
      <c r="R10" s="24">
        <f>SUMIFS('Offtake Raw'!T:T,'Offtake Raw'!$C:$C,Hair!$D10,'Offtake Raw'!$D:$D,Hair!$E10)/1000000</f>
        <v>0.95832251016666692</v>
      </c>
      <c r="S10" s="24">
        <f>SUMIFS('Offtake Raw'!U:U,'Offtake Raw'!$C:$C,Hair!$D10,'Offtake Raw'!$D:$D,Hair!$E10)/1000000</f>
        <v>0.89140704699999995</v>
      </c>
      <c r="T10" s="24">
        <f>SUMIFS('Offtake Raw'!V:V,'Offtake Raw'!$C:$C,Hair!$D10,'Offtake Raw'!$D:$D,Hair!$E10)/1000000</f>
        <v>0.76799943033333329</v>
      </c>
      <c r="U10" s="24">
        <f>SUMIFS('Offtake Raw'!W:W,'Offtake Raw'!$C:$C,Hair!$D10,'Offtake Raw'!$D:$D,Hair!$E10)/1000000</f>
        <v>2.2065747479999995</v>
      </c>
      <c r="V10" s="24">
        <f>SUMIFS('Offtake Raw'!X:X,'Offtake Raw'!$C:$C,Hair!$D10,'Offtake Raw'!$D:$D,Hair!$E10)/1000000</f>
        <v>2.3961105378333341</v>
      </c>
      <c r="W10" s="25">
        <f>SUMIFS('Offtake Raw'!Y:Y,'Offtake Raw'!$C:$C,Hair!$D10,'Offtake Raw'!$D:$D,Hair!$E10)/1000000</f>
        <v>1.1322083066666666</v>
      </c>
      <c r="X10" s="24">
        <f>SUMIFS('Offtake Raw'!Z:Z,'Offtake Raw'!$C:$C,Hair!$D10,'Offtake Raw'!$D:$D,Hair!$E10)/1000000</f>
        <v>1.2178077513333334</v>
      </c>
      <c r="Y10" s="24">
        <f>SUMIFS('Offtake Raw'!AA:AA,'Offtake Raw'!$C:$C,Hair!$D10,'Offtake Raw'!$D:$D,Hair!$E10)/1000000</f>
        <v>0.92970874999999997</v>
      </c>
      <c r="Z10" s="24">
        <f>SUMIFS('Offtake Raw'!AB:AB,'Offtake Raw'!$C:$C,Hair!$D10,'Offtake Raw'!$D:$D,Hair!$E10)/1000000</f>
        <v>0.77257651966666663</v>
      </c>
      <c r="AA10" s="24">
        <f>SUMIFS('Offtake Raw'!AC:AC,'Offtake Raw'!$C:$C,Hair!$D10,'Offtake Raw'!$D:$D,Hair!$E10)/1000000</f>
        <v>1.1742547261666667</v>
      </c>
      <c r="AB10" s="24">
        <f>SUMIFS('Offtake Raw'!AD:AD,'Offtake Raw'!$C:$C,Hair!$D10,'Offtake Raw'!$D:$D,Hair!$E10)/1000000</f>
        <v>1.4194614264999998</v>
      </c>
      <c r="AC10" s="24">
        <f>SUMIFS('Offtake Raw'!AE:AE,'Offtake Raw'!$C:$C,Hair!$D10,'Offtake Raw'!$D:$D,Hair!$E10)/1000000</f>
        <v>1.2067664269999998</v>
      </c>
      <c r="AD10" s="24">
        <f>SUMIFS('Offtake Raw'!AF:AF,'Offtake Raw'!$C:$C,Hair!$D10,'Offtake Raw'!$D:$D,Hair!$E10)/1000000</f>
        <v>1.0095541473333334</v>
      </c>
      <c r="AE10" s="24">
        <f>SUMIFS('Offtake Raw'!AG:AG,'Offtake Raw'!$C:$C,Hair!$D10,'Offtake Raw'!$D:$D,Hair!$E10)/1000000</f>
        <v>0.96585441000000005</v>
      </c>
      <c r="AF10" s="24">
        <f>SUMIFS('Offtake Raw'!AH:AH,'Offtake Raw'!$C:$C,Hair!$D10,'Offtake Raw'!$D:$D,Hair!$E10)/1000000</f>
        <v>0.74329502083333321</v>
      </c>
      <c r="AG10" s="24">
        <f>SUMIFS('Offtake Raw'!AI:AI,'Offtake Raw'!$C:$C,Hair!$D10,'Offtake Raw'!$D:$D,Hair!$E10)/1000000</f>
        <v>1.022754450611111</v>
      </c>
      <c r="AH10" s="24">
        <f t="shared" si="23"/>
        <v>1</v>
      </c>
      <c r="AI10" s="25">
        <f t="shared" si="23"/>
        <v>1.2</v>
      </c>
      <c r="AJ10" s="237"/>
      <c r="AK10" s="282">
        <v>1</v>
      </c>
      <c r="AL10" s="263">
        <f t="shared" si="9"/>
        <v>2.2754450611111032E-2</v>
      </c>
      <c r="AM10" s="237"/>
      <c r="AN10" s="154">
        <f t="shared" si="10"/>
        <v>46.35031972237141</v>
      </c>
      <c r="AO10" s="147">
        <f t="shared" si="11"/>
        <v>93.431833381484921</v>
      </c>
      <c r="AP10" s="147">
        <f t="shared" si="12"/>
        <v>77.554362948708615</v>
      </c>
      <c r="AQ10" s="147">
        <f t="shared" si="13"/>
        <v>96.031818044006073</v>
      </c>
      <c r="AR10" s="147">
        <f t="shared" si="14"/>
        <v>114.04487388428124</v>
      </c>
      <c r="AS10" s="147">
        <f t="shared" si="15"/>
        <v>103.85733554347425</v>
      </c>
      <c r="AT10" s="147">
        <f t="shared" si="16"/>
        <v>56.195540486152638</v>
      </c>
      <c r="AU10" s="147">
        <f t="shared" si="17"/>
        <v>105.45055745215291</v>
      </c>
      <c r="AV10" s="147">
        <f t="shared" si="18"/>
        <v>71.132844467369395</v>
      </c>
      <c r="AW10" s="155">
        <f t="shared" si="19"/>
        <v>85.985234521085957</v>
      </c>
    </row>
    <row r="11" spans="1:51">
      <c r="A11" s="271" t="s">
        <v>77</v>
      </c>
      <c r="B11" s="22" t="s">
        <v>83</v>
      </c>
      <c r="C11" s="22" t="s">
        <v>4</v>
      </c>
      <c r="D11" s="22" t="s">
        <v>81</v>
      </c>
      <c r="E11" s="23" t="s">
        <v>14</v>
      </c>
      <c r="F11" s="24">
        <f t="shared" ref="F11:AI11" si="24">SUM(F7,F8,F9)</f>
        <v>0.37376120000000002</v>
      </c>
      <c r="G11" s="24">
        <f t="shared" si="24"/>
        <v>0.4263014</v>
      </c>
      <c r="H11" s="24">
        <f t="shared" si="24"/>
        <v>0.41000019999999993</v>
      </c>
      <c r="I11" s="24">
        <f t="shared" si="24"/>
        <v>0.36090949999999999</v>
      </c>
      <c r="J11" s="24">
        <f t="shared" si="24"/>
        <v>0.37938070000000002</v>
      </c>
      <c r="K11" s="25">
        <f t="shared" si="24"/>
        <v>0.48987719999999996</v>
      </c>
      <c r="L11" s="24">
        <f t="shared" si="24"/>
        <v>0.33492529999999998</v>
      </c>
      <c r="M11" s="24">
        <f t="shared" si="24"/>
        <v>0.61163970000000001</v>
      </c>
      <c r="N11" s="24">
        <f t="shared" si="24"/>
        <v>0.53064899999999993</v>
      </c>
      <c r="O11" s="24">
        <f t="shared" si="24"/>
        <v>0.50100500000000003</v>
      </c>
      <c r="P11" s="24">
        <f t="shared" si="24"/>
        <v>0.50344559999999994</v>
      </c>
      <c r="Q11" s="24">
        <f t="shared" si="24"/>
        <v>0.57596250999999998</v>
      </c>
      <c r="R11" s="24">
        <f t="shared" si="24"/>
        <v>0.77475844999999999</v>
      </c>
      <c r="S11" s="24">
        <f t="shared" si="24"/>
        <v>0.55354875000000003</v>
      </c>
      <c r="T11" s="24">
        <f t="shared" si="24"/>
        <v>0.52963486000000004</v>
      </c>
      <c r="U11" s="24">
        <f t="shared" si="24"/>
        <v>0.53538419999999998</v>
      </c>
      <c r="V11" s="24">
        <f t="shared" si="24"/>
        <v>0.77530108999999992</v>
      </c>
      <c r="W11" s="25">
        <f t="shared" si="24"/>
        <v>0.57242881999999995</v>
      </c>
      <c r="X11" s="24">
        <f t="shared" si="24"/>
        <v>0.98038055999999985</v>
      </c>
      <c r="Y11" s="24">
        <f t="shared" si="24"/>
        <v>0.98305801999999998</v>
      </c>
      <c r="Z11" s="24">
        <f t="shared" si="24"/>
        <v>0.82456753000000005</v>
      </c>
      <c r="AA11" s="24">
        <f t="shared" si="24"/>
        <v>0.70898885</v>
      </c>
      <c r="AB11" s="24">
        <f t="shared" si="24"/>
        <v>1.00252835</v>
      </c>
      <c r="AC11" s="24">
        <f t="shared" si="24"/>
        <v>1.0572511600000001</v>
      </c>
      <c r="AD11" s="24">
        <f>SUM(AD7,AD8,AD9)</f>
        <v>0.69119544000000011</v>
      </c>
      <c r="AE11" s="24">
        <f>SUM(AE7,AE8,AE9)</f>
        <v>0.77412906999999997</v>
      </c>
      <c r="AF11" s="24">
        <f>SUM(AF7,AF8,AF9)</f>
        <v>0.78921828000000005</v>
      </c>
      <c r="AG11" s="24">
        <f>SUM(AG7,AG8,AG9)</f>
        <v>1.0553971500000001</v>
      </c>
      <c r="AH11" s="24">
        <f t="shared" si="24"/>
        <v>1.0699999999999998</v>
      </c>
      <c r="AI11" s="25">
        <f t="shared" si="24"/>
        <v>1.27</v>
      </c>
      <c r="AJ11" s="237"/>
      <c r="AK11" s="283">
        <v>0.62</v>
      </c>
      <c r="AL11" s="264">
        <f t="shared" si="9"/>
        <v>0.43539715000000012</v>
      </c>
      <c r="AM11" s="237"/>
      <c r="AN11" s="82">
        <f t="shared" si="10"/>
        <v>197.12893096210163</v>
      </c>
      <c r="AO11" s="83">
        <f t="shared" si="11"/>
        <v>162.66355274288466</v>
      </c>
      <c r="AP11" s="83">
        <f t="shared" si="12"/>
        <v>138.29873491631685</v>
      </c>
      <c r="AQ11" s="83">
        <f t="shared" si="13"/>
        <v>188.73407035135057</v>
      </c>
      <c r="AR11" s="83">
        <f t="shared" si="14"/>
        <v>175.19269755994372</v>
      </c>
      <c r="AS11" s="83">
        <f t="shared" si="15"/>
        <v>121.34623778310936</v>
      </c>
      <c r="AT11" s="83">
        <f t="shared" si="16"/>
        <v>180.30756245568148</v>
      </c>
      <c r="AU11" s="83">
        <f t="shared" si="17"/>
        <v>181.73486400046991</v>
      </c>
      <c r="AV11" s="83">
        <f t="shared" si="18"/>
        <v>151.0252635420868</v>
      </c>
      <c r="AW11" s="84">
        <f t="shared" si="19"/>
        <v>164.83654184873279</v>
      </c>
    </row>
    <row r="12" spans="1:51" outlineLevel="1">
      <c r="A12" s="303" t="s">
        <v>77</v>
      </c>
      <c r="B12" s="122" t="s">
        <v>715</v>
      </c>
      <c r="C12" s="122" t="s">
        <v>4</v>
      </c>
      <c r="D12" s="122" t="s">
        <v>81</v>
      </c>
      <c r="E12" s="123" t="s">
        <v>83</v>
      </c>
      <c r="F12" s="124">
        <f t="shared" ref="F12:AI12" si="25">SUM(F17,F16)</f>
        <v>1.47</v>
      </c>
      <c r="G12" s="124">
        <f t="shared" si="25"/>
        <v>1.47</v>
      </c>
      <c r="H12" s="124">
        <f t="shared" si="25"/>
        <v>1.47</v>
      </c>
      <c r="I12" s="124">
        <f t="shared" si="25"/>
        <v>1.47</v>
      </c>
      <c r="J12" s="124">
        <f t="shared" si="25"/>
        <v>1.47</v>
      </c>
      <c r="K12" s="125">
        <f t="shared" si="25"/>
        <v>1.47</v>
      </c>
      <c r="L12" s="124">
        <f t="shared" si="25"/>
        <v>1.47</v>
      </c>
      <c r="M12" s="124">
        <f t="shared" si="25"/>
        <v>1.47</v>
      </c>
      <c r="N12" s="124">
        <f t="shared" si="25"/>
        <v>1.47</v>
      </c>
      <c r="O12" s="124">
        <f t="shared" si="25"/>
        <v>1.47</v>
      </c>
      <c r="P12" s="124">
        <f t="shared" si="25"/>
        <v>1.47</v>
      </c>
      <c r="Q12" s="124">
        <f t="shared" si="25"/>
        <v>1.47</v>
      </c>
      <c r="R12" s="124">
        <f t="shared" si="25"/>
        <v>1.47</v>
      </c>
      <c r="S12" s="124">
        <f t="shared" si="25"/>
        <v>1.47</v>
      </c>
      <c r="T12" s="124">
        <f t="shared" si="25"/>
        <v>1.47</v>
      </c>
      <c r="U12" s="124">
        <f t="shared" si="25"/>
        <v>1.47</v>
      </c>
      <c r="V12" s="124">
        <f t="shared" si="25"/>
        <v>1.47</v>
      </c>
      <c r="W12" s="125">
        <f t="shared" si="25"/>
        <v>1.47</v>
      </c>
      <c r="X12" s="124">
        <f t="shared" si="25"/>
        <v>1.47</v>
      </c>
      <c r="Y12" s="124">
        <f t="shared" si="25"/>
        <v>1.47</v>
      </c>
      <c r="Z12" s="124">
        <f t="shared" si="25"/>
        <v>1.47</v>
      </c>
      <c r="AA12" s="124">
        <f t="shared" si="25"/>
        <v>1.47</v>
      </c>
      <c r="AB12" s="124">
        <f t="shared" si="25"/>
        <v>1.47</v>
      </c>
      <c r="AC12" s="124">
        <f t="shared" si="25"/>
        <v>1.47</v>
      </c>
      <c r="AD12" s="124">
        <f>SUM(AD17,AD16)</f>
        <v>1.47</v>
      </c>
      <c r="AE12" s="124">
        <f t="shared" si="25"/>
        <v>1.47</v>
      </c>
      <c r="AF12" s="124">
        <f t="shared" si="25"/>
        <v>1.47</v>
      </c>
      <c r="AG12" s="124">
        <f t="shared" si="25"/>
        <v>1.47</v>
      </c>
      <c r="AH12" s="124">
        <f t="shared" si="25"/>
        <v>1.47</v>
      </c>
      <c r="AI12" s="125">
        <f t="shared" si="25"/>
        <v>1.47</v>
      </c>
      <c r="AJ12" s="238"/>
      <c r="AK12" s="244"/>
      <c r="AL12" s="238"/>
      <c r="AM12" s="238"/>
    </row>
    <row r="13" spans="1:51" outlineLevel="1">
      <c r="A13" s="271" t="s">
        <v>77</v>
      </c>
      <c r="B13" s="22" t="s">
        <v>716</v>
      </c>
      <c r="C13" s="22" t="s">
        <v>4</v>
      </c>
      <c r="D13" s="22" t="s">
        <v>81</v>
      </c>
      <c r="E13" s="23" t="s">
        <v>9</v>
      </c>
      <c r="F13" s="24">
        <v>0.35</v>
      </c>
      <c r="G13" s="24">
        <v>0.35</v>
      </c>
      <c r="H13" s="24">
        <v>0.35</v>
      </c>
      <c r="I13" s="24">
        <v>0.35</v>
      </c>
      <c r="J13" s="24">
        <v>0.35</v>
      </c>
      <c r="K13" s="25">
        <v>0.35</v>
      </c>
      <c r="L13" s="24">
        <v>0.35</v>
      </c>
      <c r="M13" s="24">
        <v>0.35</v>
      </c>
      <c r="N13" s="24">
        <v>0.35</v>
      </c>
      <c r="O13" s="24">
        <v>0.35</v>
      </c>
      <c r="P13" s="24">
        <v>0.35</v>
      </c>
      <c r="Q13" s="24">
        <v>0.35</v>
      </c>
      <c r="R13" s="24">
        <v>0.35</v>
      </c>
      <c r="S13" s="24">
        <v>0.35</v>
      </c>
      <c r="T13" s="24">
        <v>0.35</v>
      </c>
      <c r="U13" s="24">
        <v>0.35</v>
      </c>
      <c r="V13" s="24">
        <v>0.35</v>
      </c>
      <c r="W13" s="25">
        <v>0.35</v>
      </c>
      <c r="X13" s="24">
        <v>0.35</v>
      </c>
      <c r="Y13" s="24">
        <v>0.35</v>
      </c>
      <c r="Z13" s="24">
        <v>0.35</v>
      </c>
      <c r="AA13" s="24">
        <v>0.35</v>
      </c>
      <c r="AB13" s="24">
        <v>0.35</v>
      </c>
      <c r="AC13" s="24">
        <v>0.35</v>
      </c>
      <c r="AD13" s="24">
        <v>0.35</v>
      </c>
      <c r="AE13" s="24">
        <v>0.35</v>
      </c>
      <c r="AF13" s="24">
        <v>0.35</v>
      </c>
      <c r="AG13" s="24">
        <v>0.35</v>
      </c>
      <c r="AH13" s="24">
        <v>0.35</v>
      </c>
      <c r="AI13" s="25">
        <v>0.35</v>
      </c>
      <c r="AJ13" s="238"/>
      <c r="AK13" s="244"/>
      <c r="AL13" s="238"/>
      <c r="AM13" s="238"/>
    </row>
    <row r="14" spans="1:51" outlineLevel="1">
      <c r="A14" s="271" t="s">
        <v>77</v>
      </c>
      <c r="B14" s="22" t="s">
        <v>715</v>
      </c>
      <c r="C14" s="22" t="s">
        <v>4</v>
      </c>
      <c r="D14" s="22" t="s">
        <v>81</v>
      </c>
      <c r="E14" s="23" t="s">
        <v>82</v>
      </c>
      <c r="F14" s="24">
        <v>0.12</v>
      </c>
      <c r="G14" s="24">
        <v>0.12</v>
      </c>
      <c r="H14" s="24">
        <v>0.12</v>
      </c>
      <c r="I14" s="24">
        <v>0.12</v>
      </c>
      <c r="J14" s="24">
        <v>0.12</v>
      </c>
      <c r="K14" s="25">
        <v>0.12</v>
      </c>
      <c r="L14" s="24">
        <v>0.12</v>
      </c>
      <c r="M14" s="24">
        <v>0.12</v>
      </c>
      <c r="N14" s="24">
        <v>0.12</v>
      </c>
      <c r="O14" s="24">
        <v>0.12</v>
      </c>
      <c r="P14" s="24">
        <v>0.12</v>
      </c>
      <c r="Q14" s="24">
        <v>0.12</v>
      </c>
      <c r="R14" s="24">
        <v>0.12</v>
      </c>
      <c r="S14" s="24">
        <v>0.12</v>
      </c>
      <c r="T14" s="24">
        <v>0.12</v>
      </c>
      <c r="U14" s="24">
        <v>0.12</v>
      </c>
      <c r="V14" s="24">
        <v>0.12</v>
      </c>
      <c r="W14" s="25">
        <v>0.12</v>
      </c>
      <c r="X14" s="24">
        <v>0.12</v>
      </c>
      <c r="Y14" s="24">
        <v>0.12</v>
      </c>
      <c r="Z14" s="24">
        <v>0.12</v>
      </c>
      <c r="AA14" s="24">
        <v>0.12</v>
      </c>
      <c r="AB14" s="24">
        <v>0.12</v>
      </c>
      <c r="AC14" s="24">
        <v>0.12</v>
      </c>
      <c r="AD14" s="24">
        <v>0.12</v>
      </c>
      <c r="AE14" s="24">
        <v>0.12</v>
      </c>
      <c r="AF14" s="24">
        <v>0.12</v>
      </c>
      <c r="AG14" s="24">
        <v>0.12</v>
      </c>
      <c r="AH14" s="24">
        <v>0.12</v>
      </c>
      <c r="AI14" s="25">
        <v>0.12</v>
      </c>
      <c r="AJ14" s="238"/>
      <c r="AK14" s="244"/>
      <c r="AL14" s="238"/>
      <c r="AM14" s="238"/>
    </row>
    <row r="15" spans="1:51" outlineLevel="1">
      <c r="A15" s="271" t="s">
        <v>77</v>
      </c>
      <c r="B15" s="22" t="s">
        <v>715</v>
      </c>
      <c r="C15" s="22" t="s">
        <v>4</v>
      </c>
      <c r="D15" s="22" t="s">
        <v>81</v>
      </c>
      <c r="E15" s="23" t="s">
        <v>708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5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5">
        <v>0</v>
      </c>
      <c r="X15" s="24">
        <v>0</v>
      </c>
      <c r="Y15" s="24">
        <v>0</v>
      </c>
      <c r="Z15" s="24">
        <v>0</v>
      </c>
      <c r="AA15" s="24">
        <v>0</v>
      </c>
      <c r="AB15" s="24">
        <v>0</v>
      </c>
      <c r="AC15" s="24">
        <v>0</v>
      </c>
      <c r="AD15" s="24">
        <v>0</v>
      </c>
      <c r="AE15" s="24">
        <v>0</v>
      </c>
      <c r="AF15" s="24">
        <v>0</v>
      </c>
      <c r="AG15" s="24">
        <v>0</v>
      </c>
      <c r="AH15" s="24">
        <v>0</v>
      </c>
      <c r="AI15" s="25">
        <v>0</v>
      </c>
      <c r="AJ15" s="238"/>
      <c r="AK15" s="244"/>
      <c r="AL15" s="238"/>
      <c r="AM15" s="238"/>
    </row>
    <row r="16" spans="1:51" outlineLevel="1">
      <c r="A16" s="271" t="s">
        <v>77</v>
      </c>
      <c r="B16" s="22" t="s">
        <v>715</v>
      </c>
      <c r="C16" s="22" t="s">
        <v>4</v>
      </c>
      <c r="D16" s="22" t="s">
        <v>81</v>
      </c>
      <c r="E16" s="23" t="s">
        <v>8</v>
      </c>
      <c r="F16" s="24">
        <v>1</v>
      </c>
      <c r="G16" s="24">
        <v>1</v>
      </c>
      <c r="H16" s="24">
        <v>1</v>
      </c>
      <c r="I16" s="24">
        <v>1</v>
      </c>
      <c r="J16" s="24">
        <v>1</v>
      </c>
      <c r="K16" s="25">
        <v>1</v>
      </c>
      <c r="L16" s="24">
        <v>1</v>
      </c>
      <c r="M16" s="24">
        <v>1</v>
      </c>
      <c r="N16" s="24">
        <v>1</v>
      </c>
      <c r="O16" s="24">
        <v>1</v>
      </c>
      <c r="P16" s="24">
        <v>1</v>
      </c>
      <c r="Q16" s="24">
        <v>1</v>
      </c>
      <c r="R16" s="24">
        <v>1</v>
      </c>
      <c r="S16" s="24">
        <v>1</v>
      </c>
      <c r="T16" s="24">
        <v>1</v>
      </c>
      <c r="U16" s="24">
        <v>1</v>
      </c>
      <c r="V16" s="24">
        <v>1</v>
      </c>
      <c r="W16" s="25">
        <v>1</v>
      </c>
      <c r="X16" s="24">
        <v>1</v>
      </c>
      <c r="Y16" s="24">
        <v>1</v>
      </c>
      <c r="Z16" s="24">
        <v>1</v>
      </c>
      <c r="AA16" s="24">
        <v>1</v>
      </c>
      <c r="AB16" s="24">
        <v>1</v>
      </c>
      <c r="AC16" s="24">
        <v>1</v>
      </c>
      <c r="AD16" s="24">
        <v>1</v>
      </c>
      <c r="AE16" s="24">
        <v>1</v>
      </c>
      <c r="AF16" s="24">
        <v>1</v>
      </c>
      <c r="AG16" s="24">
        <v>1</v>
      </c>
      <c r="AH16" s="24">
        <v>1</v>
      </c>
      <c r="AI16" s="25">
        <v>1</v>
      </c>
      <c r="AJ16" s="238"/>
      <c r="AK16" s="244"/>
      <c r="AL16" s="238"/>
      <c r="AM16" s="238"/>
    </row>
    <row r="17" spans="1:49" outlineLevel="1">
      <c r="A17" s="271" t="s">
        <v>77</v>
      </c>
      <c r="B17" s="22" t="s">
        <v>715</v>
      </c>
      <c r="C17" s="22" t="s">
        <v>4</v>
      </c>
      <c r="D17" s="22" t="s">
        <v>81</v>
      </c>
      <c r="E17" s="23" t="s">
        <v>14</v>
      </c>
      <c r="F17" s="24">
        <f t="shared" ref="F17:AI17" si="26">SUM(F13,F14,F15)</f>
        <v>0.47</v>
      </c>
      <c r="G17" s="24">
        <f t="shared" si="26"/>
        <v>0.47</v>
      </c>
      <c r="H17" s="24">
        <f t="shared" si="26"/>
        <v>0.47</v>
      </c>
      <c r="I17" s="24">
        <f t="shared" si="26"/>
        <v>0.47</v>
      </c>
      <c r="J17" s="24">
        <f t="shared" si="26"/>
        <v>0.47</v>
      </c>
      <c r="K17" s="25">
        <f t="shared" si="26"/>
        <v>0.47</v>
      </c>
      <c r="L17" s="24">
        <f t="shared" si="26"/>
        <v>0.47</v>
      </c>
      <c r="M17" s="24">
        <f t="shared" si="26"/>
        <v>0.47</v>
      </c>
      <c r="N17" s="24">
        <f t="shared" si="26"/>
        <v>0.47</v>
      </c>
      <c r="O17" s="24">
        <f t="shared" si="26"/>
        <v>0.47</v>
      </c>
      <c r="P17" s="24">
        <f t="shared" si="26"/>
        <v>0.47</v>
      </c>
      <c r="Q17" s="24">
        <f t="shared" si="26"/>
        <v>0.47</v>
      </c>
      <c r="R17" s="24">
        <f t="shared" si="26"/>
        <v>0.47</v>
      </c>
      <c r="S17" s="24">
        <f t="shared" si="26"/>
        <v>0.47</v>
      </c>
      <c r="T17" s="24">
        <f t="shared" si="26"/>
        <v>0.47</v>
      </c>
      <c r="U17" s="24">
        <f t="shared" si="26"/>
        <v>0.47</v>
      </c>
      <c r="V17" s="24">
        <f t="shared" si="26"/>
        <v>0.47</v>
      </c>
      <c r="W17" s="25">
        <f t="shared" si="26"/>
        <v>0.47</v>
      </c>
      <c r="X17" s="24">
        <f t="shared" si="26"/>
        <v>0.47</v>
      </c>
      <c r="Y17" s="24">
        <f t="shared" si="26"/>
        <v>0.47</v>
      </c>
      <c r="Z17" s="24">
        <f t="shared" si="26"/>
        <v>0.47</v>
      </c>
      <c r="AA17" s="24">
        <f t="shared" si="26"/>
        <v>0.47</v>
      </c>
      <c r="AB17" s="24">
        <f t="shared" si="26"/>
        <v>0.47</v>
      </c>
      <c r="AC17" s="24">
        <f t="shared" si="26"/>
        <v>0.47</v>
      </c>
      <c r="AD17" s="24">
        <f>SUM(AD13,AD14,AD15)</f>
        <v>0.47</v>
      </c>
      <c r="AE17" s="24">
        <f t="shared" si="26"/>
        <v>0.47</v>
      </c>
      <c r="AF17" s="24">
        <f t="shared" si="26"/>
        <v>0.47</v>
      </c>
      <c r="AG17" s="24">
        <f t="shared" si="26"/>
        <v>0.47</v>
      </c>
      <c r="AH17" s="24">
        <f t="shared" si="26"/>
        <v>0.47</v>
      </c>
      <c r="AI17" s="25">
        <f t="shared" si="26"/>
        <v>0.47</v>
      </c>
      <c r="AJ17" s="238"/>
      <c r="AK17" s="244"/>
      <c r="AL17" s="238"/>
      <c r="AM17" s="238"/>
    </row>
    <row r="18" spans="1:49" outlineLevel="1">
      <c r="A18" s="303" t="s">
        <v>77</v>
      </c>
      <c r="B18" s="122" t="s">
        <v>717</v>
      </c>
      <c r="C18" s="122" t="s">
        <v>4</v>
      </c>
      <c r="D18" s="122" t="s">
        <v>81</v>
      </c>
      <c r="E18" s="123" t="s">
        <v>83</v>
      </c>
      <c r="F18" s="124"/>
      <c r="G18" s="124"/>
      <c r="H18" s="124"/>
      <c r="I18" s="124"/>
      <c r="J18" s="124"/>
      <c r="K18" s="125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5"/>
      <c r="X18" s="124"/>
      <c r="Y18" s="124"/>
      <c r="Z18" s="124"/>
      <c r="AA18" s="124"/>
      <c r="AB18" s="124"/>
      <c r="AC18" s="124"/>
      <c r="AD18" s="124">
        <f t="shared" ref="AD18:AI18" si="27">SUM(AD23,AD22)</f>
        <v>0</v>
      </c>
      <c r="AE18" s="124">
        <f t="shared" si="27"/>
        <v>0.1</v>
      </c>
      <c r="AF18" s="124">
        <f t="shared" si="27"/>
        <v>0.4</v>
      </c>
      <c r="AG18" s="124">
        <f t="shared" si="27"/>
        <v>0.15</v>
      </c>
      <c r="AH18" s="124">
        <f t="shared" si="27"/>
        <v>0.6</v>
      </c>
      <c r="AI18" s="125">
        <f t="shared" si="27"/>
        <v>1</v>
      </c>
      <c r="AK18" s="245"/>
    </row>
    <row r="19" spans="1:49" outlineLevel="1">
      <c r="A19" s="271" t="s">
        <v>77</v>
      </c>
      <c r="B19" s="22" t="s">
        <v>718</v>
      </c>
      <c r="C19" s="22" t="s">
        <v>4</v>
      </c>
      <c r="D19" s="22" t="s">
        <v>81</v>
      </c>
      <c r="E19" s="23" t="s">
        <v>9</v>
      </c>
      <c r="F19" s="24"/>
      <c r="G19" s="24"/>
      <c r="H19" s="24"/>
      <c r="I19" s="24"/>
      <c r="J19" s="24"/>
      <c r="K19" s="25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5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>
        <v>0.3</v>
      </c>
      <c r="AI19" s="25">
        <v>0.5</v>
      </c>
      <c r="AK19" s="245"/>
    </row>
    <row r="20" spans="1:49" outlineLevel="1">
      <c r="A20" s="271" t="s">
        <v>77</v>
      </c>
      <c r="B20" s="22" t="s">
        <v>717</v>
      </c>
      <c r="C20" s="22" t="s">
        <v>4</v>
      </c>
      <c r="D20" s="22" t="s">
        <v>81</v>
      </c>
      <c r="E20" s="23" t="s">
        <v>82</v>
      </c>
      <c r="F20" s="24"/>
      <c r="G20" s="24"/>
      <c r="H20" s="24"/>
      <c r="I20" s="24"/>
      <c r="J20" s="24"/>
      <c r="K20" s="25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5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>
        <v>0.15</v>
      </c>
      <c r="AI20" s="25">
        <v>0.15</v>
      </c>
      <c r="AK20" s="245"/>
    </row>
    <row r="21" spans="1:49" outlineLevel="1">
      <c r="A21" s="271" t="s">
        <v>77</v>
      </c>
      <c r="B21" s="22" t="s">
        <v>717</v>
      </c>
      <c r="C21" s="22" t="s">
        <v>4</v>
      </c>
      <c r="D21" s="22" t="s">
        <v>81</v>
      </c>
      <c r="E21" s="23" t="s">
        <v>708</v>
      </c>
      <c r="F21" s="24"/>
      <c r="G21" s="24"/>
      <c r="H21" s="24"/>
      <c r="I21" s="24"/>
      <c r="J21" s="24"/>
      <c r="K21" s="25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5"/>
      <c r="X21" s="24"/>
      <c r="Y21" s="24"/>
      <c r="Z21" s="24"/>
      <c r="AA21" s="24"/>
      <c r="AB21" s="24"/>
      <c r="AC21" s="24"/>
      <c r="AD21" s="24"/>
      <c r="AE21" s="24">
        <v>0.1</v>
      </c>
      <c r="AF21" s="24">
        <v>0.1</v>
      </c>
      <c r="AG21" s="24">
        <v>0.15</v>
      </c>
      <c r="AH21" s="24">
        <v>0.15</v>
      </c>
      <c r="AI21" s="25">
        <v>0.15</v>
      </c>
      <c r="AK21" s="245"/>
    </row>
    <row r="22" spans="1:49" outlineLevel="1">
      <c r="A22" s="271" t="s">
        <v>77</v>
      </c>
      <c r="B22" s="22" t="s">
        <v>717</v>
      </c>
      <c r="C22" s="22" t="s">
        <v>4</v>
      </c>
      <c r="D22" s="22" t="s">
        <v>81</v>
      </c>
      <c r="E22" s="23" t="s">
        <v>8</v>
      </c>
      <c r="F22" s="24"/>
      <c r="G22" s="24"/>
      <c r="H22" s="24"/>
      <c r="I22" s="24"/>
      <c r="J22" s="24"/>
      <c r="K22" s="25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5"/>
      <c r="X22" s="24"/>
      <c r="Y22" s="24"/>
      <c r="Z22" s="24"/>
      <c r="AA22" s="24"/>
      <c r="AB22" s="24"/>
      <c r="AC22" s="24"/>
      <c r="AD22" s="24"/>
      <c r="AE22" s="24"/>
      <c r="AF22" s="24">
        <v>0.3</v>
      </c>
      <c r="AG22" s="24"/>
      <c r="AH22" s="24"/>
      <c r="AI22" s="25">
        <v>0.2</v>
      </c>
      <c r="AK22" s="245"/>
    </row>
    <row r="23" spans="1:49" outlineLevel="1">
      <c r="A23" s="271" t="s">
        <v>77</v>
      </c>
      <c r="B23" s="22" t="s">
        <v>717</v>
      </c>
      <c r="C23" s="22" t="s">
        <v>4</v>
      </c>
      <c r="D23" s="22" t="s">
        <v>81</v>
      </c>
      <c r="E23" s="23" t="s">
        <v>14</v>
      </c>
      <c r="F23" s="24"/>
      <c r="G23" s="24"/>
      <c r="H23" s="24"/>
      <c r="I23" s="24"/>
      <c r="J23" s="24"/>
      <c r="K23" s="25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5"/>
      <c r="X23" s="24"/>
      <c r="Y23" s="24"/>
      <c r="Z23" s="24"/>
      <c r="AA23" s="24"/>
      <c r="AB23" s="24"/>
      <c r="AC23" s="24"/>
      <c r="AD23" s="24">
        <f>SUM(AD19,AD20,AD21)</f>
        <v>0</v>
      </c>
      <c r="AE23" s="24">
        <f t="shared" ref="AE23:AI23" si="28">SUM(AE19,AE20,AE21)</f>
        <v>0.1</v>
      </c>
      <c r="AF23" s="24">
        <f t="shared" si="28"/>
        <v>0.1</v>
      </c>
      <c r="AG23" s="24">
        <f t="shared" si="28"/>
        <v>0.15</v>
      </c>
      <c r="AH23" s="24">
        <f t="shared" si="28"/>
        <v>0.6</v>
      </c>
      <c r="AI23" s="25">
        <f t="shared" si="28"/>
        <v>0.8</v>
      </c>
      <c r="AK23" s="245"/>
    </row>
    <row r="24" spans="1:49">
      <c r="A24" s="305" t="s">
        <v>709</v>
      </c>
      <c r="B24" s="126" t="s">
        <v>710</v>
      </c>
      <c r="C24" s="126" t="s">
        <v>4</v>
      </c>
      <c r="D24" s="126" t="s">
        <v>81</v>
      </c>
      <c r="E24" s="127" t="s">
        <v>83</v>
      </c>
      <c r="F24" s="130">
        <f>F28+F29</f>
        <v>1.2118073059999996</v>
      </c>
      <c r="G24" s="130">
        <f t="shared" ref="G24:AI24" si="29">G28+G29</f>
        <v>1.1418995140000001</v>
      </c>
      <c r="H24" s="130">
        <f t="shared" si="29"/>
        <v>1.5661166730000025</v>
      </c>
      <c r="I24" s="130">
        <f t="shared" si="29"/>
        <v>0.98512224400000037</v>
      </c>
      <c r="J24" s="130">
        <f t="shared" si="29"/>
        <v>3.4274796960000065</v>
      </c>
      <c r="K24" s="131">
        <f t="shared" si="29"/>
        <v>1.3125103329999999</v>
      </c>
      <c r="L24" s="130">
        <f t="shared" si="29"/>
        <v>2.5037590079999985</v>
      </c>
      <c r="M24" s="130">
        <f t="shared" si="29"/>
        <v>0.78586633899999947</v>
      </c>
      <c r="N24" s="130">
        <f t="shared" si="29"/>
        <v>1.1611587149999996</v>
      </c>
      <c r="O24" s="130">
        <f t="shared" si="29"/>
        <v>1.9558980480000012</v>
      </c>
      <c r="P24" s="130">
        <f t="shared" si="29"/>
        <v>1.5098681709999988</v>
      </c>
      <c r="Q24" s="130">
        <f t="shared" si="29"/>
        <v>2.2364868799999993</v>
      </c>
      <c r="R24" s="130">
        <f t="shared" si="29"/>
        <v>1.3245948779999996</v>
      </c>
      <c r="S24" s="130">
        <f t="shared" si="29"/>
        <v>1.2391637479999993</v>
      </c>
      <c r="T24" s="130">
        <f t="shared" si="29"/>
        <v>1.3058972989999991</v>
      </c>
      <c r="U24" s="130">
        <f t="shared" si="29"/>
        <v>4.9331154600000007</v>
      </c>
      <c r="V24" s="130">
        <f t="shared" si="29"/>
        <v>3.037132809</v>
      </c>
      <c r="W24" s="131">
        <f t="shared" si="29"/>
        <v>1.2376091549999999</v>
      </c>
      <c r="X24" s="130">
        <f t="shared" si="29"/>
        <v>2.2736804930000005</v>
      </c>
      <c r="Y24" s="130">
        <f t="shared" si="29"/>
        <v>1.381309632</v>
      </c>
      <c r="Z24" s="130">
        <f t="shared" si="29"/>
        <v>1.1035584920000003</v>
      </c>
      <c r="AA24" s="130">
        <f t="shared" si="29"/>
        <v>1.4732087419999997</v>
      </c>
      <c r="AB24" s="130">
        <f t="shared" si="29"/>
        <v>2.768814264</v>
      </c>
      <c r="AC24" s="130">
        <f t="shared" si="29"/>
        <v>1.8888172733999999</v>
      </c>
      <c r="AD24" s="130">
        <f t="shared" si="29"/>
        <v>1.7562992200000003</v>
      </c>
      <c r="AE24" s="130">
        <f t="shared" si="29"/>
        <v>3.96</v>
      </c>
      <c r="AF24" s="130">
        <f t="shared" si="29"/>
        <v>1.2</v>
      </c>
      <c r="AG24" s="130">
        <f t="shared" si="29"/>
        <v>1.57</v>
      </c>
      <c r="AH24" s="130">
        <f t="shared" si="29"/>
        <v>2.8899999999999997</v>
      </c>
      <c r="AI24" s="131">
        <f t="shared" si="29"/>
        <v>2.4900000000000002</v>
      </c>
      <c r="AK24" s="281">
        <v>1.52</v>
      </c>
      <c r="AL24" s="281">
        <f t="shared" ref="AL24:AL29" si="30">AG24-AK24</f>
        <v>5.0000000000000044E-2</v>
      </c>
      <c r="AN24" s="156">
        <f t="shared" ref="AN24:AN29" si="31">IFERROR(AG24/U24*100,"NA")</f>
        <v>31.825729860375084</v>
      </c>
      <c r="AO24" s="157">
        <f t="shared" ref="AO24:AO29" si="32">IFERROR(SUM(X24:AG24)/SUM(L24:U24)*100,"NA")</f>
        <v>102.21504437218326</v>
      </c>
      <c r="AP24" s="157">
        <f t="shared" ref="AP24:AP29" si="33">IFERROR(SUM(AD24:AG24)/SUM(R24:U24)*100,"NA")</f>
        <v>96.404857616326694</v>
      </c>
      <c r="AQ24" s="157">
        <f t="shared" ref="AQ24:AQ29" si="34">IFERROR(SUM(X24:Z24)/SUM(L24:N24)*100,"NA")</f>
        <v>106.91483906459634</v>
      </c>
      <c r="AR24" s="157">
        <f t="shared" ref="AR24:AR29" si="35">IFERROR(SUM(AA24:AC24)/SUM(O24:Q24)*100,"NA")</f>
        <v>107.51610237144966</v>
      </c>
      <c r="AS24" s="157">
        <f t="shared" ref="AS24:AS29" si="36">IFERROR(SUM(AD24:AF24)/SUM(R24:T24)*100,"NA")</f>
        <v>178.73163283890682</v>
      </c>
      <c r="AT24" s="157">
        <f t="shared" ref="AT24:AT29" si="37">IFERROR(SUM(AG24:AI24)/SUM(U24:W24)*100,"NA")</f>
        <v>75.479014063413246</v>
      </c>
      <c r="AU24" s="157">
        <f t="shared" ref="AU24:AU29" si="38">IFERROR(SUM(X24:AC24)/SUM(L24:Q24)*100,"NA")</f>
        <v>107.25252674370668</v>
      </c>
      <c r="AV24" s="157">
        <f t="shared" ref="AV24:AV29" si="39">IFERROR(SUM(AD24:AI24)/SUM(R24:W24)*100,"NA")</f>
        <v>106.03161969672405</v>
      </c>
      <c r="AW24" s="158">
        <f t="shared" ref="AW24:AW29" si="40">IFERROR(SUM(X24:AI24)/SUM(L24:W24)*100,"NA")</f>
        <v>106.56522369430496</v>
      </c>
    </row>
    <row r="25" spans="1:49">
      <c r="A25" s="276" t="s">
        <v>709</v>
      </c>
      <c r="B25" s="92" t="s">
        <v>710</v>
      </c>
      <c r="C25" s="92" t="s">
        <v>4</v>
      </c>
      <c r="D25" s="92" t="s">
        <v>81</v>
      </c>
      <c r="E25" s="93" t="s">
        <v>9</v>
      </c>
      <c r="F25" s="75">
        <v>0.15285380000000004</v>
      </c>
      <c r="G25" s="75">
        <v>0.15854880000000005</v>
      </c>
      <c r="H25" s="75">
        <v>0.24875760000000002</v>
      </c>
      <c r="I25" s="75">
        <v>0.23212820000000003</v>
      </c>
      <c r="J25" s="75">
        <v>0.16356040000000005</v>
      </c>
      <c r="K25" s="94">
        <v>0.23782320000000007</v>
      </c>
      <c r="L25" s="75">
        <v>1.3613328</v>
      </c>
      <c r="M25" s="75">
        <v>0.11162200000000001</v>
      </c>
      <c r="N25" s="75">
        <v>0.25149120000000014</v>
      </c>
      <c r="O25" s="75">
        <v>0.35263440000000007</v>
      </c>
      <c r="P25" s="75">
        <v>0.85812259999999929</v>
      </c>
      <c r="Q25" s="75">
        <v>1.0512888</v>
      </c>
      <c r="R25" s="75">
        <v>0.2188032</v>
      </c>
      <c r="S25" s="75">
        <v>0.18833520000000012</v>
      </c>
      <c r="T25" s="75">
        <v>0.51786740000000009</v>
      </c>
      <c r="U25" s="75">
        <v>0.24055680000000004</v>
      </c>
      <c r="V25" s="75">
        <v>0.25658080000000022</v>
      </c>
      <c r="W25" s="94">
        <v>0.36702479999999993</v>
      </c>
      <c r="X25" s="75">
        <v>1.4609304000000003</v>
      </c>
      <c r="Y25" s="75">
        <v>0.48178320000000002</v>
      </c>
      <c r="Z25" s="75">
        <v>0.21386080000000016</v>
      </c>
      <c r="AA25" s="75">
        <v>7.0087999999999999E-3</v>
      </c>
      <c r="AB25" s="75">
        <v>1.9098134000000002</v>
      </c>
      <c r="AC25" s="75">
        <v>0.47111159999999991</v>
      </c>
      <c r="AD25" s="75">
        <v>0.51195210000000013</v>
      </c>
      <c r="AE25" s="75">
        <v>0.3</v>
      </c>
      <c r="AF25" s="75">
        <v>0.37</v>
      </c>
      <c r="AG25" s="75">
        <v>0.42</v>
      </c>
      <c r="AH25" s="75">
        <f t="shared" ref="AH25:AI29" si="41">AH7+AH31+AH37</f>
        <v>1.3699999999999999</v>
      </c>
      <c r="AI25" s="94">
        <f t="shared" si="41"/>
        <v>0.97</v>
      </c>
      <c r="AK25" s="320">
        <v>0.35</v>
      </c>
      <c r="AL25" s="262">
        <f t="shared" si="30"/>
        <v>7.0000000000000007E-2</v>
      </c>
      <c r="AN25" s="151">
        <f t="shared" si="31"/>
        <v>174.59493973980364</v>
      </c>
      <c r="AO25" s="152">
        <f t="shared" si="32"/>
        <v>119.30115295366448</v>
      </c>
      <c r="AP25" s="152">
        <f t="shared" si="33"/>
        <v>137.44024559470247</v>
      </c>
      <c r="AQ25" s="152">
        <f t="shared" si="34"/>
        <v>125.05896966330054</v>
      </c>
      <c r="AR25" s="152">
        <f t="shared" si="35"/>
        <v>105.56522772439006</v>
      </c>
      <c r="AS25" s="152">
        <f t="shared" si="36"/>
        <v>127.7778042040385</v>
      </c>
      <c r="AT25" s="152">
        <f t="shared" si="37"/>
        <v>319.38441200403986</v>
      </c>
      <c r="AU25" s="152">
        <f t="shared" si="38"/>
        <v>113.99768086817588</v>
      </c>
      <c r="AV25" s="152">
        <f t="shared" si="39"/>
        <v>220.32317028661689</v>
      </c>
      <c r="AW25" s="153">
        <f t="shared" si="40"/>
        <v>146.93490094638534</v>
      </c>
    </row>
    <row r="26" spans="1:49">
      <c r="A26" s="277" t="s">
        <v>709</v>
      </c>
      <c r="B26" s="22" t="s">
        <v>710</v>
      </c>
      <c r="C26" s="22" t="s">
        <v>4</v>
      </c>
      <c r="D26" s="22" t="s">
        <v>81</v>
      </c>
      <c r="E26" s="23" t="s">
        <v>82</v>
      </c>
      <c r="F26" s="24">
        <v>5.857430000000001E-2</v>
      </c>
      <c r="G26" s="24">
        <v>9.5577100000000012E-2</v>
      </c>
      <c r="H26" s="24">
        <v>0.11191750000000002</v>
      </c>
      <c r="I26" s="24">
        <v>-6.3220000000000012E-3</v>
      </c>
      <c r="J26" s="24">
        <v>0.29370440000000003</v>
      </c>
      <c r="K26" s="25">
        <v>0.27592539999999999</v>
      </c>
      <c r="L26" s="24">
        <v>0.107448</v>
      </c>
      <c r="M26" s="24">
        <v>0.1315385</v>
      </c>
      <c r="N26" s="24">
        <v>6.0382299999999986E-2</v>
      </c>
      <c r="O26" s="24">
        <v>5.808E-2</v>
      </c>
      <c r="P26" s="24">
        <v>-0.17395619999999995</v>
      </c>
      <c r="Q26" s="24">
        <v>0.151008</v>
      </c>
      <c r="R26" s="24">
        <v>0.16227720000000001</v>
      </c>
      <c r="S26" s="24">
        <v>0.40339232000000003</v>
      </c>
      <c r="T26" s="24">
        <v>0.10842846000000002</v>
      </c>
      <c r="U26" s="24">
        <v>0.1452</v>
      </c>
      <c r="V26" s="24">
        <v>0.66913</v>
      </c>
      <c r="W26" s="25">
        <v>0.191664</v>
      </c>
      <c r="X26" s="24">
        <v>5.7174120000000002E-2</v>
      </c>
      <c r="Y26" s="24">
        <v>0.11210811999999999</v>
      </c>
      <c r="Z26" s="24">
        <v>0.25026122000000001</v>
      </c>
      <c r="AA26" s="24">
        <v>0.59807517999999993</v>
      </c>
      <c r="AB26" s="24">
        <v>5.8266360000000003E-2</v>
      </c>
      <c r="AC26" s="24">
        <v>0.27463894</v>
      </c>
      <c r="AD26" s="24">
        <v>0.20745611999999999</v>
      </c>
      <c r="AE26" s="24">
        <v>0.21</v>
      </c>
      <c r="AF26" s="24">
        <v>0.16</v>
      </c>
      <c r="AG26" s="24">
        <v>0.22</v>
      </c>
      <c r="AH26" s="24">
        <f t="shared" si="41"/>
        <v>0.27</v>
      </c>
      <c r="AI26" s="25">
        <f t="shared" si="41"/>
        <v>0.27</v>
      </c>
      <c r="AK26" s="282">
        <v>0.12</v>
      </c>
      <c r="AL26" s="263">
        <f t="shared" si="30"/>
        <v>0.1</v>
      </c>
      <c r="AN26" s="154">
        <f t="shared" si="31"/>
        <v>151.5151515151515</v>
      </c>
      <c r="AO26" s="147">
        <f t="shared" si="32"/>
        <v>186.16594761279731</v>
      </c>
      <c r="AP26" s="147">
        <f t="shared" si="33"/>
        <v>97.334076180683354</v>
      </c>
      <c r="AQ26" s="147">
        <f t="shared" si="34"/>
        <v>140.14268019913899</v>
      </c>
      <c r="AR26" s="147">
        <f t="shared" si="35"/>
        <v>2649.9652166982582</v>
      </c>
      <c r="AS26" s="147">
        <f t="shared" si="36"/>
        <v>85.663529209804182</v>
      </c>
      <c r="AT26" s="147">
        <f t="shared" si="37"/>
        <v>75.547170261452848</v>
      </c>
      <c r="AU26" s="147">
        <f t="shared" si="38"/>
        <v>403.74335352462731</v>
      </c>
      <c r="AV26" s="147">
        <f t="shared" si="39"/>
        <v>79.606124897995173</v>
      </c>
      <c r="AW26" s="155">
        <f t="shared" si="40"/>
        <v>133.42549191757669</v>
      </c>
    </row>
    <row r="27" spans="1:49">
      <c r="A27" s="277" t="s">
        <v>709</v>
      </c>
      <c r="B27" s="22" t="s">
        <v>710</v>
      </c>
      <c r="C27" s="22" t="s">
        <v>4</v>
      </c>
      <c r="D27" s="22" t="s">
        <v>81</v>
      </c>
      <c r="E27" s="23" t="s">
        <v>708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5">
        <v>0</v>
      </c>
      <c r="L27" s="24">
        <v>0</v>
      </c>
      <c r="M27" s="24">
        <v>0</v>
      </c>
      <c r="N27" s="24">
        <v>0</v>
      </c>
      <c r="O27" s="24">
        <v>0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5">
        <v>0</v>
      </c>
      <c r="X27" s="24">
        <v>0</v>
      </c>
      <c r="Y27" s="24">
        <v>0</v>
      </c>
      <c r="Z27" s="24">
        <v>0</v>
      </c>
      <c r="AA27" s="24">
        <v>0</v>
      </c>
      <c r="AB27" s="24">
        <v>0</v>
      </c>
      <c r="AC27" s="24">
        <v>0</v>
      </c>
      <c r="AD27" s="24">
        <v>0</v>
      </c>
      <c r="AE27" s="24">
        <v>2</v>
      </c>
      <c r="AF27" s="24">
        <v>7.0000000000000007E-2</v>
      </c>
      <c r="AG27" s="24">
        <v>0</v>
      </c>
      <c r="AH27" s="24">
        <f t="shared" si="41"/>
        <v>0.24999999999999997</v>
      </c>
      <c r="AI27" s="25">
        <f t="shared" si="41"/>
        <v>4.9999999999999989E-2</v>
      </c>
      <c r="AK27" s="282">
        <v>4.9999999999999989E-2</v>
      </c>
      <c r="AL27" s="263">
        <f t="shared" si="30"/>
        <v>-4.9999999999999989E-2</v>
      </c>
      <c r="AN27" s="154" t="str">
        <f t="shared" si="31"/>
        <v>NA</v>
      </c>
      <c r="AO27" s="147" t="str">
        <f t="shared" si="32"/>
        <v>NA</v>
      </c>
      <c r="AP27" s="147" t="str">
        <f t="shared" si="33"/>
        <v>NA</v>
      </c>
      <c r="AQ27" s="147" t="str">
        <f t="shared" si="34"/>
        <v>NA</v>
      </c>
      <c r="AR27" s="147" t="str">
        <f t="shared" si="35"/>
        <v>NA</v>
      </c>
      <c r="AS27" s="147" t="str">
        <f t="shared" si="36"/>
        <v>NA</v>
      </c>
      <c r="AT27" s="147" t="str">
        <f t="shared" si="37"/>
        <v>NA</v>
      </c>
      <c r="AU27" s="147" t="str">
        <f t="shared" si="38"/>
        <v>NA</v>
      </c>
      <c r="AV27" s="147" t="str">
        <f t="shared" si="39"/>
        <v>NA</v>
      </c>
      <c r="AW27" s="155" t="str">
        <f t="shared" si="40"/>
        <v>NA</v>
      </c>
    </row>
    <row r="28" spans="1:49">
      <c r="A28" s="277" t="s">
        <v>709</v>
      </c>
      <c r="B28" s="22" t="s">
        <v>710</v>
      </c>
      <c r="C28" s="22" t="s">
        <v>4</v>
      </c>
      <c r="D28" s="22" t="s">
        <v>81</v>
      </c>
      <c r="E28" s="23" t="s">
        <v>8</v>
      </c>
      <c r="F28" s="24">
        <v>1.0003792059999996</v>
      </c>
      <c r="G28" s="24">
        <v>0.88777361399999999</v>
      </c>
      <c r="H28" s="24">
        <v>1.2054415730000023</v>
      </c>
      <c r="I28" s="24">
        <v>0.7593160440000003</v>
      </c>
      <c r="J28" s="24">
        <v>2.9702148960000065</v>
      </c>
      <c r="K28" s="25">
        <v>0.79876173299999986</v>
      </c>
      <c r="L28" s="24">
        <v>1.0349782079999987</v>
      </c>
      <c r="M28" s="24">
        <v>0.54270583899999947</v>
      </c>
      <c r="N28" s="24">
        <v>0.84928521499999932</v>
      </c>
      <c r="O28" s="24">
        <v>1.5451836480000012</v>
      </c>
      <c r="P28" s="24">
        <v>0.82570177099999942</v>
      </c>
      <c r="Q28" s="24">
        <v>1.0341900799999992</v>
      </c>
      <c r="R28" s="24">
        <v>0.94351447799999955</v>
      </c>
      <c r="S28" s="24">
        <v>0.64743622799999923</v>
      </c>
      <c r="T28" s="24">
        <v>0.67960143899999892</v>
      </c>
      <c r="U28" s="24">
        <v>4.5473586600000004</v>
      </c>
      <c r="V28" s="24">
        <v>2.111422009</v>
      </c>
      <c r="W28" s="25">
        <v>0.67892035499999992</v>
      </c>
      <c r="X28" s="24">
        <v>0.75557597300000001</v>
      </c>
      <c r="Y28" s="24">
        <v>0.78741831200000001</v>
      </c>
      <c r="Z28" s="24">
        <v>0.63943647200000009</v>
      </c>
      <c r="AA28" s="24">
        <v>0.86812476199999988</v>
      </c>
      <c r="AB28" s="24">
        <v>0.8007345039999999</v>
      </c>
      <c r="AC28" s="24">
        <v>1.1430667334</v>
      </c>
      <c r="AD28" s="24">
        <v>1.036891</v>
      </c>
      <c r="AE28" s="24">
        <v>1.45</v>
      </c>
      <c r="AF28" s="24">
        <v>0.6</v>
      </c>
      <c r="AG28" s="24">
        <v>0.93</v>
      </c>
      <c r="AH28" s="24">
        <f t="shared" si="41"/>
        <v>1</v>
      </c>
      <c r="AI28" s="25">
        <f t="shared" si="41"/>
        <v>1.2</v>
      </c>
      <c r="AK28" s="282">
        <v>1</v>
      </c>
      <c r="AL28" s="263">
        <f t="shared" si="30"/>
        <v>-6.9999999999999951E-2</v>
      </c>
      <c r="AN28" s="154">
        <f t="shared" si="31"/>
        <v>20.451432788457463</v>
      </c>
      <c r="AO28" s="147">
        <f t="shared" si="32"/>
        <v>71.235410348950495</v>
      </c>
      <c r="AP28" s="147">
        <f t="shared" si="33"/>
        <v>58.91674319139176</v>
      </c>
      <c r="AQ28" s="147">
        <f t="shared" si="34"/>
        <v>89.924120225631526</v>
      </c>
      <c r="AR28" s="147">
        <f t="shared" si="35"/>
        <v>82.580430308397098</v>
      </c>
      <c r="AS28" s="147">
        <f t="shared" si="36"/>
        <v>135.95331896682791</v>
      </c>
      <c r="AT28" s="147">
        <f t="shared" si="37"/>
        <v>42.656412270852421</v>
      </c>
      <c r="AU28" s="147">
        <f t="shared" si="38"/>
        <v>85.636461328250135</v>
      </c>
      <c r="AV28" s="147">
        <f t="shared" si="39"/>
        <v>64.70365518737718</v>
      </c>
      <c r="AW28" s="155">
        <f t="shared" si="40"/>
        <v>72.610307179480714</v>
      </c>
    </row>
    <row r="29" spans="1:49">
      <c r="A29" s="277" t="s">
        <v>709</v>
      </c>
      <c r="B29" s="22" t="s">
        <v>710</v>
      </c>
      <c r="C29" s="22" t="s">
        <v>4</v>
      </c>
      <c r="D29" s="22" t="s">
        <v>81</v>
      </c>
      <c r="E29" s="23" t="s">
        <v>14</v>
      </c>
      <c r="F29" s="24">
        <f>F27+F26+F25</f>
        <v>0.21142810000000006</v>
      </c>
      <c r="G29" s="24">
        <f t="shared" ref="G29:AG29" si="42">G27+G26+G25</f>
        <v>0.25412590000000007</v>
      </c>
      <c r="H29" s="24">
        <f t="shared" si="42"/>
        <v>0.36067510000000003</v>
      </c>
      <c r="I29" s="24">
        <f t="shared" si="42"/>
        <v>0.22580620000000004</v>
      </c>
      <c r="J29" s="24">
        <f t="shared" si="42"/>
        <v>0.45726480000000008</v>
      </c>
      <c r="K29" s="25">
        <f t="shared" si="42"/>
        <v>0.5137486</v>
      </c>
      <c r="L29" s="24">
        <f t="shared" si="42"/>
        <v>1.4687808</v>
      </c>
      <c r="M29" s="24">
        <f t="shared" si="42"/>
        <v>0.2431605</v>
      </c>
      <c r="N29" s="24">
        <f t="shared" si="42"/>
        <v>0.31187350000000014</v>
      </c>
      <c r="O29" s="24">
        <f t="shared" si="42"/>
        <v>0.41071440000000009</v>
      </c>
      <c r="P29" s="24">
        <f t="shared" si="42"/>
        <v>0.6841663999999994</v>
      </c>
      <c r="Q29" s="24">
        <f t="shared" si="42"/>
        <v>1.2022968000000001</v>
      </c>
      <c r="R29" s="24">
        <f t="shared" si="42"/>
        <v>0.38108039999999999</v>
      </c>
      <c r="S29" s="24">
        <f t="shared" si="42"/>
        <v>0.59172752000000017</v>
      </c>
      <c r="T29" s="24">
        <f t="shared" si="42"/>
        <v>0.62629586000000015</v>
      </c>
      <c r="U29" s="24">
        <f t="shared" si="42"/>
        <v>0.38575680000000001</v>
      </c>
      <c r="V29" s="24">
        <f t="shared" si="42"/>
        <v>0.92571080000000028</v>
      </c>
      <c r="W29" s="25">
        <f t="shared" si="42"/>
        <v>0.55868879999999987</v>
      </c>
      <c r="X29" s="24">
        <f t="shared" si="42"/>
        <v>1.5181045200000003</v>
      </c>
      <c r="Y29" s="24">
        <f t="shared" si="42"/>
        <v>0.59389132</v>
      </c>
      <c r="Z29" s="24">
        <f t="shared" si="42"/>
        <v>0.46412202000000014</v>
      </c>
      <c r="AA29" s="24">
        <f t="shared" si="42"/>
        <v>0.60508397999999997</v>
      </c>
      <c r="AB29" s="24">
        <f t="shared" si="42"/>
        <v>1.9680797600000002</v>
      </c>
      <c r="AC29" s="24">
        <f t="shared" si="42"/>
        <v>0.74575053999999996</v>
      </c>
      <c r="AD29" s="24">
        <f t="shared" si="42"/>
        <v>0.71940822000000015</v>
      </c>
      <c r="AE29" s="24">
        <f t="shared" si="42"/>
        <v>2.5099999999999998</v>
      </c>
      <c r="AF29" s="24">
        <f t="shared" si="42"/>
        <v>0.6</v>
      </c>
      <c r="AG29" s="24">
        <f t="shared" si="42"/>
        <v>0.64</v>
      </c>
      <c r="AH29" s="24">
        <f t="shared" si="41"/>
        <v>1.8899999999999997</v>
      </c>
      <c r="AI29" s="25">
        <f t="shared" si="41"/>
        <v>1.29</v>
      </c>
      <c r="AK29" s="283">
        <v>0.52</v>
      </c>
      <c r="AL29" s="264">
        <f t="shared" si="30"/>
        <v>0.12</v>
      </c>
      <c r="AN29" s="82">
        <f t="shared" si="31"/>
        <v>165.90763921724775</v>
      </c>
      <c r="AO29" s="83">
        <f t="shared" si="32"/>
        <v>164.36222653576678</v>
      </c>
      <c r="AP29" s="83">
        <f t="shared" si="33"/>
        <v>225.17491984248079</v>
      </c>
      <c r="AQ29" s="83">
        <f t="shared" si="34"/>
        <v>127.29019769990812</v>
      </c>
      <c r="AR29" s="83">
        <f t="shared" si="35"/>
        <v>144.47791411512983</v>
      </c>
      <c r="AS29" s="83">
        <f t="shared" si="36"/>
        <v>239.47215108202667</v>
      </c>
      <c r="AT29" s="83">
        <f t="shared" si="37"/>
        <v>204.26099121977174</v>
      </c>
      <c r="AU29" s="83">
        <f t="shared" si="38"/>
        <v>136.42773683193704</v>
      </c>
      <c r="AV29" s="83">
        <f t="shared" si="39"/>
        <v>220.49105063085813</v>
      </c>
      <c r="AW29" s="84">
        <f t="shared" si="40"/>
        <v>173.86394370283691</v>
      </c>
    </row>
    <row r="30" spans="1:49" outlineLevel="1">
      <c r="A30" s="305" t="s">
        <v>709</v>
      </c>
      <c r="B30" s="122" t="s">
        <v>711</v>
      </c>
      <c r="C30" s="122" t="s">
        <v>4</v>
      </c>
      <c r="D30" s="122" t="s">
        <v>81</v>
      </c>
      <c r="E30" s="123" t="s">
        <v>83</v>
      </c>
      <c r="F30" s="132"/>
      <c r="G30" s="132"/>
      <c r="H30" s="132"/>
      <c r="I30" s="132"/>
      <c r="J30" s="132"/>
      <c r="K30" s="133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3"/>
      <c r="X30" s="132"/>
      <c r="Y30" s="132"/>
      <c r="Z30" s="132"/>
      <c r="AA30" s="132"/>
      <c r="AB30" s="132"/>
      <c r="AC30" s="132"/>
      <c r="AD30" s="128">
        <f t="shared" ref="AD30:AI30" si="43">SUM(AD35,AD34)</f>
        <v>0</v>
      </c>
      <c r="AE30" s="128">
        <f t="shared" si="43"/>
        <v>0.97219199999999983</v>
      </c>
      <c r="AF30" s="128">
        <f t="shared" si="43"/>
        <v>0</v>
      </c>
      <c r="AG30" s="128">
        <f t="shared" si="43"/>
        <v>0</v>
      </c>
      <c r="AH30" s="128">
        <f t="shared" si="43"/>
        <v>0.91999999999999993</v>
      </c>
      <c r="AI30" s="129">
        <f t="shared" si="43"/>
        <v>0.12</v>
      </c>
      <c r="AK30" s="245"/>
    </row>
    <row r="31" spans="1:49" outlineLevel="1">
      <c r="A31" s="276" t="s">
        <v>709</v>
      </c>
      <c r="B31" s="92" t="s">
        <v>712</v>
      </c>
      <c r="C31" s="92" t="s">
        <v>4</v>
      </c>
      <c r="D31" s="92" t="s">
        <v>81</v>
      </c>
      <c r="E31" s="93" t="s">
        <v>9</v>
      </c>
      <c r="F31" s="75"/>
      <c r="G31" s="75"/>
      <c r="H31" s="75"/>
      <c r="I31" s="75"/>
      <c r="J31" s="75"/>
      <c r="K31" s="94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94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227">
        <f>1.2*0.6</f>
        <v>0.72</v>
      </c>
      <c r="AI31" s="337">
        <f>0.2*0.6</f>
        <v>0.12</v>
      </c>
      <c r="AK31" s="245"/>
    </row>
    <row r="32" spans="1:49" outlineLevel="1">
      <c r="A32" s="277" t="s">
        <v>709</v>
      </c>
      <c r="B32" s="22" t="s">
        <v>711</v>
      </c>
      <c r="C32" s="22" t="s">
        <v>4</v>
      </c>
      <c r="D32" s="22" t="s">
        <v>81</v>
      </c>
      <c r="E32" s="23" t="s">
        <v>82</v>
      </c>
      <c r="F32" s="24"/>
      <c r="G32" s="24"/>
      <c r="H32" s="24"/>
      <c r="I32" s="24"/>
      <c r="J32" s="24"/>
      <c r="K32" s="25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5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5"/>
      <c r="AK32" s="245"/>
    </row>
    <row r="33" spans="1:49" outlineLevel="1">
      <c r="A33" s="277" t="s">
        <v>709</v>
      </c>
      <c r="B33" s="22" t="s">
        <v>711</v>
      </c>
      <c r="C33" s="22" t="s">
        <v>4</v>
      </c>
      <c r="D33" s="22" t="s">
        <v>81</v>
      </c>
      <c r="E33" s="23" t="s">
        <v>708</v>
      </c>
      <c r="F33" s="24"/>
      <c r="G33" s="24"/>
      <c r="H33" s="24"/>
      <c r="I33" s="24"/>
      <c r="J33" s="24"/>
      <c r="K33" s="25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5"/>
      <c r="X33" s="24"/>
      <c r="Y33" s="24"/>
      <c r="Z33" s="24"/>
      <c r="AA33" s="24"/>
      <c r="AB33" s="24"/>
      <c r="AC33" s="24"/>
      <c r="AD33" s="24"/>
      <c r="AE33" s="134">
        <f>296.4*410*4*2/1000000+N("P3 Baymanx Hotspot pipeline")</f>
        <v>0.97219199999999983</v>
      </c>
      <c r="AF33" s="134">
        <f>296.4*460*4*2/1000000*0+N("P3 Baymax Shelf pipeline")</f>
        <v>0</v>
      </c>
      <c r="AG33" s="24"/>
      <c r="AH33" s="24">
        <v>0.2</v>
      </c>
      <c r="AI33" s="25"/>
      <c r="AK33" s="245"/>
    </row>
    <row r="34" spans="1:49" outlineLevel="1">
      <c r="A34" s="277" t="s">
        <v>709</v>
      </c>
      <c r="B34" s="22" t="s">
        <v>711</v>
      </c>
      <c r="C34" s="22" t="s">
        <v>4</v>
      </c>
      <c r="D34" s="22" t="s">
        <v>81</v>
      </c>
      <c r="E34" s="23" t="s">
        <v>8</v>
      </c>
      <c r="F34" s="24"/>
      <c r="G34" s="24"/>
      <c r="H34" s="24"/>
      <c r="I34" s="24"/>
      <c r="J34" s="24"/>
      <c r="K34" s="25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5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5"/>
      <c r="AK34" s="245"/>
    </row>
    <row r="35" spans="1:49" outlineLevel="1">
      <c r="A35" s="277" t="s">
        <v>709</v>
      </c>
      <c r="B35" s="22" t="s">
        <v>711</v>
      </c>
      <c r="C35" s="22" t="s">
        <v>4</v>
      </c>
      <c r="D35" s="22" t="s">
        <v>81</v>
      </c>
      <c r="E35" s="23" t="s">
        <v>14</v>
      </c>
      <c r="F35" s="24"/>
      <c r="G35" s="24"/>
      <c r="H35" s="24"/>
      <c r="I35" s="24"/>
      <c r="J35" s="24"/>
      <c r="K35" s="25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5"/>
      <c r="X35" s="24"/>
      <c r="Y35" s="24"/>
      <c r="Z35" s="24"/>
      <c r="AA35" s="24"/>
      <c r="AB35" s="24"/>
      <c r="AC35" s="24"/>
      <c r="AD35" s="134">
        <f>SUM(AD31,AD32,AD33)</f>
        <v>0</v>
      </c>
      <c r="AE35" s="134">
        <f t="shared" ref="AE35:AI35" si="44">SUM(AE31,AE32,AE33)</f>
        <v>0.97219199999999983</v>
      </c>
      <c r="AF35" s="134">
        <f t="shared" si="44"/>
        <v>0</v>
      </c>
      <c r="AG35" s="134">
        <f t="shared" si="44"/>
        <v>0</v>
      </c>
      <c r="AH35" s="134">
        <f t="shared" si="44"/>
        <v>0.91999999999999993</v>
      </c>
      <c r="AI35" s="135">
        <f t="shared" si="44"/>
        <v>0.12</v>
      </c>
      <c r="AK35" s="245"/>
    </row>
    <row r="36" spans="1:49" outlineLevel="1">
      <c r="A36" s="305" t="s">
        <v>709</v>
      </c>
      <c r="B36" s="122" t="s">
        <v>713</v>
      </c>
      <c r="C36" s="122" t="s">
        <v>4</v>
      </c>
      <c r="D36" s="122" t="s">
        <v>81</v>
      </c>
      <c r="E36" s="123" t="s">
        <v>83</v>
      </c>
      <c r="F36" s="132"/>
      <c r="G36" s="132"/>
      <c r="H36" s="132"/>
      <c r="I36" s="132"/>
      <c r="J36" s="132"/>
      <c r="K36" s="133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3"/>
      <c r="X36" s="132"/>
      <c r="Y36" s="132"/>
      <c r="Z36" s="132"/>
      <c r="AA36" s="132"/>
      <c r="AB36" s="132"/>
      <c r="AC36" s="132"/>
      <c r="AD36" s="128">
        <f>SUM(AD41,AD40)</f>
        <v>0</v>
      </c>
      <c r="AE36" s="128">
        <f>SUM(AE41,AE40)</f>
        <v>0</v>
      </c>
      <c r="AF36" s="128">
        <f>SUM(AF41,AF40)</f>
        <v>-0.55000000000000004</v>
      </c>
      <c r="AG36" s="128">
        <f>SUM(AG41,AG40)</f>
        <v>-0.1</v>
      </c>
      <c r="AH36" s="128">
        <f>SUM(AH41,AH40)</f>
        <v>-0.1</v>
      </c>
      <c r="AI36" s="129">
        <v>-0.1</v>
      </c>
      <c r="AK36" s="245"/>
    </row>
    <row r="37" spans="1:49" outlineLevel="1">
      <c r="A37" s="276" t="s">
        <v>709</v>
      </c>
      <c r="B37" s="92" t="s">
        <v>714</v>
      </c>
      <c r="C37" s="92" t="s">
        <v>4</v>
      </c>
      <c r="D37" s="92" t="s">
        <v>81</v>
      </c>
      <c r="E37" s="93" t="s">
        <v>9</v>
      </c>
      <c r="F37" s="75"/>
      <c r="G37" s="75"/>
      <c r="H37" s="75"/>
      <c r="I37" s="75"/>
      <c r="J37" s="75"/>
      <c r="K37" s="94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94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94"/>
      <c r="AK37" s="245"/>
    </row>
    <row r="38" spans="1:49" outlineLevel="1">
      <c r="A38" s="277" t="s">
        <v>709</v>
      </c>
      <c r="B38" s="22" t="s">
        <v>713</v>
      </c>
      <c r="C38" s="22" t="s">
        <v>4</v>
      </c>
      <c r="D38" s="22" t="s">
        <v>81</v>
      </c>
      <c r="E38" s="23" t="s">
        <v>82</v>
      </c>
      <c r="F38" s="24"/>
      <c r="G38" s="24"/>
      <c r="H38" s="24"/>
      <c r="I38" s="24"/>
      <c r="J38" s="24"/>
      <c r="K38" s="25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5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5"/>
      <c r="AK38" s="245"/>
    </row>
    <row r="39" spans="1:49" outlineLevel="1">
      <c r="A39" s="277" t="s">
        <v>709</v>
      </c>
      <c r="B39" s="22" t="s">
        <v>713</v>
      </c>
      <c r="C39" s="22" t="s">
        <v>4</v>
      </c>
      <c r="D39" s="22" t="s">
        <v>81</v>
      </c>
      <c r="E39" s="23" t="s">
        <v>708</v>
      </c>
      <c r="F39" s="24"/>
      <c r="G39" s="24"/>
      <c r="H39" s="24"/>
      <c r="I39" s="24"/>
      <c r="J39" s="24"/>
      <c r="K39" s="25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5"/>
      <c r="X39" s="24"/>
      <c r="Y39" s="24"/>
      <c r="Z39" s="24"/>
      <c r="AA39" s="24"/>
      <c r="AB39" s="24"/>
      <c r="AC39" s="24"/>
      <c r="AD39" s="24"/>
      <c r="AE39" s="24"/>
      <c r="AF39" s="24">
        <v>-0.1</v>
      </c>
      <c r="AG39" s="24">
        <v>-0.1</v>
      </c>
      <c r="AH39" s="24">
        <v>-0.1</v>
      </c>
      <c r="AI39" s="25">
        <v>-0.1</v>
      </c>
      <c r="AK39" s="245"/>
    </row>
    <row r="40" spans="1:49" outlineLevel="1">
      <c r="A40" s="277" t="s">
        <v>709</v>
      </c>
      <c r="B40" s="22" t="s">
        <v>713</v>
      </c>
      <c r="C40" s="22" t="s">
        <v>4</v>
      </c>
      <c r="D40" s="22" t="s">
        <v>81</v>
      </c>
      <c r="E40" s="23" t="s">
        <v>8</v>
      </c>
      <c r="F40" s="24"/>
      <c r="G40" s="24"/>
      <c r="H40" s="24"/>
      <c r="I40" s="24"/>
      <c r="J40" s="24"/>
      <c r="K40" s="25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5"/>
      <c r="X40" s="24"/>
      <c r="Y40" s="24"/>
      <c r="Z40" s="24"/>
      <c r="AA40" s="24"/>
      <c r="AB40" s="24"/>
      <c r="AC40" s="24"/>
      <c r="AD40" s="24"/>
      <c r="AE40" s="24"/>
      <c r="AF40" s="24">
        <v>-0.45</v>
      </c>
      <c r="AG40" s="24"/>
      <c r="AH40" s="24"/>
      <c r="AI40" s="25"/>
      <c r="AK40" s="245"/>
    </row>
    <row r="41" spans="1:49" outlineLevel="1">
      <c r="A41" s="278" t="s">
        <v>709</v>
      </c>
      <c r="B41" s="31" t="s">
        <v>713</v>
      </c>
      <c r="C41" s="31" t="s">
        <v>4</v>
      </c>
      <c r="D41" s="31" t="s">
        <v>81</v>
      </c>
      <c r="E41" s="119" t="s">
        <v>14</v>
      </c>
      <c r="F41" s="32"/>
      <c r="G41" s="32"/>
      <c r="H41" s="32"/>
      <c r="I41" s="32"/>
      <c r="J41" s="32"/>
      <c r="K41" s="33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3"/>
      <c r="X41" s="32"/>
      <c r="Y41" s="32"/>
      <c r="Z41" s="32"/>
      <c r="AA41" s="32"/>
      <c r="AB41" s="32"/>
      <c r="AC41" s="32"/>
      <c r="AD41" s="120">
        <f>SUM(AD37,AD38,AD39)</f>
        <v>0</v>
      </c>
      <c r="AE41" s="120">
        <f t="shared" ref="AE41:AH41" si="45">SUM(AE37,AE38,AE39)</f>
        <v>0</v>
      </c>
      <c r="AF41" s="120">
        <f t="shared" si="45"/>
        <v>-0.1</v>
      </c>
      <c r="AG41" s="120">
        <f t="shared" si="45"/>
        <v>-0.1</v>
      </c>
      <c r="AH41" s="120">
        <f t="shared" si="45"/>
        <v>-0.1</v>
      </c>
      <c r="AI41" s="121">
        <v>-0.1</v>
      </c>
      <c r="AK41" s="245"/>
    </row>
    <row r="42" spans="1:49" s="102" customFormat="1">
      <c r="A42" s="303" t="s">
        <v>77</v>
      </c>
      <c r="B42" s="126" t="s">
        <v>83</v>
      </c>
      <c r="C42" s="126" t="s">
        <v>4</v>
      </c>
      <c r="D42" s="126" t="s">
        <v>85</v>
      </c>
      <c r="E42" s="127" t="s">
        <v>83</v>
      </c>
      <c r="F42" s="130">
        <f t="shared" ref="F42:AC42" si="46">F48+F47</f>
        <v>3.6296791691666668</v>
      </c>
      <c r="G42" s="130">
        <f t="shared" si="46"/>
        <v>3.4605705808333331</v>
      </c>
      <c r="H42" s="130">
        <f t="shared" si="46"/>
        <v>3.1276284308333335</v>
      </c>
      <c r="I42" s="130">
        <f t="shared" si="46"/>
        <v>3.1032521591666664</v>
      </c>
      <c r="J42" s="130">
        <f t="shared" si="46"/>
        <v>2.6596319483333328</v>
      </c>
      <c r="K42" s="131">
        <f t="shared" si="46"/>
        <v>2.6082212741666666</v>
      </c>
      <c r="L42" s="130">
        <f t="shared" si="46"/>
        <v>2.9359616083333337</v>
      </c>
      <c r="M42" s="130">
        <f t="shared" si="46"/>
        <v>2.5585861591666665</v>
      </c>
      <c r="N42" s="130">
        <f t="shared" si="46"/>
        <v>2.2970123525000004</v>
      </c>
      <c r="O42" s="130">
        <f t="shared" si="46"/>
        <v>2.6333966883333333</v>
      </c>
      <c r="P42" s="130">
        <f t="shared" si="46"/>
        <v>4.4341580241666669</v>
      </c>
      <c r="Q42" s="130">
        <f t="shared" si="46"/>
        <v>4.94134604</v>
      </c>
      <c r="R42" s="130">
        <f t="shared" si="46"/>
        <v>3.8385562261666668</v>
      </c>
      <c r="S42" s="130">
        <f t="shared" si="46"/>
        <v>3.3691993619999998</v>
      </c>
      <c r="T42" s="130">
        <f t="shared" si="46"/>
        <v>2.3729949435000002</v>
      </c>
      <c r="U42" s="130">
        <f t="shared" si="46"/>
        <v>2.9553758565000003</v>
      </c>
      <c r="V42" s="130">
        <f t="shared" si="46"/>
        <v>5.0984640435000008</v>
      </c>
      <c r="W42" s="131">
        <f t="shared" si="46"/>
        <v>4.1551195385000002</v>
      </c>
      <c r="X42" s="130">
        <f t="shared" si="46"/>
        <v>4.3156669378333339</v>
      </c>
      <c r="Y42" s="130">
        <f t="shared" si="46"/>
        <v>2.9207525158333332</v>
      </c>
      <c r="Z42" s="130">
        <f t="shared" si="46"/>
        <v>2.9787506148333334</v>
      </c>
      <c r="AA42" s="130">
        <f t="shared" si="46"/>
        <v>5.4139164353333342</v>
      </c>
      <c r="AB42" s="130">
        <f t="shared" si="46"/>
        <v>5.0326995229999998</v>
      </c>
      <c r="AC42" s="130">
        <f t="shared" si="46"/>
        <v>5.4857741253333332</v>
      </c>
      <c r="AD42" s="130">
        <f>AD48+AD47</f>
        <v>4.0534603028333338</v>
      </c>
      <c r="AE42" s="130">
        <f>AE48+AE47</f>
        <v>4.9678833426666662</v>
      </c>
      <c r="AF42" s="130">
        <f>AF48+AF47</f>
        <v>3.4420324961249995</v>
      </c>
      <c r="AG42" s="130">
        <f>AG48+AG47</f>
        <v>4.8366561399351848</v>
      </c>
      <c r="AH42" s="130">
        <f t="shared" ref="AH42:AI42" si="47">AH48+AH47</f>
        <v>5.1598199999999999</v>
      </c>
      <c r="AI42" s="131">
        <f t="shared" si="47"/>
        <v>4.9024999999999999</v>
      </c>
      <c r="AJ42" s="239"/>
      <c r="AK42" s="319">
        <v>5.5657199999999998</v>
      </c>
      <c r="AL42" s="319">
        <f t="shared" ref="AL42:AL48" si="48">AG42-AK42</f>
        <v>-0.72906386006481494</v>
      </c>
      <c r="AM42" s="239"/>
      <c r="AN42" s="156">
        <f t="shared" ref="AN42:AN48" si="49">IFERROR(AG42/U42*100,"NA")</f>
        <v>163.65621074211359</v>
      </c>
      <c r="AO42" s="157">
        <f t="shared" ref="AO42:AO48" si="50">IFERROR(SUM(X42:AG42)/SUM(L42:U42)*100,"NA")</f>
        <v>134.36047559222587</v>
      </c>
      <c r="AP42" s="157">
        <f t="shared" ref="AP42:AP48" si="51">IFERROR(SUM(AD42:AG42)/SUM(R42:U42)*100,"NA")</f>
        <v>138.00141882655515</v>
      </c>
      <c r="AQ42" s="157">
        <f t="shared" ref="AQ42:AQ48" si="52">IFERROR(SUM(X42:Z42)/SUM(L42:N42)*100,"NA")</f>
        <v>131.105579770589</v>
      </c>
      <c r="AR42" s="157">
        <f t="shared" ref="AR42:AR48" si="53">IFERROR(SUM(AA42:AC42)/SUM(O42:Q42)*100,"NA")</f>
        <v>132.6715110069494</v>
      </c>
      <c r="AS42" s="157">
        <f t="shared" ref="AS42:AS48" si="54">IFERROR(SUM(AD42:AF42)/SUM(R42:T42)*100,"NA")</f>
        <v>130.08768050509789</v>
      </c>
      <c r="AT42" s="157">
        <f t="shared" ref="AT42:AT48" si="55">IFERROR(SUM(AG42:AI42)/SUM(U42:W42)*100,"NA")</f>
        <v>122.03313652556191</v>
      </c>
      <c r="AU42" s="157">
        <f t="shared" ref="AU42:AU48" si="56">IFERROR(SUM(X42:AC42)/SUM(L42:Q42)*100,"NA")</f>
        <v>132.05531083613249</v>
      </c>
      <c r="AV42" s="157">
        <f t="shared" ref="AV42:AV48" si="57">IFERROR(SUM(AD42:AI42)/SUM(R42:W42)*100,"NA")</f>
        <v>125.57465114966327</v>
      </c>
      <c r="AW42" s="158">
        <f t="shared" ref="AW42:AW48" si="58">IFERROR(SUM(X42:AI42)/SUM(L42:W42)*100,"NA")</f>
        <v>128.65999670006624</v>
      </c>
    </row>
    <row r="43" spans="1:49">
      <c r="A43" s="274" t="s">
        <v>77</v>
      </c>
      <c r="B43" s="92" t="s">
        <v>710</v>
      </c>
      <c r="C43" s="92" t="s">
        <v>4</v>
      </c>
      <c r="D43" s="92" t="s">
        <v>85</v>
      </c>
      <c r="E43" s="93" t="s">
        <v>11</v>
      </c>
      <c r="F43" s="75">
        <f>SUMIFS('Offtake Raw'!H:H,'Offtake Raw'!$C:$C,Hair!$D43,'Offtake Raw'!$D:$D,Hair!$E43)/1000000</f>
        <v>0.50845781583333327</v>
      </c>
      <c r="G43" s="75">
        <f>SUMIFS('Offtake Raw'!I:I,'Offtake Raw'!$C:$C,Hair!$D43,'Offtake Raw'!$D:$D,Hair!$E43)/1000000</f>
        <v>0.52584466083333326</v>
      </c>
      <c r="H43" s="75">
        <f>SUMIFS('Offtake Raw'!J:J,'Offtake Raw'!$C:$C,Hair!$D43,'Offtake Raw'!$D:$D,Hair!$E43)/1000000</f>
        <v>0.78487109750000006</v>
      </c>
      <c r="I43" s="75">
        <f>SUMIFS('Offtake Raw'!K:K,'Offtake Raw'!$C:$C,Hair!$D43,'Offtake Raw'!$D:$D,Hair!$E43)/1000000</f>
        <v>0.72150260583333325</v>
      </c>
      <c r="J43" s="75">
        <f>SUMIFS('Offtake Raw'!L:L,'Offtake Raw'!$C:$C,Hair!$D43,'Offtake Raw'!$D:$D,Hair!$E43)/1000000</f>
        <v>0.47559711500000001</v>
      </c>
      <c r="K43" s="94">
        <f>SUMIFS('Offtake Raw'!M:M,'Offtake Raw'!$C:$C,Hair!$D43,'Offtake Raw'!$D:$D,Hair!$E43)/1000000</f>
        <v>0.33887148750000001</v>
      </c>
      <c r="L43" s="75">
        <f>SUMIFS('Offtake Raw'!N:N,'Offtake Raw'!$C:$C,Hair!$D43,'Offtake Raw'!$D:$D,Hair!$E43)/1000000</f>
        <v>0.31790853500000005</v>
      </c>
      <c r="M43" s="75">
        <f>SUMIFS('Offtake Raw'!O:O,'Offtake Raw'!$C:$C,Hair!$D43,'Offtake Raw'!$D:$D,Hair!$E43)/1000000</f>
        <v>0.42348763916666671</v>
      </c>
      <c r="N43" s="75">
        <f>SUMIFS('Offtake Raw'!P:P,'Offtake Raw'!$C:$C,Hair!$D43,'Offtake Raw'!$D:$D,Hair!$E43)/1000000</f>
        <v>0.43923124583333334</v>
      </c>
      <c r="O43" s="75">
        <f>SUMIFS('Offtake Raw'!Q:Q,'Offtake Raw'!$C:$C,Hair!$D43,'Offtake Raw'!$D:$D,Hair!$E43)/1000000</f>
        <v>0.47319392166666663</v>
      </c>
      <c r="P43" s="75">
        <f>SUMIFS('Offtake Raw'!R:R,'Offtake Raw'!$C:$C,Hair!$D43,'Offtake Raw'!$D:$D,Hair!$E43)/1000000</f>
        <v>0.71755639083333334</v>
      </c>
      <c r="Q43" s="75">
        <f>SUMIFS('Offtake Raw'!S:S,'Offtake Raw'!$C:$C,Hair!$D43,'Offtake Raw'!$D:$D,Hair!$E43)/1000000</f>
        <v>0.89823818</v>
      </c>
      <c r="R43" s="75">
        <f>SUMIFS('Offtake Raw'!T:T,'Offtake Raw'!$C:$C,Hair!$D43,'Offtake Raw'!$D:$D,Hair!$E43)/1000000</f>
        <v>0.37528212750000006</v>
      </c>
      <c r="S43" s="75">
        <f>SUMIFS('Offtake Raw'!U:U,'Offtake Raw'!$C:$C,Hair!$D43,'Offtake Raw'!$D:$D,Hair!$E43)/1000000</f>
        <v>0.32427329666666671</v>
      </c>
      <c r="T43" s="75">
        <f>SUMIFS('Offtake Raw'!V:V,'Offtake Raw'!$C:$C,Hair!$D43,'Offtake Raw'!$D:$D,Hair!$E43)/1000000</f>
        <v>0.26639927416666664</v>
      </c>
      <c r="U43" s="75">
        <f>SUMIFS('Offtake Raw'!W:W,'Offtake Raw'!$C:$C,Hair!$D43,'Offtake Raw'!$D:$D,Hair!$E43)/1000000</f>
        <v>0.68033989916666671</v>
      </c>
      <c r="V43" s="75">
        <f>SUMIFS('Offtake Raw'!X:X,'Offtake Raw'!$C:$C,Hair!$D43,'Offtake Raw'!$D:$D,Hair!$E43)/1000000</f>
        <v>0.86204892083333329</v>
      </c>
      <c r="W43" s="94">
        <f>SUMIFS('Offtake Raw'!Y:Y,'Offtake Raw'!$C:$C,Hair!$D43,'Offtake Raw'!$D:$D,Hair!$E43)/1000000</f>
        <v>0.72716912916666665</v>
      </c>
      <c r="X43" s="75">
        <f>SUMIFS('Offtake Raw'!Z:Z,'Offtake Raw'!$C:$C,Hair!$D43,'Offtake Raw'!$D:$D,Hair!$E43)/1000000</f>
        <v>1.1755437925000001</v>
      </c>
      <c r="Y43" s="75">
        <f>SUMIFS('Offtake Raw'!AA:AA,'Offtake Raw'!$C:$C,Hair!$D43,'Offtake Raw'!$D:$D,Hair!$E43)/1000000</f>
        <v>0.55259342249999988</v>
      </c>
      <c r="Z43" s="75">
        <f>SUMIFS('Offtake Raw'!AB:AB,'Offtake Raw'!$C:$C,Hair!$D43,'Offtake Raw'!$D:$D,Hair!$E43)/1000000</f>
        <v>0.54339558750000005</v>
      </c>
      <c r="AA43" s="75">
        <f>SUMIFS('Offtake Raw'!AC:AC,'Offtake Raw'!$C:$C,Hair!$D43,'Offtake Raw'!$D:$D,Hair!$E43)/1000000</f>
        <v>1.2334729700000002</v>
      </c>
      <c r="AB43" s="75">
        <f>SUMIFS('Offtake Raw'!AD:AD,'Offtake Raw'!$C:$C,Hair!$D43,'Offtake Raw'!$D:$D,Hair!$E43)/1000000</f>
        <v>1.6745459549999999</v>
      </c>
      <c r="AC43" s="75">
        <f>SUMIFS('Offtake Raw'!AE:AE,'Offtake Raw'!$C:$C,Hair!$D43,'Offtake Raw'!$D:$D,Hair!$E43)/1000000</f>
        <v>2.3409795400000002</v>
      </c>
      <c r="AD43" s="75">
        <f>SUMIFS('Offtake Raw'!AF:AF,'Offtake Raw'!$C:$C,Hair!$D43,'Offtake Raw'!$D:$D,Hair!$E43)/1000000</f>
        <v>0.82241014416666669</v>
      </c>
      <c r="AE43" s="75">
        <f>SUMIFS('Offtake Raw'!AG:AG,'Offtake Raw'!$C:$C,Hair!$D43,'Offtake Raw'!$D:$D,Hair!$E43)/1000000</f>
        <v>2.0010518933333334</v>
      </c>
      <c r="AF43" s="75">
        <f>SUMIFS('Offtake Raw'!AH:AH,'Offtake Raw'!$C:$C,Hair!$D43,'Offtake Raw'!$D:$D,Hair!$E43)/1000000</f>
        <v>1.4454736081249999</v>
      </c>
      <c r="AG43" s="75">
        <f>SUMIFS('Offtake Raw'!AI:AI,'Offtake Raw'!$C:$C,Hair!$D43,'Offtake Raw'!$D:$D,Hair!$E43)/1000000</f>
        <v>1.8575070068981483</v>
      </c>
      <c r="AH43" s="75">
        <f t="shared" ref="AH43:AI48" si="59">AH50+AH57</f>
        <v>1.73732</v>
      </c>
      <c r="AI43" s="94">
        <f t="shared" si="59"/>
        <v>1.28</v>
      </c>
      <c r="AJ43" s="238"/>
      <c r="AK43" s="320">
        <v>2.6657200000000003</v>
      </c>
      <c r="AL43" s="262">
        <f t="shared" si="48"/>
        <v>-0.80821299310185202</v>
      </c>
      <c r="AM43" s="238"/>
      <c r="AN43" s="154">
        <f t="shared" si="49"/>
        <v>273.02632245637329</v>
      </c>
      <c r="AO43" s="147">
        <f t="shared" si="50"/>
        <v>277.60826590033167</v>
      </c>
      <c r="AP43" s="147">
        <f t="shared" si="51"/>
        <v>372.13525828405972</v>
      </c>
      <c r="AQ43" s="147">
        <f t="shared" si="52"/>
        <v>192.40047825587513</v>
      </c>
      <c r="AR43" s="147">
        <f t="shared" si="53"/>
        <v>251.2698602144167</v>
      </c>
      <c r="AS43" s="147">
        <f t="shared" si="54"/>
        <v>441.93952915086578</v>
      </c>
      <c r="AT43" s="147">
        <f t="shared" si="55"/>
        <v>214.7919161389151</v>
      </c>
      <c r="AU43" s="147">
        <f t="shared" si="56"/>
        <v>230.01268249118846</v>
      </c>
      <c r="AV43" s="147">
        <f t="shared" si="57"/>
        <v>282.60630226830682</v>
      </c>
      <c r="AW43" s="155">
        <f t="shared" si="58"/>
        <v>256.17163083435128</v>
      </c>
    </row>
    <row r="44" spans="1:49">
      <c r="A44" s="271" t="s">
        <v>77</v>
      </c>
      <c r="B44" s="22" t="s">
        <v>710</v>
      </c>
      <c r="C44" s="22" t="s">
        <v>4</v>
      </c>
      <c r="D44" s="22" t="s">
        <v>85</v>
      </c>
      <c r="E44" s="23" t="s">
        <v>12</v>
      </c>
      <c r="F44" s="24">
        <f>SUMIFS('Offtake Raw'!H:H,'Offtake Raw'!$C:$C,Hair!$D44,'Offtake Raw'!$D:$D,Hair!$E44)/1000000</f>
        <v>2.083631</v>
      </c>
      <c r="G44" s="24">
        <f>SUMIFS('Offtake Raw'!I:I,'Offtake Raw'!$C:$C,Hair!$D44,'Offtake Raw'!$D:$D,Hair!$E44)/1000000</f>
        <v>1.5304055000000001</v>
      </c>
      <c r="H44" s="24">
        <f>SUMIFS('Offtake Raw'!J:J,'Offtake Raw'!$C:$C,Hair!$D44,'Offtake Raw'!$D:$D,Hair!$E44)/1000000</f>
        <v>1.4538711000000002</v>
      </c>
      <c r="I44" s="24">
        <f>SUMIFS('Offtake Raw'!K:K,'Offtake Raw'!$C:$C,Hair!$D44,'Offtake Raw'!$D:$D,Hair!$E44)/1000000</f>
        <v>1.3728329000000001</v>
      </c>
      <c r="J44" s="24">
        <f>SUMIFS('Offtake Raw'!L:L,'Offtake Raw'!$C:$C,Hair!$D44,'Offtake Raw'!$D:$D,Hair!$E44)/1000000</f>
        <v>1.0255437999999999</v>
      </c>
      <c r="K44" s="25">
        <f>SUMIFS('Offtake Raw'!M:M,'Offtake Raw'!$C:$C,Hair!$D44,'Offtake Raw'!$D:$D,Hair!$E44)/1000000</f>
        <v>1.3178688000000001</v>
      </c>
      <c r="L44" s="24">
        <f>SUMIFS('Offtake Raw'!N:N,'Offtake Raw'!$C:$C,Hair!$D44,'Offtake Raw'!$D:$D,Hair!$E44)/1000000</f>
        <v>1.7018298000000001</v>
      </c>
      <c r="M44" s="24">
        <f>SUMIFS('Offtake Raw'!O:O,'Offtake Raw'!$C:$C,Hair!$D44,'Offtake Raw'!$D:$D,Hair!$E44)/1000000</f>
        <v>1.0623034</v>
      </c>
      <c r="N44" s="24">
        <f>SUMIFS('Offtake Raw'!P:P,'Offtake Raw'!$C:$C,Hair!$D44,'Offtake Raw'!$D:$D,Hair!$E44)/1000000</f>
        <v>0.89036530000000003</v>
      </c>
      <c r="O44" s="24">
        <f>SUMIFS('Offtake Raw'!Q:Q,'Offtake Raw'!$C:$C,Hair!$D44,'Offtake Raw'!$D:$D,Hair!$E44)/1000000</f>
        <v>1.1540640999999998</v>
      </c>
      <c r="P44" s="24">
        <f>SUMIFS('Offtake Raw'!R:R,'Offtake Raw'!$C:$C,Hair!$D44,'Offtake Raw'!$D:$D,Hair!$E44)/1000000</f>
        <v>2.2484701600000006</v>
      </c>
      <c r="Q44" s="24">
        <f>SUMIFS('Offtake Raw'!S:S,'Offtake Raw'!$C:$C,Hair!$D44,'Offtake Raw'!$D:$D,Hair!$E44)/1000000</f>
        <v>2.5426059999999997</v>
      </c>
      <c r="R44" s="24">
        <f>SUMIFS('Offtake Raw'!T:T,'Offtake Raw'!$C:$C,Hair!$D44,'Offtake Raw'!$D:$D,Hair!$E44)/1000000</f>
        <v>1.80857924</v>
      </c>
      <c r="S44" s="24">
        <f>SUMIFS('Offtake Raw'!U:U,'Offtake Raw'!$C:$C,Hair!$D44,'Offtake Raw'!$D:$D,Hair!$E44)/1000000</f>
        <v>1.6827179399999999</v>
      </c>
      <c r="T44" s="24">
        <f>SUMIFS('Offtake Raw'!V:V,'Offtake Raw'!$C:$C,Hair!$D44,'Offtake Raw'!$D:$D,Hair!$E44)/1000000</f>
        <v>1.0675819600000001</v>
      </c>
      <c r="U44" s="24">
        <f>SUMIFS('Offtake Raw'!W:W,'Offtake Raw'!$C:$C,Hair!$D44,'Offtake Raw'!$D:$D,Hair!$E44)/1000000</f>
        <v>0.92694414000000003</v>
      </c>
      <c r="V44" s="24">
        <f>SUMIFS('Offtake Raw'!X:X,'Offtake Raw'!$C:$C,Hair!$D44,'Offtake Raw'!$D:$D,Hair!$E44)/1000000</f>
        <v>2.6327140400000011</v>
      </c>
      <c r="W44" s="25">
        <f>SUMIFS('Offtake Raw'!Y:Y,'Offtake Raw'!$C:$C,Hair!$D44,'Offtake Raw'!$D:$D,Hair!$E44)/1000000</f>
        <v>2.2234406600000001</v>
      </c>
      <c r="X44" s="24">
        <f>SUMIFS('Offtake Raw'!Z:Z,'Offtake Raw'!$C:$C,Hair!$D44,'Offtake Raw'!$D:$D,Hair!$E44)/1000000</f>
        <v>1.6460399600000002</v>
      </c>
      <c r="Y44" s="24">
        <f>SUMIFS('Offtake Raw'!AA:AA,'Offtake Raw'!$C:$C,Hair!$D44,'Offtake Raw'!$D:$D,Hair!$E44)/1000000</f>
        <v>1.09580112</v>
      </c>
      <c r="Z44" s="24">
        <f>SUMIFS('Offtake Raw'!AB:AB,'Offtake Raw'!$C:$C,Hair!$D44,'Offtake Raw'!$D:$D,Hair!$E44)/1000000</f>
        <v>1.1960413600000002</v>
      </c>
      <c r="AA44" s="24">
        <f>SUMIFS('Offtake Raw'!AC:AC,'Offtake Raw'!$C:$C,Hair!$D44,'Offtake Raw'!$D:$D,Hair!$E44)/1000000</f>
        <v>2.5048954000000005</v>
      </c>
      <c r="AB44" s="24">
        <f>SUMIFS('Offtake Raw'!AD:AD,'Offtake Raw'!$C:$C,Hair!$D44,'Offtake Raw'!$D:$D,Hair!$E44)/1000000</f>
        <v>1.6097883799999999</v>
      </c>
      <c r="AC44" s="24">
        <f>SUMIFS('Offtake Raw'!AE:AE,'Offtake Raw'!$C:$C,Hair!$D44,'Offtake Raw'!$D:$D,Hair!$E44)/1000000</f>
        <v>1.26811626</v>
      </c>
      <c r="AD44" s="24">
        <f>SUMIFS('Offtake Raw'!AF:AF,'Offtake Raw'!$C:$C,Hair!$D44,'Offtake Raw'!$D:$D,Hair!$E44)/1000000</f>
        <v>2.1078208400000005</v>
      </c>
      <c r="AE44" s="24">
        <f>SUMIFS('Offtake Raw'!AG:AG,'Offtake Raw'!$C:$C,Hair!$D44,'Offtake Raw'!$D:$D,Hair!$E44)/1000000</f>
        <v>1.6926693199999998</v>
      </c>
      <c r="AF44" s="24">
        <f>SUMIFS('Offtake Raw'!AH:AH,'Offtake Raw'!$C:$C,Hair!$D44,'Offtake Raw'!$D:$D,Hair!$E44)/1000000</f>
        <v>0.93942824000000003</v>
      </c>
      <c r="AG44" s="24">
        <f>SUMIFS('Offtake Raw'!AI:AI,'Offtake Raw'!$C:$C,Hair!$D44,'Offtake Raw'!$D:$D,Hair!$E44)/1000000</f>
        <v>1.4116141188888887</v>
      </c>
      <c r="AH44" s="24">
        <f t="shared" si="59"/>
        <v>2.0225</v>
      </c>
      <c r="AI44" s="25">
        <f t="shared" si="59"/>
        <v>2.0225</v>
      </c>
      <c r="AJ44" s="238"/>
      <c r="AK44" s="282">
        <v>1.5</v>
      </c>
      <c r="AL44" s="263">
        <f t="shared" si="48"/>
        <v>-8.8385881111111342E-2</v>
      </c>
      <c r="AM44" s="238"/>
      <c r="AN44" s="154">
        <f t="shared" si="49"/>
        <v>152.28685936661606</v>
      </c>
      <c r="AO44" s="147">
        <f t="shared" si="50"/>
        <v>102.56374619394084</v>
      </c>
      <c r="AP44" s="147">
        <f t="shared" si="51"/>
        <v>112.13508355830393</v>
      </c>
      <c r="AQ44" s="147">
        <f t="shared" si="52"/>
        <v>107.75438654578736</v>
      </c>
      <c r="AR44" s="147">
        <f t="shared" si="53"/>
        <v>90.541178249678495</v>
      </c>
      <c r="AS44" s="147">
        <f t="shared" si="54"/>
        <v>103.97113532603981</v>
      </c>
      <c r="AT44" s="147">
        <f t="shared" si="55"/>
        <v>94.354502142468775</v>
      </c>
      <c r="AU44" s="147">
        <f t="shared" si="56"/>
        <v>97.094096069923381</v>
      </c>
      <c r="AV44" s="147">
        <f t="shared" si="57"/>
        <v>98.593639810562522</v>
      </c>
      <c r="AW44" s="155">
        <f t="shared" si="58"/>
        <v>97.871778669480577</v>
      </c>
    </row>
    <row r="45" spans="1:49">
      <c r="A45" s="271" t="s">
        <v>77</v>
      </c>
      <c r="B45" s="22" t="s">
        <v>83</v>
      </c>
      <c r="C45" s="22" t="s">
        <v>4</v>
      </c>
      <c r="D45" s="22" t="s">
        <v>85</v>
      </c>
      <c r="E45" s="23" t="s">
        <v>13</v>
      </c>
      <c r="F45" s="24">
        <f>SUMIFS('Offtake Raw'!H:H,'Offtake Raw'!$C:$C,Hair!$D45,'Offtake Raw'!$D:$D,Hair!$E45)/1000000</f>
        <v>0.40029899999999996</v>
      </c>
      <c r="G45" s="24">
        <f>SUMIFS('Offtake Raw'!I:I,'Offtake Raw'!$C:$C,Hair!$D45,'Offtake Raw'!$D:$D,Hair!$E45)/1000000</f>
        <v>0.57720859999999996</v>
      </c>
      <c r="H45" s="24">
        <f>SUMIFS('Offtake Raw'!J:J,'Offtake Raw'!$C:$C,Hair!$D45,'Offtake Raw'!$D:$D,Hair!$E45)/1000000</f>
        <v>0.39630399999999999</v>
      </c>
      <c r="I45" s="24">
        <f>SUMIFS('Offtake Raw'!K:K,'Offtake Raw'!$C:$C,Hair!$D45,'Offtake Raw'!$D:$D,Hair!$E45)/1000000</f>
        <v>0.433058</v>
      </c>
      <c r="J45" s="24">
        <f>SUMIFS('Offtake Raw'!L:L,'Offtake Raw'!$C:$C,Hair!$D45,'Offtake Raw'!$D:$D,Hair!$E45)/1000000</f>
        <v>0.42799766666666661</v>
      </c>
      <c r="K45" s="25">
        <f>SUMIFS('Offtake Raw'!M:M,'Offtake Raw'!$C:$C,Hair!$D45,'Offtake Raw'!$D:$D,Hair!$E45)/1000000</f>
        <v>0.36594199999999999</v>
      </c>
      <c r="L45" s="24">
        <f>SUMIFS('Offtake Raw'!N:N,'Offtake Raw'!$C:$C,Hair!$D45,'Offtake Raw'!$D:$D,Hair!$E45)/1000000</f>
        <v>0.33957500000000002</v>
      </c>
      <c r="M45" s="24">
        <f>SUMIFS('Offtake Raw'!O:O,'Offtake Raw'!$C:$C,Hair!$D45,'Offtake Raw'!$D:$D,Hair!$E45)/1000000</f>
        <v>0.39497233333333331</v>
      </c>
      <c r="N45" s="24">
        <f>SUMIFS('Offtake Raw'!P:P,'Offtake Raw'!$C:$C,Hair!$D45,'Offtake Raw'!$D:$D,Hair!$E45)/1000000</f>
        <v>0.35315800000000003</v>
      </c>
      <c r="O45" s="24">
        <f>SUMIFS('Offtake Raw'!Q:Q,'Offtake Raw'!$C:$C,Hair!$D45,'Offtake Raw'!$D:$D,Hair!$E45)/1000000</f>
        <v>0.34303733333333331</v>
      </c>
      <c r="P45" s="24">
        <f>SUMIFS('Offtake Raw'!R:R,'Offtake Raw'!$C:$C,Hair!$D45,'Offtake Raw'!$D:$D,Hair!$E45)/1000000</f>
        <v>0.57101866666666667</v>
      </c>
      <c r="Q45" s="24">
        <f>SUMIFS('Offtake Raw'!S:S,'Offtake Raw'!$C:$C,Hair!$D45,'Offtake Raw'!$D:$D,Hair!$E45)/1000000</f>
        <v>0.43279166666666663</v>
      </c>
      <c r="R45" s="24">
        <f>SUMIFS('Offtake Raw'!T:T,'Offtake Raw'!$C:$C,Hair!$D45,'Offtake Raw'!$D:$D,Hair!$E45)/1000000</f>
        <v>0.45303300000000002</v>
      </c>
      <c r="S45" s="24">
        <f>SUMIFS('Offtake Raw'!U:U,'Offtake Raw'!$C:$C,Hair!$D45,'Offtake Raw'!$D:$D,Hair!$E45)/1000000</f>
        <v>0.48312866666666665</v>
      </c>
      <c r="T45" s="24">
        <f>SUMIFS('Offtake Raw'!V:V,'Offtake Raw'!$C:$C,Hair!$D45,'Offtake Raw'!$D:$D,Hair!$E45)/1000000</f>
        <v>0.310811</v>
      </c>
      <c r="U45" s="24">
        <f>SUMIFS('Offtake Raw'!W:W,'Offtake Raw'!$C:$C,Hair!$D45,'Offtake Raw'!$D:$D,Hair!$E45)/1000000</f>
        <v>0.29882599999999998</v>
      </c>
      <c r="V45" s="24">
        <f>SUMIFS('Offtake Raw'!X:X,'Offtake Raw'!$C:$C,Hair!$D45,'Offtake Raw'!$D:$D,Hair!$E45)/1000000</f>
        <v>0.39443966666666663</v>
      </c>
      <c r="W45" s="25">
        <f>SUMIFS('Offtake Raw'!Y:Y,'Offtake Raw'!$C:$C,Hair!$D45,'Offtake Raw'!$D:$D,Hair!$E45)/1000000</f>
        <v>0.30708233333333329</v>
      </c>
      <c r="X45" s="24">
        <f>SUMIFS('Offtake Raw'!Z:Z,'Offtake Raw'!$C:$C,Hair!$D45,'Offtake Raw'!$D:$D,Hair!$E45)/1000000</f>
        <v>0.33398199999999995</v>
      </c>
      <c r="Y45" s="24">
        <f>SUMIFS('Offtake Raw'!AA:AA,'Offtake Raw'!$C:$C,Hair!$D45,'Offtake Raw'!$D:$D,Hair!$E45)/1000000</f>
        <v>0.27219266666666664</v>
      </c>
      <c r="Z45" s="24">
        <f>SUMIFS('Offtake Raw'!AB:AB,'Offtake Raw'!$C:$C,Hair!$D45,'Offtake Raw'!$D:$D,Hair!$E45)/1000000</f>
        <v>0.35129366666666662</v>
      </c>
      <c r="AA45" s="24">
        <f>SUMIFS('Offtake Raw'!AC:AC,'Offtake Raw'!$C:$C,Hair!$D45,'Offtake Raw'!$D:$D,Hair!$E45)/1000000</f>
        <v>0.49005333333333334</v>
      </c>
      <c r="AB45" s="24">
        <f>SUMIFS('Offtake Raw'!AD:AD,'Offtake Raw'!$C:$C,Hair!$D45,'Offtake Raw'!$D:$D,Hair!$E45)/1000000</f>
        <v>0.56862166666666658</v>
      </c>
      <c r="AC45" s="24">
        <f>SUMIFS('Offtake Raw'!AE:AE,'Offtake Raw'!$C:$C,Hair!$D45,'Offtake Raw'!$D:$D,Hair!$E45)/1000000</f>
        <v>0.57394833333333328</v>
      </c>
      <c r="AD45" s="24">
        <f>SUMIFS('Offtake Raw'!AF:AF,'Offtake Raw'!$C:$C,Hair!$D45,'Offtake Raw'!$D:$D,Hair!$E45)/1000000</f>
        <v>0.33744433333333329</v>
      </c>
      <c r="AE45" s="24">
        <f>SUMIFS('Offtake Raw'!AG:AG,'Offtake Raw'!$C:$C,Hair!$D45,'Offtake Raw'!$D:$D,Hair!$E45)/1000000</f>
        <v>0.42240466666666665</v>
      </c>
      <c r="AF45" s="24">
        <f>SUMIFS('Offtake Raw'!AH:AH,'Offtake Raw'!$C:$C,Hair!$D45,'Offtake Raw'!$D:$D,Hair!$E45)/1000000</f>
        <v>0.32306233333333334</v>
      </c>
      <c r="AG45" s="24">
        <f>SUMIFS('Offtake Raw'!AI:AI,'Offtake Raw'!$C:$C,Hair!$D45,'Offtake Raw'!$D:$D,Hair!$E45)/1000000</f>
        <v>0.4312528518518518</v>
      </c>
      <c r="AH45" s="24">
        <f t="shared" si="59"/>
        <v>0.35</v>
      </c>
      <c r="AI45" s="25">
        <f t="shared" si="59"/>
        <v>0.35</v>
      </c>
      <c r="AJ45" s="238"/>
      <c r="AK45" s="282">
        <v>0.35</v>
      </c>
      <c r="AL45" s="263">
        <f t="shared" si="48"/>
        <v>8.1252851851851826E-2</v>
      </c>
      <c r="AM45" s="238"/>
      <c r="AN45" s="154">
        <f t="shared" si="49"/>
        <v>144.31570608041196</v>
      </c>
      <c r="AO45" s="147">
        <f t="shared" si="50"/>
        <v>103.11289543139659</v>
      </c>
      <c r="AP45" s="147">
        <f t="shared" si="51"/>
        <v>97.953518646144403</v>
      </c>
      <c r="AQ45" s="147">
        <f t="shared" si="52"/>
        <v>88.026444662095969</v>
      </c>
      <c r="AR45" s="147">
        <f t="shared" si="53"/>
        <v>121.21811350603124</v>
      </c>
      <c r="AS45" s="147">
        <f t="shared" si="54"/>
        <v>86.84322938914994</v>
      </c>
      <c r="AT45" s="147">
        <f t="shared" si="55"/>
        <v>113.08593128109936</v>
      </c>
      <c r="AU45" s="147">
        <f t="shared" si="56"/>
        <v>106.38879772453775</v>
      </c>
      <c r="AV45" s="147">
        <f t="shared" si="57"/>
        <v>98.524621698484154</v>
      </c>
      <c r="AW45" s="155">
        <f t="shared" si="58"/>
        <v>102.61395744307463</v>
      </c>
    </row>
    <row r="46" spans="1:49">
      <c r="A46" s="271" t="s">
        <v>77</v>
      </c>
      <c r="B46" s="22" t="s">
        <v>83</v>
      </c>
      <c r="C46" s="22" t="s">
        <v>4</v>
      </c>
      <c r="D46" s="22" t="s">
        <v>85</v>
      </c>
      <c r="E46" s="23" t="s">
        <v>86</v>
      </c>
      <c r="F46" s="24">
        <f>SUMIFS('Offtake Raw'!H:H,'Offtake Raw'!$C:$C,Hair!$D46,'Offtake Raw'!$D:$D,Hair!$E46)/1000000</f>
        <v>0.12015885333333334</v>
      </c>
      <c r="G46" s="24">
        <f>SUMIFS('Offtake Raw'!I:I,'Offtake Raw'!$C:$C,Hair!$D46,'Offtake Raw'!$D:$D,Hair!$E46)/1000000</f>
        <v>0.11864932</v>
      </c>
      <c r="H46" s="24">
        <f>SUMIFS('Offtake Raw'!J:J,'Offtake Raw'!$C:$C,Hair!$D46,'Offtake Raw'!$D:$D,Hair!$E46)/1000000</f>
        <v>3.3209733333333338E-2</v>
      </c>
      <c r="I46" s="24">
        <f>SUMIFS('Offtake Raw'!K:K,'Offtake Raw'!$C:$C,Hair!$D46,'Offtake Raw'!$D:$D,Hair!$E46)/1000000</f>
        <v>7.7137153333333333E-2</v>
      </c>
      <c r="J46" s="24">
        <f>SUMIFS('Offtake Raw'!L:L,'Offtake Raw'!$C:$C,Hair!$D46,'Offtake Raw'!$D:$D,Hair!$E46)/1000000</f>
        <v>9.5855366666666664E-2</v>
      </c>
      <c r="K46" s="25">
        <f>SUMIFS('Offtake Raw'!M:M,'Offtake Raw'!$C:$C,Hair!$D46,'Offtake Raw'!$D:$D,Hair!$E46)/1000000</f>
        <v>9.2232486666666683E-2</v>
      </c>
      <c r="L46" s="24">
        <f>SUMIFS('Offtake Raw'!N:N,'Offtake Raw'!$C:$C,Hair!$D46,'Offtake Raw'!$D:$D,Hair!$E46)/1000000</f>
        <v>9.6157273333333348E-2</v>
      </c>
      <c r="M46" s="24">
        <f>SUMIFS('Offtake Raw'!O:O,'Offtake Raw'!$C:$C,Hair!$D46,'Offtake Raw'!$D:$D,Hair!$E46)/1000000</f>
        <v>0.10581828666666668</v>
      </c>
      <c r="N46" s="24">
        <f>SUMIFS('Offtake Raw'!P:P,'Offtake Raw'!$C:$C,Hair!$D46,'Offtake Raw'!$D:$D,Hair!$E46)/1000000</f>
        <v>9.7666806666666675E-2</v>
      </c>
      <c r="O46" s="24">
        <f>SUMIFS('Offtake Raw'!Q:Q,'Offtake Raw'!$C:$C,Hair!$D46,'Offtake Raw'!$D:$D,Hair!$E46)/1000000</f>
        <v>9.4345833333333337E-2</v>
      </c>
      <c r="P46" s="24">
        <f>SUMIFS('Offtake Raw'!R:R,'Offtake Raw'!$C:$C,Hair!$D46,'Offtake Raw'!$D:$D,Hair!$E46)/1000000</f>
        <v>0.28016380666666663</v>
      </c>
      <c r="Q46" s="24">
        <f>SUMIFS('Offtake Raw'!S:S,'Offtake Raw'!$C:$C,Hair!$D46,'Offtake Raw'!$D:$D,Hair!$E46)/1000000</f>
        <v>0.54028919333333336</v>
      </c>
      <c r="R46" s="24">
        <f>SUMIFS('Offtake Raw'!T:T,'Offtake Raw'!$C:$C,Hair!$D46,'Offtake Raw'!$D:$D,Hair!$E46)/1000000</f>
        <v>0.53909874666666668</v>
      </c>
      <c r="S46" s="24">
        <f>SUMIFS('Offtake Raw'!U:U,'Offtake Raw'!$C:$C,Hair!$D46,'Offtake Raw'!$D:$D,Hair!$E46)/1000000</f>
        <v>0.3299264666666667</v>
      </c>
      <c r="T46" s="24">
        <f>SUMIFS('Offtake Raw'!V:V,'Offtake Raw'!$C:$C,Hair!$D46,'Offtake Raw'!$D:$D,Hair!$E46)/1000000</f>
        <v>0.27094755333333337</v>
      </c>
      <c r="U46" s="24">
        <f>SUMIFS('Offtake Raw'!W:W,'Offtake Raw'!$C:$C,Hair!$D46,'Offtake Raw'!$D:$D,Hair!$E46)/1000000</f>
        <v>0.29565101333333332</v>
      </c>
      <c r="V46" s="24">
        <f>SUMIFS('Offtake Raw'!X:X,'Offtake Raw'!$C:$C,Hair!$D46,'Offtake Raw'!$D:$D,Hair!$E46)/1000000</f>
        <v>0.40627502000000004</v>
      </c>
      <c r="W46" s="25">
        <f>SUMIFS('Offtake Raw'!Y:Y,'Offtake Raw'!$C:$C,Hair!$D46,'Offtake Raw'!$D:$D,Hair!$E46)/1000000</f>
        <v>0.27471980000000001</v>
      </c>
      <c r="X46" s="24">
        <f>SUMIFS('Offtake Raw'!Z:Z,'Offtake Raw'!$C:$C,Hair!$D46,'Offtake Raw'!$D:$D,Hair!$E46)/1000000</f>
        <v>0.30011949333333332</v>
      </c>
      <c r="Y46" s="24">
        <f>SUMIFS('Offtake Raw'!AA:AA,'Offtake Raw'!$C:$C,Hair!$D46,'Offtake Raw'!$D:$D,Hair!$E46)/1000000</f>
        <v>0.2652507466666667</v>
      </c>
      <c r="Z46" s="24">
        <f>SUMIFS('Offtake Raw'!AB:AB,'Offtake Raw'!$C:$C,Hair!$D46,'Offtake Raw'!$D:$D,Hair!$E46)/1000000</f>
        <v>0.28246886666666671</v>
      </c>
      <c r="AA46" s="24">
        <f>SUMIFS('Offtake Raw'!AC:AC,'Offtake Raw'!$C:$C,Hair!$D46,'Offtake Raw'!$D:$D,Hair!$E46)/1000000</f>
        <v>0.30633566000000001</v>
      </c>
      <c r="AB46" s="24">
        <f>SUMIFS('Offtake Raw'!AD:AD,'Offtake Raw'!$C:$C,Hair!$D46,'Offtake Raw'!$D:$D,Hair!$E46)/1000000</f>
        <v>0.30677089333333329</v>
      </c>
      <c r="AC46" s="24">
        <f>SUMIFS('Offtake Raw'!AE:AE,'Offtake Raw'!$C:$C,Hair!$D46,'Offtake Raw'!$D:$D,Hair!$E46)/1000000</f>
        <v>0.25179788000000003</v>
      </c>
      <c r="AD46" s="24">
        <f>SUMIFS('Offtake Raw'!AF:AF,'Offtake Raw'!$C:$C,Hair!$D46,'Offtake Raw'!$D:$D,Hair!$E46)/1000000</f>
        <v>0.15683251333333334</v>
      </c>
      <c r="AE46" s="24">
        <f>SUMIFS('Offtake Raw'!AG:AG,'Offtake Raw'!$C:$C,Hair!$D46,'Offtake Raw'!$D:$D,Hair!$E46)/1000000</f>
        <v>0.19534072666666666</v>
      </c>
      <c r="AF46" s="24">
        <f>SUMIFS('Offtake Raw'!AH:AH,'Offtake Raw'!$C:$C,Hair!$D46,'Offtake Raw'!$D:$D,Hair!$E46)/1000000</f>
        <v>0.14580560666666667</v>
      </c>
      <c r="AG46" s="24">
        <f>SUMIFS('Offtake Raw'!AI:AI,'Offtake Raw'!$C:$C,Hair!$D46,'Offtake Raw'!$D:$D,Hair!$E46)/1000000</f>
        <v>0.20706771185185188</v>
      </c>
      <c r="AH46" s="24">
        <f t="shared" si="59"/>
        <v>0.3</v>
      </c>
      <c r="AI46" s="25">
        <f t="shared" si="59"/>
        <v>0.3</v>
      </c>
      <c r="AJ46" s="238"/>
      <c r="AK46" s="282">
        <v>0.3</v>
      </c>
      <c r="AL46" s="263">
        <f t="shared" si="48"/>
        <v>-9.2932288148148107E-2</v>
      </c>
      <c r="AM46" s="238"/>
      <c r="AN46" s="154">
        <f t="shared" si="49"/>
        <v>70.037883353503773</v>
      </c>
      <c r="AO46" s="147">
        <f t="shared" si="50"/>
        <v>91.23512505412296</v>
      </c>
      <c r="AP46" s="147">
        <f t="shared" si="51"/>
        <v>49.11081638105204</v>
      </c>
      <c r="AQ46" s="147">
        <f t="shared" si="52"/>
        <v>282.95034380429735</v>
      </c>
      <c r="AR46" s="147">
        <f t="shared" si="53"/>
        <v>94.545860993482535</v>
      </c>
      <c r="AS46" s="147">
        <f t="shared" si="54"/>
        <v>43.683398518613728</v>
      </c>
      <c r="AT46" s="147">
        <f t="shared" si="55"/>
        <v>82.636682030096381</v>
      </c>
      <c r="AU46" s="147">
        <f t="shared" si="56"/>
        <v>141.03140934283195</v>
      </c>
      <c r="AV46" s="147">
        <f t="shared" si="57"/>
        <v>61.657143073320739</v>
      </c>
      <c r="AW46" s="155">
        <f t="shared" si="58"/>
        <v>90.595494518546857</v>
      </c>
    </row>
    <row r="47" spans="1:49">
      <c r="A47" s="271" t="s">
        <v>77</v>
      </c>
      <c r="B47" s="22" t="s">
        <v>83</v>
      </c>
      <c r="C47" s="22" t="s">
        <v>4</v>
      </c>
      <c r="D47" s="22" t="s">
        <v>85</v>
      </c>
      <c r="E47" s="23" t="s">
        <v>8</v>
      </c>
      <c r="F47" s="24">
        <f>SUMIFS('Offtake Raw'!H:H,'Offtake Raw'!$C:$C,Hair!$D47,'Offtake Raw'!$D:$D,Hair!$E47)/1000000</f>
        <v>0.51713249999999999</v>
      </c>
      <c r="G47" s="24">
        <f>SUMIFS('Offtake Raw'!I:I,'Offtake Raw'!$C:$C,Hair!$D47,'Offtake Raw'!$D:$D,Hair!$E47)/1000000</f>
        <v>0.7084625</v>
      </c>
      <c r="H47" s="24">
        <f>SUMIFS('Offtake Raw'!J:J,'Offtake Raw'!$C:$C,Hair!$D47,'Offtake Raw'!$D:$D,Hair!$E47)/1000000</f>
        <v>0.45937250000000002</v>
      </c>
      <c r="I47" s="24">
        <f>SUMIFS('Offtake Raw'!K:K,'Offtake Raw'!$C:$C,Hair!$D47,'Offtake Raw'!$D:$D,Hair!$E47)/1000000</f>
        <v>0.49872149999999998</v>
      </c>
      <c r="J47" s="24">
        <f>SUMIFS('Offtake Raw'!L:L,'Offtake Raw'!$C:$C,Hair!$D47,'Offtake Raw'!$D:$D,Hair!$E47)/1000000</f>
        <v>0.63463800000000004</v>
      </c>
      <c r="K47" s="25">
        <f>SUMIFS('Offtake Raw'!M:M,'Offtake Raw'!$C:$C,Hair!$D47,'Offtake Raw'!$D:$D,Hair!$E47)/1000000</f>
        <v>0.49330649999999998</v>
      </c>
      <c r="L47" s="24">
        <f>SUMIFS('Offtake Raw'!N:N,'Offtake Raw'!$C:$C,Hair!$D47,'Offtake Raw'!$D:$D,Hair!$E47)/1000000</f>
        <v>0.480491</v>
      </c>
      <c r="M47" s="24">
        <f>SUMIFS('Offtake Raw'!O:O,'Offtake Raw'!$C:$C,Hair!$D47,'Offtake Raw'!$D:$D,Hair!$E47)/1000000</f>
        <v>0.57200450000000003</v>
      </c>
      <c r="N47" s="24">
        <f>SUMIFS('Offtake Raw'!P:P,'Offtake Raw'!$C:$C,Hair!$D47,'Offtake Raw'!$D:$D,Hair!$E47)/1000000</f>
        <v>0.51659100000000002</v>
      </c>
      <c r="O47" s="24">
        <f>SUMIFS('Offtake Raw'!Q:Q,'Offtake Raw'!$C:$C,Hair!$D47,'Offtake Raw'!$D:$D,Hair!$E47)/1000000</f>
        <v>0.56875549999999997</v>
      </c>
      <c r="P47" s="24">
        <f>SUMIFS('Offtake Raw'!R:R,'Offtake Raw'!$C:$C,Hair!$D47,'Offtake Raw'!$D:$D,Hair!$E47)/1000000</f>
        <v>0.61694899999999997</v>
      </c>
      <c r="Q47" s="24">
        <f>SUMIFS('Offtake Raw'!S:S,'Offtake Raw'!$C:$C,Hair!$D47,'Offtake Raw'!$D:$D,Hair!$E47)/1000000</f>
        <v>0.52742100000000003</v>
      </c>
      <c r="R47" s="24">
        <f>SUMIFS('Offtake Raw'!T:T,'Offtake Raw'!$C:$C,Hair!$D47,'Offtake Raw'!$D:$D,Hair!$E47)/1000000</f>
        <v>0.66256311199999995</v>
      </c>
      <c r="S47" s="24">
        <f>SUMIFS('Offtake Raw'!U:U,'Offtake Raw'!$C:$C,Hair!$D47,'Offtake Raw'!$D:$D,Hair!$E47)/1000000</f>
        <v>0.54915299200000001</v>
      </c>
      <c r="T47" s="24">
        <f>SUMIFS('Offtake Raw'!V:V,'Offtake Raw'!$C:$C,Hair!$D47,'Offtake Raw'!$D:$D,Hair!$E47)/1000000</f>
        <v>0.457255156</v>
      </c>
      <c r="U47" s="24">
        <f>SUMIFS('Offtake Raw'!W:W,'Offtake Raw'!$C:$C,Hair!$D47,'Offtake Raw'!$D:$D,Hair!$E47)/1000000</f>
        <v>0.75361480400000003</v>
      </c>
      <c r="V47" s="24">
        <f>SUMIFS('Offtake Raw'!X:X,'Offtake Raw'!$C:$C,Hair!$D47,'Offtake Raw'!$D:$D,Hair!$E47)/1000000</f>
        <v>0.80298639599999999</v>
      </c>
      <c r="W47" s="25">
        <f>SUMIFS('Offtake Raw'!Y:Y,'Offtake Raw'!$C:$C,Hair!$D47,'Offtake Raw'!$D:$D,Hair!$E47)/1000000</f>
        <v>0.62270761600000002</v>
      </c>
      <c r="X47" s="24">
        <f>SUMIFS('Offtake Raw'!Z:Z,'Offtake Raw'!$C:$C,Hair!$D47,'Offtake Raw'!$D:$D,Hair!$E47)/1000000</f>
        <v>0.85998169200000008</v>
      </c>
      <c r="Y47" s="24">
        <f>SUMIFS('Offtake Raw'!AA:AA,'Offtake Raw'!$C:$C,Hair!$D47,'Offtake Raw'!$D:$D,Hair!$E47)/1000000</f>
        <v>0.73491456000000011</v>
      </c>
      <c r="Z47" s="24">
        <f>SUMIFS('Offtake Raw'!AB:AB,'Offtake Raw'!$C:$C,Hair!$D47,'Offtake Raw'!$D:$D,Hair!$E47)/1000000</f>
        <v>0.60555113399999994</v>
      </c>
      <c r="AA47" s="24">
        <f>SUMIFS('Offtake Raw'!AC:AC,'Offtake Raw'!$C:$C,Hair!$D47,'Offtake Raw'!$D:$D,Hair!$E47)/1000000</f>
        <v>0.8791590720000001</v>
      </c>
      <c r="AB47" s="24">
        <f>SUMIFS('Offtake Raw'!AD:AD,'Offtake Raw'!$C:$C,Hair!$D47,'Offtake Raw'!$D:$D,Hair!$E47)/1000000</f>
        <v>0.87297262799999986</v>
      </c>
      <c r="AC47" s="24">
        <f>SUMIFS('Offtake Raw'!AE:AE,'Offtake Raw'!$C:$C,Hair!$D47,'Offtake Raw'!$D:$D,Hair!$E47)/1000000</f>
        <v>1.0509321119999999</v>
      </c>
      <c r="AD47" s="24">
        <f>SUMIFS('Offtake Raw'!AF:AF,'Offtake Raw'!$C:$C,Hair!$D47,'Offtake Raw'!$D:$D,Hair!$E47)/1000000</f>
        <v>0.62895247199999993</v>
      </c>
      <c r="AE47" s="24">
        <f>SUMIFS('Offtake Raw'!AG:AG,'Offtake Raw'!$C:$C,Hair!$D47,'Offtake Raw'!$D:$D,Hair!$E47)/1000000</f>
        <v>0.65641673600000006</v>
      </c>
      <c r="AF47" s="24">
        <f>SUMIFS('Offtake Raw'!AH:AH,'Offtake Raw'!$C:$C,Hair!$D47,'Offtake Raw'!$D:$D,Hair!$E47)/1000000</f>
        <v>0.58826270799999991</v>
      </c>
      <c r="AG47" s="24">
        <f>SUMIFS('Offtake Raw'!AI:AI,'Offtake Raw'!$C:$C,Hair!$D47,'Offtake Raw'!$D:$D,Hair!$E47)/1000000</f>
        <v>0.92921445044444428</v>
      </c>
      <c r="AH47" s="24">
        <f t="shared" si="59"/>
        <v>0.75</v>
      </c>
      <c r="AI47" s="25">
        <f t="shared" si="59"/>
        <v>0.95</v>
      </c>
      <c r="AJ47" s="238"/>
      <c r="AK47" s="282">
        <v>0.75</v>
      </c>
      <c r="AL47" s="263">
        <f t="shared" si="48"/>
        <v>0.17921445044444428</v>
      </c>
      <c r="AM47" s="238"/>
      <c r="AN47" s="154">
        <f t="shared" si="49"/>
        <v>123.30098155084069</v>
      </c>
      <c r="AO47" s="147">
        <f t="shared" si="50"/>
        <v>136.83845557490088</v>
      </c>
      <c r="AP47" s="147">
        <f t="shared" si="51"/>
        <v>115.69646206156186</v>
      </c>
      <c r="AQ47" s="147">
        <f t="shared" si="52"/>
        <v>140.23748123510083</v>
      </c>
      <c r="AR47" s="147">
        <f t="shared" si="53"/>
        <v>163.6227942436208</v>
      </c>
      <c r="AS47" s="147">
        <f t="shared" si="54"/>
        <v>112.26268306142072</v>
      </c>
      <c r="AT47" s="147">
        <f t="shared" si="55"/>
        <v>120.6444185946176</v>
      </c>
      <c r="AU47" s="147">
        <f t="shared" si="56"/>
        <v>152.44326685783855</v>
      </c>
      <c r="AV47" s="147">
        <f t="shared" si="57"/>
        <v>117.00932046309937</v>
      </c>
      <c r="AW47" s="155">
        <f t="shared" si="58"/>
        <v>133.31979705077009</v>
      </c>
    </row>
    <row r="48" spans="1:49">
      <c r="A48" s="271" t="s">
        <v>77</v>
      </c>
      <c r="B48" s="22" t="s">
        <v>83</v>
      </c>
      <c r="C48" s="22" t="s">
        <v>4</v>
      </c>
      <c r="D48" s="22" t="s">
        <v>85</v>
      </c>
      <c r="E48" s="23" t="s">
        <v>14</v>
      </c>
      <c r="F48" s="24">
        <f t="shared" ref="F48:K48" si="60">F46+F45+F44+F43</f>
        <v>3.1125466691666666</v>
      </c>
      <c r="G48" s="24">
        <f t="shared" si="60"/>
        <v>2.7521080808333331</v>
      </c>
      <c r="H48" s="24">
        <f t="shared" si="60"/>
        <v>2.6682559308333333</v>
      </c>
      <c r="I48" s="24">
        <f t="shared" si="60"/>
        <v>2.6045306591666666</v>
      </c>
      <c r="J48" s="24">
        <f t="shared" si="60"/>
        <v>2.024993948333333</v>
      </c>
      <c r="K48" s="25">
        <f t="shared" si="60"/>
        <v>2.1149147741666665</v>
      </c>
      <c r="L48" s="24">
        <f>L46+L45+L44+L43</f>
        <v>2.4554706083333335</v>
      </c>
      <c r="M48" s="24">
        <f t="shared" ref="M48:AB48" si="61">M46+M45+M44+M43</f>
        <v>1.9865816591666665</v>
      </c>
      <c r="N48" s="24">
        <f t="shared" si="61"/>
        <v>1.7804213525000001</v>
      </c>
      <c r="O48" s="24">
        <f t="shared" si="61"/>
        <v>2.0646411883333333</v>
      </c>
      <c r="P48" s="24">
        <f t="shared" si="61"/>
        <v>3.8172090241666674</v>
      </c>
      <c r="Q48" s="24">
        <f t="shared" si="61"/>
        <v>4.4139250399999996</v>
      </c>
      <c r="R48" s="24">
        <f t="shared" si="61"/>
        <v>3.1759931141666669</v>
      </c>
      <c r="S48" s="24">
        <f t="shared" si="61"/>
        <v>2.8200463699999996</v>
      </c>
      <c r="T48" s="24">
        <f t="shared" si="61"/>
        <v>1.9157397875000002</v>
      </c>
      <c r="U48" s="24">
        <f t="shared" si="61"/>
        <v>2.2017610525000002</v>
      </c>
      <c r="V48" s="24">
        <f t="shared" si="61"/>
        <v>4.2954776475000012</v>
      </c>
      <c r="W48" s="25">
        <f t="shared" si="61"/>
        <v>3.5324119225000001</v>
      </c>
      <c r="X48" s="24">
        <f t="shared" si="61"/>
        <v>3.4556852458333336</v>
      </c>
      <c r="Y48" s="24">
        <f t="shared" si="61"/>
        <v>2.1858379558333332</v>
      </c>
      <c r="Z48" s="24">
        <f t="shared" si="61"/>
        <v>2.3731994808333337</v>
      </c>
      <c r="AA48" s="24">
        <f t="shared" si="61"/>
        <v>4.534757363333334</v>
      </c>
      <c r="AB48" s="24">
        <f t="shared" si="61"/>
        <v>4.1597268949999995</v>
      </c>
      <c r="AC48" s="24">
        <f t="shared" ref="AC48:AD48" si="62">AC46+AC45+AC44+AC43</f>
        <v>4.4348420133333333</v>
      </c>
      <c r="AD48" s="24">
        <f t="shared" si="62"/>
        <v>3.4245078308333339</v>
      </c>
      <c r="AE48" s="24">
        <f t="shared" ref="AE48" si="63">AE46+AE45+AE44+AE43</f>
        <v>4.3114666066666665</v>
      </c>
      <c r="AF48" s="24">
        <f t="shared" ref="AF48" si="64">AF46+AF45+AF44+AF43</f>
        <v>2.8537697881249997</v>
      </c>
      <c r="AG48" s="24">
        <f t="shared" ref="AG48" si="65">AG46+AG45+AG44+AG43</f>
        <v>3.9074416894907409</v>
      </c>
      <c r="AH48" s="24">
        <f t="shared" si="59"/>
        <v>4.4098199999999999</v>
      </c>
      <c r="AI48" s="25">
        <f t="shared" si="59"/>
        <v>3.9524999999999997</v>
      </c>
      <c r="AJ48" s="238"/>
      <c r="AK48" s="283">
        <v>4.8157199999999998</v>
      </c>
      <c r="AL48" s="264">
        <f t="shared" si="48"/>
        <v>-0.90827831050925889</v>
      </c>
      <c r="AM48" s="238"/>
      <c r="AN48" s="82">
        <f t="shared" si="49"/>
        <v>177.46892584252126</v>
      </c>
      <c r="AO48" s="83">
        <f t="shared" si="50"/>
        <v>133.82966726750524</v>
      </c>
      <c r="AP48" s="83">
        <f t="shared" si="51"/>
        <v>143.34432306038465</v>
      </c>
      <c r="AQ48" s="83">
        <f t="shared" si="52"/>
        <v>128.80283906289986</v>
      </c>
      <c r="AR48" s="83">
        <f t="shared" si="53"/>
        <v>127.52149255082689</v>
      </c>
      <c r="AS48" s="83">
        <f t="shared" si="54"/>
        <v>133.8478218616203</v>
      </c>
      <c r="AT48" s="83">
        <f t="shared" si="55"/>
        <v>122.33488634155798</v>
      </c>
      <c r="AU48" s="83">
        <f t="shared" si="56"/>
        <v>128.00417960385508</v>
      </c>
      <c r="AV48" s="83">
        <f t="shared" si="57"/>
        <v>127.4118398029585</v>
      </c>
      <c r="AW48" s="84">
        <f t="shared" si="58"/>
        <v>127.69577791841652</v>
      </c>
    </row>
    <row r="49" spans="1:49" outlineLevel="1">
      <c r="A49" s="303" t="s">
        <v>77</v>
      </c>
      <c r="B49" s="122" t="s">
        <v>715</v>
      </c>
      <c r="C49" s="122" t="s">
        <v>4</v>
      </c>
      <c r="D49" s="122" t="s">
        <v>85</v>
      </c>
      <c r="E49" s="123" t="s">
        <v>83</v>
      </c>
      <c r="F49" s="124"/>
      <c r="G49" s="124"/>
      <c r="H49" s="124"/>
      <c r="I49" s="124"/>
      <c r="J49" s="124"/>
      <c r="K49" s="125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5"/>
      <c r="X49" s="124"/>
      <c r="Y49" s="124"/>
      <c r="Z49" s="124"/>
      <c r="AA49" s="124"/>
      <c r="AB49" s="124"/>
      <c r="AC49" s="124"/>
      <c r="AD49" s="124">
        <f t="shared" ref="AD49:AI49" si="66">AD55+AD54</f>
        <v>3.08</v>
      </c>
      <c r="AE49" s="124">
        <f t="shared" si="66"/>
        <v>3.08</v>
      </c>
      <c r="AF49" s="124">
        <f t="shared" si="66"/>
        <v>3.13</v>
      </c>
      <c r="AG49" s="124">
        <f t="shared" si="66"/>
        <v>3.13</v>
      </c>
      <c r="AH49" s="124">
        <f t="shared" si="66"/>
        <v>3.13</v>
      </c>
      <c r="AI49" s="125">
        <f t="shared" si="66"/>
        <v>3.13</v>
      </c>
      <c r="AJ49" s="239"/>
      <c r="AK49" s="244"/>
      <c r="AL49" s="238"/>
      <c r="AM49" s="238"/>
    </row>
    <row r="50" spans="1:49" outlineLevel="1">
      <c r="A50" s="311" t="s">
        <v>77</v>
      </c>
      <c r="B50" s="22" t="s">
        <v>716</v>
      </c>
      <c r="C50" s="22" t="s">
        <v>4</v>
      </c>
      <c r="D50" s="22" t="s">
        <v>85</v>
      </c>
      <c r="E50" s="23" t="s">
        <v>11</v>
      </c>
      <c r="F50" s="75"/>
      <c r="G50" s="75"/>
      <c r="H50" s="75"/>
      <c r="I50" s="75"/>
      <c r="J50" s="75"/>
      <c r="K50" s="94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94"/>
      <c r="X50" s="75"/>
      <c r="Y50" s="75"/>
      <c r="Z50" s="75"/>
      <c r="AA50" s="75"/>
      <c r="AB50" s="75"/>
      <c r="AC50" s="75"/>
      <c r="AD50" s="75">
        <v>0.53</v>
      </c>
      <c r="AE50" s="75">
        <v>0.53</v>
      </c>
      <c r="AF50" s="75">
        <v>0.53</v>
      </c>
      <c r="AG50" s="75">
        <v>0.53</v>
      </c>
      <c r="AH50" s="75">
        <v>0.53</v>
      </c>
      <c r="AI50" s="94">
        <v>0.53</v>
      </c>
      <c r="AJ50" s="238"/>
      <c r="AK50" s="244"/>
      <c r="AL50" s="238"/>
      <c r="AM50" s="238"/>
    </row>
    <row r="51" spans="1:49" outlineLevel="1">
      <c r="A51" s="311" t="s">
        <v>77</v>
      </c>
      <c r="B51" s="22" t="s">
        <v>715</v>
      </c>
      <c r="C51" s="22" t="s">
        <v>4</v>
      </c>
      <c r="D51" s="22" t="s">
        <v>85</v>
      </c>
      <c r="E51" s="23" t="s">
        <v>12</v>
      </c>
      <c r="F51" s="24"/>
      <c r="G51" s="24"/>
      <c r="H51" s="24"/>
      <c r="I51" s="24"/>
      <c r="J51" s="24"/>
      <c r="K51" s="25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5"/>
      <c r="X51" s="24"/>
      <c r="Y51" s="24"/>
      <c r="Z51" s="24"/>
      <c r="AA51" s="24"/>
      <c r="AB51" s="24"/>
      <c r="AC51" s="24"/>
      <c r="AD51" s="24">
        <v>1.1499999999999999</v>
      </c>
      <c r="AE51" s="24">
        <v>1.1499999999999999</v>
      </c>
      <c r="AF51" s="24">
        <v>1.2</v>
      </c>
      <c r="AG51" s="24">
        <v>1.2</v>
      </c>
      <c r="AH51" s="24">
        <v>1.2</v>
      </c>
      <c r="AI51" s="25">
        <v>1.2</v>
      </c>
      <c r="AJ51" s="238"/>
      <c r="AK51" s="244"/>
      <c r="AL51" s="238"/>
      <c r="AM51" s="238"/>
    </row>
    <row r="52" spans="1:49" outlineLevel="1">
      <c r="A52" s="311" t="s">
        <v>77</v>
      </c>
      <c r="B52" s="22" t="s">
        <v>715</v>
      </c>
      <c r="C52" s="22" t="s">
        <v>4</v>
      </c>
      <c r="D52" s="22" t="s">
        <v>85</v>
      </c>
      <c r="E52" s="23" t="s">
        <v>13</v>
      </c>
      <c r="F52" s="24"/>
      <c r="G52" s="24"/>
      <c r="H52" s="24"/>
      <c r="I52" s="24"/>
      <c r="J52" s="24"/>
      <c r="K52" s="25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5"/>
      <c r="X52" s="24"/>
      <c r="Y52" s="24"/>
      <c r="Z52" s="24"/>
      <c r="AA52" s="24"/>
      <c r="AB52" s="24"/>
      <c r="AC52" s="24"/>
      <c r="AD52" s="24">
        <v>0.35</v>
      </c>
      <c r="AE52" s="24">
        <v>0.35</v>
      </c>
      <c r="AF52" s="24">
        <v>0.35</v>
      </c>
      <c r="AG52" s="24">
        <v>0.35</v>
      </c>
      <c r="AH52" s="24">
        <v>0.35</v>
      </c>
      <c r="AI52" s="25">
        <v>0.35</v>
      </c>
      <c r="AJ52" s="238"/>
      <c r="AK52" s="244"/>
      <c r="AL52" s="238"/>
      <c r="AM52" s="238"/>
    </row>
    <row r="53" spans="1:49" outlineLevel="1">
      <c r="A53" s="311" t="s">
        <v>77</v>
      </c>
      <c r="B53" s="22" t="s">
        <v>715</v>
      </c>
      <c r="C53" s="22" t="s">
        <v>4</v>
      </c>
      <c r="D53" s="22" t="s">
        <v>85</v>
      </c>
      <c r="E53" s="23" t="s">
        <v>86</v>
      </c>
      <c r="F53" s="24"/>
      <c r="G53" s="24"/>
      <c r="H53" s="24"/>
      <c r="I53" s="24"/>
      <c r="J53" s="24"/>
      <c r="K53" s="25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5"/>
      <c r="X53" s="24"/>
      <c r="Y53" s="24"/>
      <c r="Z53" s="24"/>
      <c r="AA53" s="24"/>
      <c r="AB53" s="24"/>
      <c r="AC53" s="24"/>
      <c r="AD53" s="24">
        <v>0.3</v>
      </c>
      <c r="AE53" s="24">
        <v>0.3</v>
      </c>
      <c r="AF53" s="24">
        <v>0.3</v>
      </c>
      <c r="AG53" s="24">
        <v>0.3</v>
      </c>
      <c r="AH53" s="24">
        <v>0.3</v>
      </c>
      <c r="AI53" s="25">
        <v>0.3</v>
      </c>
      <c r="AJ53" s="238"/>
      <c r="AK53" s="244"/>
      <c r="AL53" s="238"/>
      <c r="AM53" s="238"/>
    </row>
    <row r="54" spans="1:49" outlineLevel="1">
      <c r="A54" s="311" t="s">
        <v>77</v>
      </c>
      <c r="B54" s="22" t="s">
        <v>715</v>
      </c>
      <c r="C54" s="22" t="s">
        <v>4</v>
      </c>
      <c r="D54" s="22" t="s">
        <v>85</v>
      </c>
      <c r="E54" s="23" t="s">
        <v>8</v>
      </c>
      <c r="F54" s="24"/>
      <c r="G54" s="24"/>
      <c r="H54" s="24"/>
      <c r="I54" s="24"/>
      <c r="J54" s="24"/>
      <c r="K54" s="25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5"/>
      <c r="X54" s="24"/>
      <c r="Y54" s="24"/>
      <c r="Z54" s="24"/>
      <c r="AA54" s="24"/>
      <c r="AB54" s="24"/>
      <c r="AC54" s="24"/>
      <c r="AD54" s="24">
        <v>0.75</v>
      </c>
      <c r="AE54" s="24">
        <v>0.75</v>
      </c>
      <c r="AF54" s="24">
        <v>0.75</v>
      </c>
      <c r="AG54" s="24">
        <v>0.75</v>
      </c>
      <c r="AH54" s="24">
        <v>0.75</v>
      </c>
      <c r="AI54" s="25">
        <v>0.75</v>
      </c>
      <c r="AJ54" s="238"/>
      <c r="AK54" s="244"/>
      <c r="AL54" s="238"/>
      <c r="AM54" s="238"/>
    </row>
    <row r="55" spans="1:49" outlineLevel="1">
      <c r="A55" s="311" t="s">
        <v>77</v>
      </c>
      <c r="B55" s="22" t="s">
        <v>715</v>
      </c>
      <c r="C55" s="22" t="s">
        <v>4</v>
      </c>
      <c r="D55" s="22" t="s">
        <v>85</v>
      </c>
      <c r="E55" s="23" t="s">
        <v>14</v>
      </c>
      <c r="F55" s="24"/>
      <c r="G55" s="24"/>
      <c r="H55" s="24"/>
      <c r="I55" s="24"/>
      <c r="J55" s="24"/>
      <c r="K55" s="25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5"/>
      <c r="X55" s="24"/>
      <c r="Y55" s="24"/>
      <c r="Z55" s="24"/>
      <c r="AA55" s="24"/>
      <c r="AB55" s="24"/>
      <c r="AC55" s="24"/>
      <c r="AD55" s="24">
        <f>AD53+AD52+AD51+AD50</f>
        <v>2.33</v>
      </c>
      <c r="AE55" s="24">
        <f t="shared" ref="AE55:AI55" si="67">AE53+AE52+AE51+AE50</f>
        <v>2.33</v>
      </c>
      <c r="AF55" s="24">
        <f t="shared" si="67"/>
        <v>2.38</v>
      </c>
      <c r="AG55" s="24">
        <f t="shared" si="67"/>
        <v>2.38</v>
      </c>
      <c r="AH55" s="24">
        <f t="shared" si="67"/>
        <v>2.38</v>
      </c>
      <c r="AI55" s="25">
        <f t="shared" si="67"/>
        <v>2.38</v>
      </c>
      <c r="AJ55" s="238"/>
      <c r="AK55" s="244"/>
      <c r="AL55" s="238"/>
      <c r="AM55" s="238"/>
    </row>
    <row r="56" spans="1:49" outlineLevel="1">
      <c r="A56" s="303" t="s">
        <v>77</v>
      </c>
      <c r="B56" s="122" t="s">
        <v>717</v>
      </c>
      <c r="C56" s="122" t="s">
        <v>4</v>
      </c>
      <c r="D56" s="122" t="s">
        <v>85</v>
      </c>
      <c r="E56" s="123" t="s">
        <v>83</v>
      </c>
      <c r="F56" s="124"/>
      <c r="G56" s="124"/>
      <c r="H56" s="124"/>
      <c r="I56" s="124"/>
      <c r="J56" s="124"/>
      <c r="K56" s="125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5"/>
      <c r="X56" s="124"/>
      <c r="Y56" s="124"/>
      <c r="Z56" s="124"/>
      <c r="AA56" s="124"/>
      <c r="AB56" s="124"/>
      <c r="AC56" s="124"/>
      <c r="AD56" s="124">
        <f t="shared" ref="AD56:AI56" si="68">AD62+AD61</f>
        <v>1.1709999999999998</v>
      </c>
      <c r="AE56" s="124">
        <f t="shared" si="68"/>
        <v>1.4209999999999998</v>
      </c>
      <c r="AF56" s="124">
        <f t="shared" si="68"/>
        <v>1.0784</v>
      </c>
      <c r="AG56" s="124">
        <f t="shared" si="68"/>
        <v>2.4357199999999999</v>
      </c>
      <c r="AH56" s="124">
        <f t="shared" si="68"/>
        <v>2.02982</v>
      </c>
      <c r="AI56" s="125">
        <f t="shared" si="68"/>
        <v>1.7725</v>
      </c>
      <c r="AK56" s="244"/>
    </row>
    <row r="57" spans="1:49" outlineLevel="1">
      <c r="A57" s="311" t="s">
        <v>77</v>
      </c>
      <c r="B57" s="22" t="s">
        <v>718</v>
      </c>
      <c r="C57" s="22" t="s">
        <v>4</v>
      </c>
      <c r="D57" s="22" t="s">
        <v>85</v>
      </c>
      <c r="E57" s="23" t="s">
        <v>11</v>
      </c>
      <c r="F57" s="75"/>
      <c r="G57" s="75"/>
      <c r="H57" s="75"/>
      <c r="I57" s="75"/>
      <c r="J57" s="75"/>
      <c r="K57" s="94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94"/>
      <c r="X57" s="75"/>
      <c r="Y57" s="75"/>
      <c r="Z57" s="75"/>
      <c r="AA57" s="75"/>
      <c r="AB57" s="75"/>
      <c r="AC57" s="75"/>
      <c r="AD57" s="75"/>
      <c r="AE57" s="75">
        <f>0.25+N("Jasmine SH+Con")</f>
        <v>0.25</v>
      </c>
      <c r="AF57" s="75">
        <f>((4000+4000)*182.1*1/1000000*0.5-0.1+N("P4 3MM 470g SH $199後壁櫃"))*1+0.25+N("Jasmine SH+Con")</f>
        <v>0.87840000000000007</v>
      </c>
      <c r="AG57" s="75">
        <f>((4000+4000)*182.1*1/1000000*0.5-0.1+N("P4 3MM 470g SH $199後壁櫃"))*1+0.25+N("Jasmine SH+Con")+((7000+6000)*147.28*0.5+N("P5 3MM 180ml CN $199後壁櫃"))/1000000+0.3</f>
        <v>2.1357200000000001</v>
      </c>
      <c r="AH57" s="75">
        <f>0.25+N("Jasmine SH+Con")+((7000+6000)*147.28*0.5/1000000+N("P5 3MM 180ml CN $199後壁櫃"))</f>
        <v>1.2073199999999999</v>
      </c>
      <c r="AI57" s="94">
        <f>0.25+N("Jasmine SH+Con")+0.5</f>
        <v>0.75</v>
      </c>
      <c r="AK57" s="245"/>
    </row>
    <row r="58" spans="1:49" outlineLevel="1">
      <c r="A58" s="271" t="s">
        <v>77</v>
      </c>
      <c r="B58" s="22" t="s">
        <v>717</v>
      </c>
      <c r="C58" s="22" t="s">
        <v>4</v>
      </c>
      <c r="D58" s="22" t="s">
        <v>85</v>
      </c>
      <c r="E58" s="23" t="s">
        <v>12</v>
      </c>
      <c r="F58" s="24"/>
      <c r="G58" s="24"/>
      <c r="H58" s="24"/>
      <c r="I58" s="24"/>
      <c r="J58" s="24"/>
      <c r="K58" s="25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5"/>
      <c r="X58" s="24"/>
      <c r="Y58" s="24"/>
      <c r="Z58" s="24"/>
      <c r="AA58" s="24"/>
      <c r="AB58" s="24"/>
      <c r="AC58" s="24"/>
      <c r="AD58" s="24">
        <f>(6000-1700)*235*50%/1000000+N("2檔WB後壁櫃$249")+(5000)*266.3*50%/1000000+N("MYL SH後壁櫃$199")</f>
        <v>1.1709999999999998</v>
      </c>
      <c r="AE58" s="24">
        <f>(6000-1700)*235*50%/1000000+N("2檔WB後壁櫃$249")+(5000)*266.3*50%/1000000+N("MYL SH後壁櫃$199")</f>
        <v>1.1709999999999998</v>
      </c>
      <c r="AF58" s="24"/>
      <c r="AG58" s="24">
        <v>0.3</v>
      </c>
      <c r="AH58" s="24">
        <f>((4000+3000)*235*0.5/1000000+N("P6 WB後壁櫃$249"))*1</f>
        <v>0.82250000000000001</v>
      </c>
      <c r="AI58" s="25">
        <f>((4000+3000)*235*0.5/1000000+N("P6 WB後壁櫃$249"))*1</f>
        <v>0.82250000000000001</v>
      </c>
      <c r="AK58" s="245"/>
    </row>
    <row r="59" spans="1:49" outlineLevel="1">
      <c r="A59" s="271" t="s">
        <v>77</v>
      </c>
      <c r="B59" s="22" t="s">
        <v>717</v>
      </c>
      <c r="C59" s="22" t="s">
        <v>4</v>
      </c>
      <c r="D59" s="22" t="s">
        <v>85</v>
      </c>
      <c r="E59" s="23" t="s">
        <v>13</v>
      </c>
      <c r="F59" s="24"/>
      <c r="G59" s="24"/>
      <c r="H59" s="24"/>
      <c r="I59" s="24"/>
      <c r="J59" s="24"/>
      <c r="K59" s="25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5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5"/>
      <c r="AK59" s="245"/>
    </row>
    <row r="60" spans="1:49" outlineLevel="1">
      <c r="A60" s="271" t="s">
        <v>77</v>
      </c>
      <c r="B60" s="22" t="s">
        <v>717</v>
      </c>
      <c r="C60" s="22" t="s">
        <v>4</v>
      </c>
      <c r="D60" s="22" t="s">
        <v>85</v>
      </c>
      <c r="E60" s="23" t="s">
        <v>86</v>
      </c>
      <c r="F60" s="24"/>
      <c r="G60" s="24"/>
      <c r="H60" s="24"/>
      <c r="I60" s="24"/>
      <c r="J60" s="24"/>
      <c r="K60" s="25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5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5"/>
      <c r="AK60" s="245"/>
    </row>
    <row r="61" spans="1:49" outlineLevel="1">
      <c r="A61" s="271" t="s">
        <v>77</v>
      </c>
      <c r="B61" s="22" t="s">
        <v>717</v>
      </c>
      <c r="C61" s="22" t="s">
        <v>4</v>
      </c>
      <c r="D61" s="22" t="s">
        <v>85</v>
      </c>
      <c r="E61" s="23" t="s">
        <v>8</v>
      </c>
      <c r="F61" s="24"/>
      <c r="G61" s="24"/>
      <c r="H61" s="24"/>
      <c r="I61" s="24"/>
      <c r="J61" s="24"/>
      <c r="K61" s="25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5"/>
      <c r="X61" s="24"/>
      <c r="Y61" s="24"/>
      <c r="Z61" s="24"/>
      <c r="AA61" s="24"/>
      <c r="AB61" s="24"/>
      <c r="AC61" s="24"/>
      <c r="AD61" s="24"/>
      <c r="AE61" s="24"/>
      <c r="AF61" s="24">
        <v>0.2</v>
      </c>
      <c r="AG61" s="24"/>
      <c r="AH61" s="24"/>
      <c r="AI61" s="25">
        <v>0.2</v>
      </c>
      <c r="AK61" s="245"/>
    </row>
    <row r="62" spans="1:49" outlineLevel="1">
      <c r="A62" s="271" t="s">
        <v>77</v>
      </c>
      <c r="B62" s="22" t="s">
        <v>717</v>
      </c>
      <c r="C62" s="22" t="s">
        <v>4</v>
      </c>
      <c r="D62" s="22" t="s">
        <v>85</v>
      </c>
      <c r="E62" s="23" t="s">
        <v>14</v>
      </c>
      <c r="F62" s="24"/>
      <c r="G62" s="24"/>
      <c r="H62" s="24"/>
      <c r="I62" s="24"/>
      <c r="J62" s="24"/>
      <c r="K62" s="25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5"/>
      <c r="X62" s="24"/>
      <c r="Y62" s="24"/>
      <c r="Z62" s="24"/>
      <c r="AA62" s="24"/>
      <c r="AB62" s="24"/>
      <c r="AC62" s="24"/>
      <c r="AD62" s="24">
        <f>AD60+AD59+AD58+AD57</f>
        <v>1.1709999999999998</v>
      </c>
      <c r="AE62" s="24">
        <f t="shared" ref="AE62:AI62" si="69">AE60+AE59+AE58+AE57</f>
        <v>1.4209999999999998</v>
      </c>
      <c r="AF62" s="24">
        <f t="shared" si="69"/>
        <v>0.87840000000000007</v>
      </c>
      <c r="AG62" s="24">
        <f t="shared" si="69"/>
        <v>2.4357199999999999</v>
      </c>
      <c r="AH62" s="24">
        <f t="shared" si="69"/>
        <v>2.02982</v>
      </c>
      <c r="AI62" s="25">
        <f t="shared" si="69"/>
        <v>1.5725</v>
      </c>
      <c r="AK62" s="245"/>
    </row>
    <row r="63" spans="1:49">
      <c r="A63" s="305" t="s">
        <v>709</v>
      </c>
      <c r="B63" s="126" t="s">
        <v>710</v>
      </c>
      <c r="C63" s="126" t="s">
        <v>4</v>
      </c>
      <c r="D63" s="126" t="s">
        <v>85</v>
      </c>
      <c r="E63" s="127" t="s">
        <v>83</v>
      </c>
      <c r="F63" s="130">
        <f>F68+F69</f>
        <v>2.9362765630000003</v>
      </c>
      <c r="G63" s="130">
        <f t="shared" ref="G63:AD63" si="70">G68+G69</f>
        <v>2.0315400999999995</v>
      </c>
      <c r="H63" s="130">
        <f t="shared" si="70"/>
        <v>4.2586452190000026</v>
      </c>
      <c r="I63" s="130">
        <f t="shared" si="70"/>
        <v>2.4166023019999989</v>
      </c>
      <c r="J63" s="130">
        <f t="shared" si="70"/>
        <v>2.4171461899999986</v>
      </c>
      <c r="K63" s="131">
        <f t="shared" si="70"/>
        <v>3.1386365280000006</v>
      </c>
      <c r="L63" s="130">
        <f t="shared" si="70"/>
        <v>2.5800147120000014</v>
      </c>
      <c r="M63" s="130">
        <f t="shared" si="70"/>
        <v>2.7070763200000005</v>
      </c>
      <c r="N63" s="130">
        <f t="shared" si="70"/>
        <v>3.5474115779999993</v>
      </c>
      <c r="O63" s="130">
        <f t="shared" si="70"/>
        <v>3.5993808929999997</v>
      </c>
      <c r="P63" s="130">
        <f t="shared" si="70"/>
        <v>8.5198763399999997</v>
      </c>
      <c r="Q63" s="130">
        <f t="shared" si="70"/>
        <v>3.907896899999999</v>
      </c>
      <c r="R63" s="130">
        <f t="shared" si="70"/>
        <v>3.8625197370000004</v>
      </c>
      <c r="S63" s="130">
        <f t="shared" si="70"/>
        <v>3.1591852309999995</v>
      </c>
      <c r="T63" s="130">
        <f t="shared" si="70"/>
        <v>1.6310404939999996</v>
      </c>
      <c r="U63" s="130">
        <f t="shared" si="70"/>
        <v>4.6016323790000007</v>
      </c>
      <c r="V63" s="130">
        <f t="shared" si="70"/>
        <v>4.2832915679999992</v>
      </c>
      <c r="W63" s="131">
        <f t="shared" si="70"/>
        <v>4.4522066179999982</v>
      </c>
      <c r="X63" s="130">
        <f t="shared" si="70"/>
        <v>2.7817377129999987</v>
      </c>
      <c r="Y63" s="130">
        <f t="shared" si="70"/>
        <v>3.8760405089999979</v>
      </c>
      <c r="Z63" s="130">
        <f t="shared" si="70"/>
        <v>7.8077229390000022</v>
      </c>
      <c r="AA63" s="130">
        <f t="shared" si="70"/>
        <v>5.9805235680000024</v>
      </c>
      <c r="AB63" s="130">
        <f t="shared" si="70"/>
        <v>3.9292988840000032</v>
      </c>
      <c r="AC63" s="130">
        <f t="shared" si="70"/>
        <v>4.4663050233000003</v>
      </c>
      <c r="AD63" s="130">
        <f t="shared" si="70"/>
        <v>3.6591559824999988</v>
      </c>
      <c r="AE63" s="130">
        <f t="shared" ref="AE63:AI63" si="71">AE68+AE69</f>
        <v>8.57</v>
      </c>
      <c r="AF63" s="130">
        <f t="shared" si="71"/>
        <v>4.6100000000000003</v>
      </c>
      <c r="AG63" s="130">
        <f t="shared" si="71"/>
        <v>3.65</v>
      </c>
      <c r="AH63" s="130">
        <f t="shared" si="71"/>
        <v>9.2998199999999986</v>
      </c>
      <c r="AI63" s="131">
        <f t="shared" si="71"/>
        <v>4.4024999999999999</v>
      </c>
      <c r="AK63" s="281">
        <v>9.3957200000000007</v>
      </c>
      <c r="AL63" s="281">
        <f t="shared" ref="AL63:AL69" si="72">AG63-AK63</f>
        <v>-5.7457200000000004</v>
      </c>
      <c r="AN63" s="156">
        <f t="shared" ref="AN63:AN69" si="73">IFERROR(AG63/U63*100,"NA")</f>
        <v>79.319678309313275</v>
      </c>
      <c r="AO63" s="157">
        <f t="shared" ref="AO63:AO69" si="74">IFERROR(SUM(X63:AG63)/SUM(L63:U63)*100,"NA")</f>
        <v>129.42265678263297</v>
      </c>
      <c r="AP63" s="157">
        <f t="shared" ref="AP63:AP69" si="75">IFERROR(SUM(AD63:AG63)/SUM(R63:U63)*100,"NA")</f>
        <v>154.58406443734032</v>
      </c>
      <c r="AQ63" s="157">
        <f t="shared" ref="AQ63:AQ69" si="76">IFERROR(SUM(X63:Z63)/SUM(L63:N63)*100,"NA")</f>
        <v>163.73871625354579</v>
      </c>
      <c r="AR63" s="157">
        <f t="shared" ref="AR63:AR69" si="77">IFERROR(SUM(AA63:AC63)/SUM(O63:Q63)*100,"NA")</f>
        <v>89.698566295681175</v>
      </c>
      <c r="AS63" s="157">
        <f t="shared" ref="AS63:AS69" si="78">IFERROR(SUM(AD63:AF63)/SUM(R63:T63)*100,"NA")</f>
        <v>194.6105551868134</v>
      </c>
      <c r="AT63" s="157">
        <f t="shared" ref="AT63:AT69" si="79">IFERROR(SUM(AG63:AI63)/SUM(U63:W63)*100,"NA")</f>
        <v>130.10534698923072</v>
      </c>
      <c r="AU63" s="157">
        <f t="shared" ref="AU63:AU69" si="80">IFERROR(SUM(X63:AC63)/SUM(L63:Q63)*100,"NA")</f>
        <v>116.00847415134797</v>
      </c>
      <c r="AV63" s="157">
        <f t="shared" ref="AV63:AV69" si="81">IFERROR(SUM(AD63:AI63)/SUM(R63:W63)*100,"NA")</f>
        <v>155.48735218206059</v>
      </c>
      <c r="AW63" s="158">
        <f t="shared" ref="AW63:AW69" si="82">IFERROR(SUM(X63:AI63)/SUM(L63:W63)*100,"NA")</f>
        <v>134.53797750489264</v>
      </c>
    </row>
    <row r="64" spans="1:49">
      <c r="A64" s="276" t="s">
        <v>709</v>
      </c>
      <c r="B64" s="92" t="s">
        <v>710</v>
      </c>
      <c r="C64" s="22" t="s">
        <v>4</v>
      </c>
      <c r="D64" s="22" t="s">
        <v>85</v>
      </c>
      <c r="E64" s="23" t="s">
        <v>11</v>
      </c>
      <c r="F64" s="75">
        <v>0.33110513199999964</v>
      </c>
      <c r="G64" s="75">
        <v>0.28455655199999991</v>
      </c>
      <c r="H64" s="75">
        <v>1.2161741280000014</v>
      </c>
      <c r="I64" s="75">
        <v>0.38741141699999931</v>
      </c>
      <c r="J64" s="75">
        <v>0.46987072799999952</v>
      </c>
      <c r="K64" s="94">
        <v>0.25330174800000005</v>
      </c>
      <c r="L64" s="75">
        <v>0.33137219999999978</v>
      </c>
      <c r="M64" s="75">
        <v>0.40575828499999944</v>
      </c>
      <c r="N64" s="75">
        <v>0.97555857599999873</v>
      </c>
      <c r="O64" s="75">
        <v>0.33670644</v>
      </c>
      <c r="P64" s="75">
        <v>0.85140352399999908</v>
      </c>
      <c r="Q64" s="75">
        <v>0.69421744799999918</v>
      </c>
      <c r="R64" s="75">
        <v>0.21209184000000006</v>
      </c>
      <c r="S64" s="75">
        <v>0.30385101799999997</v>
      </c>
      <c r="T64" s="75">
        <v>0.2253475800000001</v>
      </c>
      <c r="U64" s="75">
        <v>1.5849659400000002</v>
      </c>
      <c r="V64" s="75">
        <v>0.30068702999999997</v>
      </c>
      <c r="W64" s="94">
        <v>0.81995174599999932</v>
      </c>
      <c r="X64" s="75">
        <v>1.0326930859999988</v>
      </c>
      <c r="Y64" s="75">
        <v>0.41151708399999976</v>
      </c>
      <c r="Z64" s="75">
        <v>3.1197444720000025</v>
      </c>
      <c r="AA64" s="75">
        <v>1.6670534850000009</v>
      </c>
      <c r="AB64" s="75">
        <v>2.6999294590000025</v>
      </c>
      <c r="AC64" s="75">
        <v>1.6539511032000014</v>
      </c>
      <c r="AD64" s="75">
        <v>0.30291009540000002</v>
      </c>
      <c r="AE64" s="75">
        <v>5.46</v>
      </c>
      <c r="AF64" s="75">
        <v>1.81</v>
      </c>
      <c r="AG64" s="75">
        <v>1.85</v>
      </c>
      <c r="AH64" s="75">
        <f t="shared" ref="AH64:AI69" si="83">AH43+AH71+AH78</f>
        <v>3.7773200000000005</v>
      </c>
      <c r="AI64" s="94">
        <f t="shared" si="83"/>
        <v>1.28</v>
      </c>
      <c r="AK64" s="320">
        <v>5.9957200000000004</v>
      </c>
      <c r="AL64" s="262">
        <f t="shared" si="72"/>
        <v>-4.1457200000000007</v>
      </c>
      <c r="AN64" s="154">
        <f t="shared" si="73"/>
        <v>116.72175113113154</v>
      </c>
      <c r="AO64" s="147">
        <f t="shared" si="74"/>
        <v>337.89692331474049</v>
      </c>
      <c r="AP64" s="147">
        <f t="shared" si="75"/>
        <v>405.06756626289604</v>
      </c>
      <c r="AQ64" s="147">
        <f t="shared" si="76"/>
        <v>266.47888083872135</v>
      </c>
      <c r="AR64" s="147">
        <f t="shared" si="77"/>
        <v>319.866459406373</v>
      </c>
      <c r="AS64" s="147">
        <f t="shared" si="78"/>
        <v>1021.5847537210506</v>
      </c>
      <c r="AT64" s="147">
        <f t="shared" si="79"/>
        <v>255.29671644762178</v>
      </c>
      <c r="AU64" s="147">
        <f t="shared" si="80"/>
        <v>294.43227224956354</v>
      </c>
      <c r="AV64" s="147">
        <f t="shared" si="81"/>
        <v>420.09488100025914</v>
      </c>
      <c r="AW64" s="155">
        <f t="shared" si="82"/>
        <v>355.94196735579146</v>
      </c>
    </row>
    <row r="65" spans="1:49">
      <c r="A65" s="277" t="s">
        <v>709</v>
      </c>
      <c r="B65" s="22" t="s">
        <v>710</v>
      </c>
      <c r="C65" s="22" t="s">
        <v>4</v>
      </c>
      <c r="D65" s="22" t="s">
        <v>85</v>
      </c>
      <c r="E65" s="23" t="s">
        <v>12</v>
      </c>
      <c r="F65" s="24">
        <v>1.6108268000000006</v>
      </c>
      <c r="G65" s="24">
        <v>0.62114219999999998</v>
      </c>
      <c r="H65" s="24">
        <v>2.2846880000000014</v>
      </c>
      <c r="I65" s="24">
        <v>0.79118269999999968</v>
      </c>
      <c r="J65" s="24">
        <v>0.70592759999999966</v>
      </c>
      <c r="K65" s="25">
        <v>2.0142509000000004</v>
      </c>
      <c r="L65" s="24">
        <v>1.1843442000000015</v>
      </c>
      <c r="M65" s="24">
        <v>1.2708520000000019</v>
      </c>
      <c r="N65" s="24">
        <v>1.3077788000000008</v>
      </c>
      <c r="O65" s="24">
        <v>0.98226179999999996</v>
      </c>
      <c r="P65" s="24">
        <v>3.4960538000000003</v>
      </c>
      <c r="Q65" s="24">
        <v>1.2928385</v>
      </c>
      <c r="R65" s="24">
        <v>2.2795152000000005</v>
      </c>
      <c r="S65" s="24">
        <v>1.5797468999999993</v>
      </c>
      <c r="T65" s="24">
        <v>0.73078169999999965</v>
      </c>
      <c r="U65" s="24">
        <v>1.4384154000000007</v>
      </c>
      <c r="V65" s="24">
        <v>2.6090916499999999</v>
      </c>
      <c r="W65" s="25">
        <v>2.0496961499999991</v>
      </c>
      <c r="X65" s="24">
        <v>0.99437579999999992</v>
      </c>
      <c r="Y65" s="24">
        <v>2.9562885499999978</v>
      </c>
      <c r="Z65" s="24">
        <v>1.5393335499999994</v>
      </c>
      <c r="AA65" s="24">
        <v>2.0485296999999996</v>
      </c>
      <c r="AB65" s="24">
        <v>0.5318229000000001</v>
      </c>
      <c r="AC65" s="24">
        <v>0.69967020000000013</v>
      </c>
      <c r="AD65" s="24">
        <v>3.2083940499999986</v>
      </c>
      <c r="AE65" s="24">
        <v>1.44</v>
      </c>
      <c r="AF65" s="24">
        <v>1.21</v>
      </c>
      <c r="AG65" s="24">
        <v>0.83</v>
      </c>
      <c r="AH65" s="24">
        <f t="shared" si="83"/>
        <v>4.0225</v>
      </c>
      <c r="AI65" s="25">
        <f t="shared" si="83"/>
        <v>1.5225</v>
      </c>
      <c r="AK65" s="282">
        <v>1</v>
      </c>
      <c r="AL65" s="263">
        <f t="shared" si="72"/>
        <v>-0.17000000000000004</v>
      </c>
      <c r="AN65" s="154">
        <f t="shared" si="73"/>
        <v>57.702385555660726</v>
      </c>
      <c r="AO65" s="147">
        <f t="shared" si="74"/>
        <v>99.330615524925165</v>
      </c>
      <c r="AP65" s="147">
        <f t="shared" si="75"/>
        <v>110.94699040179286</v>
      </c>
      <c r="AQ65" s="147">
        <f t="shared" si="76"/>
        <v>145.8951467920991</v>
      </c>
      <c r="AR65" s="147">
        <f t="shared" si="77"/>
        <v>56.834781105567757</v>
      </c>
      <c r="AS65" s="147">
        <f t="shared" si="78"/>
        <v>127.63263936609928</v>
      </c>
      <c r="AT65" s="147">
        <f t="shared" si="79"/>
        <v>104.55613485212369</v>
      </c>
      <c r="AU65" s="147">
        <f t="shared" si="80"/>
        <v>91.985545905813169</v>
      </c>
      <c r="AV65" s="147">
        <f t="shared" si="81"/>
        <v>114.46721545782556</v>
      </c>
      <c r="AW65" s="155">
        <f t="shared" si="82"/>
        <v>103.86738590950786</v>
      </c>
    </row>
    <row r="66" spans="1:49">
      <c r="A66" s="277" t="s">
        <v>709</v>
      </c>
      <c r="B66" s="22" t="s">
        <v>710</v>
      </c>
      <c r="C66" s="22" t="s">
        <v>4</v>
      </c>
      <c r="D66" s="22" t="s">
        <v>85</v>
      </c>
      <c r="E66" s="23" t="s">
        <v>13</v>
      </c>
      <c r="F66" s="24">
        <v>0.30596326699999976</v>
      </c>
      <c r="G66" s="24">
        <v>0.5585003009999997</v>
      </c>
      <c r="H66" s="24">
        <v>0.32599754399999975</v>
      </c>
      <c r="I66" s="24">
        <v>0.43572078799999975</v>
      </c>
      <c r="J66" s="24">
        <v>0.42906246299999951</v>
      </c>
      <c r="K66" s="25">
        <v>0.33557957999999971</v>
      </c>
      <c r="L66" s="24">
        <v>0.43145945999999979</v>
      </c>
      <c r="M66" s="24">
        <v>0.37952452499999972</v>
      </c>
      <c r="N66" s="24">
        <v>0.43838411799999982</v>
      </c>
      <c r="O66" s="24">
        <v>0.40509249299999989</v>
      </c>
      <c r="P66" s="24">
        <v>0.53133433499999994</v>
      </c>
      <c r="Q66" s="24">
        <v>0.45542942999999997</v>
      </c>
      <c r="R66" s="24">
        <v>0.43385645699999981</v>
      </c>
      <c r="S66" s="24">
        <v>0.51615335399999973</v>
      </c>
      <c r="T66" s="24">
        <v>0.28790597299999993</v>
      </c>
      <c r="U66" s="24">
        <v>0.27565465500000003</v>
      </c>
      <c r="V66" s="24">
        <v>0.34330323699999998</v>
      </c>
      <c r="W66" s="25">
        <v>0.46235408799999977</v>
      </c>
      <c r="X66" s="24">
        <v>0.27379032400000008</v>
      </c>
      <c r="Y66" s="24">
        <v>0.29056930300000011</v>
      </c>
      <c r="Z66" s="24">
        <v>0.41681114499999983</v>
      </c>
      <c r="AA66" s="24">
        <v>0.74253640400000087</v>
      </c>
      <c r="AB66" s="24">
        <v>0.15340780799999995</v>
      </c>
      <c r="AC66" s="24">
        <v>0.88182856270000021</v>
      </c>
      <c r="AD66" s="24">
        <v>0.26979531700000003</v>
      </c>
      <c r="AE66" s="24">
        <v>0.64</v>
      </c>
      <c r="AF66" s="24">
        <v>0.3</v>
      </c>
      <c r="AG66" s="24">
        <v>0.38</v>
      </c>
      <c r="AH66" s="24">
        <f t="shared" si="83"/>
        <v>0.35</v>
      </c>
      <c r="AI66" s="25">
        <f t="shared" si="83"/>
        <v>0.35</v>
      </c>
      <c r="AK66" s="282">
        <v>0.35</v>
      </c>
      <c r="AL66" s="263">
        <f t="shared" si="72"/>
        <v>3.0000000000000027E-2</v>
      </c>
      <c r="AN66" s="154">
        <f t="shared" si="73"/>
        <v>137.85364879834879</v>
      </c>
      <c r="AO66" s="147">
        <f t="shared" si="74"/>
        <v>104.66795769793499</v>
      </c>
      <c r="AP66" s="147">
        <f t="shared" si="75"/>
        <v>105.03609716706424</v>
      </c>
      <c r="AQ66" s="147">
        <f t="shared" si="76"/>
        <v>78.533361756555138</v>
      </c>
      <c r="AR66" s="147">
        <f t="shared" si="77"/>
        <v>127.72675083952538</v>
      </c>
      <c r="AS66" s="147">
        <f t="shared" si="78"/>
        <v>97.728402257774306</v>
      </c>
      <c r="AT66" s="147">
        <f t="shared" si="79"/>
        <v>99.878667764320923</v>
      </c>
      <c r="AU66" s="147">
        <f t="shared" si="80"/>
        <v>104.45699303089238</v>
      </c>
      <c r="AV66" s="147">
        <f t="shared" si="81"/>
        <v>98.730937622562919</v>
      </c>
      <c r="AW66" s="155">
        <f t="shared" si="82"/>
        <v>101.77981233313491</v>
      </c>
    </row>
    <row r="67" spans="1:49">
      <c r="A67" s="277" t="s">
        <v>709</v>
      </c>
      <c r="B67" s="22" t="s">
        <v>710</v>
      </c>
      <c r="C67" s="22" t="s">
        <v>4</v>
      </c>
      <c r="D67" s="22" t="s">
        <v>85</v>
      </c>
      <c r="E67" s="23" t="s">
        <v>86</v>
      </c>
      <c r="F67" s="24">
        <v>8.8760364000000008E-2</v>
      </c>
      <c r="G67" s="24">
        <v>-1.50953E-4</v>
      </c>
      <c r="H67" s="24">
        <v>-1.50953E-4</v>
      </c>
      <c r="I67" s="24">
        <v>0.21873089699999995</v>
      </c>
      <c r="J67" s="24">
        <v>0.10310089900000002</v>
      </c>
      <c r="K67" s="25">
        <v>9.0571800000000022E-2</v>
      </c>
      <c r="L67" s="24">
        <v>0.10325185200000003</v>
      </c>
      <c r="M67" s="24">
        <v>0.10113851000000004</v>
      </c>
      <c r="N67" s="24">
        <v>0.124989084</v>
      </c>
      <c r="O67" s="24">
        <v>1.26234216</v>
      </c>
      <c r="P67" s="24">
        <v>2.9678196809999999</v>
      </c>
      <c r="Q67" s="24">
        <v>0.97806152200000018</v>
      </c>
      <c r="R67" s="24">
        <v>0.27642023999999998</v>
      </c>
      <c r="S67" s="24">
        <v>8.5543459000000016E-2</v>
      </c>
      <c r="T67" s="24">
        <v>8.0353890999999997E-2</v>
      </c>
      <c r="U67" s="24">
        <v>0.43655738399999994</v>
      </c>
      <c r="V67" s="24">
        <v>0.28330065100000001</v>
      </c>
      <c r="W67" s="25">
        <v>0.235897834</v>
      </c>
      <c r="X67" s="24">
        <v>0.11933700300000001</v>
      </c>
      <c r="Y67" s="24">
        <v>0.18716107199999998</v>
      </c>
      <c r="Z67" s="24">
        <v>0.24265213199999999</v>
      </c>
      <c r="AA67" s="24">
        <v>0.5283615989999999</v>
      </c>
      <c r="AB67" s="24">
        <v>0.114653407</v>
      </c>
      <c r="AC67" s="24">
        <v>0.2539424274</v>
      </c>
      <c r="AD67" s="24">
        <v>-0.2110773899</v>
      </c>
      <c r="AE67" s="24">
        <v>0.2</v>
      </c>
      <c r="AF67" s="24">
        <v>0.17</v>
      </c>
      <c r="AG67" s="24">
        <v>0.13</v>
      </c>
      <c r="AH67" s="24">
        <f t="shared" si="83"/>
        <v>0.3</v>
      </c>
      <c r="AI67" s="25">
        <f t="shared" si="83"/>
        <v>0.3</v>
      </c>
      <c r="AK67" s="282">
        <v>0.3</v>
      </c>
      <c r="AL67" s="263">
        <f t="shared" si="72"/>
        <v>-0.16999999999999998</v>
      </c>
      <c r="AN67" s="154">
        <f t="shared" si="73"/>
        <v>29.778444888244067</v>
      </c>
      <c r="AO67" s="147">
        <f t="shared" si="74"/>
        <v>27.040228442726612</v>
      </c>
      <c r="AP67" s="147">
        <f t="shared" si="75"/>
        <v>32.874142357818471</v>
      </c>
      <c r="AQ67" s="147">
        <f t="shared" si="76"/>
        <v>166.72267005998907</v>
      </c>
      <c r="AR67" s="147">
        <f t="shared" si="77"/>
        <v>17.221946350690718</v>
      </c>
      <c r="AS67" s="147">
        <f t="shared" si="78"/>
        <v>35.929525230954532</v>
      </c>
      <c r="AT67" s="147">
        <f t="shared" si="79"/>
        <v>76.379337410064082</v>
      </c>
      <c r="AU67" s="147">
        <f t="shared" si="80"/>
        <v>26.114325824338842</v>
      </c>
      <c r="AV67" s="147">
        <f t="shared" si="81"/>
        <v>63.581967340673195</v>
      </c>
      <c r="AW67" s="155">
        <f t="shared" si="82"/>
        <v>33.666944076865605</v>
      </c>
    </row>
    <row r="68" spans="1:49">
      <c r="A68" s="277" t="s">
        <v>709</v>
      </c>
      <c r="B68" s="22" t="s">
        <v>710</v>
      </c>
      <c r="C68" s="22" t="s">
        <v>4</v>
      </c>
      <c r="D68" s="22" t="s">
        <v>85</v>
      </c>
      <c r="E68" s="23" t="s">
        <v>8</v>
      </c>
      <c r="F68" s="24">
        <v>0.59962099999999996</v>
      </c>
      <c r="G68" s="24">
        <v>0.567492</v>
      </c>
      <c r="H68" s="24">
        <v>0.4319365</v>
      </c>
      <c r="I68" s="24">
        <v>0.58355650000000003</v>
      </c>
      <c r="J68" s="24">
        <v>0.7091845</v>
      </c>
      <c r="K68" s="25">
        <v>0.44493250000000001</v>
      </c>
      <c r="L68" s="24">
        <v>0.52958700000000003</v>
      </c>
      <c r="M68" s="24">
        <v>0.54980300000000004</v>
      </c>
      <c r="N68" s="24">
        <v>0.70070100000000002</v>
      </c>
      <c r="O68" s="24">
        <v>0.61297800000000002</v>
      </c>
      <c r="P68" s="24">
        <v>0.673265</v>
      </c>
      <c r="Q68" s="24">
        <v>0.48735000000000001</v>
      </c>
      <c r="R68" s="24">
        <v>0.660636</v>
      </c>
      <c r="S68" s="24">
        <v>0.67389049999999995</v>
      </c>
      <c r="T68" s="24">
        <v>0.30665134999999999</v>
      </c>
      <c r="U68" s="24">
        <v>0.866039</v>
      </c>
      <c r="V68" s="24">
        <v>0.74690900000000005</v>
      </c>
      <c r="W68" s="25">
        <v>0.88430680000000006</v>
      </c>
      <c r="X68" s="24">
        <v>0.36154150000000002</v>
      </c>
      <c r="Y68" s="24">
        <v>3.05045E-2</v>
      </c>
      <c r="Z68" s="24">
        <v>2.4891816400000009</v>
      </c>
      <c r="AA68" s="24">
        <v>0.99404238000000034</v>
      </c>
      <c r="AB68" s="24">
        <v>0.4294853100000004</v>
      </c>
      <c r="AC68" s="24">
        <v>0.9769127299999989</v>
      </c>
      <c r="AD68" s="24">
        <v>8.913391000000026E-2</v>
      </c>
      <c r="AE68" s="24">
        <v>0.83</v>
      </c>
      <c r="AF68" s="24">
        <v>1.1200000000000001</v>
      </c>
      <c r="AG68" s="24">
        <v>0.46</v>
      </c>
      <c r="AH68" s="24">
        <f t="shared" si="83"/>
        <v>0.85</v>
      </c>
      <c r="AI68" s="25">
        <f t="shared" si="83"/>
        <v>0.95</v>
      </c>
      <c r="AK68" s="282">
        <v>1.75</v>
      </c>
      <c r="AL68" s="263">
        <f t="shared" si="72"/>
        <v>-1.29</v>
      </c>
      <c r="AN68" s="154">
        <f t="shared" si="73"/>
        <v>53.115390877316152</v>
      </c>
      <c r="AO68" s="147">
        <f t="shared" si="74"/>
        <v>128.37698821619892</v>
      </c>
      <c r="AP68" s="147">
        <f t="shared" si="75"/>
        <v>99.677613047311823</v>
      </c>
      <c r="AQ68" s="147">
        <f t="shared" si="76"/>
        <v>161.85844656256342</v>
      </c>
      <c r="AR68" s="147">
        <f t="shared" si="77"/>
        <v>135.34336344358599</v>
      </c>
      <c r="AS68" s="147">
        <f t="shared" si="78"/>
        <v>124.24819832902327</v>
      </c>
      <c r="AT68" s="147">
        <f t="shared" si="79"/>
        <v>90.499375554308656</v>
      </c>
      <c r="AU68" s="147">
        <f t="shared" si="80"/>
        <v>148.62514674912006</v>
      </c>
      <c r="AV68" s="147">
        <f t="shared" si="81"/>
        <v>103.88314305417052</v>
      </c>
      <c r="AW68" s="155">
        <f t="shared" si="82"/>
        <v>124.55351895892011</v>
      </c>
    </row>
    <row r="69" spans="1:49">
      <c r="A69" s="278" t="s">
        <v>709</v>
      </c>
      <c r="B69" s="31" t="s">
        <v>710</v>
      </c>
      <c r="C69" s="31" t="s">
        <v>4</v>
      </c>
      <c r="D69" s="31" t="s">
        <v>85</v>
      </c>
      <c r="E69" s="119" t="s">
        <v>14</v>
      </c>
      <c r="F69" s="32">
        <f>F67+F66+F65+F64</f>
        <v>2.3366555630000003</v>
      </c>
      <c r="G69" s="32">
        <f t="shared" ref="G69:AD69" si="84">G67+G66+G65+G64</f>
        <v>1.4640480999999996</v>
      </c>
      <c r="H69" s="32">
        <f t="shared" si="84"/>
        <v>3.8267087190000026</v>
      </c>
      <c r="I69" s="32">
        <f t="shared" si="84"/>
        <v>1.8330458019999989</v>
      </c>
      <c r="J69" s="32">
        <f t="shared" si="84"/>
        <v>1.7079616899999985</v>
      </c>
      <c r="K69" s="33">
        <f t="shared" si="84"/>
        <v>2.6937040280000004</v>
      </c>
      <c r="L69" s="32">
        <f t="shared" si="84"/>
        <v>2.0504277120000012</v>
      </c>
      <c r="M69" s="32">
        <f t="shared" si="84"/>
        <v>2.1572733200000007</v>
      </c>
      <c r="N69" s="32">
        <f t="shared" si="84"/>
        <v>2.8467105779999993</v>
      </c>
      <c r="O69" s="32">
        <f t="shared" si="84"/>
        <v>2.9864028929999997</v>
      </c>
      <c r="P69" s="32">
        <f t="shared" si="84"/>
        <v>7.8466113399999999</v>
      </c>
      <c r="Q69" s="32">
        <f t="shared" si="84"/>
        <v>3.4205468999999988</v>
      </c>
      <c r="R69" s="32">
        <f t="shared" si="84"/>
        <v>3.2018837370000006</v>
      </c>
      <c r="S69" s="32">
        <f t="shared" si="84"/>
        <v>2.4852947309999993</v>
      </c>
      <c r="T69" s="32">
        <f t="shared" si="84"/>
        <v>1.3243891439999995</v>
      </c>
      <c r="U69" s="32">
        <f t="shared" si="84"/>
        <v>3.7355933790000009</v>
      </c>
      <c r="V69" s="32">
        <f t="shared" si="84"/>
        <v>3.5363825679999996</v>
      </c>
      <c r="W69" s="33">
        <f t="shared" si="84"/>
        <v>3.5678998179999981</v>
      </c>
      <c r="X69" s="32">
        <f t="shared" si="84"/>
        <v>2.4201962129999988</v>
      </c>
      <c r="Y69" s="32">
        <f t="shared" si="84"/>
        <v>3.8455360089999977</v>
      </c>
      <c r="Z69" s="32">
        <f t="shared" si="84"/>
        <v>5.3185412990000014</v>
      </c>
      <c r="AA69" s="32">
        <f t="shared" si="84"/>
        <v>4.9864811880000017</v>
      </c>
      <c r="AB69" s="32">
        <f t="shared" si="84"/>
        <v>3.4998135740000027</v>
      </c>
      <c r="AC69" s="32">
        <f t="shared" si="84"/>
        <v>3.4893922933000017</v>
      </c>
      <c r="AD69" s="32">
        <f t="shared" si="84"/>
        <v>3.5700220724999987</v>
      </c>
      <c r="AE69" s="32">
        <f t="shared" ref="AE69:AG69" si="85">AE67+AE66+AE65+AE64</f>
        <v>7.74</v>
      </c>
      <c r="AF69" s="32">
        <f t="shared" si="85"/>
        <v>3.49</v>
      </c>
      <c r="AG69" s="32">
        <f t="shared" si="85"/>
        <v>3.19</v>
      </c>
      <c r="AH69" s="32">
        <f t="shared" si="83"/>
        <v>8.449819999999999</v>
      </c>
      <c r="AI69" s="33">
        <f t="shared" si="83"/>
        <v>3.4524999999999997</v>
      </c>
      <c r="AK69" s="283">
        <v>7.6457199999999998</v>
      </c>
      <c r="AL69" s="264">
        <f t="shared" si="72"/>
        <v>-4.4557199999999995</v>
      </c>
      <c r="AN69" s="82">
        <f t="shared" si="73"/>
        <v>85.394733215153792</v>
      </c>
      <c r="AO69" s="83">
        <f t="shared" si="74"/>
        <v>129.62036906035141</v>
      </c>
      <c r="AP69" s="83">
        <f t="shared" si="75"/>
        <v>167.39325006450906</v>
      </c>
      <c r="AQ69" s="83">
        <f t="shared" si="76"/>
        <v>164.21317838299484</v>
      </c>
      <c r="AR69" s="83">
        <f t="shared" si="77"/>
        <v>84.018912491796641</v>
      </c>
      <c r="AS69" s="83">
        <f t="shared" si="78"/>
        <v>211.08007355117553</v>
      </c>
      <c r="AT69" s="83">
        <f t="shared" si="79"/>
        <v>139.2296399625757</v>
      </c>
      <c r="AU69" s="83">
        <f t="shared" si="80"/>
        <v>110.56875687078123</v>
      </c>
      <c r="AV69" s="83">
        <f t="shared" si="81"/>
        <v>167.45056095023457</v>
      </c>
      <c r="AW69" s="84">
        <f t="shared" si="82"/>
        <v>136.49923299418185</v>
      </c>
    </row>
    <row r="70" spans="1:49" outlineLevel="1">
      <c r="A70" s="305" t="s">
        <v>709</v>
      </c>
      <c r="B70" s="122" t="s">
        <v>711</v>
      </c>
      <c r="C70" s="122" t="s">
        <v>4</v>
      </c>
      <c r="D70" s="122" t="s">
        <v>85</v>
      </c>
      <c r="E70" s="123" t="s">
        <v>83</v>
      </c>
      <c r="F70" s="124"/>
      <c r="G70" s="124"/>
      <c r="H70" s="124"/>
      <c r="I70" s="124"/>
      <c r="J70" s="124"/>
      <c r="K70" s="125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5"/>
      <c r="X70" s="124"/>
      <c r="Y70" s="124"/>
      <c r="Z70" s="124"/>
      <c r="AA70" s="124"/>
      <c r="AB70" s="124"/>
      <c r="AC70" s="124"/>
      <c r="AD70" s="124">
        <f t="shared" ref="AD70:AI70" si="86">AD76+AD75</f>
        <v>0</v>
      </c>
      <c r="AE70" s="124">
        <f t="shared" si="86"/>
        <v>1.0540799999999999</v>
      </c>
      <c r="AF70" s="124">
        <f t="shared" si="86"/>
        <v>0.62</v>
      </c>
      <c r="AG70" s="124">
        <f t="shared" si="86"/>
        <v>4</v>
      </c>
      <c r="AH70" s="124">
        <f t="shared" si="86"/>
        <v>4.3</v>
      </c>
      <c r="AI70" s="125">
        <f t="shared" si="86"/>
        <v>0.5</v>
      </c>
      <c r="AK70" s="245"/>
    </row>
    <row r="71" spans="1:49" outlineLevel="1">
      <c r="A71" s="276" t="s">
        <v>709</v>
      </c>
      <c r="B71" s="92" t="s">
        <v>712</v>
      </c>
      <c r="C71" s="22" t="s">
        <v>4</v>
      </c>
      <c r="D71" s="22" t="s">
        <v>85</v>
      </c>
      <c r="E71" s="23" t="s">
        <v>11</v>
      </c>
      <c r="F71" s="75"/>
      <c r="G71" s="75"/>
      <c r="H71" s="75"/>
      <c r="I71" s="75"/>
      <c r="J71" s="75"/>
      <c r="K71" s="94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94"/>
      <c r="X71" s="75"/>
      <c r="Y71" s="75"/>
      <c r="Z71" s="75"/>
      <c r="AA71" s="75"/>
      <c r="AB71" s="75"/>
      <c r="AC71" s="75"/>
      <c r="AD71" s="75"/>
      <c r="AE71" s="75">
        <f>((147.3*4*2*400)+(182.1*4*2*400))/1000000+N("P3 3MM山茶花護髮180ml+Sh pipeline")</f>
        <v>1.0540799999999999</v>
      </c>
      <c r="AF71" s="75">
        <v>0.62</v>
      </c>
      <c r="AG71" s="227">
        <v>3</v>
      </c>
      <c r="AH71" s="227">
        <v>3</v>
      </c>
      <c r="AI71" s="94"/>
      <c r="AK71" s="245"/>
    </row>
    <row r="72" spans="1:49" outlineLevel="1">
      <c r="A72" s="277" t="s">
        <v>709</v>
      </c>
      <c r="B72" s="22" t="s">
        <v>711</v>
      </c>
      <c r="C72" s="22" t="s">
        <v>4</v>
      </c>
      <c r="D72" s="22" t="s">
        <v>85</v>
      </c>
      <c r="E72" s="23" t="s">
        <v>12</v>
      </c>
      <c r="F72" s="24"/>
      <c r="G72" s="24"/>
      <c r="H72" s="24"/>
      <c r="I72" s="24"/>
      <c r="J72" s="24"/>
      <c r="K72" s="25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5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12">
        <v>1.2</v>
      </c>
      <c r="AI72" s="91">
        <v>0.5</v>
      </c>
      <c r="AK72" s="245"/>
    </row>
    <row r="73" spans="1:49" outlineLevel="1">
      <c r="A73" s="277" t="s">
        <v>709</v>
      </c>
      <c r="B73" s="22" t="s">
        <v>711</v>
      </c>
      <c r="C73" s="22" t="s">
        <v>4</v>
      </c>
      <c r="D73" s="22" t="s">
        <v>85</v>
      </c>
      <c r="E73" s="23" t="s">
        <v>13</v>
      </c>
      <c r="F73" s="24"/>
      <c r="G73" s="24"/>
      <c r="H73" s="24"/>
      <c r="I73" s="24"/>
      <c r="J73" s="24"/>
      <c r="K73" s="25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5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5"/>
      <c r="AK73" s="245"/>
    </row>
    <row r="74" spans="1:49" outlineLevel="1">
      <c r="A74" s="277" t="s">
        <v>709</v>
      </c>
      <c r="B74" s="22" t="s">
        <v>711</v>
      </c>
      <c r="C74" s="22" t="s">
        <v>4</v>
      </c>
      <c r="D74" s="22" t="s">
        <v>85</v>
      </c>
      <c r="E74" s="23" t="s">
        <v>86</v>
      </c>
      <c r="F74" s="24"/>
      <c r="G74" s="24"/>
      <c r="H74" s="24"/>
      <c r="I74" s="24"/>
      <c r="J74" s="24"/>
      <c r="K74" s="25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5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5"/>
      <c r="AK74" s="245"/>
    </row>
    <row r="75" spans="1:49" outlineLevel="1">
      <c r="A75" s="277" t="s">
        <v>709</v>
      </c>
      <c r="B75" s="22" t="s">
        <v>711</v>
      </c>
      <c r="C75" s="22" t="s">
        <v>4</v>
      </c>
      <c r="D75" s="22" t="s">
        <v>85</v>
      </c>
      <c r="E75" s="23" t="s">
        <v>8</v>
      </c>
      <c r="F75" s="24"/>
      <c r="G75" s="24"/>
      <c r="H75" s="24"/>
      <c r="I75" s="24"/>
      <c r="J75" s="24"/>
      <c r="K75" s="25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5"/>
      <c r="X75" s="24"/>
      <c r="Y75" s="24"/>
      <c r="Z75" s="24"/>
      <c r="AA75" s="24"/>
      <c r="AB75" s="24"/>
      <c r="AC75" s="24"/>
      <c r="AD75" s="24"/>
      <c r="AE75" s="24"/>
      <c r="AF75" s="24"/>
      <c r="AG75" s="24">
        <v>1</v>
      </c>
      <c r="AH75" s="24">
        <v>0.1</v>
      </c>
      <c r="AI75" s="25"/>
      <c r="AK75" s="245"/>
    </row>
    <row r="76" spans="1:49" outlineLevel="1">
      <c r="A76" s="277" t="s">
        <v>709</v>
      </c>
      <c r="B76" s="22" t="s">
        <v>711</v>
      </c>
      <c r="C76" s="22" t="s">
        <v>4</v>
      </c>
      <c r="D76" s="22" t="s">
        <v>85</v>
      </c>
      <c r="E76" s="23" t="s">
        <v>14</v>
      </c>
      <c r="F76" s="24"/>
      <c r="G76" s="24"/>
      <c r="H76" s="24"/>
      <c r="I76" s="24"/>
      <c r="J76" s="24"/>
      <c r="K76" s="25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5"/>
      <c r="X76" s="24"/>
      <c r="Y76" s="24"/>
      <c r="Z76" s="24"/>
      <c r="AA76" s="24"/>
      <c r="AB76" s="24"/>
      <c r="AC76" s="24"/>
      <c r="AD76" s="24">
        <f>AD74+AD73+AD72+AD71</f>
        <v>0</v>
      </c>
      <c r="AE76" s="24">
        <f t="shared" ref="AE76:AI76" si="87">AE74+AE73+AE72+AE71</f>
        <v>1.0540799999999999</v>
      </c>
      <c r="AF76" s="24">
        <f t="shared" si="87"/>
        <v>0.62</v>
      </c>
      <c r="AG76" s="24">
        <f t="shared" si="87"/>
        <v>3</v>
      </c>
      <c r="AH76" s="24">
        <f t="shared" si="87"/>
        <v>4.2</v>
      </c>
      <c r="AI76" s="25">
        <f t="shared" si="87"/>
        <v>0.5</v>
      </c>
      <c r="AK76" s="245"/>
    </row>
    <row r="77" spans="1:49" outlineLevel="1">
      <c r="A77" s="305" t="s">
        <v>709</v>
      </c>
      <c r="B77" s="122" t="s">
        <v>713</v>
      </c>
      <c r="C77" s="122" t="s">
        <v>4</v>
      </c>
      <c r="D77" s="122" t="s">
        <v>85</v>
      </c>
      <c r="E77" s="123" t="s">
        <v>83</v>
      </c>
      <c r="F77" s="124"/>
      <c r="G77" s="124"/>
      <c r="H77" s="124"/>
      <c r="I77" s="124"/>
      <c r="J77" s="124"/>
      <c r="K77" s="125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5"/>
      <c r="X77" s="124"/>
      <c r="Y77" s="124"/>
      <c r="Z77" s="124"/>
      <c r="AA77" s="124"/>
      <c r="AB77" s="124"/>
      <c r="AC77" s="124"/>
      <c r="AD77" s="124">
        <f t="shared" ref="AD77:AI77" si="88">AD83+AD82</f>
        <v>2.0623600000000004</v>
      </c>
      <c r="AE77" s="124">
        <f t="shared" si="88"/>
        <v>-0.61265999999999976</v>
      </c>
      <c r="AF77" s="124">
        <f t="shared" si="88"/>
        <v>-2.1</v>
      </c>
      <c r="AG77" s="124">
        <f t="shared" si="88"/>
        <v>-0.17000000000000004</v>
      </c>
      <c r="AH77" s="124">
        <f t="shared" si="88"/>
        <v>-0.15999999999999992</v>
      </c>
      <c r="AI77" s="125">
        <f t="shared" si="88"/>
        <v>-1</v>
      </c>
      <c r="AK77" s="245"/>
    </row>
    <row r="78" spans="1:49" outlineLevel="1">
      <c r="A78" s="276" t="s">
        <v>709</v>
      </c>
      <c r="B78" s="92" t="s">
        <v>714</v>
      </c>
      <c r="C78" s="22" t="s">
        <v>4</v>
      </c>
      <c r="D78" s="22" t="s">
        <v>85</v>
      </c>
      <c r="E78" s="23" t="s">
        <v>11</v>
      </c>
      <c r="F78" s="75"/>
      <c r="G78" s="75"/>
      <c r="H78" s="75"/>
      <c r="I78" s="75"/>
      <c r="J78" s="75"/>
      <c r="K78" s="94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94"/>
      <c r="X78" s="75"/>
      <c r="Y78" s="75"/>
      <c r="Z78" s="75"/>
      <c r="AA78" s="75"/>
      <c r="AB78" s="75"/>
      <c r="AC78" s="75"/>
      <c r="AD78" s="75"/>
      <c r="AE78" s="75">
        <v>-0.25</v>
      </c>
      <c r="AF78" s="75">
        <v>-1.6</v>
      </c>
      <c r="AG78" s="75">
        <f>-0.63+0.96</f>
        <v>0.32999999999999996</v>
      </c>
      <c r="AH78" s="75">
        <v>-0.96</v>
      </c>
      <c r="AI78" s="94"/>
      <c r="AK78" s="245"/>
    </row>
    <row r="79" spans="1:49" outlineLevel="1">
      <c r="A79" s="277" t="s">
        <v>709</v>
      </c>
      <c r="B79" s="22" t="s">
        <v>713</v>
      </c>
      <c r="C79" s="22" t="s">
        <v>4</v>
      </c>
      <c r="D79" s="22" t="s">
        <v>85</v>
      </c>
      <c r="E79" s="23" t="s">
        <v>12</v>
      </c>
      <c r="F79" s="24"/>
      <c r="G79" s="24"/>
      <c r="H79" s="24"/>
      <c r="I79" s="24"/>
      <c r="J79" s="24"/>
      <c r="K79" s="25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5"/>
      <c r="X79" s="24"/>
      <c r="Y79" s="24"/>
      <c r="Z79" s="24"/>
      <c r="AA79" s="24"/>
      <c r="AB79" s="24"/>
      <c r="AC79" s="24"/>
      <c r="AD79" s="24">
        <f>(4000+3000)*235*80%/1000000+N("2檔WB後壁櫃$249")+(4500+4500)*266.3*80%/1000000+N("MYL SH後壁櫃$199")-AD58</f>
        <v>2.0623600000000004</v>
      </c>
      <c r="AE79" s="24">
        <f>(4000+3000)*235*20%/1000000+N("2檔WB後壁櫃$249")+(4500+4500)*266.3*20%/1000000+N("MYL SH後壁櫃$199")-AE58</f>
        <v>-0.36265999999999976</v>
      </c>
      <c r="AF79" s="24">
        <v>-0.5</v>
      </c>
      <c r="AG79" s="24">
        <v>-0.5</v>
      </c>
      <c r="AH79" s="24">
        <v>0.8</v>
      </c>
      <c r="AI79" s="25">
        <v>-1</v>
      </c>
      <c r="AK79" s="245"/>
    </row>
    <row r="80" spans="1:49" outlineLevel="1">
      <c r="A80" s="277" t="s">
        <v>709</v>
      </c>
      <c r="B80" s="22" t="s">
        <v>713</v>
      </c>
      <c r="C80" s="22" t="s">
        <v>4</v>
      </c>
      <c r="D80" s="22" t="s">
        <v>85</v>
      </c>
      <c r="E80" s="23" t="s">
        <v>13</v>
      </c>
      <c r="F80" s="24"/>
      <c r="G80" s="24"/>
      <c r="H80" s="24"/>
      <c r="I80" s="24"/>
      <c r="J80" s="24"/>
      <c r="K80" s="25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5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5"/>
      <c r="AK80" s="245"/>
    </row>
    <row r="81" spans="1:49" outlineLevel="1">
      <c r="A81" s="277" t="s">
        <v>709</v>
      </c>
      <c r="B81" s="22" t="s">
        <v>713</v>
      </c>
      <c r="C81" s="22" t="s">
        <v>4</v>
      </c>
      <c r="D81" s="22" t="s">
        <v>85</v>
      </c>
      <c r="E81" s="23" t="s">
        <v>86</v>
      </c>
      <c r="F81" s="24"/>
      <c r="G81" s="24"/>
      <c r="H81" s="24"/>
      <c r="I81" s="24"/>
      <c r="J81" s="24"/>
      <c r="K81" s="25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5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5"/>
      <c r="AK81" s="245"/>
    </row>
    <row r="82" spans="1:49" outlineLevel="1">
      <c r="A82" s="277" t="s">
        <v>709</v>
      </c>
      <c r="B82" s="22" t="s">
        <v>713</v>
      </c>
      <c r="C82" s="22" t="s">
        <v>4</v>
      </c>
      <c r="D82" s="22" t="s">
        <v>85</v>
      </c>
      <c r="E82" s="23" t="s">
        <v>8</v>
      </c>
      <c r="F82" s="24"/>
      <c r="G82" s="24"/>
      <c r="H82" s="24"/>
      <c r="I82" s="24"/>
      <c r="J82" s="24"/>
      <c r="K82" s="25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5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5"/>
      <c r="AK82" s="245"/>
    </row>
    <row r="83" spans="1:49" outlineLevel="1">
      <c r="A83" s="278" t="s">
        <v>709</v>
      </c>
      <c r="B83" s="31" t="s">
        <v>713</v>
      </c>
      <c r="C83" s="31" t="s">
        <v>4</v>
      </c>
      <c r="D83" s="31" t="s">
        <v>85</v>
      </c>
      <c r="E83" s="119" t="s">
        <v>14</v>
      </c>
      <c r="F83" s="32"/>
      <c r="G83" s="32"/>
      <c r="H83" s="32"/>
      <c r="I83" s="32"/>
      <c r="J83" s="32"/>
      <c r="K83" s="33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3"/>
      <c r="X83" s="32"/>
      <c r="Y83" s="32"/>
      <c r="Z83" s="32"/>
      <c r="AA83" s="32"/>
      <c r="AB83" s="32"/>
      <c r="AC83" s="32"/>
      <c r="AD83" s="32">
        <f>AD81+AD80+AD79+AD78</f>
        <v>2.0623600000000004</v>
      </c>
      <c r="AE83" s="32">
        <f t="shared" ref="AE83:AI83" si="89">AE81+AE80+AE79+AE78</f>
        <v>-0.61265999999999976</v>
      </c>
      <c r="AF83" s="32">
        <f t="shared" si="89"/>
        <v>-2.1</v>
      </c>
      <c r="AG83" s="32">
        <f t="shared" si="89"/>
        <v>-0.17000000000000004</v>
      </c>
      <c r="AH83" s="32">
        <f t="shared" si="89"/>
        <v>-0.15999999999999992</v>
      </c>
      <c r="AI83" s="33">
        <f t="shared" si="89"/>
        <v>-1</v>
      </c>
      <c r="AK83" s="245"/>
    </row>
    <row r="84" spans="1:49" s="102" customFormat="1">
      <c r="A84" s="310" t="s">
        <v>77</v>
      </c>
      <c r="B84" s="95" t="s">
        <v>83</v>
      </c>
      <c r="C84" s="96" t="s">
        <v>4</v>
      </c>
      <c r="D84" s="96" t="s">
        <v>87</v>
      </c>
      <c r="E84" s="97" t="s">
        <v>83</v>
      </c>
      <c r="F84" s="98">
        <f t="shared" ref="F84:AD84" si="90">F85+F86</f>
        <v>0.38689099999999998</v>
      </c>
      <c r="G84" s="98">
        <f t="shared" si="90"/>
        <v>0.59313870000000013</v>
      </c>
      <c r="H84" s="98">
        <f t="shared" si="90"/>
        <v>0.5326613</v>
      </c>
      <c r="I84" s="98">
        <f t="shared" si="90"/>
        <v>0.58804339999999999</v>
      </c>
      <c r="J84" s="98">
        <f t="shared" si="90"/>
        <v>0.61408039999999997</v>
      </c>
      <c r="K84" s="99">
        <f t="shared" si="90"/>
        <v>0.396426</v>
      </c>
      <c r="L84" s="98">
        <f t="shared" si="90"/>
        <v>0.53450980000000003</v>
      </c>
      <c r="M84" s="98">
        <f t="shared" si="90"/>
        <v>0.66035069999999996</v>
      </c>
      <c r="N84" s="98">
        <f t="shared" si="90"/>
        <v>0.76450079999999998</v>
      </c>
      <c r="O84" s="98">
        <f t="shared" si="90"/>
        <v>0.43895960000000001</v>
      </c>
      <c r="P84" s="98">
        <f t="shared" si="90"/>
        <v>0.68617740000000005</v>
      </c>
      <c r="Q84" s="98">
        <f t="shared" si="90"/>
        <v>0.8649464</v>
      </c>
      <c r="R84" s="98">
        <f t="shared" si="90"/>
        <v>0.7786516</v>
      </c>
      <c r="S84" s="98">
        <f t="shared" si="90"/>
        <v>0.48286909999999994</v>
      </c>
      <c r="T84" s="98">
        <f t="shared" si="90"/>
        <v>0.43740869999999998</v>
      </c>
      <c r="U84" s="98">
        <f t="shared" si="90"/>
        <v>0.48587855000000002</v>
      </c>
      <c r="V84" s="98">
        <f t="shared" si="90"/>
        <v>0.54012735000000001</v>
      </c>
      <c r="W84" s="99">
        <f t="shared" si="90"/>
        <v>0.35678655000000004</v>
      </c>
      <c r="X84" s="98">
        <f t="shared" si="90"/>
        <v>0.53017285000000003</v>
      </c>
      <c r="Y84" s="98">
        <f t="shared" si="90"/>
        <v>0.5182190499999999</v>
      </c>
      <c r="Z84" s="98">
        <f t="shared" si="90"/>
        <v>0.74502215000000005</v>
      </c>
      <c r="AA84" s="98">
        <f t="shared" si="90"/>
        <v>0.44909575000000002</v>
      </c>
      <c r="AB84" s="98">
        <f t="shared" si="90"/>
        <v>0.40127669999999999</v>
      </c>
      <c r="AC84" s="98">
        <f t="shared" si="90"/>
        <v>0.56744260000000002</v>
      </c>
      <c r="AD84" s="98">
        <f t="shared" si="90"/>
        <v>0.41552900000000004</v>
      </c>
      <c r="AE84" s="98">
        <f t="shared" ref="AE84:AI84" si="91">AE85+AE86</f>
        <v>0.36941305000000002</v>
      </c>
      <c r="AF84" s="98">
        <f t="shared" si="91"/>
        <v>0.29331019999999997</v>
      </c>
      <c r="AG84" s="98">
        <f t="shared" si="91"/>
        <v>0.38632085555555562</v>
      </c>
      <c r="AH84" s="98">
        <f t="shared" si="91"/>
        <v>0.36</v>
      </c>
      <c r="AI84" s="99">
        <f t="shared" si="91"/>
        <v>0.46</v>
      </c>
      <c r="AK84" s="281">
        <v>0.36</v>
      </c>
      <c r="AL84" s="281">
        <f t="shared" ref="AL84:AL86" si="92">AG84-AK84</f>
        <v>2.6320855555555633E-2</v>
      </c>
      <c r="AN84" s="156">
        <f t="shared" ref="AN84:AN86" si="93">IFERROR(AG84/U84*100,"NA")</f>
        <v>79.5097572336864</v>
      </c>
      <c r="AO84" s="157">
        <f t="shared" ref="AO84:AO86" si="94">IFERROR(SUM(X84:AG84)/SUM(L84:U84)*100,"NA")</f>
        <v>76.224480345711811</v>
      </c>
      <c r="AP84" s="157">
        <f t="shared" ref="AP84:AP86" si="95">IFERROR(SUM(AD84:AG84)/SUM(R84:U84)*100,"NA")</f>
        <v>67.034409388502809</v>
      </c>
      <c r="AQ84" s="157">
        <f t="shared" ref="AQ84:AQ86" si="96">IFERROR(SUM(X84:Z84)/SUM(L84:N84)*100,"NA")</f>
        <v>91.530543652158485</v>
      </c>
      <c r="AR84" s="157">
        <f t="shared" ref="AR84:AR86" si="97">IFERROR(SUM(AA84:AC84)/SUM(O84:Q84)*100,"NA")</f>
        <v>71.244001633298396</v>
      </c>
      <c r="AS84" s="157">
        <f t="shared" ref="AS84:AS86" si="98">IFERROR(SUM(AD84:AF84)/SUM(R84:T84)*100,"NA")</f>
        <v>63.466571948192787</v>
      </c>
      <c r="AT84" s="157">
        <f t="shared" ref="AT84:AT86" si="99">IFERROR(SUM(AG84:AI84)/SUM(U84:W84)*100,"NA")</f>
        <v>87.238027337765374</v>
      </c>
      <c r="AU84" s="157">
        <f t="shared" ref="AU84:AU86" si="100">IFERROR(SUM(X84:AC84)/SUM(L84:Q84)*100,"NA")</f>
        <v>81.30836975638627</v>
      </c>
      <c r="AV84" s="157">
        <f t="shared" ref="AV84:AV86" si="101">IFERROR(SUM(AD84:AI84)/SUM(R84:W84)*100,"NA")</f>
        <v>74.133007998614659</v>
      </c>
      <c r="AW84" s="158">
        <f t="shared" ref="AW84:AW86" si="102">IFERROR(SUM(X84:AI84)/SUM(L84:W84)*100,"NA")</f>
        <v>78.163447935329543</v>
      </c>
    </row>
    <row r="85" spans="1:49">
      <c r="A85" s="274" t="s">
        <v>77</v>
      </c>
      <c r="B85" s="92" t="s">
        <v>83</v>
      </c>
      <c r="C85" s="92" t="s">
        <v>4</v>
      </c>
      <c r="D85" s="92" t="s">
        <v>87</v>
      </c>
      <c r="E85" s="93" t="s">
        <v>84</v>
      </c>
      <c r="F85" s="75">
        <f>SUMIFS('Offtake Raw'!H:H,'Offtake Raw'!$C:$C,Hair!$D85,'Offtake Raw'!$D:$D,Hair!$E85)/1000000</f>
        <v>0.16313039999999998</v>
      </c>
      <c r="G85" s="75">
        <f>SUMIFS('Offtake Raw'!I:I,'Offtake Raw'!$C:$C,Hair!$D85,'Offtake Raw'!$D:$D,Hair!$E85)/1000000</f>
        <v>0.23211200000000004</v>
      </c>
      <c r="H85" s="75">
        <f>SUMIFS('Offtake Raw'!J:J,'Offtake Raw'!$C:$C,Hair!$D85,'Offtake Raw'!$D:$D,Hair!$E85)/1000000</f>
        <v>0.14761280000000002</v>
      </c>
      <c r="I85" s="75">
        <f>SUMIFS('Offtake Raw'!K:K,'Offtake Raw'!$C:$C,Hair!$D85,'Offtake Raw'!$D:$D,Hair!$E85)/1000000</f>
        <v>0.17851760000000003</v>
      </c>
      <c r="J85" s="75">
        <f>SUMIFS('Offtake Raw'!L:L,'Offtake Raw'!$C:$C,Hair!$D85,'Offtake Raw'!$D:$D,Hair!$E85)/1000000</f>
        <v>0.25310640000000001</v>
      </c>
      <c r="K85" s="94">
        <f>SUMIFS('Offtake Raw'!M:M,'Offtake Raw'!$C:$C,Hair!$D85,'Offtake Raw'!$D:$D,Hair!$E85)/1000000</f>
        <v>0.168216</v>
      </c>
      <c r="L85" s="75">
        <f>SUMIFS('Offtake Raw'!N:N,'Offtake Raw'!$C:$C,Hair!$D85,'Offtake Raw'!$D:$D,Hair!$E85)/1000000</f>
        <v>0.17434479999999999</v>
      </c>
      <c r="M85" s="75">
        <f>SUMIFS('Offtake Raw'!O:O,'Offtake Raw'!$C:$C,Hair!$D85,'Offtake Raw'!$D:$D,Hair!$E85)/1000000</f>
        <v>0.22076719999999997</v>
      </c>
      <c r="N85" s="75">
        <f>SUMIFS('Offtake Raw'!P:P,'Offtake Raw'!$C:$C,Hair!$D85,'Offtake Raw'!$D:$D,Hair!$E85)/1000000</f>
        <v>0.14044079999999998</v>
      </c>
      <c r="O85" s="75">
        <f>SUMIFS('Offtake Raw'!Q:Q,'Offtake Raw'!$C:$C,Hair!$D85,'Offtake Raw'!$D:$D,Hair!$E85)/1000000</f>
        <v>0.13809360000000001</v>
      </c>
      <c r="P85" s="75">
        <f>SUMIFS('Offtake Raw'!R:R,'Offtake Raw'!$C:$C,Hair!$D85,'Offtake Raw'!$D:$D,Hair!$E85)/1000000</f>
        <v>0.3043536</v>
      </c>
      <c r="Q85" s="75">
        <f>SUMIFS('Offtake Raw'!S:S,'Offtake Raw'!$C:$C,Hair!$D85,'Offtake Raw'!$D:$D,Hair!$E85)/1000000</f>
        <v>0.28309840000000003</v>
      </c>
      <c r="R85" s="75">
        <f>SUMIFS('Offtake Raw'!T:T,'Offtake Raw'!$C:$C,Hair!$D85,'Offtake Raw'!$D:$D,Hair!$E85)/1000000</f>
        <v>0.17916960000000001</v>
      </c>
      <c r="S85" s="75">
        <f>SUMIFS('Offtake Raw'!U:U,'Offtake Raw'!$C:$C,Hair!$D85,'Offtake Raw'!$D:$D,Hair!$E85)/1000000</f>
        <v>0.16286959999999998</v>
      </c>
      <c r="T85" s="75">
        <f>SUMIFS('Offtake Raw'!V:V,'Offtake Raw'!$C:$C,Hair!$D85,'Offtake Raw'!$D:$D,Hair!$E85)/1000000</f>
        <v>0.25336720000000001</v>
      </c>
      <c r="U85" s="75">
        <f>SUMIFS('Offtake Raw'!W:W,'Offtake Raw'!$C:$C,Hair!$D85,'Offtake Raw'!$D:$D,Hair!$E85)/1000000</f>
        <v>0.25838854999999999</v>
      </c>
      <c r="V85" s="75">
        <f>SUMIFS('Offtake Raw'!X:X,'Offtake Raw'!$C:$C,Hair!$D85,'Offtake Raw'!$D:$D,Hair!$E85)/1000000</f>
        <v>0.23374505000000004</v>
      </c>
      <c r="W85" s="94">
        <f>SUMIFS('Offtake Raw'!Y:Y,'Offtake Raw'!$C:$C,Hair!$D85,'Offtake Raw'!$D:$D,Hair!$E85)/1000000</f>
        <v>0.14806105</v>
      </c>
      <c r="X85" s="75">
        <f>SUMIFS('Offtake Raw'!Z:Z,'Offtake Raw'!$C:$C,Hair!$D85,'Offtake Raw'!$D:$D,Hair!$E85)/1000000</f>
        <v>0.17612934999999999</v>
      </c>
      <c r="Y85" s="75">
        <f>SUMIFS('Offtake Raw'!AA:AA,'Offtake Raw'!$C:$C,Hair!$D85,'Offtake Raw'!$D:$D,Hair!$E85)/1000000</f>
        <v>0.15840254999999998</v>
      </c>
      <c r="Z85" s="75">
        <f>SUMIFS('Offtake Raw'!AB:AB,'Offtake Raw'!$C:$C,Hair!$D85,'Offtake Raw'!$D:$D,Hair!$E85)/1000000</f>
        <v>0.18286115000000003</v>
      </c>
      <c r="AA85" s="75">
        <f>SUMIFS('Offtake Raw'!AC:AC,'Offtake Raw'!$C:$C,Hair!$D85,'Offtake Raw'!$D:$D,Hair!$E85)/1000000</f>
        <v>0.23338275</v>
      </c>
      <c r="AB85" s="75">
        <f>SUMIFS('Offtake Raw'!AD:AD,'Offtake Raw'!$C:$C,Hair!$D85,'Offtake Raw'!$D:$D,Hair!$E85)/1000000</f>
        <v>0.19945969999999999</v>
      </c>
      <c r="AC85" s="75">
        <f>SUMIFS('Offtake Raw'!AE:AE,'Offtake Raw'!$C:$C,Hair!$D85,'Offtake Raw'!$D:$D,Hair!$E85)/1000000</f>
        <v>0.18628359999999997</v>
      </c>
      <c r="AD85" s="75">
        <f>SUMIFS('Offtake Raw'!AF:AF,'Offtake Raw'!$C:$C,Hair!$D85,'Offtake Raw'!$D:$D,Hair!$E85)/1000000</f>
        <v>0.1515215</v>
      </c>
      <c r="AE85" s="75">
        <f>SUMIFS('Offtake Raw'!AG:AG,'Offtake Raw'!$C:$C,Hair!$D85,'Offtake Raw'!$D:$D,Hair!$E85)/1000000</f>
        <v>0.17882054999999999</v>
      </c>
      <c r="AF85" s="75">
        <f>SUMIFS('Offtake Raw'!AH:AH,'Offtake Raw'!$C:$C,Hair!$D85,'Offtake Raw'!$D:$D,Hair!$E85)/1000000</f>
        <v>0.1499057</v>
      </c>
      <c r="AG85" s="75">
        <f>SUMIFS('Offtake Raw'!AI:AI,'Offtake Raw'!$C:$C,Hair!$D85,'Offtake Raw'!$D:$D,Hair!$E85)/1000000</f>
        <v>0.18714252222222225</v>
      </c>
      <c r="AH85" s="75">
        <f t="shared" ref="AH85:AI86" si="103">AH88+AH91</f>
        <v>0.16</v>
      </c>
      <c r="AI85" s="94">
        <f t="shared" si="103"/>
        <v>0.26</v>
      </c>
      <c r="AK85" s="320">
        <v>0.16</v>
      </c>
      <c r="AL85" s="262">
        <f t="shared" si="92"/>
        <v>2.7142522222222243E-2</v>
      </c>
      <c r="AN85" s="154">
        <f t="shared" si="93"/>
        <v>72.426786025240759</v>
      </c>
      <c r="AO85" s="147">
        <f t="shared" si="94"/>
        <v>85.295524345103374</v>
      </c>
      <c r="AP85" s="147">
        <f t="shared" si="95"/>
        <v>78.167512260668943</v>
      </c>
      <c r="AQ85" s="147">
        <f t="shared" si="96"/>
        <v>96.609157864546702</v>
      </c>
      <c r="AR85" s="147">
        <f t="shared" si="97"/>
        <v>85.33247944719119</v>
      </c>
      <c r="AS85" s="147">
        <f t="shared" si="98"/>
        <v>80.658815558583171</v>
      </c>
      <c r="AT85" s="147">
        <f t="shared" si="99"/>
        <v>94.837175259465553</v>
      </c>
      <c r="AU85" s="147">
        <f t="shared" si="100"/>
        <v>90.121365628566323</v>
      </c>
      <c r="AV85" s="147">
        <f t="shared" si="101"/>
        <v>88.004965050994599</v>
      </c>
      <c r="AW85" s="155">
        <f t="shared" si="102"/>
        <v>89.073972128372191</v>
      </c>
    </row>
    <row r="86" spans="1:49">
      <c r="A86" s="272" t="s">
        <v>77</v>
      </c>
      <c r="B86" s="31" t="s">
        <v>83</v>
      </c>
      <c r="C86" s="31" t="s">
        <v>4</v>
      </c>
      <c r="D86" s="31" t="s">
        <v>87</v>
      </c>
      <c r="E86" s="119" t="s">
        <v>14</v>
      </c>
      <c r="F86" s="32">
        <f>SUMIFS('Offtake Raw'!H:H,'Offtake Raw'!$C:$C,Hair!$D86,'Offtake Raw'!$D:$D,Hair!$E86)/1000000</f>
        <v>0.2237606</v>
      </c>
      <c r="G86" s="32">
        <f>SUMIFS('Offtake Raw'!I:I,'Offtake Raw'!$C:$C,Hair!$D86,'Offtake Raw'!$D:$D,Hair!$E86)/1000000</f>
        <v>0.36102670000000003</v>
      </c>
      <c r="H86" s="32">
        <f>SUMIFS('Offtake Raw'!J:J,'Offtake Raw'!$C:$C,Hair!$D86,'Offtake Raw'!$D:$D,Hair!$E86)/1000000</f>
        <v>0.38504850000000002</v>
      </c>
      <c r="I86" s="32">
        <f>SUMIFS('Offtake Raw'!K:K,'Offtake Raw'!$C:$C,Hair!$D86,'Offtake Raw'!$D:$D,Hair!$E86)/1000000</f>
        <v>0.4095258</v>
      </c>
      <c r="J86" s="32">
        <f>SUMIFS('Offtake Raw'!L:L,'Offtake Raw'!$C:$C,Hair!$D86,'Offtake Raw'!$D:$D,Hair!$E86)/1000000</f>
        <v>0.36097400000000002</v>
      </c>
      <c r="K86" s="33">
        <f>SUMIFS('Offtake Raw'!M:M,'Offtake Raw'!$C:$C,Hair!$D86,'Offtake Raw'!$D:$D,Hair!$E86)/1000000</f>
        <v>0.22821</v>
      </c>
      <c r="L86" s="32">
        <f>SUMIFS('Offtake Raw'!N:N,'Offtake Raw'!$C:$C,Hair!$D86,'Offtake Raw'!$D:$D,Hair!$E86)/1000000</f>
        <v>0.36016500000000001</v>
      </c>
      <c r="M86" s="32">
        <f>SUMIFS('Offtake Raw'!O:O,'Offtake Raw'!$C:$C,Hair!$D86,'Offtake Raw'!$D:$D,Hair!$E86)/1000000</f>
        <v>0.43958350000000002</v>
      </c>
      <c r="N86" s="32">
        <f>SUMIFS('Offtake Raw'!P:P,'Offtake Raw'!$C:$C,Hair!$D86,'Offtake Raw'!$D:$D,Hair!$E86)/1000000</f>
        <v>0.62405999999999995</v>
      </c>
      <c r="O86" s="32">
        <f>SUMIFS('Offtake Raw'!Q:Q,'Offtake Raw'!$C:$C,Hair!$D86,'Offtake Raw'!$D:$D,Hair!$E86)/1000000</f>
        <v>0.30086600000000002</v>
      </c>
      <c r="P86" s="32">
        <f>SUMIFS('Offtake Raw'!R:R,'Offtake Raw'!$C:$C,Hair!$D86,'Offtake Raw'!$D:$D,Hair!$E86)/1000000</f>
        <v>0.38182379999999999</v>
      </c>
      <c r="Q86" s="32">
        <f>SUMIFS('Offtake Raw'!S:S,'Offtake Raw'!$C:$C,Hair!$D86,'Offtake Raw'!$D:$D,Hair!$E86)/1000000</f>
        <v>0.58184800000000003</v>
      </c>
      <c r="R86" s="32">
        <f>SUMIFS('Offtake Raw'!T:T,'Offtake Raw'!$C:$C,Hair!$D86,'Offtake Raw'!$D:$D,Hair!$E86)/1000000</f>
        <v>0.59948199999999996</v>
      </c>
      <c r="S86" s="32">
        <f>SUMIFS('Offtake Raw'!U:U,'Offtake Raw'!$C:$C,Hair!$D86,'Offtake Raw'!$D:$D,Hair!$E86)/1000000</f>
        <v>0.31999949999999999</v>
      </c>
      <c r="T86" s="32">
        <f>SUMIFS('Offtake Raw'!V:V,'Offtake Raw'!$C:$C,Hair!$D86,'Offtake Raw'!$D:$D,Hair!$E86)/1000000</f>
        <v>0.1840415</v>
      </c>
      <c r="U86" s="32">
        <f>SUMIFS('Offtake Raw'!W:W,'Offtake Raw'!$C:$C,Hair!$D86,'Offtake Raw'!$D:$D,Hair!$E86)/1000000</f>
        <v>0.22749</v>
      </c>
      <c r="V86" s="32">
        <f>SUMIFS('Offtake Raw'!X:X,'Offtake Raw'!$C:$C,Hair!$D86,'Offtake Raw'!$D:$D,Hair!$E86)/1000000</f>
        <v>0.3063823</v>
      </c>
      <c r="W86" s="33">
        <f>SUMIFS('Offtake Raw'!Y:Y,'Offtake Raw'!$C:$C,Hair!$D86,'Offtake Raw'!$D:$D,Hair!$E86)/1000000</f>
        <v>0.20872550000000001</v>
      </c>
      <c r="X86" s="32">
        <f>SUMIFS('Offtake Raw'!Z:Z,'Offtake Raw'!$C:$C,Hair!$D86,'Offtake Raw'!$D:$D,Hair!$E86)/1000000</f>
        <v>0.35404350000000001</v>
      </c>
      <c r="Y86" s="32">
        <f>SUMIFS('Offtake Raw'!AA:AA,'Offtake Raw'!$C:$C,Hair!$D86,'Offtake Raw'!$D:$D,Hair!$E86)/1000000</f>
        <v>0.35981649999999998</v>
      </c>
      <c r="Z86" s="32">
        <f>SUMIFS('Offtake Raw'!AB:AB,'Offtake Raw'!$C:$C,Hair!$D86,'Offtake Raw'!$D:$D,Hair!$E86)/1000000</f>
        <v>0.56216100000000002</v>
      </c>
      <c r="AA86" s="32">
        <f>SUMIFS('Offtake Raw'!AC:AC,'Offtake Raw'!$C:$C,Hair!$D86,'Offtake Raw'!$D:$D,Hair!$E86)/1000000</f>
        <v>0.21571299999999999</v>
      </c>
      <c r="AB86" s="32">
        <f>SUMIFS('Offtake Raw'!AD:AD,'Offtake Raw'!$C:$C,Hair!$D86,'Offtake Raw'!$D:$D,Hair!$E86)/1000000</f>
        <v>0.201817</v>
      </c>
      <c r="AC86" s="32">
        <f>SUMIFS('Offtake Raw'!AE:AE,'Offtake Raw'!$C:$C,Hair!$D86,'Offtake Raw'!$D:$D,Hair!$E86)/1000000</f>
        <v>0.38115900000000003</v>
      </c>
      <c r="AD86" s="32">
        <f>SUMIFS('Offtake Raw'!AF:AF,'Offtake Raw'!$C:$C,Hair!$D86,'Offtake Raw'!$D:$D,Hair!$E86)/1000000</f>
        <v>0.26400750000000001</v>
      </c>
      <c r="AE86" s="32">
        <f>SUMIFS('Offtake Raw'!AG:AG,'Offtake Raw'!$C:$C,Hair!$D86,'Offtake Raw'!$D:$D,Hair!$E86)/1000000</f>
        <v>0.1905925</v>
      </c>
      <c r="AF86" s="32">
        <f>SUMIFS('Offtake Raw'!AH:AH,'Offtake Raw'!$C:$C,Hair!$D86,'Offtake Raw'!$D:$D,Hair!$E86)/1000000</f>
        <v>0.14340449999999999</v>
      </c>
      <c r="AG86" s="32">
        <f>SUMIFS('Offtake Raw'!AI:AI,'Offtake Raw'!$C:$C,Hair!$D86,'Offtake Raw'!$D:$D,Hair!$E86)/1000000</f>
        <v>0.19917833333333335</v>
      </c>
      <c r="AH86" s="32">
        <f t="shared" si="103"/>
        <v>0.2</v>
      </c>
      <c r="AI86" s="33">
        <f t="shared" si="103"/>
        <v>0.2</v>
      </c>
      <c r="AK86" s="283">
        <v>0.2</v>
      </c>
      <c r="AL86" s="264">
        <f t="shared" si="92"/>
        <v>-8.2166666666666499E-4</v>
      </c>
      <c r="AN86" s="82">
        <f t="shared" si="93"/>
        <v>87.554764311984414</v>
      </c>
      <c r="AO86" s="83">
        <f t="shared" si="94"/>
        <v>71.451508038441176</v>
      </c>
      <c r="AP86" s="83">
        <f t="shared" si="95"/>
        <v>59.892941190907479</v>
      </c>
      <c r="AQ86" s="83">
        <f t="shared" si="96"/>
        <v>89.620268456045892</v>
      </c>
      <c r="AR86" s="83">
        <f t="shared" si="97"/>
        <v>63.160547672042696</v>
      </c>
      <c r="AS86" s="83">
        <f t="shared" si="98"/>
        <v>54.190488100383959</v>
      </c>
      <c r="AT86" s="83">
        <f t="shared" si="99"/>
        <v>80.686790794873531</v>
      </c>
      <c r="AU86" s="83">
        <f t="shared" si="100"/>
        <v>77.174209289926694</v>
      </c>
      <c r="AV86" s="83">
        <f t="shared" si="101"/>
        <v>64.848564261522512</v>
      </c>
      <c r="AW86" s="84">
        <f t="shared" si="102"/>
        <v>72.156060705200247</v>
      </c>
    </row>
    <row r="87" spans="1:49" outlineLevel="1">
      <c r="A87" s="273" t="s">
        <v>77</v>
      </c>
      <c r="B87" s="100" t="s">
        <v>715</v>
      </c>
      <c r="C87" s="100" t="s">
        <v>4</v>
      </c>
      <c r="D87" s="100" t="s">
        <v>87</v>
      </c>
      <c r="E87" s="101" t="s">
        <v>83</v>
      </c>
      <c r="F87" s="103"/>
      <c r="G87" s="103"/>
      <c r="H87" s="103"/>
      <c r="I87" s="103"/>
      <c r="J87" s="103"/>
      <c r="K87" s="104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4"/>
      <c r="X87" s="103"/>
      <c r="Y87" s="103"/>
      <c r="Z87" s="103"/>
      <c r="AA87" s="103"/>
      <c r="AB87" s="103"/>
      <c r="AC87" s="103"/>
      <c r="AD87" s="103">
        <f t="shared" ref="AD87:AI87" si="104">AD89+AD88</f>
        <v>0.4</v>
      </c>
      <c r="AE87" s="103">
        <f t="shared" si="104"/>
        <v>0.45</v>
      </c>
      <c r="AF87" s="103">
        <f t="shared" si="104"/>
        <v>0.45</v>
      </c>
      <c r="AG87" s="103">
        <f t="shared" si="104"/>
        <v>0.36</v>
      </c>
      <c r="AH87" s="103">
        <f t="shared" si="104"/>
        <v>0.36</v>
      </c>
      <c r="AI87" s="104">
        <f t="shared" si="104"/>
        <v>0.36</v>
      </c>
      <c r="AK87" s="245"/>
    </row>
    <row r="88" spans="1:49" outlineLevel="1">
      <c r="A88" s="311" t="s">
        <v>77</v>
      </c>
      <c r="B88" s="22" t="s">
        <v>715</v>
      </c>
      <c r="C88" s="92" t="s">
        <v>4</v>
      </c>
      <c r="D88" s="92" t="s">
        <v>87</v>
      </c>
      <c r="E88" s="93" t="s">
        <v>84</v>
      </c>
      <c r="F88" s="75"/>
      <c r="G88" s="75"/>
      <c r="H88" s="75"/>
      <c r="I88" s="75"/>
      <c r="J88" s="75"/>
      <c r="K88" s="94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94"/>
      <c r="X88" s="75"/>
      <c r="Y88" s="75"/>
      <c r="Z88" s="75"/>
      <c r="AA88" s="75"/>
      <c r="AB88" s="75"/>
      <c r="AC88" s="75"/>
      <c r="AD88" s="75">
        <v>0.2</v>
      </c>
      <c r="AE88" s="75">
        <v>0.2</v>
      </c>
      <c r="AF88" s="75">
        <v>0.2</v>
      </c>
      <c r="AG88" s="75">
        <v>0.16</v>
      </c>
      <c r="AH88" s="75">
        <v>0.16</v>
      </c>
      <c r="AI88" s="94">
        <v>0.16</v>
      </c>
      <c r="AK88" s="245"/>
    </row>
    <row r="89" spans="1:49" outlineLevel="1">
      <c r="A89" s="312" t="s">
        <v>77</v>
      </c>
      <c r="B89" s="31" t="s">
        <v>715</v>
      </c>
      <c r="C89" s="31" t="s">
        <v>4</v>
      </c>
      <c r="D89" s="31" t="s">
        <v>87</v>
      </c>
      <c r="E89" s="119" t="s">
        <v>14</v>
      </c>
      <c r="F89" s="32"/>
      <c r="G89" s="32"/>
      <c r="H89" s="32"/>
      <c r="I89" s="32"/>
      <c r="J89" s="32"/>
      <c r="K89" s="33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3"/>
      <c r="X89" s="32"/>
      <c r="Y89" s="32"/>
      <c r="Z89" s="32"/>
      <c r="AA89" s="32"/>
      <c r="AB89" s="32"/>
      <c r="AC89" s="32"/>
      <c r="AD89" s="32">
        <v>0.2</v>
      </c>
      <c r="AE89" s="32">
        <v>0.25</v>
      </c>
      <c r="AF89" s="32">
        <v>0.25</v>
      </c>
      <c r="AG89" s="32">
        <v>0.2</v>
      </c>
      <c r="AH89" s="32">
        <v>0.2</v>
      </c>
      <c r="AI89" s="33">
        <v>0.2</v>
      </c>
      <c r="AK89" s="245"/>
    </row>
    <row r="90" spans="1:49" outlineLevel="1">
      <c r="A90" s="273" t="s">
        <v>77</v>
      </c>
      <c r="B90" s="100" t="s">
        <v>717</v>
      </c>
      <c r="C90" s="100" t="s">
        <v>4</v>
      </c>
      <c r="D90" s="100" t="s">
        <v>87</v>
      </c>
      <c r="E90" s="101" t="s">
        <v>83</v>
      </c>
      <c r="F90" s="103"/>
      <c r="G90" s="103"/>
      <c r="H90" s="103"/>
      <c r="I90" s="103"/>
      <c r="J90" s="103"/>
      <c r="K90" s="104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4"/>
      <c r="X90" s="103"/>
      <c r="Y90" s="103"/>
      <c r="Z90" s="103"/>
      <c r="AA90" s="103"/>
      <c r="AB90" s="103"/>
      <c r="AC90" s="103"/>
      <c r="AD90" s="103">
        <f t="shared" ref="AD90:AI90" si="105">AD91+AD92</f>
        <v>0</v>
      </c>
      <c r="AE90" s="103">
        <f t="shared" si="105"/>
        <v>0</v>
      </c>
      <c r="AF90" s="103">
        <f t="shared" si="105"/>
        <v>0</v>
      </c>
      <c r="AG90" s="103">
        <f t="shared" si="105"/>
        <v>0</v>
      </c>
      <c r="AH90" s="103">
        <f t="shared" si="105"/>
        <v>0</v>
      </c>
      <c r="AI90" s="104">
        <f t="shared" si="105"/>
        <v>0.1</v>
      </c>
      <c r="AK90" s="245"/>
    </row>
    <row r="91" spans="1:49" outlineLevel="1">
      <c r="A91" s="271" t="s">
        <v>77</v>
      </c>
      <c r="B91" s="22" t="s">
        <v>717</v>
      </c>
      <c r="C91" s="92" t="s">
        <v>4</v>
      </c>
      <c r="D91" s="92" t="s">
        <v>87</v>
      </c>
      <c r="E91" s="93" t="s">
        <v>84</v>
      </c>
      <c r="F91" s="75"/>
      <c r="G91" s="75"/>
      <c r="H91" s="75"/>
      <c r="I91" s="75"/>
      <c r="J91" s="75"/>
      <c r="K91" s="94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94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94">
        <v>0.1</v>
      </c>
      <c r="AK91" s="245"/>
    </row>
    <row r="92" spans="1:49" outlineLevel="1">
      <c r="A92" s="272" t="s">
        <v>77</v>
      </c>
      <c r="B92" s="31" t="s">
        <v>717</v>
      </c>
      <c r="C92" s="31" t="s">
        <v>4</v>
      </c>
      <c r="D92" s="31" t="s">
        <v>87</v>
      </c>
      <c r="E92" s="119" t="s">
        <v>14</v>
      </c>
      <c r="F92" s="32"/>
      <c r="G92" s="32"/>
      <c r="H92" s="32"/>
      <c r="I92" s="32"/>
      <c r="J92" s="32"/>
      <c r="K92" s="33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3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3"/>
      <c r="AK92" s="245"/>
    </row>
    <row r="93" spans="1:49">
      <c r="A93" s="275" t="s">
        <v>709</v>
      </c>
      <c r="B93" s="96" t="s">
        <v>710</v>
      </c>
      <c r="C93" s="96" t="s">
        <v>4</v>
      </c>
      <c r="D93" s="96" t="s">
        <v>87</v>
      </c>
      <c r="E93" s="97" t="s">
        <v>83</v>
      </c>
      <c r="F93" s="98">
        <f>F94+F95</f>
        <v>0.19709030000000005</v>
      </c>
      <c r="G93" s="98">
        <f t="shared" ref="G93:AD93" si="106">G94+G95</f>
        <v>0.92776140000000007</v>
      </c>
      <c r="H93" s="98">
        <f t="shared" si="106"/>
        <v>0.64336910000000003</v>
      </c>
      <c r="I93" s="98">
        <f t="shared" si="106"/>
        <v>0.39422489999999999</v>
      </c>
      <c r="J93" s="98">
        <f t="shared" si="106"/>
        <v>0.47042289999999998</v>
      </c>
      <c r="K93" s="99">
        <f t="shared" si="106"/>
        <v>0.30018849999999997</v>
      </c>
      <c r="L93" s="98">
        <f t="shared" si="106"/>
        <v>1.0208628</v>
      </c>
      <c r="M93" s="98">
        <f t="shared" si="106"/>
        <v>0.68908759999999991</v>
      </c>
      <c r="N93" s="98">
        <f t="shared" si="106"/>
        <v>0.70661770000000002</v>
      </c>
      <c r="O93" s="98">
        <f t="shared" si="106"/>
        <v>0.32648280000000002</v>
      </c>
      <c r="P93" s="98">
        <f t="shared" si="106"/>
        <v>0.91061659999999989</v>
      </c>
      <c r="Q93" s="98">
        <f t="shared" si="106"/>
        <v>1.8292150999999999</v>
      </c>
      <c r="R93" s="98">
        <f t="shared" si="106"/>
        <v>0.31864080000000006</v>
      </c>
      <c r="S93" s="98">
        <f t="shared" si="106"/>
        <v>0.13275480000000003</v>
      </c>
      <c r="T93" s="98">
        <f t="shared" si="106"/>
        <v>0.25483199999999995</v>
      </c>
      <c r="U93" s="98">
        <f t="shared" si="106"/>
        <v>0.21192320000000001</v>
      </c>
      <c r="V93" s="98">
        <f t="shared" si="106"/>
        <v>0.4339395499999999</v>
      </c>
      <c r="W93" s="99">
        <f t="shared" si="106"/>
        <v>0.31912919000000006</v>
      </c>
      <c r="X93" s="98">
        <f t="shared" si="106"/>
        <v>0.92415894999999992</v>
      </c>
      <c r="Y93" s="98">
        <f t="shared" si="106"/>
        <v>1.2579474500000003</v>
      </c>
      <c r="Z93" s="98">
        <f t="shared" si="106"/>
        <v>0.24731057000000015</v>
      </c>
      <c r="AA93" s="98">
        <f t="shared" si="106"/>
        <v>0.57549731000000026</v>
      </c>
      <c r="AB93" s="98">
        <f t="shared" si="106"/>
        <v>0.12106776000000002</v>
      </c>
      <c r="AC93" s="98">
        <f t="shared" si="106"/>
        <v>0.63977427000000009</v>
      </c>
      <c r="AD93" s="98">
        <f t="shared" si="106"/>
        <v>0.28923810000000005</v>
      </c>
      <c r="AE93" s="98">
        <f t="shared" ref="AE93:AI93" si="107">AE94+AE95</f>
        <v>0.31</v>
      </c>
      <c r="AF93" s="98">
        <f t="shared" si="107"/>
        <v>0.16</v>
      </c>
      <c r="AG93" s="98">
        <f t="shared" si="107"/>
        <v>0.27</v>
      </c>
      <c r="AH93" s="98">
        <f t="shared" si="107"/>
        <v>0.36</v>
      </c>
      <c r="AI93" s="99">
        <f t="shared" si="107"/>
        <v>1.4272</v>
      </c>
      <c r="AK93" s="281">
        <v>0.36</v>
      </c>
      <c r="AL93" s="281">
        <f t="shared" ref="AL93:AL95" si="108">AG93-AK93</f>
        <v>-8.9999999999999969E-2</v>
      </c>
      <c r="AN93" s="156">
        <f t="shared" ref="AN93:AN95" si="109">IFERROR(AG93/U93*100,"NA")</f>
        <v>127.40464470147677</v>
      </c>
      <c r="AO93" s="157">
        <f t="shared" ref="AO93:AO95" si="110">IFERROR(SUM(X93:AG93)/SUM(L93:U93)*100,"NA")</f>
        <v>74.90969208190667</v>
      </c>
      <c r="AP93" s="157">
        <f t="shared" ref="AP93:AP95" si="111">IFERROR(SUM(AD93:AG93)/SUM(R93:U93)*100,"NA")</f>
        <v>112.09902556312102</v>
      </c>
      <c r="AQ93" s="157">
        <f t="shared" ref="AQ93:AQ95" si="112">IFERROR(SUM(X93:Z93)/SUM(L93:N93)*100,"NA")</f>
        <v>100.53169906529844</v>
      </c>
      <c r="AR93" s="157">
        <f t="shared" ref="AR93:AR95" si="113">IFERROR(SUM(AA93:AC93)/SUM(O93:Q93)*100,"NA")</f>
        <v>43.581287568512636</v>
      </c>
      <c r="AS93" s="157">
        <f t="shared" ref="AS93:AS95" si="114">IFERROR(SUM(AD93:AF93)/SUM(R93:T93)*100,"NA")</f>
        <v>107.50614957557592</v>
      </c>
      <c r="AT93" s="157">
        <f t="shared" ref="AT93:AT95" si="115">IFERROR(SUM(AG93:AI93)/SUM(U93:W93)*100,"NA")</f>
        <v>213.18312772643466</v>
      </c>
      <c r="AU93" s="157">
        <f t="shared" ref="AU93:AU95" si="116">IFERROR(SUM(X93:AC93)/SUM(L93:Q93)*100,"NA")</f>
        <v>68.682052575774662</v>
      </c>
      <c r="AV93" s="157">
        <f t="shared" ref="AV93:AV95" si="117">IFERROR(SUM(AD93:AI93)/SUM(R93:W93)*100,"NA")</f>
        <v>168.525919700532</v>
      </c>
      <c r="AW93" s="158">
        <f t="shared" ref="AW93:AW95" si="118">IFERROR(SUM(X93:AI93)/SUM(L93:W93)*100,"NA")</f>
        <v>92.005876924759718</v>
      </c>
    </row>
    <row r="94" spans="1:49">
      <c r="A94" s="277" t="s">
        <v>709</v>
      </c>
      <c r="B94" s="22" t="s">
        <v>710</v>
      </c>
      <c r="C94" s="92" t="s">
        <v>4</v>
      </c>
      <c r="D94" s="92" t="s">
        <v>87</v>
      </c>
      <c r="E94" s="93" t="s">
        <v>84</v>
      </c>
      <c r="F94" s="75">
        <v>0.12414080000000004</v>
      </c>
      <c r="G94" s="75">
        <v>0.2276784</v>
      </c>
      <c r="H94" s="75">
        <v>0.14083199999999998</v>
      </c>
      <c r="I94" s="75">
        <v>0.17838719999999994</v>
      </c>
      <c r="J94" s="75">
        <v>0.23145999999999994</v>
      </c>
      <c r="K94" s="94">
        <v>0.16430400000000001</v>
      </c>
      <c r="L94" s="75">
        <v>0.21281279999999989</v>
      </c>
      <c r="M94" s="75">
        <v>0.20172879999999996</v>
      </c>
      <c r="N94" s="75">
        <v>0.17160639999999988</v>
      </c>
      <c r="O94" s="75">
        <v>0.1854288</v>
      </c>
      <c r="P94" s="75">
        <v>0.43227599999999994</v>
      </c>
      <c r="Q94" s="75">
        <v>0.21724639999999987</v>
      </c>
      <c r="R94" s="75">
        <v>0.19325280000000006</v>
      </c>
      <c r="S94" s="75">
        <v>0.11031840000000002</v>
      </c>
      <c r="T94" s="75">
        <v>0.18881919999999994</v>
      </c>
      <c r="U94" s="75">
        <v>8.1891199999999997E-2</v>
      </c>
      <c r="V94" s="75">
        <v>0.3021367499999999</v>
      </c>
      <c r="W94" s="94">
        <v>7.2358590000000042E-2</v>
      </c>
      <c r="X94" s="75">
        <v>0.14323134999999998</v>
      </c>
      <c r="Y94" s="75">
        <v>0.12726885000000002</v>
      </c>
      <c r="Z94" s="75">
        <v>0.19970957000000014</v>
      </c>
      <c r="AA94" s="75">
        <v>0.50985231000000031</v>
      </c>
      <c r="AB94" s="75">
        <v>7.4627760000000029E-2</v>
      </c>
      <c r="AC94" s="75">
        <v>0.12777327000000002</v>
      </c>
      <c r="AD94" s="75">
        <v>0.13425420000000002</v>
      </c>
      <c r="AE94" s="75">
        <v>0.21</v>
      </c>
      <c r="AF94" s="75">
        <v>0.11</v>
      </c>
      <c r="AG94" s="75">
        <v>0.16</v>
      </c>
      <c r="AH94" s="75">
        <f t="shared" ref="AH94:AI95" si="119">AH85+AH97+AH100</f>
        <v>0.16</v>
      </c>
      <c r="AI94" s="94">
        <f t="shared" si="119"/>
        <v>1.2272000000000001</v>
      </c>
      <c r="AK94" s="320">
        <v>0.16</v>
      </c>
      <c r="AL94" s="262">
        <f t="shared" si="108"/>
        <v>0</v>
      </c>
      <c r="AN94" s="154">
        <f t="shared" si="109"/>
        <v>195.38118869915206</v>
      </c>
      <c r="AO94" s="147">
        <f t="shared" si="110"/>
        <v>90.043830731457433</v>
      </c>
      <c r="AP94" s="147">
        <f t="shared" si="111"/>
        <v>106.9604528510055</v>
      </c>
      <c r="AQ94" s="147">
        <f t="shared" si="112"/>
        <v>80.220314664555772</v>
      </c>
      <c r="AR94" s="147">
        <f t="shared" si="113"/>
        <v>85.304786674957839</v>
      </c>
      <c r="AS94" s="147">
        <f t="shared" si="114"/>
        <v>92.254885554226888</v>
      </c>
      <c r="AT94" s="147">
        <f t="shared" si="115"/>
        <v>339.01087442237019</v>
      </c>
      <c r="AU94" s="147">
        <f t="shared" si="116"/>
        <v>83.207640254811281</v>
      </c>
      <c r="AV94" s="147">
        <f t="shared" si="117"/>
        <v>210.95097441976196</v>
      </c>
      <c r="AW94" s="155">
        <f t="shared" si="118"/>
        <v>134.34952385317493</v>
      </c>
    </row>
    <row r="95" spans="1:49">
      <c r="A95" s="278" t="s">
        <v>709</v>
      </c>
      <c r="B95" s="31" t="s">
        <v>710</v>
      </c>
      <c r="C95" s="31" t="s">
        <v>4</v>
      </c>
      <c r="D95" s="31" t="s">
        <v>87</v>
      </c>
      <c r="E95" s="119" t="s">
        <v>14</v>
      </c>
      <c r="F95" s="32">
        <v>7.29495E-2</v>
      </c>
      <c r="G95" s="32">
        <v>0.70008300000000001</v>
      </c>
      <c r="H95" s="32">
        <v>0.50253710000000007</v>
      </c>
      <c r="I95" s="32">
        <v>0.21583770000000002</v>
      </c>
      <c r="J95" s="32">
        <v>0.23896290000000001</v>
      </c>
      <c r="K95" s="33">
        <v>0.13588449999999999</v>
      </c>
      <c r="L95" s="32">
        <v>0.80805000000000005</v>
      </c>
      <c r="M95" s="32">
        <v>0.48735879999999998</v>
      </c>
      <c r="N95" s="32">
        <v>0.53501130000000008</v>
      </c>
      <c r="O95" s="32">
        <v>0.14105400000000001</v>
      </c>
      <c r="P95" s="32">
        <v>0.47834059999999995</v>
      </c>
      <c r="Q95" s="32">
        <v>1.6119687</v>
      </c>
      <c r="R95" s="32">
        <v>0.125388</v>
      </c>
      <c r="S95" s="32">
        <v>2.2436400000000002E-2</v>
      </c>
      <c r="T95" s="32">
        <v>6.6012799999999996E-2</v>
      </c>
      <c r="U95" s="32">
        <v>0.13003200000000001</v>
      </c>
      <c r="V95" s="32">
        <v>0.1318028</v>
      </c>
      <c r="W95" s="33">
        <v>0.24677060000000001</v>
      </c>
      <c r="X95" s="32">
        <v>0.78092759999999994</v>
      </c>
      <c r="Y95" s="32">
        <v>1.1306786000000002</v>
      </c>
      <c r="Z95" s="32">
        <v>4.7600999999999997E-2</v>
      </c>
      <c r="AA95" s="32">
        <v>6.5644999999999995E-2</v>
      </c>
      <c r="AB95" s="32">
        <v>4.6440000000000002E-2</v>
      </c>
      <c r="AC95" s="32">
        <v>0.51200100000000004</v>
      </c>
      <c r="AD95" s="32">
        <v>0.15498390000000001</v>
      </c>
      <c r="AE95" s="32">
        <v>0.1</v>
      </c>
      <c r="AF95" s="32">
        <v>0.05</v>
      </c>
      <c r="AG95" s="32">
        <v>0.11</v>
      </c>
      <c r="AH95" s="32">
        <f t="shared" si="119"/>
        <v>0.2</v>
      </c>
      <c r="AI95" s="33">
        <f t="shared" si="119"/>
        <v>0.2</v>
      </c>
      <c r="AK95" s="283">
        <v>0.2</v>
      </c>
      <c r="AL95" s="264">
        <f t="shared" si="108"/>
        <v>-9.0000000000000011E-2</v>
      </c>
      <c r="AN95" s="82">
        <f t="shared" si="109"/>
        <v>84.594561338747383</v>
      </c>
      <c r="AO95" s="83">
        <f t="shared" si="110"/>
        <v>68.055232044396774</v>
      </c>
      <c r="AP95" s="83">
        <f t="shared" si="111"/>
        <v>120.68074139818282</v>
      </c>
      <c r="AQ95" s="83">
        <f t="shared" si="112"/>
        <v>107.03593125971463</v>
      </c>
      <c r="AR95" s="83">
        <f t="shared" si="113"/>
        <v>27.968820675682892</v>
      </c>
      <c r="AS95" s="83">
        <f t="shared" si="114"/>
        <v>142.62434225663264</v>
      </c>
      <c r="AT95" s="83">
        <f t="shared" si="115"/>
        <v>100.27420078512735</v>
      </c>
      <c r="AU95" s="83">
        <f t="shared" si="116"/>
        <v>63.59997433639618</v>
      </c>
      <c r="AV95" s="83">
        <f t="shared" si="117"/>
        <v>112.8095020974677</v>
      </c>
      <c r="AW95" s="84">
        <f t="shared" si="118"/>
        <v>71.030864762659633</v>
      </c>
    </row>
    <row r="96" spans="1:49" outlineLevel="1">
      <c r="A96" s="275" t="s">
        <v>709</v>
      </c>
      <c r="B96" s="100" t="s">
        <v>711</v>
      </c>
      <c r="C96" s="100" t="s">
        <v>4</v>
      </c>
      <c r="D96" s="100" t="s">
        <v>87</v>
      </c>
      <c r="E96" s="101" t="s">
        <v>83</v>
      </c>
      <c r="F96" s="103"/>
      <c r="G96" s="103"/>
      <c r="H96" s="103"/>
      <c r="I96" s="103"/>
      <c r="J96" s="103"/>
      <c r="K96" s="104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4"/>
      <c r="X96" s="103"/>
      <c r="Y96" s="103"/>
      <c r="Z96" s="103"/>
      <c r="AA96" s="103"/>
      <c r="AB96" s="103"/>
      <c r="AC96" s="103"/>
      <c r="AD96" s="103">
        <f t="shared" ref="AD96:AI96" si="120">AD97+AD98</f>
        <v>0</v>
      </c>
      <c r="AE96" s="103">
        <f t="shared" si="120"/>
        <v>0</v>
      </c>
      <c r="AF96" s="103">
        <f t="shared" si="120"/>
        <v>0</v>
      </c>
      <c r="AG96" s="103">
        <f t="shared" si="120"/>
        <v>0</v>
      </c>
      <c r="AH96" s="103">
        <f t="shared" si="120"/>
        <v>0</v>
      </c>
      <c r="AI96" s="104">
        <f t="shared" si="120"/>
        <v>0.96720000000000006</v>
      </c>
      <c r="AK96" s="245"/>
    </row>
    <row r="97" spans="1:49" outlineLevel="1">
      <c r="A97" s="277" t="s">
        <v>709</v>
      </c>
      <c r="B97" s="22" t="s">
        <v>711</v>
      </c>
      <c r="C97" s="92" t="s">
        <v>4</v>
      </c>
      <c r="D97" s="92" t="s">
        <v>87</v>
      </c>
      <c r="E97" s="93" t="s">
        <v>84</v>
      </c>
      <c r="F97" s="75"/>
      <c r="G97" s="75"/>
      <c r="H97" s="75"/>
      <c r="I97" s="75"/>
      <c r="J97" s="75"/>
      <c r="K97" s="94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94"/>
      <c r="X97" s="75"/>
      <c r="Y97" s="75"/>
      <c r="Z97" s="75"/>
      <c r="AA97" s="75"/>
      <c r="AB97" s="75"/>
      <c r="AC97" s="75"/>
      <c r="AD97" s="75"/>
      <c r="AE97" s="75"/>
      <c r="AF97" s="75"/>
      <c r="AG97" s="75"/>
      <c r="AH97" s="75"/>
      <c r="AI97" s="94">
        <f>136*2*450*3/1000000+N("Ella NI")+0.6+N("Ella NI 紙架")</f>
        <v>0.96720000000000006</v>
      </c>
      <c r="AK97" s="245"/>
    </row>
    <row r="98" spans="1:49" outlineLevel="1">
      <c r="A98" s="278" t="s">
        <v>709</v>
      </c>
      <c r="B98" s="31" t="s">
        <v>711</v>
      </c>
      <c r="C98" s="31" t="s">
        <v>4</v>
      </c>
      <c r="D98" s="31" t="s">
        <v>87</v>
      </c>
      <c r="E98" s="119" t="s">
        <v>14</v>
      </c>
      <c r="F98" s="32"/>
      <c r="G98" s="32"/>
      <c r="H98" s="32"/>
      <c r="I98" s="32"/>
      <c r="J98" s="32"/>
      <c r="K98" s="33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3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3"/>
      <c r="AK98" s="245"/>
    </row>
    <row r="99" spans="1:49" outlineLevel="1">
      <c r="A99" s="275" t="s">
        <v>709</v>
      </c>
      <c r="B99" s="100" t="s">
        <v>713</v>
      </c>
      <c r="C99" s="100" t="s">
        <v>4</v>
      </c>
      <c r="D99" s="100" t="s">
        <v>87</v>
      </c>
      <c r="E99" s="101" t="s">
        <v>83</v>
      </c>
      <c r="F99" s="103"/>
      <c r="G99" s="103"/>
      <c r="H99" s="103"/>
      <c r="I99" s="103"/>
      <c r="J99" s="103"/>
      <c r="K99" s="104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4"/>
      <c r="X99" s="103"/>
      <c r="Y99" s="103"/>
      <c r="Z99" s="103"/>
      <c r="AA99" s="103"/>
      <c r="AB99" s="103"/>
      <c r="AC99" s="103"/>
      <c r="AD99" s="103">
        <f t="shared" ref="AD99:AI99" si="121">AD100+AD101</f>
        <v>0</v>
      </c>
      <c r="AE99" s="103">
        <f t="shared" si="121"/>
        <v>0</v>
      </c>
      <c r="AF99" s="103">
        <f t="shared" si="121"/>
        <v>0</v>
      </c>
      <c r="AG99" s="103">
        <f t="shared" si="121"/>
        <v>0</v>
      </c>
      <c r="AH99" s="103">
        <f t="shared" si="121"/>
        <v>0</v>
      </c>
      <c r="AI99" s="104">
        <f t="shared" si="121"/>
        <v>0</v>
      </c>
      <c r="AK99" s="245"/>
    </row>
    <row r="100" spans="1:49" outlineLevel="1">
      <c r="A100" s="277" t="s">
        <v>709</v>
      </c>
      <c r="B100" s="22" t="s">
        <v>713</v>
      </c>
      <c r="C100" s="92" t="s">
        <v>4</v>
      </c>
      <c r="D100" s="92" t="s">
        <v>87</v>
      </c>
      <c r="E100" s="93" t="s">
        <v>84</v>
      </c>
      <c r="F100" s="75"/>
      <c r="G100" s="75"/>
      <c r="H100" s="75"/>
      <c r="I100" s="75"/>
      <c r="J100" s="75"/>
      <c r="K100" s="94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94"/>
      <c r="X100" s="75"/>
      <c r="Y100" s="75"/>
      <c r="Z100" s="75"/>
      <c r="AA100" s="75"/>
      <c r="AB100" s="75"/>
      <c r="AC100" s="75"/>
      <c r="AD100" s="75"/>
      <c r="AE100" s="75"/>
      <c r="AF100" s="75"/>
      <c r="AG100" s="75"/>
      <c r="AH100" s="75"/>
      <c r="AI100" s="94"/>
      <c r="AK100" s="245"/>
    </row>
    <row r="101" spans="1:49" outlineLevel="1">
      <c r="A101" s="313" t="s">
        <v>709</v>
      </c>
      <c r="B101" s="27" t="s">
        <v>713</v>
      </c>
      <c r="C101" s="27" t="s">
        <v>4</v>
      </c>
      <c r="D101" s="27" t="s">
        <v>87</v>
      </c>
      <c r="E101" s="28" t="s">
        <v>14</v>
      </c>
      <c r="F101" s="29"/>
      <c r="G101" s="29"/>
      <c r="H101" s="29"/>
      <c r="I101" s="29"/>
      <c r="J101" s="29"/>
      <c r="K101" s="30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30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30"/>
      <c r="AK101" s="245"/>
    </row>
    <row r="102" spans="1:49" s="102" customFormat="1">
      <c r="A102" s="303" t="s">
        <v>77</v>
      </c>
      <c r="B102" s="126" t="s">
        <v>83</v>
      </c>
      <c r="C102" s="126" t="s">
        <v>4</v>
      </c>
      <c r="D102" s="126" t="s">
        <v>5</v>
      </c>
      <c r="E102" s="127" t="s">
        <v>83</v>
      </c>
      <c r="F102" s="130">
        <f t="shared" ref="F102:AD102" si="122">F103+F104+F105</f>
        <v>2.1250069494444448</v>
      </c>
      <c r="G102" s="130">
        <f t="shared" si="122"/>
        <v>3.5139920931944442</v>
      </c>
      <c r="H102" s="130">
        <f t="shared" si="122"/>
        <v>2.4579754023611109</v>
      </c>
      <c r="I102" s="130">
        <f t="shared" si="122"/>
        <v>1.9903062681944446</v>
      </c>
      <c r="J102" s="130">
        <f t="shared" si="122"/>
        <v>3.0273403287500007</v>
      </c>
      <c r="K102" s="131">
        <f t="shared" si="122"/>
        <v>2.9580323166666664</v>
      </c>
      <c r="L102" s="130">
        <f t="shared" si="122"/>
        <v>2.0713479122222225</v>
      </c>
      <c r="M102" s="130">
        <f t="shared" si="122"/>
        <v>2.5514774677777781</v>
      </c>
      <c r="N102" s="130">
        <f t="shared" si="122"/>
        <v>2.3142961555555557</v>
      </c>
      <c r="O102" s="130">
        <f t="shared" si="122"/>
        <v>3.2071696133333334</v>
      </c>
      <c r="P102" s="130">
        <f t="shared" si="122"/>
        <v>3.5469287122222219</v>
      </c>
      <c r="Q102" s="130">
        <f t="shared" si="122"/>
        <v>3.6859765600000003</v>
      </c>
      <c r="R102" s="130">
        <f t="shared" si="122"/>
        <v>2.2513445741666662</v>
      </c>
      <c r="S102" s="130">
        <f t="shared" si="122"/>
        <v>4.8816018099444438</v>
      </c>
      <c r="T102" s="130">
        <f t="shared" si="122"/>
        <v>4.4648073447222227</v>
      </c>
      <c r="U102" s="130">
        <f t="shared" si="122"/>
        <v>4.025465833277778</v>
      </c>
      <c r="V102" s="130">
        <f t="shared" si="122"/>
        <v>4.1337714082777781</v>
      </c>
      <c r="W102" s="131">
        <f t="shared" si="122"/>
        <v>3.9824086855555558</v>
      </c>
      <c r="X102" s="130">
        <f t="shared" si="122"/>
        <v>4.8361333524444445</v>
      </c>
      <c r="Y102" s="130">
        <f t="shared" si="122"/>
        <v>3.4765021699444443</v>
      </c>
      <c r="Z102" s="130">
        <f t="shared" si="122"/>
        <v>2.5980034145555555</v>
      </c>
      <c r="AA102" s="130">
        <f t="shared" si="122"/>
        <v>4.0353968771111113</v>
      </c>
      <c r="AB102" s="130">
        <f t="shared" si="122"/>
        <v>5.286791906444444</v>
      </c>
      <c r="AC102" s="130">
        <f t="shared" si="122"/>
        <v>9.7679963959444454</v>
      </c>
      <c r="AD102" s="130">
        <f t="shared" si="122"/>
        <v>5.466242342777778</v>
      </c>
      <c r="AE102" s="130">
        <f t="shared" ref="AE102:AI102" si="123">AE103+AE104+AE105</f>
        <v>4.0589592029444441</v>
      </c>
      <c r="AF102" s="130">
        <f>AF103+AF104+AF105</f>
        <v>3.1456282944999998</v>
      </c>
      <c r="AG102" s="130">
        <f t="shared" si="123"/>
        <v>4.3164339516111108</v>
      </c>
      <c r="AH102" s="130">
        <f t="shared" si="123"/>
        <v>3.9000000000000004</v>
      </c>
      <c r="AI102" s="131">
        <f t="shared" si="123"/>
        <v>4.6000000000000005</v>
      </c>
      <c r="AJ102" s="239"/>
      <c r="AK102" s="281">
        <v>3.9000000000000004</v>
      </c>
      <c r="AL102" s="281">
        <f t="shared" ref="AL102:AL105" si="124">AG102-AK102</f>
        <v>0.41643395161111041</v>
      </c>
      <c r="AM102" s="239"/>
      <c r="AN102" s="156">
        <f t="shared" ref="AN102:AN105" si="125">IFERROR(AG102/U102*100,"NA")</f>
        <v>107.2281850196803</v>
      </c>
      <c r="AO102" s="157">
        <f t="shared" ref="AO102:AO105" si="126">IFERROR(SUM(X102:AG102)/SUM(L102:U102)*100,"NA")</f>
        <v>142.38635031802943</v>
      </c>
      <c r="AP102" s="157">
        <f t="shared" ref="AP102:AP105" si="127">IFERROR(SUM(AD102:AG102)/SUM(R102:U102)*100,"NA")</f>
        <v>108.73087793651864</v>
      </c>
      <c r="AQ102" s="157">
        <f t="shared" ref="AQ102:AQ105" si="128">IFERROR(SUM(X102:Z102)/SUM(L102:N102)*100,"NA")</f>
        <v>157.2790512754174</v>
      </c>
      <c r="AR102" s="157">
        <f t="shared" ref="AR102:AR105" si="129">IFERROR(SUM(AA102:AC102)/SUM(O102:Q102)*100,"NA")</f>
        <v>182.85486827218423</v>
      </c>
      <c r="AS102" s="157">
        <f>IFERROR(SUM(AD102:AF102)/SUM(R102:T102)*100,"NA")</f>
        <v>109.2524478142789</v>
      </c>
      <c r="AT102" s="157">
        <f t="shared" ref="AT102:AT105" si="130">IFERROR(SUM(AG102:AI102)/SUM(U102:W102)*100,"NA")</f>
        <v>105.5576322069586</v>
      </c>
      <c r="AU102" s="157">
        <f t="shared" ref="AU102:AU105" si="131">IFERROR(SUM(X102:AC102)/SUM(L102:Q102)*100,"NA")</f>
        <v>172.64478912143278</v>
      </c>
      <c r="AV102" s="157">
        <f t="shared" ref="AV102:AV105" si="132">IFERROR(SUM(AD102:AI102)/SUM(R102:W102)*100,"NA")</f>
        <v>107.36271414282047</v>
      </c>
      <c r="AW102" s="158">
        <f t="shared" ref="AW102:AW105" si="133">IFERROR(SUM(X102:AI102)/SUM(L102:W102)*100,"NA")</f>
        <v>134.95301946758667</v>
      </c>
    </row>
    <row r="103" spans="1:49">
      <c r="A103" s="274" t="s">
        <v>77</v>
      </c>
      <c r="B103" s="92" t="s">
        <v>83</v>
      </c>
      <c r="C103" s="92" t="s">
        <v>4</v>
      </c>
      <c r="D103" s="92" t="s">
        <v>5</v>
      </c>
      <c r="E103" s="93" t="s">
        <v>6</v>
      </c>
      <c r="F103" s="75">
        <f>SUMIFS('Offtake Raw'!H:H,'Offtake Raw'!$C:$C,Hair!$D103,'Offtake Raw'!$D:$D,Hair!$E103)/1000000</f>
        <v>1.4475373494444446</v>
      </c>
      <c r="G103" s="75">
        <f>SUMIFS('Offtake Raw'!I:I,'Offtake Raw'!$C:$C,Hair!$D103,'Offtake Raw'!$D:$D,Hair!$E103)/1000000</f>
        <v>2.2257988931944439</v>
      </c>
      <c r="H103" s="75">
        <f>SUMIFS('Offtake Raw'!J:J,'Offtake Raw'!$C:$C,Hair!$D103,'Offtake Raw'!$D:$D,Hair!$E103)/1000000</f>
        <v>1.7181290023611111</v>
      </c>
      <c r="I103" s="75">
        <f>SUMIFS('Offtake Raw'!K:K,'Offtake Raw'!$C:$C,Hair!$D103,'Offtake Raw'!$D:$D,Hair!$E103)/1000000</f>
        <v>1.3175506681944444</v>
      </c>
      <c r="J103" s="75">
        <f>SUMIFS('Offtake Raw'!L:L,'Offtake Raw'!$C:$C,Hair!$D103,'Offtake Raw'!$D:$D,Hair!$E103)/1000000</f>
        <v>2.1824103287500005</v>
      </c>
      <c r="K103" s="94">
        <f>SUMIFS('Offtake Raw'!M:M,'Offtake Raw'!$C:$C,Hair!$D103,'Offtake Raw'!$D:$D,Hair!$E103)/1000000</f>
        <v>2.2099899166666663</v>
      </c>
      <c r="L103" s="75">
        <f>SUMIFS('Offtake Raw'!N:N,'Offtake Raw'!$C:$C,Hair!$D103,'Offtake Raw'!$D:$D,Hair!$E103)/1000000</f>
        <v>1.4483143122222224</v>
      </c>
      <c r="M103" s="75">
        <f>SUMIFS('Offtake Raw'!O:O,'Offtake Raw'!$C:$C,Hair!$D103,'Offtake Raw'!$D:$D,Hair!$E103)/1000000</f>
        <v>1.7965826677777779</v>
      </c>
      <c r="N103" s="75">
        <f>SUMIFS('Offtake Raw'!P:P,'Offtake Raw'!$C:$C,Hair!$D103,'Offtake Raw'!$D:$D,Hair!$E103)/1000000</f>
        <v>1.7067993555555556</v>
      </c>
      <c r="O103" s="75">
        <f>SUMIFS('Offtake Raw'!Q:Q,'Offtake Raw'!$C:$C,Hair!$D103,'Offtake Raw'!$D:$D,Hair!$E103)/1000000</f>
        <v>2.5735336133333333</v>
      </c>
      <c r="P103" s="75">
        <f>SUMIFS('Offtake Raw'!R:R,'Offtake Raw'!$C:$C,Hair!$D103,'Offtake Raw'!$D:$D,Hair!$E103)/1000000</f>
        <v>2.798729912222222</v>
      </c>
      <c r="Q103" s="75">
        <f>SUMIFS('Offtake Raw'!S:S,'Offtake Raw'!$C:$C,Hair!$D103,'Offtake Raw'!$D:$D,Hair!$E103)/1000000</f>
        <v>3.0530265600000002</v>
      </c>
      <c r="R103" s="75">
        <f>SUMIFS('Offtake Raw'!T:T,'Offtake Raw'!$C:$C,Hair!$D103,'Offtake Raw'!$D:$D,Hair!$E103)/1000000</f>
        <v>1.6331877741666663</v>
      </c>
      <c r="S103" s="75">
        <f>SUMIFS('Offtake Raw'!U:U,'Offtake Raw'!$C:$C,Hair!$D103,'Offtake Raw'!$D:$D,Hair!$E103)/1000000</f>
        <v>3.8880546099444442</v>
      </c>
      <c r="T103" s="75">
        <f>SUMIFS('Offtake Raw'!V:V,'Offtake Raw'!$C:$C,Hair!$D103,'Offtake Raw'!$D:$D,Hair!$E103)/1000000</f>
        <v>3.8929161447222222</v>
      </c>
      <c r="U103" s="75">
        <f>SUMIFS('Offtake Raw'!W:W,'Offtake Raw'!$C:$C,Hair!$D103,'Offtake Raw'!$D:$D,Hair!$E103)/1000000</f>
        <v>3.518833433277778</v>
      </c>
      <c r="V103" s="75">
        <f>SUMIFS('Offtake Raw'!X:X,'Offtake Raw'!$C:$C,Hair!$D103,'Offtake Raw'!$D:$D,Hair!$E103)/1000000</f>
        <v>3.3140742082777779</v>
      </c>
      <c r="W103" s="94">
        <f>SUMIFS('Offtake Raw'!Y:Y,'Offtake Raw'!$C:$C,Hair!$D103,'Offtake Raw'!$D:$D,Hair!$E103)/1000000</f>
        <v>3.4156366855555556</v>
      </c>
      <c r="X103" s="75">
        <f>SUMIFS('Offtake Raw'!Z:Z,'Offtake Raw'!$C:$C,Hair!$D103,'Offtake Raw'!$D:$D,Hair!$E103)/1000000</f>
        <v>4.2025833524444449</v>
      </c>
      <c r="Y103" s="75">
        <f>SUMIFS('Offtake Raw'!AA:AA,'Offtake Raw'!$C:$C,Hair!$D103,'Offtake Raw'!$D:$D,Hair!$E103)/1000000</f>
        <v>2.8864217699444441</v>
      </c>
      <c r="Z103" s="75">
        <f>SUMIFS('Offtake Raw'!AB:AB,'Offtake Raw'!$C:$C,Hair!$D103,'Offtake Raw'!$D:$D,Hair!$E103)/1000000</f>
        <v>2.1527390145555554</v>
      </c>
      <c r="AA103" s="75">
        <f>SUMIFS('Offtake Raw'!AC:AC,'Offtake Raw'!$C:$C,Hair!$D103,'Offtake Raw'!$D:$D,Hair!$E103)/1000000</f>
        <v>3.4509368771111109</v>
      </c>
      <c r="AB103" s="75">
        <f>SUMIFS('Offtake Raw'!AD:AD,'Offtake Raw'!$C:$C,Hair!$D103,'Offtake Raw'!$D:$D,Hair!$E103)/1000000</f>
        <v>4.6227577064444443</v>
      </c>
      <c r="AC103" s="75">
        <f>SUMIFS('Offtake Raw'!AE:AE,'Offtake Raw'!$C:$C,Hair!$D103,'Offtake Raw'!$D:$D,Hair!$E103)/1000000</f>
        <v>8.3589769959444453</v>
      </c>
      <c r="AD103" s="75">
        <f>SUMIFS('Offtake Raw'!AF:AF,'Offtake Raw'!$C:$C,Hair!$D103,'Offtake Raw'!$D:$D,Hair!$E103)/1000000</f>
        <v>3.902125342777778</v>
      </c>
      <c r="AE103" s="75">
        <f>SUMIFS('Offtake Raw'!AG:AG,'Offtake Raw'!$C:$C,Hair!$D103,'Offtake Raw'!$D:$D,Hair!$E103)/1000000</f>
        <v>2.785213802944444</v>
      </c>
      <c r="AF103" s="75">
        <f>SUMIFS('Offtake Raw'!AH:AH,'Offtake Raw'!$C:$C,Hair!$D103,'Offtake Raw'!$D:$D,Hair!$E103)/1000000</f>
        <v>2.2412416944999998</v>
      </c>
      <c r="AG103" s="75">
        <f>SUMIFS('Offtake Raw'!AI:AI,'Offtake Raw'!$C:$C,Hair!$D103,'Offtake Raw'!$D:$D,Hair!$E103)/1000000</f>
        <v>3.0350952182777777</v>
      </c>
      <c r="AH103" s="75">
        <f t="shared" ref="AH103:AI105" si="134">AH107+AH111</f>
        <v>2.9000000000000004</v>
      </c>
      <c r="AI103" s="94">
        <f t="shared" si="134"/>
        <v>3.4000000000000004</v>
      </c>
      <c r="AJ103" s="238"/>
      <c r="AK103" s="320">
        <v>2.9000000000000004</v>
      </c>
      <c r="AL103" s="262">
        <f t="shared" si="124"/>
        <v>0.13509521827777737</v>
      </c>
      <c r="AM103" s="238"/>
      <c r="AN103" s="156">
        <f t="shared" si="125"/>
        <v>86.252881127442279</v>
      </c>
      <c r="AO103" s="147">
        <f t="shared" si="126"/>
        <v>143.05633865114123</v>
      </c>
      <c r="AP103" s="147">
        <f t="shared" si="127"/>
        <v>92.505091579343372</v>
      </c>
      <c r="AQ103" s="147">
        <f t="shared" si="128"/>
        <v>186.63794204390697</v>
      </c>
      <c r="AR103" s="147">
        <f t="shared" si="129"/>
        <v>195.03983141983946</v>
      </c>
      <c r="AS103" s="147">
        <f t="shared" ref="AS103:AS105" si="135">IFERROR(SUM(AD103:AF103)/SUM(R103:T103)*100,"NA")</f>
        <v>94.842048950802109</v>
      </c>
      <c r="AT103" s="147">
        <f t="shared" si="130"/>
        <v>91.087035585952151</v>
      </c>
      <c r="AU103" s="147">
        <f t="shared" si="131"/>
        <v>191.92974342805599</v>
      </c>
      <c r="AV103" s="147">
        <f t="shared" si="132"/>
        <v>92.884870367547222</v>
      </c>
      <c r="AW103" s="155">
        <f t="shared" si="133"/>
        <v>132.98578992828874</v>
      </c>
    </row>
    <row r="104" spans="1:49">
      <c r="A104" s="271" t="s">
        <v>77</v>
      </c>
      <c r="B104" s="22" t="s">
        <v>83</v>
      </c>
      <c r="C104" s="22" t="s">
        <v>4</v>
      </c>
      <c r="D104" s="22" t="s">
        <v>5</v>
      </c>
      <c r="E104" s="23" t="s">
        <v>88</v>
      </c>
      <c r="F104" s="24">
        <f>SUMIFS('Offtake Raw'!H:H,'Offtake Raw'!$C:$C,Hair!$D104,'Offtake Raw'!$D:$D,Hair!$E104)/1000000</f>
        <v>0</v>
      </c>
      <c r="G104" s="24">
        <f>SUMIFS('Offtake Raw'!I:I,'Offtake Raw'!$C:$C,Hair!$D104,'Offtake Raw'!$D:$D,Hair!$E104)/1000000</f>
        <v>0</v>
      </c>
      <c r="H104" s="24">
        <f>SUMIFS('Offtake Raw'!J:J,'Offtake Raw'!$C:$C,Hair!$D104,'Offtake Raw'!$D:$D,Hair!$E104)/1000000</f>
        <v>0</v>
      </c>
      <c r="I104" s="24">
        <f>SUMIFS('Offtake Raw'!K:K,'Offtake Raw'!$C:$C,Hair!$D104,'Offtake Raw'!$D:$D,Hair!$E104)/1000000</f>
        <v>0</v>
      </c>
      <c r="J104" s="24">
        <f>SUMIFS('Offtake Raw'!L:L,'Offtake Raw'!$C:$C,Hair!$D104,'Offtake Raw'!$D:$D,Hair!$E104)/1000000</f>
        <v>0</v>
      </c>
      <c r="K104" s="25">
        <f>SUMIFS('Offtake Raw'!M:M,'Offtake Raw'!$C:$C,Hair!$D104,'Offtake Raw'!$D:$D,Hair!$E104)/1000000</f>
        <v>0</v>
      </c>
      <c r="L104" s="24">
        <f>SUMIFS('Offtake Raw'!N:N,'Offtake Raw'!$C:$C,Hair!$D104,'Offtake Raw'!$D:$D,Hair!$E104)/1000000</f>
        <v>0</v>
      </c>
      <c r="M104" s="24">
        <f>SUMIFS('Offtake Raw'!O:O,'Offtake Raw'!$C:$C,Hair!$D104,'Offtake Raw'!$D:$D,Hair!$E104)/1000000</f>
        <v>0</v>
      </c>
      <c r="N104" s="24">
        <f>SUMIFS('Offtake Raw'!P:P,'Offtake Raw'!$C:$C,Hair!$D104,'Offtake Raw'!$D:$D,Hair!$E104)/1000000</f>
        <v>0</v>
      </c>
      <c r="O104" s="24">
        <f>SUMIFS('Offtake Raw'!Q:Q,'Offtake Raw'!$C:$C,Hair!$D104,'Offtake Raw'!$D:$D,Hair!$E104)/1000000</f>
        <v>0</v>
      </c>
      <c r="P104" s="24">
        <f>SUMIFS('Offtake Raw'!R:R,'Offtake Raw'!$C:$C,Hair!$D104,'Offtake Raw'!$D:$D,Hair!$E104)/1000000</f>
        <v>0</v>
      </c>
      <c r="Q104" s="24">
        <f>SUMIFS('Offtake Raw'!S:S,'Offtake Raw'!$C:$C,Hair!$D104,'Offtake Raw'!$D:$D,Hair!$E104)/1000000</f>
        <v>0</v>
      </c>
      <c r="R104" s="24">
        <f>SUMIFS('Offtake Raw'!T:T,'Offtake Raw'!$C:$C,Hair!$D104,'Offtake Raw'!$D:$D,Hair!$E104)/1000000</f>
        <v>0</v>
      </c>
      <c r="S104" s="24">
        <f>SUMIFS('Offtake Raw'!U:U,'Offtake Raw'!$C:$C,Hair!$D104,'Offtake Raw'!$D:$D,Hair!$E104)/1000000</f>
        <v>0</v>
      </c>
      <c r="T104" s="24">
        <f>SUMIFS('Offtake Raw'!V:V,'Offtake Raw'!$C:$C,Hair!$D104,'Offtake Raw'!$D:$D,Hair!$E104)/1000000</f>
        <v>0</v>
      </c>
      <c r="U104" s="24">
        <f>SUMIFS('Offtake Raw'!W:W,'Offtake Raw'!$C:$C,Hair!$D104,'Offtake Raw'!$D:$D,Hair!$E104)/1000000</f>
        <v>0</v>
      </c>
      <c r="V104" s="24">
        <f>SUMIFS('Offtake Raw'!X:X,'Offtake Raw'!$C:$C,Hair!$D104,'Offtake Raw'!$D:$D,Hair!$E104)/1000000</f>
        <v>0</v>
      </c>
      <c r="W104" s="25">
        <f>SUMIFS('Offtake Raw'!Y:Y,'Offtake Raw'!$C:$C,Hair!$D104,'Offtake Raw'!$D:$D,Hair!$E104)/1000000</f>
        <v>0</v>
      </c>
      <c r="X104" s="24">
        <f>SUMIFS('Offtake Raw'!Z:Z,'Offtake Raw'!$C:$C,Hair!$D104,'Offtake Raw'!$D:$D,Hair!$E104)/1000000</f>
        <v>0</v>
      </c>
      <c r="Y104" s="24">
        <f>SUMIFS('Offtake Raw'!AA:AA,'Offtake Raw'!$C:$C,Hair!$D104,'Offtake Raw'!$D:$D,Hair!$E104)/1000000</f>
        <v>0</v>
      </c>
      <c r="Z104" s="24">
        <f>SUMIFS('Offtake Raw'!AB:AB,'Offtake Raw'!$C:$C,Hair!$D104,'Offtake Raw'!$D:$D,Hair!$E104)/1000000</f>
        <v>0</v>
      </c>
      <c r="AA104" s="24">
        <f>SUMIFS('Offtake Raw'!AC:AC,'Offtake Raw'!$C:$C,Hair!$D104,'Offtake Raw'!$D:$D,Hair!$E104)/1000000</f>
        <v>0</v>
      </c>
      <c r="AB104" s="24">
        <f>SUMIFS('Offtake Raw'!AD:AD,'Offtake Raw'!$C:$C,Hair!$D104,'Offtake Raw'!$D:$D,Hair!$E104)/1000000</f>
        <v>2.8499999999999999E-4</v>
      </c>
      <c r="AC104" s="24">
        <f>SUMIFS('Offtake Raw'!AE:AE,'Offtake Raw'!$C:$C,Hair!$D104,'Offtake Raw'!$D:$D,Hair!$E104)/1000000</f>
        <v>0.32689499999999999</v>
      </c>
      <c r="AD104" s="24">
        <f>SUMIFS('Offtake Raw'!AF:AF,'Offtake Raw'!$C:$C,Hair!$D104,'Offtake Raw'!$D:$D,Hair!$E104)/1000000</f>
        <v>0.54634499999999997</v>
      </c>
      <c r="AE104" s="24">
        <f>SUMIFS('Offtake Raw'!AG:AG,'Offtake Raw'!$C:$C,Hair!$D104,'Offtake Raw'!$D:$D,Hair!$E104)/1000000</f>
        <v>0.40156500000000001</v>
      </c>
      <c r="AF104" s="24">
        <f>SUMIFS('Offtake Raw'!AH:AH,'Offtake Raw'!$C:$C,Hair!$D104,'Offtake Raw'!$D:$D,Hair!$E104)/1000000</f>
        <v>0.29098499999999999</v>
      </c>
      <c r="AG104" s="24">
        <f>SUMIFS('Offtake Raw'!AI:AI,'Offtake Raw'!$C:$C,Hair!$D104,'Offtake Raw'!$D:$D,Hair!$E104)/1000000</f>
        <v>0.416765</v>
      </c>
      <c r="AH104" s="24">
        <f t="shared" si="134"/>
        <v>0.3</v>
      </c>
      <c r="AI104" s="25">
        <f t="shared" si="134"/>
        <v>0.5</v>
      </c>
      <c r="AJ104" s="238"/>
      <c r="AK104" s="282">
        <v>0.3</v>
      </c>
      <c r="AL104" s="263">
        <f t="shared" si="124"/>
        <v>0.11676500000000001</v>
      </c>
      <c r="AM104" s="238"/>
      <c r="AN104" s="154" t="str">
        <f t="shared" si="125"/>
        <v>NA</v>
      </c>
      <c r="AO104" s="147" t="str">
        <f t="shared" si="126"/>
        <v>NA</v>
      </c>
      <c r="AP104" s="147" t="str">
        <f t="shared" si="127"/>
        <v>NA</v>
      </c>
      <c r="AQ104" s="147" t="str">
        <f t="shared" si="128"/>
        <v>NA</v>
      </c>
      <c r="AR104" s="147" t="str">
        <f t="shared" si="129"/>
        <v>NA</v>
      </c>
      <c r="AS104" s="147" t="str">
        <f t="shared" si="135"/>
        <v>NA</v>
      </c>
      <c r="AT104" s="147" t="str">
        <f t="shared" si="130"/>
        <v>NA</v>
      </c>
      <c r="AU104" s="147" t="str">
        <f t="shared" si="131"/>
        <v>NA</v>
      </c>
      <c r="AV104" s="147" t="str">
        <f t="shared" si="132"/>
        <v>NA</v>
      </c>
      <c r="AW104" s="155" t="str">
        <f t="shared" si="133"/>
        <v>NA</v>
      </c>
    </row>
    <row r="105" spans="1:49">
      <c r="A105" s="271" t="s">
        <v>77</v>
      </c>
      <c r="B105" s="22" t="s">
        <v>83</v>
      </c>
      <c r="C105" s="22" t="s">
        <v>4</v>
      </c>
      <c r="D105" s="22" t="s">
        <v>5</v>
      </c>
      <c r="E105" s="23" t="s">
        <v>7</v>
      </c>
      <c r="F105" s="24">
        <f>SUMIFS('Offtake Raw'!H:H,'Offtake Raw'!$C:$C,Hair!$D105,'Offtake Raw'!$D:$D,Hair!$E105)/1000000</f>
        <v>0.67746960000000012</v>
      </c>
      <c r="G105" s="24">
        <f>SUMIFS('Offtake Raw'!I:I,'Offtake Raw'!$C:$C,Hair!$D105,'Offtake Raw'!$D:$D,Hair!$E105)/1000000</f>
        <v>1.2881932000000003</v>
      </c>
      <c r="H105" s="24">
        <f>SUMIFS('Offtake Raw'!J:J,'Offtake Raw'!$C:$C,Hair!$D105,'Offtake Raw'!$D:$D,Hair!$E105)/1000000</f>
        <v>0.73984640000000002</v>
      </c>
      <c r="I105" s="24">
        <f>SUMIFS('Offtake Raw'!K:K,'Offtake Raw'!$C:$C,Hair!$D105,'Offtake Raw'!$D:$D,Hair!$E105)/1000000</f>
        <v>0.67275560000000012</v>
      </c>
      <c r="J105" s="24">
        <f>SUMIFS('Offtake Raw'!L:L,'Offtake Raw'!$C:$C,Hair!$D105,'Offtake Raw'!$D:$D,Hair!$E105)/1000000</f>
        <v>0.84493000000000007</v>
      </c>
      <c r="K105" s="25">
        <f>SUMIFS('Offtake Raw'!M:M,'Offtake Raw'!$C:$C,Hair!$D105,'Offtake Raw'!$D:$D,Hair!$E105)/1000000</f>
        <v>0.74804240000000011</v>
      </c>
      <c r="L105" s="24">
        <f>SUMIFS('Offtake Raw'!N:N,'Offtake Raw'!$C:$C,Hair!$D105,'Offtake Raw'!$D:$D,Hair!$E105)/1000000</f>
        <v>0.62303359999999997</v>
      </c>
      <c r="M105" s="24">
        <f>SUMIFS('Offtake Raw'!O:O,'Offtake Raw'!$C:$C,Hair!$D105,'Offtake Raw'!$D:$D,Hair!$E105)/1000000</f>
        <v>0.7548948000000002</v>
      </c>
      <c r="N105" s="24">
        <f>SUMIFS('Offtake Raw'!P:P,'Offtake Raw'!$C:$C,Hair!$D105,'Offtake Raw'!$D:$D,Hair!$E105)/1000000</f>
        <v>0.60749679999999995</v>
      </c>
      <c r="O105" s="24">
        <f>SUMIFS('Offtake Raw'!Q:Q,'Offtake Raw'!$C:$C,Hair!$D105,'Offtake Raw'!$D:$D,Hair!$E105)/1000000</f>
        <v>0.63363600000000009</v>
      </c>
      <c r="P105" s="24">
        <f>SUMIFS('Offtake Raw'!R:R,'Offtake Raw'!$C:$C,Hair!$D105,'Offtake Raw'!$D:$D,Hair!$E105)/1000000</f>
        <v>0.74819880000000005</v>
      </c>
      <c r="Q105" s="24">
        <f>SUMIFS('Offtake Raw'!S:S,'Offtake Raw'!$C:$C,Hair!$D105,'Offtake Raw'!$D:$D,Hair!$E105)/1000000</f>
        <v>0.63295000000000012</v>
      </c>
      <c r="R105" s="24">
        <f>SUMIFS('Offtake Raw'!T:T,'Offtake Raw'!$C:$C,Hair!$D105,'Offtake Raw'!$D:$D,Hair!$E105)/1000000</f>
        <v>0.61815680000000006</v>
      </c>
      <c r="S105" s="24">
        <f>SUMIFS('Offtake Raw'!U:U,'Offtake Raw'!$C:$C,Hair!$D105,'Offtake Raw'!$D:$D,Hair!$E105)/1000000</f>
        <v>0.99354720000000007</v>
      </c>
      <c r="T105" s="24">
        <f>SUMIFS('Offtake Raw'!V:V,'Offtake Raw'!$C:$C,Hair!$D105,'Offtake Raw'!$D:$D,Hair!$E105)/1000000</f>
        <v>0.57189120000000004</v>
      </c>
      <c r="U105" s="24">
        <f>SUMIFS('Offtake Raw'!W:W,'Offtake Raw'!$C:$C,Hair!$D105,'Offtake Raw'!$D:$D,Hair!$E105)/1000000</f>
        <v>0.50663240000000009</v>
      </c>
      <c r="V105" s="24">
        <f>SUMIFS('Offtake Raw'!X:X,'Offtake Raw'!$C:$C,Hair!$D105,'Offtake Raw'!$D:$D,Hair!$E105)/1000000</f>
        <v>0.81969720000000001</v>
      </c>
      <c r="W105" s="25">
        <f>SUMIFS('Offtake Raw'!Y:Y,'Offtake Raw'!$C:$C,Hair!$D105,'Offtake Raw'!$D:$D,Hair!$E105)/1000000</f>
        <v>0.56677200000000005</v>
      </c>
      <c r="X105" s="24">
        <f>SUMIFS('Offtake Raw'!Z:Z,'Offtake Raw'!$C:$C,Hair!$D105,'Offtake Raw'!$D:$D,Hair!$E105)/1000000</f>
        <v>0.63354999999999995</v>
      </c>
      <c r="Y105" s="24">
        <f>SUMIFS('Offtake Raw'!AA:AA,'Offtake Raw'!$C:$C,Hair!$D105,'Offtake Raw'!$D:$D,Hair!$E105)/1000000</f>
        <v>0.59008040000000006</v>
      </c>
      <c r="Z105" s="24">
        <f>SUMIFS('Offtake Raw'!AB:AB,'Offtake Raw'!$C:$C,Hair!$D105,'Offtake Raw'!$D:$D,Hair!$E105)/1000000</f>
        <v>0.4452644</v>
      </c>
      <c r="AA105" s="24">
        <f>SUMIFS('Offtake Raw'!AC:AC,'Offtake Raw'!$C:$C,Hair!$D105,'Offtake Raw'!$D:$D,Hair!$E105)/1000000</f>
        <v>0.58445999999999998</v>
      </c>
      <c r="AB105" s="24">
        <f>SUMIFS('Offtake Raw'!AD:AD,'Offtake Raw'!$C:$C,Hair!$D105,'Offtake Raw'!$D:$D,Hair!$E105)/1000000</f>
        <v>0.66374920000000004</v>
      </c>
      <c r="AC105" s="24">
        <f>SUMIFS('Offtake Raw'!AE:AE,'Offtake Raw'!$C:$C,Hair!$D105,'Offtake Raw'!$D:$D,Hair!$E105)/1000000</f>
        <v>1.0821244000000001</v>
      </c>
      <c r="AD105" s="24">
        <f>SUMIFS('Offtake Raw'!AF:AF,'Offtake Raw'!$C:$C,Hair!$D105,'Offtake Raw'!$D:$D,Hair!$E105)/1000000</f>
        <v>1.0177719999999999</v>
      </c>
      <c r="AE105" s="24">
        <f>SUMIFS('Offtake Raw'!AG:AG,'Offtake Raw'!$C:$C,Hair!$D105,'Offtake Raw'!$D:$D,Hair!$E105)/1000000</f>
        <v>0.87218040000000008</v>
      </c>
      <c r="AF105" s="24">
        <f>SUMIFS('Offtake Raw'!AH:AH,'Offtake Raw'!$C:$C,Hair!$D105,'Offtake Raw'!$D:$D,Hair!$E105)/1000000</f>
        <v>0.61340159999999999</v>
      </c>
      <c r="AG105" s="24">
        <f>SUMIFS('Offtake Raw'!AI:AI,'Offtake Raw'!$C:$C,Hair!$D105,'Offtake Raw'!$D:$D,Hair!$E105)/1000000</f>
        <v>0.86457373333333343</v>
      </c>
      <c r="AH105" s="24">
        <f t="shared" si="134"/>
        <v>0.7</v>
      </c>
      <c r="AI105" s="25">
        <f t="shared" si="134"/>
        <v>0.7</v>
      </c>
      <c r="AJ105" s="238"/>
      <c r="AK105" s="283">
        <v>0.7</v>
      </c>
      <c r="AL105" s="264">
        <f t="shared" si="124"/>
        <v>0.16457373333333347</v>
      </c>
      <c r="AM105" s="238"/>
      <c r="AN105" s="156">
        <f t="shared" si="125"/>
        <v>170.6510940345176</v>
      </c>
      <c r="AO105" s="83">
        <f t="shared" si="126"/>
        <v>110.11471257624964</v>
      </c>
      <c r="AP105" s="83">
        <f t="shared" si="127"/>
        <v>125.19118208932707</v>
      </c>
      <c r="AQ105" s="83">
        <f t="shared" si="128"/>
        <v>84.057299161912525</v>
      </c>
      <c r="AR105" s="83">
        <f t="shared" si="129"/>
        <v>115.6616627244756</v>
      </c>
      <c r="AS105" s="83">
        <f t="shared" si="135"/>
        <v>114.64368487346006</v>
      </c>
      <c r="AT105" s="83">
        <f t="shared" si="130"/>
        <v>119.62240871453136</v>
      </c>
      <c r="AU105" s="83">
        <f t="shared" si="131"/>
        <v>99.975461288282375</v>
      </c>
      <c r="AV105" s="83">
        <f t="shared" si="132"/>
        <v>116.95566207752641</v>
      </c>
      <c r="AW105" s="84">
        <f t="shared" si="133"/>
        <v>108.54596134913102</v>
      </c>
    </row>
    <row r="106" spans="1:49" outlineLevel="1">
      <c r="A106" s="303" t="s">
        <v>77</v>
      </c>
      <c r="B106" s="122" t="s">
        <v>715</v>
      </c>
      <c r="C106" s="122" t="s">
        <v>4</v>
      </c>
      <c r="D106" s="122" t="s">
        <v>5</v>
      </c>
      <c r="E106" s="123" t="s">
        <v>83</v>
      </c>
      <c r="F106" s="124"/>
      <c r="G106" s="124"/>
      <c r="H106" s="124"/>
      <c r="I106" s="124"/>
      <c r="J106" s="124"/>
      <c r="K106" s="125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5"/>
      <c r="X106" s="124"/>
      <c r="Y106" s="124"/>
      <c r="Z106" s="124"/>
      <c r="AA106" s="124"/>
      <c r="AB106" s="124"/>
      <c r="AC106" s="124"/>
      <c r="AD106" s="124">
        <f t="shared" ref="AD106:AI106" si="136">AD109+AD108+AD107</f>
        <v>3.7</v>
      </c>
      <c r="AE106" s="124">
        <f t="shared" si="136"/>
        <v>4.2</v>
      </c>
      <c r="AF106" s="124">
        <f t="shared" si="136"/>
        <v>4.2</v>
      </c>
      <c r="AG106" s="124">
        <f t="shared" si="136"/>
        <v>4.2</v>
      </c>
      <c r="AH106" s="124">
        <f t="shared" si="136"/>
        <v>4.2</v>
      </c>
      <c r="AI106" s="125">
        <f t="shared" si="136"/>
        <v>4.2</v>
      </c>
      <c r="AK106" s="245"/>
    </row>
    <row r="107" spans="1:49" outlineLevel="1">
      <c r="A107" s="271" t="s">
        <v>77</v>
      </c>
      <c r="B107" s="22" t="s">
        <v>715</v>
      </c>
      <c r="C107" s="22" t="s">
        <v>4</v>
      </c>
      <c r="D107" s="22" t="s">
        <v>5</v>
      </c>
      <c r="E107" s="23" t="s">
        <v>6</v>
      </c>
      <c r="F107" s="75"/>
      <c r="G107" s="75"/>
      <c r="H107" s="75"/>
      <c r="I107" s="75"/>
      <c r="J107" s="75"/>
      <c r="K107" s="94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94"/>
      <c r="X107" s="75"/>
      <c r="Y107" s="75"/>
      <c r="Z107" s="75"/>
      <c r="AA107" s="75"/>
      <c r="AB107" s="75"/>
      <c r="AC107" s="75"/>
      <c r="AD107" s="75">
        <v>3</v>
      </c>
      <c r="AE107" s="75">
        <v>3.2</v>
      </c>
      <c r="AF107" s="75">
        <v>3.2</v>
      </c>
      <c r="AG107" s="75">
        <v>3.2</v>
      </c>
      <c r="AH107" s="75">
        <v>3.2</v>
      </c>
      <c r="AI107" s="94">
        <v>3.2</v>
      </c>
      <c r="AK107" s="245"/>
    </row>
    <row r="108" spans="1:49" outlineLevel="1">
      <c r="A108" s="271" t="s">
        <v>77</v>
      </c>
      <c r="B108" s="22" t="s">
        <v>715</v>
      </c>
      <c r="C108" s="22" t="s">
        <v>4</v>
      </c>
      <c r="D108" s="22" t="s">
        <v>5</v>
      </c>
      <c r="E108" s="23" t="s">
        <v>88</v>
      </c>
      <c r="F108" s="24"/>
      <c r="G108" s="24"/>
      <c r="H108" s="24"/>
      <c r="I108" s="24"/>
      <c r="J108" s="24"/>
      <c r="K108" s="25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5"/>
      <c r="X108" s="24"/>
      <c r="Y108" s="24"/>
      <c r="Z108" s="24"/>
      <c r="AA108" s="24"/>
      <c r="AB108" s="24"/>
      <c r="AC108" s="24"/>
      <c r="AD108" s="24">
        <v>0.1</v>
      </c>
      <c r="AE108" s="24">
        <v>0.3</v>
      </c>
      <c r="AF108" s="24">
        <v>0.3</v>
      </c>
      <c r="AG108" s="24">
        <v>0.3</v>
      </c>
      <c r="AH108" s="24">
        <v>0.3</v>
      </c>
      <c r="AI108" s="25">
        <v>0.3</v>
      </c>
      <c r="AK108" s="245"/>
    </row>
    <row r="109" spans="1:49" outlineLevel="1">
      <c r="A109" s="271" t="s">
        <v>77</v>
      </c>
      <c r="B109" s="22" t="s">
        <v>715</v>
      </c>
      <c r="C109" s="22" t="s">
        <v>4</v>
      </c>
      <c r="D109" s="22" t="s">
        <v>5</v>
      </c>
      <c r="E109" s="23" t="s">
        <v>7</v>
      </c>
      <c r="F109" s="24"/>
      <c r="G109" s="24"/>
      <c r="H109" s="24"/>
      <c r="I109" s="24"/>
      <c r="J109" s="24"/>
      <c r="K109" s="25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5"/>
      <c r="X109" s="24"/>
      <c r="Y109" s="24"/>
      <c r="Z109" s="24"/>
      <c r="AA109" s="24"/>
      <c r="AB109" s="24"/>
      <c r="AC109" s="24"/>
      <c r="AD109" s="24">
        <v>0.6</v>
      </c>
      <c r="AE109" s="24">
        <v>0.7</v>
      </c>
      <c r="AF109" s="24">
        <v>0.7</v>
      </c>
      <c r="AG109" s="24">
        <v>0.7</v>
      </c>
      <c r="AH109" s="24">
        <v>0.7</v>
      </c>
      <c r="AI109" s="25">
        <v>0.7</v>
      </c>
      <c r="AK109" s="245"/>
    </row>
    <row r="110" spans="1:49" outlineLevel="1">
      <c r="A110" s="303" t="s">
        <v>77</v>
      </c>
      <c r="B110" s="122" t="s">
        <v>717</v>
      </c>
      <c r="C110" s="122" t="s">
        <v>4</v>
      </c>
      <c r="D110" s="122" t="s">
        <v>5</v>
      </c>
      <c r="E110" s="123" t="s">
        <v>83</v>
      </c>
      <c r="F110" s="124"/>
      <c r="G110" s="124"/>
      <c r="H110" s="124"/>
      <c r="I110" s="124"/>
      <c r="J110" s="124"/>
      <c r="K110" s="125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5"/>
      <c r="X110" s="124"/>
      <c r="Y110" s="124"/>
      <c r="Z110" s="124"/>
      <c r="AA110" s="124"/>
      <c r="AB110" s="124"/>
      <c r="AC110" s="124"/>
      <c r="AD110" s="124">
        <f t="shared" ref="AD110:AI110" si="137">AD113+AD112+AD111</f>
        <v>1</v>
      </c>
      <c r="AE110" s="124">
        <f t="shared" si="137"/>
        <v>0</v>
      </c>
      <c r="AF110" s="124">
        <f t="shared" si="137"/>
        <v>0</v>
      </c>
      <c r="AG110" s="124">
        <f t="shared" si="137"/>
        <v>-0.3</v>
      </c>
      <c r="AH110" s="124">
        <f t="shared" si="137"/>
        <v>-0.3</v>
      </c>
      <c r="AI110" s="125">
        <f t="shared" si="137"/>
        <v>0.4</v>
      </c>
      <c r="AK110" s="245"/>
    </row>
    <row r="111" spans="1:49" outlineLevel="1">
      <c r="A111" s="271" t="s">
        <v>77</v>
      </c>
      <c r="B111" s="22" t="s">
        <v>717</v>
      </c>
      <c r="C111" s="22" t="s">
        <v>4</v>
      </c>
      <c r="D111" s="22" t="s">
        <v>5</v>
      </c>
      <c r="E111" s="23" t="s">
        <v>6</v>
      </c>
      <c r="F111" s="75"/>
      <c r="G111" s="75"/>
      <c r="H111" s="75"/>
      <c r="I111" s="75"/>
      <c r="J111" s="75"/>
      <c r="K111" s="94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94"/>
      <c r="X111" s="75"/>
      <c r="Y111" s="75"/>
      <c r="Z111" s="75"/>
      <c r="AA111" s="75"/>
      <c r="AB111" s="75"/>
      <c r="AC111" s="75"/>
      <c r="AD111" s="75">
        <v>1</v>
      </c>
      <c r="AE111" s="75"/>
      <c r="AF111" s="75"/>
      <c r="AG111" s="227">
        <v>-0.3</v>
      </c>
      <c r="AH111" s="75">
        <v>-0.3</v>
      </c>
      <c r="AI111" s="94">
        <v>0.2</v>
      </c>
      <c r="AK111" s="245"/>
    </row>
    <row r="112" spans="1:49" outlineLevel="1">
      <c r="A112" s="271" t="s">
        <v>77</v>
      </c>
      <c r="B112" s="22" t="s">
        <v>717</v>
      </c>
      <c r="C112" s="22" t="s">
        <v>4</v>
      </c>
      <c r="D112" s="22" t="s">
        <v>5</v>
      </c>
      <c r="E112" s="23" t="s">
        <v>88</v>
      </c>
      <c r="F112" s="24"/>
      <c r="G112" s="24"/>
      <c r="H112" s="24"/>
      <c r="I112" s="24"/>
      <c r="J112" s="24"/>
      <c r="K112" s="25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5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5">
        <v>0.2</v>
      </c>
      <c r="AK112" s="245"/>
    </row>
    <row r="113" spans="1:49" outlineLevel="1">
      <c r="A113" s="271" t="s">
        <v>77</v>
      </c>
      <c r="B113" s="22" t="s">
        <v>717</v>
      </c>
      <c r="C113" s="22" t="s">
        <v>4</v>
      </c>
      <c r="D113" s="22" t="s">
        <v>5</v>
      </c>
      <c r="E113" s="23" t="s">
        <v>7</v>
      </c>
      <c r="F113" s="24"/>
      <c r="G113" s="24"/>
      <c r="H113" s="24"/>
      <c r="I113" s="24"/>
      <c r="J113" s="24"/>
      <c r="K113" s="25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5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5"/>
      <c r="AK113" s="245"/>
    </row>
    <row r="114" spans="1:49">
      <c r="A114" s="305" t="s">
        <v>709</v>
      </c>
      <c r="B114" s="126" t="s">
        <v>710</v>
      </c>
      <c r="C114" s="126" t="s">
        <v>4</v>
      </c>
      <c r="D114" s="126" t="s">
        <v>5</v>
      </c>
      <c r="E114" s="127" t="s">
        <v>83</v>
      </c>
      <c r="F114" s="130">
        <f>F115+F116+F117</f>
        <v>5.449372380999999</v>
      </c>
      <c r="G114" s="130">
        <f t="shared" ref="G114:AI114" si="138">G115+G116+G117</f>
        <v>2.1369736320000001</v>
      </c>
      <c r="H114" s="130">
        <f t="shared" si="138"/>
        <v>1.408005576000003</v>
      </c>
      <c r="I114" s="130">
        <f t="shared" si="138"/>
        <v>1.342539804999999</v>
      </c>
      <c r="J114" s="130">
        <f t="shared" si="138"/>
        <v>4.6112263510000018</v>
      </c>
      <c r="K114" s="131">
        <f t="shared" si="138"/>
        <v>1.8152840520000015</v>
      </c>
      <c r="L114" s="130">
        <f t="shared" si="138"/>
        <v>1.9949193360000017</v>
      </c>
      <c r="M114" s="130">
        <f t="shared" si="138"/>
        <v>2.1872521320000025</v>
      </c>
      <c r="N114" s="130">
        <f t="shared" si="138"/>
        <v>3.6778469800000004</v>
      </c>
      <c r="O114" s="130">
        <f t="shared" si="138"/>
        <v>2.6886611520000008</v>
      </c>
      <c r="P114" s="130">
        <f t="shared" si="138"/>
        <v>3.4650441960000018</v>
      </c>
      <c r="Q114" s="130">
        <f t="shared" si="138"/>
        <v>3.8296496000000015</v>
      </c>
      <c r="R114" s="130">
        <f t="shared" si="138"/>
        <v>3.8221774800000006</v>
      </c>
      <c r="S114" s="130">
        <f t="shared" si="138"/>
        <v>7.0261707639999988</v>
      </c>
      <c r="T114" s="130">
        <f t="shared" si="138"/>
        <v>3.3835794959999994</v>
      </c>
      <c r="U114" s="130">
        <f t="shared" si="138"/>
        <v>3.4450871279999991</v>
      </c>
      <c r="V114" s="130">
        <f t="shared" si="138"/>
        <v>2.1346764760000023</v>
      </c>
      <c r="W114" s="131">
        <f t="shared" si="138"/>
        <v>4.203299976000002</v>
      </c>
      <c r="X114" s="130">
        <f t="shared" si="138"/>
        <v>4.0164021080000003</v>
      </c>
      <c r="Y114" s="130">
        <f t="shared" si="138"/>
        <v>4.5208517360000036</v>
      </c>
      <c r="Z114" s="130">
        <f t="shared" si="138"/>
        <v>2.4241248520000021</v>
      </c>
      <c r="AA114" s="130">
        <f t="shared" si="138"/>
        <v>4.2026589599999982</v>
      </c>
      <c r="AB114" s="130">
        <f t="shared" si="138"/>
        <v>6.1902954880000021</v>
      </c>
      <c r="AC114" s="130">
        <f t="shared" si="138"/>
        <v>12.945236183399997</v>
      </c>
      <c r="AD114" s="130">
        <f t="shared" si="138"/>
        <v>6.25</v>
      </c>
      <c r="AE114" s="130">
        <f t="shared" si="138"/>
        <v>5.3900000000000006</v>
      </c>
      <c r="AF114" s="130">
        <f t="shared" si="138"/>
        <v>2.81</v>
      </c>
      <c r="AG114" s="130">
        <f t="shared" si="138"/>
        <v>4.72</v>
      </c>
      <c r="AH114" s="130">
        <f t="shared" si="138"/>
        <v>8.6999999999999993</v>
      </c>
      <c r="AI114" s="131">
        <f t="shared" si="138"/>
        <v>6.3000000000000007</v>
      </c>
      <c r="AK114" s="281">
        <v>9.1</v>
      </c>
      <c r="AL114" s="281">
        <f t="shared" ref="AL114:AL117" si="139">AG114-AK114</f>
        <v>-4.38</v>
      </c>
      <c r="AN114" s="156">
        <f t="shared" ref="AN114:AN117" si="140">IFERROR(AG114/U114*100,"NA")</f>
        <v>137.00669459527239</v>
      </c>
      <c r="AO114" s="157">
        <f t="shared" ref="AO114:AO117" si="141">IFERROR(SUM(X114:AG114)/SUM(L114:U114)*100,"NA")</f>
        <v>150.53205198658131</v>
      </c>
      <c r="AP114" s="157">
        <f t="shared" ref="AP114:AP117" si="142">IFERROR(SUM(AD114:AG114)/SUM(R114:U114)*100,"NA")</f>
        <v>108.44591206800811</v>
      </c>
      <c r="AQ114" s="157">
        <f t="shared" ref="AQ114:AQ115" si="143">IFERROR(SUM(X114:Z114)/SUM(L114:N114)*100,"NA")</f>
        <v>139.45741690707032</v>
      </c>
      <c r="AR114" s="157">
        <f t="shared" ref="AR114:AR115" si="144">IFERROR(SUM(AA114:AC114)/SUM(O114:Q114)*100,"NA")</f>
        <v>233.77101939138615</v>
      </c>
      <c r="AS114" s="157">
        <f t="shared" ref="AS114:AS115" si="145">IFERROR(SUM(AD114:AF114)/SUM(R114:T114)*100,"NA")</f>
        <v>101.53227492426828</v>
      </c>
      <c r="AT114" s="157">
        <f t="shared" ref="AT114:AT115" si="146">IFERROR(SUM(AG114:AI114)/SUM(U114:W114)*100,"NA")</f>
        <v>201.57284922807372</v>
      </c>
      <c r="AU114" s="157">
        <f t="shared" ref="AU114:AU115" si="147">IFERROR(SUM(X114:AC114)/SUM(L114:Q114)*100,"NA")</f>
        <v>192.22581160067534</v>
      </c>
      <c r="AV114" s="157">
        <f t="shared" ref="AV114:AV115" si="148">IFERROR(SUM(AD114:AI114)/SUM(R114:W114)*100,"NA")</f>
        <v>142.28612263350172</v>
      </c>
      <c r="AW114" s="158">
        <f t="shared" ref="AW114:AW115" si="149">IFERROR(SUM(X114:AI114)/SUM(L114:W114)*100,"NA")</f>
        <v>163.57440093981523</v>
      </c>
    </row>
    <row r="115" spans="1:49">
      <c r="A115" s="277" t="s">
        <v>709</v>
      </c>
      <c r="B115" s="22" t="s">
        <v>83</v>
      </c>
      <c r="C115" s="22" t="s">
        <v>4</v>
      </c>
      <c r="D115" s="22" t="s">
        <v>5</v>
      </c>
      <c r="E115" s="23" t="s">
        <v>6</v>
      </c>
      <c r="F115" s="75">
        <v>2.8340191809999995</v>
      </c>
      <c r="G115" s="75">
        <v>1.2918532320000002</v>
      </c>
      <c r="H115" s="75">
        <v>1.247911576000003</v>
      </c>
      <c r="I115" s="75">
        <v>1.0174194049999992</v>
      </c>
      <c r="J115" s="75">
        <v>3.6082639510000014</v>
      </c>
      <c r="K115" s="94">
        <v>1.3605312520000017</v>
      </c>
      <c r="L115" s="75">
        <v>1.3935633360000019</v>
      </c>
      <c r="M115" s="75">
        <v>1.5809297320000026</v>
      </c>
      <c r="N115" s="75">
        <v>3.2654149800000005</v>
      </c>
      <c r="O115" s="75">
        <v>2.0127839520000004</v>
      </c>
      <c r="P115" s="75">
        <v>2.8003693960000016</v>
      </c>
      <c r="Q115" s="75">
        <v>2.7169464000000012</v>
      </c>
      <c r="R115" s="75">
        <v>2.3804098799999998</v>
      </c>
      <c r="S115" s="75">
        <v>6.3919183639999986</v>
      </c>
      <c r="T115" s="75">
        <v>3.1237278959999997</v>
      </c>
      <c r="U115" s="75">
        <v>3.0963975279999989</v>
      </c>
      <c r="V115" s="75">
        <v>1.4903192760000028</v>
      </c>
      <c r="W115" s="94">
        <v>3.4653011760000019</v>
      </c>
      <c r="X115" s="75">
        <v>3.568823708</v>
      </c>
      <c r="Y115" s="75">
        <v>3.8015653360000035</v>
      </c>
      <c r="Z115" s="75">
        <v>2.0069752520000024</v>
      </c>
      <c r="AA115" s="75">
        <v>3.6292533599999977</v>
      </c>
      <c r="AB115" s="75">
        <v>5.8041810880000018</v>
      </c>
      <c r="AC115" s="75">
        <v>8.8166321833999994</v>
      </c>
      <c r="AD115" s="75">
        <f>3.79+0.11</f>
        <v>3.9</v>
      </c>
      <c r="AE115" s="75">
        <v>3.52</v>
      </c>
      <c r="AF115" s="75">
        <v>1.84</v>
      </c>
      <c r="AG115" s="75">
        <v>3.53</v>
      </c>
      <c r="AH115" s="75">
        <f t="shared" ref="AH115:AI117" si="150">AH103+AH119+AH123</f>
        <v>6.5</v>
      </c>
      <c r="AI115" s="94">
        <f t="shared" si="150"/>
        <v>4.6000000000000005</v>
      </c>
      <c r="AK115" s="320">
        <v>6.9</v>
      </c>
      <c r="AL115" s="262">
        <f t="shared" si="139"/>
        <v>-3.3700000000000006</v>
      </c>
      <c r="AN115" s="154">
        <f t="shared" si="140"/>
        <v>114.00344975343234</v>
      </c>
      <c r="AO115" s="147">
        <f t="shared" si="141"/>
        <v>140.52146050847466</v>
      </c>
      <c r="AP115" s="147">
        <f t="shared" si="142"/>
        <v>85.3095849633944</v>
      </c>
      <c r="AQ115" s="147">
        <f t="shared" si="143"/>
        <v>150.28048849222395</v>
      </c>
      <c r="AR115" s="147">
        <f t="shared" si="144"/>
        <v>242.36155219918865</v>
      </c>
      <c r="AS115" s="147">
        <f t="shared" si="145"/>
        <v>77.840923840831849</v>
      </c>
      <c r="AT115" s="147">
        <f t="shared" si="146"/>
        <v>181.69358335188406</v>
      </c>
      <c r="AU115" s="147">
        <f t="shared" si="147"/>
        <v>200.63482415329773</v>
      </c>
      <c r="AV115" s="147">
        <f t="shared" si="148"/>
        <v>119.76093459592579</v>
      </c>
      <c r="AW115" s="155">
        <f t="shared" si="149"/>
        <v>152.78873530155877</v>
      </c>
    </row>
    <row r="116" spans="1:49">
      <c r="A116" s="277" t="s">
        <v>709</v>
      </c>
      <c r="B116" s="22" t="s">
        <v>83</v>
      </c>
      <c r="C116" s="22" t="s">
        <v>4</v>
      </c>
      <c r="D116" s="22" t="s">
        <v>5</v>
      </c>
      <c r="E116" s="23" t="s">
        <v>88</v>
      </c>
      <c r="F116" s="24">
        <v>0</v>
      </c>
      <c r="G116" s="24">
        <v>0</v>
      </c>
      <c r="H116" s="24">
        <v>0</v>
      </c>
      <c r="I116" s="24">
        <v>0</v>
      </c>
      <c r="J116" s="24">
        <v>0</v>
      </c>
      <c r="K116" s="25">
        <v>0</v>
      </c>
      <c r="L116" s="24">
        <v>0</v>
      </c>
      <c r="M116" s="24">
        <v>0</v>
      </c>
      <c r="N116" s="24">
        <v>0</v>
      </c>
      <c r="O116" s="24">
        <v>0</v>
      </c>
      <c r="P116" s="24">
        <v>0</v>
      </c>
      <c r="Q116" s="24">
        <v>0</v>
      </c>
      <c r="R116" s="24">
        <v>0</v>
      </c>
      <c r="S116" s="24">
        <v>0</v>
      </c>
      <c r="T116" s="24">
        <v>0</v>
      </c>
      <c r="U116" s="24">
        <v>0</v>
      </c>
      <c r="V116" s="24">
        <v>0</v>
      </c>
      <c r="W116" s="25">
        <v>0</v>
      </c>
      <c r="X116" s="24">
        <v>0</v>
      </c>
      <c r="Y116" s="24">
        <v>0</v>
      </c>
      <c r="Z116" s="24">
        <v>0</v>
      </c>
      <c r="AA116" s="24">
        <v>0</v>
      </c>
      <c r="AB116" s="24">
        <v>0</v>
      </c>
      <c r="AC116" s="24">
        <v>1.34</v>
      </c>
      <c r="AD116" s="24">
        <f>0.85-0.11</f>
        <v>0.74</v>
      </c>
      <c r="AE116" s="24">
        <v>0.63</v>
      </c>
      <c r="AF116" s="24">
        <v>0.22</v>
      </c>
      <c r="AG116" s="24">
        <v>0.52</v>
      </c>
      <c r="AH116" s="24">
        <f t="shared" si="150"/>
        <v>0.5</v>
      </c>
      <c r="AI116" s="25">
        <f t="shared" si="150"/>
        <v>0.7</v>
      </c>
      <c r="AK116" s="282">
        <v>0.3</v>
      </c>
      <c r="AL116" s="263">
        <f t="shared" si="139"/>
        <v>0.22000000000000003</v>
      </c>
      <c r="AN116" s="154" t="str">
        <f t="shared" si="140"/>
        <v>NA</v>
      </c>
      <c r="AO116" s="147" t="str">
        <f t="shared" si="141"/>
        <v>NA</v>
      </c>
      <c r="AP116" s="147" t="str">
        <f t="shared" si="142"/>
        <v>NA</v>
      </c>
      <c r="AQ116" s="147" t="str">
        <f t="shared" ref="AQ116:AQ117" si="151">IFERROR(SUM(X116:Z116)/SUM(L116:N116)*100,"NA")</f>
        <v>NA</v>
      </c>
      <c r="AR116" s="147" t="str">
        <f t="shared" ref="AR116:AR117" si="152">IFERROR(SUM(AA116:AC116)/SUM(O116:Q116)*100,"NA")</f>
        <v>NA</v>
      </c>
      <c r="AS116" s="147" t="str">
        <f t="shared" ref="AS116:AS117" si="153">IFERROR(SUM(AD116:AF116)/SUM(R116:T116)*100,"NA")</f>
        <v>NA</v>
      </c>
      <c r="AT116" s="147" t="str">
        <f t="shared" ref="AT116:AT117" si="154">IFERROR(SUM(AG116:AI116)/SUM(U116:W116)*100,"NA")</f>
        <v>NA</v>
      </c>
      <c r="AU116" s="147" t="str">
        <f t="shared" ref="AU116:AU117" si="155">IFERROR(SUM(X116:AC116)/SUM(L116:Q116)*100,"NA")</f>
        <v>NA</v>
      </c>
      <c r="AV116" s="147" t="str">
        <f t="shared" ref="AV116:AV117" si="156">IFERROR(SUM(AD116:AI116)/SUM(R116:W116)*100,"NA")</f>
        <v>NA</v>
      </c>
      <c r="AW116" s="155" t="str">
        <f t="shared" ref="AW116:AW117" si="157">IFERROR(SUM(X116:AI116)/SUM(L116:W116)*100,"NA")</f>
        <v>NA</v>
      </c>
    </row>
    <row r="117" spans="1:49">
      <c r="A117" s="278" t="s">
        <v>709</v>
      </c>
      <c r="B117" s="31" t="s">
        <v>710</v>
      </c>
      <c r="C117" s="31" t="s">
        <v>4</v>
      </c>
      <c r="D117" s="31" t="s">
        <v>5</v>
      </c>
      <c r="E117" s="119" t="s">
        <v>7</v>
      </c>
      <c r="F117" s="32">
        <v>2.6153531999999995</v>
      </c>
      <c r="G117" s="32">
        <v>0.84512039999999988</v>
      </c>
      <c r="H117" s="32">
        <v>0.16009400000000001</v>
      </c>
      <c r="I117" s="32">
        <v>0.32512039999999987</v>
      </c>
      <c r="J117" s="32">
        <v>1.0029624000000001</v>
      </c>
      <c r="K117" s="33">
        <v>0.45475279999999979</v>
      </c>
      <c r="L117" s="32">
        <v>0.60135599999999978</v>
      </c>
      <c r="M117" s="32">
        <v>0.60632239999999993</v>
      </c>
      <c r="N117" s="32">
        <v>0.41243199999999991</v>
      </c>
      <c r="O117" s="32">
        <v>0.6758772000000004</v>
      </c>
      <c r="P117" s="32">
        <v>0.66467480000000001</v>
      </c>
      <c r="Q117" s="32">
        <v>1.1127032000000006</v>
      </c>
      <c r="R117" s="32">
        <v>1.4417676000000006</v>
      </c>
      <c r="S117" s="32">
        <v>0.63425240000000016</v>
      </c>
      <c r="T117" s="32">
        <v>0.25985159999999985</v>
      </c>
      <c r="U117" s="32">
        <v>0.34868959999999999</v>
      </c>
      <c r="V117" s="32">
        <v>0.64435719999999963</v>
      </c>
      <c r="W117" s="33">
        <v>0.73799880000000029</v>
      </c>
      <c r="X117" s="32">
        <v>0.44757839999999993</v>
      </c>
      <c r="Y117" s="32">
        <v>0.71928639999999999</v>
      </c>
      <c r="Z117" s="32">
        <v>0.41714959999999968</v>
      </c>
      <c r="AA117" s="32">
        <v>0.57340560000000074</v>
      </c>
      <c r="AB117" s="32">
        <v>0.38611439999999997</v>
      </c>
      <c r="AC117" s="32">
        <v>2.7886039999999972</v>
      </c>
      <c r="AD117" s="32">
        <f>1.71-0.1</f>
        <v>1.6099999999999999</v>
      </c>
      <c r="AE117" s="32">
        <v>1.24</v>
      </c>
      <c r="AF117" s="32">
        <v>0.75</v>
      </c>
      <c r="AG117" s="32">
        <v>0.67</v>
      </c>
      <c r="AH117" s="32">
        <f t="shared" si="150"/>
        <v>1.7</v>
      </c>
      <c r="AI117" s="33">
        <f t="shared" si="150"/>
        <v>1</v>
      </c>
      <c r="AK117" s="283">
        <v>1.9</v>
      </c>
      <c r="AL117" s="264">
        <f t="shared" si="139"/>
        <v>-1.23</v>
      </c>
      <c r="AN117" s="82">
        <f t="shared" si="140"/>
        <v>192.14797344113506</v>
      </c>
      <c r="AO117" s="83">
        <f t="shared" si="141"/>
        <v>142.08704361816993</v>
      </c>
      <c r="AP117" s="83">
        <f t="shared" si="142"/>
        <v>159.05765158194191</v>
      </c>
      <c r="AQ117" s="83">
        <f t="shared" si="151"/>
        <v>97.772003685674747</v>
      </c>
      <c r="AR117" s="83">
        <f t="shared" si="152"/>
        <v>152.78165924197353</v>
      </c>
      <c r="AS117" s="83">
        <f t="shared" si="153"/>
        <v>154.11806025639419</v>
      </c>
      <c r="AT117" s="83">
        <f t="shared" si="154"/>
        <v>194.68002460478223</v>
      </c>
      <c r="AU117" s="83">
        <f t="shared" si="155"/>
        <v>130.90252443826787</v>
      </c>
      <c r="AV117" s="83">
        <f t="shared" si="156"/>
        <v>171.38288431345487</v>
      </c>
      <c r="AW117" s="84">
        <f t="shared" si="157"/>
        <v>151.12667093089192</v>
      </c>
    </row>
    <row r="118" spans="1:49" outlineLevel="1">
      <c r="A118" s="305" t="s">
        <v>709</v>
      </c>
      <c r="B118" s="122" t="s">
        <v>711</v>
      </c>
      <c r="C118" s="122" t="s">
        <v>4</v>
      </c>
      <c r="D118" s="122" t="s">
        <v>5</v>
      </c>
      <c r="E118" s="123" t="s">
        <v>83</v>
      </c>
      <c r="F118" s="124"/>
      <c r="G118" s="124"/>
      <c r="H118" s="124"/>
      <c r="I118" s="124"/>
      <c r="J118" s="124"/>
      <c r="K118" s="125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5"/>
      <c r="X118" s="124"/>
      <c r="Y118" s="124"/>
      <c r="Z118" s="124"/>
      <c r="AA118" s="124"/>
      <c r="AB118" s="124"/>
      <c r="AC118" s="124"/>
      <c r="AD118" s="124">
        <f t="shared" ref="AD118:AI118" si="158">AD119+AD120+AD121</f>
        <v>1.7999999999999998</v>
      </c>
      <c r="AE118" s="124">
        <f t="shared" si="158"/>
        <v>-0.5</v>
      </c>
      <c r="AF118" s="124">
        <f t="shared" si="158"/>
        <v>0</v>
      </c>
      <c r="AG118" s="124">
        <f t="shared" si="158"/>
        <v>5.2</v>
      </c>
      <c r="AH118" s="124">
        <f t="shared" si="158"/>
        <v>4.8000000000000007</v>
      </c>
      <c r="AI118" s="125">
        <f t="shared" si="158"/>
        <v>1.7</v>
      </c>
      <c r="AK118" s="245"/>
    </row>
    <row r="119" spans="1:49" outlineLevel="1">
      <c r="A119" s="277" t="s">
        <v>709</v>
      </c>
      <c r="B119" s="22" t="s">
        <v>711</v>
      </c>
      <c r="C119" s="22" t="s">
        <v>4</v>
      </c>
      <c r="D119" s="22" t="s">
        <v>5</v>
      </c>
      <c r="E119" s="23" t="s">
        <v>6</v>
      </c>
      <c r="F119" s="75"/>
      <c r="G119" s="75"/>
      <c r="H119" s="75"/>
      <c r="I119" s="75"/>
      <c r="J119" s="75"/>
      <c r="K119" s="94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94"/>
      <c r="X119" s="75"/>
      <c r="Y119" s="75"/>
      <c r="Z119" s="75"/>
      <c r="AA119" s="75"/>
      <c r="AB119" s="75"/>
      <c r="AC119" s="75"/>
      <c r="AD119" s="75">
        <f>3*0.6</f>
        <v>1.7999999999999998</v>
      </c>
      <c r="AE119" s="75">
        <v>-0.5</v>
      </c>
      <c r="AF119" s="75"/>
      <c r="AG119" s="75">
        <v>4</v>
      </c>
      <c r="AH119" s="75">
        <v>3.6</v>
      </c>
      <c r="AI119" s="94">
        <v>1.2</v>
      </c>
      <c r="AK119" s="245"/>
    </row>
    <row r="120" spans="1:49" outlineLevel="1">
      <c r="A120" s="277" t="s">
        <v>709</v>
      </c>
      <c r="B120" s="22" t="s">
        <v>711</v>
      </c>
      <c r="C120" s="22" t="s">
        <v>4</v>
      </c>
      <c r="D120" s="22" t="s">
        <v>5</v>
      </c>
      <c r="E120" s="23" t="s">
        <v>88</v>
      </c>
      <c r="F120" s="24"/>
      <c r="G120" s="24"/>
      <c r="H120" s="24"/>
      <c r="I120" s="24"/>
      <c r="J120" s="24"/>
      <c r="K120" s="25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5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>
        <v>0.2</v>
      </c>
      <c r="AI120" s="25">
        <v>0.2</v>
      </c>
      <c r="AK120" s="245"/>
    </row>
    <row r="121" spans="1:49" outlineLevel="1">
      <c r="A121" s="277" t="s">
        <v>709</v>
      </c>
      <c r="B121" s="22" t="s">
        <v>711</v>
      </c>
      <c r="C121" s="22" t="s">
        <v>4</v>
      </c>
      <c r="D121" s="22" t="s">
        <v>5</v>
      </c>
      <c r="E121" s="23" t="s">
        <v>7</v>
      </c>
      <c r="F121" s="24"/>
      <c r="G121" s="24"/>
      <c r="H121" s="24"/>
      <c r="I121" s="24"/>
      <c r="J121" s="24"/>
      <c r="K121" s="25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5"/>
      <c r="X121" s="24"/>
      <c r="Y121" s="24"/>
      <c r="Z121" s="24"/>
      <c r="AA121" s="24"/>
      <c r="AB121" s="24"/>
      <c r="AC121" s="24"/>
      <c r="AD121" s="24"/>
      <c r="AE121" s="24"/>
      <c r="AF121" s="24"/>
      <c r="AG121" s="24">
        <v>1.2</v>
      </c>
      <c r="AH121" s="24">
        <v>1</v>
      </c>
      <c r="AI121" s="25">
        <v>0.3</v>
      </c>
      <c r="AK121" s="245"/>
    </row>
    <row r="122" spans="1:49" outlineLevel="1">
      <c r="A122" s="305" t="s">
        <v>709</v>
      </c>
      <c r="B122" s="122" t="s">
        <v>713</v>
      </c>
      <c r="C122" s="122" t="s">
        <v>4</v>
      </c>
      <c r="D122" s="122" t="s">
        <v>5</v>
      </c>
      <c r="E122" s="123" t="s">
        <v>83</v>
      </c>
      <c r="F122" s="124"/>
      <c r="G122" s="124"/>
      <c r="H122" s="124"/>
      <c r="I122" s="124"/>
      <c r="J122" s="124"/>
      <c r="K122" s="125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5"/>
      <c r="X122" s="124"/>
      <c r="Y122" s="124"/>
      <c r="Z122" s="124"/>
      <c r="AA122" s="124"/>
      <c r="AB122" s="124"/>
      <c r="AC122" s="124"/>
      <c r="AD122" s="124">
        <f t="shared" ref="AD122:AI122" si="159">AD123+AD124+AD125</f>
        <v>0</v>
      </c>
      <c r="AE122" s="124">
        <f t="shared" si="159"/>
        <v>0</v>
      </c>
      <c r="AF122" s="124">
        <f t="shared" si="159"/>
        <v>0</v>
      </c>
      <c r="AG122" s="124">
        <f t="shared" si="159"/>
        <v>0</v>
      </c>
      <c r="AH122" s="124">
        <f t="shared" si="159"/>
        <v>0</v>
      </c>
      <c r="AI122" s="125">
        <f t="shared" si="159"/>
        <v>0</v>
      </c>
      <c r="AK122" s="245"/>
    </row>
    <row r="123" spans="1:49" outlineLevel="1">
      <c r="A123" s="277" t="s">
        <v>709</v>
      </c>
      <c r="B123" s="22" t="s">
        <v>713</v>
      </c>
      <c r="C123" s="22" t="s">
        <v>4</v>
      </c>
      <c r="D123" s="22" t="s">
        <v>5</v>
      </c>
      <c r="E123" s="23" t="s">
        <v>6</v>
      </c>
      <c r="F123" s="75"/>
      <c r="G123" s="75"/>
      <c r="H123" s="75"/>
      <c r="I123" s="75"/>
      <c r="J123" s="75"/>
      <c r="K123" s="94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94"/>
      <c r="X123" s="75"/>
      <c r="Y123" s="75"/>
      <c r="Z123" s="75"/>
      <c r="AA123" s="75"/>
      <c r="AB123" s="75"/>
      <c r="AC123" s="75"/>
      <c r="AD123" s="75"/>
      <c r="AE123" s="75"/>
      <c r="AF123" s="75"/>
      <c r="AG123" s="75"/>
      <c r="AH123" s="75"/>
      <c r="AI123" s="94"/>
      <c r="AK123" s="245"/>
    </row>
    <row r="124" spans="1:49" outlineLevel="1">
      <c r="A124" s="277" t="s">
        <v>709</v>
      </c>
      <c r="B124" s="22" t="s">
        <v>713</v>
      </c>
      <c r="C124" s="22" t="s">
        <v>4</v>
      </c>
      <c r="D124" s="22" t="s">
        <v>5</v>
      </c>
      <c r="E124" s="23" t="s">
        <v>88</v>
      </c>
      <c r="F124" s="24"/>
      <c r="G124" s="24"/>
      <c r="H124" s="24"/>
      <c r="I124" s="24"/>
      <c r="J124" s="24"/>
      <c r="K124" s="25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5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5"/>
      <c r="AK124" s="245"/>
    </row>
    <row r="125" spans="1:49" outlineLevel="1">
      <c r="A125" s="278" t="s">
        <v>709</v>
      </c>
      <c r="B125" s="31" t="s">
        <v>713</v>
      </c>
      <c r="C125" s="31" t="s">
        <v>4</v>
      </c>
      <c r="D125" s="31" t="s">
        <v>5</v>
      </c>
      <c r="E125" s="119" t="s">
        <v>7</v>
      </c>
      <c r="F125" s="32"/>
      <c r="G125" s="32"/>
      <c r="H125" s="32"/>
      <c r="I125" s="32"/>
      <c r="J125" s="32"/>
      <c r="K125" s="33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3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3"/>
      <c r="AK125" s="245"/>
    </row>
    <row r="126" spans="1:49">
      <c r="A126" s="314" t="s">
        <v>745</v>
      </c>
      <c r="B126" s="95" t="s">
        <v>83</v>
      </c>
      <c r="C126" s="96" t="s">
        <v>4</v>
      </c>
      <c r="D126" s="96" t="s">
        <v>81</v>
      </c>
      <c r="E126" s="97" t="s">
        <v>83</v>
      </c>
      <c r="F126" s="98">
        <v>1.5981646</v>
      </c>
      <c r="G126" s="98">
        <v>1.4739449199999999</v>
      </c>
      <c r="H126" s="98">
        <v>2.4688746800000003</v>
      </c>
      <c r="I126" s="98">
        <v>2.1199009200000001</v>
      </c>
      <c r="J126" s="98">
        <v>2.0502545999999997</v>
      </c>
      <c r="K126" s="99">
        <v>1.4429788000000003</v>
      </c>
      <c r="L126" s="98">
        <v>2.7901609999999999</v>
      </c>
      <c r="M126" s="98">
        <v>0.56868740000000007</v>
      </c>
      <c r="N126" s="98">
        <v>2.6153693000000002</v>
      </c>
      <c r="O126" s="98">
        <v>0.72618013999999997</v>
      </c>
      <c r="P126" s="98">
        <v>2.4827119599999996</v>
      </c>
      <c r="Q126" s="98">
        <v>1.8115924800000001</v>
      </c>
      <c r="R126" s="98">
        <v>1.1219477199999999</v>
      </c>
      <c r="S126" s="98">
        <v>1.3801257399999998</v>
      </c>
      <c r="T126" s="98">
        <v>5.7148087800000003</v>
      </c>
      <c r="U126" s="98">
        <v>2.4031361999999996</v>
      </c>
      <c r="V126" s="98">
        <v>1.606098</v>
      </c>
      <c r="W126" s="99">
        <v>0.6464394</v>
      </c>
      <c r="X126" s="98">
        <v>1.5140460000000002</v>
      </c>
      <c r="Y126" s="98">
        <v>0.89705160000000006</v>
      </c>
      <c r="Z126" s="98">
        <v>1.620495</v>
      </c>
      <c r="AA126" s="98">
        <v>1.8315576</v>
      </c>
      <c r="AB126" s="98">
        <v>3.6284573999999998</v>
      </c>
      <c r="AC126" s="98">
        <v>1.7159022000000002</v>
      </c>
      <c r="AD126" s="98">
        <v>1.3056858</v>
      </c>
      <c r="AE126" s="98">
        <v>3.963977799999999</v>
      </c>
      <c r="AF126" s="98">
        <v>3.480318</v>
      </c>
      <c r="AG126" s="98">
        <v>2.1764994</v>
      </c>
      <c r="AH126" s="98">
        <f t="shared" ref="AH126:AI126" si="160">AH24+AH127</f>
        <v>2.8899999999999997</v>
      </c>
      <c r="AI126" s="99">
        <f t="shared" si="160"/>
        <v>2.4900000000000002</v>
      </c>
      <c r="AK126" s="281">
        <v>1.52</v>
      </c>
      <c r="AL126" s="281">
        <f>AG126-AK126</f>
        <v>0.65649939999999996</v>
      </c>
      <c r="AN126" s="156">
        <f>IFERROR(AG126/U126*100,"NA")</f>
        <v>90.569123797477658</v>
      </c>
      <c r="AO126" s="157">
        <f>IFERROR(SUM(X126:AG126)/SUM(L126:U126)*100,"NA")</f>
        <v>102.40239088317028</v>
      </c>
      <c r="AP126" s="157">
        <f>IFERROR(SUM(AD126:AG126)/SUM(R126:U126)*100,"NA")</f>
        <v>102.88570647717256</v>
      </c>
      <c r="AQ126" s="157">
        <f t="shared" ref="AQ126" si="161">IFERROR(SUM(X126:Z126)/SUM(L126:N126)*100,"NA")</f>
        <v>67.483188635727146</v>
      </c>
      <c r="AR126" s="157">
        <f t="shared" ref="AR126" si="162">IFERROR(SUM(AA126:AC126)/SUM(O126:Q126)*100,"NA")</f>
        <v>142.93276048663813</v>
      </c>
      <c r="AS126" s="157">
        <f t="shared" ref="AS126" si="163">IFERROR(SUM(AD126:AF126)/SUM(R126:T126)*100,"NA")</f>
        <v>106.48785444928075</v>
      </c>
      <c r="AT126" s="157">
        <f t="shared" ref="AT126" si="164">IFERROR(SUM(AG126:AI126)/SUM(U126:W126)*100,"NA")</f>
        <v>162.30732755835803</v>
      </c>
      <c r="AU126" s="157">
        <f t="shared" ref="AU126" si="165">IFERROR(SUM(X126:AC126)/SUM(L126:Q126)*100,"NA")</f>
        <v>101.93554599824964</v>
      </c>
      <c r="AV126" s="157">
        <f t="shared" ref="AV126" si="166">IFERROR(SUM(AD126:AI126)/SUM(R126:W126)*100,"NA")</f>
        <v>126.67632755050452</v>
      </c>
      <c r="AW126" s="158">
        <f t="shared" ref="AW126" si="167">IFERROR(SUM(X126:AI126)/SUM(L126:W126)*100,"NA")</f>
        <v>115.27922755795798</v>
      </c>
    </row>
    <row r="127" spans="1:49" outlineLevel="1">
      <c r="A127" s="289" t="s">
        <v>745</v>
      </c>
      <c r="B127" s="22" t="s">
        <v>713</v>
      </c>
      <c r="C127" s="22" t="s">
        <v>4</v>
      </c>
      <c r="D127" s="22" t="s">
        <v>81</v>
      </c>
      <c r="E127" s="23" t="s">
        <v>83</v>
      </c>
      <c r="F127" s="24"/>
      <c r="G127" s="24"/>
      <c r="H127" s="24"/>
      <c r="I127" s="24"/>
      <c r="J127" s="24"/>
      <c r="K127" s="25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5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5"/>
      <c r="AK127" s="241"/>
    </row>
    <row r="128" spans="1:49">
      <c r="A128" s="284" t="s">
        <v>745</v>
      </c>
      <c r="B128" s="126" t="s">
        <v>83</v>
      </c>
      <c r="C128" s="126" t="s">
        <v>4</v>
      </c>
      <c r="D128" s="126" t="s">
        <v>85</v>
      </c>
      <c r="E128" s="127" t="s">
        <v>83</v>
      </c>
      <c r="F128" s="130">
        <v>3.2989015799999999</v>
      </c>
      <c r="G128" s="130">
        <v>3.6211378099999996</v>
      </c>
      <c r="H128" s="130">
        <v>4.3362175799999996</v>
      </c>
      <c r="I128" s="130">
        <v>0.81709726999999988</v>
      </c>
      <c r="J128" s="130">
        <v>7.8717860799999997</v>
      </c>
      <c r="K128" s="131">
        <v>2.9153999999999999E-2</v>
      </c>
      <c r="L128" s="130">
        <v>3.0889832999999998</v>
      </c>
      <c r="M128" s="130">
        <v>3.2274845999999999</v>
      </c>
      <c r="N128" s="130">
        <v>2.9084168300000002</v>
      </c>
      <c r="O128" s="130">
        <v>5.7782407600000001</v>
      </c>
      <c r="P128" s="130">
        <v>7.7995982000000001</v>
      </c>
      <c r="Q128" s="130">
        <v>3.5540731599999997</v>
      </c>
      <c r="R128" s="130">
        <v>2.5024369000000002</v>
      </c>
      <c r="S128" s="130">
        <v>3.46233294</v>
      </c>
      <c r="T128" s="130">
        <v>2.7693108</v>
      </c>
      <c r="U128" s="130">
        <v>3.9644076500000005</v>
      </c>
      <c r="V128" s="130">
        <v>7.4187700500000009</v>
      </c>
      <c r="W128" s="131">
        <v>2.7268085000000002</v>
      </c>
      <c r="X128" s="130">
        <v>3.4838806</v>
      </c>
      <c r="Y128" s="130">
        <v>1.2886380000000002</v>
      </c>
      <c r="Z128" s="130">
        <v>14.503316300000003</v>
      </c>
      <c r="AA128" s="130">
        <v>4.8596915999999988</v>
      </c>
      <c r="AB128" s="130">
        <v>6.42099099</v>
      </c>
      <c r="AC128" s="130">
        <v>1.67886427</v>
      </c>
      <c r="AD128" s="130">
        <v>3.7256730799999995</v>
      </c>
      <c r="AE128" s="130">
        <f>AE63+AE129</f>
        <v>8.57</v>
      </c>
      <c r="AF128" s="130">
        <v>4.9016872400000011</v>
      </c>
      <c r="AG128" s="130">
        <v>5.6506083100000017</v>
      </c>
      <c r="AH128" s="130">
        <f t="shared" ref="AH128:AI128" si="168">AH63+AH129</f>
        <v>7.2998199999999986</v>
      </c>
      <c r="AI128" s="131">
        <f t="shared" si="168"/>
        <v>4.4024999999999999</v>
      </c>
      <c r="AK128" s="281">
        <v>9.3957200000000007</v>
      </c>
      <c r="AL128" s="281">
        <f>AG128-AK128</f>
        <v>-3.745111689999999</v>
      </c>
      <c r="AN128" s="156">
        <f>IFERROR(AG128/U128*100,"NA")</f>
        <v>142.53348315479113</v>
      </c>
      <c r="AO128" s="157">
        <f>IFERROR(SUM(X128:AG128)/SUM(L128:U128)*100,"NA")</f>
        <v>141.03942703924656</v>
      </c>
      <c r="AP128" s="157">
        <f>IFERROR(SUM(AD128:AG128)/SUM(R128:U128)*100,"NA")</f>
        <v>179.92668188695086</v>
      </c>
      <c r="AQ128" s="157">
        <f t="shared" ref="AQ128" si="169">IFERROR(SUM(X128:Z128)/SUM(L128:N128)*100,"NA")</f>
        <v>208.95475080911936</v>
      </c>
      <c r="AR128" s="157">
        <f t="shared" ref="AR128" si="170">IFERROR(SUM(AA128:AC128)/SUM(O128:Q128)*100,"NA")</f>
        <v>75.645653381976359</v>
      </c>
      <c r="AS128" s="157">
        <f t="shared" ref="AS128" si="171">IFERROR(SUM(AD128:AF128)/SUM(R128:T128)*100,"NA")</f>
        <v>196.89949095775697</v>
      </c>
      <c r="AT128" s="157">
        <f t="shared" ref="AT128" si="172">IFERROR(SUM(AG128:AI128)/SUM(U128:W128)*100,"NA")</f>
        <v>122.98331170586118</v>
      </c>
      <c r="AU128" s="157">
        <f t="shared" ref="AU128" si="173">IFERROR(SUM(X128:AC128)/SUM(L128:Q128)*100,"NA")</f>
        <v>122.30386698146896</v>
      </c>
      <c r="AV128" s="157">
        <f t="shared" ref="AV128" si="174">IFERROR(SUM(AD128:AI128)/SUM(R128:W128)*100,"NA")</f>
        <v>151.24403580146412</v>
      </c>
      <c r="AW128" s="158">
        <f t="shared" ref="AW128" si="175">IFERROR(SUM(X128:AI128)/SUM(L128:W128)*100,"NA")</f>
        <v>135.74084961352841</v>
      </c>
    </row>
    <row r="129" spans="1:49" outlineLevel="1">
      <c r="A129" s="315" t="s">
        <v>745</v>
      </c>
      <c r="B129" s="213" t="s">
        <v>713</v>
      </c>
      <c r="C129" s="213" t="s">
        <v>4</v>
      </c>
      <c r="D129" s="213" t="s">
        <v>85</v>
      </c>
      <c r="E129" s="218" t="s">
        <v>83</v>
      </c>
      <c r="F129" s="215"/>
      <c r="G129" s="215"/>
      <c r="H129" s="215"/>
      <c r="I129" s="215"/>
      <c r="J129" s="215"/>
      <c r="K129" s="216"/>
      <c r="L129" s="215"/>
      <c r="M129" s="215"/>
      <c r="N129" s="215"/>
      <c r="O129" s="215"/>
      <c r="P129" s="215"/>
      <c r="Q129" s="215"/>
      <c r="R129" s="215"/>
      <c r="S129" s="215"/>
      <c r="T129" s="215"/>
      <c r="U129" s="215"/>
      <c r="V129" s="215"/>
      <c r="W129" s="216"/>
      <c r="X129" s="215"/>
      <c r="Y129" s="215"/>
      <c r="Z129" s="215"/>
      <c r="AA129" s="215"/>
      <c r="AB129" s="215"/>
      <c r="AC129" s="215"/>
      <c r="AD129" s="215"/>
      <c r="AE129" s="215"/>
      <c r="AF129" s="215"/>
      <c r="AG129" s="215"/>
      <c r="AH129" s="215">
        <v>-2</v>
      </c>
      <c r="AI129" s="216"/>
      <c r="AK129" s="243"/>
    </row>
    <row r="130" spans="1:49">
      <c r="A130" s="287" t="s">
        <v>745</v>
      </c>
      <c r="B130" s="96" t="s">
        <v>103</v>
      </c>
      <c r="C130" s="96" t="s">
        <v>4</v>
      </c>
      <c r="D130" s="96" t="s">
        <v>87</v>
      </c>
      <c r="E130" s="97" t="s">
        <v>83</v>
      </c>
      <c r="F130" s="98">
        <v>0.11519040000000001</v>
      </c>
      <c r="G130" s="98">
        <v>1.0948943999999998</v>
      </c>
      <c r="H130" s="98">
        <v>0.7178808000000001</v>
      </c>
      <c r="I130" s="98">
        <v>0.41601359999999998</v>
      </c>
      <c r="J130" s="98">
        <v>0.90749219999999997</v>
      </c>
      <c r="K130" s="99">
        <v>0</v>
      </c>
      <c r="L130" s="98">
        <v>1.4885424</v>
      </c>
      <c r="M130" s="98">
        <v>0.99053100000000005</v>
      </c>
      <c r="N130" s="98">
        <v>0</v>
      </c>
      <c r="O130" s="98">
        <v>1.4952108</v>
      </c>
      <c r="P130" s="98">
        <v>0.70484159999999996</v>
      </c>
      <c r="Q130" s="98">
        <v>1.5698466000000002</v>
      </c>
      <c r="R130" s="98">
        <v>6.5721600000000005E-2</v>
      </c>
      <c r="S130" s="98">
        <v>1.2518399999999999E-2</v>
      </c>
      <c r="T130" s="98">
        <v>1.48656E-2</v>
      </c>
      <c r="U130" s="98">
        <v>0.15789750000000002</v>
      </c>
      <c r="V130" s="98">
        <v>0.43294419000000006</v>
      </c>
      <c r="W130" s="99">
        <v>0.39562199999999997</v>
      </c>
      <c r="X130" s="98">
        <v>1.3469856</v>
      </c>
      <c r="Y130" s="98">
        <v>0.68601075</v>
      </c>
      <c r="Z130" s="98">
        <v>7.4645550000000005E-2</v>
      </c>
      <c r="AA130" s="98">
        <v>0.52875509999999992</v>
      </c>
      <c r="AB130" s="98">
        <v>0.57982305000000001</v>
      </c>
      <c r="AC130" s="98">
        <v>0.9225167999999998</v>
      </c>
      <c r="AD130" s="98">
        <v>0.13460052000000003</v>
      </c>
      <c r="AE130" s="98">
        <v>0.30473783999999993</v>
      </c>
      <c r="AF130" s="98">
        <v>0.1071888</v>
      </c>
      <c r="AG130" s="98">
        <v>0.26976665999999999</v>
      </c>
      <c r="AH130" s="98">
        <f t="shared" ref="AH130:AI130" si="176">AH93+AH131</f>
        <v>0.36</v>
      </c>
      <c r="AI130" s="99">
        <f t="shared" si="176"/>
        <v>1.4272</v>
      </c>
      <c r="AK130" s="281">
        <v>0.36</v>
      </c>
      <c r="AL130" s="281">
        <f>AG130-AK130</f>
        <v>-9.0233339999999995E-2</v>
      </c>
      <c r="AN130" s="156">
        <f>IFERROR(AG130/U130*100,"NA")</f>
        <v>170.84922813850753</v>
      </c>
      <c r="AO130" s="157">
        <f>IFERROR(SUM(X130:AG130)/SUM(L130:U130)*100,"NA")</f>
        <v>76.231528411145547</v>
      </c>
      <c r="AP130" s="157">
        <f>IFERROR(SUM(AD130:AG130)/SUM(R130:U130)*100,"NA")</f>
        <v>325.21264478406829</v>
      </c>
      <c r="AQ130" s="157">
        <f t="shared" ref="AQ130" si="177">IFERROR(SUM(X130:Z130)/SUM(L130:N130)*100,"NA")</f>
        <v>85.017325424894636</v>
      </c>
      <c r="AR130" s="157">
        <f t="shared" ref="AR130" si="178">IFERROR(SUM(AA130:AC130)/SUM(O130:Q130)*100,"NA")</f>
        <v>53.876640992238791</v>
      </c>
      <c r="AS130" s="157">
        <f t="shared" ref="AS130" si="179">IFERROR(SUM(AD130:AF130)/SUM(R130:T130)*100,"NA")</f>
        <v>586.99708717842952</v>
      </c>
      <c r="AT130" s="157">
        <f t="shared" ref="AT130" si="180">IFERROR(SUM(AG130:AI130)/SUM(U130:W130)*100,"NA")</f>
        <v>208.51924717066876</v>
      </c>
      <c r="AU130" s="157">
        <f t="shared" ref="AU130" si="181">IFERROR(SUM(X130:AC130)/SUM(L130:Q130)*100,"NA")</f>
        <v>66.230678983315698</v>
      </c>
      <c r="AV130" s="157">
        <f t="shared" ref="AV130" si="182">IFERROR(SUM(AD130:AI130)/SUM(R130:W130)*100,"NA")</f>
        <v>241.16041870735313</v>
      </c>
      <c r="AW130" s="158">
        <f t="shared" ref="AW130" si="183">IFERROR(SUM(X130:AI130)/SUM(L130:W130)*100,"NA")</f>
        <v>91.999622233164914</v>
      </c>
    </row>
    <row r="131" spans="1:49" outlineLevel="1">
      <c r="A131" s="289" t="s">
        <v>745</v>
      </c>
      <c r="B131" s="22" t="s">
        <v>713</v>
      </c>
      <c r="C131" s="22" t="s">
        <v>4</v>
      </c>
      <c r="D131" s="22" t="s">
        <v>87</v>
      </c>
      <c r="E131" s="23" t="s">
        <v>83</v>
      </c>
      <c r="F131" s="24"/>
      <c r="G131" s="24"/>
      <c r="H131" s="24"/>
      <c r="I131" s="24"/>
      <c r="J131" s="24"/>
      <c r="K131" s="25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5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5"/>
      <c r="AK131" s="241"/>
    </row>
    <row r="132" spans="1:49">
      <c r="A132" s="284" t="s">
        <v>745</v>
      </c>
      <c r="B132" s="126" t="s">
        <v>103</v>
      </c>
      <c r="C132" s="126" t="s">
        <v>4</v>
      </c>
      <c r="D132" s="126" t="s">
        <v>5</v>
      </c>
      <c r="E132" s="127" t="s">
        <v>83</v>
      </c>
      <c r="F132" s="130">
        <v>5.2684657599999989</v>
      </c>
      <c r="G132" s="130">
        <v>2.28252604</v>
      </c>
      <c r="H132" s="130">
        <v>4.27101781</v>
      </c>
      <c r="I132" s="130">
        <v>1.8348366</v>
      </c>
      <c r="J132" s="130">
        <v>5.2134683700000002</v>
      </c>
      <c r="K132" s="131">
        <v>1.226485</v>
      </c>
      <c r="L132" s="130">
        <v>2.041868</v>
      </c>
      <c r="M132" s="130">
        <v>2.9440923999999997</v>
      </c>
      <c r="N132" s="130">
        <v>4.8106735999999994</v>
      </c>
      <c r="O132" s="130">
        <v>2.9183948000000002</v>
      </c>
      <c r="P132" s="130">
        <v>3.6043893599999999</v>
      </c>
      <c r="Q132" s="130">
        <v>4.2189981999999997</v>
      </c>
      <c r="R132" s="130">
        <v>2.3468682600000004</v>
      </c>
      <c r="S132" s="130">
        <v>7.1523366699999995</v>
      </c>
      <c r="T132" s="130">
        <v>3.7014857999999999</v>
      </c>
      <c r="U132" s="130">
        <v>5.1848738000000001</v>
      </c>
      <c r="V132" s="130">
        <v>3.267925</v>
      </c>
      <c r="W132" s="131">
        <v>4.7440439800000007</v>
      </c>
      <c r="X132" s="130">
        <v>5.2360965999999998</v>
      </c>
      <c r="Y132" s="130">
        <v>1.9909041199999997</v>
      </c>
      <c r="Z132" s="130">
        <v>2.4721373999999998</v>
      </c>
      <c r="AA132" s="130">
        <v>0.73589099999999996</v>
      </c>
      <c r="AB132" s="130">
        <v>6.7564904500000003</v>
      </c>
      <c r="AC132" s="130">
        <v>16.663406199999997</v>
      </c>
      <c r="AD132" s="130">
        <v>8.8780750000000008</v>
      </c>
      <c r="AE132" s="130">
        <v>5.3891505160000026</v>
      </c>
      <c r="AF132" s="130">
        <v>1.6549583999999999</v>
      </c>
      <c r="AG132" s="130">
        <v>7.3453844000000004</v>
      </c>
      <c r="AH132" s="130">
        <f t="shared" ref="AH132:AI132" si="184">AH114+AH133</f>
        <v>5.6999999999999993</v>
      </c>
      <c r="AI132" s="131">
        <f t="shared" si="184"/>
        <v>6.3000000000000007</v>
      </c>
      <c r="AK132" s="281">
        <v>9.1</v>
      </c>
      <c r="AL132" s="281">
        <f>AG132-AK132</f>
        <v>-1.7546155999999993</v>
      </c>
      <c r="AN132" s="156">
        <f>IFERROR(AG132/U132*100,"NA")</f>
        <v>141.66949251493836</v>
      </c>
      <c r="AO132" s="157">
        <f>IFERROR(SUM(X132:AG132)/SUM(L132:U132)*100,"NA")</f>
        <v>146.75398759296843</v>
      </c>
      <c r="AP132" s="157">
        <f>IFERROR(SUM(AD132:AG132)/SUM(R132:U132)*100,"NA")</f>
        <v>126.55346142912262</v>
      </c>
      <c r="AQ132" s="157">
        <f t="shared" ref="AQ132" si="185">IFERROR(SUM(X132:Z132)/SUM(L132:N132)*100,"NA")</f>
        <v>99.004802261674769</v>
      </c>
      <c r="AR132" s="157">
        <f t="shared" ref="AR132" si="186">IFERROR(SUM(AA132:AC132)/SUM(O132:Q132)*100,"NA")</f>
        <v>224.87690441346828</v>
      </c>
      <c r="AS132" s="157">
        <f t="shared" ref="AS132" si="187">IFERROR(SUM(AD132:AF132)/SUM(R132:T132)*100,"NA")</f>
        <v>120.61629381116485</v>
      </c>
      <c r="AT132" s="157">
        <f t="shared" ref="AT132" si="188">IFERROR(SUM(AG132:AI132)/SUM(U132:W132)*100,"NA")</f>
        <v>146.59100454934722</v>
      </c>
      <c r="AU132" s="157">
        <f t="shared" ref="AU132" si="189">IFERROR(SUM(X132:AC132)/SUM(L132:Q132)*100,"NA")</f>
        <v>164.83707982439594</v>
      </c>
      <c r="AV132" s="157">
        <f t="shared" ref="AV132" si="190">IFERROR(SUM(AD132:AI132)/SUM(R132:W132)*100,"NA")</f>
        <v>133.60175602254591</v>
      </c>
      <c r="AW132" s="158">
        <f t="shared" ref="AW132" si="191">IFERROR(SUM(X132:AI132)/SUM(L132:W132)*100,"NA")</f>
        <v>147.26983107287865</v>
      </c>
    </row>
    <row r="133" spans="1:49" outlineLevel="1">
      <c r="A133" s="315" t="s">
        <v>745</v>
      </c>
      <c r="B133" s="213" t="s">
        <v>713</v>
      </c>
      <c r="C133" s="213" t="s">
        <v>4</v>
      </c>
      <c r="D133" s="213" t="s">
        <v>5</v>
      </c>
      <c r="E133" s="218" t="s">
        <v>83</v>
      </c>
      <c r="F133" s="213"/>
      <c r="G133" s="213"/>
      <c r="H133" s="213"/>
      <c r="I133" s="213"/>
      <c r="J133" s="213"/>
      <c r="K133" s="218"/>
      <c r="L133" s="213"/>
      <c r="M133" s="213"/>
      <c r="N133" s="213"/>
      <c r="O133" s="213"/>
      <c r="P133" s="213"/>
      <c r="Q133" s="213"/>
      <c r="R133" s="213"/>
      <c r="S133" s="213"/>
      <c r="T133" s="213"/>
      <c r="U133" s="213"/>
      <c r="V133" s="213"/>
      <c r="W133" s="218"/>
      <c r="X133" s="213"/>
      <c r="Y133" s="213"/>
      <c r="Z133" s="213"/>
      <c r="AA133" s="213"/>
      <c r="AB133" s="213"/>
      <c r="AC133" s="213"/>
      <c r="AD133" s="215"/>
      <c r="AE133" s="215">
        <v>-2</v>
      </c>
      <c r="AF133" s="215">
        <v>2</v>
      </c>
      <c r="AG133" s="213"/>
      <c r="AH133" s="215">
        <v>-3</v>
      </c>
      <c r="AI133" s="218"/>
      <c r="AK133" s="245"/>
    </row>
  </sheetData>
  <autoFilter ref="A2:AW133" xr:uid="{00000000-0001-0000-0000-000000000000}"/>
  <phoneticPr fontId="5" type="noConversion"/>
  <conditionalFormatting sqref="AN3:AW11 AN24:AW29 AN42:AW48 AN63:AW69 AN84:AW86 AN93:AW95 AN102:AW105 AN114:AW117">
    <cfRule type="cellIs" dxfId="81" priority="13" operator="equal">
      <formula>"NA"</formula>
    </cfRule>
    <cfRule type="cellIs" dxfId="80" priority="29" operator="greaterThan">
      <formula>100</formula>
    </cfRule>
    <cfRule type="cellIs" dxfId="79" priority="30" operator="lessThan">
      <formula>100</formula>
    </cfRule>
  </conditionalFormatting>
  <conditionalFormatting sqref="AN126:AW126">
    <cfRule type="cellIs" dxfId="78" priority="10" operator="equal">
      <formula>"NA"</formula>
    </cfRule>
    <cfRule type="cellIs" dxfId="77" priority="11" operator="greaterThan">
      <formula>100</formula>
    </cfRule>
    <cfRule type="cellIs" dxfId="76" priority="12" operator="lessThan">
      <formula>100</formula>
    </cfRule>
  </conditionalFormatting>
  <conditionalFormatting sqref="AN128:AW128">
    <cfRule type="cellIs" dxfId="75" priority="7" operator="equal">
      <formula>"NA"</formula>
    </cfRule>
    <cfRule type="cellIs" dxfId="74" priority="8" operator="greaterThan">
      <formula>100</formula>
    </cfRule>
    <cfRule type="cellIs" dxfId="73" priority="9" operator="lessThan">
      <formula>100</formula>
    </cfRule>
  </conditionalFormatting>
  <conditionalFormatting sqref="AN130:AW130">
    <cfRule type="cellIs" dxfId="72" priority="4" operator="equal">
      <formula>"NA"</formula>
    </cfRule>
    <cfRule type="cellIs" dxfId="71" priority="5" operator="greaterThan">
      <formula>100</formula>
    </cfRule>
    <cfRule type="cellIs" dxfId="70" priority="6" operator="lessThan">
      <formula>100</formula>
    </cfRule>
  </conditionalFormatting>
  <conditionalFormatting sqref="AN132:AW132">
    <cfRule type="cellIs" dxfId="69" priority="1" operator="equal">
      <formula>"NA"</formula>
    </cfRule>
    <cfRule type="cellIs" dxfId="68" priority="2" operator="greaterThan">
      <formula>100</formula>
    </cfRule>
    <cfRule type="cellIs" dxfId="67" priority="3" operator="lessThan">
      <formula>100</formula>
    </cfRule>
  </conditionalFormatting>
  <pageMargins left="0.7" right="0.7" top="0.75" bottom="0.75" header="0.3" footer="0.3"/>
  <headerFooter>
    <oddHeader>&amp;R&amp;"Aptos"&amp;10&amp;K000000 Highly Restricted&amp;1#_x000D_</oddHeader>
  </headerFooter>
  <ignoredErrors>
    <ignoredError sqref="AH11:AI11" formula="1"/>
    <ignoredError sqref="AS12:AW23 AS2:AW2 AS127:AV127 AS49:AW62 AS106:AW113 AS30:AW41 AS70:AW83 AS87:AW92 AS96:AW101 AS129:AV129 AS131:AV13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EFE90-3A14-41B9-BF51-E306BDDE9615}">
  <dimension ref="A1:AW50"/>
  <sheetViews>
    <sheetView zoomScale="80" zoomScaleNormal="80" workbookViewId="0">
      <pane xSplit="5" ySplit="3" topLeftCell="L11" activePane="bottomRight" state="frozen"/>
      <selection pane="topRight" activeCell="F1" sqref="F1"/>
      <selection pane="bottomLeft" activeCell="A4" sqref="A4"/>
      <selection pane="bottomRight" activeCell="R2" sqref="R2"/>
    </sheetView>
  </sheetViews>
  <sheetFormatPr defaultColWidth="9" defaultRowHeight="14.4" outlineLevelRow="1" outlineLevelCol="1"/>
  <cols>
    <col min="1" max="1" width="13.33203125" style="22" customWidth="1"/>
    <col min="2" max="2" width="8.33203125" style="22" bestFit="1" customWidth="1"/>
    <col min="3" max="3" width="9.109375" style="22" bestFit="1" customWidth="1"/>
    <col min="4" max="4" width="6.6640625" style="21" bestFit="1" customWidth="1"/>
    <col min="5" max="5" width="10.88671875" style="21" customWidth="1"/>
    <col min="6" max="11" width="8.44140625" style="21" hidden="1" customWidth="1" outlineLevel="1"/>
    <col min="12" max="12" width="8.44140625" style="21" bestFit="1" customWidth="1" collapsed="1"/>
    <col min="13" max="27" width="8.44140625" style="21" bestFit="1" customWidth="1"/>
    <col min="28" max="28" width="8.44140625" style="21" customWidth="1"/>
    <col min="29" max="29" width="8.44140625" style="21" bestFit="1" customWidth="1"/>
    <col min="30" max="35" width="8.44140625" style="22" customWidth="1"/>
    <col min="36" max="36" width="9" style="21" customWidth="1"/>
    <col min="37" max="37" width="10.44140625" style="21" bestFit="1" customWidth="1"/>
    <col min="38" max="38" width="9.6640625" style="22" customWidth="1"/>
    <col min="39" max="39" width="9" style="21" customWidth="1"/>
    <col min="40" max="49" width="8.88671875" style="21" bestFit="1" customWidth="1"/>
    <col min="50" max="16384" width="9" style="21"/>
  </cols>
  <sheetData>
    <row r="1" spans="1:49">
      <c r="F1" s="180" t="s">
        <v>90</v>
      </c>
      <c r="G1" s="180" t="s">
        <v>90</v>
      </c>
      <c r="H1" s="180" t="s">
        <v>90</v>
      </c>
      <c r="I1" s="180" t="s">
        <v>90</v>
      </c>
      <c r="J1" s="180" t="s">
        <v>90</v>
      </c>
      <c r="K1" s="180" t="s">
        <v>90</v>
      </c>
      <c r="L1" s="180" t="s">
        <v>90</v>
      </c>
      <c r="M1" s="180" t="s">
        <v>90</v>
      </c>
      <c r="N1" s="180" t="s">
        <v>90</v>
      </c>
      <c r="O1" s="180" t="s">
        <v>90</v>
      </c>
      <c r="P1" s="180" t="s">
        <v>90</v>
      </c>
      <c r="Q1" s="180" t="s">
        <v>90</v>
      </c>
      <c r="R1" s="180" t="s">
        <v>90</v>
      </c>
      <c r="S1" s="180" t="s">
        <v>90</v>
      </c>
      <c r="T1" s="180" t="s">
        <v>90</v>
      </c>
      <c r="U1" s="180" t="s">
        <v>90</v>
      </c>
      <c r="V1" s="180" t="s">
        <v>90</v>
      </c>
      <c r="W1" s="180" t="s">
        <v>90</v>
      </c>
      <c r="X1" s="180" t="s">
        <v>90</v>
      </c>
      <c r="Y1" s="180" t="s">
        <v>90</v>
      </c>
      <c r="Z1" s="180" t="s">
        <v>90</v>
      </c>
      <c r="AA1" s="180" t="s">
        <v>90</v>
      </c>
      <c r="AB1" s="180" t="s">
        <v>90</v>
      </c>
      <c r="AC1" s="180" t="s">
        <v>90</v>
      </c>
      <c r="AD1" s="180" t="s">
        <v>90</v>
      </c>
      <c r="AE1" s="235" t="s">
        <v>90</v>
      </c>
      <c r="AF1" s="235" t="s">
        <v>90</v>
      </c>
      <c r="AG1" s="235" t="s">
        <v>90</v>
      </c>
      <c r="AH1" s="180" t="s">
        <v>719</v>
      </c>
      <c r="AI1" s="180" t="s">
        <v>719</v>
      </c>
      <c r="AK1" s="245" t="s">
        <v>751</v>
      </c>
      <c r="AL1" s="245"/>
    </row>
    <row r="2" spans="1:49" ht="15" thickBot="1">
      <c r="A2" s="18" t="s">
        <v>78</v>
      </c>
      <c r="B2" s="19" t="s">
        <v>89</v>
      </c>
      <c r="C2" s="19" t="s">
        <v>0</v>
      </c>
      <c r="D2" s="19" t="s">
        <v>79</v>
      </c>
      <c r="E2" s="20" t="s">
        <v>80</v>
      </c>
      <c r="F2" s="57">
        <v>202401</v>
      </c>
      <c r="G2" s="57">
        <v>202402</v>
      </c>
      <c r="H2" s="57">
        <v>202403</v>
      </c>
      <c r="I2" s="57">
        <v>202404</v>
      </c>
      <c r="J2" s="57">
        <v>202405</v>
      </c>
      <c r="K2" s="57">
        <v>202406</v>
      </c>
      <c r="L2" s="69">
        <v>202407</v>
      </c>
      <c r="M2" s="7">
        <v>202408</v>
      </c>
      <c r="N2" s="7">
        <v>202409</v>
      </c>
      <c r="O2" s="7">
        <v>202410</v>
      </c>
      <c r="P2" s="7">
        <v>202411</v>
      </c>
      <c r="Q2" s="7">
        <v>202412</v>
      </c>
      <c r="R2" s="7">
        <v>202501</v>
      </c>
      <c r="S2" s="7">
        <v>202502</v>
      </c>
      <c r="T2" s="7">
        <v>202503</v>
      </c>
      <c r="U2" s="7">
        <v>202504</v>
      </c>
      <c r="V2" s="7">
        <v>202505</v>
      </c>
      <c r="W2" s="7">
        <v>202506</v>
      </c>
      <c r="X2" s="68">
        <v>202507</v>
      </c>
      <c r="Y2" s="8">
        <v>202508</v>
      </c>
      <c r="Z2" s="8">
        <v>202509</v>
      </c>
      <c r="AA2" s="8">
        <v>202510</v>
      </c>
      <c r="AB2" s="8">
        <v>202511</v>
      </c>
      <c r="AC2" s="8">
        <v>202512</v>
      </c>
      <c r="AD2" s="8">
        <v>202601</v>
      </c>
      <c r="AE2" s="8">
        <v>202602</v>
      </c>
      <c r="AF2" s="8">
        <v>202603</v>
      </c>
      <c r="AG2" s="8">
        <v>202604</v>
      </c>
      <c r="AH2" s="8">
        <v>202605</v>
      </c>
      <c r="AI2" s="9">
        <v>202606</v>
      </c>
      <c r="AK2" s="245" t="s">
        <v>749</v>
      </c>
      <c r="AL2" s="246" t="s">
        <v>750</v>
      </c>
      <c r="AN2" s="16" t="s">
        <v>98</v>
      </c>
      <c r="AO2" s="15" t="s">
        <v>135</v>
      </c>
      <c r="AP2" s="15" t="s">
        <v>134</v>
      </c>
      <c r="AQ2" s="15" t="s">
        <v>91</v>
      </c>
      <c r="AR2" s="15" t="s">
        <v>92</v>
      </c>
      <c r="AS2" s="15" t="s">
        <v>93</v>
      </c>
      <c r="AT2" s="15" t="s">
        <v>94</v>
      </c>
      <c r="AU2" s="15" t="s">
        <v>95</v>
      </c>
      <c r="AV2" s="15" t="s">
        <v>96</v>
      </c>
      <c r="AW2" s="17" t="s">
        <v>97</v>
      </c>
    </row>
    <row r="3" spans="1:49" ht="15" thickTop="1">
      <c r="A3" s="303" t="s">
        <v>77</v>
      </c>
      <c r="B3" s="126" t="s">
        <v>83</v>
      </c>
      <c r="C3" s="176" t="s">
        <v>108</v>
      </c>
      <c r="D3" s="176" t="s">
        <v>108</v>
      </c>
      <c r="E3" s="179" t="s">
        <v>83</v>
      </c>
      <c r="F3" s="196">
        <f t="shared" ref="F3:AC3" si="0">SUM(F5:F8)</f>
        <v>3.2809508544444443</v>
      </c>
      <c r="G3" s="196">
        <f t="shared" si="0"/>
        <v>4.8481083311111117</v>
      </c>
      <c r="H3" s="196">
        <f t="shared" si="0"/>
        <v>3.977496316111111</v>
      </c>
      <c r="I3" s="196">
        <f t="shared" si="0"/>
        <v>5.4007096688888883</v>
      </c>
      <c r="J3" s="196">
        <f t="shared" si="0"/>
        <v>6.0796202938888886</v>
      </c>
      <c r="K3" s="196">
        <f t="shared" si="0"/>
        <v>3.6145921011111115</v>
      </c>
      <c r="L3" s="197">
        <f t="shared" si="0"/>
        <v>4.1013033494444455</v>
      </c>
      <c r="M3" s="196">
        <f t="shared" si="0"/>
        <v>3.8499107833333337</v>
      </c>
      <c r="N3" s="196">
        <f t="shared" si="0"/>
        <v>3.3481747050000004</v>
      </c>
      <c r="O3" s="196">
        <f t="shared" si="0"/>
        <v>3.7467754172274557</v>
      </c>
      <c r="P3" s="196">
        <f t="shared" si="0"/>
        <v>9.1287294116866669</v>
      </c>
      <c r="Q3" s="196">
        <f t="shared" si="0"/>
        <v>6.2294760080237666</v>
      </c>
      <c r="R3" s="196">
        <f t="shared" si="0"/>
        <v>5.3451212373870334</v>
      </c>
      <c r="S3" s="196">
        <f t="shared" si="0"/>
        <v>5.5582471483426996</v>
      </c>
      <c r="T3" s="196">
        <f t="shared" si="0"/>
        <v>4.5886486690611212</v>
      </c>
      <c r="U3" s="196">
        <f t="shared" si="0"/>
        <v>5.1885798951729338</v>
      </c>
      <c r="V3" s="196">
        <f t="shared" si="0"/>
        <v>7.1809985408984884</v>
      </c>
      <c r="W3" s="196">
        <f t="shared" si="0"/>
        <v>3.8578637792840116</v>
      </c>
      <c r="X3" s="197">
        <f t="shared" si="0"/>
        <v>6.1518244630137007</v>
      </c>
      <c r="Y3" s="196">
        <f t="shared" si="0"/>
        <v>3.7429165907359558</v>
      </c>
      <c r="Z3" s="196">
        <f t="shared" si="0"/>
        <v>3.2458620181760334</v>
      </c>
      <c r="AA3" s="196">
        <f t="shared" si="0"/>
        <v>5.5904814278982231</v>
      </c>
      <c r="AB3" s="196">
        <f t="shared" si="0"/>
        <v>5.0388264196183101</v>
      </c>
      <c r="AC3" s="196">
        <f t="shared" si="0"/>
        <v>8.125698770176367</v>
      </c>
      <c r="AD3" s="196">
        <f t="shared" ref="AD3:AI3" si="1">SUM(AD5:AD8)</f>
        <v>4.8051852706168114</v>
      </c>
      <c r="AE3" s="196">
        <f t="shared" si="1"/>
        <v>4.6802066511168112</v>
      </c>
      <c r="AF3" s="196">
        <f t="shared" si="1"/>
        <v>3.8795478206728005</v>
      </c>
      <c r="AG3" s="196">
        <f t="shared" ref="AG3" si="2">SUM(AG5:AG8)</f>
        <v>6.8530662662141228</v>
      </c>
      <c r="AH3" s="196">
        <f t="shared" si="1"/>
        <v>6.36</v>
      </c>
      <c r="AI3" s="205">
        <f t="shared" si="1"/>
        <v>6.36</v>
      </c>
      <c r="AJ3" s="228"/>
      <c r="AK3" s="265">
        <v>4.6400000000000006</v>
      </c>
      <c r="AL3" s="265">
        <f>AG3-AK3</f>
        <v>2.2130662662141223</v>
      </c>
      <c r="AM3" s="228"/>
      <c r="AN3" s="82">
        <f>IFERROR(AG3/U3*100,"NA")</f>
        <v>132.0798061255586</v>
      </c>
      <c r="AO3" s="83">
        <f>IFERROR(SUM(X3:AG3)/SUM(L3:U3)*100,"NA")</f>
        <v>102.01360427837243</v>
      </c>
      <c r="AP3" s="83">
        <f>IFERROR(SUM(AD3:AG3)/SUM(R3:U3)*100,"NA")</f>
        <v>97.763164465404628</v>
      </c>
      <c r="AQ3" s="47">
        <f t="shared" ref="AQ3:AQ8" si="3">IFERROR(SUM(X3:Z3)/SUM(L3:N3)*100,"NA")</f>
        <v>116.29481258306727</v>
      </c>
      <c r="AR3" s="47">
        <f t="shared" ref="AR3:AR8" si="4">IFERROR(SUM(AA3:AC3)/SUM(O3:Q3)*100,"NA")</f>
        <v>98.168151948269184</v>
      </c>
      <c r="AS3" s="47">
        <f t="shared" ref="AS3:AS8" si="5">IFERROR(SUM(AD3:AF3)/SUM(R3:T3)*100,"NA")</f>
        <v>86.269849143197035</v>
      </c>
      <c r="AT3" s="47">
        <f t="shared" ref="AT3:AT8" si="6">IFERROR(SUM(AG3:AI3)/SUM(U3:W3)*100,"NA")</f>
        <v>120.61707573170621</v>
      </c>
      <c r="AU3" s="47">
        <f t="shared" ref="AU3:AU8" si="7">IFERROR(SUM(X3:AC3)/SUM(L3:Q3)*100,"NA")</f>
        <v>104.90468978918857</v>
      </c>
      <c r="AV3" s="47">
        <f t="shared" ref="AV3:AV8" si="8">IFERROR(SUM(AD3:AI3)/SUM(R3:W3)*100,"NA")</f>
        <v>103.8416378037728</v>
      </c>
      <c r="AW3" s="50">
        <f t="shared" ref="AW3:AW8" si="9">IFERROR(SUM(X3:AI3)/SUM(L3:W3)*100,"NA")</f>
        <v>104.36191200607139</v>
      </c>
    </row>
    <row r="4" spans="1:49">
      <c r="A4" s="304" t="s">
        <v>77</v>
      </c>
      <c r="B4" s="64" t="s">
        <v>103</v>
      </c>
      <c r="C4" s="64" t="s">
        <v>107</v>
      </c>
      <c r="D4" s="64" t="s">
        <v>34</v>
      </c>
      <c r="E4" s="64" t="s">
        <v>83</v>
      </c>
      <c r="F4" s="65">
        <f>SUM(F5:F6)</f>
        <v>2.6030706444444442</v>
      </c>
      <c r="G4" s="65">
        <f t="shared" ref="G4:M4" si="10">SUM(G5:G6)</f>
        <v>4.1279238611111113</v>
      </c>
      <c r="H4" s="65">
        <f t="shared" si="10"/>
        <v>3.495721046111111</v>
      </c>
      <c r="I4" s="65">
        <f t="shared" si="10"/>
        <v>4.2067223888888892</v>
      </c>
      <c r="J4" s="65">
        <f t="shared" si="10"/>
        <v>4.7707850938888887</v>
      </c>
      <c r="K4" s="65">
        <f t="shared" si="10"/>
        <v>3.0188219611111116</v>
      </c>
      <c r="L4" s="70">
        <f t="shared" si="10"/>
        <v>2.9258491194444449</v>
      </c>
      <c r="M4" s="65">
        <f t="shared" si="10"/>
        <v>2.7380167233333337</v>
      </c>
      <c r="N4" s="65">
        <f t="shared" ref="N4:AC4" si="11">SUM(N5:N6)</f>
        <v>2.7041545950000003</v>
      </c>
      <c r="O4" s="65">
        <f t="shared" si="11"/>
        <v>2.8992885805555559</v>
      </c>
      <c r="P4" s="65">
        <f t="shared" si="11"/>
        <v>7.1127069716666682</v>
      </c>
      <c r="Q4" s="65">
        <f t="shared" si="11"/>
        <v>5.2421580366666669</v>
      </c>
      <c r="R4" s="65">
        <f t="shared" si="11"/>
        <v>3.821368753333334</v>
      </c>
      <c r="S4" s="65">
        <f t="shared" si="11"/>
        <v>4.3797461549999994</v>
      </c>
      <c r="T4" s="65">
        <f t="shared" si="11"/>
        <v>3.3276565907222215</v>
      </c>
      <c r="U4" s="65">
        <f t="shared" si="11"/>
        <v>3.5888627028333335</v>
      </c>
      <c r="V4" s="65">
        <f t="shared" si="11"/>
        <v>5.368878059388889</v>
      </c>
      <c r="W4" s="65">
        <f t="shared" si="11"/>
        <v>2.7343832836111113</v>
      </c>
      <c r="X4" s="70">
        <f t="shared" si="11"/>
        <v>4.6669303715000003</v>
      </c>
      <c r="Y4" s="65">
        <f t="shared" si="11"/>
        <v>2.3916649555555556</v>
      </c>
      <c r="Z4" s="65">
        <f t="shared" si="11"/>
        <v>2.1746448333333332</v>
      </c>
      <c r="AA4" s="65">
        <f t="shared" si="11"/>
        <v>4.1537989302222229</v>
      </c>
      <c r="AB4" s="65">
        <f t="shared" si="11"/>
        <v>3.551819599111111</v>
      </c>
      <c r="AC4" s="65">
        <f t="shared" si="11"/>
        <v>7.1492853181666662</v>
      </c>
      <c r="AD4" s="65">
        <f t="shared" ref="AD4:AE4" si="12">SUM(AD5:AD6)</f>
        <v>3.3946849006111113</v>
      </c>
      <c r="AE4" s="65">
        <f t="shared" si="12"/>
        <v>3.437546586611111</v>
      </c>
      <c r="AF4" s="65">
        <f t="shared" ref="AF4:AG4" si="13">SUM(AF5:AF6)</f>
        <v>3.0067485630000004</v>
      </c>
      <c r="AG4" s="65">
        <f t="shared" si="13"/>
        <v>5.6050281517222231</v>
      </c>
      <c r="AH4" s="65">
        <f t="shared" ref="AH4:AI4" si="14">AH10+AH16</f>
        <v>5</v>
      </c>
      <c r="AI4" s="206">
        <f t="shared" si="14"/>
        <v>5</v>
      </c>
      <c r="AJ4" s="229"/>
      <c r="AK4" s="308">
        <v>3.58</v>
      </c>
      <c r="AL4" s="263">
        <f t="shared" ref="AL4:AL8" si="15">AG4-AK4</f>
        <v>2.0250281517222231</v>
      </c>
      <c r="AM4" s="229"/>
      <c r="AN4" s="51">
        <f t="shared" ref="AN4:AN8" si="16">IFERROR(AG4/U4*100,"NA")</f>
        <v>156.17839454535743</v>
      </c>
      <c r="AO4" s="52">
        <f t="shared" ref="AO4:AO8" si="17">IFERROR(SUM(X4:AG4)/SUM(L4:U4)*100,"NA")</f>
        <v>102.0452966018911</v>
      </c>
      <c r="AP4" s="52">
        <f t="shared" ref="AP4:AP8" si="18">IFERROR(SUM(AD4:AG4)/SUM(R4:U4)*100,"NA")</f>
        <v>102.15889599984354</v>
      </c>
      <c r="AQ4" s="52">
        <f t="shared" si="3"/>
        <v>110.33959858301779</v>
      </c>
      <c r="AR4" s="52">
        <f t="shared" si="4"/>
        <v>97.382681778688124</v>
      </c>
      <c r="AS4" s="52">
        <f t="shared" si="5"/>
        <v>85.342831636729372</v>
      </c>
      <c r="AT4" s="52">
        <f t="shared" si="6"/>
        <v>133.4661528611075</v>
      </c>
      <c r="AU4" s="52">
        <f t="shared" si="7"/>
        <v>101.97259566666554</v>
      </c>
      <c r="AV4" s="52">
        <f t="shared" si="8"/>
        <v>109.57375934428542</v>
      </c>
      <c r="AW4" s="53">
        <f t="shared" si="9"/>
        <v>105.74062003808278</v>
      </c>
    </row>
    <row r="5" spans="1:49">
      <c r="A5" s="271" t="s">
        <v>77</v>
      </c>
      <c r="B5" s="22" t="s">
        <v>103</v>
      </c>
      <c r="C5" s="22" t="s">
        <v>107</v>
      </c>
      <c r="D5" s="46" t="s">
        <v>109</v>
      </c>
      <c r="E5" s="22" t="s">
        <v>35</v>
      </c>
      <c r="F5" s="56">
        <f>SUMIFS('Offtake Raw'!H:H,'Offtake Raw'!$C:$C,Fabric!$D5,'Offtake Raw'!$D:$D,Fabric!$E5)/1000000</f>
        <v>0.58634320000000006</v>
      </c>
      <c r="G5" s="56">
        <f>SUMIFS('Offtake Raw'!I:I,'Offtake Raw'!$C:$C,Fabric!$D5,'Offtake Raw'!$D:$D,Fabric!$E5)/1000000</f>
        <v>0.99059209999999986</v>
      </c>
      <c r="H5" s="56">
        <f>SUMIFS('Offtake Raw'!J:J,'Offtake Raw'!$C:$C,Fabric!$D5,'Offtake Raw'!$D:$D,Fabric!$E5)/1000000</f>
        <v>0.68382615000000002</v>
      </c>
      <c r="I5" s="56">
        <f>SUMIFS('Offtake Raw'!K:K,'Offtake Raw'!$C:$C,Fabric!$D5,'Offtake Raw'!$D:$D,Fabric!$E5)/1000000</f>
        <v>0.74044633333333332</v>
      </c>
      <c r="J5" s="56">
        <f>SUMIFS('Offtake Raw'!L:L,'Offtake Raw'!$C:$C,Fabric!$D5,'Offtake Raw'!$D:$D,Fabric!$E5)/1000000</f>
        <v>1.1259406833333334</v>
      </c>
      <c r="K5" s="56">
        <f>SUMIFS('Offtake Raw'!M:M,'Offtake Raw'!$C:$C,Fabric!$D5,'Offtake Raw'!$D:$D,Fabric!$E5)/1000000</f>
        <v>1.0298289166666668</v>
      </c>
      <c r="L5" s="62">
        <f>SUMIFS('Offtake Raw'!N:N,'Offtake Raw'!$C:$C,Fabric!$D5,'Offtake Raw'!$D:$D,Fabric!$E5)/1000000</f>
        <v>0.75706356666666685</v>
      </c>
      <c r="M5" s="56">
        <f>SUMIFS('Offtake Raw'!O:O,'Offtake Raw'!$C:$C,Fabric!$D5,'Offtake Raw'!$D:$D,Fabric!$E5)/1000000</f>
        <v>0.90302606666666674</v>
      </c>
      <c r="N5" s="56">
        <f>SUMIFS('Offtake Raw'!P:P,'Offtake Raw'!$C:$C,Fabric!$D5,'Offtake Raw'!$D:$D,Fabric!$E5)/1000000</f>
        <v>0.87952816666666678</v>
      </c>
      <c r="O5" s="56">
        <f>SUMIFS('Offtake Raw'!Q:Q,'Offtake Raw'!$C:$C,Fabric!$D5,'Offtake Raw'!$D:$D,Fabric!$E5)/1000000</f>
        <v>0.66086808333333336</v>
      </c>
      <c r="P5" s="56">
        <f>SUMIFS('Offtake Raw'!R:R,'Offtake Raw'!$C:$C,Fabric!$D5,'Offtake Raw'!$D:$D,Fabric!$E5)/1000000</f>
        <v>1.0989112166666668</v>
      </c>
      <c r="Q5" s="56">
        <f>SUMIFS('Offtake Raw'!S:S,'Offtake Raw'!$C:$C,Fabric!$D5,'Offtake Raw'!$D:$D,Fabric!$E5)/1000000</f>
        <v>0.61280022666666678</v>
      </c>
      <c r="R5" s="56">
        <f>SUMIFS('Offtake Raw'!T:T,'Offtake Raw'!$C:$C,Fabric!$D5,'Offtake Raw'!$D:$D,Fabric!$E5)/1000000</f>
        <v>1.0280903400000001</v>
      </c>
      <c r="S5" s="56">
        <f>SUMIFS('Offtake Raw'!U:U,'Offtake Raw'!$C:$C,Fabric!$D5,'Offtake Raw'!$D:$D,Fabric!$E5)/1000000</f>
        <v>1.060153193333333</v>
      </c>
      <c r="T5" s="56">
        <f>SUMIFS('Offtake Raw'!V:V,'Offtake Raw'!$C:$C,Fabric!$D5,'Offtake Raw'!$D:$D,Fabric!$E5)/1000000</f>
        <v>0.77415714999999996</v>
      </c>
      <c r="U5" s="56">
        <f>SUMIFS('Offtake Raw'!W:W,'Offtake Raw'!$C:$C,Fabric!$D5,'Offtake Raw'!$D:$D,Fabric!$E5)/1000000</f>
        <v>0.97737117666666673</v>
      </c>
      <c r="V5" s="56">
        <f>SUMIFS('Offtake Raw'!X:X,'Offtake Raw'!$C:$C,Fabric!$D5,'Offtake Raw'!$D:$D,Fabric!$E5)/1000000</f>
        <v>1.2637562066666668</v>
      </c>
      <c r="W5" s="56">
        <f>SUMIFS('Offtake Raw'!Y:Y,'Offtake Raw'!$C:$C,Fabric!$D5,'Offtake Raw'!$D:$D,Fabric!$E5)/1000000</f>
        <v>0.72701046333333341</v>
      </c>
      <c r="X5" s="62">
        <f>SUMIFS('Offtake Raw'!Z:Z,'Offtake Raw'!$C:$C,Fabric!$D5,'Offtake Raw'!$D:$D,Fabric!$E5)/1000000</f>
        <v>1.3700894566666666</v>
      </c>
      <c r="Y5" s="56">
        <f>SUMIFS('Offtake Raw'!AA:AA,'Offtake Raw'!$C:$C,Fabric!$D5,'Offtake Raw'!$D:$D,Fabric!$E5)/1000000</f>
        <v>1.0131400866666667</v>
      </c>
      <c r="Z5" s="56">
        <f>SUMIFS('Offtake Raw'!AB:AB,'Offtake Raw'!$C:$C,Fabric!$D5,'Offtake Raw'!$D:$D,Fabric!$E5)/1000000</f>
        <v>0.78915228333333343</v>
      </c>
      <c r="AA5" s="56">
        <f>SUMIFS('Offtake Raw'!AC:AC,'Offtake Raw'!$C:$C,Fabric!$D5,'Offtake Raw'!$D:$D,Fabric!$E5)/1000000</f>
        <v>1.01588952</v>
      </c>
      <c r="AB5" s="56">
        <f>SUMIFS('Offtake Raw'!AD:AD,'Offtake Raw'!$C:$C,Fabric!$D5,'Offtake Raw'!$D:$D,Fabric!$E5)/1000000</f>
        <v>0.98783759999999998</v>
      </c>
      <c r="AC5" s="56">
        <f>SUMIFS('Offtake Raw'!AE:AE,'Offtake Raw'!$C:$C,Fabric!$D5,'Offtake Raw'!$D:$D,Fabric!$E5)/1000000</f>
        <v>1.02940261</v>
      </c>
      <c r="AD5" s="56">
        <f>SUMIFS('Offtake Raw'!AF:AF,'Offtake Raw'!$C:$C,Fabric!$D5,'Offtake Raw'!$D:$D,Fabric!$E5)/1000000</f>
        <v>0.74250945000000002</v>
      </c>
      <c r="AE5" s="56">
        <f>SUMIFS('Offtake Raw'!AG:AG,'Offtake Raw'!$C:$C,Fabric!$D5,'Offtake Raw'!$D:$D,Fabric!$E5)/1000000</f>
        <v>0.94926119999999992</v>
      </c>
      <c r="AF5" s="56">
        <f>SUMIFS('Offtake Raw'!AH:AH,'Offtake Raw'!$C:$C,Fabric!$D5,'Offtake Raw'!$D:$D,Fabric!$E5)/1000000</f>
        <v>0.60003110999999998</v>
      </c>
      <c r="AG5" s="56">
        <f>SUMIFS('Offtake Raw'!AI:AI,'Offtake Raw'!$C:$C,Fabric!$D5,'Offtake Raw'!$D:$D,Fabric!$E5)/1000000</f>
        <v>0.80969183999999994</v>
      </c>
      <c r="AH5" s="56">
        <f t="shared" ref="AH5:AI5" si="19">AH11+AH17</f>
        <v>1</v>
      </c>
      <c r="AI5" s="25">
        <f t="shared" si="19"/>
        <v>1</v>
      </c>
      <c r="AJ5" s="229"/>
      <c r="AK5" s="267">
        <v>1</v>
      </c>
      <c r="AL5" s="263">
        <f t="shared" si="15"/>
        <v>-0.19030816000000006</v>
      </c>
      <c r="AM5" s="229"/>
      <c r="AN5" s="51">
        <f t="shared" si="16"/>
        <v>82.843842680266192</v>
      </c>
      <c r="AO5" s="52">
        <f t="shared" si="17"/>
        <v>106.34184099785884</v>
      </c>
      <c r="AP5" s="52">
        <f t="shared" si="18"/>
        <v>80.772861333485594</v>
      </c>
      <c r="AQ5" s="52">
        <f t="shared" si="3"/>
        <v>124.91571868281386</v>
      </c>
      <c r="AR5" s="52">
        <f t="shared" si="4"/>
        <v>127.84101421718692</v>
      </c>
      <c r="AS5" s="52">
        <f t="shared" si="5"/>
        <v>80.065721523345331</v>
      </c>
      <c r="AT5" s="52">
        <f t="shared" si="6"/>
        <v>94.661770616731715</v>
      </c>
      <c r="AU5" s="52">
        <f t="shared" si="7"/>
        <v>126.32862940947081</v>
      </c>
      <c r="AV5" s="52">
        <f t="shared" si="8"/>
        <v>87.496096179643985</v>
      </c>
      <c r="AW5" s="53">
        <f t="shared" si="9"/>
        <v>105.25256608306002</v>
      </c>
    </row>
    <row r="6" spans="1:49">
      <c r="A6" s="271" t="s">
        <v>77</v>
      </c>
      <c r="B6" s="22" t="s">
        <v>83</v>
      </c>
      <c r="C6" s="22" t="s">
        <v>107</v>
      </c>
      <c r="D6" s="46" t="s">
        <v>34</v>
      </c>
      <c r="E6" s="22" t="s">
        <v>36</v>
      </c>
      <c r="F6" s="56">
        <f>SUMIFS('Offtake Raw'!H:H,'Offtake Raw'!$C:$C,Fabric!$D6,'Offtake Raw'!$D:$D,Fabric!$E6)/1000000</f>
        <v>2.0167274444444443</v>
      </c>
      <c r="G6" s="56">
        <f>SUMIFS('Offtake Raw'!I:I,'Offtake Raw'!$C:$C,Fabric!$D6,'Offtake Raw'!$D:$D,Fabric!$E6)/1000000</f>
        <v>3.1373317611111116</v>
      </c>
      <c r="H6" s="56">
        <f>SUMIFS('Offtake Raw'!J:J,'Offtake Raw'!$C:$C,Fabric!$D6,'Offtake Raw'!$D:$D,Fabric!$E6)/1000000</f>
        <v>2.8118948961111108</v>
      </c>
      <c r="I6" s="56">
        <f>SUMIFS('Offtake Raw'!K:K,'Offtake Raw'!$C:$C,Fabric!$D6,'Offtake Raw'!$D:$D,Fabric!$E6)/1000000</f>
        <v>3.4662760555555558</v>
      </c>
      <c r="J6" s="56">
        <f>SUMIFS('Offtake Raw'!L:L,'Offtake Raw'!$C:$C,Fabric!$D6,'Offtake Raw'!$D:$D,Fabric!$E6)/1000000</f>
        <v>3.6448444105555553</v>
      </c>
      <c r="K6" s="56">
        <f>SUMIFS('Offtake Raw'!M:M,'Offtake Raw'!$C:$C,Fabric!$D6,'Offtake Raw'!$D:$D,Fabric!$E6)/1000000</f>
        <v>1.9889930444444446</v>
      </c>
      <c r="L6" s="62">
        <f>SUMIFS('Offtake Raw'!N:N,'Offtake Raw'!$C:$C,Fabric!$D6,'Offtake Raw'!$D:$D,Fabric!$E6)/1000000</f>
        <v>2.168785552777778</v>
      </c>
      <c r="M6" s="56">
        <f>SUMIFS('Offtake Raw'!O:O,'Offtake Raw'!$C:$C,Fabric!$D6,'Offtake Raw'!$D:$D,Fabric!$E6)/1000000</f>
        <v>1.8349906566666672</v>
      </c>
      <c r="N6" s="56">
        <f>SUMIFS('Offtake Raw'!P:P,'Offtake Raw'!$C:$C,Fabric!$D6,'Offtake Raw'!$D:$D,Fabric!$E6)/1000000</f>
        <v>1.8246264283333335</v>
      </c>
      <c r="O6" s="56">
        <f>SUMIFS('Offtake Raw'!Q:Q,'Offtake Raw'!$C:$C,Fabric!$D6,'Offtake Raw'!$D:$D,Fabric!$E6)/1000000</f>
        <v>2.2384204972222226</v>
      </c>
      <c r="P6" s="56">
        <f>SUMIFS('Offtake Raw'!R:R,'Offtake Raw'!$C:$C,Fabric!$D6,'Offtake Raw'!$D:$D,Fabric!$E6)/1000000</f>
        <v>6.0137957550000012</v>
      </c>
      <c r="Q6" s="56">
        <f>SUMIFS('Offtake Raw'!S:S,'Offtake Raw'!$C:$C,Fabric!$D6,'Offtake Raw'!$D:$D,Fabric!$E6)/1000000</f>
        <v>4.6293578100000001</v>
      </c>
      <c r="R6" s="56">
        <f>SUMIFS('Offtake Raw'!T:T,'Offtake Raw'!$C:$C,Fabric!$D6,'Offtake Raw'!$D:$D,Fabric!$E6)/1000000</f>
        <v>2.7932784133333337</v>
      </c>
      <c r="S6" s="56">
        <f>SUMIFS('Offtake Raw'!U:U,'Offtake Raw'!$C:$C,Fabric!$D6,'Offtake Raw'!$D:$D,Fabric!$E6)/1000000</f>
        <v>3.3195929616666664</v>
      </c>
      <c r="T6" s="56">
        <f>SUMIFS('Offtake Raw'!V:V,'Offtake Raw'!$C:$C,Fabric!$D6,'Offtake Raw'!$D:$D,Fabric!$E6)/1000000</f>
        <v>2.5534994407222218</v>
      </c>
      <c r="U6" s="56">
        <f>SUMIFS('Offtake Raw'!W:W,'Offtake Raw'!$C:$C,Fabric!$D6,'Offtake Raw'!$D:$D,Fabric!$E6)/1000000</f>
        <v>2.6114915261666667</v>
      </c>
      <c r="V6" s="56">
        <f>SUMIFS('Offtake Raw'!X:X,'Offtake Raw'!$C:$C,Fabric!$D6,'Offtake Raw'!$D:$D,Fabric!$E6)/1000000</f>
        <v>4.1051218527222222</v>
      </c>
      <c r="W6" s="56">
        <f>SUMIFS('Offtake Raw'!Y:Y,'Offtake Raw'!$C:$C,Fabric!$D6,'Offtake Raw'!$D:$D,Fabric!$E6)/1000000</f>
        <v>2.0073728202777779</v>
      </c>
      <c r="X6" s="62">
        <f>SUMIFS('Offtake Raw'!Z:Z,'Offtake Raw'!$C:$C,Fabric!$D6,'Offtake Raw'!$D:$D,Fabric!$E6)/1000000</f>
        <v>3.2968409148333335</v>
      </c>
      <c r="Y6" s="56">
        <f>SUMIFS('Offtake Raw'!AA:AA,'Offtake Raw'!$C:$C,Fabric!$D6,'Offtake Raw'!$D:$D,Fabric!$E6)/1000000</f>
        <v>1.3785248688888889</v>
      </c>
      <c r="Z6" s="56">
        <f>SUMIFS('Offtake Raw'!AB:AB,'Offtake Raw'!$C:$C,Fabric!$D6,'Offtake Raw'!$D:$D,Fabric!$E6)/1000000</f>
        <v>1.3854925499999997</v>
      </c>
      <c r="AA6" s="56">
        <f>SUMIFS('Offtake Raw'!AC:AC,'Offtake Raw'!$C:$C,Fabric!$D6,'Offtake Raw'!$D:$D,Fabric!$E6)/1000000</f>
        <v>3.1379094102222225</v>
      </c>
      <c r="AB6" s="56">
        <f>SUMIFS('Offtake Raw'!AD:AD,'Offtake Raw'!$C:$C,Fabric!$D6,'Offtake Raw'!$D:$D,Fabric!$E6)/1000000</f>
        <v>2.5639819991111112</v>
      </c>
      <c r="AC6" s="56">
        <f>SUMIFS('Offtake Raw'!AE:AE,'Offtake Raw'!$C:$C,Fabric!$D6,'Offtake Raw'!$D:$D,Fabric!$E6)/1000000</f>
        <v>6.1198827081666662</v>
      </c>
      <c r="AD6" s="56">
        <f>SUMIFS('Offtake Raw'!AF:AF,'Offtake Raw'!$C:$C,Fabric!$D6,'Offtake Raw'!$D:$D,Fabric!$E6)/1000000</f>
        <v>2.6521754506111113</v>
      </c>
      <c r="AE6" s="56">
        <f>SUMIFS('Offtake Raw'!AG:AG,'Offtake Raw'!$C:$C,Fabric!$D6,'Offtake Raw'!$D:$D,Fabric!$E6)/1000000</f>
        <v>2.488285386611111</v>
      </c>
      <c r="AF6" s="56">
        <f>SUMIFS('Offtake Raw'!AH:AH,'Offtake Raw'!$C:$C,Fabric!$D6,'Offtake Raw'!$D:$D,Fabric!$E6)/1000000</f>
        <v>2.4067174530000002</v>
      </c>
      <c r="AG6" s="56">
        <f>SUMIFS('Offtake Raw'!AI:AI,'Offtake Raw'!$C:$C,Fabric!$D6,'Offtake Raw'!$D:$D,Fabric!$E6)/1000000</f>
        <v>4.795336311722223</v>
      </c>
      <c r="AH6" s="56">
        <f t="shared" ref="AH6:AI6" si="20">AH12+AH18</f>
        <v>4</v>
      </c>
      <c r="AI6" s="25">
        <f t="shared" si="20"/>
        <v>4</v>
      </c>
      <c r="AJ6" s="229"/>
      <c r="AK6" s="267">
        <v>2.58</v>
      </c>
      <c r="AL6" s="263">
        <f t="shared" si="15"/>
        <v>2.2153363117222229</v>
      </c>
      <c r="AM6" s="229"/>
      <c r="AN6" s="51">
        <f t="shared" si="16"/>
        <v>183.62442549301161</v>
      </c>
      <c r="AO6" s="52">
        <f t="shared" si="17"/>
        <v>100.79134748904809</v>
      </c>
      <c r="AP6" s="52">
        <f t="shared" si="18"/>
        <v>109.44019555994369</v>
      </c>
      <c r="AQ6" s="52">
        <f t="shared" si="3"/>
        <v>103.98832596838356</v>
      </c>
      <c r="AR6" s="52">
        <f t="shared" si="4"/>
        <v>91.772745010795703</v>
      </c>
      <c r="AS6" s="52">
        <f t="shared" si="5"/>
        <v>87.085799242866457</v>
      </c>
      <c r="AT6" s="52">
        <f t="shared" si="6"/>
        <v>146.66846117826805</v>
      </c>
      <c r="AU6" s="52">
        <f t="shared" si="7"/>
        <v>95.578058369373693</v>
      </c>
      <c r="AV6" s="52">
        <f t="shared" si="8"/>
        <v>116.97583082698098</v>
      </c>
      <c r="AW6" s="53">
        <f t="shared" si="9"/>
        <v>105.88585511441254</v>
      </c>
    </row>
    <row r="7" spans="1:49">
      <c r="A7" s="271" t="s">
        <v>77</v>
      </c>
      <c r="B7" s="22" t="s">
        <v>83</v>
      </c>
      <c r="C7" s="22" t="s">
        <v>107</v>
      </c>
      <c r="D7" s="46" t="s">
        <v>38</v>
      </c>
      <c r="E7" s="22" t="s">
        <v>38</v>
      </c>
      <c r="F7" s="56">
        <f>SUMIFS('Offtake Raw'!H:H,'Offtake Raw'!$C:$C,Fabric!$D7,'Offtake Raw'!$D:$D,Fabric!$E7)/1000000</f>
        <v>0.67788021000000009</v>
      </c>
      <c r="G7" s="56">
        <f>SUMIFS('Offtake Raw'!I:I,'Offtake Raw'!$C:$C,Fabric!$D7,'Offtake Raw'!$D:$D,Fabric!$E7)/1000000</f>
        <v>0.72018447000000008</v>
      </c>
      <c r="H7" s="56">
        <f>SUMIFS('Offtake Raw'!J:J,'Offtake Raw'!$C:$C,Fabric!$D7,'Offtake Raw'!$D:$D,Fabric!$E7)/1000000</f>
        <v>0.45857486999999997</v>
      </c>
      <c r="I7" s="56">
        <f>SUMIFS('Offtake Raw'!K:K,'Offtake Raw'!$C:$C,Fabric!$D7,'Offtake Raw'!$D:$D,Fabric!$E7)/1000000</f>
        <v>1.1614318799999999</v>
      </c>
      <c r="J7" s="56">
        <f>SUMIFS('Offtake Raw'!L:L,'Offtake Raw'!$C:$C,Fabric!$D7,'Offtake Raw'!$D:$D,Fabric!$E7)/1000000</f>
        <v>1.2403565999999999</v>
      </c>
      <c r="K7" s="56">
        <f>SUMIFS('Offtake Raw'!M:M,'Offtake Raw'!$C:$C,Fabric!$D7,'Offtake Raw'!$D:$D,Fabric!$E7)/1000000</f>
        <v>0.51718814000000002</v>
      </c>
      <c r="L7" s="62">
        <f>SUMIFS('Offtake Raw'!N:N,'Offtake Raw'!$C:$C,Fabric!$D7,'Offtake Raw'!$D:$D,Fabric!$E7)/1000000</f>
        <v>1.11408543</v>
      </c>
      <c r="M7" s="56">
        <f>SUMIFS('Offtake Raw'!O:O,'Offtake Raw'!$C:$C,Fabric!$D7,'Offtake Raw'!$D:$D,Fabric!$E7)/1000000</f>
        <v>1.01871826</v>
      </c>
      <c r="N7" s="56">
        <f>SUMIFS('Offtake Raw'!P:P,'Offtake Raw'!$C:$C,Fabric!$D7,'Offtake Raw'!$D:$D,Fabric!$E7)/1000000</f>
        <v>0.55683150999999986</v>
      </c>
      <c r="O7" s="56">
        <f>SUMIFS('Offtake Raw'!Q:Q,'Offtake Raw'!$C:$C,Fabric!$D7,'Offtake Raw'!$D:$D,Fabric!$E7)/1000000</f>
        <v>0.76404023667190002</v>
      </c>
      <c r="P7" s="56">
        <f>SUMIFS('Offtake Raw'!R:R,'Offtake Raw'!$C:$C,Fabric!$D7,'Offtake Raw'!$D:$D,Fabric!$E7)/1000000</f>
        <v>1.9423050400199999</v>
      </c>
      <c r="Q7" s="56">
        <f>SUMIFS('Offtake Raw'!S:S,'Offtake Raw'!$C:$C,Fabric!$D7,'Offtake Raw'!$D:$D,Fabric!$E7)/1000000</f>
        <v>0.89190441135709986</v>
      </c>
      <c r="R7" s="56">
        <f>SUMIFS('Offtake Raw'!T:T,'Offtake Raw'!$C:$C,Fabric!$D7,'Offtake Raw'!$D:$D,Fabric!$E7)/1000000</f>
        <v>1.3874243040536998</v>
      </c>
      <c r="S7" s="56">
        <f>SUMIFS('Offtake Raw'!U:U,'Offtake Raw'!$C:$C,Fabric!$D7,'Offtake Raw'!$D:$D,Fabric!$E7)/1000000</f>
        <v>1.0039761733427</v>
      </c>
      <c r="T7" s="56">
        <f>SUMIFS('Offtake Raw'!V:V,'Offtake Raw'!$C:$C,Fabric!$D7,'Offtake Raw'!$D:$D,Fabric!$E7)/1000000</f>
        <v>1.1529372183388999</v>
      </c>
      <c r="U7" s="56">
        <f>SUMIFS('Offtake Raw'!W:W,'Offtake Raw'!$C:$C,Fabric!$D7,'Offtake Raw'!$D:$D,Fabric!$E7)/1000000</f>
        <v>1.2353057003395997</v>
      </c>
      <c r="V7" s="56">
        <f>SUMIFS('Offtake Raw'!X:X,'Offtake Raw'!$C:$C,Fabric!$D7,'Offtake Raw'!$D:$D,Fabric!$E7)/1000000</f>
        <v>1.2790385180095998</v>
      </c>
      <c r="W7" s="56">
        <f>SUMIFS('Offtake Raw'!Y:Y,'Offtake Raw'!$C:$C,Fabric!$D7,'Offtake Raw'!$D:$D,Fabric!$E7)/1000000</f>
        <v>0.90561088667290013</v>
      </c>
      <c r="X7" s="62">
        <f>SUMIFS('Offtake Raw'!Z:Z,'Offtake Raw'!$C:$C,Fabric!$D7,'Offtake Raw'!$D:$D,Fabric!$E7)/1000000</f>
        <v>1.0539087970137</v>
      </c>
      <c r="Y7" s="56">
        <f>SUMIFS('Offtake Raw'!AA:AA,'Offtake Raw'!$C:$C,Fabric!$D7,'Offtake Raw'!$D:$D,Fabric!$E7)/1000000</f>
        <v>0.79949411268040016</v>
      </c>
      <c r="Z7" s="56">
        <f>SUMIFS('Offtake Raw'!AB:AB,'Offtake Raw'!$C:$C,Fabric!$D7,'Offtake Raw'!$D:$D,Fabric!$E7)/1000000</f>
        <v>0.84791993934270005</v>
      </c>
      <c r="AA7" s="56">
        <f>SUMIFS('Offtake Raw'!AC:AC,'Offtake Raw'!$C:$C,Fabric!$D7,'Offtake Raw'!$D:$D,Fabric!$E7)/1000000</f>
        <v>1.1859601136759998</v>
      </c>
      <c r="AB7" s="56">
        <f>SUMIFS('Offtake Raw'!AD:AD,'Offtake Raw'!$C:$C,Fabric!$D7,'Offtake Raw'!$D:$D,Fabric!$E7)/1000000</f>
        <v>1.2855061730071999</v>
      </c>
      <c r="AC7" s="56">
        <f>SUMIFS('Offtake Raw'!AE:AE,'Offtake Raw'!$C:$C,Fabric!$D7,'Offtake Raw'!$D:$D,Fabric!$E7)/1000000</f>
        <v>0.77498545500969995</v>
      </c>
      <c r="AD7" s="56">
        <f>SUMIFS('Offtake Raw'!AF:AF,'Offtake Raw'!$C:$C,Fabric!$D7,'Offtake Raw'!$D:$D,Fabric!$E7)/1000000</f>
        <v>1.2090009160057</v>
      </c>
      <c r="AE7" s="56">
        <f>SUMIFS('Offtake Raw'!AG:AG,'Offtake Raw'!$C:$C,Fabric!$D7,'Offtake Raw'!$D:$D,Fabric!$E7)/1000000</f>
        <v>1.1174806780057003</v>
      </c>
      <c r="AF7" s="56">
        <f>SUMIFS('Offtake Raw'!AH:AH,'Offtake Raw'!$C:$C,Fabric!$D7,'Offtake Raw'!$D:$D,Fabric!$E7)/1000000</f>
        <v>0.76144042067280004</v>
      </c>
      <c r="AG7" s="56">
        <f>SUMIFS('Offtake Raw'!AI:AI,'Offtake Raw'!$C:$C,Fabric!$D7,'Offtake Raw'!$D:$D,Fabric!$E7)/1000000</f>
        <v>1.0990384672696778</v>
      </c>
      <c r="AH7" s="46">
        <f t="shared" ref="AH7:AI7" si="21">AH13+AH19</f>
        <v>1.1599999999999999</v>
      </c>
      <c r="AI7" s="23">
        <f t="shared" si="21"/>
        <v>1.1599999999999999</v>
      </c>
      <c r="AJ7" s="229"/>
      <c r="AK7" s="309">
        <v>0.86</v>
      </c>
      <c r="AL7" s="263">
        <f t="shared" si="15"/>
        <v>0.23903846726967781</v>
      </c>
      <c r="AM7" s="229"/>
      <c r="AN7" s="51">
        <f t="shared" si="16"/>
        <v>88.968946469488444</v>
      </c>
      <c r="AO7" s="52">
        <f t="shared" si="17"/>
        <v>91.571801873970458</v>
      </c>
      <c r="AP7" s="52">
        <f t="shared" si="18"/>
        <v>87.599850762763197</v>
      </c>
      <c r="AQ7" s="52">
        <f t="shared" si="3"/>
        <v>100.43454402428999</v>
      </c>
      <c r="AR7" s="52">
        <f t="shared" si="4"/>
        <v>90.223081307432892</v>
      </c>
      <c r="AS7" s="52">
        <f t="shared" si="5"/>
        <v>87.122680731007137</v>
      </c>
      <c r="AT7" s="52">
        <f t="shared" si="6"/>
        <v>99.973197374694294</v>
      </c>
      <c r="AU7" s="52">
        <f t="shared" si="7"/>
        <v>94.591022205802048</v>
      </c>
      <c r="AV7" s="52">
        <f t="shared" si="8"/>
        <v>93.433183642798838</v>
      </c>
      <c r="AW7" s="53">
        <f t="shared" si="9"/>
        <v>93.982554151862999</v>
      </c>
    </row>
    <row r="8" spans="1:49">
      <c r="A8" s="271" t="s">
        <v>77</v>
      </c>
      <c r="B8" s="22" t="s">
        <v>83</v>
      </c>
      <c r="C8" s="22" t="s">
        <v>107</v>
      </c>
      <c r="D8" s="46" t="s">
        <v>37</v>
      </c>
      <c r="E8" s="22" t="s">
        <v>37</v>
      </c>
      <c r="F8" s="56">
        <f>SUMIFS('Offtake Raw'!H:H,'Offtake Raw'!$C:$C,Fabric!$D8,'Offtake Raw'!$D:$D,Fabric!$E8)/1000000</f>
        <v>0</v>
      </c>
      <c r="G8" s="56">
        <f>SUMIFS('Offtake Raw'!I:I,'Offtake Raw'!$C:$C,Fabric!$D8,'Offtake Raw'!$D:$D,Fabric!$E8)/1000000</f>
        <v>0</v>
      </c>
      <c r="H8" s="56">
        <f>SUMIFS('Offtake Raw'!J:J,'Offtake Raw'!$C:$C,Fabric!$D8,'Offtake Raw'!$D:$D,Fabric!$E8)/1000000</f>
        <v>2.3200399999999999E-2</v>
      </c>
      <c r="I8" s="56">
        <f>SUMIFS('Offtake Raw'!K:K,'Offtake Raw'!$C:$C,Fabric!$D8,'Offtake Raw'!$D:$D,Fabric!$E8)/1000000</f>
        <v>3.2555399999999998E-2</v>
      </c>
      <c r="J8" s="56">
        <f>SUMIFS('Offtake Raw'!L:L,'Offtake Raw'!$C:$C,Fabric!$D8,'Offtake Raw'!$D:$D,Fabric!$E8)/1000000</f>
        <v>6.8478599999999987E-2</v>
      </c>
      <c r="K8" s="56">
        <f>SUMIFS('Offtake Raw'!M:M,'Offtake Raw'!$C:$C,Fabric!$D8,'Offtake Raw'!$D:$D,Fabric!$E8)/1000000</f>
        <v>7.8581999999999999E-2</v>
      </c>
      <c r="L8" s="62">
        <f>SUMIFS('Offtake Raw'!N:N,'Offtake Raw'!$C:$C,Fabric!$D8,'Offtake Raw'!$D:$D,Fabric!$E8)/1000000</f>
        <v>6.1368799999999994E-2</v>
      </c>
      <c r="M8" s="56">
        <f>SUMIFS('Offtake Raw'!O:O,'Offtake Raw'!$C:$C,Fabric!$D8,'Offtake Raw'!$D:$D,Fabric!$E8)/1000000</f>
        <v>9.3175800000000003E-2</v>
      </c>
      <c r="N8" s="56">
        <f>SUMIFS('Offtake Raw'!P:P,'Offtake Raw'!$C:$C,Fabric!$D8,'Offtake Raw'!$D:$D,Fabric!$E8)/1000000</f>
        <v>8.7188600000000005E-2</v>
      </c>
      <c r="O8" s="56">
        <f>SUMIFS('Offtake Raw'!Q:Q,'Offtake Raw'!$C:$C,Fabric!$D8,'Offtake Raw'!$D:$D,Fabric!$E8)/1000000</f>
        <v>8.344660000000001E-2</v>
      </c>
      <c r="P8" s="56">
        <f>SUMIFS('Offtake Raw'!R:R,'Offtake Raw'!$C:$C,Fabric!$D8,'Offtake Raw'!$D:$D,Fabric!$E8)/1000000</f>
        <v>7.3717399999999988E-2</v>
      </c>
      <c r="Q8" s="56">
        <f>SUMIFS('Offtake Raw'!S:S,'Offtake Raw'!$C:$C,Fabric!$D8,'Offtake Raw'!$D:$D,Fabric!$E8)/1000000</f>
        <v>9.5413559999999994E-2</v>
      </c>
      <c r="R8" s="56">
        <f>SUMIFS('Offtake Raw'!T:T,'Offtake Raw'!$C:$C,Fabric!$D8,'Offtake Raw'!$D:$D,Fabric!$E8)/1000000</f>
        <v>0.13632817999999999</v>
      </c>
      <c r="S8" s="56">
        <f>SUMIFS('Offtake Raw'!U:U,'Offtake Raw'!$C:$C,Fabric!$D8,'Offtake Raw'!$D:$D,Fabric!$E8)/1000000</f>
        <v>0.17452481999999997</v>
      </c>
      <c r="T8" s="56">
        <f>SUMIFS('Offtake Raw'!V:V,'Offtake Raw'!$C:$C,Fabric!$D8,'Offtake Raw'!$D:$D,Fabric!$E8)/1000000</f>
        <v>0.10805485999999999</v>
      </c>
      <c r="U8" s="56">
        <f>SUMIFS('Offtake Raw'!W:W,'Offtake Raw'!$C:$C,Fabric!$D8,'Offtake Raw'!$D:$D,Fabric!$E8)/1000000</f>
        <v>0.36441149199999995</v>
      </c>
      <c r="V8" s="56">
        <f>SUMIFS('Offtake Raw'!X:X,'Offtake Raw'!$C:$C,Fabric!$D8,'Offtake Raw'!$D:$D,Fabric!$E8)/1000000</f>
        <v>0.53308196350000003</v>
      </c>
      <c r="W8" s="56">
        <f>SUMIFS('Offtake Raw'!Y:Y,'Offtake Raw'!$C:$C,Fabric!$D8,'Offtake Raw'!$D:$D,Fabric!$E8)/1000000</f>
        <v>0.21786960900000002</v>
      </c>
      <c r="X8" s="62">
        <f>SUMIFS('Offtake Raw'!Z:Z,'Offtake Raw'!$C:$C,Fabric!$D8,'Offtake Raw'!$D:$D,Fabric!$E8)/1000000</f>
        <v>0.4309852945</v>
      </c>
      <c r="Y8" s="56">
        <f>SUMIFS('Offtake Raw'!AA:AA,'Offtake Raw'!$C:$C,Fabric!$D8,'Offtake Raw'!$D:$D,Fabric!$E8)/1000000</f>
        <v>0.55175752249999999</v>
      </c>
      <c r="Z8" s="56">
        <f>SUMIFS('Offtake Raw'!AB:AB,'Offtake Raw'!$C:$C,Fabric!$D8,'Offtake Raw'!$D:$D,Fabric!$E8)/1000000</f>
        <v>0.22329724549999999</v>
      </c>
      <c r="AA8" s="56">
        <f>SUMIFS('Offtake Raw'!AC:AC,'Offtake Raw'!$C:$C,Fabric!$D8,'Offtake Raw'!$D:$D,Fabric!$E8)/1000000</f>
        <v>0.25072238400000002</v>
      </c>
      <c r="AB8" s="56">
        <f>SUMIFS('Offtake Raw'!AD:AD,'Offtake Raw'!$C:$C,Fabric!$D8,'Offtake Raw'!$D:$D,Fabric!$E8)/1000000</f>
        <v>0.20150064749999996</v>
      </c>
      <c r="AC8" s="56">
        <f>SUMIFS('Offtake Raw'!AE:AE,'Offtake Raw'!$C:$C,Fabric!$D8,'Offtake Raw'!$D:$D,Fabric!$E8)/1000000</f>
        <v>0.201427997</v>
      </c>
      <c r="AD8" s="56">
        <f>SUMIFS('Offtake Raw'!AF:AF,'Offtake Raw'!$C:$C,Fabric!$D8,'Offtake Raw'!$D:$D,Fabric!$E8)/1000000</f>
        <v>0.20149945400000002</v>
      </c>
      <c r="AE8" s="56">
        <f>SUMIFS('Offtake Raw'!AG:AG,'Offtake Raw'!$C:$C,Fabric!$D8,'Offtake Raw'!$D:$D,Fabric!$E8)/1000000</f>
        <v>0.12517938649999999</v>
      </c>
      <c r="AF8" s="56">
        <f>SUMIFS('Offtake Raw'!AH:AH,'Offtake Raw'!$C:$C,Fabric!$D8,'Offtake Raw'!$D:$D,Fabric!$E8)/1000000</f>
        <v>0.111358837</v>
      </c>
      <c r="AG8" s="56">
        <f>SUMIFS('Offtake Raw'!AI:AI,'Offtake Raw'!$C:$C,Fabric!$D8,'Offtake Raw'!$D:$D,Fabric!$E8)/1000000</f>
        <v>0.1489996472222222</v>
      </c>
      <c r="AH8" s="56">
        <f t="shared" ref="AH8:AI8" si="22">AH14+AH20</f>
        <v>0.2</v>
      </c>
      <c r="AI8" s="25">
        <f t="shared" si="22"/>
        <v>0.2</v>
      </c>
      <c r="AJ8" s="229"/>
      <c r="AK8" s="268">
        <v>0.2</v>
      </c>
      <c r="AL8" s="264">
        <f t="shared" si="15"/>
        <v>-5.1000352777777813E-2</v>
      </c>
      <c r="AM8" s="229"/>
      <c r="AN8" s="54">
        <f t="shared" si="16"/>
        <v>40.887746542916986</v>
      </c>
      <c r="AO8" s="48">
        <f t="shared" si="17"/>
        <v>191.50522461404097</v>
      </c>
      <c r="AP8" s="48">
        <f t="shared" si="18"/>
        <v>74.942272678873167</v>
      </c>
      <c r="AQ8" s="48">
        <f t="shared" si="3"/>
        <v>498.91370424087381</v>
      </c>
      <c r="AR8" s="48">
        <f t="shared" si="4"/>
        <v>258.79220169044316</v>
      </c>
      <c r="AS8" s="48">
        <f t="shared" si="5"/>
        <v>104.56659311668206</v>
      </c>
      <c r="AT8" s="48">
        <f t="shared" si="6"/>
        <v>49.221609061290749</v>
      </c>
      <c r="AU8" s="48">
        <f t="shared" si="7"/>
        <v>376.21901878081712</v>
      </c>
      <c r="AV8" s="48">
        <f t="shared" si="8"/>
        <v>64.332661784872542</v>
      </c>
      <c r="AW8" s="55">
        <f t="shared" si="9"/>
        <v>140.33097298834571</v>
      </c>
    </row>
    <row r="9" spans="1:49" outlineLevel="1">
      <c r="A9" s="303" t="s">
        <v>77</v>
      </c>
      <c r="B9" s="122" t="s">
        <v>715</v>
      </c>
      <c r="C9" s="122" t="s">
        <v>108</v>
      </c>
      <c r="D9" s="122" t="s">
        <v>108</v>
      </c>
      <c r="E9" s="123" t="s">
        <v>83</v>
      </c>
      <c r="F9" s="168"/>
      <c r="G9" s="168"/>
      <c r="H9" s="168"/>
      <c r="I9" s="168"/>
      <c r="J9" s="168"/>
      <c r="K9" s="168"/>
      <c r="L9" s="167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7"/>
      <c r="Y9" s="168"/>
      <c r="Z9" s="168"/>
      <c r="AA9" s="168"/>
      <c r="AB9" s="168"/>
      <c r="AC9" s="168"/>
      <c r="AD9" s="168">
        <f>AD10+AD13+AD14</f>
        <v>3.36</v>
      </c>
      <c r="AE9" s="168">
        <f t="shared" ref="AE9:AI9" si="23">AE10+AE13+AE14</f>
        <v>3.36</v>
      </c>
      <c r="AF9" s="168">
        <f t="shared" si="23"/>
        <v>3.36</v>
      </c>
      <c r="AG9" s="168">
        <f t="shared" si="23"/>
        <v>3.36</v>
      </c>
      <c r="AH9" s="168">
        <f t="shared" si="23"/>
        <v>3.36</v>
      </c>
      <c r="AI9" s="125">
        <f t="shared" si="23"/>
        <v>3.36</v>
      </c>
      <c r="AJ9" s="56"/>
      <c r="AK9" s="56"/>
      <c r="AM9" s="56"/>
    </row>
    <row r="10" spans="1:49" outlineLevel="1">
      <c r="A10" s="304" t="s">
        <v>77</v>
      </c>
      <c r="B10" s="64" t="s">
        <v>716</v>
      </c>
      <c r="C10" s="64" t="s">
        <v>107</v>
      </c>
      <c r="D10" s="64" t="s">
        <v>34</v>
      </c>
      <c r="E10" s="64" t="s">
        <v>83</v>
      </c>
      <c r="F10" s="65"/>
      <c r="G10" s="65"/>
      <c r="H10" s="65"/>
      <c r="I10" s="65"/>
      <c r="J10" s="65"/>
      <c r="K10" s="65"/>
      <c r="L10" s="70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70"/>
      <c r="Y10" s="65"/>
      <c r="Z10" s="65"/>
      <c r="AA10" s="65"/>
      <c r="AB10" s="65"/>
      <c r="AC10" s="65"/>
      <c r="AD10" s="65">
        <f>AD11+AD12</f>
        <v>2.2999999999999998</v>
      </c>
      <c r="AE10" s="65">
        <f t="shared" ref="AE10:AI10" si="24">AE11+AE12</f>
        <v>2.2999999999999998</v>
      </c>
      <c r="AF10" s="65">
        <f t="shared" si="24"/>
        <v>2.2999999999999998</v>
      </c>
      <c r="AG10" s="65">
        <f t="shared" si="24"/>
        <v>2.2999999999999998</v>
      </c>
      <c r="AH10" s="65">
        <f t="shared" si="24"/>
        <v>2.2999999999999998</v>
      </c>
      <c r="AI10" s="206">
        <f t="shared" si="24"/>
        <v>2.2999999999999998</v>
      </c>
      <c r="AJ10" s="56"/>
      <c r="AK10" s="56"/>
      <c r="AM10" s="56"/>
    </row>
    <row r="11" spans="1:49" outlineLevel="1">
      <c r="A11" s="271" t="s">
        <v>77</v>
      </c>
      <c r="B11" s="22" t="s">
        <v>715</v>
      </c>
      <c r="C11" s="22" t="s">
        <v>107</v>
      </c>
      <c r="D11" s="46" t="s">
        <v>109</v>
      </c>
      <c r="E11" s="22" t="s">
        <v>35</v>
      </c>
      <c r="F11" s="56"/>
      <c r="G11" s="56"/>
      <c r="H11" s="56"/>
      <c r="I11" s="56"/>
      <c r="J11" s="56"/>
      <c r="K11" s="56"/>
      <c r="L11" s="62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62"/>
      <c r="Y11" s="56"/>
      <c r="Z11" s="56"/>
      <c r="AA11" s="56"/>
      <c r="AB11" s="56"/>
      <c r="AC11" s="56"/>
      <c r="AD11" s="56">
        <v>1</v>
      </c>
      <c r="AE11" s="56">
        <v>1</v>
      </c>
      <c r="AF11" s="56">
        <v>1</v>
      </c>
      <c r="AG11" s="56">
        <v>1</v>
      </c>
      <c r="AH11" s="56">
        <v>1</v>
      </c>
      <c r="AI11" s="25">
        <v>1</v>
      </c>
      <c r="AJ11" s="56"/>
      <c r="AK11" s="56"/>
      <c r="AM11" s="56"/>
    </row>
    <row r="12" spans="1:49" outlineLevel="1">
      <c r="A12" s="271" t="s">
        <v>77</v>
      </c>
      <c r="B12" s="22" t="s">
        <v>715</v>
      </c>
      <c r="C12" s="22" t="s">
        <v>107</v>
      </c>
      <c r="D12" s="46" t="s">
        <v>34</v>
      </c>
      <c r="E12" s="22" t="s">
        <v>36</v>
      </c>
      <c r="F12" s="56"/>
      <c r="G12" s="56"/>
      <c r="H12" s="56"/>
      <c r="I12" s="56"/>
      <c r="J12" s="56"/>
      <c r="K12" s="56"/>
      <c r="L12" s="62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62"/>
      <c r="Y12" s="56"/>
      <c r="Z12" s="56"/>
      <c r="AA12" s="56"/>
      <c r="AB12" s="56"/>
      <c r="AC12" s="56"/>
      <c r="AD12" s="56">
        <v>1.3</v>
      </c>
      <c r="AE12" s="56">
        <v>1.3</v>
      </c>
      <c r="AF12" s="56">
        <v>1.3</v>
      </c>
      <c r="AG12" s="56">
        <v>1.3</v>
      </c>
      <c r="AH12" s="56">
        <v>1.3</v>
      </c>
      <c r="AI12" s="25">
        <v>1.3</v>
      </c>
    </row>
    <row r="13" spans="1:49" outlineLevel="1">
      <c r="A13" s="271" t="s">
        <v>77</v>
      </c>
      <c r="B13" s="22" t="s">
        <v>715</v>
      </c>
      <c r="C13" s="22" t="s">
        <v>107</v>
      </c>
      <c r="D13" s="46" t="s">
        <v>38</v>
      </c>
      <c r="E13" s="22" t="s">
        <v>38</v>
      </c>
      <c r="F13" s="56"/>
      <c r="G13" s="56"/>
      <c r="H13" s="56"/>
      <c r="I13" s="56"/>
      <c r="J13" s="56"/>
      <c r="K13" s="56"/>
      <c r="L13" s="62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62"/>
      <c r="Y13" s="56"/>
      <c r="Z13" s="56"/>
      <c r="AA13" s="56"/>
      <c r="AB13" s="56"/>
      <c r="AC13" s="56"/>
      <c r="AD13" s="46">
        <v>0.86</v>
      </c>
      <c r="AE13" s="46">
        <v>0.86</v>
      </c>
      <c r="AF13" s="46">
        <v>0.86</v>
      </c>
      <c r="AG13" s="46">
        <v>0.86</v>
      </c>
      <c r="AH13" s="46">
        <v>0.86</v>
      </c>
      <c r="AI13" s="23">
        <v>0.86</v>
      </c>
    </row>
    <row r="14" spans="1:49" outlineLevel="1">
      <c r="A14" s="271" t="s">
        <v>77</v>
      </c>
      <c r="B14" s="22" t="s">
        <v>715</v>
      </c>
      <c r="C14" s="31" t="s">
        <v>107</v>
      </c>
      <c r="D14" s="59" t="s">
        <v>37</v>
      </c>
      <c r="E14" s="31" t="s">
        <v>37</v>
      </c>
      <c r="F14" s="60"/>
      <c r="G14" s="60"/>
      <c r="H14" s="60"/>
      <c r="I14" s="60"/>
      <c r="J14" s="60"/>
      <c r="K14" s="60"/>
      <c r="L14" s="63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3"/>
      <c r="Y14" s="60"/>
      <c r="Z14" s="60"/>
      <c r="AA14" s="60"/>
      <c r="AB14" s="60"/>
      <c r="AC14" s="60"/>
      <c r="AD14" s="60">
        <v>0.2</v>
      </c>
      <c r="AE14" s="60">
        <v>0.2</v>
      </c>
      <c r="AF14" s="60">
        <v>0.2</v>
      </c>
      <c r="AG14" s="60">
        <v>0.2</v>
      </c>
      <c r="AH14" s="60">
        <v>0.2</v>
      </c>
      <c r="AI14" s="33">
        <v>0.2</v>
      </c>
    </row>
    <row r="15" spans="1:49" outlineLevel="1">
      <c r="A15" s="303" t="s">
        <v>77</v>
      </c>
      <c r="B15" s="122" t="s">
        <v>717</v>
      </c>
      <c r="C15" s="122" t="s">
        <v>108</v>
      </c>
      <c r="D15" s="122" t="s">
        <v>108</v>
      </c>
      <c r="E15" s="123" t="s">
        <v>83</v>
      </c>
      <c r="F15" s="168"/>
      <c r="G15" s="168"/>
      <c r="H15" s="168"/>
      <c r="I15" s="168"/>
      <c r="J15" s="168"/>
      <c r="K15" s="168"/>
      <c r="L15" s="167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7"/>
      <c r="Y15" s="168"/>
      <c r="Z15" s="168"/>
      <c r="AA15" s="168"/>
      <c r="AB15" s="168"/>
      <c r="AC15" s="168"/>
      <c r="AD15" s="168">
        <f>AD16+AD19+AD20</f>
        <v>0</v>
      </c>
      <c r="AE15" s="168">
        <f t="shared" ref="AE15" si="25">AE16+AE19+AE20</f>
        <v>1.9172</v>
      </c>
      <c r="AF15" s="168">
        <f t="shared" ref="AF15" si="26">AF16+AF19+AF20</f>
        <v>1.7172000000000001</v>
      </c>
      <c r="AG15" s="168">
        <f t="shared" ref="AG15" si="27">AG16+AG19+AG20</f>
        <v>1.28</v>
      </c>
      <c r="AH15" s="168">
        <f t="shared" ref="AH15" si="28">AH16+AH19+AH20</f>
        <v>3</v>
      </c>
      <c r="AI15" s="125">
        <f t="shared" ref="AI15" si="29">AI16+AI19+AI20</f>
        <v>3</v>
      </c>
    </row>
    <row r="16" spans="1:49" outlineLevel="1">
      <c r="A16" s="304" t="s">
        <v>77</v>
      </c>
      <c r="B16" s="64" t="s">
        <v>718</v>
      </c>
      <c r="C16" s="64" t="s">
        <v>107</v>
      </c>
      <c r="D16" s="64" t="s">
        <v>34</v>
      </c>
      <c r="E16" s="64" t="s">
        <v>83</v>
      </c>
      <c r="F16" s="65"/>
      <c r="G16" s="65"/>
      <c r="H16" s="65"/>
      <c r="I16" s="65"/>
      <c r="J16" s="65"/>
      <c r="K16" s="65"/>
      <c r="L16" s="70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70"/>
      <c r="Y16" s="65"/>
      <c r="Z16" s="65"/>
      <c r="AA16" s="65"/>
      <c r="AB16" s="65"/>
      <c r="AC16" s="65"/>
      <c r="AD16" s="65">
        <f>AD17+AD18</f>
        <v>0</v>
      </c>
      <c r="AE16" s="65">
        <f t="shared" ref="AE16" si="30">AE17+AE18</f>
        <v>1.7172000000000001</v>
      </c>
      <c r="AF16" s="65">
        <f t="shared" ref="AF16" si="31">AF17+AF18</f>
        <v>1.7172000000000001</v>
      </c>
      <c r="AG16" s="65">
        <f t="shared" ref="AG16" si="32">AG17+AG18</f>
        <v>1.28</v>
      </c>
      <c r="AH16" s="65">
        <f t="shared" ref="AH16" si="33">AH17+AH18</f>
        <v>2.7</v>
      </c>
      <c r="AI16" s="206">
        <f t="shared" ref="AI16" si="34">AI17+AI18</f>
        <v>2.7</v>
      </c>
    </row>
    <row r="17" spans="1:49" outlineLevel="1">
      <c r="A17" s="271" t="s">
        <v>77</v>
      </c>
      <c r="B17" s="22" t="s">
        <v>717</v>
      </c>
      <c r="C17" s="22" t="s">
        <v>107</v>
      </c>
      <c r="D17" s="46" t="s">
        <v>109</v>
      </c>
      <c r="E17" s="22" t="s">
        <v>35</v>
      </c>
      <c r="F17" s="56"/>
      <c r="G17" s="56"/>
      <c r="H17" s="56"/>
      <c r="I17" s="56"/>
      <c r="J17" s="56"/>
      <c r="K17" s="56"/>
      <c r="L17" s="62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62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25"/>
    </row>
    <row r="18" spans="1:49" outlineLevel="1">
      <c r="A18" s="271" t="s">
        <v>77</v>
      </c>
      <c r="B18" s="22" t="s">
        <v>717</v>
      </c>
      <c r="C18" s="22" t="s">
        <v>107</v>
      </c>
      <c r="D18" s="46" t="s">
        <v>34</v>
      </c>
      <c r="E18" s="22" t="s">
        <v>36</v>
      </c>
      <c r="F18" s="56"/>
      <c r="G18" s="56"/>
      <c r="H18" s="56"/>
      <c r="I18" s="56"/>
      <c r="J18" s="56"/>
      <c r="K18" s="56"/>
      <c r="L18" s="62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62"/>
      <c r="Y18" s="56"/>
      <c r="Z18" s="56"/>
      <c r="AA18" s="56"/>
      <c r="AB18" s="56"/>
      <c r="AC18" s="56"/>
      <c r="AD18" s="56"/>
      <c r="AE18" s="211">
        <f>1.28+((4000+4000)*109.3/1000000+N("P4 SUD 11-12ct redemption $89"))*0.5</f>
        <v>1.7172000000000001</v>
      </c>
      <c r="AF18" s="211">
        <f>1.28+N("64ct要想辦法賣掉")+((4000+4000)*109.3/1000000+N("P4 SUD 11-12ct redemption $89"))*0.5</f>
        <v>1.7172000000000001</v>
      </c>
      <c r="AG18" s="56">
        <f>1.28+N("64ct要想辦法賣掉")</f>
        <v>1.28</v>
      </c>
      <c r="AH18" s="56">
        <f>2.7+N("64ct整檔的一半")</f>
        <v>2.7</v>
      </c>
      <c r="AI18" s="25">
        <f>2.7+N("64ct整檔的一半")</f>
        <v>2.7</v>
      </c>
    </row>
    <row r="19" spans="1:49" outlineLevel="1">
      <c r="A19" s="271" t="s">
        <v>77</v>
      </c>
      <c r="B19" s="22" t="s">
        <v>717</v>
      </c>
      <c r="C19" s="22" t="s">
        <v>107</v>
      </c>
      <c r="D19" s="46" t="s">
        <v>38</v>
      </c>
      <c r="E19" s="22" t="s">
        <v>38</v>
      </c>
      <c r="F19" s="56"/>
      <c r="G19" s="56"/>
      <c r="H19" s="56"/>
      <c r="I19" s="56"/>
      <c r="J19" s="56"/>
      <c r="K19" s="56"/>
      <c r="L19" s="62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62"/>
      <c r="Y19" s="56"/>
      <c r="Z19" s="56"/>
      <c r="AA19" s="56"/>
      <c r="AB19" s="56"/>
      <c r="AC19" s="56"/>
      <c r="AD19" s="46"/>
      <c r="AE19" s="56">
        <v>0.2</v>
      </c>
      <c r="AF19" s="46"/>
      <c r="AG19" s="46"/>
      <c r="AH19" s="56">
        <v>0.3</v>
      </c>
      <c r="AI19" s="25">
        <v>0.3</v>
      </c>
    </row>
    <row r="20" spans="1:49" outlineLevel="1">
      <c r="A20" s="271" t="s">
        <v>77</v>
      </c>
      <c r="B20" s="22" t="s">
        <v>717</v>
      </c>
      <c r="C20" s="22" t="s">
        <v>107</v>
      </c>
      <c r="D20" s="46" t="s">
        <v>37</v>
      </c>
      <c r="E20" s="22" t="s">
        <v>37</v>
      </c>
      <c r="F20" s="56"/>
      <c r="G20" s="56"/>
      <c r="H20" s="56"/>
      <c r="I20" s="56"/>
      <c r="J20" s="56"/>
      <c r="K20" s="56"/>
      <c r="L20" s="62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62"/>
      <c r="Y20" s="56"/>
      <c r="Z20" s="56"/>
      <c r="AA20" s="56"/>
      <c r="AB20" s="56"/>
      <c r="AC20" s="56"/>
      <c r="AD20" s="46"/>
      <c r="AE20" s="46"/>
      <c r="AF20" s="46"/>
      <c r="AG20" s="46"/>
      <c r="AH20" s="46"/>
      <c r="AI20" s="23"/>
    </row>
    <row r="21" spans="1:49">
      <c r="A21" s="305" t="s">
        <v>709</v>
      </c>
      <c r="B21" s="126" t="s">
        <v>103</v>
      </c>
      <c r="C21" s="126" t="s">
        <v>108</v>
      </c>
      <c r="D21" s="126" t="s">
        <v>108</v>
      </c>
      <c r="E21" s="127" t="s">
        <v>83</v>
      </c>
      <c r="F21" s="174">
        <f t="shared" ref="F21:AD21" si="35">SUM(F23:F26)</f>
        <v>3.6757135750000014</v>
      </c>
      <c r="G21" s="174">
        <f t="shared" si="35"/>
        <v>7.6111533329999999</v>
      </c>
      <c r="H21" s="174">
        <f t="shared" si="35"/>
        <v>2.6889690169999998</v>
      </c>
      <c r="I21" s="174">
        <f t="shared" si="35"/>
        <v>6.3776531280000013</v>
      </c>
      <c r="J21" s="174">
        <f t="shared" si="35"/>
        <v>3.106331460000002</v>
      </c>
      <c r="K21" s="174">
        <f t="shared" si="35"/>
        <v>3.839455399000002</v>
      </c>
      <c r="L21" s="173">
        <f t="shared" si="35"/>
        <v>6.9030455040000005</v>
      </c>
      <c r="M21" s="174">
        <f t="shared" si="35"/>
        <v>1.5553889159999994</v>
      </c>
      <c r="N21" s="174">
        <f t="shared" si="35"/>
        <v>2.9440610400000011</v>
      </c>
      <c r="O21" s="174">
        <f t="shared" si="35"/>
        <v>6.2957684850000009</v>
      </c>
      <c r="P21" s="174">
        <f t="shared" si="35"/>
        <v>7.4260811530000019</v>
      </c>
      <c r="Q21" s="174">
        <f t="shared" si="35"/>
        <v>5.3516186530000027</v>
      </c>
      <c r="R21" s="174">
        <f t="shared" si="35"/>
        <v>11.320470080000003</v>
      </c>
      <c r="S21" s="174">
        <f t="shared" si="35"/>
        <v>2.3717442069999994</v>
      </c>
      <c r="T21" s="174">
        <f t="shared" si="35"/>
        <v>3.1632727590000003</v>
      </c>
      <c r="U21" s="174">
        <f t="shared" si="35"/>
        <v>6.1523093210000006</v>
      </c>
      <c r="V21" s="174">
        <f t="shared" si="35"/>
        <v>7.3510939700000062</v>
      </c>
      <c r="W21" s="174">
        <f t="shared" si="35"/>
        <v>2.8897659780000002</v>
      </c>
      <c r="X21" s="173">
        <f t="shared" si="35"/>
        <v>2.5368842999999979</v>
      </c>
      <c r="Y21" s="174">
        <f t="shared" si="35"/>
        <v>4.8875895049999993</v>
      </c>
      <c r="Z21" s="174">
        <f t="shared" si="35"/>
        <v>3.7839630220000022</v>
      </c>
      <c r="AA21" s="174">
        <f t="shared" si="35"/>
        <v>7.9738948539999992</v>
      </c>
      <c r="AB21" s="174">
        <f t="shared" si="35"/>
        <v>4.1994232220000001</v>
      </c>
      <c r="AC21" s="174">
        <f t="shared" si="35"/>
        <v>13.126576694899995</v>
      </c>
      <c r="AD21" s="174">
        <f t="shared" si="35"/>
        <v>3.0494653914999974</v>
      </c>
      <c r="AE21" s="174">
        <f t="shared" ref="AE21:AI21" si="36">SUM(AE23:AE26)</f>
        <v>2.82</v>
      </c>
      <c r="AF21" s="174">
        <f t="shared" si="36"/>
        <v>2.5170614699999994</v>
      </c>
      <c r="AG21" s="174">
        <f t="shared" si="36"/>
        <v>1.8492560166000001</v>
      </c>
      <c r="AH21" s="174">
        <f t="shared" si="36"/>
        <v>8.66</v>
      </c>
      <c r="AI21" s="131">
        <f t="shared" si="36"/>
        <v>6.160000000000001</v>
      </c>
      <c r="AK21" s="265">
        <v>2.96</v>
      </c>
      <c r="AL21" s="265">
        <f t="shared" ref="AL21:AL26" si="37">AG21-AK21</f>
        <v>-1.1107439833999999</v>
      </c>
      <c r="AN21" s="88">
        <f t="shared" ref="AN21:AN26" si="38">IFERROR(AG21/U21*100,"NA")</f>
        <v>30.057916793745033</v>
      </c>
      <c r="AO21" s="89">
        <f t="shared" ref="AO21:AO26" si="39">IFERROR(SUM(X21:AG21)/SUM(L21:U21)*100,"NA")</f>
        <v>87.398706397735538</v>
      </c>
      <c r="AP21" s="89">
        <f t="shared" ref="AP21:AP26" si="40">IFERROR(SUM(AD21:AG21)/SUM(R21:U21)*100,"NA")</f>
        <v>44.48832350055541</v>
      </c>
      <c r="AQ21" s="89">
        <f t="shared" ref="AQ21:AQ26" si="41">IFERROR(SUM(X21:Z21)/SUM(L21:N21)*100,"NA")</f>
        <v>98.298103834544293</v>
      </c>
      <c r="AR21" s="89">
        <f t="shared" ref="AR21:AR26" si="42">IFERROR(SUM(AA21:AC21)/SUM(O21:Q21)*100,"NA")</f>
        <v>132.64443773363436</v>
      </c>
      <c r="AS21" s="89">
        <f t="shared" ref="AS21:AS26" si="43">IFERROR(SUM(AD21:AF21)/SUM(R21:T21)*100,"NA")</f>
        <v>49.755470361743207</v>
      </c>
      <c r="AT21" s="89">
        <f t="shared" ref="AT21:AT26" si="44">IFERROR(SUM(AG21:AI21)/SUM(U21:W21)*100,"NA")</f>
        <v>101.68415724299318</v>
      </c>
      <c r="AU21" s="89">
        <f t="shared" ref="AU21:AU26" si="45">IFERROR(SUM(X21:AC21)/SUM(L21:Q21)*100,"NA")</f>
        <v>119.79385425244197</v>
      </c>
      <c r="AV21" s="89">
        <f t="shared" ref="AV21:AV26" si="46">IFERROR(SUM(AD21:AI21)/SUM(R21:W21)*100,"NA")</f>
        <v>75.358783346670677</v>
      </c>
      <c r="AW21" s="90">
        <f t="shared" ref="AW21:AW26" si="47">IFERROR(SUM(X21:AI21)/SUM(L21:W21)*100,"NA")</f>
        <v>96.609621857670774</v>
      </c>
    </row>
    <row r="22" spans="1:49">
      <c r="A22" s="306" t="s">
        <v>709</v>
      </c>
      <c r="B22" s="64" t="s">
        <v>103</v>
      </c>
      <c r="C22" s="64" t="s">
        <v>107</v>
      </c>
      <c r="D22" s="64" t="s">
        <v>34</v>
      </c>
      <c r="E22" s="64" t="s">
        <v>83</v>
      </c>
      <c r="F22" s="65">
        <f>SUM(F23:F24)</f>
        <v>3.4291200150000014</v>
      </c>
      <c r="G22" s="65">
        <f t="shared" ref="G22:AD22" si="48">SUM(G23:G24)</f>
        <v>6.7302243329999998</v>
      </c>
      <c r="H22" s="65">
        <f t="shared" si="48"/>
        <v>2.2357586169999997</v>
      </c>
      <c r="I22" s="65">
        <f t="shared" si="48"/>
        <v>4.0169941980000017</v>
      </c>
      <c r="J22" s="65">
        <f t="shared" si="48"/>
        <v>2.3349456600000016</v>
      </c>
      <c r="K22" s="65">
        <f t="shared" si="48"/>
        <v>3.285030509000002</v>
      </c>
      <c r="L22" s="70">
        <f t="shared" si="48"/>
        <v>4.1926867040000007</v>
      </c>
      <c r="M22" s="65">
        <f t="shared" si="48"/>
        <v>1.1912665259999993</v>
      </c>
      <c r="N22" s="65">
        <f t="shared" si="48"/>
        <v>2.380363490000001</v>
      </c>
      <c r="O22" s="65">
        <f t="shared" si="48"/>
        <v>3.6695907630000013</v>
      </c>
      <c r="P22" s="65">
        <f t="shared" si="48"/>
        <v>6.2476744750000019</v>
      </c>
      <c r="Q22" s="65">
        <f t="shared" si="48"/>
        <v>3.4666326090000021</v>
      </c>
      <c r="R22" s="65">
        <f t="shared" si="48"/>
        <v>9.5789261640000021</v>
      </c>
      <c r="S22" s="65">
        <f t="shared" si="48"/>
        <v>1.0793310269999996</v>
      </c>
      <c r="T22" s="65">
        <f t="shared" si="48"/>
        <v>2.1378753889999995</v>
      </c>
      <c r="U22" s="65">
        <f t="shared" si="48"/>
        <v>4.7157838990000007</v>
      </c>
      <c r="V22" s="65">
        <f t="shared" si="48"/>
        <v>4.0969541430000023</v>
      </c>
      <c r="W22" s="65">
        <f t="shared" si="48"/>
        <v>1.9797838739999989</v>
      </c>
      <c r="X22" s="70">
        <f t="shared" si="48"/>
        <v>2.3526138639999985</v>
      </c>
      <c r="Y22" s="65">
        <f t="shared" si="48"/>
        <v>2.9820867829999989</v>
      </c>
      <c r="Z22" s="65">
        <f t="shared" si="48"/>
        <v>2.760358710000002</v>
      </c>
      <c r="AA22" s="65">
        <f t="shared" si="48"/>
        <v>5.9995286640000023</v>
      </c>
      <c r="AB22" s="65">
        <f t="shared" si="48"/>
        <v>3.8868755900000003</v>
      </c>
      <c r="AC22" s="65">
        <f t="shared" si="48"/>
        <v>12.984161908299994</v>
      </c>
      <c r="AD22" s="65">
        <f t="shared" si="48"/>
        <v>1.33</v>
      </c>
      <c r="AE22" s="65">
        <f t="shared" ref="AE22:AI22" si="49">SUM(AE23:AE24)</f>
        <v>2.1799999999999997</v>
      </c>
      <c r="AF22" s="65">
        <f t="shared" si="49"/>
        <v>1.3767291700000008</v>
      </c>
      <c r="AG22" s="65">
        <f t="shared" si="49"/>
        <v>1.7257408700000001</v>
      </c>
      <c r="AH22" s="65">
        <f t="shared" si="49"/>
        <v>7.4</v>
      </c>
      <c r="AI22" s="206">
        <f t="shared" si="49"/>
        <v>2.6</v>
      </c>
      <c r="AK22" s="308">
        <v>2.2999999999999998</v>
      </c>
      <c r="AL22" s="263">
        <f t="shared" si="37"/>
        <v>-0.57425912999999973</v>
      </c>
      <c r="AN22" s="51">
        <f t="shared" si="38"/>
        <v>36.594994744478214</v>
      </c>
      <c r="AO22" s="52">
        <f t="shared" si="39"/>
        <v>97.201159288848416</v>
      </c>
      <c r="AP22" s="52">
        <f t="shared" si="40"/>
        <v>37.759830843925982</v>
      </c>
      <c r="AQ22" s="52">
        <f t="shared" si="41"/>
        <v>104.25977776187368</v>
      </c>
      <c r="AR22" s="52">
        <f t="shared" si="42"/>
        <v>170.88120683337721</v>
      </c>
      <c r="AS22" s="52">
        <f t="shared" si="43"/>
        <v>38.189110181914046</v>
      </c>
      <c r="AT22" s="52">
        <f t="shared" si="44"/>
        <v>108.64690348802067</v>
      </c>
      <c r="AU22" s="52">
        <f t="shared" si="45"/>
        <v>146.42193751721828</v>
      </c>
      <c r="AV22" s="52">
        <f t="shared" si="46"/>
        <v>70.425678763564179</v>
      </c>
      <c r="AW22" s="53">
        <f t="shared" si="47"/>
        <v>106.35097304708312</v>
      </c>
    </row>
    <row r="23" spans="1:49">
      <c r="A23" s="277" t="s">
        <v>709</v>
      </c>
      <c r="B23" s="22" t="s">
        <v>103</v>
      </c>
      <c r="C23" s="22" t="s">
        <v>107</v>
      </c>
      <c r="D23" s="46" t="s">
        <v>109</v>
      </c>
      <c r="E23" s="22" t="s">
        <v>35</v>
      </c>
      <c r="F23" s="56">
        <v>0.72447558100000031</v>
      </c>
      <c r="G23" s="56">
        <v>1.2140413859999999</v>
      </c>
      <c r="H23" s="56">
        <v>0.31423077799999993</v>
      </c>
      <c r="I23" s="56">
        <v>1.3133818830000004</v>
      </c>
      <c r="J23" s="56">
        <v>1.0246358760000005</v>
      </c>
      <c r="K23" s="56">
        <v>0.83862670100000014</v>
      </c>
      <c r="L23" s="62">
        <v>0.69514387199999983</v>
      </c>
      <c r="M23" s="56">
        <v>0.73106664599999993</v>
      </c>
      <c r="N23" s="56">
        <v>0.72902241400000023</v>
      </c>
      <c r="O23" s="56">
        <v>0.51547411200000004</v>
      </c>
      <c r="P23" s="56">
        <v>0.66793910100000009</v>
      </c>
      <c r="Q23" s="56">
        <v>1.3412820000000001</v>
      </c>
      <c r="R23" s="56">
        <v>3.0015810000000016</v>
      </c>
      <c r="S23" s="56">
        <v>0.192914639</v>
      </c>
      <c r="T23" s="56">
        <v>0.41876664799999985</v>
      </c>
      <c r="U23" s="56">
        <v>1.1661897000000001</v>
      </c>
      <c r="V23" s="56">
        <v>0.48400607700000003</v>
      </c>
      <c r="W23" s="56">
        <v>0.803643</v>
      </c>
      <c r="X23" s="62">
        <v>0.81850086399999933</v>
      </c>
      <c r="Y23" s="56">
        <v>1.2307192829999991</v>
      </c>
      <c r="Z23" s="56">
        <v>0.47738550000000007</v>
      </c>
      <c r="AA23" s="56">
        <v>3.1383921140000006</v>
      </c>
      <c r="AB23" s="56">
        <v>0.40378929000000002</v>
      </c>
      <c r="AC23" s="56">
        <v>1.3032063482999998</v>
      </c>
      <c r="AD23" s="56">
        <v>0.85</v>
      </c>
      <c r="AE23" s="56">
        <v>0.96</v>
      </c>
      <c r="AF23" s="56">
        <v>-0.2239227</v>
      </c>
      <c r="AG23" s="56">
        <v>0.45251370000000002</v>
      </c>
      <c r="AH23" s="56">
        <f t="shared" ref="AH23:AI23" si="50">AH5+AH29+AH35</f>
        <v>1</v>
      </c>
      <c r="AI23" s="25">
        <f t="shared" si="50"/>
        <v>1</v>
      </c>
      <c r="AK23" s="267">
        <v>1</v>
      </c>
      <c r="AL23" s="263">
        <f t="shared" si="37"/>
        <v>-0.54748629999999998</v>
      </c>
      <c r="AN23" s="51">
        <f t="shared" si="38"/>
        <v>38.802752245196473</v>
      </c>
      <c r="AO23" s="52">
        <f t="shared" si="39"/>
        <v>99.484155071272255</v>
      </c>
      <c r="AP23" s="52">
        <f t="shared" si="40"/>
        <v>42.653237349070992</v>
      </c>
      <c r="AQ23" s="52">
        <f t="shared" si="41"/>
        <v>117.2312101159003</v>
      </c>
      <c r="AR23" s="52">
        <f t="shared" si="42"/>
        <v>191.91971083679476</v>
      </c>
      <c r="AS23" s="52">
        <f t="shared" si="43"/>
        <v>43.895991323588063</v>
      </c>
      <c r="AT23" s="52">
        <f t="shared" si="44"/>
        <v>99.945999834527839</v>
      </c>
      <c r="AU23" s="52">
        <f t="shared" si="45"/>
        <v>157.52364504092185</v>
      </c>
      <c r="AV23" s="52">
        <f t="shared" si="46"/>
        <v>66.565414971633629</v>
      </c>
      <c r="AW23" s="53">
        <f t="shared" si="47"/>
        <v>106.17431270908159</v>
      </c>
    </row>
    <row r="24" spans="1:49">
      <c r="A24" s="277" t="s">
        <v>709</v>
      </c>
      <c r="B24" s="22" t="s">
        <v>103</v>
      </c>
      <c r="C24" s="22" t="s">
        <v>107</v>
      </c>
      <c r="D24" s="46" t="s">
        <v>34</v>
      </c>
      <c r="E24" s="22" t="s">
        <v>36</v>
      </c>
      <c r="F24" s="56">
        <v>2.7046444340000013</v>
      </c>
      <c r="G24" s="56">
        <v>5.5161829469999999</v>
      </c>
      <c r="H24" s="56">
        <v>1.9215278389999999</v>
      </c>
      <c r="I24" s="56">
        <v>2.7036123150000013</v>
      </c>
      <c r="J24" s="56">
        <v>1.3103097840000009</v>
      </c>
      <c r="K24" s="56">
        <v>2.4464038080000017</v>
      </c>
      <c r="L24" s="62">
        <v>3.4975428320000006</v>
      </c>
      <c r="M24" s="56">
        <v>0.46019987999999939</v>
      </c>
      <c r="N24" s="56">
        <v>1.6513410760000009</v>
      </c>
      <c r="O24" s="56">
        <v>3.1541166510000012</v>
      </c>
      <c r="P24" s="56">
        <v>5.579735374000002</v>
      </c>
      <c r="Q24" s="56">
        <v>2.1253506090000021</v>
      </c>
      <c r="R24" s="56">
        <v>6.5773451640000005</v>
      </c>
      <c r="S24" s="56">
        <v>0.88641638799999967</v>
      </c>
      <c r="T24" s="56">
        <v>1.7191087409999997</v>
      </c>
      <c r="U24" s="56">
        <v>3.5495941990000004</v>
      </c>
      <c r="V24" s="56">
        <v>3.6129480660000022</v>
      </c>
      <c r="W24" s="56">
        <v>1.1761408739999988</v>
      </c>
      <c r="X24" s="62">
        <v>1.5341129999999994</v>
      </c>
      <c r="Y24" s="56">
        <v>1.7513674999999995</v>
      </c>
      <c r="Z24" s="56">
        <v>2.282973210000002</v>
      </c>
      <c r="AA24" s="56">
        <v>2.8611365500000017</v>
      </c>
      <c r="AB24" s="56">
        <v>3.4830863000000001</v>
      </c>
      <c r="AC24" s="56">
        <v>11.680955559999994</v>
      </c>
      <c r="AD24" s="56">
        <v>0.48</v>
      </c>
      <c r="AE24" s="56">
        <v>1.22</v>
      </c>
      <c r="AF24" s="56">
        <v>1.6006518700000008</v>
      </c>
      <c r="AG24" s="56">
        <v>1.2732271700000002</v>
      </c>
      <c r="AH24" s="56">
        <f t="shared" ref="AH24:AI24" si="51">AH6+AH30+AH36</f>
        <v>6.4</v>
      </c>
      <c r="AI24" s="25">
        <f t="shared" si="51"/>
        <v>1.6</v>
      </c>
      <c r="AK24" s="267">
        <v>1.3</v>
      </c>
      <c r="AL24" s="263">
        <f t="shared" si="37"/>
        <v>-2.6772829999999859E-2</v>
      </c>
      <c r="AN24" s="51">
        <f t="shared" si="38"/>
        <v>35.869654349747826</v>
      </c>
      <c r="AO24" s="52">
        <f t="shared" si="39"/>
        <v>96.461598686132987</v>
      </c>
      <c r="AP24" s="52">
        <f t="shared" si="40"/>
        <v>35.922967174766818</v>
      </c>
      <c r="AQ24" s="52">
        <f t="shared" si="41"/>
        <v>99.275637884266871</v>
      </c>
      <c r="AR24" s="52">
        <f t="shared" si="42"/>
        <v>165.98988910625377</v>
      </c>
      <c r="AS24" s="52">
        <f t="shared" si="43"/>
        <v>35.943574990012117</v>
      </c>
      <c r="AT24" s="52">
        <f t="shared" si="44"/>
        <v>111.20733352523182</v>
      </c>
      <c r="AU24" s="52">
        <f t="shared" si="45"/>
        <v>143.26707415339359</v>
      </c>
      <c r="AV24" s="52">
        <f t="shared" si="46"/>
        <v>71.762353085863083</v>
      </c>
      <c r="AW24" s="53">
        <f t="shared" si="47"/>
        <v>106.40683014499027</v>
      </c>
    </row>
    <row r="25" spans="1:49">
      <c r="A25" s="277" t="s">
        <v>709</v>
      </c>
      <c r="B25" s="22" t="s">
        <v>103</v>
      </c>
      <c r="C25" s="22" t="s">
        <v>107</v>
      </c>
      <c r="D25" s="46" t="s">
        <v>38</v>
      </c>
      <c r="E25" s="22" t="s">
        <v>38</v>
      </c>
      <c r="F25" s="56">
        <v>0.24659355999999999</v>
      </c>
      <c r="G25" s="56">
        <v>0.88092899999999996</v>
      </c>
      <c r="H25" s="56">
        <v>0.26162000000000002</v>
      </c>
      <c r="I25" s="56">
        <v>2.2034949299999997</v>
      </c>
      <c r="J25" s="56">
        <v>0.66698400000000002</v>
      </c>
      <c r="K25" s="56">
        <v>0.47621709000000007</v>
      </c>
      <c r="L25" s="62">
        <v>2.6415059999999997</v>
      </c>
      <c r="M25" s="56">
        <v>0.21369399000000006</v>
      </c>
      <c r="N25" s="56">
        <v>0.45742474999999999</v>
      </c>
      <c r="O25" s="56">
        <v>2.5154145219999999</v>
      </c>
      <c r="P25" s="56">
        <v>1.1327542780000004</v>
      </c>
      <c r="Q25" s="56">
        <v>1.8689414440000005</v>
      </c>
      <c r="R25" s="56">
        <v>0.9692935159999998</v>
      </c>
      <c r="S25" s="56">
        <v>1.29428418</v>
      </c>
      <c r="T25" s="56">
        <v>1.0301884700000008</v>
      </c>
      <c r="U25" s="56">
        <v>0.25911582200000005</v>
      </c>
      <c r="V25" s="56">
        <v>2.2686036270000036</v>
      </c>
      <c r="W25" s="56">
        <v>0.99205670400000112</v>
      </c>
      <c r="X25" s="62">
        <v>0.16898593599999931</v>
      </c>
      <c r="Y25" s="56">
        <v>0.52896162200000074</v>
      </c>
      <c r="Z25" s="56">
        <v>1.0182681120000006</v>
      </c>
      <c r="AA25" s="56">
        <v>1.9510297899999973</v>
      </c>
      <c r="AB25" s="56">
        <v>0.35115443200000002</v>
      </c>
      <c r="AC25" s="56">
        <v>0.18617268660000041</v>
      </c>
      <c r="AD25" s="56">
        <v>1.6718644914999974</v>
      </c>
      <c r="AE25" s="56">
        <v>0.73</v>
      </c>
      <c r="AF25" s="56">
        <v>1.1597410499999987</v>
      </c>
      <c r="AG25" s="56">
        <v>9.2720696599999999E-2</v>
      </c>
      <c r="AH25" s="46">
        <f t="shared" ref="AH25:AI25" si="52">AH7+AH31+AH37</f>
        <v>1.0599999999999998</v>
      </c>
      <c r="AI25" s="23">
        <f t="shared" si="52"/>
        <v>3.3600000000000003</v>
      </c>
      <c r="AK25" s="309">
        <v>0.45999999999999996</v>
      </c>
      <c r="AL25" s="263">
        <f t="shared" si="37"/>
        <v>-0.36727930339999998</v>
      </c>
      <c r="AN25" s="51">
        <f t="shared" si="38"/>
        <v>35.78349476474655</v>
      </c>
      <c r="AO25" s="52">
        <f t="shared" si="39"/>
        <v>63.467188191888738</v>
      </c>
      <c r="AP25" s="52">
        <f t="shared" si="40"/>
        <v>102.85526652567205</v>
      </c>
      <c r="AQ25" s="52">
        <f t="shared" si="41"/>
        <v>51.808333412374409</v>
      </c>
      <c r="AR25" s="52">
        <f t="shared" si="42"/>
        <v>45.102540977972119</v>
      </c>
      <c r="AS25" s="52">
        <f t="shared" si="43"/>
        <v>108.13170583463926</v>
      </c>
      <c r="AT25" s="52">
        <f t="shared" si="44"/>
        <v>128.21044579081203</v>
      </c>
      <c r="AU25" s="52">
        <f t="shared" si="45"/>
        <v>47.618332670447437</v>
      </c>
      <c r="AV25" s="52">
        <f t="shared" si="46"/>
        <v>118.50408877015724</v>
      </c>
      <c r="AW25" s="53">
        <f t="shared" si="47"/>
        <v>78.493135286588554</v>
      </c>
    </row>
    <row r="26" spans="1:49">
      <c r="A26" s="277" t="s">
        <v>709</v>
      </c>
      <c r="B26" s="22" t="s">
        <v>103</v>
      </c>
      <c r="C26" s="31" t="s">
        <v>107</v>
      </c>
      <c r="D26" s="59" t="s">
        <v>37</v>
      </c>
      <c r="E26" s="31" t="s">
        <v>37</v>
      </c>
      <c r="F26" s="60">
        <v>0</v>
      </c>
      <c r="G26" s="60">
        <v>0</v>
      </c>
      <c r="H26" s="60">
        <v>0.19159040000000002</v>
      </c>
      <c r="I26" s="60">
        <v>0.157164</v>
      </c>
      <c r="J26" s="60">
        <v>0.10440180000000009</v>
      </c>
      <c r="K26" s="60">
        <v>7.8207800000000022E-2</v>
      </c>
      <c r="L26" s="63">
        <v>6.8852799999999992E-2</v>
      </c>
      <c r="M26" s="60">
        <v>0.15042840000000002</v>
      </c>
      <c r="N26" s="60">
        <v>0.10627280000000004</v>
      </c>
      <c r="O26" s="60">
        <v>0.11076320000000003</v>
      </c>
      <c r="P26" s="60">
        <v>4.5652399999999996E-2</v>
      </c>
      <c r="Q26" s="60">
        <v>1.6044599999999996E-2</v>
      </c>
      <c r="R26" s="60">
        <v>0.77225040000000011</v>
      </c>
      <c r="S26" s="60">
        <v>-1.8710000000000001E-3</v>
      </c>
      <c r="T26" s="60">
        <v>-4.7910999999999995E-3</v>
      </c>
      <c r="U26" s="60">
        <v>1.1774096000000003</v>
      </c>
      <c r="V26" s="60">
        <v>0.98553620000000008</v>
      </c>
      <c r="W26" s="60">
        <v>-8.2074599999999998E-2</v>
      </c>
      <c r="X26" s="63">
        <v>1.5284499999999999E-2</v>
      </c>
      <c r="Y26" s="60">
        <v>1.3765410999999999</v>
      </c>
      <c r="Z26" s="60">
        <v>5.3361999999999993E-3</v>
      </c>
      <c r="AA26" s="60">
        <v>2.3336399999999997E-2</v>
      </c>
      <c r="AB26" s="60">
        <v>-3.860679999999999E-2</v>
      </c>
      <c r="AC26" s="60">
        <v>-4.3757900000000002E-2</v>
      </c>
      <c r="AD26" s="60">
        <v>4.7600900000000008E-2</v>
      </c>
      <c r="AE26" s="60">
        <v>-0.09</v>
      </c>
      <c r="AF26" s="60">
        <v>-1.9408750000000016E-2</v>
      </c>
      <c r="AG26" s="60">
        <v>3.0794450000000001E-2</v>
      </c>
      <c r="AH26" s="60">
        <f t="shared" ref="AH26:AI26" si="53">AH8+AH32+AH38</f>
        <v>0.2</v>
      </c>
      <c r="AI26" s="33">
        <f t="shared" si="53"/>
        <v>0.2</v>
      </c>
      <c r="AK26" s="268">
        <v>0.2</v>
      </c>
      <c r="AL26" s="264">
        <f t="shared" si="37"/>
        <v>-0.16920555000000001</v>
      </c>
      <c r="AN26" s="54">
        <f t="shared" si="38"/>
        <v>2.615440709843031</v>
      </c>
      <c r="AO26" s="48">
        <f t="shared" si="39"/>
        <v>53.548284336648699</v>
      </c>
      <c r="AP26" s="48">
        <f t="shared" si="40"/>
        <v>-1.5961623015650195</v>
      </c>
      <c r="AQ26" s="48">
        <f t="shared" si="41"/>
        <v>429.16437825982763</v>
      </c>
      <c r="AR26" s="48">
        <f t="shared" si="42"/>
        <v>-34.227201406469419</v>
      </c>
      <c r="AS26" s="48">
        <f t="shared" si="43"/>
        <v>-8.0732490295371537</v>
      </c>
      <c r="AT26" s="48">
        <f t="shared" si="44"/>
        <v>20.702600430050644</v>
      </c>
      <c r="AU26" s="48">
        <f t="shared" si="45"/>
        <v>268.69384447270772</v>
      </c>
      <c r="AV26" s="48">
        <f t="shared" si="46"/>
        <v>12.963001932751897</v>
      </c>
      <c r="AW26" s="55">
        <f t="shared" si="47"/>
        <v>51.043011640366601</v>
      </c>
    </row>
    <row r="27" spans="1:49" outlineLevel="1">
      <c r="A27" s="305" t="s">
        <v>709</v>
      </c>
      <c r="B27" s="122" t="s">
        <v>711</v>
      </c>
      <c r="C27" s="122" t="s">
        <v>108</v>
      </c>
      <c r="D27" s="122" t="s">
        <v>108</v>
      </c>
      <c r="E27" s="123" t="s">
        <v>83</v>
      </c>
      <c r="F27" s="168"/>
      <c r="G27" s="168"/>
      <c r="H27" s="168"/>
      <c r="I27" s="168"/>
      <c r="J27" s="168"/>
      <c r="K27" s="168"/>
      <c r="L27" s="167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7"/>
      <c r="Y27" s="168"/>
      <c r="Z27" s="168"/>
      <c r="AA27" s="168"/>
      <c r="AB27" s="168"/>
      <c r="AC27" s="168"/>
      <c r="AD27" s="168">
        <f>AD28+AD31+AD32</f>
        <v>0</v>
      </c>
      <c r="AE27" s="168">
        <f t="shared" ref="AE27" si="54">AE28+AE31+AE32</f>
        <v>0</v>
      </c>
      <c r="AF27" s="168">
        <f t="shared" ref="AF27" si="55">AF28+AF31+AF32</f>
        <v>0</v>
      </c>
      <c r="AG27" s="168">
        <f t="shared" ref="AG27" si="56">AG28+AG31+AG32</f>
        <v>0</v>
      </c>
      <c r="AH27" s="168">
        <f t="shared" ref="AH27" si="57">AH28+AH31+AH32</f>
        <v>0</v>
      </c>
      <c r="AI27" s="125">
        <f t="shared" ref="AI27" si="58">AI28+AI31+AI32</f>
        <v>0</v>
      </c>
    </row>
    <row r="28" spans="1:49" outlineLevel="1">
      <c r="A28" s="306" t="s">
        <v>709</v>
      </c>
      <c r="B28" s="64" t="s">
        <v>712</v>
      </c>
      <c r="C28" s="64" t="s">
        <v>107</v>
      </c>
      <c r="D28" s="64" t="s">
        <v>34</v>
      </c>
      <c r="E28" s="64" t="s">
        <v>83</v>
      </c>
      <c r="F28" s="65"/>
      <c r="G28" s="65"/>
      <c r="H28" s="65"/>
      <c r="I28" s="65"/>
      <c r="J28" s="65"/>
      <c r="K28" s="65"/>
      <c r="L28" s="70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70"/>
      <c r="Y28" s="65"/>
      <c r="Z28" s="65"/>
      <c r="AA28" s="65"/>
      <c r="AB28" s="65"/>
      <c r="AC28" s="65"/>
      <c r="AD28" s="65">
        <f>AD29+AD30</f>
        <v>0</v>
      </c>
      <c r="AE28" s="65">
        <f t="shared" ref="AE28" si="59">AE29+AE30</f>
        <v>0</v>
      </c>
      <c r="AF28" s="65">
        <f t="shared" ref="AF28" si="60">AF29+AF30</f>
        <v>0</v>
      </c>
      <c r="AG28" s="65">
        <f t="shared" ref="AG28" si="61">AG29+AG30</f>
        <v>0</v>
      </c>
      <c r="AH28" s="65">
        <f t="shared" ref="AH28" si="62">AH29+AH30</f>
        <v>0</v>
      </c>
      <c r="AI28" s="206">
        <f t="shared" ref="AI28" si="63">AI29+AI30</f>
        <v>0</v>
      </c>
    </row>
    <row r="29" spans="1:49" outlineLevel="1">
      <c r="A29" s="277" t="s">
        <v>709</v>
      </c>
      <c r="B29" s="22" t="s">
        <v>711</v>
      </c>
      <c r="C29" s="22" t="s">
        <v>107</v>
      </c>
      <c r="D29" s="46" t="s">
        <v>109</v>
      </c>
      <c r="E29" s="22" t="s">
        <v>35</v>
      </c>
      <c r="F29" s="56"/>
      <c r="G29" s="56"/>
      <c r="H29" s="56"/>
      <c r="I29" s="56"/>
      <c r="J29" s="56"/>
      <c r="K29" s="56"/>
      <c r="L29" s="62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62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25"/>
    </row>
    <row r="30" spans="1:49" outlineLevel="1">
      <c r="A30" s="277" t="s">
        <v>709</v>
      </c>
      <c r="B30" s="22" t="s">
        <v>711</v>
      </c>
      <c r="C30" s="22" t="s">
        <v>107</v>
      </c>
      <c r="D30" s="46" t="s">
        <v>34</v>
      </c>
      <c r="E30" s="22" t="s">
        <v>36</v>
      </c>
      <c r="F30" s="56"/>
      <c r="G30" s="56"/>
      <c r="H30" s="56"/>
      <c r="I30" s="56"/>
      <c r="J30" s="56"/>
      <c r="K30" s="56"/>
      <c r="L30" s="62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62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25"/>
    </row>
    <row r="31" spans="1:49" outlineLevel="1">
      <c r="A31" s="277" t="s">
        <v>709</v>
      </c>
      <c r="B31" s="22" t="s">
        <v>711</v>
      </c>
      <c r="C31" s="22" t="s">
        <v>107</v>
      </c>
      <c r="D31" s="46" t="s">
        <v>38</v>
      </c>
      <c r="E31" s="22" t="s">
        <v>38</v>
      </c>
      <c r="F31" s="56"/>
      <c r="G31" s="56"/>
      <c r="H31" s="56"/>
      <c r="I31" s="56"/>
      <c r="J31" s="56"/>
      <c r="K31" s="56"/>
      <c r="L31" s="62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62"/>
      <c r="Y31" s="56"/>
      <c r="Z31" s="56"/>
      <c r="AA31" s="56"/>
      <c r="AB31" s="56"/>
      <c r="AC31" s="56"/>
      <c r="AD31" s="46"/>
      <c r="AE31" s="46"/>
      <c r="AF31" s="46"/>
      <c r="AG31" s="46"/>
      <c r="AH31" s="46"/>
      <c r="AI31" s="23"/>
    </row>
    <row r="32" spans="1:49" outlineLevel="1">
      <c r="A32" s="277" t="s">
        <v>709</v>
      </c>
      <c r="B32" s="22" t="s">
        <v>711</v>
      </c>
      <c r="C32" s="31" t="s">
        <v>107</v>
      </c>
      <c r="D32" s="59" t="s">
        <v>37</v>
      </c>
      <c r="E32" s="31" t="s">
        <v>37</v>
      </c>
      <c r="F32" s="60"/>
      <c r="G32" s="60"/>
      <c r="H32" s="60"/>
      <c r="I32" s="60"/>
      <c r="J32" s="60"/>
      <c r="K32" s="60"/>
      <c r="L32" s="63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3"/>
      <c r="Y32" s="60"/>
      <c r="Z32" s="60"/>
      <c r="AA32" s="60"/>
      <c r="AB32" s="60"/>
      <c r="AC32" s="60"/>
      <c r="AD32" s="59"/>
      <c r="AE32" s="59"/>
      <c r="AF32" s="59"/>
      <c r="AG32" s="59"/>
      <c r="AH32" s="59"/>
      <c r="AI32" s="119"/>
    </row>
    <row r="33" spans="1:49" outlineLevel="1">
      <c r="A33" s="305" t="s">
        <v>709</v>
      </c>
      <c r="B33" s="122" t="s">
        <v>713</v>
      </c>
      <c r="C33" s="122" t="s">
        <v>108</v>
      </c>
      <c r="D33" s="122" t="s">
        <v>108</v>
      </c>
      <c r="E33" s="123" t="s">
        <v>83</v>
      </c>
      <c r="F33" s="168"/>
      <c r="G33" s="168"/>
      <c r="H33" s="168"/>
      <c r="I33" s="168"/>
      <c r="J33" s="168"/>
      <c r="K33" s="168"/>
      <c r="L33" s="167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7"/>
      <c r="Y33" s="168"/>
      <c r="Z33" s="168"/>
      <c r="AA33" s="168"/>
      <c r="AB33" s="168"/>
      <c r="AC33" s="168"/>
      <c r="AD33" s="168">
        <f>AD34+AD37+AD38</f>
        <v>0</v>
      </c>
      <c r="AE33" s="168">
        <f t="shared" ref="AE33" si="64">AE34+AE37+AE38</f>
        <v>-1.4428000000000001</v>
      </c>
      <c r="AF33" s="168">
        <f t="shared" ref="AF33" si="65">AF34+AF37+AF38</f>
        <v>-0.83719999999999994</v>
      </c>
      <c r="AG33" s="168">
        <f t="shared" ref="AG33" si="66">AG34+AG37+AG38</f>
        <v>-1.6800000000000002</v>
      </c>
      <c r="AH33" s="168">
        <f t="shared" ref="AH33" si="67">AH34+AH37+AH38</f>
        <v>2.2999999999999998</v>
      </c>
      <c r="AI33" s="125">
        <f t="shared" ref="AI33" si="68">AI34+AI37+AI38</f>
        <v>-0.19999999999999973</v>
      </c>
    </row>
    <row r="34" spans="1:49" outlineLevel="1">
      <c r="A34" s="306" t="s">
        <v>709</v>
      </c>
      <c r="B34" s="64" t="s">
        <v>714</v>
      </c>
      <c r="C34" s="64" t="s">
        <v>107</v>
      </c>
      <c r="D34" s="64" t="s">
        <v>34</v>
      </c>
      <c r="E34" s="64" t="s">
        <v>83</v>
      </c>
      <c r="F34" s="65"/>
      <c r="G34" s="65"/>
      <c r="H34" s="65"/>
      <c r="I34" s="65"/>
      <c r="J34" s="65"/>
      <c r="K34" s="65"/>
      <c r="L34" s="70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70"/>
      <c r="Y34" s="65"/>
      <c r="Z34" s="65"/>
      <c r="AA34" s="65"/>
      <c r="AB34" s="65"/>
      <c r="AC34" s="65"/>
      <c r="AD34" s="65">
        <f>AD35+AD36</f>
        <v>0</v>
      </c>
      <c r="AE34" s="65">
        <f t="shared" ref="AE34" si="69">AE35+AE36</f>
        <v>-0.84279999999999999</v>
      </c>
      <c r="AF34" s="65">
        <f t="shared" ref="AF34" si="70">AF35+AF36</f>
        <v>-0.43719999999999998</v>
      </c>
      <c r="AG34" s="65">
        <f t="shared" ref="AG34" si="71">AG35+AG36</f>
        <v>-1.28</v>
      </c>
      <c r="AH34" s="65">
        <f t="shared" ref="AH34" si="72">AH35+AH36</f>
        <v>2.4</v>
      </c>
      <c r="AI34" s="206">
        <f t="shared" ref="AI34" si="73">AI35+AI36</f>
        <v>-2.4</v>
      </c>
    </row>
    <row r="35" spans="1:49" outlineLevel="1">
      <c r="A35" s="277" t="s">
        <v>709</v>
      </c>
      <c r="B35" s="22" t="s">
        <v>713</v>
      </c>
      <c r="C35" s="22" t="s">
        <v>107</v>
      </c>
      <c r="D35" s="46" t="s">
        <v>109</v>
      </c>
      <c r="E35" s="22" t="s">
        <v>35</v>
      </c>
      <c r="F35" s="56"/>
      <c r="G35" s="56"/>
      <c r="H35" s="56"/>
      <c r="I35" s="56"/>
      <c r="J35" s="56"/>
      <c r="K35" s="56"/>
      <c r="L35" s="62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62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25"/>
    </row>
    <row r="36" spans="1:49" outlineLevel="1">
      <c r="A36" s="277" t="s">
        <v>709</v>
      </c>
      <c r="B36" s="22" t="s">
        <v>713</v>
      </c>
      <c r="C36" s="22" t="s">
        <v>107</v>
      </c>
      <c r="D36" s="46" t="s">
        <v>34</v>
      </c>
      <c r="E36" s="22" t="s">
        <v>36</v>
      </c>
      <c r="F36" s="56"/>
      <c r="G36" s="56"/>
      <c r="H36" s="56"/>
      <c r="I36" s="56"/>
      <c r="J36" s="56"/>
      <c r="K36" s="56"/>
      <c r="L36" s="62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62"/>
      <c r="Y36" s="56"/>
      <c r="Z36" s="56"/>
      <c r="AA36" s="56"/>
      <c r="AB36" s="56"/>
      <c r="AC36" s="56"/>
      <c r="AD36" s="56"/>
      <c r="AE36" s="56">
        <f>-1.28+((4000+4000)*109.3/1000000*0.5+N("P4 SUD 11-12ct redemption $89"))</f>
        <v>-0.84279999999999999</v>
      </c>
      <c r="AF36" s="56">
        <f>-((4000+4000)*109.3/1000000*0.5+N("P4 SUD 11-12ct redemption $89"))</f>
        <v>-0.43719999999999998</v>
      </c>
      <c r="AG36" s="56">
        <v>-1.28</v>
      </c>
      <c r="AH36" s="56">
        <v>2.4</v>
      </c>
      <c r="AI36" s="25">
        <v>-2.4</v>
      </c>
    </row>
    <row r="37" spans="1:49" outlineLevel="1">
      <c r="A37" s="277" t="s">
        <v>709</v>
      </c>
      <c r="B37" s="22" t="s">
        <v>713</v>
      </c>
      <c r="C37" s="22" t="s">
        <v>107</v>
      </c>
      <c r="D37" s="46" t="s">
        <v>38</v>
      </c>
      <c r="E37" s="22" t="s">
        <v>38</v>
      </c>
      <c r="F37" s="56"/>
      <c r="G37" s="56"/>
      <c r="H37" s="56"/>
      <c r="I37" s="56"/>
      <c r="J37" s="56"/>
      <c r="K37" s="56"/>
      <c r="L37" s="62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62"/>
      <c r="Y37" s="56"/>
      <c r="Z37" s="56"/>
      <c r="AA37" s="56"/>
      <c r="AB37" s="56"/>
      <c r="AC37" s="56"/>
      <c r="AD37" s="46"/>
      <c r="AE37" s="56">
        <f>-0.4-0.2</f>
        <v>-0.60000000000000009</v>
      </c>
      <c r="AF37" s="56">
        <v>-0.4</v>
      </c>
      <c r="AG37" s="56">
        <v>-0.4</v>
      </c>
      <c r="AH37" s="56">
        <f>-0.3+0.6+N("Redemption調整")-0.4</f>
        <v>-0.10000000000000003</v>
      </c>
      <c r="AI37" s="25">
        <f>3+N("Refill Upsize Pipeline")-0.5-0.3+N("Redemption調整")</f>
        <v>2.2000000000000002</v>
      </c>
    </row>
    <row r="38" spans="1:49" outlineLevel="1">
      <c r="A38" s="278" t="s">
        <v>709</v>
      </c>
      <c r="B38" s="31" t="s">
        <v>713</v>
      </c>
      <c r="C38" s="31" t="s">
        <v>107</v>
      </c>
      <c r="D38" s="59" t="s">
        <v>37</v>
      </c>
      <c r="E38" s="31" t="s">
        <v>37</v>
      </c>
      <c r="F38" s="60"/>
      <c r="G38" s="60"/>
      <c r="H38" s="60"/>
      <c r="I38" s="60"/>
      <c r="J38" s="60"/>
      <c r="K38" s="60"/>
      <c r="L38" s="63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3"/>
      <c r="Y38" s="60"/>
      <c r="Z38" s="60"/>
      <c r="AA38" s="60"/>
      <c r="AB38" s="60"/>
      <c r="AC38" s="60"/>
      <c r="AD38" s="59"/>
      <c r="AE38" s="59"/>
      <c r="AF38" s="59"/>
      <c r="AG38" s="59"/>
      <c r="AH38" s="59"/>
      <c r="AI38" s="119"/>
    </row>
    <row r="39" spans="1:49">
      <c r="A39" s="284" t="s">
        <v>745</v>
      </c>
      <c r="B39" s="126" t="s">
        <v>103</v>
      </c>
      <c r="C39" s="126" t="s">
        <v>108</v>
      </c>
      <c r="D39" s="126" t="s">
        <v>108</v>
      </c>
      <c r="E39" s="127" t="s">
        <v>83</v>
      </c>
      <c r="F39" s="174">
        <f>SUM(F41:F44)</f>
        <v>2.7809609000000002</v>
      </c>
      <c r="G39" s="174">
        <f t="shared" ref="G39:AA39" si="74">SUM(G41:G44)</f>
        <v>6.4711891000000001</v>
      </c>
      <c r="H39" s="174">
        <f t="shared" si="74"/>
        <v>5.3840903999999998</v>
      </c>
      <c r="I39" s="174">
        <f t="shared" si="74"/>
        <v>6.3855227599999997</v>
      </c>
      <c r="J39" s="174">
        <f t="shared" si="74"/>
        <v>4.8072243800000001</v>
      </c>
      <c r="K39" s="174">
        <f t="shared" si="74"/>
        <v>3.0644819999999999</v>
      </c>
      <c r="L39" s="173">
        <f t="shared" si="74"/>
        <v>5.6289812999999995</v>
      </c>
      <c r="M39" s="174">
        <f t="shared" si="74"/>
        <v>3.5542104999999999</v>
      </c>
      <c r="N39" s="174">
        <f t="shared" si="74"/>
        <v>4.9351769999999995</v>
      </c>
      <c r="O39" s="174">
        <f t="shared" si="74"/>
        <v>6.1177350000000006</v>
      </c>
      <c r="P39" s="174">
        <f t="shared" si="74"/>
        <v>3.5888228</v>
      </c>
      <c r="Q39" s="174">
        <f t="shared" si="74"/>
        <v>9.412625199999999</v>
      </c>
      <c r="R39" s="174">
        <f t="shared" si="74"/>
        <v>5.0501939</v>
      </c>
      <c r="S39" s="174">
        <f t="shared" si="74"/>
        <v>2.0273216999999999</v>
      </c>
      <c r="T39" s="174">
        <f t="shared" si="74"/>
        <v>4.6956876000000003</v>
      </c>
      <c r="U39" s="174">
        <f t="shared" si="74"/>
        <v>8.4882603999999997</v>
      </c>
      <c r="V39" s="174">
        <f t="shared" si="74"/>
        <v>6.7464153000000007</v>
      </c>
      <c r="W39" s="174">
        <f t="shared" si="74"/>
        <v>6.0605583999999988</v>
      </c>
      <c r="X39" s="173">
        <f t="shared" si="74"/>
        <v>1.6837876000000003</v>
      </c>
      <c r="Y39" s="174">
        <f t="shared" si="74"/>
        <v>2.9252493999999998</v>
      </c>
      <c r="Z39" s="174">
        <f t="shared" si="74"/>
        <v>7.1204615999999987</v>
      </c>
      <c r="AA39" s="174">
        <f t="shared" si="74"/>
        <v>5.9590471999999997</v>
      </c>
      <c r="AB39" s="174">
        <f>SUM(AB41:AB44)</f>
        <v>7.4892357000000001</v>
      </c>
      <c r="AC39" s="174">
        <f>SUM(AC41:AC44)</f>
        <v>10.8183335</v>
      </c>
      <c r="AD39" s="174">
        <f>SUM(AD41:AD44)</f>
        <v>1.98</v>
      </c>
      <c r="AE39" s="174">
        <f>SUM(AE41:AE44)</f>
        <v>3.1261779000000005</v>
      </c>
      <c r="AF39" s="174">
        <f t="shared" ref="AF39:AI39" si="75">SUM(AF41:AF44)</f>
        <v>3.6652673300000007</v>
      </c>
      <c r="AG39" s="174">
        <f t="shared" si="75"/>
        <v>1.3656622700000001</v>
      </c>
      <c r="AH39" s="174">
        <f t="shared" si="75"/>
        <v>8.66</v>
      </c>
      <c r="AI39" s="131">
        <f t="shared" si="75"/>
        <v>7.160000000000001</v>
      </c>
      <c r="AK39" s="265">
        <v>0.85999999999999988</v>
      </c>
      <c r="AL39" s="265">
        <f t="shared" ref="AL39:AL44" si="76">AG39-AK39</f>
        <v>0.50566227000000019</v>
      </c>
      <c r="AN39" s="88">
        <f t="shared" ref="AN39:AN44" si="77">IFERROR(AG39/U39*100,"NA")</f>
        <v>16.088835705370208</v>
      </c>
      <c r="AO39" s="89">
        <f t="shared" ref="AO39:AO44" si="78">IFERROR(SUM(X39:AG39)/SUM(L39:U39)*100,"NA")</f>
        <v>86.231909419402129</v>
      </c>
      <c r="AP39" s="89">
        <f t="shared" ref="AP39:AP44" si="79">IFERROR(SUM(AD39:AG39)/SUM(R39:U39)*100,"NA")</f>
        <v>50.031467124615823</v>
      </c>
      <c r="AQ39" s="89">
        <f t="shared" ref="AQ39:AQ44" si="80">IFERROR(SUM(X39:Z39)/SUM(L39:N39)*100,"NA")</f>
        <v>83.079701105413832</v>
      </c>
      <c r="AR39" s="89">
        <f t="shared" ref="AR39:AR44" si="81">IFERROR(SUM(AA39:AC39)/SUM(O39:Q39)*100,"NA")</f>
        <v>126.92287322109945</v>
      </c>
      <c r="AS39" s="89">
        <f t="shared" ref="AS39:AS44" si="82">IFERROR(SUM(AD39:AF39)/SUM(R39:T39)*100,"NA")</f>
        <v>74.503472682778465</v>
      </c>
      <c r="AT39" s="89">
        <f t="shared" ref="AT39:AT44" si="83">IFERROR(SUM(AG39:AI39)/SUM(U39:W39)*100,"NA")</f>
        <v>80.701917571312364</v>
      </c>
      <c r="AU39" s="89">
        <f t="shared" ref="AU39:AU44" si="84">IFERROR(SUM(X39:AC39)/SUM(L39:Q39)*100,"NA")</f>
        <v>108.29953787390562</v>
      </c>
      <c r="AV39" s="89">
        <f t="shared" ref="AV39:AV44" si="85">IFERROR(SUM(AD39:AI39)/SUM(R39:W39)*100,"NA")</f>
        <v>78.495113828677958</v>
      </c>
      <c r="AW39" s="90">
        <f t="shared" ref="AW39:AW44" si="86">IFERROR(SUM(X39:AI39)/SUM(L39:W39)*100,"NA")</f>
        <v>93.435334184615897</v>
      </c>
    </row>
    <row r="40" spans="1:49">
      <c r="A40" s="307" t="s">
        <v>745</v>
      </c>
      <c r="B40" s="64" t="s">
        <v>103</v>
      </c>
      <c r="C40" s="64" t="s">
        <v>107</v>
      </c>
      <c r="D40" s="64" t="s">
        <v>34</v>
      </c>
      <c r="E40" s="219" t="s">
        <v>83</v>
      </c>
      <c r="F40" s="65">
        <f>SUM(F41:F42)</f>
        <v>2.4924109000000003</v>
      </c>
      <c r="G40" s="65">
        <f t="shared" ref="G40:AC40" si="87">SUM(G41:G42)</f>
        <v>6.1984760999999997</v>
      </c>
      <c r="H40" s="65">
        <f t="shared" si="87"/>
        <v>4.6618373999999996</v>
      </c>
      <c r="I40" s="65">
        <f t="shared" si="87"/>
        <v>3.5313379600000001</v>
      </c>
      <c r="J40" s="65">
        <f t="shared" si="87"/>
        <v>4.0101177799999999</v>
      </c>
      <c r="K40" s="65">
        <f t="shared" si="87"/>
        <v>2.2831860000000002</v>
      </c>
      <c r="L40" s="70">
        <f t="shared" si="87"/>
        <v>3.3278382999999998</v>
      </c>
      <c r="M40" s="65">
        <f t="shared" si="87"/>
        <v>2.7685917</v>
      </c>
      <c r="N40" s="65">
        <f t="shared" si="87"/>
        <v>3.9408607999999998</v>
      </c>
      <c r="O40" s="65">
        <f t="shared" si="87"/>
        <v>2.4290813</v>
      </c>
      <c r="P40" s="65">
        <f t="shared" si="87"/>
        <v>0.51997950000000004</v>
      </c>
      <c r="Q40" s="65">
        <f t="shared" si="87"/>
        <v>8.5852217999999993</v>
      </c>
      <c r="R40" s="65">
        <f t="shared" si="87"/>
        <v>4.1486768999999999</v>
      </c>
      <c r="S40" s="65">
        <f t="shared" si="87"/>
        <v>1.4611010999999998</v>
      </c>
      <c r="T40" s="65">
        <f t="shared" si="87"/>
        <v>3.3102672000000002</v>
      </c>
      <c r="U40" s="65">
        <f t="shared" si="87"/>
        <v>6.3011672000000001</v>
      </c>
      <c r="V40" s="65">
        <f t="shared" si="87"/>
        <v>3.4769814000000001</v>
      </c>
      <c r="W40" s="65">
        <f t="shared" si="87"/>
        <v>4.5577940999999988</v>
      </c>
      <c r="X40" s="70">
        <f t="shared" si="87"/>
        <v>1.6766376000000003</v>
      </c>
      <c r="Y40" s="65">
        <f t="shared" si="87"/>
        <v>1.5575858999999999</v>
      </c>
      <c r="Z40" s="65">
        <f t="shared" si="87"/>
        <v>3.5101535999999998</v>
      </c>
      <c r="AA40" s="65">
        <f t="shared" si="87"/>
        <v>5.3425127999999997</v>
      </c>
      <c r="AB40" s="65">
        <f t="shared" si="87"/>
        <v>7.4467404000000004</v>
      </c>
      <c r="AC40" s="65">
        <f t="shared" si="87"/>
        <v>10.282381000000001</v>
      </c>
      <c r="AD40" s="65">
        <f t="shared" ref="AD40:AE40" si="88">SUM(AD41:AD42)</f>
        <v>0.55000000000000004</v>
      </c>
      <c r="AE40" s="65">
        <f t="shared" si="88"/>
        <v>2.7151218000000004</v>
      </c>
      <c r="AF40" s="65">
        <f t="shared" ref="AF40:AI40" si="89">SUM(AF41:AF42)</f>
        <v>2.8593500299999994</v>
      </c>
      <c r="AG40" s="65">
        <f t="shared" si="89"/>
        <v>0.91372967000000016</v>
      </c>
      <c r="AH40" s="65">
        <f t="shared" si="89"/>
        <v>7.4</v>
      </c>
      <c r="AI40" s="206">
        <f t="shared" si="89"/>
        <v>3.6</v>
      </c>
      <c r="AK40" s="308">
        <v>0.5</v>
      </c>
      <c r="AL40" s="263">
        <f t="shared" si="76"/>
        <v>0.41372967000000016</v>
      </c>
      <c r="AN40" s="51">
        <f t="shared" si="77"/>
        <v>14.500958965189817</v>
      </c>
      <c r="AO40" s="52">
        <f t="shared" si="78"/>
        <v>100.16695392497299</v>
      </c>
      <c r="AP40" s="52">
        <f t="shared" si="79"/>
        <v>46.239427681857983</v>
      </c>
      <c r="AQ40" s="52">
        <f t="shared" si="80"/>
        <v>67.193202173638326</v>
      </c>
      <c r="AR40" s="52">
        <f t="shared" si="81"/>
        <v>200.02660763661194</v>
      </c>
      <c r="AS40" s="52">
        <f t="shared" si="82"/>
        <v>68.659650177557381</v>
      </c>
      <c r="AT40" s="52">
        <f t="shared" si="83"/>
        <v>83.103915238165698</v>
      </c>
      <c r="AU40" s="52">
        <f t="shared" si="84"/>
        <v>138.21899194427795</v>
      </c>
      <c r="AV40" s="52">
        <f t="shared" si="85"/>
        <v>77.563686296895597</v>
      </c>
      <c r="AW40" s="53">
        <f t="shared" si="86"/>
        <v>106.75176478984594</v>
      </c>
    </row>
    <row r="41" spans="1:49">
      <c r="A41" s="289" t="s">
        <v>745</v>
      </c>
      <c r="B41" s="22" t="s">
        <v>103</v>
      </c>
      <c r="C41" s="22" t="s">
        <v>107</v>
      </c>
      <c r="D41" s="46" t="s">
        <v>109</v>
      </c>
      <c r="E41" s="23" t="s">
        <v>35</v>
      </c>
      <c r="F41" s="56">
        <v>0.67662</v>
      </c>
      <c r="G41" s="56">
        <v>0.46447740000000004</v>
      </c>
      <c r="H41" s="56">
        <v>0.52772219999999992</v>
      </c>
      <c r="I41" s="56">
        <v>1.3728069599999999</v>
      </c>
      <c r="J41" s="56">
        <v>1.1195517799999999</v>
      </c>
      <c r="K41" s="56">
        <v>0.71584890000000001</v>
      </c>
      <c r="L41" s="62">
        <v>0.3924474</v>
      </c>
      <c r="M41" s="56">
        <v>0.60518189999999994</v>
      </c>
      <c r="N41" s="56">
        <v>0.33040920000000001</v>
      </c>
      <c r="O41" s="56">
        <v>0.4294557</v>
      </c>
      <c r="P41" s="56">
        <v>0.32922689999999999</v>
      </c>
      <c r="Q41" s="56">
        <v>2.8950047999999997</v>
      </c>
      <c r="R41" s="56">
        <v>1.4673150000000001</v>
      </c>
      <c r="S41" s="56">
        <v>0.115038</v>
      </c>
      <c r="T41" s="56">
        <v>1.4069034</v>
      </c>
      <c r="U41" s="56">
        <v>1.3561109999999998</v>
      </c>
      <c r="V41" s="56">
        <v>0.36555660000000001</v>
      </c>
      <c r="W41" s="56">
        <v>0.35560619999999993</v>
      </c>
      <c r="X41" s="62">
        <v>0.88220880000000013</v>
      </c>
      <c r="Y41" s="56">
        <v>0.85268879999999991</v>
      </c>
      <c r="Z41" s="56">
        <v>0.74097899999999994</v>
      </c>
      <c r="AA41" s="56">
        <v>2.9166767999999998</v>
      </c>
      <c r="AB41" s="56">
        <v>0.67278600000000011</v>
      </c>
      <c r="AC41" s="56">
        <v>1.1184714</v>
      </c>
      <c r="AD41" s="56">
        <v>0.68</v>
      </c>
      <c r="AE41" s="56">
        <v>1.2248118000000001</v>
      </c>
      <c r="AF41" s="56">
        <v>0.53580870000000003</v>
      </c>
      <c r="AG41" s="56">
        <v>1.2345210000000002</v>
      </c>
      <c r="AH41" s="56">
        <f t="shared" ref="AH41:AI41" si="90">AH23+AH47</f>
        <v>1</v>
      </c>
      <c r="AI41" s="25">
        <f t="shared" si="90"/>
        <v>1</v>
      </c>
      <c r="AK41" s="267">
        <v>0.19999999999999996</v>
      </c>
      <c r="AL41" s="263">
        <f t="shared" si="76"/>
        <v>1.0345210000000002</v>
      </c>
      <c r="AN41" s="51">
        <f t="shared" si="77"/>
        <v>91.033919789751749</v>
      </c>
      <c r="AO41" s="52">
        <f t="shared" si="78"/>
        <v>116.42375551234167</v>
      </c>
      <c r="AP41" s="52">
        <f t="shared" si="79"/>
        <v>84.576082105278374</v>
      </c>
      <c r="AQ41" s="52">
        <f t="shared" si="80"/>
        <v>186.43108614697542</v>
      </c>
      <c r="AR41" s="52">
        <f t="shared" si="81"/>
        <v>128.85432399060738</v>
      </c>
      <c r="AS41" s="52">
        <f t="shared" si="82"/>
        <v>81.646408785810394</v>
      </c>
      <c r="AT41" s="52">
        <f t="shared" si="83"/>
        <v>155.70990208416436</v>
      </c>
      <c r="AU41" s="52">
        <f t="shared" si="84"/>
        <v>144.20325293288417</v>
      </c>
      <c r="AV41" s="52">
        <f t="shared" si="85"/>
        <v>112.01238867578446</v>
      </c>
      <c r="AW41" s="53">
        <f t="shared" si="86"/>
        <v>127.97198013295063</v>
      </c>
    </row>
    <row r="42" spans="1:49">
      <c r="A42" s="289" t="s">
        <v>745</v>
      </c>
      <c r="B42" s="22" t="s">
        <v>103</v>
      </c>
      <c r="C42" s="22" t="s">
        <v>107</v>
      </c>
      <c r="D42" s="46" t="s">
        <v>34</v>
      </c>
      <c r="E42" s="23" t="s">
        <v>36</v>
      </c>
      <c r="F42" s="56">
        <v>1.8157909000000001</v>
      </c>
      <c r="G42" s="56">
        <v>5.7339986999999999</v>
      </c>
      <c r="H42" s="56">
        <v>4.1341152000000001</v>
      </c>
      <c r="I42" s="56">
        <v>2.158531</v>
      </c>
      <c r="J42" s="56">
        <v>2.8905660000000002</v>
      </c>
      <c r="K42" s="56">
        <v>1.5673371</v>
      </c>
      <c r="L42" s="62">
        <v>2.9353908999999998</v>
      </c>
      <c r="M42" s="56">
        <v>2.1634098000000002</v>
      </c>
      <c r="N42" s="56">
        <v>3.6104515999999998</v>
      </c>
      <c r="O42" s="56">
        <v>1.9996255999999999</v>
      </c>
      <c r="P42" s="56">
        <v>0.19075259999999999</v>
      </c>
      <c r="Q42" s="56">
        <v>5.6902169999999996</v>
      </c>
      <c r="R42" s="56">
        <v>2.6813619000000002</v>
      </c>
      <c r="S42" s="56">
        <v>1.3460630999999998</v>
      </c>
      <c r="T42" s="56">
        <v>1.9033638000000004</v>
      </c>
      <c r="U42" s="56">
        <v>4.9450561999999998</v>
      </c>
      <c r="V42" s="56">
        <v>3.1114248</v>
      </c>
      <c r="W42" s="56">
        <v>4.2021878999999993</v>
      </c>
      <c r="X42" s="62">
        <v>0.79442880000000005</v>
      </c>
      <c r="Y42" s="56">
        <v>0.70489710000000005</v>
      </c>
      <c r="Z42" s="56">
        <v>2.7691745999999999</v>
      </c>
      <c r="AA42" s="56">
        <v>2.4258360000000003</v>
      </c>
      <c r="AB42" s="56">
        <v>6.7739544</v>
      </c>
      <c r="AC42" s="56">
        <v>9.1639096000000002</v>
      </c>
      <c r="AD42" s="56">
        <v>-0.13</v>
      </c>
      <c r="AE42" s="56">
        <v>1.49031</v>
      </c>
      <c r="AF42" s="56">
        <v>2.3235413299999994</v>
      </c>
      <c r="AG42" s="56">
        <v>-0.32079133000000004</v>
      </c>
      <c r="AH42" s="56">
        <f t="shared" ref="AH42:AI42" si="91">AH24+AH48</f>
        <v>6.4</v>
      </c>
      <c r="AI42" s="25">
        <f t="shared" si="91"/>
        <v>2.6</v>
      </c>
      <c r="AK42" s="267">
        <v>0.30000000000000004</v>
      </c>
      <c r="AL42" s="263">
        <f t="shared" si="76"/>
        <v>-0.62079133000000009</v>
      </c>
      <c r="AN42" s="51">
        <f t="shared" si="77"/>
        <v>-6.4871119159373771</v>
      </c>
      <c r="AO42" s="52">
        <f t="shared" si="78"/>
        <v>94.646295555810241</v>
      </c>
      <c r="AP42" s="52">
        <f t="shared" si="79"/>
        <v>30.922286957932922</v>
      </c>
      <c r="AQ42" s="52">
        <f t="shared" si="80"/>
        <v>49.011101676317267</v>
      </c>
      <c r="AR42" s="52">
        <f t="shared" si="81"/>
        <v>233.02427715104565</v>
      </c>
      <c r="AS42" s="52">
        <f t="shared" si="82"/>
        <v>62.11401980795538</v>
      </c>
      <c r="AT42" s="52">
        <f t="shared" si="83"/>
        <v>70.800579906355082</v>
      </c>
      <c r="AU42" s="52">
        <f t="shared" si="84"/>
        <v>136.42199242639214</v>
      </c>
      <c r="AV42" s="52">
        <f t="shared" si="85"/>
        <v>67.968271533460836</v>
      </c>
      <c r="AW42" s="53">
        <f t="shared" si="86"/>
        <v>100.620930460681</v>
      </c>
    </row>
    <row r="43" spans="1:49">
      <c r="A43" s="289" t="s">
        <v>745</v>
      </c>
      <c r="B43" s="22" t="s">
        <v>103</v>
      </c>
      <c r="C43" s="22" t="s">
        <v>107</v>
      </c>
      <c r="D43" s="46" t="s">
        <v>38</v>
      </c>
      <c r="E43" s="23" t="s">
        <v>38</v>
      </c>
      <c r="F43" s="56">
        <v>0.28854999999999997</v>
      </c>
      <c r="G43" s="56">
        <v>0.27271299999999998</v>
      </c>
      <c r="H43" s="56">
        <v>0.42289300000000002</v>
      </c>
      <c r="I43" s="56">
        <v>2.72546</v>
      </c>
      <c r="J43" s="56">
        <v>0.65191699999999997</v>
      </c>
      <c r="K43" s="56">
        <v>0.66155200000000003</v>
      </c>
      <c r="L43" s="62">
        <v>2.3011430000000002</v>
      </c>
      <c r="M43" s="56">
        <v>0.68683000000000005</v>
      </c>
      <c r="N43" s="56">
        <v>0.86858500000000005</v>
      </c>
      <c r="O43" s="56">
        <v>3.5898648999999998</v>
      </c>
      <c r="P43" s="56">
        <v>3.0322676999999998</v>
      </c>
      <c r="Q43" s="56">
        <v>0.81397059999999999</v>
      </c>
      <c r="R43" s="56">
        <v>0.164741</v>
      </c>
      <c r="S43" s="56">
        <v>0.56622059999999996</v>
      </c>
      <c r="T43" s="56">
        <v>1.370412</v>
      </c>
      <c r="U43" s="56">
        <v>0</v>
      </c>
      <c r="V43" s="56">
        <v>3.2694339000000006</v>
      </c>
      <c r="W43" s="56">
        <v>1.1184683</v>
      </c>
      <c r="X43" s="62">
        <v>7.1500000000000001E-3</v>
      </c>
      <c r="Y43" s="56">
        <v>0.17110549999999997</v>
      </c>
      <c r="Z43" s="56">
        <v>3.610307999999999</v>
      </c>
      <c r="AA43" s="56">
        <v>0.61653440000000004</v>
      </c>
      <c r="AB43" s="56">
        <v>4.24953E-2</v>
      </c>
      <c r="AC43" s="56">
        <v>0.46389699999999995</v>
      </c>
      <c r="AD43" s="56">
        <v>1.42</v>
      </c>
      <c r="AE43" s="56">
        <v>0.3433676</v>
      </c>
      <c r="AF43" s="56">
        <v>0.62492955000000161</v>
      </c>
      <c r="AG43" s="56">
        <v>0.35367509999999996</v>
      </c>
      <c r="AH43" s="46">
        <f t="shared" ref="AH43:AI43" si="92">AH25+AH49</f>
        <v>1.0599999999999998</v>
      </c>
      <c r="AI43" s="23">
        <f t="shared" si="92"/>
        <v>3.3600000000000003</v>
      </c>
      <c r="AK43" s="309">
        <v>0.15999999999999998</v>
      </c>
      <c r="AL43" s="263">
        <f t="shared" si="76"/>
        <v>0.19367509999999999</v>
      </c>
      <c r="AN43" s="51" t="str">
        <f t="shared" si="77"/>
        <v>NA</v>
      </c>
      <c r="AO43" s="52">
        <f t="shared" si="78"/>
        <v>57.140828467908733</v>
      </c>
      <c r="AP43" s="52">
        <f t="shared" si="79"/>
        <v>130.48475768421196</v>
      </c>
      <c r="AQ43" s="52">
        <f t="shared" si="80"/>
        <v>98.236912293293628</v>
      </c>
      <c r="AR43" s="52">
        <f t="shared" si="81"/>
        <v>15.101010163495312</v>
      </c>
      <c r="AS43" s="52">
        <f t="shared" si="82"/>
        <v>113.65409511188307</v>
      </c>
      <c r="AT43" s="52">
        <f t="shared" si="83"/>
        <v>108.79173879490749</v>
      </c>
      <c r="AU43" s="52">
        <f t="shared" si="84"/>
        <v>43.492761475922073</v>
      </c>
      <c r="AV43" s="52">
        <f t="shared" si="85"/>
        <v>110.36627923874033</v>
      </c>
      <c r="AW43" s="53">
        <f t="shared" si="86"/>
        <v>67.897341273900594</v>
      </c>
    </row>
    <row r="44" spans="1:49">
      <c r="A44" s="286" t="s">
        <v>745</v>
      </c>
      <c r="B44" s="31" t="s">
        <v>103</v>
      </c>
      <c r="C44" s="31" t="s">
        <v>107</v>
      </c>
      <c r="D44" s="59" t="s">
        <v>37</v>
      </c>
      <c r="E44" s="119" t="s">
        <v>37</v>
      </c>
      <c r="F44" s="60">
        <v>0</v>
      </c>
      <c r="G44" s="60">
        <v>0</v>
      </c>
      <c r="H44" s="60">
        <v>0.29936000000000001</v>
      </c>
      <c r="I44" s="60">
        <v>0.1287248</v>
      </c>
      <c r="J44" s="60">
        <v>0.1451896</v>
      </c>
      <c r="K44" s="60">
        <v>0.119744</v>
      </c>
      <c r="L44" s="63">
        <v>0</v>
      </c>
      <c r="M44" s="60">
        <v>9.8788799999999996E-2</v>
      </c>
      <c r="N44" s="60">
        <v>0.12573120000000002</v>
      </c>
      <c r="O44" s="60">
        <v>9.8788799999999996E-2</v>
      </c>
      <c r="P44" s="60">
        <v>3.65756E-2</v>
      </c>
      <c r="Q44" s="60">
        <v>1.34328E-2</v>
      </c>
      <c r="R44" s="60">
        <v>0.73677599999999999</v>
      </c>
      <c r="S44" s="60">
        <v>0</v>
      </c>
      <c r="T44" s="60">
        <v>1.50084E-2</v>
      </c>
      <c r="U44" s="60">
        <v>2.1870932000000001</v>
      </c>
      <c r="V44" s="60">
        <v>0</v>
      </c>
      <c r="W44" s="60">
        <v>0.38429600000000003</v>
      </c>
      <c r="X44" s="63">
        <v>0</v>
      </c>
      <c r="Y44" s="60">
        <v>1.196558</v>
      </c>
      <c r="Z44" s="60">
        <v>0</v>
      </c>
      <c r="AA44" s="60">
        <v>0</v>
      </c>
      <c r="AB44" s="60">
        <v>0</v>
      </c>
      <c r="AC44" s="60">
        <v>7.2055499999999995E-2</v>
      </c>
      <c r="AD44" s="60">
        <v>0.01</v>
      </c>
      <c r="AE44" s="60">
        <v>6.7688499999999999E-2</v>
      </c>
      <c r="AF44" s="60">
        <v>0.18098775</v>
      </c>
      <c r="AG44" s="60">
        <v>9.8257499999999998E-2</v>
      </c>
      <c r="AH44" s="60">
        <f t="shared" ref="AH44:AI44" si="93">AH26+AH50</f>
        <v>0.2</v>
      </c>
      <c r="AI44" s="33">
        <f t="shared" si="93"/>
        <v>0.2</v>
      </c>
      <c r="AK44" s="268">
        <v>0.2</v>
      </c>
      <c r="AL44" s="264">
        <f t="shared" si="76"/>
        <v>-0.10174250000000001</v>
      </c>
      <c r="AN44" s="54">
        <f t="shared" si="77"/>
        <v>4.4926068994224844</v>
      </c>
      <c r="AO44" s="48">
        <f t="shared" si="78"/>
        <v>49.077646338917013</v>
      </c>
      <c r="AP44" s="48">
        <f t="shared" si="79"/>
        <v>12.145240414231608</v>
      </c>
      <c r="AQ44" s="48">
        <f t="shared" si="80"/>
        <v>532.94049527881702</v>
      </c>
      <c r="AR44" s="48">
        <f t="shared" si="81"/>
        <v>48.425306390174008</v>
      </c>
      <c r="AS44" s="48">
        <f t="shared" si="82"/>
        <v>34.408302433516837</v>
      </c>
      <c r="AT44" s="48">
        <f t="shared" si="83"/>
        <v>19.376977238607054</v>
      </c>
      <c r="AU44" s="48">
        <f t="shared" si="84"/>
        <v>339.8218726594971</v>
      </c>
      <c r="AV44" s="48">
        <f t="shared" si="85"/>
        <v>22.777436303658646</v>
      </c>
      <c r="AW44" s="55">
        <f t="shared" si="86"/>
        <v>54.796491039555676</v>
      </c>
    </row>
    <row r="45" spans="1:49" outlineLevel="1">
      <c r="A45" s="284" t="s">
        <v>745</v>
      </c>
      <c r="B45" s="122" t="s">
        <v>713</v>
      </c>
      <c r="C45" s="122" t="s">
        <v>108</v>
      </c>
      <c r="D45" s="122" t="s">
        <v>108</v>
      </c>
      <c r="E45" s="123" t="s">
        <v>83</v>
      </c>
      <c r="F45" s="168"/>
      <c r="G45" s="168"/>
      <c r="H45" s="168"/>
      <c r="I45" s="168"/>
      <c r="J45" s="168"/>
      <c r="K45" s="168"/>
      <c r="L45" s="167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7"/>
      <c r="Y45" s="168"/>
      <c r="Z45" s="168"/>
      <c r="AA45" s="168"/>
      <c r="AB45" s="168"/>
      <c r="AC45" s="168"/>
      <c r="AD45" s="168">
        <f>AD46+AD49+AD50</f>
        <v>0</v>
      </c>
      <c r="AE45" s="168">
        <f t="shared" ref="AE45:AI45" si="94">AE46+AE49+AE50</f>
        <v>0</v>
      </c>
      <c r="AF45" s="168">
        <f t="shared" si="94"/>
        <v>0.82000000000000006</v>
      </c>
      <c r="AG45" s="168">
        <f t="shared" si="94"/>
        <v>-2.1</v>
      </c>
      <c r="AH45" s="168">
        <f t="shared" si="94"/>
        <v>0</v>
      </c>
      <c r="AI45" s="125">
        <f t="shared" si="94"/>
        <v>1</v>
      </c>
    </row>
    <row r="46" spans="1:49" outlineLevel="1">
      <c r="A46" s="307" t="s">
        <v>745</v>
      </c>
      <c r="B46" s="64" t="s">
        <v>714</v>
      </c>
      <c r="C46" s="64" t="s">
        <v>107</v>
      </c>
      <c r="D46" s="64" t="s">
        <v>34</v>
      </c>
      <c r="E46" s="64" t="s">
        <v>83</v>
      </c>
      <c r="F46" s="65"/>
      <c r="G46" s="65"/>
      <c r="H46" s="65"/>
      <c r="I46" s="65"/>
      <c r="J46" s="65"/>
      <c r="K46" s="65"/>
      <c r="L46" s="70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70"/>
      <c r="Y46" s="65"/>
      <c r="Z46" s="65"/>
      <c r="AA46" s="65"/>
      <c r="AB46" s="65"/>
      <c r="AC46" s="65"/>
      <c r="AD46" s="65">
        <f>AD47+AD48</f>
        <v>0</v>
      </c>
      <c r="AE46" s="65">
        <f t="shared" ref="AE46:AI46" si="95">AE47+AE48</f>
        <v>0</v>
      </c>
      <c r="AF46" s="65">
        <f t="shared" si="95"/>
        <v>0.52</v>
      </c>
      <c r="AG46" s="65">
        <f t="shared" si="95"/>
        <v>-1.8</v>
      </c>
      <c r="AH46" s="65">
        <f t="shared" si="95"/>
        <v>0</v>
      </c>
      <c r="AI46" s="206">
        <f t="shared" si="95"/>
        <v>1</v>
      </c>
    </row>
    <row r="47" spans="1:49" outlineLevel="1">
      <c r="A47" s="289" t="s">
        <v>745</v>
      </c>
      <c r="B47" s="22" t="s">
        <v>713</v>
      </c>
      <c r="C47" s="22" t="s">
        <v>107</v>
      </c>
      <c r="D47" s="46" t="s">
        <v>109</v>
      </c>
      <c r="E47" s="22" t="s">
        <v>35</v>
      </c>
      <c r="F47" s="56"/>
      <c r="G47" s="56"/>
      <c r="H47" s="56"/>
      <c r="I47" s="56"/>
      <c r="J47" s="56"/>
      <c r="K47" s="56"/>
      <c r="L47" s="62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62"/>
      <c r="Y47" s="56"/>
      <c r="Z47" s="56"/>
      <c r="AA47" s="56"/>
      <c r="AB47" s="56"/>
      <c r="AC47" s="56"/>
      <c r="AD47" s="56"/>
      <c r="AE47" s="56"/>
      <c r="AF47" s="56">
        <v>0.8</v>
      </c>
      <c r="AG47" s="56">
        <v>-0.8</v>
      </c>
      <c r="AH47" s="56"/>
      <c r="AI47" s="25"/>
    </row>
    <row r="48" spans="1:49" outlineLevel="1">
      <c r="A48" s="289" t="s">
        <v>745</v>
      </c>
      <c r="B48" s="22" t="s">
        <v>713</v>
      </c>
      <c r="C48" s="22" t="s">
        <v>107</v>
      </c>
      <c r="D48" s="46" t="s">
        <v>34</v>
      </c>
      <c r="E48" s="22" t="s">
        <v>36</v>
      </c>
      <c r="F48" s="56"/>
      <c r="G48" s="56"/>
      <c r="H48" s="56"/>
      <c r="I48" s="56"/>
      <c r="J48" s="56"/>
      <c r="K48" s="56"/>
      <c r="L48" s="62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62"/>
      <c r="Y48" s="56"/>
      <c r="Z48" s="56"/>
      <c r="AA48" s="56"/>
      <c r="AB48" s="56"/>
      <c r="AC48" s="56"/>
      <c r="AD48" s="56"/>
      <c r="AE48" s="56"/>
      <c r="AF48" s="56">
        <f>-1.28+1</f>
        <v>-0.28000000000000003</v>
      </c>
      <c r="AG48" s="56">
        <f>-1</f>
        <v>-1</v>
      </c>
      <c r="AH48" s="56"/>
      <c r="AI48" s="25">
        <v>1</v>
      </c>
    </row>
    <row r="49" spans="1:35" outlineLevel="1">
      <c r="A49" s="289" t="s">
        <v>745</v>
      </c>
      <c r="B49" s="22" t="s">
        <v>713</v>
      </c>
      <c r="C49" s="22" t="s">
        <v>107</v>
      </c>
      <c r="D49" s="46" t="s">
        <v>38</v>
      </c>
      <c r="E49" s="22" t="s">
        <v>38</v>
      </c>
      <c r="F49" s="56"/>
      <c r="G49" s="56"/>
      <c r="H49" s="56"/>
      <c r="I49" s="56"/>
      <c r="J49" s="56"/>
      <c r="K49" s="56"/>
      <c r="L49" s="62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62"/>
      <c r="Y49" s="56"/>
      <c r="Z49" s="56"/>
      <c r="AA49" s="56"/>
      <c r="AB49" s="56"/>
      <c r="AC49" s="56"/>
      <c r="AD49" s="46"/>
      <c r="AE49" s="56"/>
      <c r="AF49" s="56">
        <v>0.3</v>
      </c>
      <c r="AG49" s="56">
        <v>-0.3</v>
      </c>
      <c r="AH49" s="56"/>
      <c r="AI49" s="23"/>
    </row>
    <row r="50" spans="1:35" outlineLevel="1">
      <c r="A50" s="286" t="s">
        <v>745</v>
      </c>
      <c r="B50" s="31" t="s">
        <v>713</v>
      </c>
      <c r="C50" s="31" t="s">
        <v>107</v>
      </c>
      <c r="D50" s="59" t="s">
        <v>37</v>
      </c>
      <c r="E50" s="31" t="s">
        <v>37</v>
      </c>
      <c r="F50" s="60"/>
      <c r="G50" s="60"/>
      <c r="H50" s="60"/>
      <c r="I50" s="60"/>
      <c r="J50" s="60"/>
      <c r="K50" s="60"/>
      <c r="L50" s="63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3"/>
      <c r="Y50" s="60"/>
      <c r="Z50" s="60"/>
      <c r="AA50" s="60"/>
      <c r="AB50" s="60"/>
      <c r="AC50" s="60"/>
      <c r="AD50" s="59"/>
      <c r="AE50" s="59"/>
      <c r="AF50" s="59"/>
      <c r="AG50" s="59"/>
      <c r="AH50" s="59"/>
      <c r="AI50" s="119"/>
    </row>
  </sheetData>
  <autoFilter ref="A2:AW50" xr:uid="{14DEFE90-3A14-41B9-BF51-E306BDDE9615}"/>
  <phoneticPr fontId="5" type="noConversion"/>
  <conditionalFormatting sqref="AN3:AP3">
    <cfRule type="cellIs" dxfId="66" priority="1" operator="equal">
      <formula>"NA"</formula>
    </cfRule>
  </conditionalFormatting>
  <conditionalFormatting sqref="AN3:AW8">
    <cfRule type="cellIs" dxfId="65" priority="2" operator="greaterThan">
      <formula>100</formula>
    </cfRule>
    <cfRule type="cellIs" dxfId="64" priority="3" operator="lessThan">
      <formula>100</formula>
    </cfRule>
  </conditionalFormatting>
  <conditionalFormatting sqref="AN21:AW26">
    <cfRule type="cellIs" dxfId="63" priority="7" operator="greaterThan">
      <formula>100</formula>
    </cfRule>
    <cfRule type="cellIs" dxfId="62" priority="8" operator="lessThan">
      <formula>100</formula>
    </cfRule>
    <cfRule type="cellIs" dxfId="61" priority="9" operator="lessThan">
      <formula>100</formula>
    </cfRule>
  </conditionalFormatting>
  <conditionalFormatting sqref="AN39:AW44">
    <cfRule type="cellIs" dxfId="60" priority="4" operator="greaterThan">
      <formula>100</formula>
    </cfRule>
    <cfRule type="cellIs" dxfId="59" priority="5" operator="lessThan">
      <formula>100</formula>
    </cfRule>
    <cfRule type="cellIs" dxfId="58" priority="6" operator="lessThan">
      <formula>100</formula>
    </cfRule>
  </conditionalFormatting>
  <conditionalFormatting sqref="AQ3:AW3 AN4:AW8">
    <cfRule type="cellIs" dxfId="57" priority="12" operator="lessThan">
      <formula>100</formula>
    </cfRule>
  </conditionalFormatting>
  <pageMargins left="0.7" right="0.7" top="0.75" bottom="0.75" header="0.3" footer="0.3"/>
  <pageSetup paperSize="9" orientation="portrait" r:id="rId1"/>
  <ignoredErrors>
    <ignoredError sqref="F22:AF22 F40:AF40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251F-1BDA-4B88-A610-CDA9F09E3D61}">
  <dimension ref="A1:AW87"/>
  <sheetViews>
    <sheetView zoomScale="80" zoomScaleNormal="8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I81" sqref="AI81"/>
    </sheetView>
  </sheetViews>
  <sheetFormatPr defaultColWidth="9" defaultRowHeight="14.4" outlineLevelRow="1" outlineLevelCol="1"/>
  <cols>
    <col min="1" max="1" width="11.33203125" style="46" customWidth="1"/>
    <col min="2" max="4" width="9" style="46"/>
    <col min="5" max="5" width="10" style="46" bestFit="1" customWidth="1"/>
    <col min="6" max="11" width="9" style="46" customWidth="1" outlineLevel="1"/>
    <col min="12" max="19" width="9" style="46"/>
    <col min="20" max="23" width="9" style="46" customWidth="1"/>
    <col min="24" max="24" width="8.44140625" style="46" customWidth="1"/>
    <col min="25" max="25" width="9" style="46" customWidth="1"/>
    <col min="26" max="28" width="9" style="46"/>
    <col min="29" max="36" width="9" style="46" customWidth="1"/>
    <col min="37" max="37" width="10.44140625" style="46" bestFit="1" customWidth="1"/>
    <col min="38" max="40" width="9" style="46" customWidth="1"/>
    <col min="41" max="41" width="9" style="46"/>
    <col min="42" max="42" width="8.88671875" style="46" bestFit="1" customWidth="1"/>
    <col min="43" max="16384" width="9" style="46"/>
  </cols>
  <sheetData>
    <row r="1" spans="1:49">
      <c r="F1" s="180" t="s">
        <v>90</v>
      </c>
      <c r="G1" s="180" t="s">
        <v>90</v>
      </c>
      <c r="H1" s="180" t="s">
        <v>90</v>
      </c>
      <c r="I1" s="180" t="s">
        <v>90</v>
      </c>
      <c r="J1" s="180" t="s">
        <v>90</v>
      </c>
      <c r="K1" s="180" t="s">
        <v>90</v>
      </c>
      <c r="L1" s="180" t="s">
        <v>90</v>
      </c>
      <c r="M1" s="180" t="s">
        <v>90</v>
      </c>
      <c r="N1" s="180" t="s">
        <v>90</v>
      </c>
      <c r="O1" s="180" t="s">
        <v>90</v>
      </c>
      <c r="P1" s="180" t="s">
        <v>90</v>
      </c>
      <c r="Q1" s="180" t="s">
        <v>90</v>
      </c>
      <c r="R1" s="180" t="s">
        <v>90</v>
      </c>
      <c r="S1" s="180" t="s">
        <v>90</v>
      </c>
      <c r="T1" s="180" t="s">
        <v>90</v>
      </c>
      <c r="U1" s="180" t="s">
        <v>90</v>
      </c>
      <c r="V1" s="180" t="s">
        <v>90</v>
      </c>
      <c r="W1" s="180" t="s">
        <v>90</v>
      </c>
      <c r="X1" s="180" t="s">
        <v>90</v>
      </c>
      <c r="Y1" s="180" t="s">
        <v>90</v>
      </c>
      <c r="Z1" s="180" t="s">
        <v>90</v>
      </c>
      <c r="AA1" s="180" t="s">
        <v>90</v>
      </c>
      <c r="AB1" s="180" t="s">
        <v>90</v>
      </c>
      <c r="AC1" s="180" t="s">
        <v>90</v>
      </c>
      <c r="AD1" s="180" t="s">
        <v>90</v>
      </c>
      <c r="AE1" s="235" t="s">
        <v>90</v>
      </c>
      <c r="AF1" s="235" t="s">
        <v>90</v>
      </c>
      <c r="AG1" s="235" t="s">
        <v>90</v>
      </c>
      <c r="AH1" s="180" t="s">
        <v>719</v>
      </c>
      <c r="AI1" s="180" t="s">
        <v>719</v>
      </c>
      <c r="AJ1" s="180"/>
      <c r="AK1" s="245" t="s">
        <v>751</v>
      </c>
      <c r="AL1" s="245"/>
      <c r="AM1" s="180"/>
    </row>
    <row r="2" spans="1:49" ht="15" thickBot="1">
      <c r="A2" s="44" t="s">
        <v>78</v>
      </c>
      <c r="B2" s="45" t="s">
        <v>89</v>
      </c>
      <c r="C2" s="45" t="s">
        <v>0</v>
      </c>
      <c r="D2" s="45" t="s">
        <v>79</v>
      </c>
      <c r="E2" s="45" t="s">
        <v>80</v>
      </c>
      <c r="F2" s="61">
        <v>202401</v>
      </c>
      <c r="G2" s="57">
        <v>202402</v>
      </c>
      <c r="H2" s="57">
        <v>202403</v>
      </c>
      <c r="I2" s="57">
        <v>202404</v>
      </c>
      <c r="J2" s="57">
        <v>202405</v>
      </c>
      <c r="K2" s="57">
        <v>202406</v>
      </c>
      <c r="L2" s="69">
        <v>202407</v>
      </c>
      <c r="M2" s="7">
        <v>202408</v>
      </c>
      <c r="N2" s="7">
        <v>202409</v>
      </c>
      <c r="O2" s="7">
        <v>202410</v>
      </c>
      <c r="P2" s="7">
        <v>202411</v>
      </c>
      <c r="Q2" s="7">
        <v>202412</v>
      </c>
      <c r="R2" s="7">
        <v>202501</v>
      </c>
      <c r="S2" s="7">
        <v>202502</v>
      </c>
      <c r="T2" s="7">
        <v>202503</v>
      </c>
      <c r="U2" s="7">
        <v>202504</v>
      </c>
      <c r="V2" s="7">
        <v>202505</v>
      </c>
      <c r="W2" s="7">
        <v>202506</v>
      </c>
      <c r="X2" s="68">
        <v>202507</v>
      </c>
      <c r="Y2" s="8">
        <v>202508</v>
      </c>
      <c r="Z2" s="8">
        <v>202509</v>
      </c>
      <c r="AA2" s="8">
        <v>202510</v>
      </c>
      <c r="AB2" s="8">
        <v>202511</v>
      </c>
      <c r="AC2" s="8">
        <v>202512</v>
      </c>
      <c r="AD2" s="8">
        <v>202601</v>
      </c>
      <c r="AE2" s="8">
        <v>202602</v>
      </c>
      <c r="AF2" s="8">
        <v>202603</v>
      </c>
      <c r="AG2" s="8">
        <v>202604</v>
      </c>
      <c r="AH2" s="8">
        <v>202605</v>
      </c>
      <c r="AI2" s="9">
        <v>202606</v>
      </c>
      <c r="AJ2" s="234"/>
      <c r="AK2" s="245" t="s">
        <v>749</v>
      </c>
      <c r="AL2" s="246" t="s">
        <v>750</v>
      </c>
      <c r="AM2" s="234"/>
      <c r="AN2" s="144" t="s">
        <v>98</v>
      </c>
      <c r="AO2" s="145" t="s">
        <v>99</v>
      </c>
      <c r="AP2" s="145" t="s">
        <v>134</v>
      </c>
      <c r="AQ2" s="145" t="s">
        <v>91</v>
      </c>
      <c r="AR2" s="145" t="s">
        <v>92</v>
      </c>
      <c r="AS2" s="145" t="s">
        <v>93</v>
      </c>
      <c r="AT2" s="145" t="s">
        <v>94</v>
      </c>
      <c r="AU2" s="145" t="s">
        <v>95</v>
      </c>
      <c r="AV2" s="145" t="s">
        <v>96</v>
      </c>
      <c r="AW2" s="146" t="s">
        <v>97</v>
      </c>
    </row>
    <row r="3" spans="1:49" ht="15" thickTop="1">
      <c r="A3" s="182" t="s">
        <v>77</v>
      </c>
      <c r="B3" s="183" t="s">
        <v>83</v>
      </c>
      <c r="C3" s="184" t="s">
        <v>4</v>
      </c>
      <c r="D3" s="184" t="s">
        <v>83</v>
      </c>
      <c r="E3" s="185" t="s">
        <v>83</v>
      </c>
      <c r="F3" s="186">
        <f t="shared" ref="F3" si="0">F6+F30+F48</f>
        <v>4.8753329947999999</v>
      </c>
      <c r="G3" s="186">
        <f>G6+G30+G48</f>
        <v>5.8560400704999989</v>
      </c>
      <c r="H3" s="186">
        <f t="shared" ref="H3:AC3" si="1">H6+H30+H48</f>
        <v>4.9593555317666667</v>
      </c>
      <c r="I3" s="186">
        <f t="shared" si="1"/>
        <v>5.698335543899999</v>
      </c>
      <c r="J3" s="186">
        <f t="shared" si="1"/>
        <v>7.1931792282666667</v>
      </c>
      <c r="K3" s="187">
        <f t="shared" si="1"/>
        <v>5.1703308198333335</v>
      </c>
      <c r="L3" s="186">
        <f t="shared" si="1"/>
        <v>4.1319147015666662</v>
      </c>
      <c r="M3" s="186">
        <f t="shared" si="1"/>
        <v>6.2557798350000002</v>
      </c>
      <c r="N3" s="186">
        <f t="shared" si="1"/>
        <v>6.0177651033333337</v>
      </c>
      <c r="O3" s="186">
        <f t="shared" si="1"/>
        <v>4.9087399583</v>
      </c>
      <c r="P3" s="186">
        <f t="shared" si="1"/>
        <v>6.5901054168333335</v>
      </c>
      <c r="Q3" s="186">
        <f t="shared" si="1"/>
        <v>5.6943933649999998</v>
      </c>
      <c r="R3" s="186">
        <f t="shared" si="1"/>
        <v>5.5200398876999994</v>
      </c>
      <c r="S3" s="186">
        <f t="shared" si="1"/>
        <v>5.5036254928999995</v>
      </c>
      <c r="T3" s="186">
        <f t="shared" si="1"/>
        <v>4.5064107683666652</v>
      </c>
      <c r="U3" s="186">
        <f t="shared" si="1"/>
        <v>4.7142141546666672</v>
      </c>
      <c r="V3" s="186">
        <f t="shared" si="1"/>
        <v>6.9855010714999999</v>
      </c>
      <c r="W3" s="187">
        <f t="shared" si="1"/>
        <v>4.5213830029333337</v>
      </c>
      <c r="X3" s="186">
        <f t="shared" si="1"/>
        <v>6.1740755553</v>
      </c>
      <c r="Y3" s="186">
        <f t="shared" si="1"/>
        <v>5.9903360823333323</v>
      </c>
      <c r="Z3" s="186">
        <f t="shared" si="1"/>
        <v>5.1374191620333329</v>
      </c>
      <c r="AA3" s="186">
        <f t="shared" si="1"/>
        <v>8.5311756679999995</v>
      </c>
      <c r="AB3" s="186">
        <f t="shared" si="1"/>
        <v>8.848191852433331</v>
      </c>
      <c r="AC3" s="186">
        <f t="shared" si="1"/>
        <v>7.2161623393333336</v>
      </c>
      <c r="AD3" s="186">
        <f t="shared" ref="AD3:AI3" si="2">AD6+AD30+AD48</f>
        <v>5.6449005721666659</v>
      </c>
      <c r="AE3" s="186">
        <f t="shared" si="2"/>
        <v>6.5019624277000005</v>
      </c>
      <c r="AF3" s="186">
        <f t="shared" si="2"/>
        <v>4.8707600361666659</v>
      </c>
      <c r="AG3" s="186">
        <f t="shared" si="2"/>
        <v>5.8729736774407417</v>
      </c>
      <c r="AH3" s="186">
        <f t="shared" si="2"/>
        <v>5.49</v>
      </c>
      <c r="AI3" s="187">
        <f t="shared" si="2"/>
        <v>6.3580000000000005</v>
      </c>
      <c r="AJ3" s="234"/>
      <c r="AK3" s="299">
        <v>5.34</v>
      </c>
      <c r="AL3" s="298">
        <f>AG3-AK3</f>
        <v>0.53297367744074187</v>
      </c>
      <c r="AM3" s="234"/>
      <c r="AN3" s="88">
        <f>IFERROR(AG3/U3*100,"NA")</f>
        <v>124.58012056213022</v>
      </c>
      <c r="AO3" s="89">
        <f>IFERROR(SUM(X3:AG3)/SUM(L3:U3)*100,"NA")</f>
        <v>120.32756530946598</v>
      </c>
      <c r="AP3" s="89">
        <f>IFERROR(SUM(AD3:AG3)/SUM(R3:U3)*100,"NA")</f>
        <v>113.07186554900272</v>
      </c>
      <c r="AQ3" s="89">
        <f t="shared" ref="AQ3:AQ9" si="3">IFERROR(SUM(X3:Z3)/SUM(L3:N3)*100,"NA")</f>
        <v>105.4638588582217</v>
      </c>
      <c r="AR3" s="89">
        <f t="shared" ref="AR3:AR9" si="4">IFERROR(SUM(AA3:AC3)/SUM(O3:Q3)*100,"NA")</f>
        <v>143.05350045744743</v>
      </c>
      <c r="AS3" s="89">
        <f t="shared" ref="AS3:AS9" si="5">IFERROR(SUM(AD3:AF3)/SUM(R3:T3)*100,"NA")</f>
        <v>109.57849061909232</v>
      </c>
      <c r="AT3" s="89">
        <f t="shared" ref="AT3:AT9" si="6">IFERROR(SUM(AG3:AI3)/SUM(U3:W3)*100,"NA")</f>
        <v>109.24644821920889</v>
      </c>
      <c r="AU3" s="89">
        <f t="shared" ref="AU3:AU9" si="7">IFERROR(SUM(X3:AC3)/SUM(L3:Q3)*100,"NA")</f>
        <v>124.69935646177184</v>
      </c>
      <c r="AV3" s="89">
        <f t="shared" ref="AV3:AV9" si="8">IFERROR(SUM(AD3:AI3)/SUM(R3:W3)*100,"NA")</f>
        <v>109.40885618854807</v>
      </c>
      <c r="AW3" s="90">
        <f t="shared" ref="AW3:AW9" si="9">IFERROR(SUM(X3:AI3)/SUM(L3:W3)*100,"NA")</f>
        <v>117.27024726824507</v>
      </c>
    </row>
    <row r="4" spans="1:49">
      <c r="A4" s="188" t="s">
        <v>709</v>
      </c>
      <c r="B4" s="189" t="s">
        <v>103</v>
      </c>
      <c r="C4" s="220" t="s">
        <v>4</v>
      </c>
      <c r="D4" s="220" t="s">
        <v>83</v>
      </c>
      <c r="E4" s="221" t="s">
        <v>83</v>
      </c>
      <c r="F4" s="192">
        <f>F18+F39+F60</f>
        <v>4.559064523</v>
      </c>
      <c r="G4" s="192">
        <f t="shared" ref="G4:AC4" si="10">G18+G39+G60</f>
        <v>4.5141284559999999</v>
      </c>
      <c r="H4" s="192">
        <f t="shared" si="10"/>
        <v>5.7120866660000003</v>
      </c>
      <c r="I4" s="192">
        <f t="shared" si="10"/>
        <v>5.9887367000000014</v>
      </c>
      <c r="J4" s="192">
        <f t="shared" si="10"/>
        <v>6.9970306009999996</v>
      </c>
      <c r="K4" s="193">
        <f t="shared" si="10"/>
        <v>5.3289377799999995</v>
      </c>
      <c r="L4" s="192">
        <f t="shared" si="10"/>
        <v>4.105261979999999</v>
      </c>
      <c r="M4" s="192">
        <f t="shared" si="10"/>
        <v>8.005606577</v>
      </c>
      <c r="N4" s="192">
        <f t="shared" si="10"/>
        <v>6.0325522689999982</v>
      </c>
      <c r="O4" s="192">
        <f t="shared" si="10"/>
        <v>5.8481566560000005</v>
      </c>
      <c r="P4" s="192">
        <f t="shared" si="10"/>
        <v>6.2623130189999987</v>
      </c>
      <c r="Q4" s="192">
        <f t="shared" si="10"/>
        <v>5.7286786239999996</v>
      </c>
      <c r="R4" s="192">
        <f t="shared" si="10"/>
        <v>9.5947391440000018</v>
      </c>
      <c r="S4" s="192">
        <f t="shared" si="10"/>
        <v>8.1956247770000026</v>
      </c>
      <c r="T4" s="192">
        <f t="shared" si="10"/>
        <v>3.127488219</v>
      </c>
      <c r="U4" s="192">
        <f t="shared" si="10"/>
        <v>5.9309880379999989</v>
      </c>
      <c r="V4" s="192">
        <f t="shared" si="10"/>
        <v>5.9021361399999988</v>
      </c>
      <c r="W4" s="193">
        <f t="shared" si="10"/>
        <v>6.9117568719999998</v>
      </c>
      <c r="X4" s="192">
        <f t="shared" si="10"/>
        <v>5.5192560310000003</v>
      </c>
      <c r="Y4" s="192">
        <f t="shared" si="10"/>
        <v>7.054476376000002</v>
      </c>
      <c r="Z4" s="192">
        <f t="shared" si="10"/>
        <v>4.8596346989999999</v>
      </c>
      <c r="AA4" s="192">
        <f t="shared" si="10"/>
        <v>12.122520032999997</v>
      </c>
      <c r="AB4" s="192">
        <f t="shared" si="10"/>
        <v>5.1846085550000005</v>
      </c>
      <c r="AC4" s="192">
        <f t="shared" si="10"/>
        <v>6.8866760252000008</v>
      </c>
      <c r="AD4" s="192">
        <f t="shared" ref="AD4:AI4" si="11">AD18+AD39+AD60</f>
        <v>5.5481780776000003</v>
      </c>
      <c r="AE4" s="192">
        <f t="shared" si="11"/>
        <v>7.92</v>
      </c>
      <c r="AF4" s="192">
        <f t="shared" si="11"/>
        <v>4.1500000000000004</v>
      </c>
      <c r="AG4" s="192">
        <f t="shared" si="11"/>
        <v>3.26</v>
      </c>
      <c r="AH4" s="192">
        <f t="shared" si="11"/>
        <v>6.8900000000000006</v>
      </c>
      <c r="AI4" s="193">
        <f t="shared" si="11"/>
        <v>7.0780000000000003</v>
      </c>
      <c r="AJ4" s="234"/>
      <c r="AK4" s="299">
        <v>5.34</v>
      </c>
      <c r="AL4" s="298">
        <f t="shared" ref="AL4:AL9" si="12">AG4-AK4</f>
        <v>-2.08</v>
      </c>
      <c r="AM4" s="234"/>
      <c r="AN4" s="88">
        <f t="shared" ref="AN4:AN9" si="13">IFERROR(AG4/U4*100,"NA")</f>
        <v>54.965546703400726</v>
      </c>
      <c r="AO4" s="89">
        <f t="shared" ref="AO4:AO9" si="14">IFERROR(SUM(X4:AG4)/SUM(L4:U4)*100,"NA")</f>
        <v>99.481056513267774</v>
      </c>
      <c r="AP4" s="89">
        <f t="shared" ref="AP4:AP9" si="15">IFERROR(SUM(AD4:AG4)/SUM(R4:U4)*100,"NA")</f>
        <v>77.761936602042198</v>
      </c>
      <c r="AQ4" s="89">
        <f t="shared" si="3"/>
        <v>96.08643966973159</v>
      </c>
      <c r="AR4" s="89">
        <f t="shared" si="4"/>
        <v>135.6219714511607</v>
      </c>
      <c r="AS4" s="89">
        <f t="shared" si="5"/>
        <v>84.225559869551674</v>
      </c>
      <c r="AT4" s="89">
        <f t="shared" si="6"/>
        <v>91.90775846507708</v>
      </c>
      <c r="AU4" s="89">
        <f t="shared" si="7"/>
        <v>115.68704717717961</v>
      </c>
      <c r="AV4" s="89">
        <f t="shared" si="8"/>
        <v>87.856219869349857</v>
      </c>
      <c r="AW4" s="90">
        <f t="shared" si="9"/>
        <v>101.09464495012776</v>
      </c>
    </row>
    <row r="5" spans="1:49">
      <c r="A5" s="188" t="s">
        <v>745</v>
      </c>
      <c r="B5" s="189" t="s">
        <v>103</v>
      </c>
      <c r="C5" s="190" t="s">
        <v>4</v>
      </c>
      <c r="D5" s="190" t="s">
        <v>83</v>
      </c>
      <c r="E5" s="191" t="s">
        <v>83</v>
      </c>
      <c r="F5" s="192">
        <f>F72+F74+F76</f>
        <v>4.0149622000000003</v>
      </c>
      <c r="G5" s="192">
        <f t="shared" ref="G5:AI5" si="16">G72+G74+G76</f>
        <v>7.0904382400000001</v>
      </c>
      <c r="H5" s="192">
        <f t="shared" si="16"/>
        <v>6.4562731999999992</v>
      </c>
      <c r="I5" s="192">
        <f t="shared" si="16"/>
        <v>9.8837742000000013</v>
      </c>
      <c r="J5" s="192">
        <f t="shared" si="16"/>
        <v>7.9566037599999992</v>
      </c>
      <c r="K5" s="193">
        <f t="shared" si="16"/>
        <v>3.1500274599999996</v>
      </c>
      <c r="L5" s="192">
        <f t="shared" si="16"/>
        <v>8.4579539500000003</v>
      </c>
      <c r="M5" s="192">
        <f t="shared" si="16"/>
        <v>8.1339644199999999</v>
      </c>
      <c r="N5" s="192">
        <f t="shared" si="16"/>
        <v>6.449899460000001</v>
      </c>
      <c r="O5" s="192">
        <f t="shared" si="16"/>
        <v>10.77507164</v>
      </c>
      <c r="P5" s="192">
        <f t="shared" si="16"/>
        <v>7.4250127599999995</v>
      </c>
      <c r="Q5" s="192">
        <f t="shared" si="16"/>
        <v>5.26660678</v>
      </c>
      <c r="R5" s="192">
        <f t="shared" si="16"/>
        <v>4.2527665799999994</v>
      </c>
      <c r="S5" s="192">
        <f t="shared" si="16"/>
        <v>6.0636590899999998</v>
      </c>
      <c r="T5" s="192">
        <f t="shared" si="16"/>
        <v>3.8513850499999993</v>
      </c>
      <c r="U5" s="192">
        <f t="shared" si="16"/>
        <v>7.2405718399999994</v>
      </c>
      <c r="V5" s="192">
        <f t="shared" si="16"/>
        <v>5.5693625999999998</v>
      </c>
      <c r="W5" s="193">
        <f t="shared" si="16"/>
        <v>3.3008397</v>
      </c>
      <c r="X5" s="192">
        <f t="shared" si="16"/>
        <v>6.2932550599999999</v>
      </c>
      <c r="Y5" s="192">
        <f t="shared" si="16"/>
        <v>4.1015632599999998</v>
      </c>
      <c r="Z5" s="192">
        <f t="shared" si="16"/>
        <v>5.3813497200000002</v>
      </c>
      <c r="AA5" s="192">
        <f t="shared" si="16"/>
        <v>9.1300240600000002</v>
      </c>
      <c r="AB5" s="192">
        <f t="shared" si="16"/>
        <v>6.4880805400000003</v>
      </c>
      <c r="AC5" s="192">
        <f t="shared" si="16"/>
        <v>4.1896457899999993</v>
      </c>
      <c r="AD5" s="192">
        <f>AD72+AD74+AD76</f>
        <v>4.9799039700000005</v>
      </c>
      <c r="AE5" s="192">
        <f t="shared" si="16"/>
        <v>5.6321112199999996</v>
      </c>
      <c r="AF5" s="192">
        <f t="shared" si="16"/>
        <v>4.9697949000000001</v>
      </c>
      <c r="AG5" s="192">
        <f t="shared" si="16"/>
        <v>5.8951050700000005</v>
      </c>
      <c r="AH5" s="192">
        <f t="shared" si="16"/>
        <v>6.8900000000000006</v>
      </c>
      <c r="AI5" s="193">
        <f t="shared" si="16"/>
        <v>7.0780000000000003</v>
      </c>
      <c r="AJ5" s="234"/>
      <c r="AK5" s="300">
        <v>5.34</v>
      </c>
      <c r="AL5" s="295">
        <f t="shared" si="12"/>
        <v>0.55510507000000064</v>
      </c>
      <c r="AM5" s="234"/>
      <c r="AN5" s="88">
        <f t="shared" si="13"/>
        <v>81.417672530129906</v>
      </c>
      <c r="AO5" s="89">
        <f t="shared" si="14"/>
        <v>84.015673083608405</v>
      </c>
      <c r="AP5" s="89">
        <f t="shared" si="15"/>
        <v>100.32012040053904</v>
      </c>
      <c r="AQ5" s="89">
        <f t="shared" si="3"/>
        <v>68.467549550104209</v>
      </c>
      <c r="AR5" s="89">
        <f t="shared" si="4"/>
        <v>84.407939057388646</v>
      </c>
      <c r="AS5" s="89">
        <f t="shared" si="5"/>
        <v>109.98036604204438</v>
      </c>
      <c r="AT5" s="89">
        <f t="shared" si="6"/>
        <v>123.29081704822408</v>
      </c>
      <c r="AU5" s="89">
        <f t="shared" si="7"/>
        <v>76.510555138090822</v>
      </c>
      <c r="AV5" s="89">
        <f t="shared" si="8"/>
        <v>117.06265442684234</v>
      </c>
      <c r="AW5" s="90">
        <f t="shared" si="9"/>
        <v>92.501005065058592</v>
      </c>
    </row>
    <row r="6" spans="1:49">
      <c r="A6" s="290" t="s">
        <v>77</v>
      </c>
      <c r="B6" s="172" t="s">
        <v>83</v>
      </c>
      <c r="C6" s="172" t="s">
        <v>115</v>
      </c>
      <c r="D6" s="172" t="s">
        <v>720</v>
      </c>
      <c r="E6" s="172" t="s">
        <v>103</v>
      </c>
      <c r="F6" s="173">
        <f>F7+F8+F9</f>
        <v>2.1323989750000001</v>
      </c>
      <c r="G6" s="174">
        <f t="shared" ref="G6:AC6" si="17">G7+G8+G9</f>
        <v>2.0234925499999998</v>
      </c>
      <c r="H6" s="174">
        <f t="shared" si="17"/>
        <v>1.7709607666666665</v>
      </c>
      <c r="I6" s="174">
        <f t="shared" si="17"/>
        <v>1.5462309999999999</v>
      </c>
      <c r="J6" s="174">
        <f t="shared" si="17"/>
        <v>1.8634205541666666</v>
      </c>
      <c r="K6" s="174">
        <f t="shared" si="17"/>
        <v>1.5405686833333334</v>
      </c>
      <c r="L6" s="173">
        <f t="shared" si="17"/>
        <v>1.0881453041666664</v>
      </c>
      <c r="M6" s="174">
        <f t="shared" si="17"/>
        <v>1.5423587749999998</v>
      </c>
      <c r="N6" s="174">
        <f t="shared" si="17"/>
        <v>1.6134830458333336</v>
      </c>
      <c r="O6" s="174">
        <f t="shared" si="17"/>
        <v>1.7023934999999999</v>
      </c>
      <c r="P6" s="174">
        <f t="shared" si="17"/>
        <v>1.9288867958333336</v>
      </c>
      <c r="Q6" s="174">
        <f t="shared" si="17"/>
        <v>1.1655538499999998</v>
      </c>
      <c r="R6" s="174">
        <f t="shared" si="17"/>
        <v>1.5631523499999997</v>
      </c>
      <c r="S6" s="174">
        <f t="shared" si="17"/>
        <v>1.7304068874999998</v>
      </c>
      <c r="T6" s="174">
        <f t="shared" si="17"/>
        <v>1.7834875291666661</v>
      </c>
      <c r="U6" s="174">
        <f t="shared" si="17"/>
        <v>1.5330711666666665</v>
      </c>
      <c r="V6" s="174">
        <f t="shared" si="17"/>
        <v>1.6814350999999998</v>
      </c>
      <c r="W6" s="174">
        <f t="shared" si="17"/>
        <v>1.3145665458333333</v>
      </c>
      <c r="X6" s="173">
        <f t="shared" si="17"/>
        <v>1.8132189875000004</v>
      </c>
      <c r="Y6" s="174">
        <f t="shared" si="17"/>
        <v>1.3269437083333331</v>
      </c>
      <c r="Z6" s="174">
        <f t="shared" si="17"/>
        <v>1.4019187333333334</v>
      </c>
      <c r="AA6" s="174">
        <f t="shared" si="17"/>
        <v>1.4138869125000002</v>
      </c>
      <c r="AB6" s="174">
        <f t="shared" si="17"/>
        <v>1.3323751458333333</v>
      </c>
      <c r="AC6" s="174">
        <f t="shared" si="17"/>
        <v>1.0847957458333333</v>
      </c>
      <c r="AD6" s="174">
        <f t="shared" ref="AD6:AI6" si="18">AD7+AD8+AD9</f>
        <v>1.153403441666667</v>
      </c>
      <c r="AE6" s="174">
        <f t="shared" si="18"/>
        <v>1.0025340375</v>
      </c>
      <c r="AF6" s="174">
        <f t="shared" si="18"/>
        <v>0.71737324166666661</v>
      </c>
      <c r="AG6" s="174">
        <f t="shared" ref="AG6" si="19">AG7+AG8+AG9</f>
        <v>1.0492294115740741</v>
      </c>
      <c r="AH6" s="172">
        <f t="shared" si="18"/>
        <v>1.1400000000000001</v>
      </c>
      <c r="AI6" s="194">
        <f t="shared" si="18"/>
        <v>1.34</v>
      </c>
      <c r="AJ6" s="234"/>
      <c r="AK6" s="265">
        <v>1.1400000000000001</v>
      </c>
      <c r="AL6" s="265">
        <f t="shared" si="12"/>
        <v>-9.0770588425926002E-2</v>
      </c>
      <c r="AM6" s="234"/>
      <c r="AN6" s="88">
        <f t="shared" si="13"/>
        <v>68.439706804700904</v>
      </c>
      <c r="AO6" s="89">
        <f t="shared" si="14"/>
        <v>78.56192657414023</v>
      </c>
      <c r="AP6" s="89">
        <f t="shared" si="15"/>
        <v>59.341454599878219</v>
      </c>
      <c r="AQ6" s="89">
        <f t="shared" si="3"/>
        <v>107.02392102960647</v>
      </c>
      <c r="AR6" s="89">
        <f t="shared" si="4"/>
        <v>79.866380360355649</v>
      </c>
      <c r="AS6" s="89">
        <f t="shared" si="5"/>
        <v>56.594135387880328</v>
      </c>
      <c r="AT6" s="89">
        <f t="shared" si="6"/>
        <v>77.923883268857779</v>
      </c>
      <c r="AU6" s="89">
        <f t="shared" si="7"/>
        <v>92.614807687283729</v>
      </c>
      <c r="AV6" s="89">
        <f t="shared" si="8"/>
        <v>66.650639518302043</v>
      </c>
      <c r="AW6" s="90">
        <f t="shared" si="9"/>
        <v>79.239160378098944</v>
      </c>
    </row>
    <row r="7" spans="1:49">
      <c r="A7" s="253" t="s">
        <v>77</v>
      </c>
      <c r="B7" s="162" t="s">
        <v>83</v>
      </c>
      <c r="C7" s="46" t="s">
        <v>115</v>
      </c>
      <c r="D7" s="46" t="s">
        <v>116</v>
      </c>
      <c r="E7" s="46" t="s">
        <v>121</v>
      </c>
      <c r="F7" s="62">
        <f>SUMIFS('Offtake Raw'!H:H,'Offtake Raw'!$C:$C,Oral!$D7,'Offtake Raw'!$D:$D,Oral!$E7)/1000000</f>
        <v>1.8303701333333333</v>
      </c>
      <c r="G7" s="56">
        <f>SUMIFS('Offtake Raw'!I:I,'Offtake Raw'!$C:$C,Oral!$D7,'Offtake Raw'!$D:$D,Oral!$E7)/1000000</f>
        <v>1.6998857833333332</v>
      </c>
      <c r="H7" s="56">
        <f>SUMIFS('Offtake Raw'!J:J,'Offtake Raw'!$C:$C,Oral!$D7,'Offtake Raw'!$D:$D,Oral!$E7)/1000000</f>
        <v>1.5464062749999998</v>
      </c>
      <c r="I7" s="56">
        <f>SUMIFS('Offtake Raw'!K:K,'Offtake Raw'!$C:$C,Oral!$D7,'Offtake Raw'!$D:$D,Oral!$E7)/1000000</f>
        <v>1.2677249333333334</v>
      </c>
      <c r="J7" s="56">
        <f>SUMIFS('Offtake Raw'!L:L,'Offtake Raw'!$C:$C,Oral!$D7,'Offtake Raw'!$D:$D,Oral!$E7)/1000000</f>
        <v>1.4763638916666666</v>
      </c>
      <c r="K7" s="56">
        <f>SUMIFS('Offtake Raw'!M:M,'Offtake Raw'!$C:$C,Oral!$D7,'Offtake Raw'!$D:$D,Oral!$E7)/1000000</f>
        <v>1.3258200166666667</v>
      </c>
      <c r="L7" s="62">
        <f>SUMIFS('Offtake Raw'!N:N,'Offtake Raw'!$C:$C,Oral!$D7,'Offtake Raw'!$D:$D,Oral!$E7)/1000000</f>
        <v>0.84137809999999991</v>
      </c>
      <c r="M7" s="56">
        <f>SUMIFS('Offtake Raw'!O:O,'Offtake Raw'!$C:$C,Oral!$D7,'Offtake Raw'!$D:$D,Oral!$E7)/1000000</f>
        <v>1.2875638333333332</v>
      </c>
      <c r="N7" s="56">
        <f>SUMIFS('Offtake Raw'!P:P,'Offtake Raw'!$C:$C,Oral!$D7,'Offtake Raw'!$D:$D,Oral!$E7)/1000000</f>
        <v>1.4467861000000002</v>
      </c>
      <c r="O7" s="56">
        <f>SUMIFS('Offtake Raw'!Q:Q,'Offtake Raw'!$C:$C,Oral!$D7,'Offtake Raw'!$D:$D,Oral!$E7)/1000000</f>
        <v>1.4721572249999999</v>
      </c>
      <c r="P7" s="56">
        <f>SUMIFS('Offtake Raw'!R:R,'Offtake Raw'!$C:$C,Oral!$D7,'Offtake Raw'!$D:$D,Oral!$E7)/1000000</f>
        <v>1.7758603333333336</v>
      </c>
      <c r="Q7" s="56">
        <f>SUMIFS('Offtake Raw'!S:S,'Offtake Raw'!$C:$C,Oral!$D7,'Offtake Raw'!$D:$D,Oral!$E7)/1000000</f>
        <v>0.93138628333333329</v>
      </c>
      <c r="R7" s="56">
        <f>SUMIFS('Offtake Raw'!T:T,'Offtake Raw'!$C:$C,Oral!$D7,'Offtake Raw'!$D:$D,Oral!$E7)/1000000</f>
        <v>1.331609433333333</v>
      </c>
      <c r="S7" s="56">
        <f>SUMIFS('Offtake Raw'!U:U,'Offtake Raw'!$C:$C,Oral!$D7,'Offtake Raw'!$D:$D,Oral!$E7)/1000000</f>
        <v>1.6091395333333331</v>
      </c>
      <c r="T7" s="56">
        <f>SUMIFS('Offtake Raw'!V:V,'Offtake Raw'!$C:$C,Oral!$D7,'Offtake Raw'!$D:$D,Oral!$E7)/1000000</f>
        <v>1.6132890999999996</v>
      </c>
      <c r="U7" s="56">
        <f>SUMIFS('Offtake Raw'!W:W,'Offtake Raw'!$C:$C,Oral!$D7,'Offtake Raw'!$D:$D,Oral!$E7)/1000000</f>
        <v>1.3794169999999997</v>
      </c>
      <c r="V7" s="56">
        <f>SUMIFS('Offtake Raw'!X:X,'Offtake Raw'!$C:$C,Oral!$D7,'Offtake Raw'!$D:$D,Oral!$E7)/1000000</f>
        <v>1.4756436333333334</v>
      </c>
      <c r="W7" s="56">
        <f>SUMIFS('Offtake Raw'!Y:Y,'Offtake Raw'!$C:$C,Oral!$D7,'Offtake Raw'!$D:$D,Oral!$E7)/1000000</f>
        <v>1.10588665</v>
      </c>
      <c r="X7" s="62">
        <f>SUMIFS('Offtake Raw'!Z:Z,'Offtake Raw'!$C:$C,Oral!$D7,'Offtake Raw'!$D:$D,Oral!$E7)/1000000</f>
        <v>1.4744174833333337</v>
      </c>
      <c r="Y7" s="56">
        <f>SUMIFS('Offtake Raw'!AA:AA,'Offtake Raw'!$C:$C,Oral!$D7,'Offtake Raw'!$D:$D,Oral!$E7)/1000000</f>
        <v>1.1613892499999998</v>
      </c>
      <c r="Z7" s="56">
        <f>SUMIFS('Offtake Raw'!AB:AB,'Offtake Raw'!$C:$C,Oral!$D7,'Offtake Raw'!$D:$D,Oral!$E7)/1000000</f>
        <v>1.2975677999999999</v>
      </c>
      <c r="AA7" s="56">
        <f>SUMIFS('Offtake Raw'!AC:AC,'Offtake Raw'!$C:$C,Oral!$D7,'Offtake Raw'!$D:$D,Oral!$E7)/1000000</f>
        <v>1.2502769166666667</v>
      </c>
      <c r="AB7" s="56">
        <f>SUMIFS('Offtake Raw'!AD:AD,'Offtake Raw'!$C:$C,Oral!$D7,'Offtake Raw'!$D:$D,Oral!$E7)/1000000</f>
        <v>1.2037907999999999</v>
      </c>
      <c r="AC7" s="56">
        <f>SUMIFS('Offtake Raw'!AE:AE,'Offtake Raw'!$C:$C,Oral!$D7,'Offtake Raw'!$D:$D,Oral!$E7)/1000000</f>
        <v>0.92457596666666664</v>
      </c>
      <c r="AD7" s="56">
        <f>SUMIFS('Offtake Raw'!AF:AF,'Offtake Raw'!$C:$C,Oral!$D7,'Offtake Raw'!$D:$D,Oral!$E7)/1000000</f>
        <v>1.0324306333333335</v>
      </c>
      <c r="AE7" s="56">
        <f>SUMIFS('Offtake Raw'!AG:AG,'Offtake Raw'!$C:$C,Oral!$D7,'Offtake Raw'!$D:$D,Oral!$E7)/1000000</f>
        <v>0.89858971666666665</v>
      </c>
      <c r="AF7" s="56">
        <f>SUMIFS('Offtake Raw'!AH:AH,'Offtake Raw'!$C:$C,Oral!$D7,'Offtake Raw'!$D:$D,Oral!$E7)/1000000</f>
        <v>0.62271513333333328</v>
      </c>
      <c r="AG7" s="56">
        <f>SUMIFS('Offtake Raw'!AI:AI,'Offtake Raw'!$C:$C,Oral!$D7,'Offtake Raw'!$D:$D,Oral!$E7)/1000000</f>
        <v>0.91666435000000002</v>
      </c>
      <c r="AH7" s="56">
        <f t="shared" ref="AH7:AI7" si="20">AH11+AH15</f>
        <v>1</v>
      </c>
      <c r="AI7" s="58">
        <f t="shared" si="20"/>
        <v>1.2</v>
      </c>
      <c r="AJ7" s="234"/>
      <c r="AK7" s="267">
        <v>1</v>
      </c>
      <c r="AL7" s="296">
        <f t="shared" si="12"/>
        <v>-8.3335649999999983E-2</v>
      </c>
      <c r="AM7" s="234"/>
      <c r="AN7" s="116">
        <f t="shared" si="13"/>
        <v>66.453026894695384</v>
      </c>
      <c r="AO7" s="117">
        <f t="shared" si="14"/>
        <v>78.769401808592946</v>
      </c>
      <c r="AP7" s="117">
        <f t="shared" si="15"/>
        <v>58.488684827657366</v>
      </c>
      <c r="AQ7" s="117">
        <f t="shared" si="3"/>
        <v>110.0020610255025</v>
      </c>
      <c r="AR7" s="117">
        <f t="shared" si="4"/>
        <v>80.840325829484684</v>
      </c>
      <c r="AS7" s="117">
        <f t="shared" si="5"/>
        <v>56.076287592443066</v>
      </c>
      <c r="AT7" s="117">
        <f t="shared" si="6"/>
        <v>78.684822772424596</v>
      </c>
      <c r="AU7" s="117">
        <f t="shared" si="7"/>
        <v>94.286187965909562</v>
      </c>
      <c r="AV7" s="117">
        <f t="shared" si="8"/>
        <v>66.593183666878943</v>
      </c>
      <c r="AW7" s="118">
        <f t="shared" si="9"/>
        <v>79.793020974991776</v>
      </c>
    </row>
    <row r="8" spans="1:49">
      <c r="A8" s="254" t="s">
        <v>77</v>
      </c>
      <c r="B8" s="46" t="s">
        <v>83</v>
      </c>
      <c r="C8" s="46" t="s">
        <v>115</v>
      </c>
      <c r="D8" s="46" t="s">
        <v>116</v>
      </c>
      <c r="E8" s="46" t="s">
        <v>120</v>
      </c>
      <c r="F8" s="62">
        <f>SUMIFS('Offtake Raw'!H:H,'Offtake Raw'!$C:$C,Oral!$D8,'Offtake Raw'!$D:$D,Oral!$E8)/1000000</f>
        <v>0.16138079999999999</v>
      </c>
      <c r="G8" s="56">
        <f>SUMIFS('Offtake Raw'!I:I,'Offtake Raw'!$C:$C,Oral!$D8,'Offtake Raw'!$D:$D,Oral!$E8)/1000000</f>
        <v>0.1512</v>
      </c>
      <c r="H8" s="56">
        <f>SUMIFS('Offtake Raw'!J:J,'Offtake Raw'!$C:$C,Oral!$D8,'Offtake Raw'!$D:$D,Oral!$E8)/1000000</f>
        <v>0.12277179999999999</v>
      </c>
      <c r="I8" s="56">
        <f>SUMIFS('Offtake Raw'!K:K,'Offtake Raw'!$C:$C,Oral!$D8,'Offtake Raw'!$D:$D,Oral!$E8)/1000000</f>
        <v>0.17508960000000001</v>
      </c>
      <c r="J8" s="56">
        <f>SUMIFS('Offtake Raw'!L:L,'Offtake Raw'!$C:$C,Oral!$D8,'Offtake Raw'!$D:$D,Oral!$E8)/1000000</f>
        <v>0.24887519999999999</v>
      </c>
      <c r="K8" s="56">
        <f>SUMIFS('Offtake Raw'!M:M,'Offtake Raw'!$C:$C,Oral!$D8,'Offtake Raw'!$D:$D,Oral!$E8)/1000000</f>
        <v>0.1022112</v>
      </c>
      <c r="L8" s="62">
        <f>SUMIFS('Offtake Raw'!N:N,'Offtake Raw'!$C:$C,Oral!$D8,'Offtake Raw'!$D:$D,Oral!$E8)/1000000</f>
        <v>0.14071679999999998</v>
      </c>
      <c r="M8" s="56">
        <f>SUMIFS('Offtake Raw'!O:O,'Offtake Raw'!$C:$C,Oral!$D8,'Offtake Raw'!$D:$D,Oral!$E8)/1000000</f>
        <v>0.13759199999999999</v>
      </c>
      <c r="N8" s="56">
        <f>SUMIFS('Offtake Raw'!P:P,'Offtake Raw'!$C:$C,Oral!$D8,'Offtake Raw'!$D:$D,Oral!$E8)/1000000</f>
        <v>8.2152000000000003E-2</v>
      </c>
      <c r="O8" s="56">
        <f>SUMIFS('Offtake Raw'!Q:Q,'Offtake Raw'!$C:$C,Oral!$D8,'Offtake Raw'!$D:$D,Oral!$E8)/1000000</f>
        <v>0.13073759999999998</v>
      </c>
      <c r="P8" s="56">
        <f>SUMIFS('Offtake Raw'!R:R,'Offtake Raw'!$C:$C,Oral!$D8,'Offtake Raw'!$D:$D,Oral!$E8)/1000000</f>
        <v>7.9329599999999986E-2</v>
      </c>
      <c r="Q8" s="56">
        <f>SUMIFS('Offtake Raw'!S:S,'Offtake Raw'!$C:$C,Oral!$D8,'Offtake Raw'!$D:$D,Oral!$E8)/1000000</f>
        <v>0.16168319999999997</v>
      </c>
      <c r="R8" s="56">
        <f>SUMIFS('Offtake Raw'!T:T,'Offtake Raw'!$C:$C,Oral!$D8,'Offtake Raw'!$D:$D,Oral!$E8)/1000000</f>
        <v>0.1593648</v>
      </c>
      <c r="S8" s="56">
        <f>SUMIFS('Offtake Raw'!U:U,'Offtake Raw'!$C:$C,Oral!$D8,'Offtake Raw'!$D:$D,Oral!$E8)/1000000</f>
        <v>7.8623999999999999E-2</v>
      </c>
      <c r="T8" s="56">
        <f>SUMIFS('Offtake Raw'!V:V,'Offtake Raw'!$C:$C,Oral!$D8,'Offtake Raw'!$D:$D,Oral!$E8)/1000000</f>
        <v>0.13194719999999999</v>
      </c>
      <c r="U8" s="56">
        <f>SUMIFS('Offtake Raw'!W:W,'Offtake Raw'!$C:$C,Oral!$D8,'Offtake Raw'!$D:$D,Oral!$E8)/1000000</f>
        <v>0.1147104</v>
      </c>
      <c r="V8" s="56">
        <f>SUMIFS('Offtake Raw'!X:X,'Offtake Raw'!$C:$C,Oral!$D8,'Offtake Raw'!$D:$D,Oral!$E8)/1000000</f>
        <v>0.1635984</v>
      </c>
      <c r="W8" s="56">
        <f>SUMIFS('Offtake Raw'!Y:Y,'Offtake Raw'!$C:$C,Oral!$D8,'Offtake Raw'!$D:$D,Oral!$E8)/1000000</f>
        <v>0.17166239999999999</v>
      </c>
      <c r="X8" s="62">
        <f>SUMIFS('Offtake Raw'!Z:Z,'Offtake Raw'!$C:$C,Oral!$D8,'Offtake Raw'!$D:$D,Oral!$E8)/1000000</f>
        <v>0.29111040000000005</v>
      </c>
      <c r="Y8" s="56">
        <f>SUMIFS('Offtake Raw'!AA:AA,'Offtake Raw'!$C:$C,Oral!$D8,'Offtake Raw'!$D:$D,Oral!$E8)/1000000</f>
        <v>0.1228752</v>
      </c>
      <c r="Z8" s="56">
        <f>SUMIFS('Offtake Raw'!AB:AB,'Offtake Raw'!$C:$C,Oral!$D8,'Offtake Raw'!$D:$D,Oral!$E8)/1000000</f>
        <v>7.8926399999999994E-2</v>
      </c>
      <c r="AA8" s="56">
        <f>SUMIFS('Offtake Raw'!AC:AC,'Offtake Raw'!$C:$C,Oral!$D8,'Offtake Raw'!$D:$D,Oral!$E8)/1000000</f>
        <v>0.11833919999999999</v>
      </c>
      <c r="AB8" s="56">
        <f>SUMIFS('Offtake Raw'!AD:AD,'Offtake Raw'!$C:$C,Oral!$D8,'Offtake Raw'!$D:$D,Oral!$E8)/1000000</f>
        <v>9.2836799999999983E-2</v>
      </c>
      <c r="AC8" s="56">
        <f>SUMIFS('Offtake Raw'!AE:AE,'Offtake Raw'!$C:$C,Oral!$D8,'Offtake Raw'!$D:$D,Oral!$E8)/1000000</f>
        <v>0.110376</v>
      </c>
      <c r="AD8" s="56">
        <f>SUMIFS('Offtake Raw'!AF:AF,'Offtake Raw'!$C:$C,Oral!$D8,'Offtake Raw'!$D:$D,Oral!$E8)/1000000</f>
        <v>7.9128000000000004E-2</v>
      </c>
      <c r="AE8" s="56">
        <f>SUMIFS('Offtake Raw'!AG:AG,'Offtake Raw'!$C:$C,Oral!$D8,'Offtake Raw'!$D:$D,Oral!$E8)/1000000</f>
        <v>5.9572800000000002E-2</v>
      </c>
      <c r="AF8" s="56">
        <f>SUMIFS('Offtake Raw'!AH:AH,'Offtake Raw'!$C:$C,Oral!$D8,'Offtake Raw'!$D:$D,Oral!$E8)/1000000</f>
        <v>5.85648E-2</v>
      </c>
      <c r="AG8" s="56">
        <f>SUMIFS('Offtake Raw'!AI:AI,'Offtake Raw'!$C:$C,Oral!$D8,'Offtake Raw'!$D:$D,Oral!$E8)/1000000</f>
        <v>8.6800000000000002E-2</v>
      </c>
      <c r="AH8" s="56">
        <f t="shared" ref="AH8:AI8" si="21">AH12+AH16</f>
        <v>0.1</v>
      </c>
      <c r="AI8" s="58">
        <f t="shared" si="21"/>
        <v>0.1</v>
      </c>
      <c r="AJ8" s="234"/>
      <c r="AK8" s="267">
        <v>0.1</v>
      </c>
      <c r="AL8" s="296">
        <f t="shared" si="12"/>
        <v>-1.3200000000000003E-2</v>
      </c>
      <c r="AM8" s="234"/>
      <c r="AN8" s="51">
        <f t="shared" si="13"/>
        <v>75.668814684631897</v>
      </c>
      <c r="AO8" s="52">
        <f t="shared" si="14"/>
        <v>90.275936970767987</v>
      </c>
      <c r="AP8" s="52">
        <f t="shared" si="15"/>
        <v>58.612959881678691</v>
      </c>
      <c r="AQ8" s="52">
        <f t="shared" si="3"/>
        <v>136.74496644295303</v>
      </c>
      <c r="AR8" s="52">
        <f t="shared" si="4"/>
        <v>86.496746203904564</v>
      </c>
      <c r="AS8" s="52">
        <f t="shared" si="5"/>
        <v>53.324250681198912</v>
      </c>
      <c r="AT8" s="52">
        <f t="shared" si="6"/>
        <v>63.737412527735117</v>
      </c>
      <c r="AU8" s="52">
        <f t="shared" si="7"/>
        <v>111.23348017621149</v>
      </c>
      <c r="AV8" s="52">
        <f t="shared" si="8"/>
        <v>59.039071738850446</v>
      </c>
      <c r="AW8" s="53">
        <f t="shared" si="9"/>
        <v>83.661761886206634</v>
      </c>
    </row>
    <row r="9" spans="1:49">
      <c r="A9" s="255" t="s">
        <v>77</v>
      </c>
      <c r="B9" s="59" t="s">
        <v>83</v>
      </c>
      <c r="C9" s="59" t="s">
        <v>115</v>
      </c>
      <c r="D9" s="59" t="s">
        <v>116</v>
      </c>
      <c r="E9" s="59" t="s">
        <v>122</v>
      </c>
      <c r="F9" s="63">
        <f>SUMIFS('Offtake Raw'!H:H,'Offtake Raw'!$C:$C,Oral!$D9,'Offtake Raw'!$D:$D,Oral!$E9)/1000000</f>
        <v>0.14064804166666667</v>
      </c>
      <c r="G9" s="60">
        <f>SUMIFS('Offtake Raw'!I:I,'Offtake Raw'!$C:$C,Oral!$D9,'Offtake Raw'!$D:$D,Oral!$E9)/1000000</f>
        <v>0.17240676666666666</v>
      </c>
      <c r="H9" s="60">
        <f>SUMIFS('Offtake Raw'!J:J,'Offtake Raw'!$C:$C,Oral!$D9,'Offtake Raw'!$D:$D,Oral!$E9)/1000000</f>
        <v>0.10178269166666665</v>
      </c>
      <c r="I9" s="60">
        <f>SUMIFS('Offtake Raw'!K:K,'Offtake Raw'!$C:$C,Oral!$D9,'Offtake Raw'!$D:$D,Oral!$E9)/1000000</f>
        <v>0.10341646666666668</v>
      </c>
      <c r="J9" s="60">
        <f>SUMIFS('Offtake Raw'!L:L,'Offtake Raw'!$C:$C,Oral!$D9,'Offtake Raw'!$D:$D,Oral!$E9)/1000000</f>
        <v>0.13818146249999999</v>
      </c>
      <c r="K9" s="60">
        <f>SUMIFS('Offtake Raw'!M:M,'Offtake Raw'!$C:$C,Oral!$D9,'Offtake Raw'!$D:$D,Oral!$E9)/1000000</f>
        <v>0.11253746666666667</v>
      </c>
      <c r="L9" s="63">
        <f>SUMIFS('Offtake Raw'!N:N,'Offtake Raw'!$C:$C,Oral!$D9,'Offtake Raw'!$D:$D,Oral!$E9)/1000000</f>
        <v>0.10605040416666665</v>
      </c>
      <c r="M9" s="60">
        <f>SUMIFS('Offtake Raw'!O:O,'Offtake Raw'!$C:$C,Oral!$D9,'Offtake Raw'!$D:$D,Oral!$E9)/1000000</f>
        <v>0.11720294166666669</v>
      </c>
      <c r="N9" s="60">
        <f>SUMIFS('Offtake Raw'!P:P,'Offtake Raw'!$C:$C,Oral!$D9,'Offtake Raw'!$D:$D,Oral!$E9)/1000000</f>
        <v>8.4544945833333329E-2</v>
      </c>
      <c r="O9" s="60">
        <f>SUMIFS('Offtake Raw'!Q:Q,'Offtake Raw'!$C:$C,Oral!$D9,'Offtake Raw'!$D:$D,Oral!$E9)/1000000</f>
        <v>9.9498674999999995E-2</v>
      </c>
      <c r="P9" s="60">
        <f>SUMIFS('Offtake Raw'!R:R,'Offtake Raw'!$C:$C,Oral!$D9,'Offtake Raw'!$D:$D,Oral!$E9)/1000000</f>
        <v>7.3696862499999988E-2</v>
      </c>
      <c r="Q9" s="60">
        <f>SUMIFS('Offtake Raw'!S:S,'Offtake Raw'!$C:$C,Oral!$D9,'Offtake Raw'!$D:$D,Oral!$E9)/1000000</f>
        <v>7.2484366666666675E-2</v>
      </c>
      <c r="R9" s="60">
        <f>SUMIFS('Offtake Raw'!T:T,'Offtake Raw'!$C:$C,Oral!$D9,'Offtake Raw'!$D:$D,Oral!$E9)/1000000</f>
        <v>7.2178116666666667E-2</v>
      </c>
      <c r="S9" s="60">
        <f>SUMIFS('Offtake Raw'!U:U,'Offtake Raw'!$C:$C,Oral!$D9,'Offtake Raw'!$D:$D,Oral!$E9)/1000000</f>
        <v>4.2643354166666654E-2</v>
      </c>
      <c r="T9" s="60">
        <f>SUMIFS('Offtake Raw'!V:V,'Offtake Raw'!$C:$C,Oral!$D9,'Offtake Raw'!$D:$D,Oral!$E9)/1000000</f>
        <v>3.8251229166666664E-2</v>
      </c>
      <c r="U9" s="60">
        <f>SUMIFS('Offtake Raw'!W:W,'Offtake Raw'!$C:$C,Oral!$D9,'Offtake Raw'!$D:$D,Oral!$E9)/1000000</f>
        <v>3.8943766666666664E-2</v>
      </c>
      <c r="V9" s="60">
        <f>SUMIFS('Offtake Raw'!X:X,'Offtake Raw'!$C:$C,Oral!$D9,'Offtake Raw'!$D:$D,Oral!$E9)/1000000</f>
        <v>4.2193066666666668E-2</v>
      </c>
      <c r="W9" s="60">
        <f>SUMIFS('Offtake Raw'!Y:Y,'Offtake Raw'!$C:$C,Oral!$D9,'Offtake Raw'!$D:$D,Oral!$E9)/1000000</f>
        <v>3.7017495833333337E-2</v>
      </c>
      <c r="X9" s="63">
        <f>SUMIFS('Offtake Raw'!Z:Z,'Offtake Raw'!$C:$C,Oral!$D9,'Offtake Raw'!$D:$D,Oral!$E9)/1000000</f>
        <v>4.7691104166666665E-2</v>
      </c>
      <c r="Y9" s="60">
        <f>SUMIFS('Offtake Raw'!AA:AA,'Offtake Raw'!$C:$C,Oral!$D9,'Offtake Raw'!$D:$D,Oral!$E9)/1000000</f>
        <v>4.2679258333333331E-2</v>
      </c>
      <c r="Z9" s="60">
        <f>SUMIFS('Offtake Raw'!AB:AB,'Offtake Raw'!$C:$C,Oral!$D9,'Offtake Raw'!$D:$D,Oral!$E9)/1000000</f>
        <v>2.5424533333333329E-2</v>
      </c>
      <c r="AA9" s="60">
        <f>SUMIFS('Offtake Raw'!AC:AC,'Offtake Raw'!$C:$C,Oral!$D9,'Offtake Raw'!$D:$D,Oral!$E9)/1000000</f>
        <v>4.5270795833333329E-2</v>
      </c>
      <c r="AB9" s="60">
        <f>SUMIFS('Offtake Raw'!AD:AD,'Offtake Raw'!$C:$C,Oral!$D9,'Offtake Raw'!$D:$D,Oral!$E9)/1000000</f>
        <v>3.5747545833333332E-2</v>
      </c>
      <c r="AC9" s="60">
        <f>SUMIFS('Offtake Raw'!AE:AE,'Offtake Raw'!$C:$C,Oral!$D9,'Offtake Raw'!$D:$D,Oral!$E9)/1000000</f>
        <v>4.9843779166666657E-2</v>
      </c>
      <c r="AD9" s="60">
        <f>SUMIFS('Offtake Raw'!AF:AF,'Offtake Raw'!$C:$C,Oral!$D9,'Offtake Raw'!$D:$D,Oral!$E9)/1000000</f>
        <v>4.184480833333333E-2</v>
      </c>
      <c r="AE9" s="60">
        <f>SUMIFS('Offtake Raw'!AG:AG,'Offtake Raw'!$C:$C,Oral!$D9,'Offtake Raw'!$D:$D,Oral!$E9)/1000000</f>
        <v>4.4371520833333331E-2</v>
      </c>
      <c r="AF9" s="60">
        <f>SUMIFS('Offtake Raw'!AH:AH,'Offtake Raw'!$C:$C,Oral!$D9,'Offtake Raw'!$D:$D,Oral!$E9)/1000000</f>
        <v>3.6093308333333324E-2</v>
      </c>
      <c r="AG9" s="60">
        <f>SUMIFS('Offtake Raw'!AI:AI,'Offtake Raw'!$C:$C,Oral!$D9,'Offtake Raw'!$D:$D,Oral!$E9)/1000000</f>
        <v>4.5765061574074069E-2</v>
      </c>
      <c r="AH9" s="59">
        <f t="shared" ref="AH9:AI9" si="22">AH13+AH17</f>
        <v>0.04</v>
      </c>
      <c r="AI9" s="161">
        <f t="shared" si="22"/>
        <v>0.04</v>
      </c>
      <c r="AJ9" s="234"/>
      <c r="AK9" s="301">
        <v>0.04</v>
      </c>
      <c r="AL9" s="297">
        <f t="shared" si="12"/>
        <v>5.7650615740740679E-3</v>
      </c>
      <c r="AM9" s="234"/>
      <c r="AN9" s="54">
        <f t="shared" si="13"/>
        <v>117.51575538594727</v>
      </c>
      <c r="AO9" s="48">
        <f t="shared" si="14"/>
        <v>55.631748502389947</v>
      </c>
      <c r="AP9" s="48">
        <f t="shared" si="15"/>
        <v>87.531398734591534</v>
      </c>
      <c r="AQ9" s="48">
        <f t="shared" si="3"/>
        <v>37.620382883324964</v>
      </c>
      <c r="AR9" s="48">
        <f t="shared" si="4"/>
        <v>53.265293014994754</v>
      </c>
      <c r="AS9" s="48">
        <f t="shared" si="5"/>
        <v>79.902972574469501</v>
      </c>
      <c r="AT9" s="48">
        <f t="shared" si="6"/>
        <v>106.44134875216619</v>
      </c>
      <c r="AU9" s="48">
        <f t="shared" si="7"/>
        <v>44.564902199135858</v>
      </c>
      <c r="AV9" s="48">
        <f t="shared" si="8"/>
        <v>91.463855883490979</v>
      </c>
      <c r="AW9" s="55">
        <f t="shared" si="9"/>
        <v>59.988914916931769</v>
      </c>
    </row>
    <row r="10" spans="1:49" outlineLevel="1">
      <c r="A10" s="290" t="s">
        <v>77</v>
      </c>
      <c r="B10" s="166" t="s">
        <v>715</v>
      </c>
      <c r="C10" s="166" t="s">
        <v>115</v>
      </c>
      <c r="D10" s="166" t="s">
        <v>720</v>
      </c>
      <c r="E10" s="166" t="s">
        <v>103</v>
      </c>
      <c r="F10" s="167"/>
      <c r="G10" s="168"/>
      <c r="H10" s="168"/>
      <c r="I10" s="168"/>
      <c r="J10" s="168"/>
      <c r="K10" s="168"/>
      <c r="L10" s="167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7"/>
      <c r="Y10" s="168"/>
      <c r="Z10" s="168"/>
      <c r="AA10" s="168"/>
      <c r="AB10" s="168"/>
      <c r="AC10" s="168"/>
      <c r="AD10" s="168">
        <f>AD11+AD12+AD13</f>
        <v>1.34</v>
      </c>
      <c r="AE10" s="166">
        <f t="shared" ref="AE10:AI10" si="23">AE11+AE12+AE13</f>
        <v>1.34</v>
      </c>
      <c r="AF10" s="166">
        <f t="shared" si="23"/>
        <v>1.34</v>
      </c>
      <c r="AG10" s="166">
        <f t="shared" si="23"/>
        <v>1.1400000000000001</v>
      </c>
      <c r="AH10" s="166">
        <f t="shared" si="23"/>
        <v>1.1400000000000001</v>
      </c>
      <c r="AI10" s="195">
        <f t="shared" si="23"/>
        <v>1.1400000000000001</v>
      </c>
      <c r="AJ10" s="234"/>
      <c r="AK10" s="234"/>
      <c r="AL10" s="234"/>
      <c r="AM10" s="234"/>
    </row>
    <row r="11" spans="1:49" outlineLevel="1">
      <c r="A11" s="253" t="s">
        <v>77</v>
      </c>
      <c r="B11" s="162" t="s">
        <v>715</v>
      </c>
      <c r="C11" s="46" t="s">
        <v>115</v>
      </c>
      <c r="D11" s="46" t="s">
        <v>116</v>
      </c>
      <c r="E11" s="46" t="s">
        <v>121</v>
      </c>
      <c r="F11" s="62"/>
      <c r="G11" s="56"/>
      <c r="H11" s="56"/>
      <c r="I11" s="56"/>
      <c r="J11" s="56"/>
      <c r="K11" s="56"/>
      <c r="L11" s="62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62"/>
      <c r="Y11" s="56"/>
      <c r="Z11" s="56"/>
      <c r="AA11" s="56"/>
      <c r="AB11" s="56"/>
      <c r="AC11" s="56"/>
      <c r="AD11" s="56">
        <v>1.2</v>
      </c>
      <c r="AE11" s="56">
        <v>1.2</v>
      </c>
      <c r="AF11" s="56">
        <v>1.2</v>
      </c>
      <c r="AG11" s="56">
        <v>1</v>
      </c>
      <c r="AH11" s="56">
        <v>1</v>
      </c>
      <c r="AI11" s="58">
        <v>1</v>
      </c>
      <c r="AJ11" s="234"/>
      <c r="AK11" s="234"/>
      <c r="AL11" s="234"/>
      <c r="AM11" s="234"/>
    </row>
    <row r="12" spans="1:49" outlineLevel="1">
      <c r="A12" s="254" t="s">
        <v>77</v>
      </c>
      <c r="B12" s="46" t="s">
        <v>715</v>
      </c>
      <c r="C12" s="46" t="s">
        <v>115</v>
      </c>
      <c r="D12" s="46" t="s">
        <v>116</v>
      </c>
      <c r="E12" s="46" t="s">
        <v>120</v>
      </c>
      <c r="F12" s="62"/>
      <c r="G12" s="56"/>
      <c r="H12" s="56"/>
      <c r="I12" s="56"/>
      <c r="J12" s="56"/>
      <c r="K12" s="56"/>
      <c r="L12" s="62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62"/>
      <c r="Y12" s="56"/>
      <c r="Z12" s="56"/>
      <c r="AA12" s="56"/>
      <c r="AB12" s="56"/>
      <c r="AC12" s="56"/>
      <c r="AD12" s="56">
        <v>0.1</v>
      </c>
      <c r="AE12" s="56">
        <v>0.1</v>
      </c>
      <c r="AF12" s="56">
        <v>0.1</v>
      </c>
      <c r="AG12" s="56">
        <v>0.1</v>
      </c>
      <c r="AH12" s="56">
        <v>0.1</v>
      </c>
      <c r="AI12" s="58">
        <v>0.1</v>
      </c>
      <c r="AJ12" s="234"/>
      <c r="AK12" s="234"/>
      <c r="AL12" s="234"/>
      <c r="AM12" s="234"/>
    </row>
    <row r="13" spans="1:49" outlineLevel="1">
      <c r="A13" s="255" t="s">
        <v>77</v>
      </c>
      <c r="B13" s="59" t="s">
        <v>715</v>
      </c>
      <c r="C13" s="59" t="s">
        <v>115</v>
      </c>
      <c r="D13" s="59" t="s">
        <v>116</v>
      </c>
      <c r="E13" s="59" t="s">
        <v>122</v>
      </c>
      <c r="F13" s="63"/>
      <c r="G13" s="60"/>
      <c r="H13" s="60"/>
      <c r="I13" s="60"/>
      <c r="J13" s="60"/>
      <c r="K13" s="60"/>
      <c r="L13" s="63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3"/>
      <c r="Y13" s="60"/>
      <c r="Z13" s="60"/>
      <c r="AA13" s="60"/>
      <c r="AB13" s="60"/>
      <c r="AC13" s="60"/>
      <c r="AD13" s="60">
        <v>0.04</v>
      </c>
      <c r="AE13" s="60">
        <v>0.04</v>
      </c>
      <c r="AF13" s="60">
        <v>0.04</v>
      </c>
      <c r="AG13" s="60">
        <v>0.04</v>
      </c>
      <c r="AH13" s="60">
        <v>0.04</v>
      </c>
      <c r="AI13" s="160">
        <v>0.04</v>
      </c>
      <c r="AJ13" s="234"/>
      <c r="AK13" s="234"/>
      <c r="AL13" s="234"/>
      <c r="AM13" s="234"/>
    </row>
    <row r="14" spans="1:49" outlineLevel="1">
      <c r="A14" s="290" t="s">
        <v>77</v>
      </c>
      <c r="B14" s="166" t="s">
        <v>717</v>
      </c>
      <c r="C14" s="166" t="s">
        <v>115</v>
      </c>
      <c r="D14" s="166" t="s">
        <v>720</v>
      </c>
      <c r="E14" s="166" t="s">
        <v>103</v>
      </c>
      <c r="F14" s="167"/>
      <c r="G14" s="168"/>
      <c r="H14" s="168"/>
      <c r="I14" s="168"/>
      <c r="J14" s="168"/>
      <c r="K14" s="168"/>
      <c r="L14" s="167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7"/>
      <c r="Y14" s="168"/>
      <c r="Z14" s="168"/>
      <c r="AA14" s="168"/>
      <c r="AB14" s="168"/>
      <c r="AC14" s="168"/>
      <c r="AD14" s="168">
        <f>AD15+AD16+AD17</f>
        <v>0</v>
      </c>
      <c r="AE14" s="168">
        <f t="shared" ref="AE14:AI14" si="24">AE15+AE16+AE17</f>
        <v>0</v>
      </c>
      <c r="AF14" s="168">
        <f t="shared" si="24"/>
        <v>0.2</v>
      </c>
      <c r="AG14" s="168">
        <f t="shared" si="24"/>
        <v>0</v>
      </c>
      <c r="AH14" s="168">
        <f t="shared" si="24"/>
        <v>0</v>
      </c>
      <c r="AI14" s="171">
        <f t="shared" si="24"/>
        <v>0.2</v>
      </c>
      <c r="AJ14" s="234"/>
      <c r="AK14" s="234"/>
      <c r="AL14" s="234"/>
      <c r="AM14" s="234"/>
    </row>
    <row r="15" spans="1:49" outlineLevel="1">
      <c r="A15" s="253" t="s">
        <v>77</v>
      </c>
      <c r="B15" s="162" t="s">
        <v>717</v>
      </c>
      <c r="C15" s="46" t="s">
        <v>115</v>
      </c>
      <c r="D15" s="46" t="s">
        <v>116</v>
      </c>
      <c r="E15" s="46" t="s">
        <v>121</v>
      </c>
      <c r="F15" s="62"/>
      <c r="G15" s="56"/>
      <c r="H15" s="56"/>
      <c r="I15" s="56"/>
      <c r="J15" s="56"/>
      <c r="K15" s="56"/>
      <c r="L15" s="62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62"/>
      <c r="Y15" s="56"/>
      <c r="Z15" s="56"/>
      <c r="AA15" s="56"/>
      <c r="AB15" s="56"/>
      <c r="AC15" s="56"/>
      <c r="AF15" s="56">
        <v>0.2</v>
      </c>
      <c r="AG15" s="56"/>
      <c r="AH15" s="56"/>
      <c r="AI15" s="58">
        <v>0.2</v>
      </c>
      <c r="AJ15" s="234"/>
      <c r="AK15" s="234"/>
      <c r="AL15" s="234"/>
      <c r="AM15" s="234"/>
    </row>
    <row r="16" spans="1:49" outlineLevel="1">
      <c r="A16" s="254" t="s">
        <v>77</v>
      </c>
      <c r="B16" s="46" t="s">
        <v>717</v>
      </c>
      <c r="C16" s="46" t="s">
        <v>115</v>
      </c>
      <c r="D16" s="46" t="s">
        <v>116</v>
      </c>
      <c r="E16" s="46" t="s">
        <v>120</v>
      </c>
      <c r="F16" s="62"/>
      <c r="G16" s="56"/>
      <c r="H16" s="56"/>
      <c r="I16" s="56"/>
      <c r="J16" s="56"/>
      <c r="K16" s="56"/>
      <c r="L16" s="62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62"/>
      <c r="Y16" s="56"/>
      <c r="Z16" s="56"/>
      <c r="AA16" s="56"/>
      <c r="AB16" s="56"/>
      <c r="AC16" s="56"/>
      <c r="AI16" s="159"/>
      <c r="AJ16" s="234"/>
      <c r="AK16" s="234"/>
      <c r="AL16" s="234"/>
      <c r="AM16" s="234"/>
    </row>
    <row r="17" spans="1:49" outlineLevel="1">
      <c r="A17" s="255" t="s">
        <v>77</v>
      </c>
      <c r="B17" s="59" t="s">
        <v>717</v>
      </c>
      <c r="C17" s="59" t="s">
        <v>115</v>
      </c>
      <c r="D17" s="59" t="s">
        <v>116</v>
      </c>
      <c r="E17" s="59" t="s">
        <v>122</v>
      </c>
      <c r="F17" s="63"/>
      <c r="G17" s="60"/>
      <c r="H17" s="60"/>
      <c r="I17" s="60"/>
      <c r="J17" s="60"/>
      <c r="K17" s="60"/>
      <c r="L17" s="63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3"/>
      <c r="Y17" s="60"/>
      <c r="Z17" s="60"/>
      <c r="AA17" s="60"/>
      <c r="AB17" s="60"/>
      <c r="AC17" s="60"/>
      <c r="AD17" s="59"/>
      <c r="AE17" s="59"/>
      <c r="AF17" s="59"/>
      <c r="AG17" s="59"/>
      <c r="AH17" s="59"/>
      <c r="AI17" s="161"/>
      <c r="AJ17" s="234"/>
      <c r="AK17" s="234"/>
      <c r="AL17" s="234"/>
      <c r="AM17" s="234"/>
    </row>
    <row r="18" spans="1:49">
      <c r="A18" s="256" t="s">
        <v>709</v>
      </c>
      <c r="B18" s="172" t="s">
        <v>83</v>
      </c>
      <c r="C18" s="172" t="s">
        <v>115</v>
      </c>
      <c r="D18" s="172" t="s">
        <v>720</v>
      </c>
      <c r="E18" s="172" t="s">
        <v>103</v>
      </c>
      <c r="F18" s="173">
        <f>F19+F20+F21</f>
        <v>1.3878042830000001</v>
      </c>
      <c r="G18" s="174">
        <f t="shared" ref="G18:AI18" si="25">G19+G20+G21</f>
        <v>1.7917228560000003</v>
      </c>
      <c r="H18" s="174">
        <f t="shared" si="25"/>
        <v>1.8312673760000002</v>
      </c>
      <c r="I18" s="174">
        <f t="shared" si="25"/>
        <v>0.90258873999999989</v>
      </c>
      <c r="J18" s="174">
        <f t="shared" si="25"/>
        <v>2.0635398410000008</v>
      </c>
      <c r="K18" s="174">
        <f t="shared" si="25"/>
        <v>1.324091510000001</v>
      </c>
      <c r="L18" s="173">
        <f t="shared" si="25"/>
        <v>0.74359435200000001</v>
      </c>
      <c r="M18" s="174">
        <f t="shared" si="25"/>
        <v>1.8697203710000001</v>
      </c>
      <c r="N18" s="174">
        <f t="shared" si="25"/>
        <v>1.7290604769999993</v>
      </c>
      <c r="O18" s="174">
        <f t="shared" si="25"/>
        <v>1.7433296879999998</v>
      </c>
      <c r="P18" s="174">
        <f t="shared" si="25"/>
        <v>1.5225032189999994</v>
      </c>
      <c r="Q18" s="174">
        <f t="shared" si="25"/>
        <v>1.12670761</v>
      </c>
      <c r="R18" s="174">
        <f t="shared" si="25"/>
        <v>2.0177789279999998</v>
      </c>
      <c r="S18" s="174">
        <f t="shared" si="25"/>
        <v>2.1499002010000003</v>
      </c>
      <c r="T18" s="174">
        <f t="shared" si="25"/>
        <v>1.1978574230000003</v>
      </c>
      <c r="U18" s="174">
        <f t="shared" si="25"/>
        <v>1.798007414</v>
      </c>
      <c r="V18" s="174">
        <f t="shared" si="25"/>
        <v>1.0044519400000003</v>
      </c>
      <c r="W18" s="174">
        <f t="shared" si="25"/>
        <v>1.834877884</v>
      </c>
      <c r="X18" s="173">
        <f t="shared" si="25"/>
        <v>1.3403713030000011</v>
      </c>
      <c r="Y18" s="174">
        <f t="shared" si="25"/>
        <v>1.5250609600000007</v>
      </c>
      <c r="Z18" s="174">
        <f t="shared" si="25"/>
        <v>1.5699266390000002</v>
      </c>
      <c r="AA18" s="174">
        <f t="shared" si="25"/>
        <v>2.2978512150000006</v>
      </c>
      <c r="AB18" s="174">
        <f t="shared" si="25"/>
        <v>0.40980831099999998</v>
      </c>
      <c r="AC18" s="174">
        <f t="shared" si="25"/>
        <v>0.94476232770000024</v>
      </c>
      <c r="AD18" s="174">
        <f t="shared" si="25"/>
        <v>1.2964618411</v>
      </c>
      <c r="AE18" s="174">
        <f t="shared" si="25"/>
        <v>1.81</v>
      </c>
      <c r="AF18" s="174">
        <f t="shared" si="25"/>
        <v>0.41</v>
      </c>
      <c r="AG18" s="174">
        <f t="shared" si="25"/>
        <v>0.78</v>
      </c>
      <c r="AH18" s="174">
        <f t="shared" si="25"/>
        <v>1.1400000000000001</v>
      </c>
      <c r="AI18" s="175">
        <f t="shared" si="25"/>
        <v>1.34</v>
      </c>
      <c r="AJ18" s="234"/>
      <c r="AK18" s="265">
        <v>1.1400000000000001</v>
      </c>
      <c r="AL18" s="265">
        <f t="shared" ref="AL18:AL21" si="26">AG18-AK18</f>
        <v>-0.3600000000000001</v>
      </c>
      <c r="AM18" s="234"/>
      <c r="AN18" s="88">
        <f t="shared" ref="AN18:AN21" si="27">IFERROR(AG18/U18*100,"NA")</f>
        <v>43.381356157188797</v>
      </c>
      <c r="AO18" s="89">
        <f t="shared" ref="AO18:AO21" si="28">IFERROR(SUM(X18:AG18)/SUM(L18:U18)*100,"NA")</f>
        <v>77.895864402777946</v>
      </c>
      <c r="AP18" s="89">
        <f t="shared" ref="AP18:AP21" si="29">IFERROR(SUM(AD18:AG18)/SUM(R18:U18)*100,"NA")</f>
        <v>59.976763756767603</v>
      </c>
      <c r="AQ18" s="89">
        <f t="shared" ref="AQ18:AQ21" si="30">IFERROR(SUM(X18:Z18)/SUM(L18:N18)*100,"NA")</f>
        <v>102.14130971455444</v>
      </c>
      <c r="AR18" s="89">
        <f t="shared" ref="AR18:AR21" si="31">IFERROR(SUM(AA18:AC18)/SUM(O18:Q18)*100,"NA")</f>
        <v>83.150555801691695</v>
      </c>
      <c r="AS18" s="89">
        <f t="shared" ref="AS18:AS21" si="32">IFERROR(SUM(AD18:AF18)/SUM(R18:T18)*100,"NA")</f>
        <v>65.537934687803798</v>
      </c>
      <c r="AT18" s="89">
        <f t="shared" ref="AT18:AT21" si="33">IFERROR(SUM(AG18:AI18)/SUM(U18:W18)*100,"NA")</f>
        <v>70.298963234469852</v>
      </c>
      <c r="AU18" s="89">
        <f t="shared" ref="AU18:AU21" si="34">IFERROR(SUM(X18:AC18)/SUM(L18:Q18)*100,"NA")</f>
        <v>92.591400051628042</v>
      </c>
      <c r="AV18" s="89">
        <f t="shared" ref="AV18:AV21" si="35">IFERROR(SUM(AD18:AI18)/SUM(R18:W18)*100,"NA")</f>
        <v>67.74514987757334</v>
      </c>
      <c r="AW18" s="90">
        <f t="shared" ref="AW18:AW21" si="36">IFERROR(SUM(X18:AI18)/SUM(L18:W18)*100,"NA")</f>
        <v>79.327620748685788</v>
      </c>
    </row>
    <row r="19" spans="1:49">
      <c r="A19" s="291" t="s">
        <v>709</v>
      </c>
      <c r="B19" s="162" t="s">
        <v>83</v>
      </c>
      <c r="C19" s="46" t="s">
        <v>115</v>
      </c>
      <c r="D19" s="46" t="s">
        <v>116</v>
      </c>
      <c r="E19" s="46" t="s">
        <v>121</v>
      </c>
      <c r="F19" s="62">
        <v>1.7777744310000003</v>
      </c>
      <c r="G19" s="56">
        <v>1.3933581120000003</v>
      </c>
      <c r="H19" s="56">
        <v>1.5352247400000001</v>
      </c>
      <c r="I19" s="56">
        <v>0.77964911199999987</v>
      </c>
      <c r="J19" s="56">
        <v>1.7489116730000005</v>
      </c>
      <c r="K19" s="56">
        <v>1.1592372510000009</v>
      </c>
      <c r="L19" s="62">
        <v>0.53678800799999993</v>
      </c>
      <c r="M19" s="56">
        <v>1.7060259160000002</v>
      </c>
      <c r="N19" s="56">
        <v>1.5937971559999995</v>
      </c>
      <c r="O19" s="56">
        <v>1.5168107759999996</v>
      </c>
      <c r="P19" s="56">
        <v>1.5043519109999994</v>
      </c>
      <c r="Q19" s="56">
        <v>0.99905458599999997</v>
      </c>
      <c r="R19" s="56">
        <v>1.5874106399999997</v>
      </c>
      <c r="S19" s="56">
        <v>2.1130689740000004</v>
      </c>
      <c r="T19" s="56">
        <v>1.0674550350000003</v>
      </c>
      <c r="U19" s="56">
        <v>1.638725174</v>
      </c>
      <c r="V19" s="56">
        <v>0.87492864500000034</v>
      </c>
      <c r="W19" s="56">
        <v>1.4139211440000001</v>
      </c>
      <c r="X19" s="62">
        <v>1.1770294150000011</v>
      </c>
      <c r="Y19" s="56">
        <v>1.2955602090000005</v>
      </c>
      <c r="Z19" s="56">
        <v>1.4142448480000001</v>
      </c>
      <c r="AA19" s="56">
        <v>2.0835511830000004</v>
      </c>
      <c r="AB19" s="56">
        <v>0.36968559099999998</v>
      </c>
      <c r="AC19" s="56">
        <v>0.76199539410000028</v>
      </c>
      <c r="AD19" s="56">
        <v>1.1232476755</v>
      </c>
      <c r="AE19" s="56">
        <v>1.67</v>
      </c>
      <c r="AF19" s="56">
        <v>0.32</v>
      </c>
      <c r="AG19" s="56">
        <v>0.62</v>
      </c>
      <c r="AH19" s="56">
        <f t="shared" ref="AH19:AI19" si="37">AH7+AH23+AH27</f>
        <v>1</v>
      </c>
      <c r="AI19" s="58">
        <f t="shared" si="37"/>
        <v>1.2</v>
      </c>
      <c r="AJ19" s="234"/>
      <c r="AK19" s="267">
        <v>1</v>
      </c>
      <c r="AL19" s="296">
        <f t="shared" si="26"/>
        <v>-0.38</v>
      </c>
      <c r="AM19" s="234"/>
      <c r="AN19" s="116">
        <f t="shared" si="27"/>
        <v>37.834287886517814</v>
      </c>
      <c r="AO19" s="117">
        <f t="shared" si="28"/>
        <v>75.965389264539766</v>
      </c>
      <c r="AP19" s="117">
        <f t="shared" si="29"/>
        <v>58.271357909430243</v>
      </c>
      <c r="AQ19" s="117">
        <f t="shared" si="30"/>
        <v>101.309056116264</v>
      </c>
      <c r="AR19" s="117">
        <f t="shared" si="31"/>
        <v>79.976577129143678</v>
      </c>
      <c r="AS19" s="117">
        <f t="shared" si="32"/>
        <v>65.295519017924349</v>
      </c>
      <c r="AT19" s="117">
        <f t="shared" si="33"/>
        <v>71.800029956551086</v>
      </c>
      <c r="AU19" s="117">
        <f t="shared" si="34"/>
        <v>90.393557311051566</v>
      </c>
      <c r="AV19" s="117">
        <f t="shared" si="35"/>
        <v>68.233466930011588</v>
      </c>
      <c r="AW19" s="118">
        <f t="shared" si="36"/>
        <v>78.752103437974981</v>
      </c>
    </row>
    <row r="20" spans="1:49">
      <c r="A20" s="257" t="s">
        <v>709</v>
      </c>
      <c r="B20" s="46" t="s">
        <v>83</v>
      </c>
      <c r="C20" s="46" t="s">
        <v>115</v>
      </c>
      <c r="D20" s="46" t="s">
        <v>116</v>
      </c>
      <c r="E20" s="46" t="s">
        <v>120</v>
      </c>
      <c r="F20" s="62">
        <v>8.9409599999999992E-2</v>
      </c>
      <c r="G20" s="56">
        <v>0.22498560000000004</v>
      </c>
      <c r="H20" s="56">
        <v>0.2042208000000002</v>
      </c>
      <c r="I20" s="56">
        <v>-2.1470399999999962E-2</v>
      </c>
      <c r="J20" s="56">
        <v>0.2060352</v>
      </c>
      <c r="K20" s="56">
        <v>4.354559999999999E-2</v>
      </c>
      <c r="L20" s="62">
        <v>0.12096000000000001</v>
      </c>
      <c r="M20" s="56">
        <v>8.3865599999999985E-2</v>
      </c>
      <c r="N20" s="56">
        <v>5.1105599999999966E-2</v>
      </c>
      <c r="O20" s="56">
        <v>0.14999040000000011</v>
      </c>
      <c r="P20" s="56">
        <v>-2.0663999999999995E-2</v>
      </c>
      <c r="Q20" s="56">
        <v>9.1929599999999972E-2</v>
      </c>
      <c r="R20" s="56">
        <v>0.40763520000000009</v>
      </c>
      <c r="S20" s="56">
        <v>8.4672000000000011E-3</v>
      </c>
      <c r="T20" s="56">
        <v>5.4734399999999975E-2</v>
      </c>
      <c r="U20" s="56">
        <v>0.12680639999999999</v>
      </c>
      <c r="V20" s="56">
        <v>9.5860799999999982E-2</v>
      </c>
      <c r="W20" s="56">
        <v>0.38011679999999998</v>
      </c>
      <c r="X20" s="62">
        <v>0.13426560000000004</v>
      </c>
      <c r="Y20" s="56">
        <v>0.16198560000000012</v>
      </c>
      <c r="Z20" s="56">
        <v>0.13537440000000009</v>
      </c>
      <c r="AA20" s="56">
        <v>0.13749120000000006</v>
      </c>
      <c r="AB20" s="56">
        <v>1.9656E-2</v>
      </c>
      <c r="AC20" s="56">
        <v>0.14061600000000002</v>
      </c>
      <c r="AD20" s="56">
        <v>8.2051199999999991E-2</v>
      </c>
      <c r="AE20" s="56">
        <v>0.09</v>
      </c>
      <c r="AF20" s="56">
        <v>0.04</v>
      </c>
      <c r="AG20" s="56">
        <v>0.1</v>
      </c>
      <c r="AH20" s="56">
        <f t="shared" ref="AH20:AI20" si="38">AH8+AH24+AH28</f>
        <v>0.1</v>
      </c>
      <c r="AI20" s="58">
        <f t="shared" si="38"/>
        <v>0.1</v>
      </c>
      <c r="AJ20" s="234"/>
      <c r="AK20" s="267">
        <v>0.1</v>
      </c>
      <c r="AL20" s="296">
        <f t="shared" si="26"/>
        <v>0</v>
      </c>
      <c r="AM20" s="234"/>
      <c r="AN20" s="51">
        <f t="shared" si="27"/>
        <v>78.860372978020052</v>
      </c>
      <c r="AO20" s="52">
        <f t="shared" si="28"/>
        <v>96.893426162862553</v>
      </c>
      <c r="AP20" s="52">
        <f t="shared" si="29"/>
        <v>52.213628465947572</v>
      </c>
      <c r="AQ20" s="52">
        <f t="shared" si="30"/>
        <v>168.64907443875555</v>
      </c>
      <c r="AR20" s="52">
        <f t="shared" si="31"/>
        <v>134.57858769931664</v>
      </c>
      <c r="AS20" s="52">
        <f t="shared" si="32"/>
        <v>45.037091408318119</v>
      </c>
      <c r="AT20" s="52">
        <f t="shared" si="33"/>
        <v>49.769071508201954</v>
      </c>
      <c r="AU20" s="52">
        <f t="shared" si="34"/>
        <v>152.85171102661604</v>
      </c>
      <c r="AV20" s="52">
        <f t="shared" si="35"/>
        <v>47.693859880509017</v>
      </c>
      <c r="AW20" s="53">
        <f t="shared" si="36"/>
        <v>80.051173323841525</v>
      </c>
    </row>
    <row r="21" spans="1:49">
      <c r="A21" s="258" t="s">
        <v>709</v>
      </c>
      <c r="B21" s="59" t="s">
        <v>83</v>
      </c>
      <c r="C21" s="59" t="s">
        <v>115</v>
      </c>
      <c r="D21" s="59" t="s">
        <v>116</v>
      </c>
      <c r="E21" s="59" t="s">
        <v>122</v>
      </c>
      <c r="F21" s="63">
        <v>-0.47937974800000011</v>
      </c>
      <c r="G21" s="60">
        <v>0.17337914399999999</v>
      </c>
      <c r="H21" s="60">
        <v>9.182183599999999E-2</v>
      </c>
      <c r="I21" s="60">
        <v>0.14441002800000002</v>
      </c>
      <c r="J21" s="60">
        <v>0.108592968</v>
      </c>
      <c r="K21" s="60">
        <v>0.12130865899999999</v>
      </c>
      <c r="L21" s="63">
        <v>8.5846343999999991E-2</v>
      </c>
      <c r="M21" s="60">
        <v>7.9828855000000004E-2</v>
      </c>
      <c r="N21" s="60">
        <v>8.4157720999999991E-2</v>
      </c>
      <c r="O21" s="60">
        <v>7.6528511999999993E-2</v>
      </c>
      <c r="P21" s="60">
        <v>3.8815307999999993E-2</v>
      </c>
      <c r="Q21" s="60">
        <v>3.572342399999999E-2</v>
      </c>
      <c r="R21" s="60">
        <v>2.2733087999999999E-2</v>
      </c>
      <c r="S21" s="60">
        <v>2.8364027E-2</v>
      </c>
      <c r="T21" s="60">
        <v>7.5667988000000005E-2</v>
      </c>
      <c r="U21" s="60">
        <v>3.2475839999999999E-2</v>
      </c>
      <c r="V21" s="60">
        <v>3.3662495000000001E-2</v>
      </c>
      <c r="W21" s="60">
        <v>4.0839940000000005E-2</v>
      </c>
      <c r="X21" s="63">
        <v>2.9076288000000006E-2</v>
      </c>
      <c r="Y21" s="60">
        <v>6.7515151000000009E-2</v>
      </c>
      <c r="Z21" s="60">
        <v>2.0307390999999998E-2</v>
      </c>
      <c r="AA21" s="60">
        <v>7.6808831999999994E-2</v>
      </c>
      <c r="AB21" s="60">
        <v>2.0466720000000001E-2</v>
      </c>
      <c r="AC21" s="60">
        <v>4.2150933599999996E-2</v>
      </c>
      <c r="AD21" s="60">
        <v>9.1162965600000007E-2</v>
      </c>
      <c r="AE21" s="60">
        <v>0.05</v>
      </c>
      <c r="AF21" s="60">
        <v>0.05</v>
      </c>
      <c r="AG21" s="60">
        <v>0.06</v>
      </c>
      <c r="AH21" s="60">
        <f t="shared" ref="AH21:AI21" si="39">AH9+AH25+AH29</f>
        <v>0.04</v>
      </c>
      <c r="AI21" s="160">
        <f t="shared" si="39"/>
        <v>0.04</v>
      </c>
      <c r="AJ21" s="234"/>
      <c r="AK21" s="301">
        <v>0.04</v>
      </c>
      <c r="AL21" s="297">
        <f t="shared" si="26"/>
        <v>1.9999999999999997E-2</v>
      </c>
      <c r="AM21" s="234"/>
      <c r="AN21" s="54">
        <f t="shared" si="27"/>
        <v>184.75272695024978</v>
      </c>
      <c r="AO21" s="48">
        <f t="shared" si="28"/>
        <v>90.60007824064229</v>
      </c>
      <c r="AP21" s="48">
        <f t="shared" si="29"/>
        <v>157.72511821912536</v>
      </c>
      <c r="AQ21" s="48">
        <f t="shared" si="30"/>
        <v>46.790803229614419</v>
      </c>
      <c r="AR21" s="48">
        <f t="shared" si="31"/>
        <v>92.294320004937674</v>
      </c>
      <c r="AS21" s="48">
        <f t="shared" si="32"/>
        <v>150.80093896188453</v>
      </c>
      <c r="AT21" s="48">
        <f t="shared" si="33"/>
        <v>130.86769252916073</v>
      </c>
      <c r="AU21" s="48">
        <f t="shared" si="34"/>
        <v>63.93744343791289</v>
      </c>
      <c r="AV21" s="48">
        <f t="shared" si="35"/>
        <v>141.67800963328253</v>
      </c>
      <c r="AW21" s="55">
        <f t="shared" si="36"/>
        <v>92.56980372771207</v>
      </c>
    </row>
    <row r="22" spans="1:49" outlineLevel="1">
      <c r="A22" s="256" t="s">
        <v>709</v>
      </c>
      <c r="B22" s="166" t="s">
        <v>711</v>
      </c>
      <c r="C22" s="166" t="s">
        <v>115</v>
      </c>
      <c r="D22" s="166" t="s">
        <v>720</v>
      </c>
      <c r="E22" s="166" t="s">
        <v>103</v>
      </c>
      <c r="F22" s="167"/>
      <c r="G22" s="168"/>
      <c r="H22" s="168"/>
      <c r="I22" s="168"/>
      <c r="J22" s="168"/>
      <c r="K22" s="168"/>
      <c r="L22" s="167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7"/>
      <c r="Y22" s="168"/>
      <c r="Z22" s="168"/>
      <c r="AA22" s="168"/>
      <c r="AB22" s="168"/>
      <c r="AC22" s="168"/>
      <c r="AD22" s="168">
        <f>AD23+AD24+AD25</f>
        <v>0</v>
      </c>
      <c r="AE22" s="168">
        <f t="shared" ref="AE22" si="40">AE23+AE24+AE25</f>
        <v>0</v>
      </c>
      <c r="AF22" s="168">
        <f t="shared" ref="AF22" si="41">AF23+AF24+AF25</f>
        <v>-0.5</v>
      </c>
      <c r="AG22" s="168">
        <f t="shared" ref="AG22" si="42">AG23+AG24+AG25</f>
        <v>0</v>
      </c>
      <c r="AH22" s="168">
        <f t="shared" ref="AH22" si="43">AH23+AH24+AH25</f>
        <v>0</v>
      </c>
      <c r="AI22" s="171">
        <f t="shared" ref="AI22" si="44">AI23+AI24+AI25</f>
        <v>0</v>
      </c>
      <c r="AJ22" s="234"/>
      <c r="AK22" s="234"/>
      <c r="AL22" s="234"/>
      <c r="AM22" s="234"/>
    </row>
    <row r="23" spans="1:49" outlineLevel="1">
      <c r="A23" s="291" t="s">
        <v>709</v>
      </c>
      <c r="B23" s="162" t="s">
        <v>711</v>
      </c>
      <c r="C23" s="46" t="s">
        <v>115</v>
      </c>
      <c r="D23" s="46" t="s">
        <v>116</v>
      </c>
      <c r="E23" s="46" t="s">
        <v>121</v>
      </c>
      <c r="F23" s="62"/>
      <c r="G23" s="56"/>
      <c r="H23" s="56"/>
      <c r="I23" s="56"/>
      <c r="J23" s="56"/>
      <c r="K23" s="56"/>
      <c r="L23" s="62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62"/>
      <c r="Y23" s="56"/>
      <c r="Z23" s="56"/>
      <c r="AA23" s="56"/>
      <c r="AB23" s="56"/>
      <c r="AC23" s="56"/>
      <c r="AF23" s="56">
        <v>-0.5</v>
      </c>
      <c r="AI23" s="159"/>
      <c r="AJ23" s="234"/>
      <c r="AK23" s="234"/>
      <c r="AL23" s="234"/>
      <c r="AM23" s="234"/>
    </row>
    <row r="24" spans="1:49" outlineLevel="1">
      <c r="A24" s="257" t="s">
        <v>709</v>
      </c>
      <c r="B24" s="46" t="s">
        <v>711</v>
      </c>
      <c r="C24" s="46" t="s">
        <v>115</v>
      </c>
      <c r="D24" s="46" t="s">
        <v>116</v>
      </c>
      <c r="E24" s="46" t="s">
        <v>120</v>
      </c>
      <c r="F24" s="62"/>
      <c r="G24" s="56"/>
      <c r="H24" s="56"/>
      <c r="I24" s="56"/>
      <c r="J24" s="56"/>
      <c r="K24" s="56"/>
      <c r="L24" s="62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62"/>
      <c r="Y24" s="56"/>
      <c r="Z24" s="56"/>
      <c r="AA24" s="56"/>
      <c r="AB24" s="56"/>
      <c r="AC24" s="56"/>
      <c r="AI24" s="159"/>
      <c r="AJ24" s="234"/>
      <c r="AK24" s="234"/>
      <c r="AL24" s="234"/>
      <c r="AM24" s="234"/>
    </row>
    <row r="25" spans="1:49" outlineLevel="1">
      <c r="A25" s="258" t="s">
        <v>709</v>
      </c>
      <c r="B25" s="59" t="s">
        <v>711</v>
      </c>
      <c r="C25" s="59" t="s">
        <v>115</v>
      </c>
      <c r="D25" s="59" t="s">
        <v>116</v>
      </c>
      <c r="E25" s="59" t="s">
        <v>122</v>
      </c>
      <c r="F25" s="63"/>
      <c r="G25" s="60"/>
      <c r="H25" s="60"/>
      <c r="I25" s="60"/>
      <c r="J25" s="60"/>
      <c r="K25" s="60"/>
      <c r="L25" s="63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3"/>
      <c r="Y25" s="60"/>
      <c r="Z25" s="60"/>
      <c r="AA25" s="60"/>
      <c r="AB25" s="60"/>
      <c r="AC25" s="60"/>
      <c r="AD25" s="59"/>
      <c r="AE25" s="59"/>
      <c r="AF25" s="59"/>
      <c r="AG25" s="59"/>
      <c r="AH25" s="59"/>
      <c r="AI25" s="161"/>
      <c r="AJ25" s="234"/>
      <c r="AK25" s="234"/>
      <c r="AL25" s="234"/>
      <c r="AM25" s="234"/>
    </row>
    <row r="26" spans="1:49" outlineLevel="1">
      <c r="A26" s="256" t="s">
        <v>709</v>
      </c>
      <c r="B26" s="166" t="s">
        <v>713</v>
      </c>
      <c r="C26" s="166" t="s">
        <v>115</v>
      </c>
      <c r="D26" s="166" t="s">
        <v>720</v>
      </c>
      <c r="E26" s="166" t="s">
        <v>103</v>
      </c>
      <c r="F26" s="167"/>
      <c r="G26" s="168"/>
      <c r="H26" s="168"/>
      <c r="I26" s="168"/>
      <c r="J26" s="168"/>
      <c r="K26" s="168"/>
      <c r="L26" s="167"/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68"/>
      <c r="X26" s="167"/>
      <c r="Y26" s="168"/>
      <c r="Z26" s="168"/>
      <c r="AA26" s="168"/>
      <c r="AB26" s="168"/>
      <c r="AC26" s="168"/>
      <c r="AD26" s="168">
        <f>AD27+AD28+AD29</f>
        <v>0</v>
      </c>
      <c r="AE26" s="168">
        <f t="shared" ref="AE26" si="45">AE27+AE28+AE29</f>
        <v>0</v>
      </c>
      <c r="AF26" s="168">
        <f t="shared" ref="AF26" si="46">AF27+AF28+AF29</f>
        <v>0</v>
      </c>
      <c r="AG26" s="168">
        <f t="shared" ref="AG26" si="47">AG27+AG28+AG29</f>
        <v>0</v>
      </c>
      <c r="AH26" s="168">
        <f t="shared" ref="AH26" si="48">AH27+AH28+AH29</f>
        <v>0</v>
      </c>
      <c r="AI26" s="171">
        <f t="shared" ref="AI26" si="49">AI27+AI28+AI29</f>
        <v>0</v>
      </c>
      <c r="AJ26" s="234"/>
      <c r="AK26" s="234"/>
      <c r="AL26" s="234"/>
      <c r="AM26" s="234"/>
    </row>
    <row r="27" spans="1:49" outlineLevel="1">
      <c r="A27" s="291" t="s">
        <v>709</v>
      </c>
      <c r="B27" s="162" t="s">
        <v>713</v>
      </c>
      <c r="C27" s="46" t="s">
        <v>115</v>
      </c>
      <c r="D27" s="46" t="s">
        <v>116</v>
      </c>
      <c r="E27" s="46" t="s">
        <v>121</v>
      </c>
      <c r="F27" s="62"/>
      <c r="G27" s="56"/>
      <c r="H27" s="56"/>
      <c r="I27" s="56"/>
      <c r="J27" s="56"/>
      <c r="K27" s="56"/>
      <c r="L27" s="62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62"/>
      <c r="Y27" s="56"/>
      <c r="Z27" s="56"/>
      <c r="AA27" s="56"/>
      <c r="AB27" s="56"/>
      <c r="AC27" s="56"/>
      <c r="AI27" s="159"/>
      <c r="AJ27" s="234"/>
      <c r="AK27" s="234"/>
      <c r="AL27" s="234"/>
      <c r="AM27" s="234"/>
    </row>
    <row r="28" spans="1:49" outlineLevel="1">
      <c r="A28" s="257" t="s">
        <v>709</v>
      </c>
      <c r="B28" s="46" t="s">
        <v>713</v>
      </c>
      <c r="C28" s="46" t="s">
        <v>115</v>
      </c>
      <c r="D28" s="46" t="s">
        <v>116</v>
      </c>
      <c r="E28" s="46" t="s">
        <v>120</v>
      </c>
      <c r="F28" s="62"/>
      <c r="G28" s="56"/>
      <c r="H28" s="56"/>
      <c r="I28" s="56"/>
      <c r="J28" s="56"/>
      <c r="K28" s="56"/>
      <c r="L28" s="62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62"/>
      <c r="Y28" s="56"/>
      <c r="Z28" s="56"/>
      <c r="AA28" s="56"/>
      <c r="AB28" s="56"/>
      <c r="AC28" s="56"/>
      <c r="AI28" s="159"/>
      <c r="AJ28" s="234"/>
      <c r="AK28" s="234"/>
      <c r="AL28" s="234"/>
      <c r="AM28" s="234"/>
    </row>
    <row r="29" spans="1:49" outlineLevel="1">
      <c r="A29" s="258" t="s">
        <v>709</v>
      </c>
      <c r="B29" s="59" t="s">
        <v>713</v>
      </c>
      <c r="C29" s="59" t="s">
        <v>115</v>
      </c>
      <c r="D29" s="59" t="s">
        <v>116</v>
      </c>
      <c r="E29" s="59" t="s">
        <v>122</v>
      </c>
      <c r="F29" s="63"/>
      <c r="G29" s="60"/>
      <c r="H29" s="60"/>
      <c r="I29" s="60"/>
      <c r="J29" s="60"/>
      <c r="K29" s="60"/>
      <c r="L29" s="63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3"/>
      <c r="Y29" s="60"/>
      <c r="Z29" s="60"/>
      <c r="AA29" s="60"/>
      <c r="AB29" s="60"/>
      <c r="AC29" s="60"/>
      <c r="AD29" s="59"/>
      <c r="AE29" s="59"/>
      <c r="AF29" s="59"/>
      <c r="AG29" s="59"/>
      <c r="AH29" s="59"/>
      <c r="AI29" s="161"/>
      <c r="AJ29" s="234"/>
      <c r="AK29" s="234"/>
      <c r="AL29" s="234"/>
      <c r="AM29" s="234"/>
    </row>
    <row r="30" spans="1:49">
      <c r="A30" s="290" t="s">
        <v>77</v>
      </c>
      <c r="B30" s="172" t="s">
        <v>83</v>
      </c>
      <c r="C30" s="172" t="s">
        <v>115</v>
      </c>
      <c r="D30" s="172" t="s">
        <v>721</v>
      </c>
      <c r="E30" s="172" t="s">
        <v>103</v>
      </c>
      <c r="F30" s="173">
        <f>F31+F32</f>
        <v>1.2720631197999999</v>
      </c>
      <c r="G30" s="174">
        <f t="shared" ref="G30:AC30" si="50">G31+G32</f>
        <v>2.0157073204999998</v>
      </c>
      <c r="H30" s="174">
        <f t="shared" si="50"/>
        <v>1.5602138650999999</v>
      </c>
      <c r="I30" s="174">
        <f t="shared" si="50"/>
        <v>1.6239192438999996</v>
      </c>
      <c r="J30" s="174">
        <f t="shared" si="50"/>
        <v>2.2183715740999999</v>
      </c>
      <c r="K30" s="174">
        <f t="shared" si="50"/>
        <v>1.8884163865000001</v>
      </c>
      <c r="L30" s="173">
        <f t="shared" si="50"/>
        <v>1.5417833193999999</v>
      </c>
      <c r="M30" s="174">
        <f t="shared" si="50"/>
        <v>1.8191797960000002</v>
      </c>
      <c r="N30" s="174">
        <f t="shared" si="50"/>
        <v>1.4586887995</v>
      </c>
      <c r="O30" s="174">
        <f t="shared" si="50"/>
        <v>1.5430268122999999</v>
      </c>
      <c r="P30" s="174">
        <f t="shared" si="50"/>
        <v>1.7523833770000001</v>
      </c>
      <c r="Q30" s="174">
        <f t="shared" si="50"/>
        <v>1.727123765</v>
      </c>
      <c r="R30" s="174">
        <f t="shared" si="50"/>
        <v>1.5493621317000001</v>
      </c>
      <c r="S30" s="174">
        <f t="shared" si="50"/>
        <v>2.0867696294</v>
      </c>
      <c r="T30" s="174">
        <f t="shared" si="50"/>
        <v>1.5170251411999998</v>
      </c>
      <c r="U30" s="174">
        <f t="shared" si="50"/>
        <v>1.388011452</v>
      </c>
      <c r="V30" s="174">
        <f t="shared" si="50"/>
        <v>2.8721282674999999</v>
      </c>
      <c r="W30" s="174">
        <f t="shared" si="50"/>
        <v>1.7210533731</v>
      </c>
      <c r="X30" s="173">
        <f t="shared" si="50"/>
        <v>2.0712050617999997</v>
      </c>
      <c r="Y30" s="174">
        <f t="shared" si="50"/>
        <v>2.0553085699999998</v>
      </c>
      <c r="Z30" s="174">
        <f t="shared" si="50"/>
        <v>1.8748383746999999</v>
      </c>
      <c r="AA30" s="174">
        <f t="shared" si="50"/>
        <v>2.6708909575000002</v>
      </c>
      <c r="AB30" s="174">
        <f t="shared" si="50"/>
        <v>2.7378228705999996</v>
      </c>
      <c r="AC30" s="174">
        <f t="shared" si="50"/>
        <v>3.9180987434999999</v>
      </c>
      <c r="AD30" s="174">
        <f t="shared" ref="AD30:AI30" si="51">AD31+AD32</f>
        <v>2.7485765564999998</v>
      </c>
      <c r="AE30" s="174">
        <f t="shared" si="51"/>
        <v>3.6705176081999999</v>
      </c>
      <c r="AF30" s="174">
        <f t="shared" si="51"/>
        <v>2.4335013224999997</v>
      </c>
      <c r="AG30" s="174">
        <f t="shared" ref="AG30" si="52">AG31+AG32</f>
        <v>2.7590690043111112</v>
      </c>
      <c r="AH30" s="174">
        <f t="shared" si="51"/>
        <v>2.2000000000000002</v>
      </c>
      <c r="AI30" s="175">
        <f t="shared" si="51"/>
        <v>2.2000000000000002</v>
      </c>
      <c r="AJ30" s="234"/>
      <c r="AK30" s="265">
        <v>2.2000000000000002</v>
      </c>
      <c r="AL30" s="265">
        <f t="shared" ref="AL30:AL32" si="53">AG30-AK30</f>
        <v>0.55906900431111106</v>
      </c>
      <c r="AM30" s="234"/>
      <c r="AN30" s="88">
        <f t="shared" ref="AN30:AN32" si="54">IFERROR(AG30/U30*100,"NA")</f>
        <v>198.7785475642539</v>
      </c>
      <c r="AO30" s="89">
        <f t="shared" ref="AO30:AO32" si="55">IFERROR(SUM(X30:AG30)/SUM(L30:U30)*100,"NA")</f>
        <v>164.43414884461868</v>
      </c>
      <c r="AP30" s="89">
        <f t="shared" ref="AP30:AP32" si="56">IFERROR(SUM(AD30:AG30)/SUM(R30:U30)*100,"NA")</f>
        <v>177.51667381986726</v>
      </c>
      <c r="AQ30" s="89">
        <f t="shared" ref="AQ30:AQ32" si="57">IFERROR(SUM(X30:Z30)/SUM(L30:N30)*100,"NA")</f>
        <v>124.51837004964534</v>
      </c>
      <c r="AR30" s="89">
        <f t="shared" ref="AR30:AR32" si="58">IFERROR(SUM(AA30:AC30)/SUM(O30:Q30)*100,"NA")</f>
        <v>185.69934332877784</v>
      </c>
      <c r="AS30" s="89">
        <f t="shared" ref="AS30:AS32" si="59">IFERROR(SUM(AD30:AF30)/SUM(R30:T30)*100,"NA")</f>
        <v>171.78975247675524</v>
      </c>
      <c r="AT30" s="89">
        <f t="shared" ref="AT30:AT32" si="60">IFERROR(SUM(AG30:AI30)/SUM(U30:W30)*100,"NA")</f>
        <v>119.69299257648767</v>
      </c>
      <c r="AU30" s="89">
        <f t="shared" ref="AU30:AU32" si="61">IFERROR(SUM(X30:AC30)/SUM(L30:Q30)*100,"NA")</f>
        <v>155.73943412375235</v>
      </c>
      <c r="AV30" s="89">
        <f t="shared" ref="AV30:AV32" si="62">IFERROR(SUM(AD30:AI30)/SUM(R30:W30)*100,"NA")</f>
        <v>143.80421397607515</v>
      </c>
      <c r="AW30" s="90">
        <f t="shared" ref="AW30:AW32" si="63">IFERROR(SUM(X30:AI30)/SUM(L30:W30)*100,"NA")</f>
        <v>149.40421656202648</v>
      </c>
    </row>
    <row r="31" spans="1:49">
      <c r="A31" s="253" t="s">
        <v>77</v>
      </c>
      <c r="B31" s="162" t="s">
        <v>83</v>
      </c>
      <c r="C31" s="46" t="s">
        <v>115</v>
      </c>
      <c r="D31" s="46" t="s">
        <v>721</v>
      </c>
      <c r="E31" s="46" t="s">
        <v>722</v>
      </c>
      <c r="F31" s="62">
        <f>SUMIFS('Offtake Raw'!H:H,'Offtake Raw'!$C:$C,Oral!$D31,'Offtake Raw'!$D:$D,Oral!$E31)/1000000</f>
        <v>0.78324600599999983</v>
      </c>
      <c r="G31" s="56">
        <f>SUMIFS('Offtake Raw'!I:I,'Offtake Raw'!$C:$C,Oral!$D31,'Offtake Raw'!$D:$D,Oral!$E31)/1000000</f>
        <v>1.297838772</v>
      </c>
      <c r="H31" s="56">
        <f>SUMIFS('Offtake Raw'!J:J,'Offtake Raw'!$C:$C,Oral!$D31,'Offtake Raw'!$D:$D,Oral!$E31)/1000000</f>
        <v>0.89229253799999997</v>
      </c>
      <c r="I31" s="56">
        <f>SUMIFS('Offtake Raw'!K:K,'Offtake Raw'!$C:$C,Oral!$D31,'Offtake Raw'!$D:$D,Oral!$E31)/1000000</f>
        <v>0.86142547999999985</v>
      </c>
      <c r="J31" s="56">
        <f>SUMIFS('Offtake Raw'!L:L,'Offtake Raw'!$C:$C,Oral!$D31,'Offtake Raw'!$D:$D,Oral!$E31)/1000000</f>
        <v>1.3712196739999998</v>
      </c>
      <c r="K31" s="56">
        <f>SUMIFS('Offtake Raw'!M:M,'Offtake Raw'!$C:$C,Oral!$D31,'Offtake Raw'!$D:$D,Oral!$E31)/1000000</f>
        <v>1.2605453500000001</v>
      </c>
      <c r="L31" s="62">
        <f>SUMIFS('Offtake Raw'!N:N,'Offtake Raw'!$C:$C,Oral!$D31,'Offtake Raw'!$D:$D,Oral!$E31)/1000000</f>
        <v>0.84016720999999994</v>
      </c>
      <c r="M31" s="56">
        <f>SUMIFS('Offtake Raw'!O:O,'Offtake Raw'!$C:$C,Oral!$D31,'Offtake Raw'!$D:$D,Oral!$E31)/1000000</f>
        <v>1.018915314</v>
      </c>
      <c r="N31" s="56">
        <f>SUMIFS('Offtake Raw'!P:P,'Offtake Raw'!$C:$C,Oral!$D31,'Offtake Raw'!$D:$D,Oral!$E31)/1000000</f>
        <v>0.93742075000000002</v>
      </c>
      <c r="O31" s="56">
        <f>SUMIFS('Offtake Raw'!Q:Q,'Offtake Raw'!$C:$C,Oral!$D31,'Offtake Raw'!$D:$D,Oral!$E31)/1000000</f>
        <v>0.77959735599999991</v>
      </c>
      <c r="P31" s="56">
        <f>SUMIFS('Offtake Raw'!R:R,'Offtake Raw'!$C:$C,Oral!$D31,'Offtake Raw'!$D:$D,Oral!$E31)/1000000</f>
        <v>1.00490123</v>
      </c>
      <c r="Q31" s="56">
        <f>SUMIFS('Offtake Raw'!S:S,'Offtake Raw'!$C:$C,Oral!$D31,'Offtake Raw'!$D:$D,Oral!$E31)/1000000</f>
        <v>1.0849571899999999</v>
      </c>
      <c r="R31" s="56">
        <f>SUMIFS('Offtake Raw'!T:T,'Offtake Raw'!$C:$C,Oral!$D31,'Offtake Raw'!$D:$D,Oral!$E31)/1000000</f>
        <v>0.83947050400000012</v>
      </c>
      <c r="S31" s="56">
        <f>SUMIFS('Offtake Raw'!U:U,'Offtake Raw'!$C:$C,Oral!$D31,'Offtake Raw'!$D:$D,Oral!$E31)/1000000</f>
        <v>1.3019451740000001</v>
      </c>
      <c r="T31" s="56">
        <f>SUMIFS('Offtake Raw'!V:V,'Offtake Raw'!$C:$C,Oral!$D31,'Offtake Raw'!$D:$D,Oral!$E31)/1000000</f>
        <v>0.97138803399999984</v>
      </c>
      <c r="U31" s="56">
        <f>SUMIFS('Offtake Raw'!W:W,'Offtake Raw'!$C:$C,Oral!$D31,'Offtake Raw'!$D:$D,Oral!$E31)/1000000</f>
        <v>0.86032051200000004</v>
      </c>
      <c r="V31" s="56">
        <f>SUMIFS('Offtake Raw'!X:X,'Offtake Raw'!$C:$C,Oral!$D31,'Offtake Raw'!$D:$D,Oral!$E31)/1000000</f>
        <v>1.764883236</v>
      </c>
      <c r="W31" s="56">
        <f>SUMIFS('Offtake Raw'!Y:Y,'Offtake Raw'!$C:$C,Oral!$D31,'Offtake Raw'!$D:$D,Oral!$E31)/1000000</f>
        <v>0.90840559199999993</v>
      </c>
      <c r="X31" s="62">
        <f>SUMIFS('Offtake Raw'!Z:Z,'Offtake Raw'!$C:$C,Oral!$D31,'Offtake Raw'!$D:$D,Oral!$E31)/1000000</f>
        <v>1.0604616299999998</v>
      </c>
      <c r="Y31" s="56">
        <f>SUMIFS('Offtake Raw'!AA:AA,'Offtake Raw'!$C:$C,Oral!$D31,'Offtake Raw'!$D:$D,Oral!$E31)/1000000</f>
        <v>1.2269425279999999</v>
      </c>
      <c r="Z31" s="56">
        <f>SUMIFS('Offtake Raw'!AB:AB,'Offtake Raw'!$C:$C,Oral!$D31,'Offtake Raw'!$D:$D,Oral!$E31)/1000000</f>
        <v>1.2037733719999999</v>
      </c>
      <c r="AA31" s="56">
        <f>SUMIFS('Offtake Raw'!AC:AC,'Offtake Raw'!$C:$C,Oral!$D31,'Offtake Raw'!$D:$D,Oral!$E31)/1000000</f>
        <v>1.6623806940000001</v>
      </c>
      <c r="AB31" s="56">
        <f>SUMIFS('Offtake Raw'!AD:AD,'Offtake Raw'!$C:$C,Oral!$D31,'Offtake Raw'!$D:$D,Oral!$E31)/1000000</f>
        <v>1.6540864259999999</v>
      </c>
      <c r="AC31" s="56">
        <f>SUMIFS('Offtake Raw'!AE:AE,'Offtake Raw'!$C:$C,Oral!$D31,'Offtake Raw'!$D:$D,Oral!$E31)/1000000</f>
        <v>2.153862368</v>
      </c>
      <c r="AD31" s="56">
        <f>SUMIFS('Offtake Raw'!AF:AF,'Offtake Raw'!$C:$C,Oral!$D31,'Offtake Raw'!$D:$D,Oral!$E31)/1000000</f>
        <v>1.4891691299999998</v>
      </c>
      <c r="AE31" s="56">
        <f>SUMIFS('Offtake Raw'!AG:AG,'Offtake Raw'!$C:$C,Oral!$D31,'Offtake Raw'!$D:$D,Oral!$E31)/1000000</f>
        <v>1.780758828</v>
      </c>
      <c r="AF31" s="56">
        <f>SUMIFS('Offtake Raw'!AH:AH,'Offtake Raw'!$C:$C,Oral!$D31,'Offtake Raw'!$D:$D,Oral!$E31)/1000000</f>
        <v>1.2036928119999999</v>
      </c>
      <c r="AG31" s="56">
        <f>SUMIFS('Offtake Raw'!AI:AI,'Offtake Raw'!$C:$C,Oral!$D31,'Offtake Raw'!$D:$D,Oral!$E31)/1000000</f>
        <v>1.4178026942222222</v>
      </c>
      <c r="AH31" s="56">
        <f t="shared" ref="AH31:AI31" si="64">AH34++AH37</f>
        <v>1.2</v>
      </c>
      <c r="AI31" s="58">
        <f t="shared" si="64"/>
        <v>1.2</v>
      </c>
      <c r="AJ31" s="234"/>
      <c r="AK31" s="267">
        <v>1.2</v>
      </c>
      <c r="AL31" s="296">
        <f t="shared" si="53"/>
        <v>0.2178026942222222</v>
      </c>
      <c r="AM31" s="234"/>
      <c r="AN31" s="116">
        <f t="shared" si="54"/>
        <v>164.79935959288417</v>
      </c>
      <c r="AO31" s="117">
        <f t="shared" si="55"/>
        <v>154.09069576445933</v>
      </c>
      <c r="AP31" s="117">
        <f t="shared" si="56"/>
        <v>148.28188428226255</v>
      </c>
      <c r="AQ31" s="117">
        <f t="shared" si="57"/>
        <v>124.84081683217082</v>
      </c>
      <c r="AR31" s="117">
        <f t="shared" si="58"/>
        <v>190.63996503286765</v>
      </c>
      <c r="AS31" s="117">
        <f t="shared" si="59"/>
        <v>143.71676417481731</v>
      </c>
      <c r="AT31" s="117">
        <f t="shared" si="60"/>
        <v>108.04257989147783</v>
      </c>
      <c r="AU31" s="117">
        <f t="shared" si="61"/>
        <v>158.16399199002331</v>
      </c>
      <c r="AV31" s="117">
        <f t="shared" si="62"/>
        <v>124.7503487874142</v>
      </c>
      <c r="AW31" s="118">
        <f t="shared" si="63"/>
        <v>140.12677930209477</v>
      </c>
    </row>
    <row r="32" spans="1:49">
      <c r="A32" s="254" t="s">
        <v>77</v>
      </c>
      <c r="B32" s="46" t="s">
        <v>83</v>
      </c>
      <c r="C32" s="46" t="s">
        <v>115</v>
      </c>
      <c r="D32" s="46" t="s">
        <v>721</v>
      </c>
      <c r="E32" s="46" t="s">
        <v>24</v>
      </c>
      <c r="F32" s="62">
        <f>SUMIFS('Offtake Raw'!H:H,'Offtake Raw'!$C:$C,Oral!$D32,'Offtake Raw'!$D:$D,Oral!$E32)/1000000</f>
        <v>0.48881711379999998</v>
      </c>
      <c r="G32" s="56">
        <f>SUMIFS('Offtake Raw'!I:I,'Offtake Raw'!$C:$C,Oral!$D32,'Offtake Raw'!$D:$D,Oral!$E32)/1000000</f>
        <v>0.71786854850000004</v>
      </c>
      <c r="H32" s="56">
        <f>SUMIFS('Offtake Raw'!J:J,'Offtake Raw'!$C:$C,Oral!$D32,'Offtake Raw'!$D:$D,Oral!$E32)/1000000</f>
        <v>0.66792132709999996</v>
      </c>
      <c r="I32" s="56">
        <f>SUMIFS('Offtake Raw'!K:K,'Offtake Raw'!$C:$C,Oral!$D32,'Offtake Raw'!$D:$D,Oral!$E32)/1000000</f>
        <v>0.7624937638999999</v>
      </c>
      <c r="J32" s="56">
        <f>SUMIFS('Offtake Raw'!L:L,'Offtake Raw'!$C:$C,Oral!$D32,'Offtake Raw'!$D:$D,Oral!$E32)/1000000</f>
        <v>0.84715190009999997</v>
      </c>
      <c r="K32" s="56">
        <f>SUMIFS('Offtake Raw'!M:M,'Offtake Raw'!$C:$C,Oral!$D32,'Offtake Raw'!$D:$D,Oral!$E32)/1000000</f>
        <v>0.62787103649999998</v>
      </c>
      <c r="L32" s="62">
        <f>SUMIFS('Offtake Raw'!N:N,'Offtake Raw'!$C:$C,Oral!$D32,'Offtake Raw'!$D:$D,Oral!$E32)/1000000</f>
        <v>0.70161610939999997</v>
      </c>
      <c r="M32" s="56">
        <f>SUMIFS('Offtake Raw'!O:O,'Offtake Raw'!$C:$C,Oral!$D32,'Offtake Raw'!$D:$D,Oral!$E32)/1000000</f>
        <v>0.80026448200000011</v>
      </c>
      <c r="N32" s="56">
        <f>SUMIFS('Offtake Raw'!P:P,'Offtake Raw'!$C:$C,Oral!$D32,'Offtake Raw'!$D:$D,Oral!$E32)/1000000</f>
        <v>0.52126804950000005</v>
      </c>
      <c r="O32" s="56">
        <f>SUMIFS('Offtake Raw'!Q:Q,'Offtake Raw'!$C:$C,Oral!$D32,'Offtake Raw'!$D:$D,Oral!$E32)/1000000</f>
        <v>0.76342945630000003</v>
      </c>
      <c r="P32" s="56">
        <f>SUMIFS('Offtake Raw'!R:R,'Offtake Raw'!$C:$C,Oral!$D32,'Offtake Raw'!$D:$D,Oral!$E32)/1000000</f>
        <v>0.74748214700000004</v>
      </c>
      <c r="Q32" s="56">
        <f>SUMIFS('Offtake Raw'!S:S,'Offtake Raw'!$C:$C,Oral!$D32,'Offtake Raw'!$D:$D,Oral!$E32)/1000000</f>
        <v>0.64216657499999996</v>
      </c>
      <c r="R32" s="56">
        <f>SUMIFS('Offtake Raw'!T:T,'Offtake Raw'!$C:$C,Oral!$D32,'Offtake Raw'!$D:$D,Oral!$E32)/1000000</f>
        <v>0.70989162769999992</v>
      </c>
      <c r="S32" s="56">
        <f>SUMIFS('Offtake Raw'!U:U,'Offtake Raw'!$C:$C,Oral!$D32,'Offtake Raw'!$D:$D,Oral!$E32)/1000000</f>
        <v>0.78482445540000001</v>
      </c>
      <c r="T32" s="56">
        <f>SUMIFS('Offtake Raw'!V:V,'Offtake Raw'!$C:$C,Oral!$D32,'Offtake Raw'!$D:$D,Oral!$E32)/1000000</f>
        <v>0.54563710719999992</v>
      </c>
      <c r="U32" s="56">
        <f>SUMIFS('Offtake Raw'!W:W,'Offtake Raw'!$C:$C,Oral!$D32,'Offtake Raw'!$D:$D,Oral!$E32)/1000000</f>
        <v>0.52769093999999994</v>
      </c>
      <c r="V32" s="56">
        <f>SUMIFS('Offtake Raw'!X:X,'Offtake Raw'!$C:$C,Oral!$D32,'Offtake Raw'!$D:$D,Oral!$E32)/1000000</f>
        <v>1.1072450315</v>
      </c>
      <c r="W32" s="56">
        <f>SUMIFS('Offtake Raw'!Y:Y,'Offtake Raw'!$C:$C,Oral!$D32,'Offtake Raw'!$D:$D,Oral!$E32)/1000000</f>
        <v>0.81264778110000002</v>
      </c>
      <c r="X32" s="62">
        <f>SUMIFS('Offtake Raw'!Z:Z,'Offtake Raw'!$C:$C,Oral!$D32,'Offtake Raw'!$D:$D,Oral!$E32)/1000000</f>
        <v>1.0107434317999999</v>
      </c>
      <c r="Y32" s="56">
        <f>SUMIFS('Offtake Raw'!AA:AA,'Offtake Raw'!$C:$C,Oral!$D32,'Offtake Raw'!$D:$D,Oral!$E32)/1000000</f>
        <v>0.82836604199999997</v>
      </c>
      <c r="Z32" s="56">
        <f>SUMIFS('Offtake Raw'!AB:AB,'Offtake Raw'!$C:$C,Oral!$D32,'Offtake Raw'!$D:$D,Oral!$E32)/1000000</f>
        <v>0.67106500270000002</v>
      </c>
      <c r="AA32" s="56">
        <f>SUMIFS('Offtake Raw'!AC:AC,'Offtake Raw'!$C:$C,Oral!$D32,'Offtake Raw'!$D:$D,Oral!$E32)/1000000</f>
        <v>1.0085102634999998</v>
      </c>
      <c r="AB32" s="56">
        <f>SUMIFS('Offtake Raw'!AD:AD,'Offtake Raw'!$C:$C,Oral!$D32,'Offtake Raw'!$D:$D,Oral!$E32)/1000000</f>
        <v>1.0837364446</v>
      </c>
      <c r="AC32" s="56">
        <f>SUMIFS('Offtake Raw'!AE:AE,'Offtake Raw'!$C:$C,Oral!$D32,'Offtake Raw'!$D:$D,Oral!$E32)/1000000</f>
        <v>1.7642363755000001</v>
      </c>
      <c r="AD32" s="56">
        <f>SUMIFS('Offtake Raw'!AF:AF,'Offtake Raw'!$C:$C,Oral!$D32,'Offtake Raw'!$D:$D,Oral!$E32)/1000000</f>
        <v>1.2594074265000001</v>
      </c>
      <c r="AE32" s="56">
        <f>SUMIFS('Offtake Raw'!AG:AG,'Offtake Raw'!$C:$C,Oral!$D32,'Offtake Raw'!$D:$D,Oral!$E32)/1000000</f>
        <v>1.8897587802000002</v>
      </c>
      <c r="AF32" s="56">
        <f>SUMIFS('Offtake Raw'!AH:AH,'Offtake Raw'!$C:$C,Oral!$D32,'Offtake Raw'!$D:$D,Oral!$E32)/1000000</f>
        <v>1.2298085105000001</v>
      </c>
      <c r="AG32" s="56">
        <f>SUMIFS('Offtake Raw'!AI:AI,'Offtake Raw'!$C:$C,Oral!$D32,'Offtake Raw'!$D:$D,Oral!$E32)/1000000</f>
        <v>1.3412663100888891</v>
      </c>
      <c r="AH32" s="56">
        <f t="shared" ref="AH32:AI32" si="65">AH35++AH38</f>
        <v>1</v>
      </c>
      <c r="AI32" s="58">
        <f t="shared" si="65"/>
        <v>1</v>
      </c>
      <c r="AJ32" s="234"/>
      <c r="AK32" s="268">
        <v>1</v>
      </c>
      <c r="AL32" s="297">
        <f t="shared" si="53"/>
        <v>0.34126631008888908</v>
      </c>
      <c r="AM32" s="234"/>
      <c r="AN32" s="54">
        <f t="shared" si="54"/>
        <v>254.17649014191701</v>
      </c>
      <c r="AO32" s="48">
        <f t="shared" si="55"/>
        <v>179.21727460082209</v>
      </c>
      <c r="AP32" s="48">
        <f t="shared" si="56"/>
        <v>222.74699098027764</v>
      </c>
      <c r="AQ32" s="48">
        <f t="shared" si="57"/>
        <v>124.07266701784924</v>
      </c>
      <c r="AR32" s="48">
        <f t="shared" si="58"/>
        <v>179.11486551988338</v>
      </c>
      <c r="AS32" s="48">
        <f t="shared" si="59"/>
        <v>214.61846596059897</v>
      </c>
      <c r="AT32" s="48">
        <f t="shared" si="60"/>
        <v>136.51284890821631</v>
      </c>
      <c r="AU32" s="48">
        <f t="shared" si="61"/>
        <v>152.44999459391431</v>
      </c>
      <c r="AV32" s="48">
        <f t="shared" si="62"/>
        <v>172.0220476694187</v>
      </c>
      <c r="AW32" s="55">
        <f t="shared" si="63"/>
        <v>162.58809244822649</v>
      </c>
    </row>
    <row r="33" spans="1:49" outlineLevel="1">
      <c r="A33" s="290" t="s">
        <v>77</v>
      </c>
      <c r="B33" s="166" t="s">
        <v>715</v>
      </c>
      <c r="C33" s="166" t="s">
        <v>115</v>
      </c>
      <c r="D33" s="166" t="s">
        <v>721</v>
      </c>
      <c r="E33" s="166" t="s">
        <v>103</v>
      </c>
      <c r="F33" s="167"/>
      <c r="G33" s="168"/>
      <c r="H33" s="168"/>
      <c r="I33" s="168"/>
      <c r="J33" s="168"/>
      <c r="K33" s="168"/>
      <c r="L33" s="167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7"/>
      <c r="Y33" s="168"/>
      <c r="Z33" s="168"/>
      <c r="AA33" s="168"/>
      <c r="AB33" s="168"/>
      <c r="AC33" s="168"/>
      <c r="AD33" s="168">
        <f>AD34+AD35</f>
        <v>2.2000000000000002</v>
      </c>
      <c r="AE33" s="168">
        <f t="shared" ref="AE33:AI33" si="66">AE34+AE35</f>
        <v>2.2000000000000002</v>
      </c>
      <c r="AF33" s="168">
        <f t="shared" si="66"/>
        <v>2.2000000000000002</v>
      </c>
      <c r="AG33" s="168">
        <f t="shared" si="66"/>
        <v>2.2000000000000002</v>
      </c>
      <c r="AH33" s="168">
        <f t="shared" si="66"/>
        <v>2.2000000000000002</v>
      </c>
      <c r="AI33" s="171">
        <f t="shared" si="66"/>
        <v>2.2000000000000002</v>
      </c>
      <c r="AJ33" s="234"/>
      <c r="AK33" s="248"/>
      <c r="AL33" s="302"/>
      <c r="AM33" s="234"/>
    </row>
    <row r="34" spans="1:49" outlineLevel="1">
      <c r="A34" s="253" t="s">
        <v>77</v>
      </c>
      <c r="B34" s="162" t="s">
        <v>715</v>
      </c>
      <c r="C34" s="46" t="s">
        <v>115</v>
      </c>
      <c r="D34" s="46" t="s">
        <v>721</v>
      </c>
      <c r="E34" s="46" t="s">
        <v>722</v>
      </c>
      <c r="F34" s="62"/>
      <c r="G34" s="56"/>
      <c r="H34" s="56"/>
      <c r="I34" s="56"/>
      <c r="J34" s="56"/>
      <c r="K34" s="56"/>
      <c r="L34" s="62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62"/>
      <c r="Y34" s="56"/>
      <c r="Z34" s="56"/>
      <c r="AA34" s="56"/>
      <c r="AB34" s="56"/>
      <c r="AC34" s="56"/>
      <c r="AD34" s="56">
        <v>1.2</v>
      </c>
      <c r="AE34" s="56">
        <v>1.2</v>
      </c>
      <c r="AF34" s="56">
        <v>1.2</v>
      </c>
      <c r="AG34" s="56">
        <v>1.2</v>
      </c>
      <c r="AH34" s="56">
        <v>1.2</v>
      </c>
      <c r="AI34" s="58">
        <v>1.2</v>
      </c>
      <c r="AJ34" s="234"/>
      <c r="AK34" s="234"/>
      <c r="AL34" s="234"/>
      <c r="AM34" s="234"/>
    </row>
    <row r="35" spans="1:49" outlineLevel="1">
      <c r="A35" s="254" t="s">
        <v>77</v>
      </c>
      <c r="B35" s="46" t="s">
        <v>715</v>
      </c>
      <c r="C35" s="46" t="s">
        <v>115</v>
      </c>
      <c r="D35" s="46" t="s">
        <v>721</v>
      </c>
      <c r="E35" s="46" t="s">
        <v>24</v>
      </c>
      <c r="F35" s="62"/>
      <c r="G35" s="56"/>
      <c r="H35" s="56"/>
      <c r="I35" s="56"/>
      <c r="J35" s="56"/>
      <c r="K35" s="56"/>
      <c r="L35" s="62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62"/>
      <c r="Y35" s="56"/>
      <c r="Z35" s="56"/>
      <c r="AA35" s="56"/>
      <c r="AB35" s="56"/>
      <c r="AC35" s="56"/>
      <c r="AD35" s="56">
        <v>1</v>
      </c>
      <c r="AE35" s="56">
        <v>1</v>
      </c>
      <c r="AF35" s="56">
        <v>1</v>
      </c>
      <c r="AG35" s="56">
        <v>1</v>
      </c>
      <c r="AH35" s="56">
        <v>1</v>
      </c>
      <c r="AI35" s="58">
        <v>1</v>
      </c>
      <c r="AJ35" s="234"/>
      <c r="AK35" s="234"/>
      <c r="AL35" s="234"/>
      <c r="AM35" s="234"/>
    </row>
    <row r="36" spans="1:49" outlineLevel="1">
      <c r="A36" s="290" t="s">
        <v>77</v>
      </c>
      <c r="B36" s="166" t="s">
        <v>717</v>
      </c>
      <c r="C36" s="166" t="s">
        <v>115</v>
      </c>
      <c r="D36" s="166" t="s">
        <v>721</v>
      </c>
      <c r="E36" s="166" t="s">
        <v>103</v>
      </c>
      <c r="F36" s="167"/>
      <c r="G36" s="168"/>
      <c r="H36" s="168"/>
      <c r="I36" s="168"/>
      <c r="J36" s="168"/>
      <c r="K36" s="168"/>
      <c r="L36" s="167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7"/>
      <c r="Y36" s="168"/>
      <c r="Z36" s="168"/>
      <c r="AA36" s="168"/>
      <c r="AB36" s="168"/>
      <c r="AC36" s="168"/>
      <c r="AD36" s="168">
        <f>AD37+AD38</f>
        <v>0</v>
      </c>
      <c r="AE36" s="168">
        <f t="shared" ref="AE36" si="67">AE37+AE38</f>
        <v>0</v>
      </c>
      <c r="AF36" s="168">
        <f t="shared" ref="AF36" si="68">AF37+AF38</f>
        <v>0</v>
      </c>
      <c r="AG36" s="168">
        <f t="shared" ref="AG36" si="69">AG37+AG38</f>
        <v>0</v>
      </c>
      <c r="AH36" s="168">
        <f t="shared" ref="AH36" si="70">AH37+AH38</f>
        <v>0</v>
      </c>
      <c r="AI36" s="171">
        <f t="shared" ref="AI36" si="71">AI37+AI38</f>
        <v>0</v>
      </c>
      <c r="AJ36" s="234"/>
      <c r="AK36" s="234"/>
      <c r="AL36" s="234"/>
      <c r="AM36" s="234"/>
    </row>
    <row r="37" spans="1:49" outlineLevel="1">
      <c r="A37" s="253" t="s">
        <v>77</v>
      </c>
      <c r="B37" s="162" t="s">
        <v>717</v>
      </c>
      <c r="C37" s="46" t="s">
        <v>115</v>
      </c>
      <c r="D37" s="46" t="s">
        <v>721</v>
      </c>
      <c r="E37" s="46" t="s">
        <v>722</v>
      </c>
      <c r="F37" s="62"/>
      <c r="G37" s="56"/>
      <c r="H37" s="56"/>
      <c r="I37" s="56"/>
      <c r="J37" s="56"/>
      <c r="K37" s="56"/>
      <c r="L37" s="62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62"/>
      <c r="Y37" s="56"/>
      <c r="Z37" s="56"/>
      <c r="AA37" s="56"/>
      <c r="AB37" s="56"/>
      <c r="AC37" s="56"/>
      <c r="AI37" s="159"/>
      <c r="AJ37" s="234"/>
      <c r="AK37" s="234"/>
      <c r="AL37" s="234"/>
      <c r="AM37" s="234"/>
    </row>
    <row r="38" spans="1:49" outlineLevel="1">
      <c r="A38" s="254" t="s">
        <v>77</v>
      </c>
      <c r="B38" s="46" t="s">
        <v>717</v>
      </c>
      <c r="C38" s="46" t="s">
        <v>115</v>
      </c>
      <c r="D38" s="46" t="s">
        <v>721</v>
      </c>
      <c r="E38" s="46" t="s">
        <v>24</v>
      </c>
      <c r="F38" s="62"/>
      <c r="G38" s="56"/>
      <c r="H38" s="56"/>
      <c r="I38" s="56"/>
      <c r="J38" s="56"/>
      <c r="K38" s="56"/>
      <c r="L38" s="62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62"/>
      <c r="Y38" s="56"/>
      <c r="Z38" s="56"/>
      <c r="AA38" s="56"/>
      <c r="AB38" s="56"/>
      <c r="AC38" s="56"/>
      <c r="AI38" s="159"/>
      <c r="AJ38" s="234"/>
      <c r="AK38" s="234"/>
      <c r="AL38" s="234"/>
      <c r="AM38" s="234"/>
    </row>
    <row r="39" spans="1:49">
      <c r="A39" s="256" t="s">
        <v>709</v>
      </c>
      <c r="B39" s="172" t="s">
        <v>83</v>
      </c>
      <c r="C39" s="172" t="s">
        <v>115</v>
      </c>
      <c r="D39" s="172" t="s">
        <v>721</v>
      </c>
      <c r="E39" s="172" t="s">
        <v>103</v>
      </c>
      <c r="F39" s="173">
        <f>F40+F41</f>
        <v>1.5188343399999997</v>
      </c>
      <c r="G39" s="174">
        <f t="shared" ref="G39:AI39" si="72">G40+G41</f>
        <v>1.5182172</v>
      </c>
      <c r="H39" s="174">
        <f t="shared" si="72"/>
        <v>2.0127038900000001</v>
      </c>
      <c r="I39" s="174">
        <f t="shared" si="72"/>
        <v>1.6214050599999996</v>
      </c>
      <c r="J39" s="174">
        <f t="shared" si="72"/>
        <v>2.8187883599999997</v>
      </c>
      <c r="K39" s="174">
        <f t="shared" si="72"/>
        <v>1.7130940499999991</v>
      </c>
      <c r="L39" s="173">
        <f t="shared" si="72"/>
        <v>1.9384248599999991</v>
      </c>
      <c r="M39" s="174">
        <f t="shared" si="72"/>
        <v>2.0311902299999991</v>
      </c>
      <c r="N39" s="174">
        <f t="shared" si="72"/>
        <v>1.8503959199999995</v>
      </c>
      <c r="O39" s="174">
        <f t="shared" si="72"/>
        <v>2.6570652000000008</v>
      </c>
      <c r="P39" s="174">
        <f t="shared" si="72"/>
        <v>1.6558299199999991</v>
      </c>
      <c r="Q39" s="174">
        <f t="shared" si="72"/>
        <v>2.6858887499999997</v>
      </c>
      <c r="R39" s="174">
        <f t="shared" si="72"/>
        <v>4.6341908400000014</v>
      </c>
      <c r="S39" s="174">
        <f t="shared" si="72"/>
        <v>4.9243830000000015</v>
      </c>
      <c r="T39" s="174">
        <f t="shared" si="72"/>
        <v>0.83163944000000012</v>
      </c>
      <c r="U39" s="174">
        <f t="shared" si="72"/>
        <v>1.9159702799999998</v>
      </c>
      <c r="V39" s="174">
        <f t="shared" si="72"/>
        <v>2.9841947999999983</v>
      </c>
      <c r="W39" s="174">
        <f t="shared" si="72"/>
        <v>3.0033273399999998</v>
      </c>
      <c r="X39" s="173">
        <f t="shared" si="72"/>
        <v>1.2288178799999998</v>
      </c>
      <c r="Y39" s="174">
        <f t="shared" si="72"/>
        <v>2.6440239400000003</v>
      </c>
      <c r="Z39" s="174">
        <f t="shared" si="72"/>
        <v>2.3163120199999998</v>
      </c>
      <c r="AA39" s="174">
        <f t="shared" si="72"/>
        <v>3.494541149999999</v>
      </c>
      <c r="AB39" s="174">
        <f t="shared" si="72"/>
        <v>1.5923750399999999</v>
      </c>
      <c r="AC39" s="174">
        <f t="shared" si="72"/>
        <v>4.3028929800000002</v>
      </c>
      <c r="AD39" s="174">
        <f t="shared" si="72"/>
        <v>2.99</v>
      </c>
      <c r="AE39" s="174">
        <f t="shared" si="72"/>
        <v>3.26</v>
      </c>
      <c r="AF39" s="174">
        <f t="shared" si="72"/>
        <v>2.41</v>
      </c>
      <c r="AG39" s="174">
        <f t="shared" si="72"/>
        <v>1.4</v>
      </c>
      <c r="AH39" s="174">
        <f t="shared" si="72"/>
        <v>2.2000000000000002</v>
      </c>
      <c r="AI39" s="175">
        <f t="shared" si="72"/>
        <v>2.2000000000000002</v>
      </c>
      <c r="AJ39" s="234"/>
      <c r="AK39" s="265">
        <v>2.2000000000000002</v>
      </c>
      <c r="AL39" s="265">
        <f t="shared" ref="AL39:AL41" si="73">AG39-AK39</f>
        <v>-0.80000000000000027</v>
      </c>
      <c r="AM39" s="234"/>
      <c r="AN39" s="88">
        <f t="shared" ref="AN39:AN41" si="74">IFERROR(AG39/U39*100,"NA")</f>
        <v>73.070026952610149</v>
      </c>
      <c r="AO39" s="89">
        <f t="shared" ref="AO39:AO41" si="75">IFERROR(SUM(X39:AG39)/SUM(L39:U39)*100,"NA")</f>
        <v>102.04571148678761</v>
      </c>
      <c r="AP39" s="89">
        <f t="shared" ref="AP39:AP41" si="76">IFERROR(SUM(AD39:AG39)/SUM(R39:U39)*100,"NA")</f>
        <v>81.747521081182356</v>
      </c>
      <c r="AQ39" s="89">
        <f t="shared" ref="AQ39:AQ41" si="77">IFERROR(SUM(X39:Z39)/SUM(L39:N39)*100,"NA")</f>
        <v>106.34264831055708</v>
      </c>
      <c r="AR39" s="89">
        <f t="shared" ref="AR39:AR41" si="78">IFERROR(SUM(AA39:AC39)/SUM(O39:Q39)*100,"NA")</f>
        <v>134.1634395976854</v>
      </c>
      <c r="AS39" s="89">
        <f t="shared" ref="AS39:AS41" si="79">IFERROR(SUM(AD39:AF39)/SUM(R39:T39)*100,"NA")</f>
        <v>83.347663485113728</v>
      </c>
      <c r="AT39" s="89">
        <f t="shared" ref="AT39:AT41" si="80">IFERROR(SUM(AG39:AI39)/SUM(U39:W39)*100,"NA")</f>
        <v>73.385279466112308</v>
      </c>
      <c r="AU39" s="89">
        <f t="shared" ref="AU39:AU41" si="81">IFERROR(SUM(X39:AC39)/SUM(L39:Q39)*100,"NA")</f>
        <v>121.53219671457916</v>
      </c>
      <c r="AV39" s="89">
        <f t="shared" ref="AV39:AV41" si="82">IFERROR(SUM(AD39:AI39)/SUM(R39:W39)*100,"NA")</f>
        <v>79.043580546941897</v>
      </c>
      <c r="AW39" s="90">
        <f t="shared" ref="AW39:AW41" si="83">IFERROR(SUM(X39:AI39)/SUM(L39:W39)*100,"NA")</f>
        <v>96.549497629611594</v>
      </c>
    </row>
    <row r="40" spans="1:49">
      <c r="A40" s="291" t="s">
        <v>709</v>
      </c>
      <c r="B40" s="162" t="s">
        <v>83</v>
      </c>
      <c r="C40" s="46" t="s">
        <v>115</v>
      </c>
      <c r="D40" s="46" t="s">
        <v>721</v>
      </c>
      <c r="E40" s="46" t="s">
        <v>722</v>
      </c>
      <c r="F40" s="62">
        <v>0.82893956999999985</v>
      </c>
      <c r="G40" s="56">
        <v>0.89363316000000004</v>
      </c>
      <c r="H40" s="56">
        <v>1.2711462400000004</v>
      </c>
      <c r="I40" s="56">
        <v>0.72123001999999992</v>
      </c>
      <c r="J40" s="56">
        <v>1.7206556400000002</v>
      </c>
      <c r="K40" s="56">
        <v>1.1366663399999994</v>
      </c>
      <c r="L40" s="62">
        <v>0.8221993799999997</v>
      </c>
      <c r="M40" s="56">
        <v>1.1569637199999998</v>
      </c>
      <c r="N40" s="56">
        <v>1.2098218399999998</v>
      </c>
      <c r="O40" s="56">
        <v>1.432689360000001</v>
      </c>
      <c r="P40" s="56">
        <v>1.0239799099999998</v>
      </c>
      <c r="Q40" s="56">
        <v>1.7890527600000004</v>
      </c>
      <c r="R40" s="56">
        <v>3.2042058000000013</v>
      </c>
      <c r="S40" s="56">
        <v>3.2460436800000014</v>
      </c>
      <c r="T40" s="56">
        <v>0.60424204000000015</v>
      </c>
      <c r="U40" s="56">
        <v>0.49731683999999993</v>
      </c>
      <c r="V40" s="56">
        <v>1.1014239999999997</v>
      </c>
      <c r="W40" s="56">
        <v>1.7644377400000006</v>
      </c>
      <c r="X40" s="62">
        <v>0.76754671999999968</v>
      </c>
      <c r="Y40" s="56">
        <v>1.6126095299999998</v>
      </c>
      <c r="Z40" s="56">
        <v>1.5730936999999998</v>
      </c>
      <c r="AA40" s="56">
        <v>1.84990093</v>
      </c>
      <c r="AB40" s="56">
        <v>0.92133899999999991</v>
      </c>
      <c r="AC40" s="56">
        <v>2.6925507000000004</v>
      </c>
      <c r="AD40" s="56">
        <v>1</v>
      </c>
      <c r="AE40" s="56">
        <v>1.56</v>
      </c>
      <c r="AF40" s="56">
        <v>0.9</v>
      </c>
      <c r="AG40" s="56">
        <v>0.75</v>
      </c>
      <c r="AH40" s="56">
        <f t="shared" ref="AH40:AI40" si="84">AH31+AH43+AH46</f>
        <v>1.2</v>
      </c>
      <c r="AI40" s="58">
        <f t="shared" si="84"/>
        <v>1.2</v>
      </c>
      <c r="AJ40" s="234"/>
      <c r="AK40" s="267">
        <v>1.2</v>
      </c>
      <c r="AL40" s="296">
        <f t="shared" si="73"/>
        <v>-0.44999999999999996</v>
      </c>
      <c r="AM40" s="234"/>
      <c r="AN40" s="116">
        <f t="shared" si="74"/>
        <v>150.80929091401774</v>
      </c>
      <c r="AO40" s="117">
        <f t="shared" si="75"/>
        <v>90.928680082963609</v>
      </c>
      <c r="AP40" s="117">
        <f t="shared" si="76"/>
        <v>55.748236704459998</v>
      </c>
      <c r="AQ40" s="117">
        <f t="shared" si="77"/>
        <v>123.96577670887341</v>
      </c>
      <c r="AR40" s="117">
        <f t="shared" si="78"/>
        <v>128.68931577228096</v>
      </c>
      <c r="AS40" s="117">
        <f t="shared" si="79"/>
        <v>49.046766732806255</v>
      </c>
      <c r="AT40" s="117">
        <f t="shared" si="80"/>
        <v>93.661395762100724</v>
      </c>
      <c r="AU40" s="117">
        <f t="shared" si="81"/>
        <v>126.66323794601415</v>
      </c>
      <c r="AV40" s="117">
        <f t="shared" si="82"/>
        <v>63.449887897678757</v>
      </c>
      <c r="AW40" s="118">
        <f t="shared" si="83"/>
        <v>89.775386869531289</v>
      </c>
    </row>
    <row r="41" spans="1:49">
      <c r="A41" s="257" t="s">
        <v>709</v>
      </c>
      <c r="B41" s="46" t="s">
        <v>83</v>
      </c>
      <c r="C41" s="46" t="s">
        <v>115</v>
      </c>
      <c r="D41" s="46" t="s">
        <v>721</v>
      </c>
      <c r="E41" s="46" t="s">
        <v>24</v>
      </c>
      <c r="F41" s="62">
        <v>0.68989476999999999</v>
      </c>
      <c r="G41" s="56">
        <v>0.6245840399999999</v>
      </c>
      <c r="H41" s="56">
        <v>0.74155764999999962</v>
      </c>
      <c r="I41" s="56">
        <v>0.9001750399999997</v>
      </c>
      <c r="J41" s="56">
        <v>1.0981327199999995</v>
      </c>
      <c r="K41" s="56">
        <v>0.5764277099999997</v>
      </c>
      <c r="L41" s="62">
        <v>1.1162254799999995</v>
      </c>
      <c r="M41" s="56">
        <v>0.8742265099999994</v>
      </c>
      <c r="N41" s="56">
        <v>0.64057407999999971</v>
      </c>
      <c r="O41" s="56">
        <v>1.22437584</v>
      </c>
      <c r="P41" s="56">
        <v>0.63185000999999918</v>
      </c>
      <c r="Q41" s="56">
        <v>0.89683598999999947</v>
      </c>
      <c r="R41" s="56">
        <v>1.4299850400000003</v>
      </c>
      <c r="S41" s="56">
        <v>1.6783393200000001</v>
      </c>
      <c r="T41" s="56">
        <v>0.2273974</v>
      </c>
      <c r="U41" s="56">
        <v>1.4186534399999999</v>
      </c>
      <c r="V41" s="56">
        <v>1.8827707999999987</v>
      </c>
      <c r="W41" s="56">
        <v>1.2388895999999991</v>
      </c>
      <c r="X41" s="62">
        <v>0.46127116000000018</v>
      </c>
      <c r="Y41" s="56">
        <v>1.0314144100000002</v>
      </c>
      <c r="Z41" s="56">
        <v>0.7432183200000001</v>
      </c>
      <c r="AA41" s="56">
        <v>1.6446402199999992</v>
      </c>
      <c r="AB41" s="56">
        <v>0.67103604000000006</v>
      </c>
      <c r="AC41" s="56">
        <v>1.61034228</v>
      </c>
      <c r="AD41" s="56">
        <v>1.99</v>
      </c>
      <c r="AE41" s="56">
        <v>1.7</v>
      </c>
      <c r="AF41" s="56">
        <v>1.51</v>
      </c>
      <c r="AG41" s="56">
        <v>0.65</v>
      </c>
      <c r="AH41" s="56">
        <f t="shared" ref="AH41:AI41" si="85">AH32+AH44+AH47</f>
        <v>1</v>
      </c>
      <c r="AI41" s="58">
        <f t="shared" si="85"/>
        <v>1</v>
      </c>
      <c r="AJ41" s="234"/>
      <c r="AK41" s="268">
        <v>1</v>
      </c>
      <c r="AL41" s="297">
        <f t="shared" si="73"/>
        <v>-0.35</v>
      </c>
      <c r="AM41" s="234"/>
      <c r="AN41" s="54">
        <f t="shared" si="74"/>
        <v>45.818096349168975</v>
      </c>
      <c r="AO41" s="48">
        <f t="shared" si="75"/>
        <v>118.47873094445771</v>
      </c>
      <c r="AP41" s="48">
        <f t="shared" si="76"/>
        <v>123.04455904111229</v>
      </c>
      <c r="AQ41" s="48">
        <f t="shared" si="77"/>
        <v>84.982202019761871</v>
      </c>
      <c r="AR41" s="48">
        <f t="shared" si="78"/>
        <v>142.60553406239512</v>
      </c>
      <c r="AS41" s="48">
        <f t="shared" si="79"/>
        <v>155.88830166698315</v>
      </c>
      <c r="AT41" s="48">
        <f t="shared" si="80"/>
        <v>58.366009341768347</v>
      </c>
      <c r="AU41" s="48">
        <f t="shared" si="81"/>
        <v>114.44691344202072</v>
      </c>
      <c r="AV41" s="48">
        <f t="shared" si="82"/>
        <v>99.669432677526274</v>
      </c>
      <c r="AW41" s="55">
        <f t="shared" si="83"/>
        <v>105.66962230354069</v>
      </c>
    </row>
    <row r="42" spans="1:49" outlineLevel="1">
      <c r="A42" s="256" t="s">
        <v>709</v>
      </c>
      <c r="B42" s="166" t="s">
        <v>711</v>
      </c>
      <c r="C42" s="166" t="s">
        <v>115</v>
      </c>
      <c r="D42" s="166" t="s">
        <v>721</v>
      </c>
      <c r="E42" s="166" t="s">
        <v>103</v>
      </c>
      <c r="F42" s="167"/>
      <c r="G42" s="168"/>
      <c r="H42" s="168"/>
      <c r="I42" s="168"/>
      <c r="J42" s="168"/>
      <c r="K42" s="168"/>
      <c r="L42" s="167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7"/>
      <c r="Y42" s="168"/>
      <c r="Z42" s="168"/>
      <c r="AA42" s="168"/>
      <c r="AB42" s="168"/>
      <c r="AC42" s="168"/>
      <c r="AD42" s="168">
        <f>AD43+AD44</f>
        <v>0</v>
      </c>
      <c r="AE42" s="168">
        <f t="shared" ref="AE42" si="86">AE43+AE44</f>
        <v>0</v>
      </c>
      <c r="AF42" s="168">
        <f t="shared" ref="AF42" si="87">AF43+AF44</f>
        <v>0</v>
      </c>
      <c r="AG42" s="168">
        <f t="shared" ref="AG42" si="88">AG43+AG44</f>
        <v>0</v>
      </c>
      <c r="AH42" s="168">
        <f t="shared" ref="AH42" si="89">AH43+AH44</f>
        <v>0</v>
      </c>
      <c r="AI42" s="171">
        <f t="shared" ref="AI42" si="90">AI43+AI44</f>
        <v>0</v>
      </c>
      <c r="AJ42" s="234"/>
      <c r="AK42" s="234"/>
      <c r="AL42" s="234"/>
      <c r="AM42" s="234"/>
    </row>
    <row r="43" spans="1:49" outlineLevel="1">
      <c r="A43" s="291" t="s">
        <v>709</v>
      </c>
      <c r="B43" s="162" t="s">
        <v>711</v>
      </c>
      <c r="C43" s="46" t="s">
        <v>115</v>
      </c>
      <c r="D43" s="46" t="s">
        <v>721</v>
      </c>
      <c r="E43" s="46" t="s">
        <v>722</v>
      </c>
      <c r="F43" s="62"/>
      <c r="G43" s="56"/>
      <c r="H43" s="56"/>
      <c r="I43" s="56"/>
      <c r="J43" s="56"/>
      <c r="K43" s="56"/>
      <c r="L43" s="62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62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8"/>
      <c r="AJ43" s="234"/>
      <c r="AK43" s="234"/>
      <c r="AL43" s="234"/>
      <c r="AM43" s="234"/>
    </row>
    <row r="44" spans="1:49" outlineLevel="1">
      <c r="A44" s="257" t="s">
        <v>709</v>
      </c>
      <c r="B44" s="46" t="s">
        <v>711</v>
      </c>
      <c r="C44" s="46" t="s">
        <v>115</v>
      </c>
      <c r="D44" s="46" t="s">
        <v>721</v>
      </c>
      <c r="E44" s="46" t="s">
        <v>24</v>
      </c>
      <c r="F44" s="62"/>
      <c r="G44" s="56"/>
      <c r="H44" s="56"/>
      <c r="I44" s="56"/>
      <c r="J44" s="56"/>
      <c r="K44" s="56"/>
      <c r="L44" s="62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62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8"/>
      <c r="AJ44" s="234"/>
      <c r="AK44" s="234"/>
      <c r="AL44" s="234"/>
      <c r="AM44" s="234"/>
    </row>
    <row r="45" spans="1:49" outlineLevel="1">
      <c r="A45" s="256" t="s">
        <v>709</v>
      </c>
      <c r="B45" s="166" t="s">
        <v>713</v>
      </c>
      <c r="C45" s="166" t="s">
        <v>115</v>
      </c>
      <c r="D45" s="166" t="s">
        <v>721</v>
      </c>
      <c r="E45" s="166" t="s">
        <v>103</v>
      </c>
      <c r="F45" s="167"/>
      <c r="G45" s="168"/>
      <c r="H45" s="168"/>
      <c r="I45" s="168"/>
      <c r="J45" s="168"/>
      <c r="K45" s="168"/>
      <c r="L45" s="167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7"/>
      <c r="Y45" s="168"/>
      <c r="Z45" s="168"/>
      <c r="AA45" s="168"/>
      <c r="AB45" s="168"/>
      <c r="AC45" s="168"/>
      <c r="AD45" s="168">
        <f>AD46+AD47</f>
        <v>-0.9</v>
      </c>
      <c r="AE45" s="168">
        <f t="shared" ref="AE45:AI45" si="91">AE46+AE47</f>
        <v>-0.3</v>
      </c>
      <c r="AF45" s="168">
        <f t="shared" si="91"/>
        <v>0</v>
      </c>
      <c r="AG45" s="168">
        <f t="shared" si="91"/>
        <v>0</v>
      </c>
      <c r="AH45" s="168">
        <f t="shared" si="91"/>
        <v>0</v>
      </c>
      <c r="AI45" s="171">
        <f t="shared" si="91"/>
        <v>0</v>
      </c>
      <c r="AJ45" s="234"/>
      <c r="AK45" s="234"/>
      <c r="AL45" s="234"/>
      <c r="AM45" s="234"/>
    </row>
    <row r="46" spans="1:49" outlineLevel="1">
      <c r="A46" s="291" t="s">
        <v>709</v>
      </c>
      <c r="B46" s="162" t="s">
        <v>713</v>
      </c>
      <c r="C46" s="46" t="s">
        <v>115</v>
      </c>
      <c r="D46" s="46" t="s">
        <v>721</v>
      </c>
      <c r="E46" s="46" t="s">
        <v>722</v>
      </c>
      <c r="F46" s="62"/>
      <c r="G46" s="56"/>
      <c r="H46" s="56"/>
      <c r="I46" s="56"/>
      <c r="J46" s="56"/>
      <c r="K46" s="56"/>
      <c r="L46" s="62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62"/>
      <c r="Y46" s="56"/>
      <c r="Z46" s="56"/>
      <c r="AA46" s="56"/>
      <c r="AB46" s="56"/>
      <c r="AC46" s="56"/>
      <c r="AD46" s="56">
        <v>-0.9</v>
      </c>
      <c r="AE46" s="56">
        <v>-0.3</v>
      </c>
      <c r="AI46" s="159"/>
      <c r="AJ46" s="234"/>
      <c r="AK46" s="234"/>
      <c r="AL46" s="234"/>
      <c r="AM46" s="234"/>
    </row>
    <row r="47" spans="1:49" outlineLevel="1">
      <c r="A47" s="258" t="s">
        <v>709</v>
      </c>
      <c r="B47" s="59" t="s">
        <v>713</v>
      </c>
      <c r="C47" s="59" t="s">
        <v>115</v>
      </c>
      <c r="D47" s="59" t="s">
        <v>721</v>
      </c>
      <c r="E47" s="59" t="s">
        <v>24</v>
      </c>
      <c r="F47" s="63"/>
      <c r="G47" s="60"/>
      <c r="H47" s="60"/>
      <c r="I47" s="60"/>
      <c r="J47" s="60"/>
      <c r="K47" s="60"/>
      <c r="L47" s="63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3"/>
      <c r="Y47" s="60"/>
      <c r="Z47" s="60"/>
      <c r="AA47" s="60"/>
      <c r="AB47" s="60"/>
      <c r="AC47" s="60"/>
      <c r="AD47" s="59"/>
      <c r="AE47" s="59"/>
      <c r="AF47" s="59"/>
      <c r="AG47" s="59"/>
      <c r="AH47" s="59"/>
      <c r="AI47" s="161"/>
      <c r="AJ47" s="234"/>
      <c r="AK47" s="234"/>
      <c r="AL47" s="234"/>
      <c r="AM47" s="234"/>
    </row>
    <row r="48" spans="1:49">
      <c r="A48" s="290" t="s">
        <v>77</v>
      </c>
      <c r="B48" s="172" t="s">
        <v>83</v>
      </c>
      <c r="C48" s="172" t="s">
        <v>115</v>
      </c>
      <c r="D48" s="172" t="s">
        <v>723</v>
      </c>
      <c r="E48" s="172" t="s">
        <v>103</v>
      </c>
      <c r="F48" s="173">
        <f>F49+F50+F51</f>
        <v>1.4708709</v>
      </c>
      <c r="G48" s="174">
        <f t="shared" ref="G48:AC48" si="92">G49+G50+G51</f>
        <v>1.8168402000000001</v>
      </c>
      <c r="H48" s="174">
        <f t="shared" si="92"/>
        <v>1.6281809</v>
      </c>
      <c r="I48" s="174">
        <f t="shared" si="92"/>
        <v>2.5281853000000001</v>
      </c>
      <c r="J48" s="174">
        <f t="shared" si="92"/>
        <v>3.1113871000000004</v>
      </c>
      <c r="K48" s="174">
        <f t="shared" si="92"/>
        <v>1.7413457499999998</v>
      </c>
      <c r="L48" s="173">
        <f t="shared" si="92"/>
        <v>1.5019860779999998</v>
      </c>
      <c r="M48" s="174">
        <f t="shared" si="92"/>
        <v>2.8942412639999997</v>
      </c>
      <c r="N48" s="174">
        <f t="shared" si="92"/>
        <v>2.9455932579999997</v>
      </c>
      <c r="O48" s="174">
        <f t="shared" si="92"/>
        <v>1.6633196459999999</v>
      </c>
      <c r="P48" s="174">
        <f t="shared" si="92"/>
        <v>2.908835244</v>
      </c>
      <c r="Q48" s="174">
        <f t="shared" si="92"/>
        <v>2.8017157499999996</v>
      </c>
      <c r="R48" s="174">
        <f t="shared" si="92"/>
        <v>2.407525406</v>
      </c>
      <c r="S48" s="174">
        <f t="shared" si="92"/>
        <v>1.6864489759999999</v>
      </c>
      <c r="T48" s="174">
        <f t="shared" si="92"/>
        <v>1.205898098</v>
      </c>
      <c r="U48" s="174">
        <f t="shared" si="92"/>
        <v>1.7931315360000002</v>
      </c>
      <c r="V48" s="174">
        <f t="shared" si="92"/>
        <v>2.4319377040000001</v>
      </c>
      <c r="W48" s="174">
        <f t="shared" si="92"/>
        <v>1.485763084</v>
      </c>
      <c r="X48" s="173">
        <f t="shared" si="92"/>
        <v>2.2896515060000002</v>
      </c>
      <c r="Y48" s="174">
        <f t="shared" si="92"/>
        <v>2.6080838039999996</v>
      </c>
      <c r="Z48" s="174">
        <f t="shared" si="92"/>
        <v>1.8606620539999998</v>
      </c>
      <c r="AA48" s="174">
        <f t="shared" si="92"/>
        <v>4.4463977980000005</v>
      </c>
      <c r="AB48" s="174">
        <f t="shared" si="92"/>
        <v>4.7779938359999994</v>
      </c>
      <c r="AC48" s="174">
        <f t="shared" si="92"/>
        <v>2.2132678499999998</v>
      </c>
      <c r="AD48" s="174">
        <f t="shared" ref="AD48:AI48" si="93">AD49+AD50+AD51</f>
        <v>1.7429205739999998</v>
      </c>
      <c r="AE48" s="174">
        <f t="shared" si="93"/>
        <v>1.8289107819999999</v>
      </c>
      <c r="AF48" s="174">
        <f t="shared" si="93"/>
        <v>1.7198854719999999</v>
      </c>
      <c r="AG48" s="174">
        <f t="shared" ref="AG48" si="94">AG49+AG50+AG51</f>
        <v>2.0646752615555557</v>
      </c>
      <c r="AH48" s="174">
        <f t="shared" si="93"/>
        <v>2.15</v>
      </c>
      <c r="AI48" s="175">
        <f t="shared" si="93"/>
        <v>2.8180000000000001</v>
      </c>
      <c r="AJ48" s="234"/>
      <c r="AK48" s="265">
        <v>2</v>
      </c>
      <c r="AL48" s="265">
        <f t="shared" ref="AL48:AL51" si="95">AG48-AK48</f>
        <v>6.4675261555555696E-2</v>
      </c>
      <c r="AM48" s="234"/>
      <c r="AN48" s="88">
        <f t="shared" ref="AN48:AN51" si="96">IFERROR(AG48/U48*100,"NA")</f>
        <v>115.14354748125714</v>
      </c>
      <c r="AO48" s="89">
        <f t="shared" ref="AO48:AO51" si="97">IFERROR(SUM(X48:AG48)/SUM(L48:U48)*100,"NA")</f>
        <v>117.16633497607143</v>
      </c>
      <c r="AP48" s="89">
        <f t="shared" ref="AP48:AP51" si="98">IFERROR(SUM(AD48:AG48)/SUM(R48:U48)*100,"NA")</f>
        <v>103.71335012586232</v>
      </c>
      <c r="AQ48" s="89">
        <f t="shared" ref="AQ48:AQ51" si="99">IFERROR(SUM(X48:Z48)/SUM(L48:N48)*100,"NA")</f>
        <v>92.053425603998008</v>
      </c>
      <c r="AR48" s="89">
        <f t="shared" ref="AR48:AR51" si="100">IFERROR(SUM(AA48:AC48)/SUM(O48:Q48)*100,"NA")</f>
        <v>155.11066090522033</v>
      </c>
      <c r="AS48" s="89">
        <f t="shared" ref="AS48:AS51" si="101">IFERROR(SUM(AD48:AF48)/SUM(R48:T48)*100,"NA")</f>
        <v>99.846116071079507</v>
      </c>
      <c r="AT48" s="89">
        <f t="shared" ref="AT48:AT51" si="102">IFERROR(SUM(AG48:AI48)/SUM(U48:W48)*100,"NA")</f>
        <v>123.14623968209429</v>
      </c>
      <c r="AU48" s="89">
        <f t="shared" ref="AU48:AU51" si="103">IFERROR(SUM(X48:AC48)/SUM(L48:Q48)*100,"NA")</f>
        <v>123.65071100798662</v>
      </c>
      <c r="AV48" s="89">
        <f t="shared" ref="AV48:AV51" si="104">IFERROR(SUM(AD48:AI48)/SUM(R48:W48)*100,"NA")</f>
        <v>111.93100086634158</v>
      </c>
      <c r="AW48" s="90">
        <f t="shared" ref="AW48:AW51" si="105">IFERROR(SUM(X48:AI48)/SUM(L48:W48)*100,"NA")</f>
        <v>118.63476285351537</v>
      </c>
    </row>
    <row r="49" spans="1:49">
      <c r="A49" s="253" t="s">
        <v>77</v>
      </c>
      <c r="B49" s="162" t="s">
        <v>83</v>
      </c>
      <c r="C49" s="46" t="s">
        <v>115</v>
      </c>
      <c r="D49" s="46" t="s">
        <v>723</v>
      </c>
      <c r="E49" s="46" t="s">
        <v>724</v>
      </c>
      <c r="F49" s="62">
        <f>SUMIFS('Offtake Raw'!H:H,'Offtake Raw'!$C:$C,Oral!$D49,'Offtake Raw'!$D:$D,Oral!$E49)/1000000</f>
        <v>1.0014144</v>
      </c>
      <c r="G49" s="56">
        <f>SUMIFS('Offtake Raw'!I:I,'Offtake Raw'!$C:$C,Oral!$D49,'Offtake Raw'!$D:$D,Oral!$E49)/1000000</f>
        <v>1.0899988</v>
      </c>
      <c r="H49" s="56">
        <f>SUMIFS('Offtake Raw'!J:J,'Offtake Raw'!$C:$C,Oral!$D49,'Offtake Raw'!$D:$D,Oral!$E49)/1000000</f>
        <v>1.1124544000000001</v>
      </c>
      <c r="I49" s="56">
        <f>SUMIFS('Offtake Raw'!K:K,'Offtake Raw'!$C:$C,Oral!$D49,'Offtake Raw'!$D:$D,Oral!$E49)/1000000</f>
        <v>2.0288002000000001</v>
      </c>
      <c r="J49" s="56">
        <f>SUMIFS('Offtake Raw'!L:L,'Offtake Raw'!$C:$C,Oral!$D49,'Offtake Raw'!$D:$D,Oral!$E49)/1000000</f>
        <v>2.5800584000000004</v>
      </c>
      <c r="K49" s="56">
        <f>SUMIFS('Offtake Raw'!M:M,'Offtake Raw'!$C:$C,Oral!$D49,'Offtake Raw'!$D:$D,Oral!$E49)/1000000</f>
        <v>1.3214206499999999</v>
      </c>
      <c r="L49" s="62">
        <f>SUMIFS('Offtake Raw'!N:N,'Offtake Raw'!$C:$C,Oral!$D49,'Offtake Raw'!$D:$D,Oral!$E49)/1000000</f>
        <v>1.0795884779999998</v>
      </c>
      <c r="M49" s="56">
        <f>SUMIFS('Offtake Raw'!O:O,'Offtake Raw'!$C:$C,Oral!$D49,'Offtake Raw'!$D:$D,Oral!$E49)/1000000</f>
        <v>2.4224599639999997</v>
      </c>
      <c r="N49" s="56">
        <f>SUMIFS('Offtake Raw'!P:P,'Offtake Raw'!$C:$C,Oral!$D49,'Offtake Raw'!$D:$D,Oral!$E49)/1000000</f>
        <v>2.5483102579999999</v>
      </c>
      <c r="O49" s="56">
        <f>SUMIFS('Offtake Raw'!Q:Q,'Offtake Raw'!$C:$C,Oral!$D49,'Offtake Raw'!$D:$D,Oral!$E49)/1000000</f>
        <v>1.230523646</v>
      </c>
      <c r="P49" s="56">
        <f>SUMIFS('Offtake Raw'!R:R,'Offtake Raw'!$C:$C,Oral!$D49,'Offtake Raw'!$D:$D,Oral!$E49)/1000000</f>
        <v>2.418832144</v>
      </c>
      <c r="Q49" s="56">
        <f>SUMIFS('Offtake Raw'!S:S,'Offtake Raw'!$C:$C,Oral!$D49,'Offtake Raw'!$D:$D,Oral!$E49)/1000000</f>
        <v>2.4013987499999998</v>
      </c>
      <c r="R49" s="211">
        <f>SUMIFS('Offtake Raw'!T:T,'Offtake Raw'!$C:$C,Oral!$D49,'Offtake Raw'!$D:$D,Oral!$E49)/1000000</f>
        <v>1.9402269059999999</v>
      </c>
      <c r="S49" s="211">
        <f>SUMIFS('Offtake Raw'!U:U,'Offtake Raw'!$C:$C,Oral!$D49,'Offtake Raw'!$D:$D,Oral!$E49)/1000000</f>
        <v>1.3023372759999998</v>
      </c>
      <c r="T49" s="56">
        <f>SUMIFS('Offtake Raw'!V:V,'Offtake Raw'!$C:$C,Oral!$D49,'Offtake Raw'!$D:$D,Oral!$E49)/1000000</f>
        <v>0.88037689799999996</v>
      </c>
      <c r="U49" s="56">
        <f>SUMIFS('Offtake Raw'!W:W,'Offtake Raw'!$C:$C,Oral!$D49,'Offtake Raw'!$D:$D,Oral!$E49)/1000000</f>
        <v>1.4671866360000001</v>
      </c>
      <c r="V49" s="56">
        <f>SUMIFS('Offtake Raw'!X:X,'Offtake Raw'!$C:$C,Oral!$D49,'Offtake Raw'!$D:$D,Oral!$E49)/1000000</f>
        <v>2.0934142040000001</v>
      </c>
      <c r="W49" s="56">
        <f>SUMIFS('Offtake Raw'!Y:Y,'Offtake Raw'!$C:$C,Oral!$D49,'Offtake Raw'!$D:$D,Oral!$E49)/1000000</f>
        <v>1.2284066840000001</v>
      </c>
      <c r="X49" s="62">
        <f>SUMIFS('Offtake Raw'!Z:Z,'Offtake Raw'!$C:$C,Oral!$D49,'Offtake Raw'!$D:$D,Oral!$E49)/1000000</f>
        <v>1.3735760060000002</v>
      </c>
      <c r="Y49" s="56">
        <f>SUMIFS('Offtake Raw'!AA:AA,'Offtake Raw'!$C:$C,Oral!$D49,'Offtake Raw'!$D:$D,Oral!$E49)/1000000</f>
        <v>1.3488439039999998</v>
      </c>
      <c r="Z49" s="56">
        <f>SUMIFS('Offtake Raw'!AB:AB,'Offtake Raw'!$C:$C,Oral!$D49,'Offtake Raw'!$D:$D,Oral!$E49)/1000000</f>
        <v>1.0736939539999999</v>
      </c>
      <c r="AA49" s="211">
        <f>SUMIFS('Offtake Raw'!AC:AC,'Offtake Raw'!$C:$C,Oral!$D49,'Offtake Raw'!$D:$D,Oral!$E49)/1000000</f>
        <v>3.5065664980000002</v>
      </c>
      <c r="AB49" s="211">
        <f>SUMIFS('Offtake Raw'!AD:AD,'Offtake Raw'!$C:$C,Oral!$D49,'Offtake Raw'!$D:$D,Oral!$E49)/1000000</f>
        <v>4.0059261359999994</v>
      </c>
      <c r="AC49" s="56">
        <f>SUMIFS('Offtake Raw'!AE:AE,'Offtake Raw'!$C:$C,Oral!$D49,'Offtake Raw'!$D:$D,Oral!$E49)/1000000</f>
        <v>1.38916935</v>
      </c>
      <c r="AD49" s="56">
        <f>SUMIFS('Offtake Raw'!AF:AF,'Offtake Raw'!$C:$C,Oral!$D49,'Offtake Raw'!$D:$D,Oral!$E49)/1000000</f>
        <v>1.0857534739999997</v>
      </c>
      <c r="AE49" s="56">
        <f>SUMIFS('Offtake Raw'!AG:AG,'Offtake Raw'!$C:$C,Oral!$D49,'Offtake Raw'!$D:$D,Oral!$E49)/1000000</f>
        <v>1.076578582</v>
      </c>
      <c r="AF49" s="56">
        <f>SUMIFS('Offtake Raw'!AH:AH,'Offtake Raw'!$C:$C,Oral!$D49,'Offtake Raw'!$D:$D,Oral!$E49)/1000000</f>
        <v>1.0977298719999999</v>
      </c>
      <c r="AG49" s="56">
        <f>SUMIFS('Offtake Raw'!AI:AI,'Offtake Raw'!$C:$C,Oral!$D49,'Offtake Raw'!$D:$D,Oral!$E49)/1000000</f>
        <v>1.3635260615555556</v>
      </c>
      <c r="AH49" s="56">
        <f t="shared" ref="AH49:AI49" si="106">AH53+AH57</f>
        <v>1.3</v>
      </c>
      <c r="AI49" s="58">
        <f t="shared" si="106"/>
        <v>1.9180000000000001</v>
      </c>
      <c r="AJ49" s="234"/>
      <c r="AK49" s="267">
        <v>1.3</v>
      </c>
      <c r="AL49" s="296">
        <f t="shared" si="95"/>
        <v>6.3526061555555513E-2</v>
      </c>
      <c r="AM49" s="234"/>
      <c r="AN49" s="116">
        <f t="shared" si="96"/>
        <v>92.9347383692742</v>
      </c>
      <c r="AO49" s="117">
        <f t="shared" si="97"/>
        <v>97.909264141705094</v>
      </c>
      <c r="AP49" s="117">
        <f t="shared" si="98"/>
        <v>82.70988114139098</v>
      </c>
      <c r="AQ49" s="117">
        <f t="shared" si="99"/>
        <v>62.741963778114517</v>
      </c>
      <c r="AR49" s="117">
        <f t="shared" si="100"/>
        <v>147.11656083804715</v>
      </c>
      <c r="AS49" s="117">
        <f t="shared" si="101"/>
        <v>79.071271326535665</v>
      </c>
      <c r="AT49" s="117">
        <f t="shared" si="102"/>
        <v>95.667547787205251</v>
      </c>
      <c r="AU49" s="117">
        <f t="shared" si="103"/>
        <v>104.93064229849318</v>
      </c>
      <c r="AV49" s="117">
        <f t="shared" si="104"/>
        <v>87.989600681000013</v>
      </c>
      <c r="AW49" s="118">
        <f t="shared" si="105"/>
        <v>97.745697366898952</v>
      </c>
    </row>
    <row r="50" spans="1:49">
      <c r="A50" s="254" t="s">
        <v>77</v>
      </c>
      <c r="B50" s="46" t="s">
        <v>83</v>
      </c>
      <c r="C50" s="46" t="s">
        <v>115</v>
      </c>
      <c r="D50" s="46" t="s">
        <v>723</v>
      </c>
      <c r="E50" s="46" t="s">
        <v>725</v>
      </c>
      <c r="F50" s="62">
        <f>SUMIFS('Offtake Raw'!H:H,'Offtake Raw'!$C:$C,Oral!$D50,'Offtake Raw'!$D:$D,Oral!$E50)/1000000</f>
        <v>0</v>
      </c>
      <c r="G50" s="56">
        <f>SUMIFS('Offtake Raw'!I:I,'Offtake Raw'!$C:$C,Oral!$D50,'Offtake Raw'!$D:$D,Oral!$E50)/1000000</f>
        <v>0</v>
      </c>
      <c r="H50" s="56">
        <f>SUMIFS('Offtake Raw'!J:J,'Offtake Raw'!$C:$C,Oral!$D50,'Offtake Raw'!$D:$D,Oral!$E50)/1000000</f>
        <v>0</v>
      </c>
      <c r="I50" s="56">
        <f>SUMIFS('Offtake Raw'!K:K,'Offtake Raw'!$C:$C,Oral!$D50,'Offtake Raw'!$D:$D,Oral!$E50)/1000000</f>
        <v>0</v>
      </c>
      <c r="J50" s="56">
        <f>SUMIFS('Offtake Raw'!L:L,'Offtake Raw'!$C:$C,Oral!$D50,'Offtake Raw'!$D:$D,Oral!$E50)/1000000</f>
        <v>0</v>
      </c>
      <c r="K50" s="56">
        <f>SUMIFS('Offtake Raw'!M:M,'Offtake Raw'!$C:$C,Oral!$D50,'Offtake Raw'!$D:$D,Oral!$E50)/1000000</f>
        <v>0</v>
      </c>
      <c r="L50" s="62">
        <f>SUMIFS('Offtake Raw'!N:N,'Offtake Raw'!$C:$C,Oral!$D50,'Offtake Raw'!$D:$D,Oral!$E50)/1000000</f>
        <v>0</v>
      </c>
      <c r="M50" s="56">
        <f>SUMIFS('Offtake Raw'!O:O,'Offtake Raw'!$C:$C,Oral!$D50,'Offtake Raw'!$D:$D,Oral!$E50)/1000000</f>
        <v>0</v>
      </c>
      <c r="N50" s="56">
        <f>SUMIFS('Offtake Raw'!P:P,'Offtake Raw'!$C:$C,Oral!$D50,'Offtake Raw'!$D:$D,Oral!$E50)/1000000</f>
        <v>0</v>
      </c>
      <c r="O50" s="56">
        <f>SUMIFS('Offtake Raw'!Q:Q,'Offtake Raw'!$C:$C,Oral!$D50,'Offtake Raw'!$D:$D,Oral!$E50)/1000000</f>
        <v>0</v>
      </c>
      <c r="P50" s="56">
        <f>SUMIFS('Offtake Raw'!R:R,'Offtake Raw'!$C:$C,Oral!$D50,'Offtake Raw'!$D:$D,Oral!$E50)/1000000</f>
        <v>0</v>
      </c>
      <c r="Q50" s="56">
        <f>SUMIFS('Offtake Raw'!S:S,'Offtake Raw'!$C:$C,Oral!$D50,'Offtake Raw'!$D:$D,Oral!$E50)/1000000</f>
        <v>0</v>
      </c>
      <c r="R50" s="56">
        <f>SUMIFS('Offtake Raw'!T:T,'Offtake Raw'!$C:$C,Oral!$D50,'Offtake Raw'!$D:$D,Oral!$E50)/1000000</f>
        <v>0</v>
      </c>
      <c r="S50" s="56">
        <f>SUMIFS('Offtake Raw'!U:U,'Offtake Raw'!$C:$C,Oral!$D50,'Offtake Raw'!$D:$D,Oral!$E50)/1000000</f>
        <v>0</v>
      </c>
      <c r="T50" s="56">
        <f>SUMIFS('Offtake Raw'!V:V,'Offtake Raw'!$C:$C,Oral!$D50,'Offtake Raw'!$D:$D,Oral!$E50)/1000000</f>
        <v>0</v>
      </c>
      <c r="U50" s="56">
        <f>SUMIFS('Offtake Raw'!W:W,'Offtake Raw'!$C:$C,Oral!$D50,'Offtake Raw'!$D:$D,Oral!$E50)/1000000</f>
        <v>0</v>
      </c>
      <c r="V50" s="56">
        <f>SUMIFS('Offtake Raw'!X:X,'Offtake Raw'!$C:$C,Oral!$D50,'Offtake Raw'!$D:$D,Oral!$E50)/1000000</f>
        <v>0</v>
      </c>
      <c r="W50" s="56">
        <f>SUMIFS('Offtake Raw'!Y:Y,'Offtake Raw'!$C:$C,Oral!$D50,'Offtake Raw'!$D:$D,Oral!$E50)/1000000</f>
        <v>1.6204499999999997E-2</v>
      </c>
      <c r="X50" s="62">
        <f>SUMIFS('Offtake Raw'!Z:Z,'Offtake Raw'!$C:$C,Oral!$D50,'Offtake Raw'!$D:$D,Oral!$E50)/1000000</f>
        <v>0.58685219999999994</v>
      </c>
      <c r="Y50" s="56">
        <f>SUMIFS('Offtake Raw'!AA:AA,'Offtake Raw'!$C:$C,Oral!$D50,'Offtake Raw'!$D:$D,Oral!$E50)/1000000</f>
        <v>0.9772559999999999</v>
      </c>
      <c r="Z50" s="56">
        <f>SUMIFS('Offtake Raw'!AB:AB,'Offtake Raw'!$C:$C,Oral!$D50,'Offtake Raw'!$D:$D,Oral!$E50)/1000000</f>
        <v>0.48040109999999997</v>
      </c>
      <c r="AA50" s="56">
        <f>SUMIFS('Offtake Raw'!AC:AC,'Offtake Raw'!$C:$C,Oral!$D50,'Offtake Raw'!$D:$D,Oral!$E50)/1000000</f>
        <v>0.5676561</v>
      </c>
      <c r="AB50" s="56">
        <f>SUMIFS('Offtake Raw'!AD:AD,'Offtake Raw'!$C:$C,Oral!$D50,'Offtake Raw'!$D:$D,Oral!$E50)/1000000</f>
        <v>0.52377929999999995</v>
      </c>
      <c r="AC50" s="56">
        <f>SUMIFS('Offtake Raw'!AE:AE,'Offtake Raw'!$C:$C,Oral!$D50,'Offtake Raw'!$D:$D,Oral!$E50)/1000000</f>
        <v>0.50657759999999996</v>
      </c>
      <c r="AD50" s="56">
        <f>SUMIFS('Offtake Raw'!AF:AF,'Offtake Raw'!$C:$C,Oral!$D50,'Offtake Raw'!$D:$D,Oral!$E50)/1000000</f>
        <v>0.39165030000000001</v>
      </c>
      <c r="AE50" s="56">
        <f>SUMIFS('Offtake Raw'!AG:AG,'Offtake Raw'!$C:$C,Oral!$D50,'Offtake Raw'!$D:$D,Oral!$E50)/1000000</f>
        <v>0.44126099999999996</v>
      </c>
      <c r="AF50" s="56">
        <f>SUMIFS('Offtake Raw'!AH:AH,'Offtake Raw'!$C:$C,Oral!$D50,'Offtake Raw'!$D:$D,Oral!$E50)/1000000</f>
        <v>0.30913200000000002</v>
      </c>
      <c r="AG50" s="56">
        <f>SUMIFS('Offtake Raw'!AI:AI,'Offtake Raw'!$C:$C,Oral!$D50,'Offtake Raw'!$D:$D,Oral!$E50)/1000000</f>
        <v>0.34270440000000002</v>
      </c>
      <c r="AH50" s="56">
        <f t="shared" ref="AH50:AI50" si="107">AH54+AH58</f>
        <v>0.55000000000000004</v>
      </c>
      <c r="AI50" s="58">
        <f t="shared" si="107"/>
        <v>0.60000000000000009</v>
      </c>
      <c r="AJ50" s="234"/>
      <c r="AK50" s="267">
        <v>0.4</v>
      </c>
      <c r="AL50" s="296">
        <f t="shared" si="95"/>
        <v>-5.7295600000000002E-2</v>
      </c>
      <c r="AM50" s="234"/>
      <c r="AN50" s="51" t="str">
        <f t="shared" si="96"/>
        <v>NA</v>
      </c>
      <c r="AO50" s="52" t="str">
        <f t="shared" si="97"/>
        <v>NA</v>
      </c>
      <c r="AP50" s="52" t="str">
        <f t="shared" si="98"/>
        <v>NA</v>
      </c>
      <c r="AQ50" s="52" t="str">
        <f t="shared" si="99"/>
        <v>NA</v>
      </c>
      <c r="AR50" s="52" t="str">
        <f t="shared" si="100"/>
        <v>NA</v>
      </c>
      <c r="AS50" s="52" t="str">
        <f t="shared" si="101"/>
        <v>NA</v>
      </c>
      <c r="AT50" s="52">
        <f t="shared" si="102"/>
        <v>9211.6658952760063</v>
      </c>
      <c r="AU50" s="52" t="str">
        <f t="shared" si="103"/>
        <v>NA</v>
      </c>
      <c r="AV50" s="52">
        <f t="shared" si="104"/>
        <v>16259.358202968311</v>
      </c>
      <c r="AW50" s="53">
        <f t="shared" si="105"/>
        <v>38737.819741429856</v>
      </c>
    </row>
    <row r="51" spans="1:49">
      <c r="A51" s="255" t="s">
        <v>77</v>
      </c>
      <c r="B51" s="59" t="s">
        <v>83</v>
      </c>
      <c r="C51" s="59" t="s">
        <v>115</v>
      </c>
      <c r="D51" s="59" t="s">
        <v>723</v>
      </c>
      <c r="E51" s="59" t="s">
        <v>86</v>
      </c>
      <c r="F51" s="63">
        <f>SUMIFS('Offtake Raw'!H:H,'Offtake Raw'!$C:$C,Oral!$D51,'Offtake Raw'!$D:$D,Oral!$E51)/1000000</f>
        <v>0.46945649999999994</v>
      </c>
      <c r="G51" s="60">
        <f>SUMIFS('Offtake Raw'!I:I,'Offtake Raw'!$C:$C,Oral!$D51,'Offtake Raw'!$D:$D,Oral!$E51)/1000000</f>
        <v>0.72684139999999997</v>
      </c>
      <c r="H51" s="60">
        <f>SUMIFS('Offtake Raw'!J:J,'Offtake Raw'!$C:$C,Oral!$D51,'Offtake Raw'!$D:$D,Oral!$E51)/1000000</f>
        <v>0.51572649999999998</v>
      </c>
      <c r="I51" s="60">
        <f>SUMIFS('Offtake Raw'!K:K,'Offtake Raw'!$C:$C,Oral!$D51,'Offtake Raw'!$D:$D,Oral!$E51)/1000000</f>
        <v>0.49938509999999997</v>
      </c>
      <c r="J51" s="60">
        <f>SUMIFS('Offtake Raw'!L:L,'Offtake Raw'!$C:$C,Oral!$D51,'Offtake Raw'!$D:$D,Oral!$E51)/1000000</f>
        <v>0.53132869999999999</v>
      </c>
      <c r="K51" s="60">
        <f>SUMIFS('Offtake Raw'!M:M,'Offtake Raw'!$C:$C,Oral!$D51,'Offtake Raw'!$D:$D,Oral!$E51)/1000000</f>
        <v>0.4199251</v>
      </c>
      <c r="L51" s="63">
        <f>SUMIFS('Offtake Raw'!N:N,'Offtake Raw'!$C:$C,Oral!$D51,'Offtake Raw'!$D:$D,Oral!$E51)/1000000</f>
        <v>0.42239759999999998</v>
      </c>
      <c r="M51" s="60">
        <f>SUMIFS('Offtake Raw'!O:O,'Offtake Raw'!$C:$C,Oral!$D51,'Offtake Raw'!$D:$D,Oral!$E51)/1000000</f>
        <v>0.47178130000000001</v>
      </c>
      <c r="N51" s="60">
        <f>SUMIFS('Offtake Raw'!P:P,'Offtake Raw'!$C:$C,Oral!$D51,'Offtake Raw'!$D:$D,Oral!$E51)/1000000</f>
        <v>0.39728299999999994</v>
      </c>
      <c r="O51" s="60">
        <f>SUMIFS('Offtake Raw'!Q:Q,'Offtake Raw'!$C:$C,Oral!$D51,'Offtake Raw'!$D:$D,Oral!$E51)/1000000</f>
        <v>0.43279599999999996</v>
      </c>
      <c r="P51" s="60">
        <f>SUMIFS('Offtake Raw'!R:R,'Offtake Raw'!$C:$C,Oral!$D51,'Offtake Raw'!$D:$D,Oral!$E51)/1000000</f>
        <v>0.49000309999999997</v>
      </c>
      <c r="Q51" s="60">
        <f>SUMIFS('Offtake Raw'!S:S,'Offtake Raw'!$C:$C,Oral!$D51,'Offtake Raw'!$D:$D,Oral!$E51)/1000000</f>
        <v>0.40031699999999998</v>
      </c>
      <c r="R51" s="60">
        <f>SUMIFS('Offtake Raw'!T:T,'Offtake Raw'!$C:$C,Oral!$D51,'Offtake Raw'!$D:$D,Oral!$E51)/1000000</f>
        <v>0.46729850000000001</v>
      </c>
      <c r="S51" s="60">
        <f>SUMIFS('Offtake Raw'!U:U,'Offtake Raw'!$C:$C,Oral!$D51,'Offtake Raw'!$D:$D,Oral!$E51)/1000000</f>
        <v>0.3841117</v>
      </c>
      <c r="T51" s="60">
        <f>SUMIFS('Offtake Raw'!V:V,'Offtake Raw'!$C:$C,Oral!$D51,'Offtake Raw'!$D:$D,Oral!$E51)/1000000</f>
        <v>0.32552119999999996</v>
      </c>
      <c r="U51" s="60">
        <f>SUMIFS('Offtake Raw'!W:W,'Offtake Raw'!$C:$C,Oral!$D51,'Offtake Raw'!$D:$D,Oral!$E51)/1000000</f>
        <v>0.32594490000000004</v>
      </c>
      <c r="V51" s="60">
        <f>SUMIFS('Offtake Raw'!X:X,'Offtake Raw'!$C:$C,Oral!$D51,'Offtake Raw'!$D:$D,Oral!$E51)/1000000</f>
        <v>0.33852349999999998</v>
      </c>
      <c r="W51" s="60">
        <f>SUMIFS('Offtake Raw'!Y:Y,'Offtake Raw'!$C:$C,Oral!$D51,'Offtake Raw'!$D:$D,Oral!$E51)/1000000</f>
        <v>0.2411519</v>
      </c>
      <c r="X51" s="63">
        <f>SUMIFS('Offtake Raw'!Z:Z,'Offtake Raw'!$C:$C,Oral!$D51,'Offtake Raw'!$D:$D,Oral!$E51)/1000000</f>
        <v>0.3292233</v>
      </c>
      <c r="Y51" s="60">
        <f>SUMIFS('Offtake Raw'!AA:AA,'Offtake Raw'!$C:$C,Oral!$D51,'Offtake Raw'!$D:$D,Oral!$E51)/1000000</f>
        <v>0.28198390000000001</v>
      </c>
      <c r="Z51" s="60">
        <f>SUMIFS('Offtake Raw'!AB:AB,'Offtake Raw'!$C:$C,Oral!$D51,'Offtake Raw'!$D:$D,Oral!$E51)/1000000</f>
        <v>0.30656699999999998</v>
      </c>
      <c r="AA51" s="60">
        <f>SUMIFS('Offtake Raw'!AC:AC,'Offtake Raw'!$C:$C,Oral!$D51,'Offtake Raw'!$D:$D,Oral!$E51)/1000000</f>
        <v>0.37217519999999993</v>
      </c>
      <c r="AB51" s="60">
        <f>SUMIFS('Offtake Raw'!AD:AD,'Offtake Raw'!$C:$C,Oral!$D51,'Offtake Raw'!$D:$D,Oral!$E51)/1000000</f>
        <v>0.24828839999999999</v>
      </c>
      <c r="AC51" s="60">
        <f>SUMIFS('Offtake Raw'!AE:AE,'Offtake Raw'!$C:$C,Oral!$D51,'Offtake Raw'!$D:$D,Oral!$E51)/1000000</f>
        <v>0.31752089999999994</v>
      </c>
      <c r="AD51" s="60">
        <f>SUMIFS('Offtake Raw'!AF:AF,'Offtake Raw'!$C:$C,Oral!$D51,'Offtake Raw'!$D:$D,Oral!$E51)/1000000</f>
        <v>0.2655168</v>
      </c>
      <c r="AE51" s="60">
        <f>SUMIFS('Offtake Raw'!AG:AG,'Offtake Raw'!$C:$C,Oral!$D51,'Offtake Raw'!$D:$D,Oral!$E51)/1000000</f>
        <v>0.31107119999999999</v>
      </c>
      <c r="AF51" s="60">
        <f>SUMIFS('Offtake Raw'!AH:AH,'Offtake Raw'!$C:$C,Oral!$D51,'Offtake Raw'!$D:$D,Oral!$E51)/1000000</f>
        <v>0.31302360000000001</v>
      </c>
      <c r="AG51" s="60">
        <f>SUMIFS('Offtake Raw'!AI:AI,'Offtake Raw'!$C:$C,Oral!$D51,'Offtake Raw'!$D:$D,Oral!$E51)/1000000</f>
        <v>0.35844480000000006</v>
      </c>
      <c r="AH51" s="60">
        <f t="shared" ref="AH51:AI51" si="108">AH55+AH59</f>
        <v>0.3</v>
      </c>
      <c r="AI51" s="160">
        <f t="shared" si="108"/>
        <v>0.3</v>
      </c>
      <c r="AJ51" s="234"/>
      <c r="AK51" s="268">
        <v>0.3</v>
      </c>
      <c r="AL51" s="297">
        <f t="shared" si="95"/>
        <v>5.8444800000000074E-2</v>
      </c>
      <c r="AM51" s="234"/>
      <c r="AN51" s="88">
        <f t="shared" si="96"/>
        <v>109.97097975762162</v>
      </c>
      <c r="AO51" s="89">
        <f t="shared" si="97"/>
        <v>75.381895556193555</v>
      </c>
      <c r="AP51" s="89">
        <f t="shared" si="98"/>
        <v>83.044519365965115</v>
      </c>
      <c r="AQ51" s="89">
        <f t="shared" si="99"/>
        <v>71.064752278019199</v>
      </c>
      <c r="AR51" s="89">
        <f t="shared" si="100"/>
        <v>70.892078178173463</v>
      </c>
      <c r="AS51" s="89">
        <f t="shared" si="101"/>
        <v>75.587379179449215</v>
      </c>
      <c r="AT51" s="89">
        <f t="shared" si="102"/>
        <v>105.83296332911264</v>
      </c>
      <c r="AU51" s="89">
        <f t="shared" si="103"/>
        <v>70.97736996180646</v>
      </c>
      <c r="AV51" s="89">
        <f t="shared" si="104"/>
        <v>88.74000102854589</v>
      </c>
      <c r="AW51" s="90">
        <f t="shared" si="105"/>
        <v>78.852732127026428</v>
      </c>
    </row>
    <row r="52" spans="1:49" outlineLevel="1">
      <c r="A52" s="290" t="s">
        <v>77</v>
      </c>
      <c r="B52" s="166" t="s">
        <v>715</v>
      </c>
      <c r="C52" s="166" t="s">
        <v>115</v>
      </c>
      <c r="D52" s="166" t="s">
        <v>723</v>
      </c>
      <c r="E52" s="166" t="s">
        <v>83</v>
      </c>
      <c r="F52" s="167"/>
      <c r="G52" s="168"/>
      <c r="H52" s="168"/>
      <c r="I52" s="168"/>
      <c r="J52" s="168"/>
      <c r="K52" s="168"/>
      <c r="L52" s="167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7"/>
      <c r="Y52" s="168"/>
      <c r="Z52" s="168"/>
      <c r="AA52" s="168"/>
      <c r="AB52" s="168"/>
      <c r="AC52" s="168"/>
      <c r="AD52" s="168">
        <f>AD53+AD54+AD55</f>
        <v>2</v>
      </c>
      <c r="AE52" s="168">
        <f t="shared" ref="AE52:AI52" si="109">AE53+AE54+AE55</f>
        <v>2</v>
      </c>
      <c r="AF52" s="168">
        <f t="shared" si="109"/>
        <v>2</v>
      </c>
      <c r="AG52" s="168">
        <f t="shared" si="109"/>
        <v>2</v>
      </c>
      <c r="AH52" s="168">
        <f t="shared" si="109"/>
        <v>2</v>
      </c>
      <c r="AI52" s="171">
        <f t="shared" si="109"/>
        <v>2</v>
      </c>
      <c r="AJ52" s="234"/>
      <c r="AK52" s="234"/>
      <c r="AL52" s="234"/>
      <c r="AM52" s="234"/>
    </row>
    <row r="53" spans="1:49" outlineLevel="1">
      <c r="A53" s="253" t="s">
        <v>77</v>
      </c>
      <c r="B53" s="162" t="s">
        <v>715</v>
      </c>
      <c r="C53" s="46" t="s">
        <v>115</v>
      </c>
      <c r="D53" s="46" t="s">
        <v>723</v>
      </c>
      <c r="E53" s="46" t="s">
        <v>724</v>
      </c>
      <c r="F53" s="62"/>
      <c r="G53" s="56"/>
      <c r="H53" s="56"/>
      <c r="I53" s="56"/>
      <c r="J53" s="56"/>
      <c r="K53" s="56"/>
      <c r="L53" s="62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62"/>
      <c r="Y53" s="56"/>
      <c r="Z53" s="56"/>
      <c r="AA53" s="56"/>
      <c r="AB53" s="56"/>
      <c r="AC53" s="56"/>
      <c r="AD53" s="56">
        <v>1.3</v>
      </c>
      <c r="AE53" s="56">
        <v>1.3</v>
      </c>
      <c r="AF53" s="56">
        <v>1.3</v>
      </c>
      <c r="AG53" s="56">
        <v>1.3</v>
      </c>
      <c r="AH53" s="56">
        <v>1.3</v>
      </c>
      <c r="AI53" s="58">
        <v>1.3</v>
      </c>
      <c r="AJ53" s="234"/>
      <c r="AK53" s="234"/>
      <c r="AL53" s="234"/>
      <c r="AM53" s="234"/>
    </row>
    <row r="54" spans="1:49" outlineLevel="1">
      <c r="A54" s="254" t="s">
        <v>77</v>
      </c>
      <c r="B54" s="46" t="s">
        <v>715</v>
      </c>
      <c r="C54" s="46" t="s">
        <v>115</v>
      </c>
      <c r="D54" s="46" t="s">
        <v>723</v>
      </c>
      <c r="E54" s="46" t="s">
        <v>725</v>
      </c>
      <c r="F54" s="62"/>
      <c r="G54" s="56"/>
      <c r="H54" s="56"/>
      <c r="I54" s="56"/>
      <c r="J54" s="56"/>
      <c r="K54" s="56"/>
      <c r="L54" s="62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62"/>
      <c r="Y54" s="56"/>
      <c r="Z54" s="56"/>
      <c r="AA54" s="56"/>
      <c r="AB54" s="56"/>
      <c r="AC54" s="56"/>
      <c r="AD54" s="56">
        <v>0.4</v>
      </c>
      <c r="AE54" s="56">
        <v>0.4</v>
      </c>
      <c r="AF54" s="56">
        <v>0.4</v>
      </c>
      <c r="AG54" s="56">
        <v>0.4</v>
      </c>
      <c r="AH54" s="56">
        <v>0.4</v>
      </c>
      <c r="AI54" s="58">
        <v>0.4</v>
      </c>
      <c r="AJ54" s="234"/>
      <c r="AK54" s="234"/>
      <c r="AL54" s="234"/>
      <c r="AM54" s="234"/>
    </row>
    <row r="55" spans="1:49" outlineLevel="1">
      <c r="A55" s="255" t="s">
        <v>77</v>
      </c>
      <c r="B55" s="59" t="s">
        <v>715</v>
      </c>
      <c r="C55" s="59" t="s">
        <v>115</v>
      </c>
      <c r="D55" s="59" t="s">
        <v>723</v>
      </c>
      <c r="E55" s="59" t="s">
        <v>86</v>
      </c>
      <c r="F55" s="63"/>
      <c r="G55" s="60"/>
      <c r="H55" s="60"/>
      <c r="I55" s="60"/>
      <c r="J55" s="60"/>
      <c r="K55" s="60"/>
      <c r="L55" s="63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3"/>
      <c r="Y55" s="60"/>
      <c r="Z55" s="60"/>
      <c r="AA55" s="60"/>
      <c r="AB55" s="60"/>
      <c r="AC55" s="60"/>
      <c r="AD55" s="60">
        <v>0.3</v>
      </c>
      <c r="AE55" s="60">
        <v>0.3</v>
      </c>
      <c r="AF55" s="60">
        <v>0.3</v>
      </c>
      <c r="AG55" s="60">
        <v>0.3</v>
      </c>
      <c r="AH55" s="60">
        <v>0.3</v>
      </c>
      <c r="AI55" s="160">
        <v>0.3</v>
      </c>
      <c r="AJ55" s="234"/>
      <c r="AK55" s="234"/>
      <c r="AL55" s="234"/>
      <c r="AM55" s="234"/>
    </row>
    <row r="56" spans="1:49" outlineLevel="1">
      <c r="A56" s="290" t="s">
        <v>77</v>
      </c>
      <c r="B56" s="166" t="s">
        <v>717</v>
      </c>
      <c r="C56" s="166" t="s">
        <v>115</v>
      </c>
      <c r="D56" s="166" t="s">
        <v>723</v>
      </c>
      <c r="E56" s="166" t="s">
        <v>83</v>
      </c>
      <c r="F56" s="167"/>
      <c r="G56" s="168"/>
      <c r="H56" s="168"/>
      <c r="I56" s="168"/>
      <c r="J56" s="168"/>
      <c r="K56" s="168"/>
      <c r="L56" s="167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7"/>
      <c r="Y56" s="168"/>
      <c r="Z56" s="168"/>
      <c r="AA56" s="168"/>
      <c r="AB56" s="168"/>
      <c r="AC56" s="168"/>
      <c r="AD56" s="168">
        <f>AD57+AD58+AD59</f>
        <v>0</v>
      </c>
      <c r="AE56" s="168">
        <f t="shared" ref="AE56:AI56" si="110">AE57+AE58+AE59</f>
        <v>0.32464999999999999</v>
      </c>
      <c r="AF56" s="168">
        <f t="shared" si="110"/>
        <v>0.32464999999999999</v>
      </c>
      <c r="AG56" s="168">
        <f t="shared" si="110"/>
        <v>0</v>
      </c>
      <c r="AH56" s="168">
        <f t="shared" si="110"/>
        <v>0.15</v>
      </c>
      <c r="AI56" s="171">
        <f t="shared" si="110"/>
        <v>0.81800000000000006</v>
      </c>
      <c r="AJ56" s="234"/>
      <c r="AK56" s="234"/>
      <c r="AL56" s="234"/>
      <c r="AM56" s="234"/>
    </row>
    <row r="57" spans="1:49" outlineLevel="1">
      <c r="A57" s="253" t="s">
        <v>77</v>
      </c>
      <c r="B57" s="162" t="s">
        <v>717</v>
      </c>
      <c r="C57" s="46" t="s">
        <v>115</v>
      </c>
      <c r="D57" s="46" t="s">
        <v>723</v>
      </c>
      <c r="E57" s="46" t="s">
        <v>724</v>
      </c>
      <c r="F57" s="62"/>
      <c r="G57" s="56"/>
      <c r="H57" s="56"/>
      <c r="I57" s="56"/>
      <c r="J57" s="56"/>
      <c r="K57" s="56"/>
      <c r="L57" s="62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62"/>
      <c r="Y57" s="56"/>
      <c r="Z57" s="56"/>
      <c r="AA57" s="56"/>
      <c r="AB57" s="56"/>
      <c r="AC57" s="56"/>
      <c r="AE57" s="56">
        <v>0.2</v>
      </c>
      <c r="AF57" s="56">
        <v>0.2</v>
      </c>
      <c r="AG57" s="56"/>
      <c r="AH57" s="56"/>
      <c r="AI57" s="321">
        <f>(103*12000*0.5/1000000+N("Crest prowhite redemption pack"))*1</f>
        <v>0.61799999999999999</v>
      </c>
      <c r="AJ57" s="302">
        <f>(103*12000*0.5/1000000+N("Crest prowhite redemption pack"))*1</f>
        <v>0.61799999999999999</v>
      </c>
      <c r="AK57" s="234"/>
      <c r="AL57" s="234"/>
      <c r="AM57" s="234"/>
    </row>
    <row r="58" spans="1:49" outlineLevel="1">
      <c r="A58" s="254" t="s">
        <v>77</v>
      </c>
      <c r="B58" s="46" t="s">
        <v>717</v>
      </c>
      <c r="C58" s="46" t="s">
        <v>115</v>
      </c>
      <c r="D58" s="46" t="s">
        <v>723</v>
      </c>
      <c r="E58" s="46" t="s">
        <v>725</v>
      </c>
      <c r="F58" s="62"/>
      <c r="G58" s="56"/>
      <c r="H58" s="56"/>
      <c r="I58" s="56"/>
      <c r="J58" s="56"/>
      <c r="K58" s="56"/>
      <c r="L58" s="62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62"/>
      <c r="Y58" s="56"/>
      <c r="Z58" s="56"/>
      <c r="AA58" s="56"/>
      <c r="AB58" s="56"/>
      <c r="AC58" s="56"/>
      <c r="AE58" s="56">
        <f>(1000*249.3/1000000)*0.5+N("P2 Prowhite 329-CRM $60 coupon=269")</f>
        <v>0.12465</v>
      </c>
      <c r="AF58" s="56">
        <f>(1000*249.3/1000000)*0.5+N("P2 Prowhite 329-CRM $60 coupon=269")</f>
        <v>0.12465</v>
      </c>
      <c r="AH58" s="56">
        <v>0.15</v>
      </c>
      <c r="AI58" s="58">
        <v>0.2</v>
      </c>
      <c r="AJ58" s="234"/>
      <c r="AK58" s="234"/>
      <c r="AL58" s="234"/>
      <c r="AM58" s="234"/>
    </row>
    <row r="59" spans="1:49" outlineLevel="1">
      <c r="A59" s="255" t="s">
        <v>77</v>
      </c>
      <c r="B59" s="59" t="s">
        <v>717</v>
      </c>
      <c r="C59" s="59" t="s">
        <v>115</v>
      </c>
      <c r="D59" s="59" t="s">
        <v>723</v>
      </c>
      <c r="E59" s="59" t="s">
        <v>86</v>
      </c>
      <c r="F59" s="63"/>
      <c r="G59" s="60"/>
      <c r="H59" s="60"/>
      <c r="I59" s="60"/>
      <c r="J59" s="60"/>
      <c r="K59" s="60"/>
      <c r="L59" s="63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3"/>
      <c r="Y59" s="60"/>
      <c r="Z59" s="60"/>
      <c r="AA59" s="60"/>
      <c r="AB59" s="60"/>
      <c r="AC59" s="60"/>
      <c r="AD59" s="59"/>
      <c r="AE59" s="59"/>
      <c r="AF59" s="59"/>
      <c r="AG59" s="59"/>
      <c r="AH59" s="59"/>
      <c r="AI59" s="161"/>
      <c r="AJ59" s="234"/>
      <c r="AK59" s="234"/>
      <c r="AL59" s="234"/>
      <c r="AM59" s="234"/>
    </row>
    <row r="60" spans="1:49">
      <c r="A60" s="256" t="s">
        <v>709</v>
      </c>
      <c r="B60" s="172" t="s">
        <v>83</v>
      </c>
      <c r="C60" s="172" t="s">
        <v>115</v>
      </c>
      <c r="D60" s="172" t="s">
        <v>723</v>
      </c>
      <c r="E60" s="172" t="s">
        <v>83</v>
      </c>
      <c r="F60" s="173">
        <f>F61+F62+F63</f>
        <v>1.6524259000000003</v>
      </c>
      <c r="G60" s="174">
        <f t="shared" ref="G60:AI60" si="111">G61+G62+G63</f>
        <v>1.2041884</v>
      </c>
      <c r="H60" s="174">
        <f t="shared" si="111"/>
        <v>1.8681153999999995</v>
      </c>
      <c r="I60" s="174">
        <f t="shared" si="111"/>
        <v>3.4647429000000018</v>
      </c>
      <c r="J60" s="174">
        <f t="shared" si="111"/>
        <v>2.1147023999999996</v>
      </c>
      <c r="K60" s="174">
        <f t="shared" si="111"/>
        <v>2.2917522199999993</v>
      </c>
      <c r="L60" s="173">
        <f t="shared" si="111"/>
        <v>1.4232427679999999</v>
      </c>
      <c r="M60" s="174">
        <f t="shared" si="111"/>
        <v>4.1046959760000004</v>
      </c>
      <c r="N60" s="174">
        <f t="shared" si="111"/>
        <v>2.4530958719999996</v>
      </c>
      <c r="O60" s="174">
        <f t="shared" si="111"/>
        <v>1.4477617679999999</v>
      </c>
      <c r="P60" s="174">
        <f t="shared" si="111"/>
        <v>3.0839798799999998</v>
      </c>
      <c r="Q60" s="174">
        <f t="shared" si="111"/>
        <v>1.9160822640000001</v>
      </c>
      <c r="R60" s="174">
        <f t="shared" si="111"/>
        <v>2.9427693760000002</v>
      </c>
      <c r="S60" s="174">
        <f t="shared" si="111"/>
        <v>1.1213415760000001</v>
      </c>
      <c r="T60" s="174">
        <f t="shared" si="111"/>
        <v>1.0979913559999999</v>
      </c>
      <c r="U60" s="174">
        <f t="shared" si="111"/>
        <v>2.2170103439999997</v>
      </c>
      <c r="V60" s="174">
        <f t="shared" si="111"/>
        <v>1.9134894000000005</v>
      </c>
      <c r="W60" s="174">
        <f t="shared" si="111"/>
        <v>2.0735516480000005</v>
      </c>
      <c r="X60" s="173">
        <f t="shared" si="111"/>
        <v>2.9500668479999996</v>
      </c>
      <c r="Y60" s="174">
        <f t="shared" si="111"/>
        <v>2.8853914760000001</v>
      </c>
      <c r="Z60" s="174">
        <f t="shared" si="111"/>
        <v>0.97339604000000013</v>
      </c>
      <c r="AA60" s="174">
        <f t="shared" si="111"/>
        <v>6.3301276679999976</v>
      </c>
      <c r="AB60" s="174">
        <f t="shared" si="111"/>
        <v>3.1824252040000007</v>
      </c>
      <c r="AC60" s="174">
        <f t="shared" si="111"/>
        <v>1.6390207175</v>
      </c>
      <c r="AD60" s="174">
        <f t="shared" si="111"/>
        <v>1.2617162365000001</v>
      </c>
      <c r="AE60" s="174">
        <f t="shared" si="111"/>
        <v>2.85</v>
      </c>
      <c r="AF60" s="174">
        <f t="shared" si="111"/>
        <v>1.33</v>
      </c>
      <c r="AG60" s="174">
        <f t="shared" si="111"/>
        <v>1.08</v>
      </c>
      <c r="AH60" s="174">
        <f t="shared" si="111"/>
        <v>3.55</v>
      </c>
      <c r="AI60" s="175">
        <f t="shared" si="111"/>
        <v>3.5380000000000003</v>
      </c>
      <c r="AJ60" s="234"/>
      <c r="AK60" s="265">
        <v>2</v>
      </c>
      <c r="AL60" s="265">
        <f t="shared" ref="AL60:AL63" si="112">AG60-AK60</f>
        <v>-0.91999999999999993</v>
      </c>
      <c r="AM60" s="234"/>
      <c r="AN60" s="88">
        <f t="shared" ref="AN60:AN63" si="113">IFERROR(AG60/U60*100,"NA")</f>
        <v>48.714251736481756</v>
      </c>
      <c r="AO60" s="89">
        <f t="shared" ref="AO60:AO63" si="114">IFERROR(SUM(X60:AG60)/SUM(L60:U60)*100,"NA")</f>
        <v>112.26236493036306</v>
      </c>
      <c r="AP60" s="89">
        <f t="shared" ref="AP60:AP63" si="115">IFERROR(SUM(AD60:AG60)/SUM(R60:U60)*100,"NA")</f>
        <v>88.380765331348954</v>
      </c>
      <c r="AQ60" s="89">
        <f t="shared" ref="AQ60:AQ63" si="116">IFERROR(SUM(X60:Z60)/SUM(L60:N60)*100,"NA")</f>
        <v>85.312928606398103</v>
      </c>
      <c r="AR60" s="89">
        <f t="shared" ref="AR60:AR63" si="117">IFERROR(SUM(AA60:AC60)/SUM(O60:Q60)*100,"NA")</f>
        <v>172.95096363822657</v>
      </c>
      <c r="AS60" s="89">
        <f t="shared" ref="AS60:AS63" si="118">IFERROR(SUM(AD60:AF60)/SUM(R60:T60)*100,"NA")</f>
        <v>105.41666770274327</v>
      </c>
      <c r="AT60" s="89">
        <f t="shared" ref="AT60:AT63" si="119">IFERROR(SUM(AG60:AI60)/SUM(U60:W60)*100,"NA")</f>
        <v>131.65590489035071</v>
      </c>
      <c r="AU60" s="89">
        <f t="shared" ref="AU60:AU63" si="120">IFERROR(SUM(X60:AC60)/SUM(L60:Q60)*100,"NA")</f>
        <v>124.47573672336445</v>
      </c>
      <c r="AV60" s="89">
        <f t="shared" ref="AV60:AV63" si="121">IFERROR(SUM(AD60:AI60)/SUM(R60:W60)*100,"NA")</f>
        <v>119.73897763233661</v>
      </c>
      <c r="AW60" s="90">
        <f t="shared" ref="AW60:AW63" si="122">IFERROR(SUM(X60:AI60)/SUM(L60:W60)*100,"NA")</f>
        <v>122.38856066806282</v>
      </c>
    </row>
    <row r="61" spans="1:49">
      <c r="A61" s="291" t="s">
        <v>709</v>
      </c>
      <c r="B61" s="162" t="s">
        <v>83</v>
      </c>
      <c r="C61" s="46" t="s">
        <v>115</v>
      </c>
      <c r="D61" s="46" t="s">
        <v>723</v>
      </c>
      <c r="E61" s="46" t="s">
        <v>724</v>
      </c>
      <c r="F61" s="62">
        <v>1.1038454000000002</v>
      </c>
      <c r="G61" s="56">
        <v>0.6562038</v>
      </c>
      <c r="H61" s="56">
        <v>1.1955481999999997</v>
      </c>
      <c r="I61" s="56">
        <v>3.1532978000000016</v>
      </c>
      <c r="J61" s="56">
        <v>1.7231917999999995</v>
      </c>
      <c r="K61" s="56">
        <v>1.9013755199999995</v>
      </c>
      <c r="L61" s="62">
        <v>0.94576956799999989</v>
      </c>
      <c r="M61" s="56">
        <v>3.714633976</v>
      </c>
      <c r="N61" s="56">
        <v>1.8266612719999995</v>
      </c>
      <c r="O61" s="56">
        <v>1.1116325679999999</v>
      </c>
      <c r="P61" s="56">
        <v>2.8262378799999999</v>
      </c>
      <c r="Q61" s="56">
        <v>1.6331654640000002</v>
      </c>
      <c r="R61" s="56">
        <v>2.515996576</v>
      </c>
      <c r="S61" s="56">
        <v>0.85760557600000009</v>
      </c>
      <c r="T61" s="56">
        <v>0.77751645599999997</v>
      </c>
      <c r="U61" s="56">
        <v>1.9245031439999996</v>
      </c>
      <c r="V61" s="56">
        <v>1.6694268000000005</v>
      </c>
      <c r="W61" s="56">
        <v>1.4070188480000005</v>
      </c>
      <c r="X61" s="62">
        <v>1.255374048</v>
      </c>
      <c r="Y61" s="56">
        <v>1.5599887760000004</v>
      </c>
      <c r="Z61" s="56">
        <v>0.43210324000000028</v>
      </c>
      <c r="AA61" s="56">
        <v>5.6589085679999975</v>
      </c>
      <c r="AB61" s="56">
        <v>2.0474649040000004</v>
      </c>
      <c r="AC61" s="56">
        <v>1.0462096175000002</v>
      </c>
      <c r="AD61" s="56">
        <v>0.76941083650000008</v>
      </c>
      <c r="AE61" s="56">
        <v>2.04</v>
      </c>
      <c r="AF61" s="56">
        <v>0.73</v>
      </c>
      <c r="AG61" s="56">
        <v>1.05</v>
      </c>
      <c r="AH61" s="56">
        <f t="shared" ref="AH61:AI61" si="123">AH49+AH65+AH69</f>
        <v>1.3</v>
      </c>
      <c r="AI61" s="58">
        <f t="shared" si="123"/>
        <v>2.5380000000000003</v>
      </c>
      <c r="AJ61" s="234"/>
      <c r="AK61" s="267">
        <v>1.3</v>
      </c>
      <c r="AL61" s="296">
        <f t="shared" si="112"/>
        <v>-0.25</v>
      </c>
      <c r="AM61" s="234"/>
      <c r="AN61" s="116">
        <f t="shared" si="113"/>
        <v>54.559536744513636</v>
      </c>
      <c r="AO61" s="117">
        <f t="shared" si="114"/>
        <v>91.484029317735548</v>
      </c>
      <c r="AP61" s="117">
        <f t="shared" si="115"/>
        <v>75.538126365243812</v>
      </c>
      <c r="AQ61" s="117">
        <f t="shared" si="116"/>
        <v>50.060638456861085</v>
      </c>
      <c r="AR61" s="117">
        <f t="shared" si="117"/>
        <v>157.10871779962773</v>
      </c>
      <c r="AS61" s="117">
        <f t="shared" si="118"/>
        <v>85.264025693673943</v>
      </c>
      <c r="AT61" s="117">
        <f t="shared" si="119"/>
        <v>97.741452738314678</v>
      </c>
      <c r="AU61" s="117">
        <f t="shared" si="120"/>
        <v>99.518567842403243</v>
      </c>
      <c r="AV61" s="117">
        <f t="shared" si="121"/>
        <v>92.082045161730335</v>
      </c>
      <c r="AW61" s="118">
        <f t="shared" si="122"/>
        <v>96.309750430659122</v>
      </c>
    </row>
    <row r="62" spans="1:49">
      <c r="A62" s="257" t="s">
        <v>709</v>
      </c>
      <c r="B62" s="46" t="s">
        <v>83</v>
      </c>
      <c r="C62" s="46" t="s">
        <v>115</v>
      </c>
      <c r="D62" s="46" t="s">
        <v>723</v>
      </c>
      <c r="E62" s="46" t="s">
        <v>725</v>
      </c>
      <c r="F62" s="62"/>
      <c r="G62" s="56"/>
      <c r="H62" s="56"/>
      <c r="I62" s="56"/>
      <c r="J62" s="56"/>
      <c r="K62" s="56"/>
      <c r="L62" s="62"/>
      <c r="M62" s="56"/>
      <c r="N62" s="56"/>
      <c r="O62" s="56"/>
      <c r="P62" s="56"/>
      <c r="Q62" s="56"/>
      <c r="R62" s="56"/>
      <c r="S62" s="56"/>
      <c r="T62" s="56"/>
      <c r="U62" s="56"/>
      <c r="V62" s="56">
        <v>0</v>
      </c>
      <c r="W62" s="56">
        <v>0</v>
      </c>
      <c r="X62" s="62">
        <v>1.5556319999999999</v>
      </c>
      <c r="Y62" s="56">
        <v>1.2881330999999998</v>
      </c>
      <c r="Z62" s="56">
        <v>0.26326079999999996</v>
      </c>
      <c r="AA62" s="56">
        <v>0.25403669999999995</v>
      </c>
      <c r="AB62" s="56">
        <v>1.0258695</v>
      </c>
      <c r="AC62" s="56">
        <v>0.1912131</v>
      </c>
      <c r="AD62" s="56">
        <v>0.25254539999999998</v>
      </c>
      <c r="AE62" s="56">
        <v>0.5</v>
      </c>
      <c r="AF62" s="56">
        <v>0.28999999999999998</v>
      </c>
      <c r="AG62" s="56">
        <v>0.13</v>
      </c>
      <c r="AH62" s="56">
        <f t="shared" ref="AH62:AI62" si="124">AH50+AH66+AH70</f>
        <v>1.95</v>
      </c>
      <c r="AI62" s="58">
        <f t="shared" si="124"/>
        <v>0.70000000000000007</v>
      </c>
      <c r="AJ62" s="234"/>
      <c r="AK62" s="267">
        <v>0.4</v>
      </c>
      <c r="AL62" s="296">
        <f t="shared" si="112"/>
        <v>-0.27</v>
      </c>
      <c r="AM62" s="234"/>
      <c r="AN62" s="51" t="str">
        <f t="shared" si="113"/>
        <v>NA</v>
      </c>
      <c r="AO62" s="52" t="str">
        <f t="shared" si="114"/>
        <v>NA</v>
      </c>
      <c r="AP62" s="52" t="str">
        <f t="shared" si="115"/>
        <v>NA</v>
      </c>
      <c r="AQ62" s="52" t="str">
        <f t="shared" si="116"/>
        <v>NA</v>
      </c>
      <c r="AR62" s="52" t="str">
        <f t="shared" si="117"/>
        <v>NA</v>
      </c>
      <c r="AS62" s="52" t="str">
        <f t="shared" si="118"/>
        <v>NA</v>
      </c>
      <c r="AT62" s="52" t="str">
        <f t="shared" si="119"/>
        <v>NA</v>
      </c>
      <c r="AU62" s="52" t="str">
        <f t="shared" si="120"/>
        <v>NA</v>
      </c>
      <c r="AV62" s="52" t="str">
        <f t="shared" si="121"/>
        <v>NA</v>
      </c>
      <c r="AW62" s="53" t="str">
        <f t="shared" si="122"/>
        <v>NA</v>
      </c>
    </row>
    <row r="63" spans="1:49">
      <c r="A63" s="258" t="s">
        <v>709</v>
      </c>
      <c r="B63" s="59" t="s">
        <v>83</v>
      </c>
      <c r="C63" s="59" t="s">
        <v>115</v>
      </c>
      <c r="D63" s="59" t="s">
        <v>723</v>
      </c>
      <c r="E63" s="59" t="s">
        <v>86</v>
      </c>
      <c r="F63" s="63">
        <v>0.54858050000000003</v>
      </c>
      <c r="G63" s="60">
        <v>0.54798460000000004</v>
      </c>
      <c r="H63" s="60">
        <v>0.67256719999999981</v>
      </c>
      <c r="I63" s="60">
        <v>0.31144510000000003</v>
      </c>
      <c r="J63" s="60">
        <v>0.39151059999999999</v>
      </c>
      <c r="K63" s="60">
        <v>0.39037669999999991</v>
      </c>
      <c r="L63" s="63">
        <v>0.47747319999999999</v>
      </c>
      <c r="M63" s="60">
        <v>0.39006199999999991</v>
      </c>
      <c r="N63" s="60">
        <v>0.62643459999999995</v>
      </c>
      <c r="O63" s="60">
        <v>0.33612920000000002</v>
      </c>
      <c r="P63" s="60">
        <v>0.25774199999999992</v>
      </c>
      <c r="Q63" s="60">
        <v>0.28291679999999997</v>
      </c>
      <c r="R63" s="60">
        <v>0.42677280000000012</v>
      </c>
      <c r="S63" s="60">
        <v>0.26373600000000003</v>
      </c>
      <c r="T63" s="60">
        <v>0.32047489999999995</v>
      </c>
      <c r="U63" s="60">
        <v>0.29250720000000002</v>
      </c>
      <c r="V63" s="60">
        <v>0.24406259999999994</v>
      </c>
      <c r="W63" s="60">
        <v>0.66653280000000004</v>
      </c>
      <c r="X63" s="63">
        <v>0.13906079999999998</v>
      </c>
      <c r="Y63" s="60">
        <v>3.7269599999999875E-2</v>
      </c>
      <c r="Z63" s="60">
        <v>0.27803199999999983</v>
      </c>
      <c r="AA63" s="60">
        <v>0.41718239999999995</v>
      </c>
      <c r="AB63" s="60">
        <v>0.1090908</v>
      </c>
      <c r="AC63" s="60">
        <v>0.4015979999999999</v>
      </c>
      <c r="AD63" s="60">
        <v>0.23975999999999995</v>
      </c>
      <c r="AE63" s="60">
        <v>0.31</v>
      </c>
      <c r="AF63" s="60">
        <v>0.31</v>
      </c>
      <c r="AG63" s="60">
        <v>-0.1</v>
      </c>
      <c r="AH63" s="60">
        <f t="shared" ref="AH63:AI63" si="125">AH51+AH67+AH71</f>
        <v>0.3</v>
      </c>
      <c r="AI63" s="160">
        <f t="shared" si="125"/>
        <v>0.3</v>
      </c>
      <c r="AJ63" s="234"/>
      <c r="AK63" s="268">
        <v>0.3</v>
      </c>
      <c r="AL63" s="297">
        <f t="shared" si="112"/>
        <v>-0.4</v>
      </c>
      <c r="AM63" s="234"/>
      <c r="AN63" s="88">
        <f t="shared" si="113"/>
        <v>-34.187192657138013</v>
      </c>
      <c r="AO63" s="89">
        <f t="shared" si="114"/>
        <v>58.297458198733246</v>
      </c>
      <c r="AP63" s="89">
        <f t="shared" si="115"/>
        <v>58.286559576288553</v>
      </c>
      <c r="AQ63" s="89">
        <f t="shared" si="116"/>
        <v>30.413091348968351</v>
      </c>
      <c r="AR63" s="89">
        <f t="shared" si="117"/>
        <v>105.8261746283024</v>
      </c>
      <c r="AS63" s="89">
        <f t="shared" si="118"/>
        <v>85.041925008286455</v>
      </c>
      <c r="AT63" s="89">
        <f t="shared" si="119"/>
        <v>41.559215315468521</v>
      </c>
      <c r="AU63" s="89">
        <f t="shared" si="120"/>
        <v>58.303450483216793</v>
      </c>
      <c r="AV63" s="89">
        <f t="shared" si="121"/>
        <v>61.414046959235499</v>
      </c>
      <c r="AW63" s="90">
        <f t="shared" si="122"/>
        <v>59.805601677928365</v>
      </c>
    </row>
    <row r="64" spans="1:49" outlineLevel="1">
      <c r="A64" s="256" t="s">
        <v>709</v>
      </c>
      <c r="B64" s="166" t="s">
        <v>711</v>
      </c>
      <c r="C64" s="166" t="s">
        <v>115</v>
      </c>
      <c r="D64" s="166" t="s">
        <v>723</v>
      </c>
      <c r="E64" s="166" t="s">
        <v>83</v>
      </c>
      <c r="F64" s="167"/>
      <c r="G64" s="168"/>
      <c r="H64" s="168"/>
      <c r="I64" s="168"/>
      <c r="J64" s="168"/>
      <c r="K64" s="168"/>
      <c r="L64" s="167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7"/>
      <c r="Y64" s="168"/>
      <c r="Z64" s="168"/>
      <c r="AA64" s="168"/>
      <c r="AB64" s="168"/>
      <c r="AC64" s="168"/>
      <c r="AD64" s="168">
        <f>AD65+AD66+AD67</f>
        <v>0.148064</v>
      </c>
      <c r="AE64" s="168">
        <f t="shared" ref="AE64" si="126">AE65+AE66+AE67</f>
        <v>0</v>
      </c>
      <c r="AF64" s="168">
        <f t="shared" ref="AF64" si="127">AF65+AF66+AF67</f>
        <v>-0.2</v>
      </c>
      <c r="AG64" s="168">
        <f t="shared" ref="AG64" si="128">AG65+AG66+AG67</f>
        <v>0</v>
      </c>
      <c r="AH64" s="168">
        <f t="shared" ref="AH64" si="129">AH65+AH66+AH67</f>
        <v>0</v>
      </c>
      <c r="AI64" s="171">
        <f t="shared" ref="AI64" si="130">AI65+AI66+AI67</f>
        <v>0</v>
      </c>
      <c r="AJ64" s="234"/>
      <c r="AK64" s="234"/>
      <c r="AL64" s="234"/>
      <c r="AM64" s="234"/>
    </row>
    <row r="65" spans="1:49" outlineLevel="1">
      <c r="A65" s="291" t="s">
        <v>709</v>
      </c>
      <c r="B65" s="162" t="s">
        <v>711</v>
      </c>
      <c r="C65" s="46" t="s">
        <v>115</v>
      </c>
      <c r="D65" s="46" t="s">
        <v>723</v>
      </c>
      <c r="E65" s="46" t="s">
        <v>724</v>
      </c>
      <c r="F65" s="62"/>
      <c r="G65" s="56"/>
      <c r="H65" s="56"/>
      <c r="I65" s="56"/>
      <c r="J65" s="56"/>
      <c r="K65" s="56"/>
      <c r="L65" s="62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62"/>
      <c r="Y65" s="56"/>
      <c r="Z65" s="56"/>
      <c r="AA65" s="56"/>
      <c r="AB65" s="56"/>
      <c r="AC65" s="56"/>
      <c r="AD65" s="56">
        <f>560*4*66.1/1000000+N("P2 3DW pipeline")</f>
        <v>0.148064</v>
      </c>
      <c r="AF65" s="56">
        <f>-AF57</f>
        <v>-0.2</v>
      </c>
      <c r="AG65" s="56"/>
      <c r="AH65" s="56"/>
      <c r="AI65" s="58"/>
      <c r="AJ65" s="234"/>
      <c r="AK65" s="234"/>
      <c r="AL65" s="234"/>
      <c r="AM65" s="234"/>
    </row>
    <row r="66" spans="1:49" outlineLevel="1">
      <c r="A66" s="257" t="s">
        <v>709</v>
      </c>
      <c r="B66" s="46" t="s">
        <v>711</v>
      </c>
      <c r="C66" s="46" t="s">
        <v>115</v>
      </c>
      <c r="D66" s="46" t="s">
        <v>723</v>
      </c>
      <c r="E66" s="46" t="s">
        <v>725</v>
      </c>
      <c r="F66" s="62"/>
      <c r="G66" s="56"/>
      <c r="H66" s="56"/>
      <c r="I66" s="56"/>
      <c r="J66" s="56"/>
      <c r="K66" s="56"/>
      <c r="L66" s="62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62"/>
      <c r="Y66" s="56"/>
      <c r="Z66" s="56"/>
      <c r="AA66" s="56"/>
      <c r="AB66" s="56"/>
      <c r="AC66" s="56"/>
      <c r="AH66" s="56"/>
      <c r="AI66" s="58"/>
      <c r="AJ66" s="234"/>
      <c r="AK66" s="234"/>
      <c r="AL66" s="234"/>
      <c r="AM66" s="234"/>
    </row>
    <row r="67" spans="1:49" outlineLevel="1">
      <c r="A67" s="258" t="s">
        <v>709</v>
      </c>
      <c r="B67" s="59" t="s">
        <v>711</v>
      </c>
      <c r="C67" s="59" t="s">
        <v>115</v>
      </c>
      <c r="D67" s="59" t="s">
        <v>723</v>
      </c>
      <c r="E67" s="59" t="s">
        <v>86</v>
      </c>
      <c r="F67" s="63"/>
      <c r="G67" s="60"/>
      <c r="H67" s="60"/>
      <c r="I67" s="60"/>
      <c r="J67" s="60"/>
      <c r="K67" s="60"/>
      <c r="L67" s="63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3"/>
      <c r="Y67" s="60"/>
      <c r="Z67" s="60"/>
      <c r="AA67" s="60"/>
      <c r="AB67" s="60"/>
      <c r="AC67" s="60"/>
      <c r="AD67" s="59"/>
      <c r="AE67" s="59"/>
      <c r="AF67" s="59"/>
      <c r="AG67" s="59"/>
      <c r="AH67" s="59"/>
      <c r="AI67" s="161"/>
      <c r="AJ67" s="234"/>
      <c r="AK67" s="234"/>
      <c r="AL67" s="234"/>
      <c r="AM67" s="234"/>
    </row>
    <row r="68" spans="1:49" outlineLevel="1">
      <c r="A68" s="256" t="s">
        <v>709</v>
      </c>
      <c r="B68" s="166" t="s">
        <v>713</v>
      </c>
      <c r="C68" s="166" t="s">
        <v>115</v>
      </c>
      <c r="D68" s="166" t="s">
        <v>723</v>
      </c>
      <c r="E68" s="166" t="s">
        <v>83</v>
      </c>
      <c r="F68" s="167"/>
      <c r="G68" s="168"/>
      <c r="H68" s="168"/>
      <c r="I68" s="168"/>
      <c r="J68" s="168"/>
      <c r="K68" s="168"/>
      <c r="L68" s="167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7"/>
      <c r="Y68" s="168"/>
      <c r="Z68" s="168"/>
      <c r="AA68" s="168"/>
      <c r="AB68" s="168"/>
      <c r="AC68" s="168"/>
      <c r="AD68" s="168">
        <f>AD69+AD70+AD71</f>
        <v>0</v>
      </c>
      <c r="AE68" s="168">
        <f t="shared" ref="AE68" si="131">AE69+AE70+AE71</f>
        <v>0</v>
      </c>
      <c r="AF68" s="168">
        <f t="shared" ref="AF68" si="132">AF69+AF70+AF71</f>
        <v>0</v>
      </c>
      <c r="AG68" s="168">
        <f t="shared" ref="AG68" si="133">AG69+AG70+AG71</f>
        <v>0</v>
      </c>
      <c r="AH68" s="168">
        <f t="shared" ref="AH68" si="134">AH69+AH70+AH71</f>
        <v>1.4</v>
      </c>
      <c r="AI68" s="171">
        <f t="shared" ref="AI68" si="135">AI69+AI70+AI71</f>
        <v>0.72</v>
      </c>
      <c r="AJ68" s="234"/>
      <c r="AK68" s="234"/>
      <c r="AL68" s="234"/>
      <c r="AM68" s="234"/>
    </row>
    <row r="69" spans="1:49" outlineLevel="1">
      <c r="A69" s="291" t="s">
        <v>709</v>
      </c>
      <c r="B69" s="162" t="s">
        <v>713</v>
      </c>
      <c r="C69" s="46" t="s">
        <v>115</v>
      </c>
      <c r="D69" s="46" t="s">
        <v>723</v>
      </c>
      <c r="E69" s="46" t="s">
        <v>724</v>
      </c>
      <c r="F69" s="62"/>
      <c r="G69" s="56"/>
      <c r="H69" s="56"/>
      <c r="I69" s="56"/>
      <c r="J69" s="56"/>
      <c r="K69" s="56"/>
      <c r="L69" s="62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62"/>
      <c r="Y69" s="56"/>
      <c r="Z69" s="56"/>
      <c r="AA69" s="56"/>
      <c r="AB69" s="56"/>
      <c r="AC69" s="56"/>
      <c r="AI69" s="159">
        <v>0.62</v>
      </c>
      <c r="AJ69" s="234"/>
      <c r="AK69" s="234"/>
      <c r="AL69" s="234"/>
      <c r="AM69" s="234"/>
    </row>
    <row r="70" spans="1:49" outlineLevel="1">
      <c r="A70" s="257" t="s">
        <v>709</v>
      </c>
      <c r="B70" s="46" t="s">
        <v>713</v>
      </c>
      <c r="C70" s="46" t="s">
        <v>115</v>
      </c>
      <c r="D70" s="46" t="s">
        <v>723</v>
      </c>
      <c r="E70" s="46" t="s">
        <v>725</v>
      </c>
      <c r="F70" s="62"/>
      <c r="G70" s="56"/>
      <c r="H70" s="56"/>
      <c r="I70" s="56"/>
      <c r="J70" s="56"/>
      <c r="K70" s="56"/>
      <c r="L70" s="62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62"/>
      <c r="Y70" s="56"/>
      <c r="Z70" s="56"/>
      <c r="AA70" s="56"/>
      <c r="AB70" s="56"/>
      <c r="AC70" s="56"/>
      <c r="AH70" s="46">
        <v>1.4</v>
      </c>
      <c r="AI70" s="159">
        <v>0.1</v>
      </c>
      <c r="AJ70" s="234"/>
      <c r="AK70" s="234"/>
      <c r="AL70" s="234"/>
      <c r="AM70" s="234"/>
    </row>
    <row r="71" spans="1:49" outlineLevel="1">
      <c r="A71" s="258" t="s">
        <v>709</v>
      </c>
      <c r="B71" s="59" t="s">
        <v>713</v>
      </c>
      <c r="C71" s="59" t="s">
        <v>115</v>
      </c>
      <c r="D71" s="59" t="s">
        <v>723</v>
      </c>
      <c r="E71" s="59" t="s">
        <v>86</v>
      </c>
      <c r="F71" s="63"/>
      <c r="G71" s="60"/>
      <c r="H71" s="60"/>
      <c r="I71" s="60"/>
      <c r="J71" s="60"/>
      <c r="K71" s="60"/>
      <c r="L71" s="63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3"/>
      <c r="Y71" s="60"/>
      <c r="Z71" s="60"/>
      <c r="AA71" s="60"/>
      <c r="AB71" s="60"/>
      <c r="AC71" s="60"/>
      <c r="AD71" s="59"/>
      <c r="AE71" s="59"/>
      <c r="AF71" s="59"/>
      <c r="AG71" s="59"/>
      <c r="AH71" s="59"/>
      <c r="AI71" s="161"/>
      <c r="AJ71" s="234"/>
      <c r="AK71" s="234"/>
      <c r="AL71" s="234"/>
      <c r="AM71" s="234"/>
    </row>
    <row r="72" spans="1:49">
      <c r="A72" s="292" t="s">
        <v>745</v>
      </c>
      <c r="B72" s="172" t="s">
        <v>83</v>
      </c>
      <c r="C72" s="172" t="s">
        <v>115</v>
      </c>
      <c r="D72" s="172" t="s">
        <v>720</v>
      </c>
      <c r="E72" s="172" t="s">
        <v>103</v>
      </c>
      <c r="F72" s="173">
        <v>1.9293887999999999</v>
      </c>
      <c r="G72" s="174">
        <v>2.7239931999999998</v>
      </c>
      <c r="H72" s="174">
        <v>3.0379011999999994</v>
      </c>
      <c r="I72" s="174">
        <v>3.3913737999999998</v>
      </c>
      <c r="J72" s="174">
        <v>3.1461999999999994</v>
      </c>
      <c r="K72" s="174">
        <v>0.22412799999999999</v>
      </c>
      <c r="L72" s="173">
        <v>1.5435395999999999</v>
      </c>
      <c r="M72" s="174">
        <v>2.8278216</v>
      </c>
      <c r="N72" s="174">
        <v>2.4626352000000002</v>
      </c>
      <c r="O72" s="174">
        <v>1.7032155999999998</v>
      </c>
      <c r="P72" s="174">
        <v>0.4117016</v>
      </c>
      <c r="Q72" s="174">
        <v>1.4873992</v>
      </c>
      <c r="R72" s="174">
        <v>0.53896320000000009</v>
      </c>
      <c r="S72" s="174">
        <v>1.1171312</v>
      </c>
      <c r="T72" s="174">
        <v>1.2557563999999999</v>
      </c>
      <c r="U72" s="174">
        <v>1.6290692</v>
      </c>
      <c r="V72" s="174">
        <v>2.9458607999999997</v>
      </c>
      <c r="W72" s="174">
        <v>0.27941759999999999</v>
      </c>
      <c r="X72" s="173">
        <v>1.6815751999999999</v>
      </c>
      <c r="Y72" s="174">
        <v>1.4102043999999998</v>
      </c>
      <c r="Z72" s="174">
        <v>1.7086835999999999</v>
      </c>
      <c r="AA72" s="174">
        <v>1.3608856</v>
      </c>
      <c r="AB72" s="174">
        <v>0.96140159999999997</v>
      </c>
      <c r="AC72" s="174">
        <v>0.58908359999999993</v>
      </c>
      <c r="AD72" s="174">
        <v>0.83575200000000005</v>
      </c>
      <c r="AE72" s="174">
        <v>1.6685443999999998</v>
      </c>
      <c r="AF72" s="174">
        <v>1.6607616000000001</v>
      </c>
      <c r="AG72" s="174">
        <v>1.7782095999999998</v>
      </c>
      <c r="AH72" s="174">
        <f t="shared" ref="AH72:AI72" si="136">AH18+AH73</f>
        <v>1.1400000000000001</v>
      </c>
      <c r="AI72" s="175">
        <f t="shared" si="136"/>
        <v>1.34</v>
      </c>
      <c r="AJ72" s="234"/>
      <c r="AK72" s="265">
        <v>1.1400000000000001</v>
      </c>
      <c r="AL72" s="265">
        <f>AG72-AK72</f>
        <v>0.63820959999999971</v>
      </c>
      <c r="AM72" s="234"/>
      <c r="AN72" s="88">
        <f t="shared" ref="AN72" si="137">IFERROR(AG72/U72*100,"NA")</f>
        <v>109.15494565853922</v>
      </c>
      <c r="AO72" s="89">
        <f t="shared" ref="AO72" si="138">IFERROR(SUM(X72:AG72)/SUM(L72:U72)*100,"NA")</f>
        <v>91.172393340911412</v>
      </c>
      <c r="AP72" s="89">
        <f t="shared" ref="AP72" si="139">IFERROR(SUM(AD72:AG72)/SUM(R72:U72)*100,"NA")</f>
        <v>130.88245553764438</v>
      </c>
      <c r="AQ72" s="89">
        <f t="shared" ref="AQ72" si="140">IFERROR(SUM(X72:Z72)/SUM(L72:N72)*100,"NA")</f>
        <v>70.243864922141299</v>
      </c>
      <c r="AR72" s="89">
        <f t="shared" ref="AR72" si="141">IFERROR(SUM(AA72:AC72)/SUM(O72:Q72)*100,"NA")</f>
        <v>80.819408311829577</v>
      </c>
      <c r="AS72" s="89">
        <f t="shared" ref="AS72" si="142">IFERROR(SUM(AD72:AF72)/SUM(R72:T72)*100,"NA")</f>
        <v>143.03816665331891</v>
      </c>
      <c r="AT72" s="89">
        <f t="shared" ref="AT72" si="143">IFERROR(SUM(AG72:AI72)/SUM(U72:W72)*100,"NA")</f>
        <v>87.719503234585005</v>
      </c>
      <c r="AU72" s="89">
        <f t="shared" ref="AU72" si="144">IFERROR(SUM(X72:AC72)/SUM(L72:Q72)*100,"NA")</f>
        <v>73.894239735704346</v>
      </c>
      <c r="AV72" s="89">
        <f t="shared" ref="AV72" si="145">IFERROR(SUM(AD72:AI72)/SUM(R72:W72)*100,"NA")</f>
        <v>108.46062856184567</v>
      </c>
      <c r="AW72" s="90">
        <f t="shared" ref="AW72" si="146">IFERROR(SUM(X72:AI72)/SUM(L72:W72)*100,"NA")</f>
        <v>88.642173723810174</v>
      </c>
    </row>
    <row r="73" spans="1:49" outlineLevel="1">
      <c r="A73" s="293" t="s">
        <v>745</v>
      </c>
      <c r="B73" s="46" t="s">
        <v>713</v>
      </c>
      <c r="C73" s="46" t="s">
        <v>115</v>
      </c>
      <c r="D73" s="46" t="s">
        <v>720</v>
      </c>
      <c r="E73" s="46" t="s">
        <v>83</v>
      </c>
      <c r="F73" s="62"/>
      <c r="G73" s="56"/>
      <c r="H73" s="56"/>
      <c r="I73" s="56"/>
      <c r="J73" s="56"/>
      <c r="K73" s="56"/>
      <c r="L73" s="62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62"/>
      <c r="Y73" s="56"/>
      <c r="Z73" s="56"/>
      <c r="AA73" s="56"/>
      <c r="AB73" s="56"/>
      <c r="AC73" s="56"/>
      <c r="AI73" s="159"/>
      <c r="AJ73" s="234"/>
      <c r="AK73" s="248"/>
      <c r="AL73" s="234"/>
      <c r="AM73" s="234"/>
    </row>
    <row r="74" spans="1:49">
      <c r="A74" s="292" t="s">
        <v>745</v>
      </c>
      <c r="B74" s="172" t="s">
        <v>83</v>
      </c>
      <c r="C74" s="172" t="s">
        <v>115</v>
      </c>
      <c r="D74" s="172" t="s">
        <v>721</v>
      </c>
      <c r="E74" s="172" t="s">
        <v>103</v>
      </c>
      <c r="F74" s="173">
        <v>0.76361800000000002</v>
      </c>
      <c r="G74" s="174">
        <v>2.9832974399999999</v>
      </c>
      <c r="H74" s="174">
        <v>1.4445840000000001</v>
      </c>
      <c r="I74" s="174">
        <v>1.1569912200000001</v>
      </c>
      <c r="J74" s="174">
        <v>3.9189327599999997</v>
      </c>
      <c r="K74" s="174">
        <v>1.16555751</v>
      </c>
      <c r="L74" s="173">
        <v>3.4842470400000001</v>
      </c>
      <c r="M74" s="174">
        <v>1.6835058000000001</v>
      </c>
      <c r="N74" s="174">
        <v>2.26077138</v>
      </c>
      <c r="O74" s="174">
        <v>6.96021</v>
      </c>
      <c r="P74" s="174">
        <v>2.2766653200000002</v>
      </c>
      <c r="Q74" s="174">
        <v>1.7021146800000002</v>
      </c>
      <c r="R74" s="174">
        <v>2.61892098</v>
      </c>
      <c r="S74" s="174">
        <v>3.2548168799999999</v>
      </c>
      <c r="T74" s="174">
        <v>1.35188292</v>
      </c>
      <c r="U74" s="174">
        <v>1.2646088400000002</v>
      </c>
      <c r="V74" s="174">
        <v>2.6235017999999997</v>
      </c>
      <c r="W74" s="174">
        <v>1.2482016</v>
      </c>
      <c r="X74" s="173">
        <v>1.16462226</v>
      </c>
      <c r="Y74" s="174">
        <v>0.69258485999999997</v>
      </c>
      <c r="Z74" s="174">
        <v>2.0903797200000001</v>
      </c>
      <c r="AA74" s="174">
        <v>2.0153313600000002</v>
      </c>
      <c r="AB74" s="174">
        <v>1.7212579000000001</v>
      </c>
      <c r="AC74" s="174">
        <v>2.6813753599999997</v>
      </c>
      <c r="AD74" s="174">
        <v>2.4625406400000003</v>
      </c>
      <c r="AE74" s="174">
        <v>2.0966822399999998</v>
      </c>
      <c r="AF74" s="174">
        <v>1.3342088999999999</v>
      </c>
      <c r="AG74" s="174">
        <v>2.6962796400000002</v>
      </c>
      <c r="AH74" s="174">
        <f t="shared" ref="AH74:AI74" si="147">AH39+AH75</f>
        <v>2.2000000000000002</v>
      </c>
      <c r="AI74" s="175">
        <f t="shared" si="147"/>
        <v>2.2000000000000002</v>
      </c>
      <c r="AJ74" s="234"/>
      <c r="AK74" s="265">
        <v>2.2000000000000002</v>
      </c>
      <c r="AL74" s="265">
        <f>AG74-AK74</f>
        <v>0.49627964000000002</v>
      </c>
      <c r="AM74" s="234"/>
      <c r="AN74" s="88">
        <f t="shared" ref="AN74" si="148">IFERROR(AG74/U74*100,"NA")</f>
        <v>213.21056398751725</v>
      </c>
      <c r="AO74" s="89">
        <f t="shared" ref="AO74" si="149">IFERROR(SUM(X74:AG74)/SUM(L74:U74)*100,"NA")</f>
        <v>70.576527175634865</v>
      </c>
      <c r="AP74" s="89">
        <f t="shared" ref="AP74" si="150">IFERROR(SUM(AD74:AG74)/SUM(R74:U74)*100,"NA")</f>
        <v>101.17172095988612</v>
      </c>
      <c r="AQ74" s="89">
        <f t="shared" ref="AQ74" si="151">IFERROR(SUM(X74:Z74)/SUM(L74:N74)*100,"NA")</f>
        <v>53.140929787531874</v>
      </c>
      <c r="AR74" s="89">
        <f t="shared" ref="AR74" si="152">IFERROR(SUM(AA74:AC74)/SUM(O74:Q74)*100,"NA")</f>
        <v>58.670541064577264</v>
      </c>
      <c r="AS74" s="89">
        <f t="shared" ref="AS74" si="153">IFERROR(SUM(AD74:AF74)/SUM(R74:T74)*100,"NA")</f>
        <v>81.562982052872144</v>
      </c>
      <c r="AT74" s="89">
        <f t="shared" ref="AT74" si="154">IFERROR(SUM(AG74:AI74)/SUM(U74:W74)*100,"NA")</f>
        <v>138.1590391786618</v>
      </c>
      <c r="AU74" s="89">
        <f t="shared" ref="AU74" si="155">IFERROR(SUM(X74:AC74)/SUM(L74:Q74)*100,"NA")</f>
        <v>56.43415508405144</v>
      </c>
      <c r="AV74" s="89">
        <f t="shared" ref="AV74" si="156">IFERROR(SUM(AD74:AI74)/SUM(R74:W74)*100,"NA")</f>
        <v>105.07831905402121</v>
      </c>
      <c r="AW74" s="90">
        <f t="shared" ref="AW74" si="157">IFERROR(SUM(X74:AI74)/SUM(L74:W74)*100,"NA")</f>
        <v>76.002873392394918</v>
      </c>
    </row>
    <row r="75" spans="1:49" outlineLevel="1">
      <c r="A75" s="293" t="s">
        <v>745</v>
      </c>
      <c r="B75" s="46" t="s">
        <v>713</v>
      </c>
      <c r="C75" s="46" t="s">
        <v>115</v>
      </c>
      <c r="D75" s="46" t="s">
        <v>721</v>
      </c>
      <c r="E75" s="46" t="s">
        <v>83</v>
      </c>
      <c r="F75" s="62"/>
      <c r="G75" s="56"/>
      <c r="H75" s="56"/>
      <c r="I75" s="56"/>
      <c r="J75" s="56"/>
      <c r="K75" s="56"/>
      <c r="L75" s="62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62"/>
      <c r="Y75" s="56"/>
      <c r="Z75" s="56"/>
      <c r="AA75" s="56"/>
      <c r="AB75" s="56"/>
      <c r="AC75" s="56"/>
      <c r="AI75" s="159"/>
      <c r="AJ75" s="234"/>
      <c r="AK75" s="248"/>
      <c r="AL75" s="234"/>
      <c r="AM75" s="234"/>
    </row>
    <row r="76" spans="1:49">
      <c r="A76" s="292" t="s">
        <v>745</v>
      </c>
      <c r="B76" s="172" t="s">
        <v>83</v>
      </c>
      <c r="C76" s="172" t="s">
        <v>115</v>
      </c>
      <c r="D76" s="172" t="s">
        <v>723</v>
      </c>
      <c r="E76" s="172" t="s">
        <v>103</v>
      </c>
      <c r="F76" s="173">
        <v>1.3219554000000004</v>
      </c>
      <c r="G76" s="174">
        <v>1.3831475999999998</v>
      </c>
      <c r="H76" s="174">
        <v>1.9737880000000001</v>
      </c>
      <c r="I76" s="174">
        <v>5.3354091800000001</v>
      </c>
      <c r="J76" s="174">
        <v>0.89147100000000001</v>
      </c>
      <c r="K76" s="174">
        <v>1.7603419499999995</v>
      </c>
      <c r="L76" s="173">
        <v>3.4301673099999999</v>
      </c>
      <c r="M76" s="174">
        <v>3.62263702</v>
      </c>
      <c r="N76" s="174">
        <v>1.7264928800000001</v>
      </c>
      <c r="O76" s="174">
        <v>2.1116460400000001</v>
      </c>
      <c r="P76" s="174">
        <v>4.7366458399999996</v>
      </c>
      <c r="Q76" s="174">
        <v>2.0770929000000002</v>
      </c>
      <c r="R76" s="174">
        <v>1.0948823999999999</v>
      </c>
      <c r="S76" s="174">
        <v>1.6917110099999999</v>
      </c>
      <c r="T76" s="174">
        <v>1.2437457299999999</v>
      </c>
      <c r="U76" s="174">
        <v>4.3468937999999993</v>
      </c>
      <c r="V76" s="174">
        <v>0</v>
      </c>
      <c r="W76" s="174">
        <v>1.7732205000000001</v>
      </c>
      <c r="X76" s="173">
        <v>3.4470575999999999</v>
      </c>
      <c r="Y76" s="174">
        <v>1.9987740000000001</v>
      </c>
      <c r="Z76" s="174">
        <v>1.5822863999999999</v>
      </c>
      <c r="AA76" s="174">
        <v>5.7538070999999995</v>
      </c>
      <c r="AB76" s="174">
        <v>3.8054210400000001</v>
      </c>
      <c r="AC76" s="174">
        <v>0.91918683000000001</v>
      </c>
      <c r="AD76" s="174">
        <v>1.6816113300000002</v>
      </c>
      <c r="AE76" s="174">
        <v>1.86688458</v>
      </c>
      <c r="AF76" s="174">
        <v>1.9748243999999999</v>
      </c>
      <c r="AG76" s="174">
        <v>1.4206158299999998</v>
      </c>
      <c r="AH76" s="174">
        <f t="shared" ref="AH76:AI76" si="158">AH60+AH77</f>
        <v>3.55</v>
      </c>
      <c r="AI76" s="175">
        <f t="shared" si="158"/>
        <v>3.5380000000000003</v>
      </c>
      <c r="AJ76" s="234"/>
      <c r="AK76" s="265">
        <v>2</v>
      </c>
      <c r="AL76" s="265">
        <f>AG76-AK76</f>
        <v>-0.5793841700000002</v>
      </c>
      <c r="AM76" s="234"/>
      <c r="AN76" s="88">
        <f t="shared" ref="AN76" si="159">IFERROR(AG76/U76*100,"NA")</f>
        <v>32.68117178294073</v>
      </c>
      <c r="AO76" s="89">
        <f t="shared" ref="AO76" si="160">IFERROR(SUM(X76:AG76)/SUM(L76:U76)*100,"NA")</f>
        <v>93.744915492675446</v>
      </c>
      <c r="AP76" s="89">
        <f t="shared" ref="AP76" si="161">IFERROR(SUM(AD76:AG76)/SUM(R76:U76)*100,"NA")</f>
        <v>82.890570069309788</v>
      </c>
      <c r="AQ76" s="89">
        <f t="shared" ref="AQ76" si="162">IFERROR(SUM(X76:Z76)/SUM(L76:N76)*100,"NA")</f>
        <v>80.053309870802295</v>
      </c>
      <c r="AR76" s="89">
        <f t="shared" ref="AR76" si="163">IFERROR(SUM(AA76:AC76)/SUM(O76:Q76)*100,"NA")</f>
        <v>117.40014832167269</v>
      </c>
      <c r="AS76" s="89">
        <f t="shared" ref="AS76" si="164">IFERROR(SUM(AD76:AF76)/SUM(R76:T76)*100,"NA")</f>
        <v>137.043561798127</v>
      </c>
      <c r="AT76" s="89">
        <f t="shared" ref="AT76" si="165">IFERROR(SUM(AG76:AI76)/SUM(U76:W76)*100,"NA")</f>
        <v>139.02707388978016</v>
      </c>
      <c r="AU76" s="89">
        <f t="shared" ref="AU76" si="166">IFERROR(SUM(X76:AC76)/SUM(L76:Q76)*100,"NA")</f>
        <v>98.88081005853752</v>
      </c>
      <c r="AV76" s="89">
        <f t="shared" ref="AV76" si="167">IFERROR(SUM(AD76:AI76)/SUM(R76:W76)*100,"NA")</f>
        <v>138.23950055969127</v>
      </c>
      <c r="AW76" s="90">
        <f t="shared" ref="AW76" si="168">IFERROR(SUM(X76:AI76)/SUM(L76:W76)*100,"NA")</f>
        <v>113.22317634841956</v>
      </c>
    </row>
    <row r="77" spans="1:49" outlineLevel="1">
      <c r="A77" s="294" t="s">
        <v>745</v>
      </c>
      <c r="B77" s="222" t="s">
        <v>713</v>
      </c>
      <c r="C77" s="222" t="s">
        <v>115</v>
      </c>
      <c r="D77" s="222" t="s">
        <v>723</v>
      </c>
      <c r="E77" s="222" t="s">
        <v>83</v>
      </c>
      <c r="F77" s="223"/>
      <c r="G77" s="224"/>
      <c r="H77" s="224"/>
      <c r="I77" s="224"/>
      <c r="J77" s="224"/>
      <c r="K77" s="224"/>
      <c r="L77" s="223"/>
      <c r="M77" s="224"/>
      <c r="N77" s="224"/>
      <c r="O77" s="224"/>
      <c r="P77" s="224"/>
      <c r="Q77" s="224"/>
      <c r="R77" s="224"/>
      <c r="S77" s="224"/>
      <c r="T77" s="224"/>
      <c r="U77" s="224"/>
      <c r="V77" s="224"/>
      <c r="W77" s="224"/>
      <c r="X77" s="223"/>
      <c r="Y77" s="224"/>
      <c r="Z77" s="224"/>
      <c r="AA77" s="224"/>
      <c r="AB77" s="224"/>
      <c r="AC77" s="224"/>
      <c r="AD77" s="222"/>
      <c r="AE77" s="222"/>
      <c r="AF77" s="222"/>
      <c r="AG77" s="222"/>
      <c r="AH77" s="222"/>
      <c r="AI77" s="225"/>
      <c r="AJ77" s="234"/>
      <c r="AK77" s="248"/>
      <c r="AL77" s="234"/>
      <c r="AM77" s="234"/>
    </row>
    <row r="79" spans="1:49">
      <c r="S79" s="56"/>
      <c r="AA79" s="56"/>
    </row>
    <row r="86" spans="1:2">
      <c r="A86" s="46" t="s">
        <v>726</v>
      </c>
      <c r="B86" s="181" t="s">
        <v>727</v>
      </c>
    </row>
    <row r="87" spans="1:2">
      <c r="B87" s="181" t="s">
        <v>728</v>
      </c>
    </row>
  </sheetData>
  <autoFilter ref="A2:AW77" xr:uid="{106A251F-1BDA-4B88-A610-CDA9F09E3D61}"/>
  <phoneticPr fontId="5" type="noConversion"/>
  <conditionalFormatting sqref="AN3:AW9 AN48:AW51">
    <cfRule type="cellIs" dxfId="56" priority="52" operator="equal">
      <formula>"NA"</formula>
    </cfRule>
    <cfRule type="cellIs" dxfId="55" priority="53" operator="lessThan">
      <formula>100</formula>
    </cfRule>
    <cfRule type="cellIs" dxfId="54" priority="54" operator="greaterThan">
      <formula>100</formula>
    </cfRule>
  </conditionalFormatting>
  <conditionalFormatting sqref="AN18:AW21">
    <cfRule type="cellIs" dxfId="53" priority="46" operator="equal">
      <formula>"NA"</formula>
    </cfRule>
    <cfRule type="cellIs" dxfId="52" priority="47" operator="lessThan">
      <formula>100</formula>
    </cfRule>
    <cfRule type="cellIs" dxfId="51" priority="48" operator="greaterThan">
      <formula>100</formula>
    </cfRule>
  </conditionalFormatting>
  <conditionalFormatting sqref="AN30:AW32">
    <cfRule type="cellIs" dxfId="50" priority="40" operator="equal">
      <formula>"NA"</formula>
    </cfRule>
    <cfRule type="cellIs" dxfId="49" priority="41" operator="lessThan">
      <formula>100</formula>
    </cfRule>
    <cfRule type="cellIs" dxfId="48" priority="42" operator="greaterThan">
      <formula>100</formula>
    </cfRule>
  </conditionalFormatting>
  <conditionalFormatting sqref="AN39:AW41">
    <cfRule type="cellIs" dxfId="47" priority="34" operator="equal">
      <formula>"NA"</formula>
    </cfRule>
    <cfRule type="cellIs" dxfId="46" priority="35" operator="lessThan">
      <formula>100</formula>
    </cfRule>
    <cfRule type="cellIs" dxfId="45" priority="36" operator="greaterThan">
      <formula>100</formula>
    </cfRule>
  </conditionalFormatting>
  <conditionalFormatting sqref="AN60:AW63">
    <cfRule type="cellIs" dxfId="44" priority="16" operator="equal">
      <formula>"NA"</formula>
    </cfRule>
    <cfRule type="cellIs" dxfId="43" priority="17" operator="lessThan">
      <formula>100</formula>
    </cfRule>
    <cfRule type="cellIs" dxfId="42" priority="18" operator="greaterThan">
      <formula>100</formula>
    </cfRule>
  </conditionalFormatting>
  <conditionalFormatting sqref="AN72:AW72">
    <cfRule type="cellIs" dxfId="41" priority="13" operator="equal">
      <formula>"NA"</formula>
    </cfRule>
    <cfRule type="cellIs" dxfId="40" priority="14" operator="lessThan">
      <formula>100</formula>
    </cfRule>
    <cfRule type="cellIs" dxfId="39" priority="15" operator="greaterThan">
      <formula>100</formula>
    </cfRule>
  </conditionalFormatting>
  <conditionalFormatting sqref="AN74:AW74">
    <cfRule type="cellIs" dxfId="38" priority="10" operator="equal">
      <formula>"NA"</formula>
    </cfRule>
    <cfRule type="cellIs" dxfId="37" priority="11" operator="lessThan">
      <formula>100</formula>
    </cfRule>
    <cfRule type="cellIs" dxfId="36" priority="12" operator="greaterThan">
      <formula>100</formula>
    </cfRule>
  </conditionalFormatting>
  <conditionalFormatting sqref="AN76:AW76">
    <cfRule type="cellIs" dxfId="35" priority="7" operator="equal">
      <formula>"NA"</formula>
    </cfRule>
    <cfRule type="cellIs" dxfId="34" priority="8" operator="lessThan">
      <formula>100</formula>
    </cfRule>
    <cfRule type="cellIs" dxfId="33" priority="9" operator="greaterThan">
      <formula>100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2A0FE-F64E-4BAA-8C33-0CA912C1FAD3}">
  <dimension ref="A1:AX50"/>
  <sheetViews>
    <sheetView zoomScale="80" zoomScaleNormal="80" workbookViewId="0">
      <pane xSplit="5" ySplit="3" topLeftCell="T4" activePane="bottomRight" state="frozen"/>
      <selection pane="topRight" activeCell="F1" sqref="F1"/>
      <selection pane="bottomLeft" activeCell="A3" sqref="A3"/>
      <selection pane="bottomRight" activeCell="AJ22" sqref="AJ22"/>
    </sheetView>
  </sheetViews>
  <sheetFormatPr defaultColWidth="9" defaultRowHeight="14.4" outlineLevelRow="1" outlineLevelCol="1"/>
  <cols>
    <col min="1" max="1" width="10.44140625" style="22" customWidth="1"/>
    <col min="2" max="4" width="9" style="21"/>
    <col min="5" max="5" width="14" style="21" bestFit="1" customWidth="1"/>
    <col min="6" max="11" width="9" style="21" hidden="1" customWidth="1" outlineLevel="1"/>
    <col min="12" max="12" width="9" style="21" collapsed="1"/>
    <col min="13" max="23" width="9" style="21"/>
    <col min="24" max="24" width="12" style="21" bestFit="1" customWidth="1"/>
    <col min="25" max="29" width="9" style="21"/>
    <col min="30" max="37" width="9" style="21" customWidth="1"/>
    <col min="38" max="38" width="9" style="22" customWidth="1"/>
    <col min="39" max="39" width="9" style="21" customWidth="1"/>
    <col min="40" max="40" width="8.44140625" style="21" customWidth="1"/>
    <col min="41" max="41" width="6.88671875" style="21" customWidth="1"/>
    <col min="42" max="42" width="6.6640625" style="21" bestFit="1" customWidth="1"/>
    <col min="43" max="16384" width="9" style="21"/>
  </cols>
  <sheetData>
    <row r="1" spans="1:49">
      <c r="F1" s="180" t="s">
        <v>90</v>
      </c>
      <c r="G1" s="180" t="s">
        <v>90</v>
      </c>
      <c r="H1" s="180" t="s">
        <v>90</v>
      </c>
      <c r="I1" s="180" t="s">
        <v>90</v>
      </c>
      <c r="J1" s="180" t="s">
        <v>90</v>
      </c>
      <c r="K1" s="180" t="s">
        <v>90</v>
      </c>
      <c r="L1" s="180" t="s">
        <v>90</v>
      </c>
      <c r="M1" s="180" t="s">
        <v>90</v>
      </c>
      <c r="N1" s="180" t="s">
        <v>90</v>
      </c>
      <c r="O1" s="180" t="s">
        <v>90</v>
      </c>
      <c r="P1" s="180" t="s">
        <v>90</v>
      </c>
      <c r="Q1" s="180" t="s">
        <v>90</v>
      </c>
      <c r="R1" s="180" t="s">
        <v>90</v>
      </c>
      <c r="S1" s="180" t="s">
        <v>90</v>
      </c>
      <c r="T1" s="180" t="s">
        <v>90</v>
      </c>
      <c r="U1" s="180" t="s">
        <v>90</v>
      </c>
      <c r="V1" s="180" t="s">
        <v>90</v>
      </c>
      <c r="W1" s="180" t="s">
        <v>90</v>
      </c>
      <c r="X1" s="180" t="s">
        <v>90</v>
      </c>
      <c r="Y1" s="180" t="s">
        <v>90</v>
      </c>
      <c r="Z1" s="180" t="s">
        <v>90</v>
      </c>
      <c r="AA1" s="180" t="s">
        <v>90</v>
      </c>
      <c r="AB1" s="180" t="s">
        <v>90</v>
      </c>
      <c r="AC1" s="180" t="s">
        <v>90</v>
      </c>
      <c r="AD1" s="180" t="s">
        <v>90</v>
      </c>
      <c r="AE1" s="235" t="s">
        <v>90</v>
      </c>
      <c r="AF1" s="235" t="s">
        <v>90</v>
      </c>
      <c r="AG1" s="235" t="s">
        <v>90</v>
      </c>
      <c r="AH1" s="180" t="s">
        <v>719</v>
      </c>
      <c r="AI1" s="180" t="s">
        <v>719</v>
      </c>
      <c r="AK1" s="245" t="s">
        <v>751</v>
      </c>
      <c r="AL1" s="245"/>
    </row>
    <row r="2" spans="1:49" ht="15" thickBot="1">
      <c r="A2" s="18" t="s">
        <v>78</v>
      </c>
      <c r="B2" s="19" t="s">
        <v>89</v>
      </c>
      <c r="C2" s="19" t="s">
        <v>0</v>
      </c>
      <c r="D2" s="19" t="s">
        <v>79</v>
      </c>
      <c r="E2" s="19" t="s">
        <v>80</v>
      </c>
      <c r="F2" s="61">
        <v>202401</v>
      </c>
      <c r="G2" s="57">
        <v>202402</v>
      </c>
      <c r="H2" s="57">
        <v>202403</v>
      </c>
      <c r="I2" s="57">
        <v>202404</v>
      </c>
      <c r="J2" s="57">
        <v>202405</v>
      </c>
      <c r="K2" s="57">
        <v>202406</v>
      </c>
      <c r="L2" s="69">
        <v>202407</v>
      </c>
      <c r="M2" s="7">
        <v>202408</v>
      </c>
      <c r="N2" s="7">
        <v>202409</v>
      </c>
      <c r="O2" s="7">
        <v>202410</v>
      </c>
      <c r="P2" s="7">
        <v>202411</v>
      </c>
      <c r="Q2" s="7">
        <v>202412</v>
      </c>
      <c r="R2" s="7">
        <v>202501</v>
      </c>
      <c r="S2" s="7">
        <v>202502</v>
      </c>
      <c r="T2" s="7">
        <v>202503</v>
      </c>
      <c r="U2" s="7">
        <v>202504</v>
      </c>
      <c r="V2" s="7">
        <v>202505</v>
      </c>
      <c r="W2" s="7">
        <v>202506</v>
      </c>
      <c r="X2" s="68">
        <v>202507</v>
      </c>
      <c r="Y2" s="8">
        <v>202508</v>
      </c>
      <c r="Z2" s="8">
        <v>202509</v>
      </c>
      <c r="AA2" s="8">
        <v>202510</v>
      </c>
      <c r="AB2" s="8">
        <v>202511</v>
      </c>
      <c r="AC2" s="8">
        <v>202512</v>
      </c>
      <c r="AD2" s="8">
        <v>202601</v>
      </c>
      <c r="AE2" s="8">
        <v>202602</v>
      </c>
      <c r="AF2" s="8">
        <v>202603</v>
      </c>
      <c r="AG2" s="8">
        <v>202604</v>
      </c>
      <c r="AH2" s="8">
        <v>202605</v>
      </c>
      <c r="AI2" s="9">
        <v>202606</v>
      </c>
      <c r="AK2" s="245" t="s">
        <v>749</v>
      </c>
      <c r="AL2" s="246" t="s">
        <v>750</v>
      </c>
      <c r="AN2" s="16" t="s">
        <v>98</v>
      </c>
      <c r="AO2" s="15" t="s">
        <v>99</v>
      </c>
      <c r="AP2" s="15" t="s">
        <v>134</v>
      </c>
      <c r="AQ2" s="15" t="s">
        <v>91</v>
      </c>
      <c r="AR2" s="15" t="s">
        <v>92</v>
      </c>
      <c r="AS2" s="15" t="s">
        <v>93</v>
      </c>
      <c r="AT2" s="15" t="s">
        <v>94</v>
      </c>
      <c r="AU2" s="15" t="s">
        <v>95</v>
      </c>
      <c r="AV2" s="15" t="s">
        <v>96</v>
      </c>
      <c r="AW2" s="17" t="s">
        <v>97</v>
      </c>
    </row>
    <row r="3" spans="1:49" ht="15" thickTop="1">
      <c r="A3" s="269" t="s">
        <v>77</v>
      </c>
      <c r="B3" s="176" t="s">
        <v>83</v>
      </c>
      <c r="C3" s="176" t="s">
        <v>126</v>
      </c>
      <c r="D3" s="176" t="s">
        <v>127</v>
      </c>
      <c r="E3" s="176" t="s">
        <v>103</v>
      </c>
      <c r="F3" s="177">
        <f>SUM(F4:F8)</f>
        <v>2.7367969116666666</v>
      </c>
      <c r="G3" s="178">
        <f t="shared" ref="G3:AB3" si="0">SUM(G4:G8)</f>
        <v>2.8721022233333335</v>
      </c>
      <c r="H3" s="178">
        <f t="shared" si="0"/>
        <v>2.8830513166666667</v>
      </c>
      <c r="I3" s="178">
        <f t="shared" si="0"/>
        <v>2.375407468333333</v>
      </c>
      <c r="J3" s="178">
        <f t="shared" si="0"/>
        <v>3.2515813133333329</v>
      </c>
      <c r="K3" s="178">
        <f t="shared" si="0"/>
        <v>3.1253921340666664</v>
      </c>
      <c r="L3" s="177">
        <f>SUM(L4:L8)</f>
        <v>2.1753227074000003</v>
      </c>
      <c r="M3" s="178">
        <f t="shared" si="0"/>
        <v>2.4889472254666667</v>
      </c>
      <c r="N3" s="178">
        <f t="shared" si="0"/>
        <v>2.0857766928000001</v>
      </c>
      <c r="O3" s="178">
        <f t="shared" si="0"/>
        <v>2.8543786058000005</v>
      </c>
      <c r="P3" s="178">
        <f t="shared" si="0"/>
        <v>3.6170855400666673</v>
      </c>
      <c r="Q3" s="178">
        <f t="shared" si="0"/>
        <v>2.2483556684666666</v>
      </c>
      <c r="R3" s="178">
        <f t="shared" si="0"/>
        <v>2.4102484848666665</v>
      </c>
      <c r="S3" s="178">
        <f t="shared" si="0"/>
        <v>3.3897307450000005</v>
      </c>
      <c r="T3" s="178">
        <f t="shared" si="0"/>
        <v>2.407985108133333</v>
      </c>
      <c r="U3" s="178">
        <f t="shared" si="0"/>
        <v>2.5721250414666668</v>
      </c>
      <c r="V3" s="178">
        <f t="shared" si="0"/>
        <v>5.6034383008666664</v>
      </c>
      <c r="W3" s="178">
        <f t="shared" si="0"/>
        <v>4.2020225359333336</v>
      </c>
      <c r="X3" s="177">
        <f t="shared" si="0"/>
        <v>2.9448645829333335</v>
      </c>
      <c r="Y3" s="178">
        <f t="shared" si="0"/>
        <v>2.0529656716000004</v>
      </c>
      <c r="Z3" s="178">
        <f t="shared" si="0"/>
        <v>1.9081337499333335</v>
      </c>
      <c r="AA3" s="178">
        <f t="shared" si="0"/>
        <v>2.9056356304666666</v>
      </c>
      <c r="AB3" s="178">
        <f t="shared" si="0"/>
        <v>2.1683459108833332</v>
      </c>
      <c r="AC3" s="178">
        <f t="shared" ref="AC3:AD3" si="1">SUM(AC4:AC8)</f>
        <v>4.5394777175166663</v>
      </c>
      <c r="AD3" s="178">
        <f t="shared" si="1"/>
        <v>4.7275647670166663</v>
      </c>
      <c r="AE3" s="178">
        <f t="shared" ref="AE3:AI3" si="2">SUM(AE4:AE8)</f>
        <v>3.5119219413166669</v>
      </c>
      <c r="AF3" s="178">
        <f t="shared" si="2"/>
        <v>2.4802825335583334</v>
      </c>
      <c r="AG3" s="178">
        <f t="shared" ref="AG3" si="3">SUM(AG4:AG8)</f>
        <v>3.0012110642138894</v>
      </c>
      <c r="AH3" s="178">
        <f t="shared" si="2"/>
        <v>4.29</v>
      </c>
      <c r="AI3" s="205">
        <f t="shared" si="2"/>
        <v>3.89</v>
      </c>
      <c r="AJ3" s="228"/>
      <c r="AK3" s="281">
        <v>2.8400000000000003</v>
      </c>
      <c r="AL3" s="281">
        <f>AG3-AK3</f>
        <v>0.16121106421388909</v>
      </c>
      <c r="AM3" s="228"/>
      <c r="AN3" s="82">
        <f t="shared" ref="AN3:AN8" si="4">IFERROR(AG3/U3*100,"NA")</f>
        <v>116.68216030829322</v>
      </c>
      <c r="AO3" s="83">
        <f t="shared" ref="AO3:AO8" si="5">IFERROR(SUM(X3:AG3)/SUM(L3:U3)*100,"NA")</f>
        <v>115.20173129972645</v>
      </c>
      <c r="AP3" s="83">
        <f t="shared" ref="AP3:AP8" si="6">IFERROR(SUM(AD3:AG3)/SUM(R3:U3)*100,"NA")</f>
        <v>127.28076570719848</v>
      </c>
      <c r="AQ3" s="83">
        <f t="shared" ref="AQ3:AQ8" si="7">IFERROR(SUM(X3:Z3)/SUM(L3:N3)*100,"NA")</f>
        <v>102.30987113788422</v>
      </c>
      <c r="AR3" s="83">
        <f t="shared" ref="AR3:AR8" si="8">IFERROR(SUM(AA3:AC3)/SUM(O3:Q3)*100,"NA")</f>
        <v>110.24837053472594</v>
      </c>
      <c r="AS3" s="83">
        <f t="shared" ref="AS3:AS8" si="9">IFERROR(SUM(AD3:AF3)/SUM(R3:T3)*100,"NA")</f>
        <v>130.60204455644245</v>
      </c>
      <c r="AT3" s="83">
        <f t="shared" ref="AT3:AT8" si="10">IFERROR(SUM(AG3:AI3)/SUM(U3:W3)*100,"NA")</f>
        <v>90.334344468952978</v>
      </c>
      <c r="AU3" s="83">
        <f t="shared" ref="AU3:AU8" si="11">IFERROR(SUM(X3:AC3)/SUM(L3:Q3)*100,"NA")</f>
        <v>106.7845241418473</v>
      </c>
      <c r="AV3" s="83">
        <f t="shared" ref="AV3:AV8" si="12">IFERROR(SUM(AD3:AI3)/SUM(R3:W3)*100,"NA")</f>
        <v>106.39006524488927</v>
      </c>
      <c r="AW3" s="84">
        <f t="shared" ref="AW3:AW8" si="13">IFERROR(SUM(X3:AI3)/SUM(L3:W3)*100,"NA")</f>
        <v>106.55931100649528</v>
      </c>
    </row>
    <row r="4" spans="1:49">
      <c r="A4" s="270" t="s">
        <v>77</v>
      </c>
      <c r="B4" s="204" t="s">
        <v>103</v>
      </c>
      <c r="C4" s="22" t="s">
        <v>126</v>
      </c>
      <c r="D4" s="22" t="s">
        <v>127</v>
      </c>
      <c r="E4" s="22" t="s">
        <v>20</v>
      </c>
      <c r="F4" s="72">
        <f>SUMIFS('Offtake Raw'!H:H,'Offtake Raw'!$C:$C,Fem!$D4,'Offtake Raw'!$D:$D,Fem!$E4)/1000000</f>
        <v>1.4023466200000001</v>
      </c>
      <c r="G4" s="24">
        <f>SUMIFS('Offtake Raw'!I:I,'Offtake Raw'!$C:$C,Fem!$D4,'Offtake Raw'!$D:$D,Fem!$E4)/1000000</f>
        <v>1.1811655200000002</v>
      </c>
      <c r="H4" s="24">
        <f>SUMIFS('Offtake Raw'!J:J,'Offtake Raw'!$C:$C,Fem!$D4,'Offtake Raw'!$D:$D,Fem!$E4)/1000000</f>
        <v>1.1604639800000003</v>
      </c>
      <c r="I4" s="24">
        <f>SUMIFS('Offtake Raw'!K:K,'Offtake Raw'!$C:$C,Fem!$D4,'Offtake Raw'!$D:$D,Fem!$E4)/1000000</f>
        <v>1.2367934800000002</v>
      </c>
      <c r="J4" s="24">
        <f>SUMIFS('Offtake Raw'!L:L,'Offtake Raw'!$C:$C,Fem!$D4,'Offtake Raw'!$D:$D,Fem!$E4)/1000000</f>
        <v>0.92683128000000004</v>
      </c>
      <c r="K4" s="24">
        <f>SUMIFS('Offtake Raw'!M:M,'Offtake Raw'!$C:$C,Fem!$D4,'Offtake Raw'!$D:$D,Fem!$E4)/1000000</f>
        <v>0.82295030000000002</v>
      </c>
      <c r="L4" s="72">
        <f>SUMIFS('Offtake Raw'!N:N,'Offtake Raw'!$C:$C,Fem!$D4,'Offtake Raw'!$D:$D,Fem!$E4)/1000000</f>
        <v>1.0779940800000001</v>
      </c>
      <c r="M4" s="24">
        <f>SUMIFS('Offtake Raw'!O:O,'Offtake Raw'!$C:$C,Fem!$D4,'Offtake Raw'!$D:$D,Fem!$E4)/1000000</f>
        <v>1.1590808000000001</v>
      </c>
      <c r="N4" s="24">
        <f>SUMIFS('Offtake Raw'!P:P,'Offtake Raw'!$C:$C,Fem!$D4,'Offtake Raw'!$D:$D,Fem!$E4)/1000000</f>
        <v>0.77364228000000002</v>
      </c>
      <c r="O4" s="24">
        <f>SUMIFS('Offtake Raw'!Q:Q,'Offtake Raw'!$C:$C,Fem!$D4,'Offtake Raw'!$D:$D,Fem!$E4)/1000000</f>
        <v>1.4302342000000003</v>
      </c>
      <c r="P4" s="24">
        <f>SUMIFS('Offtake Raw'!R:R,'Offtake Raw'!$C:$C,Fem!$D4,'Offtake Raw'!$D:$D,Fem!$E4)/1000000</f>
        <v>1.5506018200000002</v>
      </c>
      <c r="Q4" s="24">
        <f>SUMIFS('Offtake Raw'!S:S,'Offtake Raw'!$C:$C,Fem!$D4,'Offtake Raw'!$D:$D,Fem!$E4)/1000000</f>
        <v>0.98409924000000015</v>
      </c>
      <c r="R4" s="24">
        <f>SUMIFS('Offtake Raw'!T:T,'Offtake Raw'!$C:$C,Fem!$D4,'Offtake Raw'!$D:$D,Fem!$E4)/1000000</f>
        <v>0.86430492000000014</v>
      </c>
      <c r="S4" s="24">
        <f>SUMIFS('Offtake Raw'!U:U,'Offtake Raw'!$C:$C,Fem!$D4,'Offtake Raw'!$D:$D,Fem!$E4)/1000000</f>
        <v>1.5859669800000002</v>
      </c>
      <c r="T4" s="24">
        <f>SUMIFS('Offtake Raw'!V:V,'Offtake Raw'!$C:$C,Fem!$D4,'Offtake Raw'!$D:$D,Fem!$E4)/1000000</f>
        <v>1.00022532</v>
      </c>
      <c r="U4" s="24">
        <f>SUMIFS('Offtake Raw'!W:W,'Offtake Raw'!$C:$C,Fem!$D4,'Offtake Raw'!$D:$D,Fem!$E4)/1000000</f>
        <v>1.2817882000000003</v>
      </c>
      <c r="V4" s="24">
        <f>SUMIFS('Offtake Raw'!X:X,'Offtake Raw'!$C:$C,Fem!$D4,'Offtake Raw'!$D:$D,Fem!$E4)/1000000</f>
        <v>1.0387979000000001</v>
      </c>
      <c r="W4" s="24">
        <f>SUMIFS('Offtake Raw'!Y:Y,'Offtake Raw'!$C:$C,Fem!$D4,'Offtake Raw'!$D:$D,Fem!$E4)/1000000</f>
        <v>0.64724682000000011</v>
      </c>
      <c r="X4" s="72">
        <f>SUMIFS('Offtake Raw'!Z:Z,'Offtake Raw'!$C:$C,Fem!$D4,'Offtake Raw'!$D:$D,Fem!$E4)/1000000</f>
        <v>1.3024082800000001</v>
      </c>
      <c r="Y4" s="24">
        <f>SUMIFS('Offtake Raw'!AA:AA,'Offtake Raw'!$C:$C,Fem!$D4,'Offtake Raw'!$D:$D,Fem!$E4)/1000000</f>
        <v>0.74896576000000004</v>
      </c>
      <c r="Z4" s="24">
        <f>SUMIFS('Offtake Raw'!AB:AB,'Offtake Raw'!$C:$C,Fem!$D4,'Offtake Raw'!$D:$D,Fem!$E4)/1000000</f>
        <v>0.68056330000000009</v>
      </c>
      <c r="AA4" s="24">
        <f>SUMIFS('Offtake Raw'!AC:AC,'Offtake Raw'!$C:$C,Fem!$D4,'Offtake Raw'!$D:$D,Fem!$E4)/1000000</f>
        <v>1.4666736600000001</v>
      </c>
      <c r="AB4" s="24">
        <f>SUMIFS('Offtake Raw'!AD:AD,'Offtake Raw'!$C:$C,Fem!$D4,'Offtake Raw'!$D:$D,Fem!$E4)/1000000</f>
        <v>1.0534547600000002</v>
      </c>
      <c r="AC4" s="24">
        <f>SUMIFS('Offtake Raw'!AE:AE,'Offtake Raw'!$C:$C,Fem!$D4,'Offtake Raw'!$D:$D,Fem!$E4)/1000000</f>
        <v>2.4016828400000003</v>
      </c>
      <c r="AD4" s="24">
        <f>SUMIFS('Offtake Raw'!AF:AF,'Offtake Raw'!$C:$C,Fem!$D4,'Offtake Raw'!$D:$D,Fem!$E4)/1000000</f>
        <v>1.7890261600000001</v>
      </c>
      <c r="AE4" s="24">
        <f>SUMIFS('Offtake Raw'!AG:AG,'Offtake Raw'!$C:$C,Fem!$D4,'Offtake Raw'!$D:$D,Fem!$E4)/1000000</f>
        <v>1.1835242200000002</v>
      </c>
      <c r="AF4" s="24">
        <f>SUMIFS('Offtake Raw'!AH:AH,'Offtake Raw'!$C:$C,Fem!$D4,'Offtake Raw'!$D:$D,Fem!$E4)/1000000</f>
        <v>0.99522038000000013</v>
      </c>
      <c r="AG4" s="24">
        <f>SUMIFS('Offtake Raw'!AI:AI,'Offtake Raw'!$C:$C,Fem!$D4,'Offtake Raw'!$D:$D,Fem!$E4)/1000000</f>
        <v>1.3152172488888891</v>
      </c>
      <c r="AH4" s="24">
        <f t="shared" ref="AH4:AI4" si="14">AH10+AH16</f>
        <v>1.1000000000000001</v>
      </c>
      <c r="AI4" s="25">
        <f t="shared" si="14"/>
        <v>0.8</v>
      </c>
      <c r="AJ4" s="229"/>
      <c r="AK4" s="282">
        <v>1.2000000000000002</v>
      </c>
      <c r="AL4" s="263">
        <f t="shared" ref="AL4:AL8" si="15">AG4-AK4</f>
        <v>0.11521724888888896</v>
      </c>
      <c r="AM4" s="229"/>
      <c r="AN4" s="151">
        <f t="shared" si="4"/>
        <v>102.60800098556757</v>
      </c>
      <c r="AO4" s="152">
        <f t="shared" si="5"/>
        <v>110.49543297617038</v>
      </c>
      <c r="AP4" s="152">
        <f t="shared" si="6"/>
        <v>111.63713808472879</v>
      </c>
      <c r="AQ4" s="152">
        <f t="shared" si="7"/>
        <v>90.740418140108517</v>
      </c>
      <c r="AR4" s="152">
        <f t="shared" si="8"/>
        <v>124.13345836067948</v>
      </c>
      <c r="AS4" s="152">
        <f t="shared" si="9"/>
        <v>114.99127537335039</v>
      </c>
      <c r="AT4" s="152">
        <f t="shared" si="10"/>
        <v>108.3355207505714</v>
      </c>
      <c r="AU4" s="152">
        <f t="shared" si="11"/>
        <v>109.72089976925771</v>
      </c>
      <c r="AV4" s="152">
        <f t="shared" si="12"/>
        <v>111.91365748114801</v>
      </c>
      <c r="AW4" s="153">
        <f t="shared" si="13"/>
        <v>110.77165841022934</v>
      </c>
    </row>
    <row r="5" spans="1:49">
      <c r="A5" s="271" t="s">
        <v>77</v>
      </c>
      <c r="B5" s="22" t="s">
        <v>83</v>
      </c>
      <c r="C5" s="22" t="s">
        <v>126</v>
      </c>
      <c r="D5" s="22" t="s">
        <v>127</v>
      </c>
      <c r="E5" s="22" t="s">
        <v>47</v>
      </c>
      <c r="F5" s="72">
        <f>SUMIFS('Offtake Raw'!H:H,'Offtake Raw'!$C:$C,Fem!$D5,'Offtake Raw'!$D:$D,Fem!$E5)/1000000</f>
        <v>0.55883642999999994</v>
      </c>
      <c r="G5" s="24">
        <f>SUMIFS('Offtake Raw'!I:I,'Offtake Raw'!$C:$C,Fem!$D5,'Offtake Raw'!$D:$D,Fem!$E5)/1000000</f>
        <v>0.83782709999999994</v>
      </c>
      <c r="H5" s="24">
        <f>SUMIFS('Offtake Raw'!J:J,'Offtake Raw'!$C:$C,Fem!$D5,'Offtake Raw'!$D:$D,Fem!$E5)/1000000</f>
        <v>0.82225735</v>
      </c>
      <c r="I5" s="24">
        <f>SUMIFS('Offtake Raw'!K:K,'Offtake Raw'!$C:$C,Fem!$D5,'Offtake Raw'!$D:$D,Fem!$E5)/1000000</f>
        <v>0.41180800000000001</v>
      </c>
      <c r="J5" s="24">
        <f>SUMIFS('Offtake Raw'!L:L,'Offtake Raw'!$C:$C,Fem!$D5,'Offtake Raw'!$D:$D,Fem!$E5)/1000000</f>
        <v>1.4820447999999999</v>
      </c>
      <c r="K5" s="24">
        <f>SUMIFS('Offtake Raw'!M:M,'Offtake Raw'!$C:$C,Fem!$D5,'Offtake Raw'!$D:$D,Fem!$E5)/1000000</f>
        <v>1.5384021673999999</v>
      </c>
      <c r="L5" s="72">
        <f>SUMIFS('Offtake Raw'!N:N,'Offtake Raw'!$C:$C,Fem!$D5,'Offtake Raw'!$D:$D,Fem!$E5)/1000000</f>
        <v>0.50145089739999993</v>
      </c>
      <c r="M5" s="24">
        <f>SUMIFS('Offtake Raw'!O:O,'Offtake Raw'!$C:$C,Fem!$D5,'Offtake Raw'!$D:$D,Fem!$E5)/1000000</f>
        <v>0.60875691379999997</v>
      </c>
      <c r="N5" s="24">
        <f>SUMIFS('Offtake Raw'!P:P,'Offtake Raw'!$C:$C,Fem!$D5,'Offtake Raw'!$D:$D,Fem!$E5)/1000000</f>
        <v>0.47854368280000004</v>
      </c>
      <c r="O5" s="24">
        <f>SUMIFS('Offtake Raw'!Q:Q,'Offtake Raw'!$C:$C,Fem!$D5,'Offtake Raw'!$D:$D,Fem!$E5)/1000000</f>
        <v>0.50618348079999997</v>
      </c>
      <c r="P5" s="24">
        <f>SUMIFS('Offtake Raw'!R:R,'Offtake Raw'!$C:$C,Fem!$D5,'Offtake Raw'!$D:$D,Fem!$E5)/1000000</f>
        <v>0.80349816339999991</v>
      </c>
      <c r="Q5" s="24">
        <f>SUMIFS('Offtake Raw'!S:S,'Offtake Raw'!$C:$C,Fem!$D5,'Offtake Raw'!$D:$D,Fem!$E5)/1000000</f>
        <v>0.59350944179999998</v>
      </c>
      <c r="R5" s="24">
        <f>SUMIFS('Offtake Raw'!T:T,'Offtake Raw'!$C:$C,Fem!$D5,'Offtake Raw'!$D:$D,Fem!$E5)/1000000</f>
        <v>0.71756804320000001</v>
      </c>
      <c r="S5" s="24">
        <f>SUMIFS('Offtake Raw'!U:U,'Offtake Raw'!$C:$C,Fem!$D5,'Offtake Raw'!$D:$D,Fem!$E5)/1000000</f>
        <v>0.70624964999999995</v>
      </c>
      <c r="T5" s="24">
        <f>SUMIFS('Offtake Raw'!V:V,'Offtake Raw'!$C:$C,Fem!$D5,'Offtake Raw'!$D:$D,Fem!$E5)/1000000</f>
        <v>0.47043262979999995</v>
      </c>
      <c r="U5" s="24">
        <f>SUMIFS('Offtake Raw'!W:W,'Offtake Raw'!$C:$C,Fem!$D5,'Offtake Raw'!$D:$D,Fem!$E5)/1000000</f>
        <v>0.5253407698</v>
      </c>
      <c r="V5" s="24">
        <f>SUMIFS('Offtake Raw'!X:X,'Offtake Raw'!$C:$C,Fem!$D5,'Offtake Raw'!$D:$D,Fem!$E5)/1000000</f>
        <v>3.4825228792000003</v>
      </c>
      <c r="W5" s="24">
        <f>SUMIFS('Offtake Raw'!Y:Y,'Offtake Raw'!$C:$C,Fem!$D5,'Offtake Raw'!$D:$D,Fem!$E5)/1000000</f>
        <v>2.6853095276000003</v>
      </c>
      <c r="X5" s="72">
        <f>SUMIFS('Offtake Raw'!Z:Z,'Offtake Raw'!$C:$C,Fem!$D5,'Offtake Raw'!$D:$D,Fem!$E5)/1000000</f>
        <v>0.87168527959999986</v>
      </c>
      <c r="Y5" s="24">
        <f>SUMIFS('Offtake Raw'!AA:AA,'Offtake Raw'!$C:$C,Fem!$D5,'Offtake Raw'!$D:$D,Fem!$E5)/1000000</f>
        <v>0.59532785660000009</v>
      </c>
      <c r="Z5" s="24">
        <f>SUMIFS('Offtake Raw'!AB:AB,'Offtake Raw'!$C:$C,Fem!$D5,'Offtake Raw'!$D:$D,Fem!$E5)/1000000</f>
        <v>0.61884178659999989</v>
      </c>
      <c r="AA5" s="24">
        <f>SUMIFS('Offtake Raw'!AC:AC,'Offtake Raw'!$C:$C,Fem!$D5,'Offtake Raw'!$D:$D,Fem!$E5)/1000000</f>
        <v>0.74908489879999995</v>
      </c>
      <c r="AB5" s="24">
        <f>SUMIFS('Offtake Raw'!AD:AD,'Offtake Raw'!$C:$C,Fem!$D5,'Offtake Raw'!$D:$D,Fem!$E5)/1000000</f>
        <v>0.52770918254999988</v>
      </c>
      <c r="AC5" s="24">
        <f>SUMIFS('Offtake Raw'!AE:AE,'Offtake Raw'!$C:$C,Fem!$D5,'Offtake Raw'!$D:$D,Fem!$E5)/1000000</f>
        <v>1.0266660908499998</v>
      </c>
      <c r="AD5" s="24">
        <f>SUMIFS('Offtake Raw'!AF:AF,'Offtake Raw'!$C:$C,Fem!$D5,'Offtake Raw'!$D:$D,Fem!$E5)/1000000</f>
        <v>2.0924112603499996</v>
      </c>
      <c r="AE5" s="24">
        <f>SUMIFS('Offtake Raw'!AG:AG,'Offtake Raw'!$C:$C,Fem!$D5,'Offtake Raw'!$D:$D,Fem!$E5)/1000000</f>
        <v>1.7401986796500002</v>
      </c>
      <c r="AF5" s="24">
        <f>SUMIFS('Offtake Raw'!AH:AH,'Offtake Raw'!$C:$C,Fem!$D5,'Offtake Raw'!$D:$D,Fem!$E5)/1000000</f>
        <v>0.98075566022499994</v>
      </c>
      <c r="AG5" s="24">
        <f>SUMIFS('Offtake Raw'!AI:AI,'Offtake Raw'!$C:$C,Fem!$D5,'Offtake Raw'!$D:$D,Fem!$E5)/1000000</f>
        <v>0.97729979032500003</v>
      </c>
      <c r="AH5" s="24">
        <f t="shared" ref="AH5:AI5" si="16">AH11+AH17</f>
        <v>2.4500000000000002</v>
      </c>
      <c r="AI5" s="25">
        <f t="shared" si="16"/>
        <v>2.4500000000000002</v>
      </c>
      <c r="AJ5" s="229"/>
      <c r="AK5" s="282">
        <v>0.8</v>
      </c>
      <c r="AL5" s="263">
        <f t="shared" si="15"/>
        <v>0.17729979032499998</v>
      </c>
      <c r="AM5" s="229"/>
      <c r="AN5" s="154">
        <f t="shared" si="4"/>
        <v>186.03159063726639</v>
      </c>
      <c r="AO5" s="147">
        <f t="shared" si="5"/>
        <v>172.20540470554826</v>
      </c>
      <c r="AP5" s="147">
        <f t="shared" si="6"/>
        <v>239.32413240325351</v>
      </c>
      <c r="AQ5" s="147">
        <f t="shared" si="7"/>
        <v>131.28893541106561</v>
      </c>
      <c r="AR5" s="147">
        <f t="shared" si="8"/>
        <v>121.03147125606071</v>
      </c>
      <c r="AS5" s="147">
        <f t="shared" si="9"/>
        <v>254.10398730205205</v>
      </c>
      <c r="AT5" s="147">
        <f t="shared" si="10"/>
        <v>87.810364908420809</v>
      </c>
      <c r="AU5" s="147">
        <f t="shared" si="11"/>
        <v>125.698375458396</v>
      </c>
      <c r="AV5" s="147">
        <f t="shared" si="12"/>
        <v>124.49211793325399</v>
      </c>
      <c r="AW5" s="155">
        <f t="shared" si="13"/>
        <v>124.84082679651152</v>
      </c>
    </row>
    <row r="6" spans="1:49">
      <c r="A6" s="271" t="s">
        <v>77</v>
      </c>
      <c r="B6" s="22" t="s">
        <v>83</v>
      </c>
      <c r="C6" s="22" t="s">
        <v>126</v>
      </c>
      <c r="D6" s="22" t="s">
        <v>127</v>
      </c>
      <c r="E6" s="22" t="s">
        <v>124</v>
      </c>
      <c r="F6" s="72">
        <f>SUMIFS('Offtake Raw'!H:H,'Offtake Raw'!$C:$C,Fem!$D6,'Offtake Raw'!$D:$D,Fem!$E6)/1000000</f>
        <v>0.56522482666666651</v>
      </c>
      <c r="G6" s="24">
        <f>SUMIFS('Offtake Raw'!I:I,'Offtake Raw'!$C:$C,Fem!$D6,'Offtake Raw'!$D:$D,Fem!$E6)/1000000</f>
        <v>0.57272804333333338</v>
      </c>
      <c r="H6" s="24">
        <f>SUMIFS('Offtake Raw'!J:J,'Offtake Raw'!$C:$C,Fem!$D6,'Offtake Raw'!$D:$D,Fem!$E6)/1000000</f>
        <v>0.69025782666666669</v>
      </c>
      <c r="I6" s="24">
        <f>SUMIFS('Offtake Raw'!K:K,'Offtake Raw'!$C:$C,Fem!$D6,'Offtake Raw'!$D:$D,Fem!$E6)/1000000</f>
        <v>0.55431168999999991</v>
      </c>
      <c r="J6" s="24">
        <f>SUMIFS('Offtake Raw'!L:L,'Offtake Raw'!$C:$C,Fem!$D6,'Offtake Raw'!$D:$D,Fem!$E6)/1000000</f>
        <v>0.61951738499999998</v>
      </c>
      <c r="K6" s="24">
        <f>SUMIFS('Offtake Raw'!M:M,'Offtake Raw'!$C:$C,Fem!$D6,'Offtake Raw'!$D:$D,Fem!$E6)/1000000</f>
        <v>0.5421726899999999</v>
      </c>
      <c r="L6" s="72">
        <f>SUMIFS('Offtake Raw'!N:N,'Offtake Raw'!$C:$C,Fem!$D6,'Offtake Raw'!$D:$D,Fem!$E6)/1000000</f>
        <v>0.39921133999999997</v>
      </c>
      <c r="M6" s="24">
        <f>SUMIFS('Offtake Raw'!O:O,'Offtake Raw'!$C:$C,Fem!$D6,'Offtake Raw'!$D:$D,Fem!$E6)/1000000</f>
        <v>0.47733278166666659</v>
      </c>
      <c r="N6" s="24">
        <f>SUMIFS('Offtake Raw'!P:P,'Offtake Raw'!$C:$C,Fem!$D6,'Offtake Raw'!$D:$D,Fem!$E6)/1000000</f>
        <v>0.58129780499999995</v>
      </c>
      <c r="O6" s="24">
        <f>SUMIFS('Offtake Raw'!Q:Q,'Offtake Raw'!$C:$C,Fem!$D6,'Offtake Raw'!$D:$D,Fem!$E6)/1000000</f>
        <v>0.70312726166666673</v>
      </c>
      <c r="P6" s="24">
        <f>SUMIFS('Offtake Raw'!R:R,'Offtake Raw'!$C:$C,Fem!$D6,'Offtake Raw'!$D:$D,Fem!$E6)/1000000</f>
        <v>0.96359507000000011</v>
      </c>
      <c r="Q6" s="24">
        <f>SUMIFS('Offtake Raw'!S:S,'Offtake Raw'!$C:$C,Fem!$D6,'Offtake Raw'!$D:$D,Fem!$E6)/1000000</f>
        <v>0.42914572833333336</v>
      </c>
      <c r="R6" s="24">
        <f>SUMIFS('Offtake Raw'!T:T,'Offtake Raw'!$C:$C,Fem!$D6,'Offtake Raw'!$D:$D,Fem!$E6)/1000000</f>
        <v>0.58159972833333318</v>
      </c>
      <c r="S6" s="24">
        <f>SUMIFS('Offtake Raw'!U:U,'Offtake Raw'!$C:$C,Fem!$D6,'Offtake Raw'!$D:$D,Fem!$E6)/1000000</f>
        <v>0.83897152666666674</v>
      </c>
      <c r="T6" s="24">
        <f>SUMIFS('Offtake Raw'!V:V,'Offtake Raw'!$C:$C,Fem!$D6,'Offtake Raw'!$D:$D,Fem!$E6)/1000000</f>
        <v>0.747603825</v>
      </c>
      <c r="U6" s="24">
        <f>SUMIFS('Offtake Raw'!W:W,'Offtake Raw'!$C:$C,Fem!$D6,'Offtake Raw'!$D:$D,Fem!$E6)/1000000</f>
        <v>0.58518483666666665</v>
      </c>
      <c r="V6" s="24">
        <f>SUMIFS('Offtake Raw'!X:X,'Offtake Raw'!$C:$C,Fem!$D6,'Offtake Raw'!$D:$D,Fem!$E6)/1000000</f>
        <v>0.86371497000000008</v>
      </c>
      <c r="W6" s="24">
        <f>SUMIFS('Offtake Raw'!Y:Y,'Offtake Raw'!$C:$C,Fem!$D6,'Offtake Raw'!$D:$D,Fem!$E6)/1000000</f>
        <v>0.6842226400000001</v>
      </c>
      <c r="X6" s="72">
        <f>SUMIFS('Offtake Raw'!Z:Z,'Offtake Raw'!$C:$C,Fem!$D6,'Offtake Raw'!$D:$D,Fem!$E6)/1000000</f>
        <v>0.54325783000000005</v>
      </c>
      <c r="Y6" s="24">
        <f>SUMIFS('Offtake Raw'!AA:AA,'Offtake Raw'!$C:$C,Fem!$D6,'Offtake Raw'!$D:$D,Fem!$E6)/1000000</f>
        <v>0.44909461000000006</v>
      </c>
      <c r="Z6" s="24">
        <f>SUMIFS('Offtake Raw'!AB:AB,'Offtake Raw'!$C:$C,Fem!$D6,'Offtake Raw'!$D:$D,Fem!$E6)/1000000</f>
        <v>0.49315501833333342</v>
      </c>
      <c r="AA6" s="24">
        <f>SUMIFS('Offtake Raw'!AC:AC,'Offtake Raw'!$C:$C,Fem!$D6,'Offtake Raw'!$D:$D,Fem!$E6)/1000000</f>
        <v>0.55759881833333325</v>
      </c>
      <c r="AB6" s="24">
        <f>SUMIFS('Offtake Raw'!AD:AD,'Offtake Raw'!$C:$C,Fem!$D6,'Offtake Raw'!$D:$D,Fem!$E6)/1000000</f>
        <v>0.47879376000000001</v>
      </c>
      <c r="AC6" s="24">
        <f>SUMIFS('Offtake Raw'!AE:AE,'Offtake Raw'!$C:$C,Fem!$D6,'Offtake Raw'!$D:$D,Fem!$E6)/1000000</f>
        <v>0.9953618099999999</v>
      </c>
      <c r="AD6" s="24">
        <f>SUMIFS('Offtake Raw'!AF:AF,'Offtake Raw'!$C:$C,Fem!$D6,'Offtake Raw'!$D:$D,Fem!$E6)/1000000</f>
        <v>0.75251652000000002</v>
      </c>
      <c r="AE6" s="24">
        <f>SUMIFS('Offtake Raw'!AG:AG,'Offtake Raw'!$C:$C,Fem!$D6,'Offtake Raw'!$D:$D,Fem!$E6)/1000000</f>
        <v>0.48276717000000002</v>
      </c>
      <c r="AF6" s="24">
        <f>SUMIFS('Offtake Raw'!AH:AH,'Offtake Raw'!$C:$C,Fem!$D6,'Offtake Raw'!$D:$D,Fem!$E6)/1000000</f>
        <v>0.41422311833333336</v>
      </c>
      <c r="AG6" s="24">
        <f>SUMIFS('Offtake Raw'!AI:AI,'Offtake Raw'!$C:$C,Fem!$D6,'Offtake Raw'!$D:$D,Fem!$E6)/1000000</f>
        <v>0.56644724000000002</v>
      </c>
      <c r="AH6" s="24">
        <f t="shared" ref="AH6:AI6" si="17">AH12+AH18</f>
        <v>0.64</v>
      </c>
      <c r="AI6" s="25">
        <f t="shared" si="17"/>
        <v>0.54</v>
      </c>
      <c r="AJ6" s="229"/>
      <c r="AK6" s="282">
        <v>0.74</v>
      </c>
      <c r="AL6" s="263">
        <f t="shared" si="15"/>
        <v>-0.17355275999999997</v>
      </c>
      <c r="AM6" s="229"/>
      <c r="AN6" s="154">
        <f t="shared" si="4"/>
        <v>96.79800372589969</v>
      </c>
      <c r="AO6" s="147">
        <f t="shared" si="5"/>
        <v>90.901416709682451</v>
      </c>
      <c r="AP6" s="147">
        <f t="shared" si="6"/>
        <v>80.481815505473804</v>
      </c>
      <c r="AQ6" s="147">
        <f t="shared" si="7"/>
        <v>101.89770448775089</v>
      </c>
      <c r="AR6" s="147">
        <f t="shared" si="8"/>
        <v>96.940949056370101</v>
      </c>
      <c r="AS6" s="147">
        <f t="shared" si="9"/>
        <v>76.078118577644261</v>
      </c>
      <c r="AT6" s="147">
        <f t="shared" si="10"/>
        <v>81.872807757899395</v>
      </c>
      <c r="AU6" s="147">
        <f t="shared" si="11"/>
        <v>98.974363689306344</v>
      </c>
      <c r="AV6" s="147">
        <f t="shared" si="12"/>
        <v>78.951851790756322</v>
      </c>
      <c r="AW6" s="155">
        <f t="shared" si="13"/>
        <v>88.010302768842578</v>
      </c>
    </row>
    <row r="7" spans="1:49">
      <c r="A7" s="271" t="s">
        <v>77</v>
      </c>
      <c r="B7" s="22" t="s">
        <v>83</v>
      </c>
      <c r="C7" s="22" t="s">
        <v>126</v>
      </c>
      <c r="D7" s="22" t="s">
        <v>127</v>
      </c>
      <c r="E7" s="22" t="s">
        <v>125</v>
      </c>
      <c r="F7" s="72">
        <f>SUMIFS('Offtake Raw'!H:H,'Offtake Raw'!$C:$C,Fem!$D7,'Offtake Raw'!$D:$D,Fem!$E7)/1000000</f>
        <v>0.13845495000000002</v>
      </c>
      <c r="G7" s="24">
        <f>SUMIFS('Offtake Raw'!I:I,'Offtake Raw'!$C:$C,Fem!$D7,'Offtake Raw'!$D:$D,Fem!$E7)/1000000</f>
        <v>0.14847616999999999</v>
      </c>
      <c r="H7" s="24">
        <f>SUMIFS('Offtake Raw'!J:J,'Offtake Raw'!$C:$C,Fem!$D7,'Offtake Raw'!$D:$D,Fem!$E7)/1000000</f>
        <v>0.13136966</v>
      </c>
      <c r="I7" s="24">
        <f>SUMIFS('Offtake Raw'!K:K,'Offtake Raw'!$C:$C,Fem!$D7,'Offtake Raw'!$D:$D,Fem!$E7)/1000000</f>
        <v>0.10160958</v>
      </c>
      <c r="J7" s="24">
        <f>SUMIFS('Offtake Raw'!L:L,'Offtake Raw'!$C:$C,Fem!$D7,'Offtake Raw'!$D:$D,Fem!$E7)/1000000</f>
        <v>9.8785429999999994E-2</v>
      </c>
      <c r="K7" s="24">
        <f>SUMIFS('Offtake Raw'!M:M,'Offtake Raw'!$C:$C,Fem!$D7,'Offtake Raw'!$D:$D,Fem!$E7)/1000000</f>
        <v>9.6467660000000025E-2</v>
      </c>
      <c r="L7" s="72">
        <f>SUMIFS('Offtake Raw'!N:N,'Offtake Raw'!$C:$C,Fem!$D7,'Offtake Raw'!$D:$D,Fem!$E7)/1000000</f>
        <v>0.10474187000000001</v>
      </c>
      <c r="M7" s="24">
        <f>SUMIFS('Offtake Raw'!O:O,'Offtake Raw'!$C:$C,Fem!$D7,'Offtake Raw'!$D:$D,Fem!$E7)/1000000</f>
        <v>9.9278939999999996E-2</v>
      </c>
      <c r="N7" s="24">
        <f>SUMIFS('Offtake Raw'!P:P,'Offtake Raw'!$C:$C,Fem!$D7,'Offtake Raw'!$D:$D,Fem!$E7)/1000000</f>
        <v>0.11424873999999999</v>
      </c>
      <c r="O7" s="24">
        <f>SUMIFS('Offtake Raw'!Q:Q,'Offtake Raw'!$C:$C,Fem!$D7,'Offtake Raw'!$D:$D,Fem!$E7)/1000000</f>
        <v>0.11892155</v>
      </c>
      <c r="P7" s="24">
        <f>SUMIFS('Offtake Raw'!R:R,'Offtake Raw'!$C:$C,Fem!$D7,'Offtake Raw'!$D:$D,Fem!$E7)/1000000</f>
        <v>0.13904725999999995</v>
      </c>
      <c r="Q7" s="24">
        <f>SUMIFS('Offtake Raw'!S:S,'Offtake Raw'!$C:$C,Fem!$D7,'Offtake Raw'!$D:$D,Fem!$E7)/1000000</f>
        <v>0.12569871000000002</v>
      </c>
      <c r="R7" s="24">
        <f>SUMIFS('Offtake Raw'!T:T,'Offtake Raw'!$C:$C,Fem!$D7,'Offtake Raw'!$D:$D,Fem!$E7)/1000000</f>
        <v>0.10867913999999997</v>
      </c>
      <c r="S7" s="24">
        <f>SUMIFS('Offtake Raw'!U:U,'Offtake Raw'!$C:$C,Fem!$D7,'Offtake Raw'!$D:$D,Fem!$E7)/1000000</f>
        <v>0.13760308000000002</v>
      </c>
      <c r="T7" s="24">
        <f>SUMIFS('Offtake Raw'!V:V,'Offtake Raw'!$C:$C,Fem!$D7,'Offtake Raw'!$D:$D,Fem!$E7)/1000000</f>
        <v>9.5385270000000008E-2</v>
      </c>
      <c r="U7" s="24">
        <f>SUMIFS('Offtake Raw'!W:W,'Offtake Raw'!$C:$C,Fem!$D7,'Offtake Raw'!$D:$D,Fem!$E7)/1000000</f>
        <v>7.7340580000000006E-2</v>
      </c>
      <c r="V7" s="24">
        <f>SUMIFS('Offtake Raw'!X:X,'Offtake Raw'!$C:$C,Fem!$D7,'Offtake Raw'!$D:$D,Fem!$E7)/1000000</f>
        <v>0.11110481</v>
      </c>
      <c r="W7" s="24">
        <f>SUMIFS('Offtake Raw'!Y:Y,'Offtake Raw'!$C:$C,Fem!$D7,'Offtake Raw'!$D:$D,Fem!$E7)/1000000</f>
        <v>9.7359090000000009E-2</v>
      </c>
      <c r="X7" s="72">
        <f>SUMIFS('Offtake Raw'!Z:Z,'Offtake Raw'!$C:$C,Fem!$D7,'Offtake Raw'!$D:$D,Fem!$E7)/1000000</f>
        <v>9.9805270000000001E-2</v>
      </c>
      <c r="Y7" s="24">
        <f>SUMIFS('Offtake Raw'!AA:AA,'Offtake Raw'!$C:$C,Fem!$D7,'Offtake Raw'!$D:$D,Fem!$E7)/1000000</f>
        <v>0.15238464000000002</v>
      </c>
      <c r="Z7" s="24">
        <f>SUMIFS('Offtake Raw'!AB:AB,'Offtake Raw'!$C:$C,Fem!$D7,'Offtake Raw'!$D:$D,Fem!$E7)/1000000</f>
        <v>3.7972980000000003E-2</v>
      </c>
      <c r="AA7" s="24">
        <f>SUMIFS('Offtake Raw'!AC:AC,'Offtake Raw'!$C:$C,Fem!$D7,'Offtake Raw'!$D:$D,Fem!$E7)/1000000</f>
        <v>1.4329440000000001E-2</v>
      </c>
      <c r="AB7" s="24">
        <f>SUMIFS('Offtake Raw'!AD:AD,'Offtake Raw'!$C:$C,Fem!$D7,'Offtake Raw'!$D:$D,Fem!$E7)/1000000</f>
        <v>8.2261599999999997E-3</v>
      </c>
      <c r="AC7" s="24">
        <f>SUMIFS('Offtake Raw'!AE:AE,'Offtake Raw'!$C:$C,Fem!$D7,'Offtake Raw'!$D:$D,Fem!$E7)/1000000</f>
        <v>1.1145120000000001E-2</v>
      </c>
      <c r="AD7" s="24">
        <f>SUMIFS('Offtake Raw'!AF:AF,'Offtake Raw'!$C:$C,Fem!$D7,'Offtake Raw'!$D:$D,Fem!$E7)/1000000</f>
        <v>7.56276E-3</v>
      </c>
      <c r="AE7" s="24">
        <f>SUMIFS('Offtake Raw'!AG:AG,'Offtake Raw'!$C:$C,Fem!$D7,'Offtake Raw'!$D:$D,Fem!$E7)/1000000</f>
        <v>6.6340000000000001E-3</v>
      </c>
      <c r="AF7" s="24">
        <f>SUMIFS('Offtake Raw'!AH:AH,'Offtake Raw'!$C:$C,Fem!$D7,'Offtake Raw'!$D:$D,Fem!$E7)/1000000</f>
        <v>6.5013199999999997E-3</v>
      </c>
      <c r="AG7" s="24">
        <f>SUMIFS('Offtake Raw'!AI:AI,'Offtake Raw'!$C:$C,Fem!$D7,'Offtake Raw'!$D:$D,Fem!$E7)/1000000</f>
        <v>2.8128160000000003E-2</v>
      </c>
      <c r="AH7" s="24">
        <f t="shared" ref="AH7:AI7" si="18">AH13+AH19</f>
        <v>0</v>
      </c>
      <c r="AI7" s="25">
        <f t="shared" si="18"/>
        <v>0</v>
      </c>
      <c r="AJ7" s="229"/>
      <c r="AK7" s="282">
        <v>0</v>
      </c>
      <c r="AL7" s="263">
        <f t="shared" si="15"/>
        <v>2.8128160000000003E-2</v>
      </c>
      <c r="AM7" s="229"/>
      <c r="AN7" s="154">
        <f t="shared" si="4"/>
        <v>36.369212643608314</v>
      </c>
      <c r="AO7" s="147">
        <f t="shared" si="5"/>
        <v>33.247822458108878</v>
      </c>
      <c r="AP7" s="147">
        <f t="shared" si="6"/>
        <v>11.652816137884887</v>
      </c>
      <c r="AQ7" s="147">
        <f t="shared" si="7"/>
        <v>91.168913268642882</v>
      </c>
      <c r="AR7" s="147">
        <f t="shared" si="8"/>
        <v>8.7838345033741749</v>
      </c>
      <c r="AS7" s="147">
        <f t="shared" si="9"/>
        <v>6.0579600359402059</v>
      </c>
      <c r="AT7" s="147">
        <f t="shared" si="10"/>
        <v>9.8417491566262374</v>
      </c>
      <c r="AU7" s="147">
        <f t="shared" si="11"/>
        <v>46.138553417616208</v>
      </c>
      <c r="AV7" s="147">
        <f t="shared" si="12"/>
        <v>7.7814216944224635</v>
      </c>
      <c r="AW7" s="155">
        <f t="shared" si="13"/>
        <v>28.034249714444549</v>
      </c>
    </row>
    <row r="8" spans="1:49">
      <c r="A8" s="272" t="s">
        <v>77</v>
      </c>
      <c r="B8" s="31" t="s">
        <v>83</v>
      </c>
      <c r="C8" s="31" t="s">
        <v>126</v>
      </c>
      <c r="D8" s="31" t="s">
        <v>127</v>
      </c>
      <c r="E8" s="119" t="s">
        <v>122</v>
      </c>
      <c r="F8" s="74">
        <f>SUMIFS('Offtake Raw'!H:H,'Offtake Raw'!$C:$C,Fem!$D8,'Offtake Raw'!$D:$D,Fem!$E8)/1000000</f>
        <v>7.1934084999999995E-2</v>
      </c>
      <c r="G8" s="32">
        <f>SUMIFS('Offtake Raw'!I:I,'Offtake Raw'!$C:$C,Fem!$D8,'Offtake Raw'!$D:$D,Fem!$E8)/1000000</f>
        <v>0.13190539000000001</v>
      </c>
      <c r="H8" s="32">
        <f>SUMIFS('Offtake Raw'!J:J,'Offtake Raw'!$C:$C,Fem!$D8,'Offtake Raw'!$D:$D,Fem!$E8)/1000000</f>
        <v>7.8702499999999995E-2</v>
      </c>
      <c r="I8" s="32">
        <f>SUMIFS('Offtake Raw'!K:K,'Offtake Raw'!$C:$C,Fem!$D8,'Offtake Raw'!$D:$D,Fem!$E8)/1000000</f>
        <v>7.0884718333333319E-2</v>
      </c>
      <c r="J8" s="32">
        <f>SUMIFS('Offtake Raw'!L:L,'Offtake Raw'!$C:$C,Fem!$D8,'Offtake Raw'!$D:$D,Fem!$E8)/1000000</f>
        <v>0.12440241833333333</v>
      </c>
      <c r="K8" s="32">
        <f>SUMIFS('Offtake Raw'!M:M,'Offtake Raw'!$C:$C,Fem!$D8,'Offtake Raw'!$D:$D,Fem!$E8)/1000000</f>
        <v>0.12539931666666668</v>
      </c>
      <c r="L8" s="74">
        <f>SUMIFS('Offtake Raw'!N:N,'Offtake Raw'!$C:$C,Fem!$D8,'Offtake Raw'!$D:$D,Fem!$E8)/1000000</f>
        <v>9.192452000000001E-2</v>
      </c>
      <c r="M8" s="32">
        <f>SUMIFS('Offtake Raw'!O:O,'Offtake Raw'!$C:$C,Fem!$D8,'Offtake Raw'!$D:$D,Fem!$E8)/1000000</f>
        <v>0.14449779000000001</v>
      </c>
      <c r="N8" s="32">
        <f>SUMIFS('Offtake Raw'!P:P,'Offtake Raw'!$C:$C,Fem!$D8,'Offtake Raw'!$D:$D,Fem!$E8)/1000000</f>
        <v>0.13804418499999999</v>
      </c>
      <c r="O8" s="32">
        <f>SUMIFS('Offtake Raw'!Q:Q,'Offtake Raw'!$C:$C,Fem!$D8,'Offtake Raw'!$D:$D,Fem!$E8)/1000000</f>
        <v>9.591211333333334E-2</v>
      </c>
      <c r="P8" s="32">
        <f>SUMIFS('Offtake Raw'!R:R,'Offtake Raw'!$C:$C,Fem!$D8,'Offtake Raw'!$D:$D,Fem!$E8)/1000000</f>
        <v>0.16034322666666667</v>
      </c>
      <c r="Q8" s="32">
        <f>SUMIFS('Offtake Raw'!S:S,'Offtake Raw'!$C:$C,Fem!$D8,'Offtake Raw'!$D:$D,Fem!$E8)/1000000</f>
        <v>0.11590254833333334</v>
      </c>
      <c r="R8" s="32">
        <f>SUMIFS('Offtake Raw'!T:T,'Offtake Raw'!$C:$C,Fem!$D8,'Offtake Raw'!$D:$D,Fem!$E8)/1000000</f>
        <v>0.13809665333333335</v>
      </c>
      <c r="S8" s="32">
        <f>SUMIFS('Offtake Raw'!U:U,'Offtake Raw'!$C:$C,Fem!$D8,'Offtake Raw'!$D:$D,Fem!$E8)/1000000</f>
        <v>0.12093950833333333</v>
      </c>
      <c r="T8" s="32">
        <f>SUMIFS('Offtake Raw'!V:V,'Offtake Raw'!$C:$C,Fem!$D8,'Offtake Raw'!$D:$D,Fem!$E8)/1000000</f>
        <v>9.4338063333333319E-2</v>
      </c>
      <c r="U8" s="32">
        <f>SUMIFS('Offtake Raw'!W:W,'Offtake Raw'!$C:$C,Fem!$D8,'Offtake Raw'!$D:$D,Fem!$E8)/1000000</f>
        <v>0.10247065499999999</v>
      </c>
      <c r="V8" s="32">
        <f>SUMIFS('Offtake Raw'!X:X,'Offtake Raw'!$C:$C,Fem!$D8,'Offtake Raw'!$D:$D,Fem!$E8)/1000000</f>
        <v>0.10729774166666667</v>
      </c>
      <c r="W8" s="32">
        <f>SUMIFS('Offtake Raw'!Y:Y,'Offtake Raw'!$C:$C,Fem!$D8,'Offtake Raw'!$D:$D,Fem!$E8)/1000000</f>
        <v>8.7884458333333346E-2</v>
      </c>
      <c r="X8" s="74">
        <f>SUMIFS('Offtake Raw'!Z:Z,'Offtake Raw'!$C:$C,Fem!$D8,'Offtake Raw'!$D:$D,Fem!$E8)/1000000</f>
        <v>0.12770792333333333</v>
      </c>
      <c r="Y8" s="32">
        <f>SUMIFS('Offtake Raw'!AA:AA,'Offtake Raw'!$C:$C,Fem!$D8,'Offtake Raw'!$D:$D,Fem!$E8)/1000000</f>
        <v>0.10719280499999999</v>
      </c>
      <c r="Z8" s="32">
        <f>SUMIFS('Offtake Raw'!AB:AB,'Offtake Raw'!$C:$C,Fem!$D8,'Offtake Raw'!$D:$D,Fem!$E8)/1000000</f>
        <v>7.7600665000000013E-2</v>
      </c>
      <c r="AA8" s="32">
        <f>SUMIFS('Offtake Raw'!AC:AC,'Offtake Raw'!$C:$C,Fem!$D8,'Offtake Raw'!$D:$D,Fem!$E8)/1000000</f>
        <v>0.11794881333333333</v>
      </c>
      <c r="AB8" s="32">
        <f>SUMIFS('Offtake Raw'!AD:AD,'Offtake Raw'!$C:$C,Fem!$D8,'Offtake Raw'!$D:$D,Fem!$E8)/1000000</f>
        <v>0.10016204833333334</v>
      </c>
      <c r="AC8" s="32">
        <f>SUMIFS('Offtake Raw'!AE:AE,'Offtake Raw'!$C:$C,Fem!$D8,'Offtake Raw'!$D:$D,Fem!$E8)/1000000</f>
        <v>0.10462185666666668</v>
      </c>
      <c r="AD8" s="32">
        <f>SUMIFS('Offtake Raw'!AF:AF,'Offtake Raw'!$C:$C,Fem!$D8,'Offtake Raw'!$D:$D,Fem!$E8)/1000000</f>
        <v>8.6048066666666659E-2</v>
      </c>
      <c r="AE8" s="32">
        <f>SUMIFS('Offtake Raw'!AG:AG,'Offtake Raw'!$C:$C,Fem!$D8,'Offtake Raw'!$D:$D,Fem!$E8)/1000000</f>
        <v>9.8797871666666676E-2</v>
      </c>
      <c r="AF8" s="32">
        <f>SUMIFS('Offtake Raw'!AH:AH,'Offtake Raw'!$C:$C,Fem!$D8,'Offtake Raw'!$D:$D,Fem!$E8)/1000000</f>
        <v>8.3582054999999988E-2</v>
      </c>
      <c r="AG8" s="32">
        <f>SUMIFS('Offtake Raw'!AI:AI,'Offtake Raw'!$C:$C,Fem!$D8,'Offtake Raw'!$D:$D,Fem!$E8)/1000000</f>
        <v>0.114118625</v>
      </c>
      <c r="AH8" s="32">
        <f t="shared" ref="AH8:AI8" si="19">AH14+AH20</f>
        <v>0.1</v>
      </c>
      <c r="AI8" s="33">
        <f t="shared" si="19"/>
        <v>0.1</v>
      </c>
      <c r="AJ8" s="229"/>
      <c r="AK8" s="283">
        <v>0.1</v>
      </c>
      <c r="AL8" s="264">
        <f t="shared" si="15"/>
        <v>1.4118624999999996E-2</v>
      </c>
      <c r="AM8" s="229"/>
      <c r="AN8" s="82">
        <f t="shared" si="4"/>
        <v>111.36712749615975</v>
      </c>
      <c r="AO8" s="83">
        <f t="shared" si="5"/>
        <v>84.640893620734786</v>
      </c>
      <c r="AP8" s="83">
        <f t="shared" si="6"/>
        <v>83.920349907918975</v>
      </c>
      <c r="AQ8" s="83">
        <f t="shared" si="7"/>
        <v>83.452430993414595</v>
      </c>
      <c r="AR8" s="83">
        <f t="shared" si="8"/>
        <v>86.719300719018747</v>
      </c>
      <c r="AS8" s="83">
        <f t="shared" si="9"/>
        <v>75.96139569413512</v>
      </c>
      <c r="AT8" s="83">
        <f t="shared" si="10"/>
        <v>105.53187033935892</v>
      </c>
      <c r="AU8" s="83">
        <f t="shared" si="11"/>
        <v>85.080815179198865</v>
      </c>
      <c r="AV8" s="83">
        <f t="shared" si="12"/>
        <v>89.481165412248799</v>
      </c>
      <c r="AW8" s="84">
        <f t="shared" si="13"/>
        <v>87.13050155549152</v>
      </c>
    </row>
    <row r="9" spans="1:49" outlineLevel="1">
      <c r="A9" s="273" t="s">
        <v>77</v>
      </c>
      <c r="B9" s="100" t="s">
        <v>715</v>
      </c>
      <c r="C9" s="100" t="s">
        <v>126</v>
      </c>
      <c r="D9" s="100" t="s">
        <v>127</v>
      </c>
      <c r="E9" s="100" t="s">
        <v>103</v>
      </c>
      <c r="F9" s="202"/>
      <c r="G9" s="103"/>
      <c r="H9" s="103"/>
      <c r="I9" s="103"/>
      <c r="J9" s="103"/>
      <c r="K9" s="103"/>
      <c r="L9" s="202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202"/>
      <c r="Y9" s="103"/>
      <c r="Z9" s="103"/>
      <c r="AA9" s="103"/>
      <c r="AB9" s="103"/>
      <c r="AC9" s="103"/>
      <c r="AD9" s="103">
        <f>AD10+AD11+AD12+AD13+AD14</f>
        <v>2.04</v>
      </c>
      <c r="AE9" s="103">
        <f t="shared" ref="AE9:AI9" si="20">AE10+AE11+AE12+AE13+AE14</f>
        <v>2.04</v>
      </c>
      <c r="AF9" s="103">
        <f t="shared" si="20"/>
        <v>2.04</v>
      </c>
      <c r="AG9" s="103">
        <f t="shared" si="20"/>
        <v>2.04</v>
      </c>
      <c r="AH9" s="103">
        <f t="shared" si="20"/>
        <v>2.04</v>
      </c>
      <c r="AI9" s="104">
        <f t="shared" si="20"/>
        <v>2.04</v>
      </c>
      <c r="AK9" s="250"/>
    </row>
    <row r="10" spans="1:49" outlineLevel="1">
      <c r="A10" s="274" t="s">
        <v>77</v>
      </c>
      <c r="B10" s="92" t="s">
        <v>716</v>
      </c>
      <c r="C10" s="22" t="s">
        <v>126</v>
      </c>
      <c r="D10" s="22" t="s">
        <v>127</v>
      </c>
      <c r="E10" s="22" t="s">
        <v>20</v>
      </c>
      <c r="F10" s="72"/>
      <c r="G10" s="24"/>
      <c r="H10" s="24"/>
      <c r="I10" s="24"/>
      <c r="J10" s="24"/>
      <c r="K10" s="24"/>
      <c r="L10" s="72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72"/>
      <c r="Y10" s="24"/>
      <c r="Z10" s="24"/>
      <c r="AA10" s="24"/>
      <c r="AB10" s="24"/>
      <c r="AC10" s="24"/>
      <c r="AD10" s="24">
        <v>0.8</v>
      </c>
      <c r="AE10" s="24">
        <v>0.8</v>
      </c>
      <c r="AF10" s="24">
        <v>0.8</v>
      </c>
      <c r="AG10" s="24">
        <v>0.8</v>
      </c>
      <c r="AH10" s="24">
        <v>0.8</v>
      </c>
      <c r="AI10" s="25">
        <v>0.8</v>
      </c>
      <c r="AK10" s="250"/>
    </row>
    <row r="11" spans="1:49" outlineLevel="1">
      <c r="A11" s="271" t="s">
        <v>77</v>
      </c>
      <c r="B11" s="22" t="s">
        <v>715</v>
      </c>
      <c r="C11" s="22" t="s">
        <v>126</v>
      </c>
      <c r="D11" s="22" t="s">
        <v>127</v>
      </c>
      <c r="E11" s="22" t="s">
        <v>47</v>
      </c>
      <c r="F11" s="72"/>
      <c r="G11" s="24"/>
      <c r="H11" s="24"/>
      <c r="I11" s="24"/>
      <c r="J11" s="24"/>
      <c r="K11" s="24"/>
      <c r="L11" s="72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72"/>
      <c r="Y11" s="24"/>
      <c r="Z11" s="24"/>
      <c r="AA11" s="24"/>
      <c r="AB11" s="24"/>
      <c r="AC11" s="24"/>
      <c r="AD11" s="24">
        <v>0.6</v>
      </c>
      <c r="AE11" s="24">
        <v>0.6</v>
      </c>
      <c r="AF11" s="24">
        <v>0.6</v>
      </c>
      <c r="AG11" s="24">
        <v>0.6</v>
      </c>
      <c r="AH11" s="24">
        <v>0.6</v>
      </c>
      <c r="AI11" s="25">
        <v>0.6</v>
      </c>
      <c r="AK11" s="250"/>
    </row>
    <row r="12" spans="1:49" outlineLevel="1">
      <c r="A12" s="271" t="s">
        <v>77</v>
      </c>
      <c r="B12" s="22" t="s">
        <v>715</v>
      </c>
      <c r="C12" s="22" t="s">
        <v>126</v>
      </c>
      <c r="D12" s="22" t="s">
        <v>127</v>
      </c>
      <c r="E12" s="22" t="s">
        <v>124</v>
      </c>
      <c r="F12" s="72"/>
      <c r="G12" s="24"/>
      <c r="H12" s="24"/>
      <c r="I12" s="24"/>
      <c r="J12" s="24"/>
      <c r="K12" s="24"/>
      <c r="L12" s="72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72"/>
      <c r="Y12" s="24"/>
      <c r="Z12" s="24"/>
      <c r="AA12" s="24"/>
      <c r="AB12" s="24"/>
      <c r="AC12" s="24"/>
      <c r="AD12" s="24">
        <v>0.54</v>
      </c>
      <c r="AE12" s="24">
        <v>0.54</v>
      </c>
      <c r="AF12" s="24">
        <v>0.54</v>
      </c>
      <c r="AG12" s="24">
        <v>0.54</v>
      </c>
      <c r="AH12" s="24">
        <v>0.54</v>
      </c>
      <c r="AI12" s="25">
        <v>0.54</v>
      </c>
      <c r="AK12" s="250"/>
    </row>
    <row r="13" spans="1:49" outlineLevel="1">
      <c r="A13" s="271" t="s">
        <v>77</v>
      </c>
      <c r="B13" s="22" t="s">
        <v>715</v>
      </c>
      <c r="C13" s="22" t="s">
        <v>126</v>
      </c>
      <c r="D13" s="22" t="s">
        <v>127</v>
      </c>
      <c r="E13" s="22" t="s">
        <v>125</v>
      </c>
      <c r="F13" s="72"/>
      <c r="G13" s="24"/>
      <c r="H13" s="24"/>
      <c r="I13" s="24"/>
      <c r="J13" s="24"/>
      <c r="K13" s="24"/>
      <c r="L13" s="72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72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5"/>
      <c r="AK13" s="250"/>
    </row>
    <row r="14" spans="1:49" outlineLevel="1">
      <c r="A14" s="272" t="s">
        <v>77</v>
      </c>
      <c r="B14" s="31" t="s">
        <v>715</v>
      </c>
      <c r="C14" s="31" t="s">
        <v>126</v>
      </c>
      <c r="D14" s="31" t="s">
        <v>127</v>
      </c>
      <c r="E14" s="31" t="s">
        <v>122</v>
      </c>
      <c r="F14" s="74"/>
      <c r="G14" s="32"/>
      <c r="H14" s="32"/>
      <c r="I14" s="32"/>
      <c r="J14" s="32"/>
      <c r="K14" s="32"/>
      <c r="L14" s="74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74"/>
      <c r="Y14" s="32"/>
      <c r="Z14" s="32"/>
      <c r="AA14" s="32"/>
      <c r="AB14" s="32"/>
      <c r="AC14" s="32"/>
      <c r="AD14" s="32">
        <v>0.1</v>
      </c>
      <c r="AE14" s="32">
        <v>0.1</v>
      </c>
      <c r="AF14" s="32">
        <v>0.1</v>
      </c>
      <c r="AG14" s="32">
        <v>0.1</v>
      </c>
      <c r="AH14" s="32">
        <v>0.1</v>
      </c>
      <c r="AI14" s="33">
        <v>0.1</v>
      </c>
      <c r="AK14" s="250"/>
    </row>
    <row r="15" spans="1:49" outlineLevel="1">
      <c r="A15" s="273" t="s">
        <v>77</v>
      </c>
      <c r="B15" s="100" t="s">
        <v>717</v>
      </c>
      <c r="C15" s="100" t="s">
        <v>126</v>
      </c>
      <c r="D15" s="100" t="s">
        <v>127</v>
      </c>
      <c r="E15" s="100" t="s">
        <v>103</v>
      </c>
      <c r="F15" s="202"/>
      <c r="G15" s="103"/>
      <c r="H15" s="103"/>
      <c r="I15" s="103"/>
      <c r="J15" s="103"/>
      <c r="K15" s="103"/>
      <c r="L15" s="202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202"/>
      <c r="Y15" s="103"/>
      <c r="Z15" s="103"/>
      <c r="AA15" s="103"/>
      <c r="AB15" s="103"/>
      <c r="AC15" s="103"/>
      <c r="AD15" s="103">
        <f>AD16+AD17+AD18+AD19+AD20</f>
        <v>4.4861899999999997</v>
      </c>
      <c r="AE15" s="103">
        <f t="shared" ref="AE15" si="21">AE16+AE17+AE18+AE19+AE20</f>
        <v>1.7461900000000004</v>
      </c>
      <c r="AF15" s="103">
        <f t="shared" ref="AF15" si="22">AF16+AF17+AF18+AF19+AF20</f>
        <v>0.2</v>
      </c>
      <c r="AG15" s="103">
        <f t="shared" ref="AG15" si="23">AG16+AG17+AG18+AG19+AG20</f>
        <v>0.8</v>
      </c>
      <c r="AH15" s="103">
        <f t="shared" ref="AH15" si="24">AH16+AH17+AH18+AH19+AH20</f>
        <v>2.25</v>
      </c>
      <c r="AI15" s="104">
        <f t="shared" ref="AI15" si="25">AI16+AI17+AI18+AI19+AI20</f>
        <v>1.85</v>
      </c>
      <c r="AK15" s="250"/>
    </row>
    <row r="16" spans="1:49" outlineLevel="1">
      <c r="A16" s="274" t="s">
        <v>77</v>
      </c>
      <c r="B16" s="92" t="s">
        <v>718</v>
      </c>
      <c r="C16" s="22" t="s">
        <v>126</v>
      </c>
      <c r="D16" s="22" t="s">
        <v>127</v>
      </c>
      <c r="E16" s="22" t="s">
        <v>20</v>
      </c>
      <c r="F16" s="72"/>
      <c r="G16" s="24"/>
      <c r="H16" s="24"/>
      <c r="I16" s="24"/>
      <c r="J16" s="24"/>
      <c r="K16" s="24"/>
      <c r="L16" s="72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72"/>
      <c r="Y16" s="24"/>
      <c r="Z16" s="24"/>
      <c r="AA16" s="24"/>
      <c r="AB16" s="24"/>
      <c r="AC16" s="24"/>
      <c r="AD16" s="24">
        <v>2.2000000000000002</v>
      </c>
      <c r="AE16" s="24">
        <v>0.3</v>
      </c>
      <c r="AG16" s="24">
        <v>0.4</v>
      </c>
      <c r="AH16" s="24">
        <v>0.3</v>
      </c>
      <c r="AI16" s="42"/>
      <c r="AK16" s="250"/>
    </row>
    <row r="17" spans="1:50" outlineLevel="1">
      <c r="A17" s="271" t="s">
        <v>77</v>
      </c>
      <c r="B17" s="22" t="s">
        <v>717</v>
      </c>
      <c r="C17" s="22" t="s">
        <v>126</v>
      </c>
      <c r="D17" s="22" t="s">
        <v>127</v>
      </c>
      <c r="E17" s="22" t="s">
        <v>47</v>
      </c>
      <c r="F17" s="72"/>
      <c r="G17" s="24"/>
      <c r="H17" s="24"/>
      <c r="I17" s="24"/>
      <c r="J17" s="24"/>
      <c r="K17" s="24"/>
      <c r="L17" s="72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72"/>
      <c r="Y17" s="24"/>
      <c r="Z17" s="24"/>
      <c r="AA17" s="24"/>
      <c r="AB17" s="24"/>
      <c r="AC17" s="24"/>
      <c r="AD17" s="212">
        <f>(((13500+15000+15000)*89.48)*50%/1000000+N("2檔Day pants後壁櫃$79 奢柔ML/XL/早安ML"))*1+0.2+N("新品uplift")</f>
        <v>2.1461900000000003</v>
      </c>
      <c r="AE17" s="212">
        <f>(((13500+15000+15000)*89.48)*50%/1000000+N("2檔Day pants後壁櫃$79 奢柔ML/XL/早安ML"))*1+0.2+N("新品uplift")-0.7+N("Jan actual實際推估")</f>
        <v>1.4461900000000003</v>
      </c>
      <c r="AF17" s="212">
        <f>0.2+N("新品uplift")</f>
        <v>0.2</v>
      </c>
      <c r="AG17" s="212">
        <f>0.2</f>
        <v>0.2</v>
      </c>
      <c r="AH17" s="212">
        <f>0.1+N("新品uplift")+3.5/2+N("Pants後壁櫃 H一百萬")</f>
        <v>1.85</v>
      </c>
      <c r="AI17" s="91">
        <f>0.1+N("新品uplift")+3.5/2+N("Pants後壁櫃 H一百萬")</f>
        <v>1.85</v>
      </c>
      <c r="AK17" s="250"/>
    </row>
    <row r="18" spans="1:50" outlineLevel="1">
      <c r="A18" s="271" t="s">
        <v>77</v>
      </c>
      <c r="B18" s="22" t="s">
        <v>717</v>
      </c>
      <c r="C18" s="22" t="s">
        <v>126</v>
      </c>
      <c r="D18" s="22" t="s">
        <v>127</v>
      </c>
      <c r="E18" s="22" t="s">
        <v>124</v>
      </c>
      <c r="F18" s="72"/>
      <c r="G18" s="24"/>
      <c r="H18" s="24"/>
      <c r="I18" s="24"/>
      <c r="J18" s="24"/>
      <c r="K18" s="24"/>
      <c r="L18" s="72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72"/>
      <c r="Y18" s="24"/>
      <c r="Z18" s="24"/>
      <c r="AA18" s="24"/>
      <c r="AB18" s="24"/>
      <c r="AC18" s="24"/>
      <c r="AD18" s="24">
        <v>0.14000000000000001</v>
      </c>
      <c r="AG18" s="24">
        <v>0.2</v>
      </c>
      <c r="AH18" s="24">
        <v>0.1</v>
      </c>
      <c r="AI18" s="42"/>
      <c r="AK18" s="250"/>
      <c r="AX18" s="21" t="s">
        <v>746</v>
      </c>
    </row>
    <row r="19" spans="1:50" outlineLevel="1">
      <c r="A19" s="271" t="s">
        <v>77</v>
      </c>
      <c r="B19" s="22" t="s">
        <v>717</v>
      </c>
      <c r="C19" s="22" t="s">
        <v>126</v>
      </c>
      <c r="D19" s="22" t="s">
        <v>127</v>
      </c>
      <c r="E19" s="22" t="s">
        <v>125</v>
      </c>
      <c r="F19" s="72"/>
      <c r="G19" s="24"/>
      <c r="H19" s="24"/>
      <c r="I19" s="24"/>
      <c r="J19" s="24"/>
      <c r="K19" s="24"/>
      <c r="L19" s="72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72"/>
      <c r="Y19" s="24"/>
      <c r="Z19" s="24"/>
      <c r="AA19" s="24"/>
      <c r="AB19" s="24"/>
      <c r="AC19" s="24"/>
      <c r="AI19" s="42"/>
    </row>
    <row r="20" spans="1:50" outlineLevel="1">
      <c r="A20" s="272" t="s">
        <v>77</v>
      </c>
      <c r="B20" s="31" t="s">
        <v>717</v>
      </c>
      <c r="C20" s="31" t="s">
        <v>126</v>
      </c>
      <c r="D20" s="31" t="s">
        <v>127</v>
      </c>
      <c r="E20" s="31" t="s">
        <v>122</v>
      </c>
      <c r="F20" s="74"/>
      <c r="G20" s="32"/>
      <c r="H20" s="32"/>
      <c r="I20" s="32"/>
      <c r="J20" s="32"/>
      <c r="K20" s="32"/>
      <c r="L20" s="74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74"/>
      <c r="Y20" s="32"/>
      <c r="Z20" s="32"/>
      <c r="AA20" s="32"/>
      <c r="AB20" s="32"/>
      <c r="AC20" s="32"/>
      <c r="AD20" s="66"/>
      <c r="AE20" s="66"/>
      <c r="AF20" s="66"/>
      <c r="AG20" s="66"/>
      <c r="AH20" s="66"/>
      <c r="AI20" s="71"/>
      <c r="AK20" s="250"/>
    </row>
    <row r="21" spans="1:50">
      <c r="A21" s="275" t="s">
        <v>731</v>
      </c>
      <c r="B21" s="96" t="s">
        <v>83</v>
      </c>
      <c r="C21" s="96" t="s">
        <v>126</v>
      </c>
      <c r="D21" s="96" t="s">
        <v>127</v>
      </c>
      <c r="E21" s="96" t="s">
        <v>103</v>
      </c>
      <c r="F21" s="203">
        <f>SUM(F22:F26)</f>
        <v>2.1701545039999957</v>
      </c>
      <c r="G21" s="98">
        <f t="shared" ref="G21:AI21" si="26">SUM(G22:G26)</f>
        <v>2.747500103999998</v>
      </c>
      <c r="H21" s="98">
        <f t="shared" si="26"/>
        <v>2.692099535999998</v>
      </c>
      <c r="I21" s="98">
        <f t="shared" si="26"/>
        <v>2.6318458919999972</v>
      </c>
      <c r="J21" s="98">
        <f t="shared" si="26"/>
        <v>3.5084110079999942</v>
      </c>
      <c r="K21" s="98">
        <f t="shared" si="26"/>
        <v>3.3302431579999903</v>
      </c>
      <c r="L21" s="203">
        <f>SUM(L22:L26)</f>
        <v>2.2927104479999914</v>
      </c>
      <c r="M21" s="98">
        <f t="shared" si="26"/>
        <v>2.6062901619999925</v>
      </c>
      <c r="N21" s="98">
        <f t="shared" si="26"/>
        <v>2.1807679839999952</v>
      </c>
      <c r="O21" s="98">
        <f t="shared" si="26"/>
        <v>2.9698954039999932</v>
      </c>
      <c r="P21" s="98">
        <f t="shared" si="26"/>
        <v>3.1237166679999913</v>
      </c>
      <c r="Q21" s="98">
        <f t="shared" si="26"/>
        <v>2.7153060159999951</v>
      </c>
      <c r="R21" s="98">
        <f t="shared" si="26"/>
        <v>6.0089560950000003</v>
      </c>
      <c r="S21" s="98">
        <f t="shared" si="26"/>
        <v>2.4458270039999976</v>
      </c>
      <c r="T21" s="98">
        <f t="shared" si="26"/>
        <v>2.3217877169999936</v>
      </c>
      <c r="U21" s="98">
        <f t="shared" si="26"/>
        <v>2.7676525799999974</v>
      </c>
      <c r="V21" s="98">
        <f t="shared" si="26"/>
        <v>4.9131874989999966</v>
      </c>
      <c r="W21" s="98">
        <f t="shared" si="26"/>
        <v>3.8123476929999955</v>
      </c>
      <c r="X21" s="203">
        <f t="shared" si="26"/>
        <v>1.4414439559999972</v>
      </c>
      <c r="Y21" s="98">
        <f t="shared" si="26"/>
        <v>2.4374859379999969</v>
      </c>
      <c r="Z21" s="98">
        <f t="shared" si="26"/>
        <v>1.7195319779999974</v>
      </c>
      <c r="AA21" s="98">
        <f t="shared" si="26"/>
        <v>3.7005075179999967</v>
      </c>
      <c r="AB21" s="98">
        <f t="shared" si="26"/>
        <v>2.7971299719999987</v>
      </c>
      <c r="AC21" s="98">
        <f t="shared" si="26"/>
        <v>5.8033477803999975</v>
      </c>
      <c r="AD21" s="98">
        <f t="shared" si="26"/>
        <v>4.7595904362000008</v>
      </c>
      <c r="AE21" s="98">
        <f t="shared" si="26"/>
        <v>3.53</v>
      </c>
      <c r="AF21" s="98">
        <f t="shared" si="26"/>
        <v>2.8499204229999986</v>
      </c>
      <c r="AG21" s="98">
        <f t="shared" si="26"/>
        <v>1.7278985660999988</v>
      </c>
      <c r="AH21" s="98">
        <f t="shared" si="26"/>
        <v>5.839999999999999</v>
      </c>
      <c r="AI21" s="99">
        <f t="shared" si="26"/>
        <v>2.8400000000000003</v>
      </c>
      <c r="AK21" s="281">
        <v>2.8400000000000003</v>
      </c>
      <c r="AL21" s="281">
        <f t="shared" ref="AL21:AL44" si="27">AG21-AK21</f>
        <v>-1.1121014339000015</v>
      </c>
      <c r="AN21" s="156">
        <f t="shared" ref="AN21:AN44" si="28">IFERROR(AG21/U21*100,"NA")</f>
        <v>62.431917162810969</v>
      </c>
      <c r="AO21" s="157">
        <f t="shared" ref="AO21:AO44" si="29">IFERROR(SUM(X21:AG21)/SUM(L21:U21)*100,"NA")</f>
        <v>104.53215970206466</v>
      </c>
      <c r="AP21" s="157">
        <f t="shared" ref="AP21:AP44" si="30">IFERROR(SUM(AD21:AG21)/SUM(R21:U21)*100,"NA")</f>
        <v>95.002932608894554</v>
      </c>
      <c r="AQ21" s="157">
        <f t="shared" ref="AQ21:AQ26" si="31">IFERROR(SUM(X21:Z21)/SUM(L21:N21)*100,"NA")</f>
        <v>79.076904812180189</v>
      </c>
      <c r="AR21" s="157">
        <f t="shared" ref="AR21:AR26" si="32">IFERROR(SUM(AA21:AC21)/SUM(O21:Q21)*100,"NA")</f>
        <v>139.64240724586949</v>
      </c>
      <c r="AS21" s="157">
        <f t="shared" ref="AS21:AS26" si="33">IFERROR(SUM(AD21:AF21)/SUM(R21:T21)*100,"NA")</f>
        <v>103.36786209079747</v>
      </c>
      <c r="AT21" s="157">
        <f t="shared" ref="AT21:AT26" si="34">IFERROR(SUM(AG21:AI21)/SUM(U21:W21)*100,"NA")</f>
        <v>90.557108894157267</v>
      </c>
      <c r="AU21" s="157">
        <f t="shared" ref="AU21:AU26" si="35">IFERROR(SUM(X21:AC21)/SUM(L21:Q21)*100,"NA")</f>
        <v>112.6552968199567</v>
      </c>
      <c r="AV21" s="157">
        <f t="shared" ref="AV21:AV26" si="36">IFERROR(SUM(AD21:AI21)/SUM(R21:W21)*100,"NA")</f>
        <v>96.756367340734357</v>
      </c>
      <c r="AW21" s="158">
        <f t="shared" ref="AW21:AW26" si="37">IFERROR(SUM(X21:AI21)/SUM(L21:W21)*100,"NA")</f>
        <v>103.37647744446494</v>
      </c>
    </row>
    <row r="22" spans="1:50">
      <c r="A22" s="276" t="s">
        <v>731</v>
      </c>
      <c r="B22" s="92" t="s">
        <v>83</v>
      </c>
      <c r="C22" s="22" t="s">
        <v>126</v>
      </c>
      <c r="D22" s="22" t="s">
        <v>127</v>
      </c>
      <c r="E22" s="22" t="s">
        <v>20</v>
      </c>
      <c r="F22" s="72">
        <v>1.0843047799999999</v>
      </c>
      <c r="G22" s="24">
        <v>1.1560025999999992</v>
      </c>
      <c r="H22" s="24">
        <v>1.14278992</v>
      </c>
      <c r="I22" s="24">
        <v>1.6412704399999996</v>
      </c>
      <c r="J22" s="24">
        <v>0.49694164000000024</v>
      </c>
      <c r="K22" s="24">
        <v>0.8547858600000009</v>
      </c>
      <c r="L22" s="72">
        <v>1.3937515199999995</v>
      </c>
      <c r="M22" s="24">
        <v>1.2668039</v>
      </c>
      <c r="N22" s="24">
        <v>0.76237256000000087</v>
      </c>
      <c r="O22" s="24">
        <v>1.4323213199999996</v>
      </c>
      <c r="P22" s="24">
        <v>1.6854240200000004</v>
      </c>
      <c r="Q22" s="24">
        <v>1.6024711800000009</v>
      </c>
      <c r="R22" s="24">
        <v>0.89094456000000033</v>
      </c>
      <c r="S22" s="24">
        <v>1.3476997199999996</v>
      </c>
      <c r="T22" s="24">
        <v>1.4488788200000011</v>
      </c>
      <c r="U22" s="24">
        <v>1.670571419999999</v>
      </c>
      <c r="V22" s="24">
        <v>0.16430694000000007</v>
      </c>
      <c r="W22" s="24">
        <v>0.73120706000000057</v>
      </c>
      <c r="X22" s="72">
        <v>0.68542144000000071</v>
      </c>
      <c r="Y22" s="24">
        <v>1.30781934</v>
      </c>
      <c r="Z22" s="24">
        <v>0.46431066000000043</v>
      </c>
      <c r="AA22" s="24">
        <v>1.9636240799999998</v>
      </c>
      <c r="AB22" s="24">
        <v>1.8833342999999998</v>
      </c>
      <c r="AC22" s="24">
        <v>2.2299153999999985</v>
      </c>
      <c r="AD22" s="24">
        <v>1.8861586799999996</v>
      </c>
      <c r="AE22" s="24">
        <v>0.89</v>
      </c>
      <c r="AF22" s="24">
        <v>1.3535270199999998</v>
      </c>
      <c r="AG22" s="24">
        <v>0.91608102000000047</v>
      </c>
      <c r="AH22" s="24">
        <f t="shared" ref="AH22:AI22" si="38">AH4+AH28+AH34</f>
        <v>1.1000000000000001</v>
      </c>
      <c r="AI22" s="25">
        <f t="shared" si="38"/>
        <v>0.8</v>
      </c>
      <c r="AK22" s="282">
        <v>1.2000000000000002</v>
      </c>
      <c r="AL22" s="263">
        <f t="shared" si="27"/>
        <v>-0.28391897999999971</v>
      </c>
      <c r="AN22" s="151">
        <f t="shared" si="28"/>
        <v>54.836387659499231</v>
      </c>
      <c r="AO22" s="152">
        <f t="shared" si="29"/>
        <v>100.58478277351463</v>
      </c>
      <c r="AP22" s="152">
        <f t="shared" si="30"/>
        <v>94.170916566809652</v>
      </c>
      <c r="AQ22" s="152">
        <f t="shared" si="31"/>
        <v>71.796761555000671</v>
      </c>
      <c r="AR22" s="152">
        <f t="shared" si="32"/>
        <v>128.74142010756736</v>
      </c>
      <c r="AS22" s="152">
        <f t="shared" si="33"/>
        <v>111.99077505439894</v>
      </c>
      <c r="AT22" s="152">
        <f t="shared" si="34"/>
        <v>109.74229454918148</v>
      </c>
      <c r="AU22" s="152">
        <f t="shared" si="35"/>
        <v>104.80503225750198</v>
      </c>
      <c r="AV22" s="152">
        <f t="shared" si="36"/>
        <v>111.06814086277339</v>
      </c>
      <c r="AW22" s="153">
        <f t="shared" si="37"/>
        <v>107.52557829181954</v>
      </c>
    </row>
    <row r="23" spans="1:50">
      <c r="A23" s="277" t="s">
        <v>731</v>
      </c>
      <c r="B23" s="22" t="s">
        <v>83</v>
      </c>
      <c r="C23" s="22" t="s">
        <v>126</v>
      </c>
      <c r="D23" s="22" t="s">
        <v>127</v>
      </c>
      <c r="E23" s="22" t="s">
        <v>47</v>
      </c>
      <c r="F23" s="72">
        <v>0.38953375000000001</v>
      </c>
      <c r="G23" s="24">
        <v>0.91339619999999988</v>
      </c>
      <c r="H23" s="24">
        <v>0.60677347999999975</v>
      </c>
      <c r="I23" s="24">
        <v>0.42603404999999994</v>
      </c>
      <c r="J23" s="24">
        <v>2.1492638999999998</v>
      </c>
      <c r="K23" s="24">
        <v>1.7092751000000004</v>
      </c>
      <c r="L23" s="72">
        <v>0.40071599999999996</v>
      </c>
      <c r="M23" s="24">
        <v>0.52819139999999987</v>
      </c>
      <c r="N23" s="24">
        <v>0.46884809999999982</v>
      </c>
      <c r="O23" s="24">
        <v>0.47232360000000001</v>
      </c>
      <c r="P23" s="24">
        <v>0.74191744999999987</v>
      </c>
      <c r="Q23" s="24">
        <v>0.77579065000000014</v>
      </c>
      <c r="R23" s="24">
        <v>0.56206559999999994</v>
      </c>
      <c r="S23" s="24">
        <v>0.79781135000000003</v>
      </c>
      <c r="T23" s="24">
        <v>0.4767534499999998</v>
      </c>
      <c r="U23" s="24">
        <v>0.79175649999999997</v>
      </c>
      <c r="V23" s="24">
        <v>4.1182495000000001</v>
      </c>
      <c r="W23" s="24">
        <v>2.2276931999999996</v>
      </c>
      <c r="X23" s="72">
        <v>0.45257619999999998</v>
      </c>
      <c r="Y23" s="24">
        <v>0.64193040000000035</v>
      </c>
      <c r="Z23" s="24">
        <v>0.80641200000000024</v>
      </c>
      <c r="AA23" s="24">
        <v>1.0528501000000008</v>
      </c>
      <c r="AB23" s="24">
        <v>0.64439619999999997</v>
      </c>
      <c r="AC23" s="24">
        <v>3.0175174159999987</v>
      </c>
      <c r="AD23" s="24">
        <v>1.869703794199999</v>
      </c>
      <c r="AE23" s="24">
        <v>1.72</v>
      </c>
      <c r="AF23" s="24">
        <v>1.0519821189999998</v>
      </c>
      <c r="AG23" s="24">
        <v>0.37923712310000013</v>
      </c>
      <c r="AH23" s="24">
        <f t="shared" ref="AH23:AI23" si="39">AH5+AH29+AH35</f>
        <v>4</v>
      </c>
      <c r="AI23" s="25">
        <f t="shared" si="39"/>
        <v>1.4000000000000001</v>
      </c>
      <c r="AK23" s="282">
        <v>0.8</v>
      </c>
      <c r="AL23" s="263">
        <f t="shared" si="27"/>
        <v>-0.42076287689999992</v>
      </c>
      <c r="AN23" s="154">
        <f t="shared" si="28"/>
        <v>47.898201416723467</v>
      </c>
      <c r="AO23" s="147">
        <f t="shared" si="29"/>
        <v>193.42201802803544</v>
      </c>
      <c r="AP23" s="147">
        <f t="shared" si="30"/>
        <v>191.02678666904023</v>
      </c>
      <c r="AQ23" s="147">
        <f t="shared" si="31"/>
        <v>135.99793383034452</v>
      </c>
      <c r="AR23" s="147">
        <f t="shared" si="32"/>
        <v>236.91902576225291</v>
      </c>
      <c r="AS23" s="147">
        <f t="shared" si="33"/>
        <v>252.72836130775138</v>
      </c>
      <c r="AT23" s="147">
        <f t="shared" si="34"/>
        <v>80.967787534392045</v>
      </c>
      <c r="AU23" s="147">
        <f t="shared" si="35"/>
        <v>195.28033862339404</v>
      </c>
      <c r="AV23" s="147">
        <f t="shared" si="36"/>
        <v>116.1192367650504</v>
      </c>
      <c r="AW23" s="155">
        <f t="shared" si="37"/>
        <v>137.8130107321102</v>
      </c>
    </row>
    <row r="24" spans="1:50">
      <c r="A24" s="277" t="s">
        <v>731</v>
      </c>
      <c r="B24" s="22" t="s">
        <v>83</v>
      </c>
      <c r="C24" s="22" t="s">
        <v>126</v>
      </c>
      <c r="D24" s="22" t="s">
        <v>127</v>
      </c>
      <c r="E24" s="22" t="s">
        <v>124</v>
      </c>
      <c r="F24" s="72">
        <v>0.39235617000000012</v>
      </c>
      <c r="G24" s="24">
        <v>0.26844035999999999</v>
      </c>
      <c r="H24" s="24">
        <v>0.49669392000000018</v>
      </c>
      <c r="I24" s="24">
        <v>0.27968682000000011</v>
      </c>
      <c r="J24" s="24">
        <v>0.44865926000000034</v>
      </c>
      <c r="K24" s="24">
        <v>0.4019171000000003</v>
      </c>
      <c r="L24" s="72">
        <v>0.15011195999999991</v>
      </c>
      <c r="M24" s="24">
        <v>0.3642650600000002</v>
      </c>
      <c r="N24" s="24">
        <v>0.57624712</v>
      </c>
      <c r="O24" s="24">
        <v>0.63820596000000018</v>
      </c>
      <c r="P24" s="24">
        <v>0.25219253999999985</v>
      </c>
      <c r="Q24" s="24">
        <v>4.1531999999999999E-2</v>
      </c>
      <c r="R24" s="24">
        <v>4.2363586950000061</v>
      </c>
      <c r="S24" s="24">
        <v>0.16163410000000009</v>
      </c>
      <c r="T24" s="24">
        <v>0.22265096100000004</v>
      </c>
      <c r="U24" s="24">
        <v>0.123771672</v>
      </c>
      <c r="V24" s="24">
        <v>0.53071593900000036</v>
      </c>
      <c r="W24" s="24">
        <v>0.55035946500000021</v>
      </c>
      <c r="X24" s="72">
        <v>0.18973065600000011</v>
      </c>
      <c r="Y24" s="24">
        <v>0.27485534400000017</v>
      </c>
      <c r="Z24" s="24">
        <v>0.37073693400000024</v>
      </c>
      <c r="AA24" s="24">
        <v>0.52703303399999957</v>
      </c>
      <c r="AB24" s="24">
        <v>0.23414097600000011</v>
      </c>
      <c r="AC24" s="24">
        <v>0.49313765839999946</v>
      </c>
      <c r="AD24" s="24">
        <v>0.91414640440000083</v>
      </c>
      <c r="AE24" s="24">
        <v>0.78</v>
      </c>
      <c r="AF24" s="24">
        <v>0.3338364840000001</v>
      </c>
      <c r="AG24" s="24">
        <v>0.33058263099999985</v>
      </c>
      <c r="AH24" s="24">
        <f t="shared" ref="AH24:AI24" si="40">AH6+AH30+AH36</f>
        <v>0.64</v>
      </c>
      <c r="AI24" s="25">
        <f t="shared" si="40"/>
        <v>0.54</v>
      </c>
      <c r="AK24" s="282">
        <v>0.74</v>
      </c>
      <c r="AL24" s="263">
        <f t="shared" si="27"/>
        <v>-0.40941736900000014</v>
      </c>
      <c r="AN24" s="154">
        <f t="shared" si="28"/>
        <v>267.09070472926942</v>
      </c>
      <c r="AO24" s="147">
        <f t="shared" si="29"/>
        <v>65.734000255666515</v>
      </c>
      <c r="AP24" s="147">
        <f t="shared" si="30"/>
        <v>49.712457840021976</v>
      </c>
      <c r="AQ24" s="147">
        <f t="shared" si="31"/>
        <v>76.591274973979623</v>
      </c>
      <c r="AR24" s="147">
        <f t="shared" si="32"/>
        <v>134.59283373599203</v>
      </c>
      <c r="AS24" s="147">
        <f t="shared" si="33"/>
        <v>43.889617886395627</v>
      </c>
      <c r="AT24" s="147">
        <f t="shared" si="34"/>
        <v>125.37546557485268</v>
      </c>
      <c r="AU24" s="147">
        <f t="shared" si="35"/>
        <v>103.31659580776515</v>
      </c>
      <c r="AV24" s="147">
        <f t="shared" si="36"/>
        <v>60.742787542678897</v>
      </c>
      <c r="AW24" s="155">
        <f t="shared" si="37"/>
        <v>71.714672677166604</v>
      </c>
    </row>
    <row r="25" spans="1:50">
      <c r="A25" s="277" t="s">
        <v>731</v>
      </c>
      <c r="B25" s="22" t="s">
        <v>83</v>
      </c>
      <c r="C25" s="22" t="s">
        <v>126</v>
      </c>
      <c r="D25" s="22" t="s">
        <v>127</v>
      </c>
      <c r="E25" s="22" t="s">
        <v>125</v>
      </c>
      <c r="F25" s="72">
        <v>0.10088125999999997</v>
      </c>
      <c r="G25" s="24">
        <v>0.11520684000000003</v>
      </c>
      <c r="H25" s="24">
        <v>0.13017227999999997</v>
      </c>
      <c r="I25" s="24">
        <v>5.5459160000000007E-2</v>
      </c>
      <c r="J25" s="24">
        <v>8.8713600000000017E-2</v>
      </c>
      <c r="K25" s="24">
        <v>9.9279850000000003E-2</v>
      </c>
      <c r="L25" s="72">
        <v>0.12221147999999997</v>
      </c>
      <c r="M25" s="24">
        <v>0.10529347999999999</v>
      </c>
      <c r="N25" s="24">
        <v>0.12380471999999999</v>
      </c>
      <c r="O25" s="24">
        <v>0.15526416000000007</v>
      </c>
      <c r="P25" s="24">
        <v>0.12629389000000002</v>
      </c>
      <c r="Q25" s="24">
        <v>0.17210745000000016</v>
      </c>
      <c r="R25" s="24">
        <v>9.9221640000000014E-2</v>
      </c>
      <c r="S25" s="24">
        <v>9.9391780000000027E-2</v>
      </c>
      <c r="T25" s="24">
        <v>8.6151090000000027E-2</v>
      </c>
      <c r="U25" s="24">
        <v>7.2601199999999991E-2</v>
      </c>
      <c r="V25" s="24">
        <v>5.679683E-2</v>
      </c>
      <c r="W25" s="24">
        <v>0.18716234000000001</v>
      </c>
      <c r="X25" s="72">
        <v>4.2096840000000003E-2</v>
      </c>
      <c r="Y25" s="24">
        <v>7.3679890000000012E-2</v>
      </c>
      <c r="Z25" s="24">
        <v>0</v>
      </c>
      <c r="AA25" s="24">
        <v>-2.3122340000000005E-2</v>
      </c>
      <c r="AB25" s="24">
        <v>0</v>
      </c>
      <c r="AC25" s="24">
        <v>-4.1738950000000004E-2</v>
      </c>
      <c r="AD25" s="24">
        <v>-6.6340000000000008E-4</v>
      </c>
      <c r="AE25" s="24">
        <v>0</v>
      </c>
      <c r="AF25" s="24">
        <v>-1.3268000000000001E-4</v>
      </c>
      <c r="AG25" s="24">
        <v>0</v>
      </c>
      <c r="AH25" s="24">
        <f t="shared" ref="AH25:AI25" si="41">AH7+AH31+AH37</f>
        <v>0</v>
      </c>
      <c r="AI25" s="25">
        <f t="shared" si="41"/>
        <v>0</v>
      </c>
      <c r="AK25" s="282">
        <v>0</v>
      </c>
      <c r="AL25" s="263">
        <f t="shared" si="27"/>
        <v>0</v>
      </c>
      <c r="AN25" s="154">
        <f t="shared" si="28"/>
        <v>0</v>
      </c>
      <c r="AO25" s="147">
        <f t="shared" si="29"/>
        <v>4.311932964863689</v>
      </c>
      <c r="AP25" s="147">
        <f t="shared" si="30"/>
        <v>-0.22276339831261371</v>
      </c>
      <c r="AQ25" s="147">
        <f t="shared" si="31"/>
        <v>32.955747191480754</v>
      </c>
      <c r="AR25" s="147">
        <f t="shared" si="32"/>
        <v>-14.297161675287185</v>
      </c>
      <c r="AS25" s="147">
        <f t="shared" si="33"/>
        <v>-0.27955730859860306</v>
      </c>
      <c r="AT25" s="147">
        <f t="shared" si="34"/>
        <v>0</v>
      </c>
      <c r="AU25" s="147">
        <f t="shared" si="35"/>
        <v>6.3250943960781498</v>
      </c>
      <c r="AV25" s="147">
        <f t="shared" si="36"/>
        <v>-0.13238767037212898</v>
      </c>
      <c r="AW25" s="155">
        <f t="shared" si="37"/>
        <v>3.5639165086859199</v>
      </c>
    </row>
    <row r="26" spans="1:50">
      <c r="A26" s="278" t="s">
        <v>731</v>
      </c>
      <c r="B26" s="31" t="s">
        <v>83</v>
      </c>
      <c r="C26" s="31" t="s">
        <v>126</v>
      </c>
      <c r="D26" s="31" t="s">
        <v>127</v>
      </c>
      <c r="E26" s="31" t="s">
        <v>122</v>
      </c>
      <c r="F26" s="74">
        <v>0.20307854399999586</v>
      </c>
      <c r="G26" s="32">
        <v>0.294454103999999</v>
      </c>
      <c r="H26" s="32">
        <v>0.31566993599999799</v>
      </c>
      <c r="I26" s="32">
        <v>0.22939542199999732</v>
      </c>
      <c r="J26" s="32">
        <v>0.32483260799999381</v>
      </c>
      <c r="K26" s="32">
        <v>0.26498524799998902</v>
      </c>
      <c r="L26" s="74">
        <v>0.22591948799999226</v>
      </c>
      <c r="M26" s="32">
        <v>0.34173632199999249</v>
      </c>
      <c r="N26" s="32">
        <v>0.24949548399999436</v>
      </c>
      <c r="O26" s="32">
        <v>0.27178036399999339</v>
      </c>
      <c r="P26" s="32">
        <v>0.31788876799999161</v>
      </c>
      <c r="Q26" s="32">
        <v>0.12340473599999405</v>
      </c>
      <c r="R26" s="32">
        <v>0.22036559999999372</v>
      </c>
      <c r="S26" s="32">
        <v>3.9290053999998235E-2</v>
      </c>
      <c r="T26" s="32">
        <v>8.7353395999993158E-2</v>
      </c>
      <c r="U26" s="32">
        <v>0.10895178799999848</v>
      </c>
      <c r="V26" s="32">
        <v>4.3118289999995799E-2</v>
      </c>
      <c r="W26" s="32">
        <v>0.11592562799999541</v>
      </c>
      <c r="X26" s="74">
        <v>7.1618819999996503E-2</v>
      </c>
      <c r="Y26" s="32">
        <v>0.13920096399999601</v>
      </c>
      <c r="Z26" s="32">
        <v>7.807238399999665E-2</v>
      </c>
      <c r="AA26" s="32">
        <v>0.18012264399999686</v>
      </c>
      <c r="AB26" s="32">
        <v>3.5258495999999015E-2</v>
      </c>
      <c r="AC26" s="32">
        <v>0.10451625600000079</v>
      </c>
      <c r="AD26" s="32">
        <v>9.0244957599999995E-2</v>
      </c>
      <c r="AE26" s="32">
        <v>0.14000000000000001</v>
      </c>
      <c r="AF26" s="32">
        <v>0.11070747999999958</v>
      </c>
      <c r="AG26" s="32">
        <v>0.10199779199999807</v>
      </c>
      <c r="AH26" s="32">
        <f t="shared" ref="AH26:AI26" si="42">AH8+AH32+AH38</f>
        <v>0.1</v>
      </c>
      <c r="AI26" s="33">
        <f t="shared" si="42"/>
        <v>0.1</v>
      </c>
      <c r="AK26" s="283">
        <v>0.1</v>
      </c>
      <c r="AL26" s="264">
        <f t="shared" si="27"/>
        <v>1.9977919999980692E-3</v>
      </c>
      <c r="AN26" s="82">
        <f t="shared" si="28"/>
        <v>93.617364039954538</v>
      </c>
      <c r="AO26" s="83">
        <f t="shared" si="29"/>
        <v>52.95273421522527</v>
      </c>
      <c r="AP26" s="83">
        <f t="shared" si="30"/>
        <v>97.146551344835814</v>
      </c>
      <c r="AQ26" s="83">
        <f t="shared" si="31"/>
        <v>35.3535716239099</v>
      </c>
      <c r="AR26" s="83">
        <f t="shared" si="32"/>
        <v>44.861747198399101</v>
      </c>
      <c r="AS26" s="83">
        <f t="shared" si="33"/>
        <v>98.254624079693087</v>
      </c>
      <c r="AT26" s="83">
        <f t="shared" si="34"/>
        <v>112.6875488072222</v>
      </c>
      <c r="AU26" s="83">
        <f t="shared" si="35"/>
        <v>39.784312735017132</v>
      </c>
      <c r="AV26" s="83">
        <f t="shared" si="36"/>
        <v>104.54394430732239</v>
      </c>
      <c r="AW26" s="84">
        <f t="shared" si="37"/>
        <v>58.349913130384692</v>
      </c>
    </row>
    <row r="27" spans="1:50" outlineLevel="1">
      <c r="A27" s="275" t="s">
        <v>731</v>
      </c>
      <c r="B27" s="100" t="s">
        <v>711</v>
      </c>
      <c r="C27" s="100" t="s">
        <v>126</v>
      </c>
      <c r="D27" s="100" t="s">
        <v>127</v>
      </c>
      <c r="E27" s="100" t="s">
        <v>103</v>
      </c>
      <c r="F27" s="202"/>
      <c r="G27" s="103"/>
      <c r="H27" s="103"/>
      <c r="I27" s="103"/>
      <c r="J27" s="103"/>
      <c r="K27" s="103"/>
      <c r="L27" s="202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202"/>
      <c r="Y27" s="103"/>
      <c r="Z27" s="103"/>
      <c r="AA27" s="103"/>
      <c r="AB27" s="103"/>
      <c r="AC27" s="103"/>
      <c r="AD27" s="103">
        <f>AD28+AD29+AD30+AD31+AD32</f>
        <v>-0.60000000000000009</v>
      </c>
      <c r="AE27" s="103">
        <f t="shared" ref="AE27" si="43">AE28+AE29+AE30+AE31+AE32</f>
        <v>-0.8</v>
      </c>
      <c r="AF27" s="103">
        <f t="shared" ref="AF27" si="44">AF28+AF29+AF30+AF31+AF32</f>
        <v>0</v>
      </c>
      <c r="AG27" s="103">
        <f t="shared" ref="AG27" si="45">AG28+AG29+AG30+AG31+AG32</f>
        <v>0</v>
      </c>
      <c r="AH27" s="103">
        <f t="shared" ref="AH27" si="46">AH28+AH29+AH30+AH31+AH32</f>
        <v>0</v>
      </c>
      <c r="AI27" s="104">
        <f t="shared" ref="AI27" si="47">AI28+AI29+AI30+AI31+AI32</f>
        <v>0</v>
      </c>
      <c r="AK27" s="250"/>
      <c r="AN27" s="21" t="str">
        <f t="shared" si="28"/>
        <v>NA</v>
      </c>
      <c r="AO27" s="21" t="str">
        <f t="shared" si="29"/>
        <v>NA</v>
      </c>
      <c r="AP27" s="21" t="str">
        <f t="shared" si="30"/>
        <v>NA</v>
      </c>
    </row>
    <row r="28" spans="1:50" outlineLevel="1">
      <c r="A28" s="276" t="s">
        <v>731</v>
      </c>
      <c r="B28" s="92" t="s">
        <v>711</v>
      </c>
      <c r="C28" s="22" t="s">
        <v>126</v>
      </c>
      <c r="D28" s="22" t="s">
        <v>127</v>
      </c>
      <c r="E28" s="22" t="s">
        <v>20</v>
      </c>
      <c r="F28" s="72"/>
      <c r="G28" s="24"/>
      <c r="H28" s="24"/>
      <c r="I28" s="24"/>
      <c r="J28" s="24"/>
      <c r="K28" s="24"/>
      <c r="L28" s="72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72"/>
      <c r="Y28" s="24"/>
      <c r="Z28" s="24"/>
      <c r="AA28" s="24"/>
      <c r="AB28" s="24"/>
      <c r="AC28" s="24"/>
      <c r="AD28" s="24">
        <f>-2.2+1.6</f>
        <v>-0.60000000000000009</v>
      </c>
      <c r="AE28" s="24">
        <v>-0.8</v>
      </c>
      <c r="AI28" s="42"/>
      <c r="AK28" s="250"/>
      <c r="AN28" s="21" t="str">
        <f t="shared" si="28"/>
        <v>NA</v>
      </c>
      <c r="AO28" s="21" t="str">
        <f t="shared" si="29"/>
        <v>NA</v>
      </c>
      <c r="AP28" s="21" t="str">
        <f t="shared" si="30"/>
        <v>NA</v>
      </c>
    </row>
    <row r="29" spans="1:50" outlineLevel="1">
      <c r="A29" s="277" t="s">
        <v>731</v>
      </c>
      <c r="B29" s="22" t="s">
        <v>711</v>
      </c>
      <c r="C29" s="22" t="s">
        <v>126</v>
      </c>
      <c r="D29" s="22" t="s">
        <v>127</v>
      </c>
      <c r="E29" s="22" t="s">
        <v>47</v>
      </c>
      <c r="F29" s="72"/>
      <c r="G29" s="24"/>
      <c r="H29" s="24"/>
      <c r="I29" s="24"/>
      <c r="J29" s="24"/>
      <c r="K29" s="24"/>
      <c r="L29" s="72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72"/>
      <c r="Y29" s="24"/>
      <c r="Z29" s="24"/>
      <c r="AA29" s="24"/>
      <c r="AB29" s="24"/>
      <c r="AC29" s="24"/>
      <c r="AD29" s="24"/>
      <c r="AE29" s="24"/>
      <c r="AG29" s="24"/>
      <c r="AH29" s="22"/>
      <c r="AI29" s="23"/>
      <c r="AK29" s="250"/>
      <c r="AN29" s="21" t="str">
        <f t="shared" si="28"/>
        <v>NA</v>
      </c>
      <c r="AO29" s="21" t="str">
        <f t="shared" si="29"/>
        <v>NA</v>
      </c>
      <c r="AP29" s="21" t="str">
        <f t="shared" si="30"/>
        <v>NA</v>
      </c>
    </row>
    <row r="30" spans="1:50" outlineLevel="1">
      <c r="A30" s="277" t="s">
        <v>731</v>
      </c>
      <c r="B30" s="22" t="s">
        <v>711</v>
      </c>
      <c r="C30" s="22" t="s">
        <v>126</v>
      </c>
      <c r="D30" s="22" t="s">
        <v>127</v>
      </c>
      <c r="E30" s="22" t="s">
        <v>124</v>
      </c>
      <c r="F30" s="72"/>
      <c r="G30" s="24"/>
      <c r="H30" s="24"/>
      <c r="I30" s="24"/>
      <c r="J30" s="24"/>
      <c r="K30" s="24"/>
      <c r="L30" s="72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72"/>
      <c r="Y30" s="24"/>
      <c r="Z30" s="24"/>
      <c r="AA30" s="24"/>
      <c r="AB30" s="24"/>
      <c r="AC30" s="24"/>
      <c r="AI30" s="42"/>
      <c r="AN30" s="21" t="str">
        <f t="shared" si="28"/>
        <v>NA</v>
      </c>
      <c r="AO30" s="21" t="str">
        <f t="shared" si="29"/>
        <v>NA</v>
      </c>
      <c r="AP30" s="21" t="str">
        <f t="shared" si="30"/>
        <v>NA</v>
      </c>
    </row>
    <row r="31" spans="1:50" outlineLevel="1">
      <c r="A31" s="277" t="s">
        <v>731</v>
      </c>
      <c r="B31" s="22" t="s">
        <v>711</v>
      </c>
      <c r="C31" s="22" t="s">
        <v>126</v>
      </c>
      <c r="D31" s="22" t="s">
        <v>127</v>
      </c>
      <c r="E31" s="22" t="s">
        <v>125</v>
      </c>
      <c r="F31" s="72"/>
      <c r="G31" s="24"/>
      <c r="H31" s="24"/>
      <c r="I31" s="24"/>
      <c r="J31" s="24"/>
      <c r="K31" s="24"/>
      <c r="L31" s="72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72"/>
      <c r="Y31" s="24"/>
      <c r="Z31" s="24"/>
      <c r="AA31" s="24"/>
      <c r="AB31" s="24"/>
      <c r="AC31" s="24"/>
      <c r="AI31" s="42"/>
      <c r="AN31" s="21" t="str">
        <f t="shared" si="28"/>
        <v>NA</v>
      </c>
      <c r="AO31" s="21" t="str">
        <f t="shared" si="29"/>
        <v>NA</v>
      </c>
      <c r="AP31" s="21" t="str">
        <f t="shared" si="30"/>
        <v>NA</v>
      </c>
    </row>
    <row r="32" spans="1:50" outlineLevel="1">
      <c r="A32" s="278" t="s">
        <v>731</v>
      </c>
      <c r="B32" s="31" t="s">
        <v>711</v>
      </c>
      <c r="C32" s="31" t="s">
        <v>126</v>
      </c>
      <c r="D32" s="31" t="s">
        <v>127</v>
      </c>
      <c r="E32" s="31" t="s">
        <v>122</v>
      </c>
      <c r="F32" s="74"/>
      <c r="G32" s="32"/>
      <c r="H32" s="32"/>
      <c r="I32" s="32"/>
      <c r="J32" s="32"/>
      <c r="K32" s="32"/>
      <c r="L32" s="74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74"/>
      <c r="Y32" s="32"/>
      <c r="Z32" s="32"/>
      <c r="AA32" s="32"/>
      <c r="AB32" s="32"/>
      <c r="AC32" s="32"/>
      <c r="AD32" s="66"/>
      <c r="AE32" s="66"/>
      <c r="AF32" s="66"/>
      <c r="AG32" s="66"/>
      <c r="AH32" s="66"/>
      <c r="AI32" s="71"/>
      <c r="AK32" s="250"/>
      <c r="AN32" s="21" t="str">
        <f t="shared" si="28"/>
        <v>NA</v>
      </c>
      <c r="AO32" s="21" t="str">
        <f t="shared" si="29"/>
        <v>NA</v>
      </c>
      <c r="AP32" s="21" t="str">
        <f t="shared" si="30"/>
        <v>NA</v>
      </c>
    </row>
    <row r="33" spans="1:49" outlineLevel="1">
      <c r="A33" s="275" t="s">
        <v>731</v>
      </c>
      <c r="B33" s="100" t="s">
        <v>713</v>
      </c>
      <c r="C33" s="100" t="s">
        <v>126</v>
      </c>
      <c r="D33" s="100" t="s">
        <v>127</v>
      </c>
      <c r="E33" s="100" t="s">
        <v>103</v>
      </c>
      <c r="F33" s="202"/>
      <c r="G33" s="103"/>
      <c r="H33" s="103"/>
      <c r="I33" s="103"/>
      <c r="J33" s="103"/>
      <c r="K33" s="103"/>
      <c r="L33" s="202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202"/>
      <c r="Y33" s="103"/>
      <c r="Z33" s="103"/>
      <c r="AA33" s="103"/>
      <c r="AB33" s="103"/>
      <c r="AC33" s="103"/>
      <c r="AD33" s="103">
        <f>AD34+AD35+AD36+AD37+AD38</f>
        <v>0.96771399999999952</v>
      </c>
      <c r="AE33" s="103">
        <f t="shared" ref="AE33" si="48">AE34+AE35+AE36+AE37+AE38</f>
        <v>-0.66771400000000036</v>
      </c>
      <c r="AF33" s="103">
        <f t="shared" ref="AF33" si="49">AF34+AF35+AF36+AF37+AF38</f>
        <v>0</v>
      </c>
      <c r="AG33" s="103">
        <f t="shared" ref="AG33" si="50">AG34+AG35+AG36+AG37+AG38</f>
        <v>0</v>
      </c>
      <c r="AH33" s="103">
        <f t="shared" ref="AH33" si="51">AH34+AH35+AH36+AH37+AH38</f>
        <v>1.55</v>
      </c>
      <c r="AI33" s="104">
        <f t="shared" ref="AI33" si="52">AI34+AI35+AI36+AI37+AI38</f>
        <v>-1.05</v>
      </c>
      <c r="AK33" s="250"/>
      <c r="AN33" s="21" t="str">
        <f t="shared" si="28"/>
        <v>NA</v>
      </c>
      <c r="AO33" s="21" t="str">
        <f t="shared" si="29"/>
        <v>NA</v>
      </c>
      <c r="AP33" s="21" t="str">
        <f t="shared" si="30"/>
        <v>NA</v>
      </c>
    </row>
    <row r="34" spans="1:49" outlineLevel="1">
      <c r="A34" s="276" t="s">
        <v>731</v>
      </c>
      <c r="B34" s="92" t="s">
        <v>713</v>
      </c>
      <c r="C34" s="22" t="s">
        <v>126</v>
      </c>
      <c r="D34" s="22" t="s">
        <v>127</v>
      </c>
      <c r="E34" s="22" t="s">
        <v>20</v>
      </c>
      <c r="F34" s="72"/>
      <c r="G34" s="24"/>
      <c r="H34" s="24"/>
      <c r="I34" s="24"/>
      <c r="J34" s="24"/>
      <c r="K34" s="24"/>
      <c r="L34" s="72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72"/>
      <c r="Y34" s="24"/>
      <c r="Z34" s="24"/>
      <c r="AA34" s="24"/>
      <c r="AB34" s="24"/>
      <c r="AC34" s="24"/>
      <c r="AI34" s="42"/>
      <c r="AN34" s="21" t="str">
        <f t="shared" si="28"/>
        <v>NA</v>
      </c>
      <c r="AO34" s="21" t="str">
        <f t="shared" si="29"/>
        <v>NA</v>
      </c>
      <c r="AP34" s="21" t="str">
        <f t="shared" si="30"/>
        <v>NA</v>
      </c>
    </row>
    <row r="35" spans="1:49" outlineLevel="1">
      <c r="A35" s="277" t="s">
        <v>731</v>
      </c>
      <c r="B35" s="22" t="s">
        <v>713</v>
      </c>
      <c r="C35" s="22" t="s">
        <v>126</v>
      </c>
      <c r="D35" s="22" t="s">
        <v>127</v>
      </c>
      <c r="E35" s="22" t="s">
        <v>47</v>
      </c>
      <c r="F35" s="72"/>
      <c r="G35" s="24"/>
      <c r="H35" s="24"/>
      <c r="I35" s="24"/>
      <c r="J35" s="24"/>
      <c r="K35" s="24"/>
      <c r="L35" s="72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72"/>
      <c r="Y35" s="24"/>
      <c r="Z35" s="24"/>
      <c r="AA35" s="24"/>
      <c r="AB35" s="24"/>
      <c r="AC35" s="24"/>
      <c r="AD35" s="24">
        <f>(((13500+15000+15000)*89.48)*80%/1000000+N("2檔Day pants後壁櫃$79 奢柔ML/XL/早安ML"))*1-AD17</f>
        <v>0.96771399999999952</v>
      </c>
      <c r="AE35" s="24">
        <f>(((13500+15000+15000)*89.48)*20%/1000000+N("2檔Day pants後壁櫃$79 奢柔ML/XL/早安ML"))*1-AE17</f>
        <v>-0.66771400000000036</v>
      </c>
      <c r="AH35" s="22">
        <f>3.5/2*0.6+N("Pants後壁櫃")+0.5+N("XL Pants")</f>
        <v>1.55</v>
      </c>
      <c r="AI35" s="23">
        <f>-3.5/2*0.6+N("Pants後壁櫃")</f>
        <v>-1.05</v>
      </c>
      <c r="AK35" s="250"/>
      <c r="AN35" s="21" t="str">
        <f t="shared" si="28"/>
        <v>NA</v>
      </c>
      <c r="AO35" s="21" t="str">
        <f t="shared" si="29"/>
        <v>NA</v>
      </c>
      <c r="AP35" s="21" t="str">
        <f t="shared" si="30"/>
        <v>NA</v>
      </c>
    </row>
    <row r="36" spans="1:49" outlineLevel="1">
      <c r="A36" s="277" t="s">
        <v>731</v>
      </c>
      <c r="B36" s="22" t="s">
        <v>713</v>
      </c>
      <c r="C36" s="22" t="s">
        <v>126</v>
      </c>
      <c r="D36" s="22" t="s">
        <v>127</v>
      </c>
      <c r="E36" s="22" t="s">
        <v>124</v>
      </c>
      <c r="F36" s="72"/>
      <c r="G36" s="24"/>
      <c r="H36" s="24"/>
      <c r="I36" s="24"/>
      <c r="J36" s="24"/>
      <c r="K36" s="24"/>
      <c r="L36" s="72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72"/>
      <c r="Y36" s="24"/>
      <c r="Z36" s="24"/>
      <c r="AA36" s="24"/>
      <c r="AB36" s="24"/>
      <c r="AC36" s="24"/>
      <c r="AI36" s="42"/>
      <c r="AN36" s="21" t="str">
        <f t="shared" si="28"/>
        <v>NA</v>
      </c>
      <c r="AO36" s="21" t="str">
        <f t="shared" si="29"/>
        <v>NA</v>
      </c>
      <c r="AP36" s="21" t="str">
        <f t="shared" si="30"/>
        <v>NA</v>
      </c>
    </row>
    <row r="37" spans="1:49" outlineLevel="1">
      <c r="A37" s="277" t="s">
        <v>731</v>
      </c>
      <c r="B37" s="22" t="s">
        <v>713</v>
      </c>
      <c r="C37" s="22" t="s">
        <v>126</v>
      </c>
      <c r="D37" s="22" t="s">
        <v>127</v>
      </c>
      <c r="E37" s="22" t="s">
        <v>125</v>
      </c>
      <c r="F37" s="72"/>
      <c r="G37" s="24"/>
      <c r="H37" s="24"/>
      <c r="I37" s="24"/>
      <c r="J37" s="24"/>
      <c r="K37" s="24"/>
      <c r="L37" s="72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72"/>
      <c r="Y37" s="24"/>
      <c r="Z37" s="24"/>
      <c r="AA37" s="24"/>
      <c r="AB37" s="24"/>
      <c r="AC37" s="24"/>
      <c r="AI37" s="42"/>
      <c r="AN37" s="21" t="str">
        <f t="shared" si="28"/>
        <v>NA</v>
      </c>
      <c r="AO37" s="21" t="str">
        <f t="shared" si="29"/>
        <v>NA</v>
      </c>
      <c r="AP37" s="21" t="str">
        <f t="shared" si="30"/>
        <v>NA</v>
      </c>
    </row>
    <row r="38" spans="1:49" outlineLevel="1">
      <c r="A38" s="278" t="s">
        <v>731</v>
      </c>
      <c r="B38" s="31" t="s">
        <v>713</v>
      </c>
      <c r="C38" s="31" t="s">
        <v>126</v>
      </c>
      <c r="D38" s="31" t="s">
        <v>127</v>
      </c>
      <c r="E38" s="31" t="s">
        <v>122</v>
      </c>
      <c r="F38" s="74"/>
      <c r="G38" s="32"/>
      <c r="H38" s="32"/>
      <c r="I38" s="32"/>
      <c r="J38" s="32"/>
      <c r="K38" s="32"/>
      <c r="L38" s="74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74"/>
      <c r="Y38" s="32"/>
      <c r="Z38" s="32"/>
      <c r="AA38" s="32"/>
      <c r="AB38" s="32"/>
      <c r="AC38" s="32"/>
      <c r="AD38" s="66"/>
      <c r="AE38" s="66"/>
      <c r="AF38" s="66"/>
      <c r="AG38" s="66"/>
      <c r="AH38" s="66"/>
      <c r="AI38" s="71"/>
      <c r="AK38" s="250"/>
      <c r="AN38" s="21" t="str">
        <f t="shared" si="28"/>
        <v>NA</v>
      </c>
      <c r="AO38" s="21" t="str">
        <f t="shared" si="29"/>
        <v>NA</v>
      </c>
      <c r="AP38" s="21" t="str">
        <f t="shared" si="30"/>
        <v>NA</v>
      </c>
    </row>
    <row r="39" spans="1:49">
      <c r="A39" s="287" t="s">
        <v>745</v>
      </c>
      <c r="B39" s="96" t="s">
        <v>83</v>
      </c>
      <c r="C39" s="96" t="s">
        <v>126</v>
      </c>
      <c r="D39" s="96" t="s">
        <v>127</v>
      </c>
      <c r="E39" s="96" t="s">
        <v>103</v>
      </c>
      <c r="F39" s="203">
        <f>SUM(F40:F44)</f>
        <v>1.4956918099999998</v>
      </c>
      <c r="G39" s="98">
        <f t="shared" ref="G39:AI39" si="53">SUM(G40:G44)</f>
        <v>2.0540973600000001</v>
      </c>
      <c r="H39" s="98">
        <f t="shared" si="53"/>
        <v>2.1534280799999999</v>
      </c>
      <c r="I39" s="98">
        <f t="shared" si="53"/>
        <v>1.42868496</v>
      </c>
      <c r="J39" s="98">
        <f t="shared" si="53"/>
        <v>4.2775001999999986</v>
      </c>
      <c r="K39" s="98">
        <f t="shared" si="53"/>
        <v>2.2376196799999999</v>
      </c>
      <c r="L39" s="203">
        <f>SUM(L40:L44)</f>
        <v>2.5698236400000005</v>
      </c>
      <c r="M39" s="98">
        <f t="shared" si="53"/>
        <v>2.4737797199999991</v>
      </c>
      <c r="N39" s="98">
        <f t="shared" si="53"/>
        <v>3.2778338800000002</v>
      </c>
      <c r="O39" s="98">
        <f t="shared" si="53"/>
        <v>3.3825027199999997</v>
      </c>
      <c r="P39" s="98">
        <f t="shared" si="53"/>
        <v>2.3128656799999998</v>
      </c>
      <c r="Q39" s="98">
        <f t="shared" si="53"/>
        <v>2.9929737599999999</v>
      </c>
      <c r="R39" s="98">
        <f t="shared" si="53"/>
        <v>6.1062402899999988</v>
      </c>
      <c r="S39" s="98">
        <f t="shared" si="53"/>
        <v>1.9984370500000004</v>
      </c>
      <c r="T39" s="98">
        <f t="shared" si="53"/>
        <v>2.4404631999999999</v>
      </c>
      <c r="U39" s="98">
        <f t="shared" si="53"/>
        <v>3.6867200100000002</v>
      </c>
      <c r="V39" s="98">
        <f t="shared" si="53"/>
        <v>6.2903809600000002</v>
      </c>
      <c r="W39" s="98">
        <f t="shared" si="53"/>
        <v>3.2433750700000004</v>
      </c>
      <c r="X39" s="203">
        <f t="shared" si="53"/>
        <v>2.5557488100000003</v>
      </c>
      <c r="Y39" s="98">
        <f t="shared" si="53"/>
        <v>2.0833928100000003</v>
      </c>
      <c r="Z39" s="98">
        <f t="shared" si="53"/>
        <v>4.0842946000000007</v>
      </c>
      <c r="AA39" s="98">
        <f t="shared" si="53"/>
        <v>4.1206932300000005</v>
      </c>
      <c r="AB39" s="98">
        <f t="shared" si="53"/>
        <v>5.9823199600000008</v>
      </c>
      <c r="AC39" s="98">
        <f t="shared" si="53"/>
        <v>2.2739644500000002</v>
      </c>
      <c r="AD39" s="98">
        <f t="shared" si="53"/>
        <v>6.3159853099999994</v>
      </c>
      <c r="AE39" s="98">
        <f t="shared" si="53"/>
        <v>2.14149995</v>
      </c>
      <c r="AF39" s="98">
        <f t="shared" si="53"/>
        <v>2.5920337299999998</v>
      </c>
      <c r="AG39" s="98">
        <f t="shared" si="53"/>
        <v>2.1976977299999998</v>
      </c>
      <c r="AH39" s="98">
        <f t="shared" si="53"/>
        <v>5.839999999999999</v>
      </c>
      <c r="AI39" s="99">
        <f t="shared" si="53"/>
        <v>2.8400000000000003</v>
      </c>
      <c r="AK39" s="281">
        <v>2.8400000000000003</v>
      </c>
      <c r="AL39" s="281">
        <f t="shared" si="27"/>
        <v>-0.64230227000000051</v>
      </c>
      <c r="AN39" s="156">
        <f t="shared" si="28"/>
        <v>59.611191629385488</v>
      </c>
      <c r="AO39" s="157">
        <f t="shared" si="29"/>
        <v>109.9418296701803</v>
      </c>
      <c r="AP39" s="157">
        <f t="shared" si="30"/>
        <v>93.081411762427649</v>
      </c>
      <c r="AQ39" s="157">
        <f t="shared" ref="AQ39:AQ44" si="54">IFERROR(SUM(X39:Z39)/SUM(L39:N39)*100,"NA")</f>
        <v>104.83088399763021</v>
      </c>
      <c r="AR39" s="157">
        <f t="shared" ref="AR39:AR44" si="55">IFERROR(SUM(AA39:AC39)/SUM(O39:Q39)*100,"NA")</f>
        <v>142.45499788189747</v>
      </c>
      <c r="AS39" s="157">
        <f t="shared" ref="AS39:AS44" si="56">IFERROR(SUM(AD39:AF39)/SUM(R39:T39)*100,"NA")</f>
        <v>104.78304151648605</v>
      </c>
      <c r="AT39" s="157">
        <f t="shared" ref="AT39:AT44" si="57">IFERROR(SUM(AG39:AI39)/SUM(U39:W39)*100,"NA")</f>
        <v>82.279168292339321</v>
      </c>
      <c r="AU39" s="157">
        <f t="shared" ref="AU39:AU44" si="58">IFERROR(SUM(X39:AC39)/SUM(L39:Q39)*100,"NA")</f>
        <v>124.04872140787437</v>
      </c>
      <c r="AV39" s="157">
        <f t="shared" ref="AV39:AV44" si="59">IFERROR(SUM(AD39:AI39)/SUM(R39:W39)*100,"NA")</f>
        <v>92.26445544212342</v>
      </c>
      <c r="AW39" s="158">
        <f t="shared" ref="AW39:AW44" si="60">IFERROR(SUM(X39:AI39)/SUM(L39:W39)*100,"NA")</f>
        <v>105.5235137412392</v>
      </c>
    </row>
    <row r="40" spans="1:49">
      <c r="A40" s="285" t="s">
        <v>745</v>
      </c>
      <c r="B40" s="92" t="s">
        <v>83</v>
      </c>
      <c r="C40" s="22" t="s">
        <v>126</v>
      </c>
      <c r="D40" s="22" t="s">
        <v>127</v>
      </c>
      <c r="E40" s="22" t="s">
        <v>20</v>
      </c>
      <c r="F40" s="72">
        <v>1.4430254899999999</v>
      </c>
      <c r="G40" s="24">
        <v>1.1677780800000002</v>
      </c>
      <c r="H40" s="24">
        <v>0.91391328000000005</v>
      </c>
      <c r="I40" s="24">
        <v>0.91391328000000005</v>
      </c>
      <c r="J40" s="24">
        <v>1.9934431199999998</v>
      </c>
      <c r="K40" s="24">
        <v>0.63587088000000003</v>
      </c>
      <c r="L40" s="72">
        <v>1.0444723200000001</v>
      </c>
      <c r="M40" s="24">
        <v>1.03238352</v>
      </c>
      <c r="N40" s="24">
        <v>1.0553522399999999</v>
      </c>
      <c r="O40" s="24">
        <v>2.03817168</v>
      </c>
      <c r="P40" s="24">
        <v>1.1677780799999999</v>
      </c>
      <c r="Q40" s="24">
        <v>2.0139940799999998</v>
      </c>
      <c r="R40" s="24">
        <v>0.87039359999999999</v>
      </c>
      <c r="S40" s="24">
        <v>1.0964541600000002</v>
      </c>
      <c r="T40" s="24">
        <v>1.3781231999999999</v>
      </c>
      <c r="U40" s="24">
        <v>2.4032534400000003</v>
      </c>
      <c r="V40" s="24">
        <v>0.86918472000000002</v>
      </c>
      <c r="W40" s="24">
        <v>0.60927552000000007</v>
      </c>
      <c r="X40" s="72">
        <v>1.2185510400000001</v>
      </c>
      <c r="Y40" s="24">
        <v>1.0444723200000001</v>
      </c>
      <c r="Z40" s="24">
        <v>1.8278265600000001</v>
      </c>
      <c r="AA40" s="24">
        <v>2.4533264400000001</v>
      </c>
      <c r="AB40" s="24">
        <v>4.5175845600000004</v>
      </c>
      <c r="AC40" s="24">
        <v>-0.96106167999999981</v>
      </c>
      <c r="AD40" s="24">
        <v>2.6291845600000006</v>
      </c>
      <c r="AE40" s="24">
        <v>0.27905659999999999</v>
      </c>
      <c r="AF40" s="24">
        <v>1.19022852</v>
      </c>
      <c r="AG40" s="24">
        <v>1.0265928</v>
      </c>
      <c r="AH40" s="24">
        <f t="shared" ref="AH40:AI40" si="61">AH22+AH46</f>
        <v>1.1000000000000001</v>
      </c>
      <c r="AI40" s="25">
        <f t="shared" si="61"/>
        <v>0.8</v>
      </c>
      <c r="AK40" s="282">
        <v>1.2000000000000002</v>
      </c>
      <c r="AL40" s="263">
        <f t="shared" si="27"/>
        <v>-0.17340720000000021</v>
      </c>
      <c r="AN40" s="151">
        <f t="shared" si="28"/>
        <v>42.716793115252955</v>
      </c>
      <c r="AO40" s="152">
        <f t="shared" si="29"/>
        <v>107.9812437232881</v>
      </c>
      <c r="AP40" s="152">
        <f t="shared" si="30"/>
        <v>89.1590537070891</v>
      </c>
      <c r="AQ40" s="152">
        <f t="shared" si="54"/>
        <v>130.60594365109998</v>
      </c>
      <c r="AR40" s="152">
        <f t="shared" si="55"/>
        <v>115.13245169319677</v>
      </c>
      <c r="AS40" s="152">
        <f t="shared" si="56"/>
        <v>122.52631574415823</v>
      </c>
      <c r="AT40" s="152">
        <f t="shared" si="57"/>
        <v>75.394350054175035</v>
      </c>
      <c r="AU40" s="152">
        <f t="shared" si="58"/>
        <v>120.93529112913932</v>
      </c>
      <c r="AV40" s="152">
        <f t="shared" si="59"/>
        <v>97.210032400140818</v>
      </c>
      <c r="AW40" s="153">
        <f t="shared" si="60"/>
        <v>109.92965780237958</v>
      </c>
    </row>
    <row r="41" spans="1:49">
      <c r="A41" s="289" t="s">
        <v>745</v>
      </c>
      <c r="B41" s="22" t="s">
        <v>83</v>
      </c>
      <c r="C41" s="22" t="s">
        <v>126</v>
      </c>
      <c r="D41" s="22" t="s">
        <v>127</v>
      </c>
      <c r="E41" s="22" t="s">
        <v>47</v>
      </c>
      <c r="F41" s="72">
        <v>0</v>
      </c>
      <c r="G41" s="24">
        <v>0.45119999999999999</v>
      </c>
      <c r="H41" s="24">
        <v>0.42003240000000003</v>
      </c>
      <c r="I41" s="24">
        <v>0.45925679999999997</v>
      </c>
      <c r="J41" s="24">
        <v>1.6744991999999996</v>
      </c>
      <c r="K41" s="24">
        <v>1.3133243999999999</v>
      </c>
      <c r="L41" s="72">
        <v>0.86241239999999997</v>
      </c>
      <c r="M41" s="24">
        <v>1.0100351999999999</v>
      </c>
      <c r="N41" s="24">
        <v>1.0765488000000001</v>
      </c>
      <c r="O41" s="24">
        <v>0.41715000000000002</v>
      </c>
      <c r="P41" s="24">
        <v>0.8019324000000001</v>
      </c>
      <c r="Q41" s="24">
        <v>0.64842240000000007</v>
      </c>
      <c r="R41" s="24">
        <v>0.78598080000000003</v>
      </c>
      <c r="S41" s="24">
        <v>0.61452479999999998</v>
      </c>
      <c r="T41" s="24">
        <v>0.56667719999999999</v>
      </c>
      <c r="U41" s="24">
        <v>0.79820639999999998</v>
      </c>
      <c r="V41" s="24">
        <v>4.4439876000000007</v>
      </c>
      <c r="W41" s="24">
        <v>1.9506779999999999</v>
      </c>
      <c r="X41" s="72">
        <v>1.0979711999999999</v>
      </c>
      <c r="Y41" s="24">
        <v>0.27449279999999998</v>
      </c>
      <c r="Z41" s="24">
        <v>1.6447248000000001</v>
      </c>
      <c r="AA41" s="24">
        <v>1.0354143600000001</v>
      </c>
      <c r="AB41" s="24">
        <v>0.99297480000000005</v>
      </c>
      <c r="AC41" s="24">
        <v>2.9771505899999999</v>
      </c>
      <c r="AD41" s="24">
        <v>2.1997722299999993</v>
      </c>
      <c r="AE41" s="24">
        <v>1.02028023</v>
      </c>
      <c r="AF41" s="24">
        <v>1.16417697</v>
      </c>
      <c r="AG41" s="24">
        <v>0.60867239999999989</v>
      </c>
      <c r="AH41" s="24">
        <f t="shared" ref="AH41:AI41" si="62">AH23+AH47</f>
        <v>4</v>
      </c>
      <c r="AI41" s="25">
        <f t="shared" si="62"/>
        <v>1.4000000000000001</v>
      </c>
      <c r="AK41" s="282">
        <v>0.8</v>
      </c>
      <c r="AL41" s="263">
        <f t="shared" si="27"/>
        <v>-0.19132760000000015</v>
      </c>
      <c r="AN41" s="154">
        <f t="shared" si="28"/>
        <v>76.255013740806874</v>
      </c>
      <c r="AO41" s="147">
        <f t="shared" si="29"/>
        <v>171.66735066494761</v>
      </c>
      <c r="AP41" s="147">
        <f t="shared" si="30"/>
        <v>180.54969730842947</v>
      </c>
      <c r="AQ41" s="147">
        <f t="shared" si="54"/>
        <v>102.312393463756</v>
      </c>
      <c r="AR41" s="147">
        <f t="shared" si="55"/>
        <v>268.03356810649166</v>
      </c>
      <c r="AS41" s="147">
        <f t="shared" si="56"/>
        <v>222.86843042751286</v>
      </c>
      <c r="AT41" s="147">
        <f t="shared" si="57"/>
        <v>83.536484452941735</v>
      </c>
      <c r="AU41" s="147">
        <f t="shared" si="58"/>
        <v>166.56756049391203</v>
      </c>
      <c r="AV41" s="147">
        <f t="shared" si="59"/>
        <v>113.45894819319201</v>
      </c>
      <c r="AW41" s="155">
        <f t="shared" si="60"/>
        <v>131.76085997151225</v>
      </c>
    </row>
    <row r="42" spans="1:49">
      <c r="A42" s="289" t="s">
        <v>745</v>
      </c>
      <c r="B42" s="22" t="s">
        <v>83</v>
      </c>
      <c r="C42" s="22" t="s">
        <v>126</v>
      </c>
      <c r="D42" s="22" t="s">
        <v>127</v>
      </c>
      <c r="E42" s="22" t="s">
        <v>124</v>
      </c>
      <c r="F42" s="72">
        <v>0</v>
      </c>
      <c r="G42" s="24">
        <v>0.32615279999999996</v>
      </c>
      <c r="H42" s="24">
        <v>0.36347735999999997</v>
      </c>
      <c r="I42" s="24">
        <v>5.5514879999999996E-2</v>
      </c>
      <c r="J42" s="24">
        <v>0.29760492</v>
      </c>
      <c r="K42" s="24">
        <v>0.16737588</v>
      </c>
      <c r="L42" s="72">
        <v>0.28371551999999994</v>
      </c>
      <c r="M42" s="24">
        <v>4.9690319999999989E-2</v>
      </c>
      <c r="N42" s="24">
        <v>0.68515008000000011</v>
      </c>
      <c r="O42" s="24">
        <v>0.53068667999999997</v>
      </c>
      <c r="P42" s="24">
        <v>0</v>
      </c>
      <c r="Q42" s="24">
        <v>0</v>
      </c>
      <c r="R42" s="24">
        <v>4.1598790499999989</v>
      </c>
      <c r="S42" s="24">
        <v>0.16198045000000005</v>
      </c>
      <c r="T42" s="24">
        <v>0.22126472000000003</v>
      </c>
      <c r="U42" s="24">
        <v>0.16098185000000001</v>
      </c>
      <c r="V42" s="24">
        <v>0.787408</v>
      </c>
      <c r="W42" s="24">
        <v>0.33878202999999996</v>
      </c>
      <c r="X42" s="72">
        <v>0.20260688999999998</v>
      </c>
      <c r="Y42" s="24">
        <v>0.56025665000000002</v>
      </c>
      <c r="Z42" s="24">
        <v>0.47574532000000008</v>
      </c>
      <c r="AA42" s="24">
        <v>0.58661979000000009</v>
      </c>
      <c r="AB42" s="24">
        <v>0.41509479999999993</v>
      </c>
      <c r="AC42" s="24">
        <v>0.24528314000000001</v>
      </c>
      <c r="AD42" s="24">
        <v>0</v>
      </c>
      <c r="AE42" s="24">
        <v>0.71246140000000002</v>
      </c>
      <c r="AF42" s="24">
        <v>0.21748040000000002</v>
      </c>
      <c r="AG42" s="24">
        <v>0.35717641000000006</v>
      </c>
      <c r="AH42" s="24">
        <f t="shared" ref="AH42:AI42" si="63">AH24+AH48</f>
        <v>0.64</v>
      </c>
      <c r="AI42" s="25">
        <f t="shared" si="63"/>
        <v>0.54</v>
      </c>
      <c r="AK42" s="282">
        <v>0.74</v>
      </c>
      <c r="AL42" s="263">
        <f t="shared" si="27"/>
        <v>-0.38282358999999994</v>
      </c>
      <c r="AN42" s="154">
        <f t="shared" si="28"/>
        <v>221.87371433487689</v>
      </c>
      <c r="AO42" s="147">
        <f t="shared" si="29"/>
        <v>60.331272076661634</v>
      </c>
      <c r="AP42" s="147">
        <f t="shared" si="30"/>
        <v>27.361589871633157</v>
      </c>
      <c r="AQ42" s="147">
        <f t="shared" si="54"/>
        <v>121.60440440030038</v>
      </c>
      <c r="AR42" s="147">
        <f t="shared" si="55"/>
        <v>234.97814755780189</v>
      </c>
      <c r="AS42" s="147">
        <f t="shared" si="56"/>
        <v>20.469213584479103</v>
      </c>
      <c r="AT42" s="147">
        <f t="shared" si="57"/>
        <v>119.42277747708413</v>
      </c>
      <c r="AU42" s="147">
        <f t="shared" si="58"/>
        <v>160.44011376914116</v>
      </c>
      <c r="AV42" s="147">
        <f t="shared" si="59"/>
        <v>42.315487372931216</v>
      </c>
      <c r="AW42" s="155">
        <f t="shared" si="60"/>
        <v>67.114287238577688</v>
      </c>
    </row>
    <row r="43" spans="1:49">
      <c r="A43" s="289" t="s">
        <v>745</v>
      </c>
      <c r="B43" s="22" t="s">
        <v>83</v>
      </c>
      <c r="C43" s="22" t="s">
        <v>126</v>
      </c>
      <c r="D43" s="22" t="s">
        <v>127</v>
      </c>
      <c r="E43" s="22" t="s">
        <v>125</v>
      </c>
      <c r="F43" s="72">
        <v>5.2666319999999996E-2</v>
      </c>
      <c r="G43" s="24">
        <v>0.10896648</v>
      </c>
      <c r="H43" s="24">
        <v>0.20016264</v>
      </c>
      <c r="I43" s="24">
        <v>0</v>
      </c>
      <c r="J43" s="24">
        <v>0.13399368000000003</v>
      </c>
      <c r="K43" s="24">
        <v>2.5346279999999999E-2</v>
      </c>
      <c r="L43" s="72">
        <v>0.13832388000000001</v>
      </c>
      <c r="M43" s="24">
        <v>6.3367319999999991E-2</v>
      </c>
      <c r="N43" s="24">
        <v>0.18328703999999998</v>
      </c>
      <c r="O43" s="24">
        <v>0.21060708000000006</v>
      </c>
      <c r="P43" s="24">
        <v>3.9038639999999999E-2</v>
      </c>
      <c r="Q43" s="24">
        <v>0.19455936000000001</v>
      </c>
      <c r="R43" s="24">
        <v>5.9545919999999995E-2</v>
      </c>
      <c r="S43" s="24">
        <v>0.11036676000000001</v>
      </c>
      <c r="T43" s="24">
        <v>0.15602952</v>
      </c>
      <c r="U43" s="24">
        <v>6.8652599999999994E-2</v>
      </c>
      <c r="V43" s="24">
        <v>9.1579919999999995E-2</v>
      </c>
      <c r="W43" s="24">
        <v>0.14819808000000004</v>
      </c>
      <c r="X43" s="72">
        <v>3.6619680000000002E-2</v>
      </c>
      <c r="Y43" s="24">
        <v>4.2988319999999997E-2</v>
      </c>
      <c r="Z43" s="24">
        <v>0</v>
      </c>
      <c r="AA43" s="24">
        <v>0</v>
      </c>
      <c r="AB43" s="24">
        <v>0</v>
      </c>
      <c r="AC43" s="24">
        <v>0</v>
      </c>
      <c r="AD43" s="24">
        <v>1.2591060799999998</v>
      </c>
      <c r="AE43" s="24">
        <v>0</v>
      </c>
      <c r="AF43" s="24">
        <v>0</v>
      </c>
      <c r="AG43" s="24">
        <v>0</v>
      </c>
      <c r="AH43" s="24">
        <f t="shared" ref="AH43:AI43" si="64">AH25+AH49</f>
        <v>0</v>
      </c>
      <c r="AI43" s="25">
        <f t="shared" si="64"/>
        <v>0</v>
      </c>
      <c r="AK43" s="282">
        <v>0</v>
      </c>
      <c r="AL43" s="263">
        <f t="shared" si="27"/>
        <v>0</v>
      </c>
      <c r="AN43" s="154">
        <f t="shared" si="28"/>
        <v>0</v>
      </c>
      <c r="AO43" s="147">
        <f t="shared" si="29"/>
        <v>109.39189532167804</v>
      </c>
      <c r="AP43" s="147">
        <f t="shared" si="30"/>
        <v>319.08836102249694</v>
      </c>
      <c r="AQ43" s="147">
        <f t="shared" si="54"/>
        <v>20.67857133951259</v>
      </c>
      <c r="AR43" s="147">
        <f t="shared" si="55"/>
        <v>0</v>
      </c>
      <c r="AS43" s="147">
        <f t="shared" si="56"/>
        <v>386.29734965279113</v>
      </c>
      <c r="AT43" s="147">
        <f t="shared" si="57"/>
        <v>0</v>
      </c>
      <c r="AU43" s="147">
        <f t="shared" si="58"/>
        <v>9.6007719981632036</v>
      </c>
      <c r="AV43" s="147">
        <f t="shared" si="59"/>
        <v>198.48046448397528</v>
      </c>
      <c r="AW43" s="155">
        <f t="shared" si="60"/>
        <v>91.469951968770388</v>
      </c>
    </row>
    <row r="44" spans="1:49">
      <c r="A44" s="286" t="s">
        <v>745</v>
      </c>
      <c r="B44" s="31" t="s">
        <v>83</v>
      </c>
      <c r="C44" s="31" t="s">
        <v>126</v>
      </c>
      <c r="D44" s="31" t="s">
        <v>127</v>
      </c>
      <c r="E44" s="31" t="s">
        <v>122</v>
      </c>
      <c r="F44" s="74">
        <v>0</v>
      </c>
      <c r="G44" s="32">
        <v>0</v>
      </c>
      <c r="H44" s="32">
        <v>0.25584239999999997</v>
      </c>
      <c r="I44" s="32">
        <v>0</v>
      </c>
      <c r="J44" s="32">
        <v>0.17795928</v>
      </c>
      <c r="K44" s="32">
        <v>9.5702239999999994E-2</v>
      </c>
      <c r="L44" s="74">
        <v>0.24089951999999998</v>
      </c>
      <c r="M44" s="32">
        <v>0.31830335999999998</v>
      </c>
      <c r="N44" s="32">
        <v>0.27749572</v>
      </c>
      <c r="O44" s="32">
        <v>0.18588727999999999</v>
      </c>
      <c r="P44" s="32">
        <v>0.30411655999999998</v>
      </c>
      <c r="Q44" s="32">
        <v>0.13599791999999999</v>
      </c>
      <c r="R44" s="32">
        <v>0.23044092000000002</v>
      </c>
      <c r="S44" s="32">
        <v>1.5110880000000002E-2</v>
      </c>
      <c r="T44" s="32">
        <v>0.11836856</v>
      </c>
      <c r="U44" s="32">
        <v>0.25562572</v>
      </c>
      <c r="V44" s="32">
        <v>9.8220719999999997E-2</v>
      </c>
      <c r="W44" s="32">
        <v>0.19644143999999999</v>
      </c>
      <c r="X44" s="74">
        <v>0</v>
      </c>
      <c r="Y44" s="32">
        <v>0.16118272</v>
      </c>
      <c r="Z44" s="32">
        <v>0.13599791999999999</v>
      </c>
      <c r="AA44" s="32">
        <v>4.533264E-2</v>
      </c>
      <c r="AB44" s="32">
        <v>5.6665800000000002E-2</v>
      </c>
      <c r="AC44" s="32">
        <v>1.25924E-2</v>
      </c>
      <c r="AD44" s="32">
        <v>0.22792244</v>
      </c>
      <c r="AE44" s="32">
        <v>0.12970171999999999</v>
      </c>
      <c r="AF44" s="32">
        <v>2.014784E-2</v>
      </c>
      <c r="AG44" s="32">
        <v>0.20525611999999999</v>
      </c>
      <c r="AH44" s="32">
        <f t="shared" ref="AH44:AI44" si="65">AH26+AH50</f>
        <v>0.1</v>
      </c>
      <c r="AI44" s="33">
        <f t="shared" si="65"/>
        <v>0.1</v>
      </c>
      <c r="AK44" s="283">
        <v>0.1</v>
      </c>
      <c r="AL44" s="264">
        <f t="shared" si="27"/>
        <v>0.10525611999999998</v>
      </c>
      <c r="AN44" s="82">
        <f t="shared" si="28"/>
        <v>80.295566502463046</v>
      </c>
      <c r="AO44" s="83">
        <f t="shared" si="29"/>
        <v>47.77530559735284</v>
      </c>
      <c r="AP44" s="83">
        <f t="shared" si="30"/>
        <v>94.105691056910572</v>
      </c>
      <c r="AQ44" s="83">
        <f t="shared" si="54"/>
        <v>35.518242769857629</v>
      </c>
      <c r="AR44" s="83">
        <f t="shared" si="55"/>
        <v>18.305194541306083</v>
      </c>
      <c r="AS44" s="83">
        <f t="shared" si="56"/>
        <v>103.80622837370241</v>
      </c>
      <c r="AT44" s="83">
        <f t="shared" si="57"/>
        <v>73.64438409946446</v>
      </c>
      <c r="AU44" s="83">
        <f t="shared" si="58"/>
        <v>28.151458170147713</v>
      </c>
      <c r="AV44" s="83">
        <f t="shared" si="59"/>
        <v>85.65095847309361</v>
      </c>
      <c r="AW44" s="84">
        <f t="shared" si="60"/>
        <v>50.266955994858208</v>
      </c>
    </row>
    <row r="45" spans="1:49" outlineLevel="1">
      <c r="A45" s="287" t="s">
        <v>745</v>
      </c>
      <c r="B45" s="100" t="s">
        <v>711</v>
      </c>
      <c r="C45" s="100" t="s">
        <v>126</v>
      </c>
      <c r="D45" s="100" t="s">
        <v>127</v>
      </c>
      <c r="E45" s="100" t="s">
        <v>103</v>
      </c>
      <c r="F45" s="202"/>
      <c r="G45" s="103"/>
      <c r="H45" s="103"/>
      <c r="I45" s="103"/>
      <c r="J45" s="103"/>
      <c r="K45" s="103"/>
      <c r="L45" s="202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202"/>
      <c r="Y45" s="103"/>
      <c r="Z45" s="103"/>
      <c r="AA45" s="103"/>
      <c r="AB45" s="103"/>
      <c r="AC45" s="103"/>
      <c r="AD45" s="103">
        <f t="shared" ref="AD45:AI45" si="66">SUM(AD46:AD50)</f>
        <v>0</v>
      </c>
      <c r="AE45" s="103">
        <f t="shared" si="66"/>
        <v>-1.37</v>
      </c>
      <c r="AF45" s="103">
        <f t="shared" si="66"/>
        <v>0</v>
      </c>
      <c r="AG45" s="103">
        <f t="shared" si="66"/>
        <v>0</v>
      </c>
      <c r="AH45" s="103">
        <f t="shared" si="66"/>
        <v>0</v>
      </c>
      <c r="AI45" s="104">
        <f t="shared" si="66"/>
        <v>0</v>
      </c>
      <c r="AK45" s="250"/>
    </row>
    <row r="46" spans="1:49" outlineLevel="1">
      <c r="A46" s="285" t="s">
        <v>745</v>
      </c>
      <c r="B46" s="92" t="s">
        <v>713</v>
      </c>
      <c r="C46" s="22" t="s">
        <v>126</v>
      </c>
      <c r="D46" s="22" t="s">
        <v>127</v>
      </c>
      <c r="E46" s="22" t="s">
        <v>20</v>
      </c>
      <c r="F46" s="72"/>
      <c r="G46" s="24"/>
      <c r="H46" s="24"/>
      <c r="I46" s="24"/>
      <c r="J46" s="24"/>
      <c r="K46" s="24"/>
      <c r="L46" s="72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72"/>
      <c r="Y46" s="24"/>
      <c r="Z46" s="24"/>
      <c r="AA46" s="24"/>
      <c r="AB46" s="24"/>
      <c r="AC46" s="24"/>
      <c r="AD46" s="24"/>
      <c r="AE46" s="24">
        <v>-0.25</v>
      </c>
      <c r="AI46" s="42"/>
      <c r="AK46" s="250"/>
    </row>
    <row r="47" spans="1:49" outlineLevel="1">
      <c r="A47" s="289" t="s">
        <v>745</v>
      </c>
      <c r="B47" s="22" t="s">
        <v>713</v>
      </c>
      <c r="C47" s="22" t="s">
        <v>126</v>
      </c>
      <c r="D47" s="22" t="s">
        <v>127</v>
      </c>
      <c r="E47" s="22" t="s">
        <v>47</v>
      </c>
      <c r="F47" s="72"/>
      <c r="G47" s="24"/>
      <c r="H47" s="24"/>
      <c r="I47" s="24"/>
      <c r="J47" s="24"/>
      <c r="K47" s="24"/>
      <c r="L47" s="72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72"/>
      <c r="Y47" s="24"/>
      <c r="Z47" s="24"/>
      <c r="AA47" s="24"/>
      <c r="AB47" s="24"/>
      <c r="AC47" s="24"/>
      <c r="AD47" s="24"/>
      <c r="AE47" s="24">
        <v>-0.8</v>
      </c>
      <c r="AI47" s="42"/>
      <c r="AK47" s="250"/>
    </row>
    <row r="48" spans="1:49" outlineLevel="1">
      <c r="A48" s="289" t="s">
        <v>745</v>
      </c>
      <c r="B48" s="22" t="s">
        <v>713</v>
      </c>
      <c r="C48" s="22" t="s">
        <v>126</v>
      </c>
      <c r="D48" s="22" t="s">
        <v>127</v>
      </c>
      <c r="E48" s="22" t="s">
        <v>124</v>
      </c>
      <c r="F48" s="72"/>
      <c r="G48" s="24"/>
      <c r="H48" s="24"/>
      <c r="I48" s="24"/>
      <c r="J48" s="24"/>
      <c r="K48" s="24"/>
      <c r="L48" s="72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72"/>
      <c r="Y48" s="24"/>
      <c r="Z48" s="24"/>
      <c r="AA48" s="24"/>
      <c r="AB48" s="24"/>
      <c r="AC48" s="24"/>
      <c r="AD48" s="24"/>
      <c r="AE48" s="24">
        <v>-0.27</v>
      </c>
      <c r="AI48" s="42"/>
      <c r="AK48" s="250"/>
    </row>
    <row r="49" spans="1:37" outlineLevel="1">
      <c r="A49" s="289" t="s">
        <v>745</v>
      </c>
      <c r="B49" s="22" t="s">
        <v>713</v>
      </c>
      <c r="C49" s="22" t="s">
        <v>126</v>
      </c>
      <c r="D49" s="22" t="s">
        <v>127</v>
      </c>
      <c r="E49" s="22" t="s">
        <v>125</v>
      </c>
      <c r="F49" s="72"/>
      <c r="G49" s="24"/>
      <c r="H49" s="24"/>
      <c r="I49" s="24"/>
      <c r="J49" s="24"/>
      <c r="K49" s="24"/>
      <c r="L49" s="72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72"/>
      <c r="Y49" s="24"/>
      <c r="Z49" s="24"/>
      <c r="AA49" s="24"/>
      <c r="AB49" s="24"/>
      <c r="AC49" s="24"/>
      <c r="AD49" s="24"/>
      <c r="AE49" s="24">
        <v>0</v>
      </c>
      <c r="AI49" s="42"/>
      <c r="AK49" s="250"/>
    </row>
    <row r="50" spans="1:37" outlineLevel="1">
      <c r="A50" s="286" t="s">
        <v>745</v>
      </c>
      <c r="B50" s="31" t="s">
        <v>713</v>
      </c>
      <c r="C50" s="31" t="s">
        <v>126</v>
      </c>
      <c r="D50" s="31" t="s">
        <v>127</v>
      </c>
      <c r="E50" s="31" t="s">
        <v>122</v>
      </c>
      <c r="F50" s="74"/>
      <c r="G50" s="32"/>
      <c r="H50" s="32"/>
      <c r="I50" s="32"/>
      <c r="J50" s="32"/>
      <c r="K50" s="32"/>
      <c r="L50" s="74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74"/>
      <c r="Y50" s="32"/>
      <c r="Z50" s="32"/>
      <c r="AA50" s="32"/>
      <c r="AB50" s="32"/>
      <c r="AC50" s="32"/>
      <c r="AD50" s="32"/>
      <c r="AE50" s="32">
        <v>-0.05</v>
      </c>
      <c r="AF50" s="66"/>
      <c r="AG50" s="66"/>
      <c r="AH50" s="66"/>
      <c r="AI50" s="71"/>
      <c r="AK50" s="250"/>
    </row>
  </sheetData>
  <autoFilter ref="A2:AX2" xr:uid="{3B92A0FE-F64E-4BAA-8C33-0CA912C1FAD3}"/>
  <phoneticPr fontId="5" type="noConversion"/>
  <conditionalFormatting sqref="AN3:AW8">
    <cfRule type="cellIs" dxfId="32" priority="7" operator="equal">
      <formula>"NA"</formula>
    </cfRule>
    <cfRule type="cellIs" dxfId="31" priority="8" operator="greaterThan">
      <formula>100</formula>
    </cfRule>
    <cfRule type="cellIs" dxfId="30" priority="9" operator="lessThan">
      <formula>100</formula>
    </cfRule>
  </conditionalFormatting>
  <conditionalFormatting sqref="AN21:AW26">
    <cfRule type="cellIs" dxfId="29" priority="4" operator="equal">
      <formula>"NA"</formula>
    </cfRule>
    <cfRule type="cellIs" dxfId="28" priority="5" operator="greaterThan">
      <formula>100</formula>
    </cfRule>
    <cfRule type="cellIs" dxfId="27" priority="6" operator="lessThan">
      <formula>100</formula>
    </cfRule>
  </conditionalFormatting>
  <conditionalFormatting sqref="AN39:AW44">
    <cfRule type="cellIs" dxfId="26" priority="1" operator="equal">
      <formula>"NA"</formula>
    </cfRule>
    <cfRule type="cellIs" dxfId="25" priority="2" operator="greaterThan">
      <formula>100</formula>
    </cfRule>
    <cfRule type="cellIs" dxfId="24" priority="3" operator="lessThan">
      <formula>100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85ADD-A131-460F-883C-CCF60873DDA1}">
  <dimension ref="A1:AW44"/>
  <sheetViews>
    <sheetView zoomScale="80" zoomScaleNormal="80" workbookViewId="0">
      <pane xSplit="5" ySplit="3" topLeftCell="U4" activePane="bottomRight" state="frozen"/>
      <selection pane="topRight" activeCell="F1" sqref="F1"/>
      <selection pane="bottomLeft" activeCell="A3" sqref="A3"/>
      <selection pane="bottomRight" activeCell="AB52" sqref="AB52"/>
    </sheetView>
  </sheetViews>
  <sheetFormatPr defaultColWidth="9" defaultRowHeight="14.4" outlineLevelRow="1" outlineLevelCol="1"/>
  <cols>
    <col min="1" max="1" width="11.33203125" style="22" customWidth="1"/>
    <col min="2" max="4" width="9" style="22"/>
    <col min="5" max="5" width="19.109375" style="22" bestFit="1" customWidth="1"/>
    <col min="6" max="11" width="10.33203125" style="22" hidden="1" customWidth="1" outlineLevel="1"/>
    <col min="12" max="12" width="10.33203125" style="22" bestFit="1" customWidth="1" collapsed="1"/>
    <col min="13" max="28" width="10.33203125" style="22" bestFit="1" customWidth="1"/>
    <col min="29" max="29" width="9" style="22"/>
    <col min="30" max="39" width="9" style="22" customWidth="1"/>
    <col min="40" max="16384" width="9" style="22"/>
  </cols>
  <sheetData>
    <row r="1" spans="1:49">
      <c r="F1" s="180" t="s">
        <v>90</v>
      </c>
      <c r="G1" s="180" t="s">
        <v>90</v>
      </c>
      <c r="H1" s="180" t="s">
        <v>90</v>
      </c>
      <c r="I1" s="180" t="s">
        <v>90</v>
      </c>
      <c r="J1" s="180" t="s">
        <v>90</v>
      </c>
      <c r="K1" s="180" t="s">
        <v>90</v>
      </c>
      <c r="L1" s="180" t="s">
        <v>90</v>
      </c>
      <c r="M1" s="180" t="s">
        <v>90</v>
      </c>
      <c r="N1" s="180" t="s">
        <v>90</v>
      </c>
      <c r="O1" s="180" t="s">
        <v>90</v>
      </c>
      <c r="P1" s="180" t="s">
        <v>90</v>
      </c>
      <c r="Q1" s="180" t="s">
        <v>90</v>
      </c>
      <c r="R1" s="180" t="s">
        <v>90</v>
      </c>
      <c r="S1" s="180" t="s">
        <v>90</v>
      </c>
      <c r="T1" s="180" t="s">
        <v>90</v>
      </c>
      <c r="U1" s="180" t="s">
        <v>90</v>
      </c>
      <c r="V1" s="180" t="s">
        <v>90</v>
      </c>
      <c r="W1" s="180" t="s">
        <v>90</v>
      </c>
      <c r="X1" s="180" t="s">
        <v>90</v>
      </c>
      <c r="Y1" s="180" t="s">
        <v>90</v>
      </c>
      <c r="Z1" s="180" t="s">
        <v>90</v>
      </c>
      <c r="AA1" s="180" t="s">
        <v>90</v>
      </c>
      <c r="AB1" s="180" t="s">
        <v>90</v>
      </c>
      <c r="AC1" s="180" t="s">
        <v>90</v>
      </c>
      <c r="AD1" s="180" t="s">
        <v>90</v>
      </c>
      <c r="AE1" s="235" t="s">
        <v>90</v>
      </c>
      <c r="AF1" s="235" t="s">
        <v>90</v>
      </c>
      <c r="AG1" s="235" t="s">
        <v>90</v>
      </c>
      <c r="AH1" s="180" t="s">
        <v>719</v>
      </c>
      <c r="AI1" s="180" t="s">
        <v>719</v>
      </c>
      <c r="AK1" s="22" t="s">
        <v>751</v>
      </c>
    </row>
    <row r="2" spans="1:49" ht="15" thickBot="1">
      <c r="A2" s="18" t="s">
        <v>78</v>
      </c>
      <c r="B2" s="19" t="s">
        <v>89</v>
      </c>
      <c r="C2" s="19" t="s">
        <v>0</v>
      </c>
      <c r="D2" s="19" t="s">
        <v>79</v>
      </c>
      <c r="E2" s="19" t="s">
        <v>80</v>
      </c>
      <c r="F2" s="61">
        <v>202401</v>
      </c>
      <c r="G2" s="57">
        <v>202402</v>
      </c>
      <c r="H2" s="57">
        <v>202403</v>
      </c>
      <c r="I2" s="57">
        <v>202404</v>
      </c>
      <c r="J2" s="57">
        <v>202405</v>
      </c>
      <c r="K2" s="57">
        <v>202406</v>
      </c>
      <c r="L2" s="69">
        <v>202407</v>
      </c>
      <c r="M2" s="7">
        <v>202408</v>
      </c>
      <c r="N2" s="7">
        <v>202409</v>
      </c>
      <c r="O2" s="7">
        <v>202410</v>
      </c>
      <c r="P2" s="7">
        <v>202411</v>
      </c>
      <c r="Q2" s="7">
        <v>202412</v>
      </c>
      <c r="R2" s="7">
        <v>202501</v>
      </c>
      <c r="S2" s="7">
        <v>202502</v>
      </c>
      <c r="T2" s="7">
        <v>202503</v>
      </c>
      <c r="U2" s="7">
        <v>202504</v>
      </c>
      <c r="V2" s="7">
        <v>202505</v>
      </c>
      <c r="W2" s="7">
        <v>202506</v>
      </c>
      <c r="X2" s="68">
        <v>202507</v>
      </c>
      <c r="Y2" s="8">
        <v>202508</v>
      </c>
      <c r="Z2" s="8">
        <v>202509</v>
      </c>
      <c r="AA2" s="8">
        <v>202510</v>
      </c>
      <c r="AB2" s="8">
        <v>202511</v>
      </c>
      <c r="AC2" s="8">
        <v>202512</v>
      </c>
      <c r="AD2" s="8">
        <v>202601</v>
      </c>
      <c r="AE2" s="8">
        <v>202602</v>
      </c>
      <c r="AF2" s="8">
        <v>202603</v>
      </c>
      <c r="AG2" s="8">
        <v>202604</v>
      </c>
      <c r="AH2" s="8">
        <v>202605</v>
      </c>
      <c r="AI2" s="9">
        <v>202606</v>
      </c>
      <c r="AK2" s="22" t="s">
        <v>749</v>
      </c>
      <c r="AL2" s="246" t="s">
        <v>750</v>
      </c>
      <c r="AN2" s="16" t="s">
        <v>98</v>
      </c>
      <c r="AO2" s="15" t="s">
        <v>99</v>
      </c>
      <c r="AP2" s="15" t="s">
        <v>134</v>
      </c>
      <c r="AQ2" s="15" t="s">
        <v>91</v>
      </c>
      <c r="AR2" s="15" t="s">
        <v>92</v>
      </c>
      <c r="AS2" s="15" t="s">
        <v>93</v>
      </c>
      <c r="AT2" s="15" t="s">
        <v>94</v>
      </c>
      <c r="AU2" s="15" t="s">
        <v>95</v>
      </c>
      <c r="AV2" s="15" t="s">
        <v>96</v>
      </c>
      <c r="AW2" s="17" t="s">
        <v>97</v>
      </c>
    </row>
    <row r="3" spans="1:49" ht="15" thickTop="1">
      <c r="A3" s="269" t="s">
        <v>77</v>
      </c>
      <c r="B3" s="176" t="s">
        <v>83</v>
      </c>
      <c r="C3" s="176" t="s">
        <v>113</v>
      </c>
      <c r="D3" s="176" t="s">
        <v>40</v>
      </c>
      <c r="E3" s="176" t="s">
        <v>103</v>
      </c>
      <c r="F3" s="177">
        <f t="shared" ref="F3:AC3" si="0">SUM(F4,F5)</f>
        <v>4.0659284299999996</v>
      </c>
      <c r="G3" s="178">
        <f t="shared" si="0"/>
        <v>2.3311651799999997</v>
      </c>
      <c r="H3" s="178">
        <f t="shared" si="0"/>
        <v>1.5093453399999999</v>
      </c>
      <c r="I3" s="178">
        <f t="shared" si="0"/>
        <v>1.4853936950000002</v>
      </c>
      <c r="J3" s="178">
        <f t="shared" si="0"/>
        <v>1.1837526199999999</v>
      </c>
      <c r="K3" s="178">
        <f t="shared" si="0"/>
        <v>1.8465215649999998</v>
      </c>
      <c r="L3" s="177">
        <f t="shared" si="0"/>
        <v>2.3533579800000002</v>
      </c>
      <c r="M3" s="178">
        <f t="shared" si="0"/>
        <v>1.9243719049999999</v>
      </c>
      <c r="N3" s="178">
        <f t="shared" si="0"/>
        <v>2.9630663899999998</v>
      </c>
      <c r="O3" s="178">
        <f t="shared" si="0"/>
        <v>2.5375411400000001</v>
      </c>
      <c r="P3" s="178">
        <f t="shared" si="0"/>
        <v>2.0075178199999999</v>
      </c>
      <c r="Q3" s="178">
        <f t="shared" si="0"/>
        <v>2.2628521350000002</v>
      </c>
      <c r="R3" s="178">
        <f t="shared" si="0"/>
        <v>2.4142862699999994</v>
      </c>
      <c r="S3" s="178">
        <f t="shared" si="0"/>
        <v>2.2682874150000001</v>
      </c>
      <c r="T3" s="178">
        <f t="shared" si="0"/>
        <v>1.2310928900000002</v>
      </c>
      <c r="U3" s="178">
        <f t="shared" si="0"/>
        <v>1.2701608899999999</v>
      </c>
      <c r="V3" s="178">
        <f t="shared" si="0"/>
        <v>2.8666596950000001</v>
      </c>
      <c r="W3" s="178">
        <f t="shared" si="0"/>
        <v>2.0183636250000001</v>
      </c>
      <c r="X3" s="177">
        <f t="shared" si="0"/>
        <v>1.9535059699999997</v>
      </c>
      <c r="Y3" s="178">
        <f t="shared" si="0"/>
        <v>2.458913205</v>
      </c>
      <c r="Z3" s="178">
        <f t="shared" si="0"/>
        <v>2.2258530749999998</v>
      </c>
      <c r="AA3" s="178">
        <f t="shared" si="0"/>
        <v>2.5390048250000001</v>
      </c>
      <c r="AB3" s="178">
        <f t="shared" si="0"/>
        <v>1.4132786850000001</v>
      </c>
      <c r="AC3" s="178">
        <f t="shared" si="0"/>
        <v>2.4890700849999998</v>
      </c>
      <c r="AD3" s="178">
        <f>SUM(AD4,AD5)</f>
        <v>1.304319405</v>
      </c>
      <c r="AE3" s="178">
        <f>SUM(AE4,AE5)</f>
        <v>0.7108725600000001</v>
      </c>
      <c r="AF3" s="178">
        <f t="shared" ref="AF3:AI3" si="1">SUM(AF4,AF5)</f>
        <v>0.76983911999999988</v>
      </c>
      <c r="AG3" s="178">
        <f t="shared" ref="AG3" si="2">SUM(AG4,AG5)</f>
        <v>1.5238438144444444</v>
      </c>
      <c r="AH3" s="178">
        <f t="shared" si="1"/>
        <v>2.351</v>
      </c>
      <c r="AI3" s="205">
        <f t="shared" si="1"/>
        <v>2.4605199999999998</v>
      </c>
      <c r="AK3" s="281">
        <v>1.6075999999999997</v>
      </c>
      <c r="AL3" s="281">
        <f>AG3-AK3</f>
        <v>-8.3756185555555307E-2</v>
      </c>
      <c r="AN3" s="82">
        <f t="shared" ref="AN3:AN8" si="3">IFERROR(AG3/U3*100,"NA")</f>
        <v>119.97250320346775</v>
      </c>
      <c r="AO3" s="83">
        <f t="shared" ref="AO3:AO8" si="4">IFERROR(SUM(X3:AG3)/SUM(L3:U3)*100,"NA")</f>
        <v>81.895547938915911</v>
      </c>
      <c r="AP3" s="83">
        <f t="shared" ref="AP3:AP8" si="5">IFERROR(SUM(AD3:AG3)/SUM(R3:U3)*100,"NA")</f>
        <v>59.980211390620376</v>
      </c>
      <c r="AQ3" s="83">
        <f t="shared" ref="AQ3:AQ8" si="6">IFERROR(SUM(X3:Z3)/SUM(L3:N3)*100,"NA")</f>
        <v>91.678760151279079</v>
      </c>
      <c r="AR3" s="83">
        <f t="shared" ref="AR3:AR8" si="7">IFERROR(SUM(AA3:AC3)/SUM(O3:Q3)*100,"NA")</f>
        <v>94.615712589589847</v>
      </c>
      <c r="AS3" s="83">
        <f t="shared" ref="AS3:AS8" si="8">IFERROR(SUM(AD3:AF3)/SUM(R3:T3)*100,"NA")</f>
        <v>47.094827712703776</v>
      </c>
      <c r="AT3" s="83">
        <f t="shared" ref="AT3:AT8" si="9">IFERROR(SUM(AG3:AI3)/SUM(U3:W3)*100,"NA")</f>
        <v>102.92728208120427</v>
      </c>
      <c r="AU3" s="83">
        <f t="shared" ref="AU3:AU8" si="10">IFERROR(SUM(X3:AC3)/SUM(L3:Q3)*100,"NA")</f>
        <v>93.101987966028787</v>
      </c>
      <c r="AV3" s="83">
        <f t="shared" ref="AV3:AV8" si="11">IFERROR(SUM(AD3:AI3)/SUM(R3:W3)*100,"NA")</f>
        <v>75.56970470444378</v>
      </c>
      <c r="AW3" s="84">
        <f t="shared" ref="AW3:AW8" si="12">IFERROR(SUM(X3:AI3)/SUM(L3:W3)*100,"NA")</f>
        <v>85.000368766076349</v>
      </c>
    </row>
    <row r="4" spans="1:49">
      <c r="A4" s="270" t="s">
        <v>77</v>
      </c>
      <c r="B4" s="204" t="s">
        <v>103</v>
      </c>
      <c r="C4" s="204" t="s">
        <v>113</v>
      </c>
      <c r="D4" s="204" t="s">
        <v>40</v>
      </c>
      <c r="E4" s="204" t="s">
        <v>110</v>
      </c>
      <c r="F4" s="76">
        <f>SUMIFS('Offtake Raw'!H:H,'Offtake Raw'!$C:$C,$D4,'Offtake Raw'!$D:$D,$E4)/1000000</f>
        <v>2.6582154999999994</v>
      </c>
      <c r="G4" s="75">
        <f>SUMIFS('Offtake Raw'!I:I,'Offtake Raw'!$C:$C,$D4,'Offtake Raw'!$D:$D,$E4)/1000000</f>
        <v>0.49193009999999998</v>
      </c>
      <c r="H4" s="75">
        <f>SUMIFS('Offtake Raw'!J:J,'Offtake Raw'!$C:$C,$D4,'Offtake Raw'!$D:$D,$E4)/1000000</f>
        <v>0.3923010999999999</v>
      </c>
      <c r="I4" s="75">
        <f>SUMIFS('Offtake Raw'!K:K,'Offtake Raw'!$C:$C,$D4,'Offtake Raw'!$D:$D,$E4)/1000000</f>
        <v>0.38172872500000005</v>
      </c>
      <c r="J4" s="75">
        <f>SUMIFS('Offtake Raw'!L:L,'Offtake Raw'!$C:$C,$D4,'Offtake Raw'!$D:$D,$E4)/1000000</f>
        <v>0.47144284999999997</v>
      </c>
      <c r="K4" s="75">
        <f>SUMIFS('Offtake Raw'!M:M,'Offtake Raw'!$C:$C,$D4,'Offtake Raw'!$D:$D,$E4)/1000000</f>
        <v>1.4026337249999998</v>
      </c>
      <c r="L4" s="76">
        <f>SUMIFS('Offtake Raw'!N:N,'Offtake Raw'!$C:$C,$D4,'Offtake Raw'!$D:$D,$E4)/1000000</f>
        <v>2.05375365</v>
      </c>
      <c r="M4" s="75">
        <f>SUMIFS('Offtake Raw'!O:O,'Offtake Raw'!$C:$C,$D4,'Offtake Raw'!$D:$D,$E4)/1000000</f>
        <v>0.850267675</v>
      </c>
      <c r="N4" s="75">
        <f>SUMIFS('Offtake Raw'!P:P,'Offtake Raw'!$C:$C,$D4,'Offtake Raw'!$D:$D,$E4)/1000000</f>
        <v>1.3296683499999999</v>
      </c>
      <c r="O4" s="75">
        <f>SUMIFS('Offtake Raw'!Q:Q,'Offtake Raw'!$C:$C,$D4,'Offtake Raw'!$D:$D,$E4)/1000000</f>
        <v>2.1941408</v>
      </c>
      <c r="P4" s="75">
        <f>SUMIFS('Offtake Raw'!R:R,'Offtake Raw'!$C:$C,$D4,'Offtake Raw'!$D:$D,$E4)/1000000</f>
        <v>0.54244169999999992</v>
      </c>
      <c r="Q4" s="75">
        <f>SUMIFS('Offtake Raw'!S:S,'Offtake Raw'!$C:$C,$D4,'Offtake Raw'!$D:$D,$E4)/1000000</f>
        <v>0.92929947499999987</v>
      </c>
      <c r="R4" s="75">
        <f>SUMIFS('Offtake Raw'!T:T,'Offtake Raw'!$C:$C,$D4,'Offtake Raw'!$D:$D,$E4)/1000000</f>
        <v>1.6684821999999995</v>
      </c>
      <c r="S4" s="75">
        <f>SUMIFS('Offtake Raw'!U:U,'Offtake Raw'!$C:$C,$D4,'Offtake Raw'!$D:$D,$E4)/1000000</f>
        <v>0.47773182499999994</v>
      </c>
      <c r="T4" s="75">
        <f>SUMIFS('Offtake Raw'!V:V,'Offtake Raw'!$C:$C,$D4,'Offtake Raw'!$D:$D,$E4)/1000000</f>
        <v>0.34874970000000005</v>
      </c>
      <c r="U4" s="75">
        <f>SUMIFS('Offtake Raw'!W:W,'Offtake Raw'!$C:$C,$D4,'Offtake Raw'!$D:$D,$E4)/1000000</f>
        <v>0.34315619999999997</v>
      </c>
      <c r="V4" s="75">
        <f>SUMIFS('Offtake Raw'!X:X,'Offtake Raw'!$C:$C,$D4,'Offtake Raw'!$D:$D,$E4)/1000000</f>
        <v>1.790353775</v>
      </c>
      <c r="W4" s="75">
        <f>SUMIFS('Offtake Raw'!Y:Y,'Offtake Raw'!$C:$C,$D4,'Offtake Raw'!$D:$D,$E4)/1000000</f>
        <v>1.2798643249999999</v>
      </c>
      <c r="X4" s="76">
        <f>SUMIFS('Offtake Raw'!Z:Z,'Offtake Raw'!$C:$C,$D4,'Offtake Raw'!$D:$D,$E4)/1000000</f>
        <v>1.1963476499999999</v>
      </c>
      <c r="Y4" s="75">
        <f>SUMIFS('Offtake Raw'!AA:AA,'Offtake Raw'!$C:$C,$D4,'Offtake Raw'!$D:$D,$E4)/1000000</f>
        <v>1.174068825</v>
      </c>
      <c r="Z4" s="75">
        <f>SUMIFS('Offtake Raw'!AB:AB,'Offtake Raw'!$C:$C,$D4,'Offtake Raw'!$D:$D,$E4)/1000000</f>
        <v>0.65900622499999995</v>
      </c>
      <c r="AA4" s="75">
        <f>SUMIFS('Offtake Raw'!AC:AC,'Offtake Raw'!$C:$C,$D4,'Offtake Raw'!$D:$D,$E4)/1000000</f>
        <v>1.5101228250000001</v>
      </c>
      <c r="AB4" s="75">
        <f>SUMIFS('Offtake Raw'!AD:AD,'Offtake Raw'!$C:$C,$D4,'Offtake Raw'!$D:$D,$E4)/1000000</f>
        <v>0.34184912499999992</v>
      </c>
      <c r="AC4" s="75">
        <f>SUMIFS('Offtake Raw'!AE:AE,'Offtake Raw'!$C:$C,$D4,'Offtake Raw'!$D:$D,$E4)/1000000</f>
        <v>1.2754477749999997</v>
      </c>
      <c r="AD4" s="242">
        <f>SUMIFS('Offtake Raw'!AF:AF,'Offtake Raw'!$C:$C,$D4,'Offtake Raw'!$D:$D,$E4)/1000000</f>
        <v>0.92530457499999996</v>
      </c>
      <c r="AE4" s="242">
        <f>SUMIFS('Offtake Raw'!AG:AG,'Offtake Raw'!$C:$C,$D4,'Offtake Raw'!$D:$D,$E4)/1000000</f>
        <v>0.3381846</v>
      </c>
      <c r="AF4" s="242">
        <f>SUMIFS('Offtake Raw'!AH:AH,'Offtake Raw'!$C:$C,$D4,'Offtake Raw'!$D:$D,$E4)/1000000</f>
        <v>0.38722969999999995</v>
      </c>
      <c r="AG4" s="242">
        <f>SUMIFS('Offtake Raw'!AI:AI,'Offtake Raw'!$C:$C,$D4,'Offtake Raw'!$D:$D,$E4)/1000000</f>
        <v>0.43816838333333336</v>
      </c>
      <c r="AH4" s="75">
        <f t="shared" ref="AH4:AI4" si="13">AH10+AH16</f>
        <v>1.1033999999999999</v>
      </c>
      <c r="AI4" s="94">
        <f t="shared" si="13"/>
        <v>1.1033999999999999</v>
      </c>
      <c r="AK4" s="288">
        <v>0.36</v>
      </c>
      <c r="AL4" s="263">
        <f t="shared" ref="AL4:AL8" si="14">AG4-AK4</f>
        <v>7.8168383333333369E-2</v>
      </c>
      <c r="AN4" s="151">
        <f t="shared" si="3"/>
        <v>127.68773617767459</v>
      </c>
      <c r="AO4" s="152">
        <f t="shared" si="4"/>
        <v>76.792387132178675</v>
      </c>
      <c r="AP4" s="152">
        <f t="shared" si="5"/>
        <v>73.601092044527803</v>
      </c>
      <c r="AQ4" s="152">
        <f t="shared" si="6"/>
        <v>71.555142973486824</v>
      </c>
      <c r="AR4" s="152">
        <f t="shared" si="7"/>
        <v>85.311522474751797</v>
      </c>
      <c r="AS4" s="152">
        <f t="shared" si="8"/>
        <v>66.162039089365933</v>
      </c>
      <c r="AT4" s="152">
        <f t="shared" si="9"/>
        <v>77.488378093587144</v>
      </c>
      <c r="AU4" s="152">
        <f t="shared" si="10"/>
        <v>77.93894020823268</v>
      </c>
      <c r="AV4" s="152">
        <f t="shared" si="11"/>
        <v>72.705509403100422</v>
      </c>
      <c r="AW4" s="153">
        <f t="shared" si="12"/>
        <v>75.699580380788774</v>
      </c>
    </row>
    <row r="5" spans="1:49">
      <c r="A5" s="271" t="s">
        <v>77</v>
      </c>
      <c r="B5" s="22" t="s">
        <v>83</v>
      </c>
      <c r="C5" s="22" t="s">
        <v>113</v>
      </c>
      <c r="D5" s="22" t="s">
        <v>40</v>
      </c>
      <c r="E5" s="22" t="s">
        <v>114</v>
      </c>
      <c r="F5" s="72">
        <f t="shared" ref="F5:AC5" si="15">SUM(F6:F8)</f>
        <v>1.4077129300000002</v>
      </c>
      <c r="G5" s="24">
        <f t="shared" si="15"/>
        <v>1.8392350799999997</v>
      </c>
      <c r="H5" s="24">
        <f t="shared" si="15"/>
        <v>1.11704424</v>
      </c>
      <c r="I5" s="24">
        <f t="shared" si="15"/>
        <v>1.1036649700000001</v>
      </c>
      <c r="J5" s="24">
        <f t="shared" si="15"/>
        <v>0.71230977000000006</v>
      </c>
      <c r="K5" s="24">
        <f t="shared" si="15"/>
        <v>0.44388783999999992</v>
      </c>
      <c r="L5" s="72">
        <f t="shared" si="15"/>
        <v>0.29960432999999997</v>
      </c>
      <c r="M5" s="24">
        <f t="shared" si="15"/>
        <v>1.0741042299999999</v>
      </c>
      <c r="N5" s="24">
        <f t="shared" si="15"/>
        <v>1.6333980399999999</v>
      </c>
      <c r="O5" s="24">
        <f t="shared" si="15"/>
        <v>0.34340033999999997</v>
      </c>
      <c r="P5" s="24">
        <f t="shared" si="15"/>
        <v>1.46507612</v>
      </c>
      <c r="Q5" s="24">
        <f t="shared" si="15"/>
        <v>1.3335526600000001</v>
      </c>
      <c r="R5" s="24">
        <f t="shared" si="15"/>
        <v>0.74580406999999993</v>
      </c>
      <c r="S5" s="24">
        <f t="shared" si="15"/>
        <v>1.7905555900000001</v>
      </c>
      <c r="T5" s="24">
        <f t="shared" si="15"/>
        <v>0.88234319000000005</v>
      </c>
      <c r="U5" s="24">
        <f t="shared" si="15"/>
        <v>0.92700468999999996</v>
      </c>
      <c r="V5" s="24">
        <f t="shared" si="15"/>
        <v>1.0763059199999998</v>
      </c>
      <c r="W5" s="24">
        <f t="shared" si="15"/>
        <v>0.73849930000000008</v>
      </c>
      <c r="X5" s="72">
        <f t="shared" si="15"/>
        <v>0.75715831999999994</v>
      </c>
      <c r="Y5" s="24">
        <f t="shared" si="15"/>
        <v>1.2848443800000002</v>
      </c>
      <c r="Z5" s="24">
        <f t="shared" si="15"/>
        <v>1.5668468500000001</v>
      </c>
      <c r="AA5" s="24">
        <f t="shared" si="15"/>
        <v>1.0288820000000001</v>
      </c>
      <c r="AB5" s="24">
        <f t="shared" si="15"/>
        <v>1.0714295600000001</v>
      </c>
      <c r="AC5" s="24">
        <f t="shared" si="15"/>
        <v>1.2136223100000001</v>
      </c>
      <c r="AD5" s="24">
        <f>SUM(AD6:AD8)</f>
        <v>0.37901482999999997</v>
      </c>
      <c r="AE5" s="24">
        <f>SUM(AE6:AE8)</f>
        <v>0.37268796000000004</v>
      </c>
      <c r="AF5" s="24">
        <f>SUM(AF6:AF8)</f>
        <v>0.38260941999999998</v>
      </c>
      <c r="AG5" s="24">
        <f>SUM(AG6:AG8)</f>
        <v>1.085675431111111</v>
      </c>
      <c r="AH5" s="24">
        <f t="shared" ref="AH5:AI5" si="16">AH11+AH17</f>
        <v>1.2475999999999998</v>
      </c>
      <c r="AI5" s="25">
        <f t="shared" si="16"/>
        <v>1.3571200000000001</v>
      </c>
      <c r="AK5" s="282">
        <v>1.2475999999999998</v>
      </c>
      <c r="AL5" s="263">
        <f t="shared" si="14"/>
        <v>-0.16192456888888884</v>
      </c>
      <c r="AN5" s="154">
        <f t="shared" si="3"/>
        <v>117.1164982035971</v>
      </c>
      <c r="AO5" s="147">
        <f t="shared" si="4"/>
        <v>87.11679474011612</v>
      </c>
      <c r="AP5" s="147">
        <f t="shared" si="5"/>
        <v>51.084607527710233</v>
      </c>
      <c r="AQ5" s="147">
        <f t="shared" si="6"/>
        <v>120.01069566339953</v>
      </c>
      <c r="AR5" s="147">
        <f t="shared" si="7"/>
        <v>105.47113802688119</v>
      </c>
      <c r="AS5" s="147">
        <f t="shared" si="8"/>
        <v>33.179608166296177</v>
      </c>
      <c r="AT5" s="147">
        <f t="shared" si="9"/>
        <v>134.59705640611355</v>
      </c>
      <c r="AU5" s="147">
        <f t="shared" si="10"/>
        <v>112.58140550522766</v>
      </c>
      <c r="AV5" s="147">
        <f t="shared" si="11"/>
        <v>78.316656893201724</v>
      </c>
      <c r="AW5" s="155">
        <f t="shared" si="12"/>
        <v>95.433196814659254</v>
      </c>
    </row>
    <row r="6" spans="1:49">
      <c r="A6" s="271" t="s">
        <v>77</v>
      </c>
      <c r="B6" s="22" t="s">
        <v>83</v>
      </c>
      <c r="C6" s="22" t="s">
        <v>113</v>
      </c>
      <c r="D6" s="22" t="s">
        <v>40</v>
      </c>
      <c r="E6" s="46" t="s">
        <v>111</v>
      </c>
      <c r="F6" s="72">
        <f>SUMIFS('Offtake Raw'!H:H,'Offtake Raw'!$C:$C,$D6,'Offtake Raw'!$D:$D,$E6)/1000000</f>
        <v>0.328685</v>
      </c>
      <c r="G6" s="24">
        <f>SUMIFS('Offtake Raw'!I:I,'Offtake Raw'!$C:$C,$D6,'Offtake Raw'!$D:$D,$E6)/1000000</f>
        <v>1.5945039999999997</v>
      </c>
      <c r="H6" s="24">
        <f>SUMIFS('Offtake Raw'!J:J,'Offtake Raw'!$C:$C,$D6,'Offtake Raw'!$D:$D,$E6)/1000000</f>
        <v>0.86475260000000009</v>
      </c>
      <c r="I6" s="24">
        <f>SUMIFS('Offtake Raw'!K:K,'Offtake Raw'!$C:$C,$D6,'Offtake Raw'!$D:$D,$E6)/1000000</f>
        <v>0.72461019999999998</v>
      </c>
      <c r="J6" s="24">
        <f>SUMIFS('Offtake Raw'!L:L,'Offtake Raw'!$C:$C,$D6,'Offtake Raw'!$D:$D,$E6)/1000000</f>
        <v>0.30075910000000006</v>
      </c>
      <c r="K6" s="24">
        <f>SUMIFS('Offtake Raw'!M:M,'Offtake Raw'!$C:$C,$D6,'Offtake Raw'!$D:$D,$E6)/1000000</f>
        <v>0.15732979999999999</v>
      </c>
      <c r="L6" s="72">
        <f>SUMIFS('Offtake Raw'!N:N,'Offtake Raw'!$C:$C,$D6,'Offtake Raw'!$D:$D,$E6)/1000000</f>
        <v>0.13240289999999999</v>
      </c>
      <c r="M6" s="24">
        <f>SUMIFS('Offtake Raw'!O:O,'Offtake Raw'!$C:$C,$D6,'Offtake Raw'!$D:$D,$E6)/1000000</f>
        <v>0.69466639999999991</v>
      </c>
      <c r="N6" s="24">
        <f>SUMIFS('Offtake Raw'!P:P,'Offtake Raw'!$C:$C,$D6,'Offtake Raw'!$D:$D,$E6)/1000000</f>
        <v>1.1486756</v>
      </c>
      <c r="O6" s="24">
        <f>SUMIFS('Offtake Raw'!Q:Q,'Offtake Raw'!$C:$C,$D6,'Offtake Raw'!$D:$D,$E6)/1000000</f>
        <v>0.14597450000000001</v>
      </c>
      <c r="P6" s="24">
        <f>SUMIFS('Offtake Raw'!R:R,'Offtake Raw'!$C:$C,$D6,'Offtake Raw'!$D:$D,$E6)/1000000</f>
        <v>0.75144870000000008</v>
      </c>
      <c r="Q6" s="24">
        <f>SUMIFS('Offtake Raw'!S:S,'Offtake Raw'!$C:$C,$D6,'Offtake Raw'!$D:$D,$E6)/1000000</f>
        <v>0.37827290000000002</v>
      </c>
      <c r="R6" s="24">
        <f>SUMIFS('Offtake Raw'!T:T,'Offtake Raw'!$C:$C,$D6,'Offtake Raw'!$D:$D,$E6)/1000000</f>
        <v>0.26931169999999993</v>
      </c>
      <c r="S6" s="24">
        <f>SUMIFS('Offtake Raw'!U:U,'Offtake Raw'!$C:$C,$D6,'Offtake Raw'!$D:$D,$E6)/1000000</f>
        <v>1.5483204000000002</v>
      </c>
      <c r="T6" s="24">
        <f>SUMIFS('Offtake Raw'!V:V,'Offtake Raw'!$C:$C,$D6,'Offtake Raw'!$D:$D,$E6)/1000000</f>
        <v>0.69482330000000003</v>
      </c>
      <c r="U6" s="24">
        <f>SUMIFS('Offtake Raw'!W:W,'Offtake Raw'!$C:$C,$D6,'Offtake Raw'!$D:$D,$E6)/1000000</f>
        <v>0.15465769999999998</v>
      </c>
      <c r="V6" s="24">
        <f>SUMIFS('Offtake Raw'!X:X,'Offtake Raw'!$C:$C,$D6,'Offtake Raw'!$D:$D,$E6)/1000000</f>
        <v>0.15783249999999999</v>
      </c>
      <c r="W6" s="24">
        <f>SUMIFS('Offtake Raw'!Y:Y,'Offtake Raw'!$C:$C,$D6,'Offtake Raw'!$D:$D,$E6)/1000000</f>
        <v>0.35010290000000005</v>
      </c>
      <c r="X6" s="72">
        <f>SUMIFS('Offtake Raw'!Z:Z,'Offtake Raw'!$C:$C,$D6,'Offtake Raw'!$D:$D,$E6)/1000000</f>
        <v>0.36118899999999993</v>
      </c>
      <c r="Y6" s="24">
        <f>SUMIFS('Offtake Raw'!AA:AA,'Offtake Raw'!$C:$C,$D6,'Offtake Raw'!$D:$D,$E6)/1000000</f>
        <v>0.93361670000000008</v>
      </c>
      <c r="Z6" s="24">
        <f>SUMIFS('Offtake Raw'!AB:AB,'Offtake Raw'!$C:$C,$D6,'Offtake Raw'!$D:$D,$E6)/1000000</f>
        <v>1.2127593000000001</v>
      </c>
      <c r="AA6" s="24">
        <f>SUMIFS('Offtake Raw'!AC:AC,'Offtake Raw'!$C:$C,$D6,'Offtake Raw'!$D:$D,$E6)/1000000</f>
        <v>0.3980882</v>
      </c>
      <c r="AB6" s="24">
        <f>SUMIFS('Offtake Raw'!AD:AD,'Offtake Raw'!$C:$C,$D6,'Offtake Raw'!$D:$D,$E6)/1000000</f>
        <v>0.42583080000000006</v>
      </c>
      <c r="AC6" s="24">
        <f>SUMIFS('Offtake Raw'!AE:AE,'Offtake Raw'!$C:$C,$D6,'Offtake Raw'!$D:$D,$E6)/1000000</f>
        <v>0.36107120000000004</v>
      </c>
      <c r="AD6" s="24">
        <f>SUMIFS('Offtake Raw'!AF:AF,'Offtake Raw'!$C:$C,$D6,'Offtake Raw'!$D:$D,$E6)/1000000</f>
        <v>0.13440879999999999</v>
      </c>
      <c r="AE6" s="24">
        <f>SUMIFS('Offtake Raw'!AG:AG,'Offtake Raw'!$C:$C,$D6,'Offtake Raw'!$D:$D,$E6)/1000000</f>
        <v>0.13832440000000001</v>
      </c>
      <c r="AF6" s="24">
        <f>SUMIFS('Offtake Raw'!AH:AH,'Offtake Raw'!$C:$C,$D6,'Offtake Raw'!$D:$D,$E6)/1000000</f>
        <v>0.2256659</v>
      </c>
      <c r="AG6" s="24">
        <f>SUMIFS('Offtake Raw'!AI:AI,'Offtake Raw'!$C:$C,$D6,'Offtake Raw'!$D:$D,$E6)/1000000</f>
        <v>0.20110376666666668</v>
      </c>
      <c r="AH6" s="24">
        <f t="shared" ref="AH6:AI6" si="17">AH12+AH18</f>
        <v>0.3</v>
      </c>
      <c r="AI6" s="25">
        <f t="shared" si="17"/>
        <v>0.95711999999999997</v>
      </c>
      <c r="AK6" s="282">
        <v>0.3</v>
      </c>
      <c r="AL6" s="263">
        <f t="shared" si="14"/>
        <v>-9.8896233333333305E-2</v>
      </c>
      <c r="AN6" s="154">
        <f t="shared" si="3"/>
        <v>130.03152553456226</v>
      </c>
      <c r="AO6" s="147">
        <f t="shared" si="4"/>
        <v>74.208294668906845</v>
      </c>
      <c r="AP6" s="147">
        <f t="shared" si="5"/>
        <v>26.226966777924293</v>
      </c>
      <c r="AQ6" s="147">
        <f t="shared" si="6"/>
        <v>126.9174476927664</v>
      </c>
      <c r="AR6" s="147">
        <f t="shared" si="7"/>
        <v>92.889693713102986</v>
      </c>
      <c r="AS6" s="147">
        <f t="shared" si="8"/>
        <v>19.837132233272676</v>
      </c>
      <c r="AT6" s="147">
        <f t="shared" si="9"/>
        <v>220.07832056607089</v>
      </c>
      <c r="AU6" s="147">
        <f t="shared" si="10"/>
        <v>113.56672933631582</v>
      </c>
      <c r="AV6" s="147">
        <f t="shared" si="11"/>
        <v>61.624975702470898</v>
      </c>
      <c r="AW6" s="155">
        <f t="shared" si="12"/>
        <v>87.904571643144621</v>
      </c>
    </row>
    <row r="7" spans="1:49">
      <c r="A7" s="271" t="s">
        <v>77</v>
      </c>
      <c r="B7" s="22" t="s">
        <v>83</v>
      </c>
      <c r="C7" s="22" t="s">
        <v>113</v>
      </c>
      <c r="D7" s="22" t="s">
        <v>40</v>
      </c>
      <c r="E7" s="46" t="s">
        <v>112</v>
      </c>
      <c r="F7" s="72">
        <f>SUMIFS('Offtake Raw'!H:H,'Offtake Raw'!$C:$C,$D7,'Offtake Raw'!$D:$D,$E7)/1000000</f>
        <v>1.0790279300000001</v>
      </c>
      <c r="G7" s="24">
        <f>SUMIFS('Offtake Raw'!I:I,'Offtake Raw'!$C:$C,$D7,'Offtake Raw'!$D:$D,$E7)/1000000</f>
        <v>0.24473107999999999</v>
      </c>
      <c r="H7" s="24">
        <f>SUMIFS('Offtake Raw'!J:J,'Offtake Raw'!$C:$C,$D7,'Offtake Raw'!$D:$D,$E7)/1000000</f>
        <v>0.25229163999999998</v>
      </c>
      <c r="I7" s="24">
        <f>SUMIFS('Offtake Raw'!K:K,'Offtake Raw'!$C:$C,$D7,'Offtake Raw'!$D:$D,$E7)/1000000</f>
        <v>0.37905477000000004</v>
      </c>
      <c r="J7" s="24">
        <f>SUMIFS('Offtake Raw'!L:L,'Offtake Raw'!$C:$C,$D7,'Offtake Raw'!$D:$D,$E7)/1000000</f>
        <v>0.41155067000000001</v>
      </c>
      <c r="K7" s="24">
        <f>SUMIFS('Offtake Raw'!M:M,'Offtake Raw'!$C:$C,$D7,'Offtake Raw'!$D:$D,$E7)/1000000</f>
        <v>0.28655803999999996</v>
      </c>
      <c r="L7" s="72">
        <f>SUMIFS('Offtake Raw'!N:N,'Offtake Raw'!$C:$C,$D7,'Offtake Raw'!$D:$D,$E7)/1000000</f>
        <v>0.16720142999999998</v>
      </c>
      <c r="M7" s="24">
        <f>SUMIFS('Offtake Raw'!O:O,'Offtake Raw'!$C:$C,$D7,'Offtake Raw'!$D:$D,$E7)/1000000</f>
        <v>0.37943783000000003</v>
      </c>
      <c r="N7" s="24">
        <f>SUMIFS('Offtake Raw'!P:P,'Offtake Raw'!$C:$C,$D7,'Offtake Raw'!$D:$D,$E7)/1000000</f>
        <v>0.48472243999999998</v>
      </c>
      <c r="O7" s="24">
        <f>SUMIFS('Offtake Raw'!Q:Q,'Offtake Raw'!$C:$C,$D7,'Offtake Raw'!$D:$D,$E7)/1000000</f>
        <v>0.19742583999999999</v>
      </c>
      <c r="P7" s="24">
        <f>SUMIFS('Offtake Raw'!R:R,'Offtake Raw'!$C:$C,$D7,'Offtake Raw'!$D:$D,$E7)/1000000</f>
        <v>0.71362742000000001</v>
      </c>
      <c r="Q7" s="24">
        <f>SUMIFS('Offtake Raw'!S:S,'Offtake Raw'!$C:$C,$D7,'Offtake Raw'!$D:$D,$E7)/1000000</f>
        <v>0.89206161000000006</v>
      </c>
      <c r="R7" s="24">
        <f>SUMIFS('Offtake Raw'!T:T,'Offtake Raw'!$C:$C,$D7,'Offtake Raw'!$D:$D,$E7)/1000000</f>
        <v>0.23157776999999999</v>
      </c>
      <c r="S7" s="24">
        <f>SUMIFS('Offtake Raw'!U:U,'Offtake Raw'!$C:$C,$D7,'Offtake Raw'!$D:$D,$E7)/1000000</f>
        <v>0.14009409</v>
      </c>
      <c r="T7" s="24">
        <f>SUMIFS('Offtake Raw'!V:V,'Offtake Raw'!$C:$C,$D7,'Offtake Raw'!$D:$D,$E7)/1000000</f>
        <v>0.11940839000000002</v>
      </c>
      <c r="U7" s="24">
        <f>SUMIFS('Offtake Raw'!W:W,'Offtake Raw'!$C:$C,$D7,'Offtake Raw'!$D:$D,$E7)/1000000</f>
        <v>0.57086835999999996</v>
      </c>
      <c r="V7" s="24">
        <f>SUMIFS('Offtake Raw'!X:X,'Offtake Raw'!$C:$C,$D7,'Offtake Raw'!$D:$D,$E7)/1000000</f>
        <v>0.64755361</v>
      </c>
      <c r="W7" s="24">
        <f>SUMIFS('Offtake Raw'!Y:Y,'Offtake Raw'!$C:$C,$D7,'Offtake Raw'!$D:$D,$E7)/1000000</f>
        <v>0.27204721000000004</v>
      </c>
      <c r="X7" s="72">
        <f>SUMIFS('Offtake Raw'!Z:Z,'Offtake Raw'!$C:$C,$D7,'Offtake Raw'!$D:$D,$E7)/1000000</f>
        <v>0.28966818999999999</v>
      </c>
      <c r="Y7" s="24">
        <f>SUMIFS('Offtake Raw'!AA:AA,'Offtake Raw'!$C:$C,$D7,'Offtake Raw'!$D:$D,$E7)/1000000</f>
        <v>0.27963939999999998</v>
      </c>
      <c r="Z7" s="24">
        <f>SUMIFS('Offtake Raw'!AB:AB,'Offtake Raw'!$C:$C,$D7,'Offtake Raw'!$D:$D,$E7)/1000000</f>
        <v>0.26343981</v>
      </c>
      <c r="AA7" s="24">
        <f>SUMIFS('Offtake Raw'!AC:AC,'Offtake Raw'!$C:$C,$D7,'Offtake Raw'!$D:$D,$E7)/1000000</f>
        <v>0.49048147999999997</v>
      </c>
      <c r="AB7" s="24">
        <f>SUMIFS('Offtake Raw'!AD:AD,'Offtake Raw'!$C:$C,$D7,'Offtake Raw'!$D:$D,$E7)/1000000</f>
        <v>0.55677051</v>
      </c>
      <c r="AC7" s="24">
        <f>SUMIFS('Offtake Raw'!AE:AE,'Offtake Raw'!$C:$C,$D7,'Offtake Raw'!$D:$D,$E7)/1000000</f>
        <v>0.77792327999999999</v>
      </c>
      <c r="AD7" s="24">
        <f>SUMIFS('Offtake Raw'!AF:AF,'Offtake Raw'!$C:$C,$D7,'Offtake Raw'!$D:$D,$E7)/1000000</f>
        <v>0.19876898999999998</v>
      </c>
      <c r="AE7" s="24">
        <f>SUMIFS('Offtake Raw'!AG:AG,'Offtake Raw'!$C:$C,$D7,'Offtake Raw'!$D:$D,$E7)/1000000</f>
        <v>0.18410457</v>
      </c>
      <c r="AF7" s="24">
        <f>SUMIFS('Offtake Raw'!AH:AH,'Offtake Raw'!$C:$C,$D7,'Offtake Raw'!$D:$D,$E7)/1000000</f>
        <v>0.11560165</v>
      </c>
      <c r="AG7" s="24">
        <f>SUMIFS('Offtake Raw'!AI:AI,'Offtake Raw'!$C:$C,$D7,'Offtake Raw'!$D:$D,$E7)/1000000</f>
        <v>0.81453416777777776</v>
      </c>
      <c r="AH7" s="24">
        <f t="shared" ref="AH7:AI7" si="18">AH13+AH19</f>
        <v>0.84759999999999991</v>
      </c>
      <c r="AI7" s="25">
        <f t="shared" si="18"/>
        <v>0.3</v>
      </c>
      <c r="AK7" s="282">
        <v>0.84759999999999991</v>
      </c>
      <c r="AL7" s="263">
        <f t="shared" si="14"/>
        <v>-3.3065832222222147E-2</v>
      </c>
      <c r="AN7" s="154">
        <f t="shared" si="3"/>
        <v>142.68336184856659</v>
      </c>
      <c r="AO7" s="147">
        <f t="shared" si="4"/>
        <v>101.91218525535186</v>
      </c>
      <c r="AP7" s="147">
        <f t="shared" si="5"/>
        <v>123.64151762275743</v>
      </c>
      <c r="AQ7" s="147">
        <f t="shared" si="6"/>
        <v>80.742517392297955</v>
      </c>
      <c r="AR7" s="147">
        <f t="shared" si="7"/>
        <v>101.22346059960117</v>
      </c>
      <c r="AS7" s="147">
        <f t="shared" si="8"/>
        <v>101.50585571299192</v>
      </c>
      <c r="AT7" s="147">
        <f t="shared" si="9"/>
        <v>131.64540361564389</v>
      </c>
      <c r="AU7" s="147">
        <f t="shared" si="10"/>
        <v>93.771199174174129</v>
      </c>
      <c r="AV7" s="147">
        <f t="shared" si="11"/>
        <v>124.1760281386358</v>
      </c>
      <c r="AW7" s="155">
        <f t="shared" si="12"/>
        <v>106.28123784584589</v>
      </c>
    </row>
    <row r="8" spans="1:49">
      <c r="A8" s="272" t="s">
        <v>77</v>
      </c>
      <c r="B8" s="31" t="s">
        <v>83</v>
      </c>
      <c r="C8" s="31" t="s">
        <v>113</v>
      </c>
      <c r="D8" s="31" t="s">
        <v>40</v>
      </c>
      <c r="E8" s="59" t="s">
        <v>43</v>
      </c>
      <c r="F8" s="74">
        <f>SUMIFS('Offtake Raw'!H:H,'Offtake Raw'!$C:$C,$D8,'Offtake Raw'!$D:$D,$E8)/1000000</f>
        <v>0</v>
      </c>
      <c r="G8" s="32">
        <f>SUMIFS('Offtake Raw'!I:I,'Offtake Raw'!$C:$C,$D8,'Offtake Raw'!$D:$D,$E8)/1000000</f>
        <v>0</v>
      </c>
      <c r="H8" s="32">
        <f>SUMIFS('Offtake Raw'!J:J,'Offtake Raw'!$C:$C,$D8,'Offtake Raw'!$D:$D,$E8)/1000000</f>
        <v>0</v>
      </c>
      <c r="I8" s="32">
        <f>SUMIFS('Offtake Raw'!K:K,'Offtake Raw'!$C:$C,$D8,'Offtake Raw'!$D:$D,$E8)/1000000</f>
        <v>0</v>
      </c>
      <c r="J8" s="32">
        <f>SUMIFS('Offtake Raw'!L:L,'Offtake Raw'!$C:$C,$D8,'Offtake Raw'!$D:$D,$E8)/1000000</f>
        <v>0</v>
      </c>
      <c r="K8" s="32">
        <f>SUMIFS('Offtake Raw'!M:M,'Offtake Raw'!$C:$C,$D8,'Offtake Raw'!$D:$D,$E8)/1000000</f>
        <v>0</v>
      </c>
      <c r="L8" s="74">
        <f>SUMIFS('Offtake Raw'!N:N,'Offtake Raw'!$C:$C,$D8,'Offtake Raw'!$D:$D,$E8)/1000000</f>
        <v>0</v>
      </c>
      <c r="M8" s="32">
        <f>SUMIFS('Offtake Raw'!O:O,'Offtake Raw'!$C:$C,$D8,'Offtake Raw'!$D:$D,$E8)/1000000</f>
        <v>0</v>
      </c>
      <c r="N8" s="32">
        <f>SUMIFS('Offtake Raw'!P:P,'Offtake Raw'!$C:$C,$D8,'Offtake Raw'!$D:$D,$E8)/1000000</f>
        <v>0</v>
      </c>
      <c r="O8" s="32">
        <f>SUMIFS('Offtake Raw'!Q:Q,'Offtake Raw'!$C:$C,$D8,'Offtake Raw'!$D:$D,$E8)/1000000</f>
        <v>0</v>
      </c>
      <c r="P8" s="32">
        <f>SUMIFS('Offtake Raw'!R:R,'Offtake Raw'!$C:$C,$D8,'Offtake Raw'!$D:$D,$E8)/1000000</f>
        <v>0</v>
      </c>
      <c r="Q8" s="32">
        <f>SUMIFS('Offtake Raw'!S:S,'Offtake Raw'!$C:$C,$D8,'Offtake Raw'!$D:$D,$E8)/1000000</f>
        <v>6.3218149999999987E-2</v>
      </c>
      <c r="R8" s="32">
        <f>SUMIFS('Offtake Raw'!T:T,'Offtake Raw'!$C:$C,$D8,'Offtake Raw'!$D:$D,$E8)/1000000</f>
        <v>0.24491459999999998</v>
      </c>
      <c r="S8" s="32">
        <f>SUMIFS('Offtake Raw'!U:U,'Offtake Raw'!$C:$C,$D8,'Offtake Raw'!$D:$D,$E8)/1000000</f>
        <v>0.10214109999999997</v>
      </c>
      <c r="T8" s="32">
        <f>SUMIFS('Offtake Raw'!V:V,'Offtake Raw'!$C:$C,$D8,'Offtake Raw'!$D:$D,$E8)/1000000</f>
        <v>6.8111500000000005E-2</v>
      </c>
      <c r="U8" s="32">
        <f>SUMIFS('Offtake Raw'!W:W,'Offtake Raw'!$C:$C,$D8,'Offtake Raw'!$D:$D,$E8)/1000000</f>
        <v>0.20147862999999999</v>
      </c>
      <c r="V8" s="32">
        <f>SUMIFS('Offtake Raw'!X:X,'Offtake Raw'!$C:$C,$D8,'Offtake Raw'!$D:$D,$E8)/1000000</f>
        <v>0.27091980999999998</v>
      </c>
      <c r="W8" s="32">
        <f>SUMIFS('Offtake Raw'!Y:Y,'Offtake Raw'!$C:$C,$D8,'Offtake Raw'!$D:$D,$E8)/1000000</f>
        <v>0.11634919000000001</v>
      </c>
      <c r="X8" s="74">
        <f>SUMIFS('Offtake Raw'!Z:Z,'Offtake Raw'!$C:$C,$D8,'Offtake Raw'!$D:$D,$E8)/1000000</f>
        <v>0.10630112999999999</v>
      </c>
      <c r="Y8" s="32">
        <f>SUMIFS('Offtake Raw'!AA:AA,'Offtake Raw'!$C:$C,$D8,'Offtake Raw'!$D:$D,$E8)/1000000</f>
        <v>7.1588280000000004E-2</v>
      </c>
      <c r="Z8" s="32">
        <f>SUMIFS('Offtake Raw'!AB:AB,'Offtake Raw'!$C:$C,$D8,'Offtake Raw'!$D:$D,$E8)/1000000</f>
        <v>9.0647740000000004E-2</v>
      </c>
      <c r="AA8" s="32">
        <f>SUMIFS('Offtake Raw'!AC:AC,'Offtake Raw'!$C:$C,$D8,'Offtake Raw'!$D:$D,$E8)/1000000</f>
        <v>0.14031232000000002</v>
      </c>
      <c r="AB8" s="32">
        <f>SUMIFS('Offtake Raw'!AD:AD,'Offtake Raw'!$C:$C,$D8,'Offtake Raw'!$D:$D,$E8)/1000000</f>
        <v>8.8828249999999997E-2</v>
      </c>
      <c r="AC8" s="32">
        <f>SUMIFS('Offtake Raw'!AE:AE,'Offtake Raw'!$C:$C,$D8,'Offtake Raw'!$D:$D,$E8)/1000000</f>
        <v>7.4627829999999992E-2</v>
      </c>
      <c r="AD8" s="32">
        <f>SUMIFS('Offtake Raw'!AF:AF,'Offtake Raw'!$C:$C,$D8,'Offtake Raw'!$D:$D,$E8)/1000000</f>
        <v>4.5837039999999996E-2</v>
      </c>
      <c r="AE8" s="32">
        <f>SUMIFS('Offtake Raw'!AG:AG,'Offtake Raw'!$C:$C,$D8,'Offtake Raw'!$D:$D,$E8)/1000000</f>
        <v>5.025898999999999E-2</v>
      </c>
      <c r="AF8" s="32">
        <f>SUMIFS('Offtake Raw'!AH:AH,'Offtake Raw'!$C:$C,$D8,'Offtake Raw'!$D:$D,$E8)/1000000</f>
        <v>4.1341869999999996E-2</v>
      </c>
      <c r="AG8" s="32">
        <f>SUMIFS('Offtake Raw'!AI:AI,'Offtake Raw'!$C:$C,$D8,'Offtake Raw'!$D:$D,$E8)/1000000</f>
        <v>7.0037496666666657E-2</v>
      </c>
      <c r="AH8" s="32">
        <f t="shared" ref="AH8:AI8" si="19">AH14+AH20</f>
        <v>0.1</v>
      </c>
      <c r="AI8" s="33">
        <f t="shared" si="19"/>
        <v>0.1</v>
      </c>
      <c r="AK8" s="283">
        <v>0.1</v>
      </c>
      <c r="AL8" s="264">
        <f t="shared" si="14"/>
        <v>-2.9962503333333348E-2</v>
      </c>
      <c r="AN8" s="82">
        <f t="shared" si="3"/>
        <v>34.761749504980585</v>
      </c>
      <c r="AO8" s="83">
        <f t="shared" si="4"/>
        <v>114.69661132314538</v>
      </c>
      <c r="AP8" s="83">
        <f t="shared" si="5"/>
        <v>33.64579578307805</v>
      </c>
      <c r="AQ8" s="83" t="str">
        <f t="shared" si="6"/>
        <v>NA</v>
      </c>
      <c r="AR8" s="83">
        <f t="shared" si="7"/>
        <v>480.50820848126693</v>
      </c>
      <c r="AS8" s="83">
        <f t="shared" si="8"/>
        <v>33.104228850448685</v>
      </c>
      <c r="AT8" s="83">
        <f t="shared" si="9"/>
        <v>45.866426106321086</v>
      </c>
      <c r="AU8" s="83">
        <f t="shared" si="10"/>
        <v>905.28677286507138</v>
      </c>
      <c r="AV8" s="83">
        <f t="shared" si="11"/>
        <v>40.588642033175923</v>
      </c>
      <c r="AW8" s="84">
        <f t="shared" si="12"/>
        <v>91.814325396134478</v>
      </c>
    </row>
    <row r="9" spans="1:49" outlineLevel="1">
      <c r="A9" s="273" t="s">
        <v>77</v>
      </c>
      <c r="B9" s="100" t="s">
        <v>715</v>
      </c>
      <c r="C9" s="100" t="s">
        <v>113</v>
      </c>
      <c r="D9" s="100" t="s">
        <v>40</v>
      </c>
      <c r="E9" s="100" t="s">
        <v>103</v>
      </c>
      <c r="F9" s="202"/>
      <c r="G9" s="103"/>
      <c r="H9" s="103"/>
      <c r="I9" s="103"/>
      <c r="J9" s="103"/>
      <c r="K9" s="103"/>
      <c r="L9" s="202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202"/>
      <c r="Y9" s="103"/>
      <c r="Z9" s="103"/>
      <c r="AA9" s="103"/>
      <c r="AB9" s="103"/>
      <c r="AC9" s="103"/>
      <c r="AD9" s="103">
        <f>AD10+AD11</f>
        <v>1.06</v>
      </c>
      <c r="AE9" s="103">
        <f t="shared" ref="AE9:AI9" si="20">AE10+AE11</f>
        <v>1.06</v>
      </c>
      <c r="AF9" s="103">
        <f t="shared" si="20"/>
        <v>1.06</v>
      </c>
      <c r="AG9" s="103">
        <f t="shared" si="20"/>
        <v>1.06</v>
      </c>
      <c r="AH9" s="103">
        <f t="shared" si="20"/>
        <v>1.06</v>
      </c>
      <c r="AI9" s="104">
        <f t="shared" si="20"/>
        <v>1.06</v>
      </c>
      <c r="AK9" s="245"/>
      <c r="AL9" s="245"/>
    </row>
    <row r="10" spans="1:49" outlineLevel="1">
      <c r="A10" s="274" t="s">
        <v>77</v>
      </c>
      <c r="B10" s="92" t="s">
        <v>716</v>
      </c>
      <c r="C10" s="92" t="s">
        <v>39</v>
      </c>
      <c r="D10" s="92" t="s">
        <v>40</v>
      </c>
      <c r="E10" s="92" t="s">
        <v>41</v>
      </c>
      <c r="F10" s="76"/>
      <c r="G10" s="75"/>
      <c r="H10" s="75"/>
      <c r="I10" s="75"/>
      <c r="J10" s="75"/>
      <c r="K10" s="75"/>
      <c r="L10" s="76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6"/>
      <c r="Y10" s="75"/>
      <c r="Z10" s="75"/>
      <c r="AA10" s="75"/>
      <c r="AB10" s="75"/>
      <c r="AC10" s="75"/>
      <c r="AD10" s="75">
        <v>0.36</v>
      </c>
      <c r="AE10" s="75">
        <v>0.36</v>
      </c>
      <c r="AF10" s="75">
        <v>0.36</v>
      </c>
      <c r="AG10" s="75">
        <v>0.36</v>
      </c>
      <c r="AH10" s="75">
        <v>0.36</v>
      </c>
      <c r="AI10" s="94">
        <v>0.36</v>
      </c>
      <c r="AK10" s="245"/>
    </row>
    <row r="11" spans="1:49" outlineLevel="1">
      <c r="A11" s="271" t="s">
        <v>77</v>
      </c>
      <c r="B11" s="22" t="s">
        <v>715</v>
      </c>
      <c r="C11" s="22" t="s">
        <v>39</v>
      </c>
      <c r="D11" s="22" t="s">
        <v>40</v>
      </c>
      <c r="E11" s="22" t="s">
        <v>729</v>
      </c>
      <c r="F11" s="72"/>
      <c r="G11" s="24"/>
      <c r="H11" s="24"/>
      <c r="I11" s="24"/>
      <c r="J11" s="24"/>
      <c r="K11" s="24"/>
      <c r="L11" s="72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72"/>
      <c r="Y11" s="24"/>
      <c r="Z11" s="24"/>
      <c r="AA11" s="24"/>
      <c r="AB11" s="24"/>
      <c r="AC11" s="24"/>
      <c r="AD11" s="24">
        <f>AD12+AD13+AD14</f>
        <v>0.7</v>
      </c>
      <c r="AE11" s="24">
        <f t="shared" ref="AE11:AI11" si="21">AE12+AE13+AE14</f>
        <v>0.7</v>
      </c>
      <c r="AF11" s="24">
        <f t="shared" si="21"/>
        <v>0.7</v>
      </c>
      <c r="AG11" s="24">
        <f t="shared" si="21"/>
        <v>0.7</v>
      </c>
      <c r="AH11" s="24">
        <f t="shared" si="21"/>
        <v>0.7</v>
      </c>
      <c r="AI11" s="25">
        <f t="shared" si="21"/>
        <v>0.7</v>
      </c>
      <c r="AK11" s="245"/>
    </row>
    <row r="12" spans="1:49" outlineLevel="1">
      <c r="A12" s="271" t="s">
        <v>77</v>
      </c>
      <c r="B12" s="22" t="s">
        <v>715</v>
      </c>
      <c r="C12" s="22" t="s">
        <v>39</v>
      </c>
      <c r="D12" s="22" t="s">
        <v>40</v>
      </c>
      <c r="E12" s="46" t="s">
        <v>730</v>
      </c>
      <c r="F12" s="72"/>
      <c r="G12" s="24"/>
      <c r="H12" s="24"/>
      <c r="I12" s="24"/>
      <c r="J12" s="24"/>
      <c r="K12" s="24"/>
      <c r="L12" s="72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72"/>
      <c r="Y12" s="24"/>
      <c r="Z12" s="24"/>
      <c r="AA12" s="24"/>
      <c r="AB12" s="24"/>
      <c r="AC12" s="24"/>
      <c r="AD12" s="24">
        <v>0.3</v>
      </c>
      <c r="AE12" s="24">
        <v>0.3</v>
      </c>
      <c r="AF12" s="24">
        <v>0.3</v>
      </c>
      <c r="AG12" s="24">
        <v>0.3</v>
      </c>
      <c r="AH12" s="24">
        <v>0.3</v>
      </c>
      <c r="AI12" s="25">
        <v>0.3</v>
      </c>
      <c r="AK12" s="245"/>
    </row>
    <row r="13" spans="1:49" outlineLevel="1">
      <c r="A13" s="271" t="s">
        <v>77</v>
      </c>
      <c r="B13" s="22" t="s">
        <v>715</v>
      </c>
      <c r="C13" s="22" t="s">
        <v>39</v>
      </c>
      <c r="D13" s="22" t="s">
        <v>40</v>
      </c>
      <c r="E13" s="46" t="s">
        <v>42</v>
      </c>
      <c r="F13" s="72"/>
      <c r="G13" s="24"/>
      <c r="H13" s="24"/>
      <c r="I13" s="24"/>
      <c r="J13" s="24"/>
      <c r="K13" s="24"/>
      <c r="L13" s="72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72"/>
      <c r="Y13" s="24"/>
      <c r="Z13" s="24"/>
      <c r="AA13" s="24"/>
      <c r="AB13" s="24"/>
      <c r="AC13" s="24"/>
      <c r="AD13" s="24">
        <v>0.3</v>
      </c>
      <c r="AE13" s="24">
        <v>0.3</v>
      </c>
      <c r="AF13" s="24">
        <v>0.3</v>
      </c>
      <c r="AG13" s="24">
        <v>0.3</v>
      </c>
      <c r="AH13" s="24">
        <v>0.3</v>
      </c>
      <c r="AI13" s="25">
        <v>0.3</v>
      </c>
      <c r="AK13" s="245"/>
    </row>
    <row r="14" spans="1:49" outlineLevel="1">
      <c r="A14" s="272" t="s">
        <v>77</v>
      </c>
      <c r="B14" s="31" t="s">
        <v>715</v>
      </c>
      <c r="C14" s="31" t="s">
        <v>39</v>
      </c>
      <c r="D14" s="31" t="s">
        <v>40</v>
      </c>
      <c r="E14" s="59" t="s">
        <v>43</v>
      </c>
      <c r="F14" s="199"/>
      <c r="G14" s="200"/>
      <c r="H14" s="200"/>
      <c r="I14" s="200"/>
      <c r="J14" s="200"/>
      <c r="K14" s="200"/>
      <c r="L14" s="199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199"/>
      <c r="Y14" s="200"/>
      <c r="Z14" s="200"/>
      <c r="AA14" s="200"/>
      <c r="AB14" s="200"/>
      <c r="AC14" s="200"/>
      <c r="AD14" s="32">
        <v>0.1</v>
      </c>
      <c r="AE14" s="32">
        <v>0.1</v>
      </c>
      <c r="AF14" s="32">
        <v>0.1</v>
      </c>
      <c r="AG14" s="32">
        <v>0.1</v>
      </c>
      <c r="AH14" s="32">
        <v>0.1</v>
      </c>
      <c r="AI14" s="33">
        <v>0.1</v>
      </c>
      <c r="AK14" s="245"/>
    </row>
    <row r="15" spans="1:49" outlineLevel="1">
      <c r="A15" s="273" t="s">
        <v>77</v>
      </c>
      <c r="B15" s="100" t="s">
        <v>717</v>
      </c>
      <c r="C15" s="100" t="s">
        <v>113</v>
      </c>
      <c r="D15" s="100" t="s">
        <v>40</v>
      </c>
      <c r="E15" s="100" t="s">
        <v>103</v>
      </c>
      <c r="F15" s="202"/>
      <c r="G15" s="103"/>
      <c r="H15" s="103"/>
      <c r="I15" s="103"/>
      <c r="J15" s="103"/>
      <c r="K15" s="103"/>
      <c r="L15" s="202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202"/>
      <c r="Y15" s="103"/>
      <c r="Z15" s="103"/>
      <c r="AA15" s="103"/>
      <c r="AB15" s="103"/>
      <c r="AC15" s="103"/>
      <c r="AD15" s="103">
        <f>AD16+AD17</f>
        <v>0.6</v>
      </c>
      <c r="AE15" s="103">
        <f t="shared" ref="AE15" si="22">AE16+AE17</f>
        <v>0.1</v>
      </c>
      <c r="AF15" s="103">
        <f t="shared" ref="AF15" si="23">AF16+AF17</f>
        <v>0</v>
      </c>
      <c r="AG15" s="103">
        <f t="shared" ref="AG15" si="24">AG16+AG17</f>
        <v>0.54759999999999998</v>
      </c>
      <c r="AH15" s="103">
        <f t="shared" ref="AH15" si="25">AH16+AH17</f>
        <v>1.2909999999999999</v>
      </c>
      <c r="AI15" s="104">
        <f t="shared" ref="AI15" si="26">AI16+AI17</f>
        <v>1.40052</v>
      </c>
      <c r="AK15" s="245"/>
    </row>
    <row r="16" spans="1:49" outlineLevel="1">
      <c r="A16" s="274" t="s">
        <v>77</v>
      </c>
      <c r="B16" s="92" t="s">
        <v>718</v>
      </c>
      <c r="C16" s="92" t="s">
        <v>39</v>
      </c>
      <c r="D16" s="92" t="s">
        <v>40</v>
      </c>
      <c r="E16" s="92" t="s">
        <v>41</v>
      </c>
      <c r="F16" s="76"/>
      <c r="G16" s="75"/>
      <c r="H16" s="75"/>
      <c r="I16" s="75"/>
      <c r="J16" s="75"/>
      <c r="K16" s="75"/>
      <c r="L16" s="76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6"/>
      <c r="Y16" s="75"/>
      <c r="Z16" s="75"/>
      <c r="AA16" s="75"/>
      <c r="AB16" s="75"/>
      <c r="AC16" s="75"/>
      <c r="AD16" s="75">
        <v>0.5</v>
      </c>
      <c r="AE16" s="75"/>
      <c r="AF16" s="75"/>
      <c r="AG16" s="75"/>
      <c r="AH16" s="75">
        <f>(7000+5000)*123.9/1000000*0.5+N("P6 綠茶清香+高效除菌$99後壁櫃")</f>
        <v>0.74339999999999995</v>
      </c>
      <c r="AI16" s="94">
        <f>(7000+5000)*123.9/1000000*0.5+N("P6 綠茶清香+高效除菌$99後壁櫃")</f>
        <v>0.74339999999999995</v>
      </c>
      <c r="AJ16" s="24"/>
      <c r="AK16" s="245"/>
    </row>
    <row r="17" spans="1:49" outlineLevel="1">
      <c r="A17" s="271" t="s">
        <v>77</v>
      </c>
      <c r="B17" s="22" t="s">
        <v>717</v>
      </c>
      <c r="C17" s="22" t="s">
        <v>39</v>
      </c>
      <c r="D17" s="22" t="s">
        <v>40</v>
      </c>
      <c r="E17" s="22" t="s">
        <v>729</v>
      </c>
      <c r="F17" s="72"/>
      <c r="G17" s="24"/>
      <c r="H17" s="24"/>
      <c r="I17" s="24"/>
      <c r="J17" s="24"/>
      <c r="K17" s="24"/>
      <c r="L17" s="72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72"/>
      <c r="Y17" s="24"/>
      <c r="Z17" s="24"/>
      <c r="AA17" s="24"/>
      <c r="AB17" s="24"/>
      <c r="AC17" s="24"/>
      <c r="AD17" s="24">
        <f>AD18+AD19+AD20</f>
        <v>0.1</v>
      </c>
      <c r="AE17" s="24">
        <f t="shared" ref="AE17" si="27">AE18+AE19+AE20</f>
        <v>0.1</v>
      </c>
      <c r="AF17" s="24">
        <f t="shared" ref="AF17" si="28">AF18+AF19+AF20</f>
        <v>0</v>
      </c>
      <c r="AG17" s="24">
        <f>AG18+AG19+AG20</f>
        <v>0.54759999999999998</v>
      </c>
      <c r="AH17" s="24">
        <f t="shared" ref="AH17" si="29">AH18+AH19+AH20</f>
        <v>0.54759999999999998</v>
      </c>
      <c r="AI17" s="25">
        <f t="shared" ref="AI17" si="30">AI18+AI19+AI20</f>
        <v>0.65712000000000004</v>
      </c>
      <c r="AK17" s="245"/>
    </row>
    <row r="18" spans="1:49" outlineLevel="1">
      <c r="A18" s="271" t="s">
        <v>77</v>
      </c>
      <c r="B18" s="22" t="s">
        <v>717</v>
      </c>
      <c r="C18" s="22" t="s">
        <v>39</v>
      </c>
      <c r="D18" s="22" t="s">
        <v>40</v>
      </c>
      <c r="E18" s="46" t="s">
        <v>730</v>
      </c>
      <c r="F18" s="72"/>
      <c r="G18" s="24"/>
      <c r="H18" s="24"/>
      <c r="I18" s="24"/>
      <c r="J18" s="24"/>
      <c r="K18" s="24"/>
      <c r="L18" s="72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72"/>
      <c r="Y18" s="24"/>
      <c r="Z18" s="24"/>
      <c r="AA18" s="24"/>
      <c r="AB18" s="24"/>
      <c r="AC18" s="24"/>
      <c r="AE18" s="24"/>
      <c r="AF18" s="24"/>
      <c r="AH18" s="24"/>
      <c r="AI18" s="25">
        <f>(6000+6000)*136.9*1/1000000*0.4+N("P3 AB 1ct $89後壁櫃")</f>
        <v>0.65712000000000004</v>
      </c>
      <c r="AJ18" s="24">
        <f>(6000+6000)*136.9*1/1000000*0.6+N("P3 AB 1ct $89後壁櫃")</f>
        <v>0.98568</v>
      </c>
    </row>
    <row r="19" spans="1:49" outlineLevel="1">
      <c r="A19" s="271" t="s">
        <v>77</v>
      </c>
      <c r="B19" s="22" t="s">
        <v>717</v>
      </c>
      <c r="C19" s="22" t="s">
        <v>39</v>
      </c>
      <c r="D19" s="22" t="s">
        <v>40</v>
      </c>
      <c r="E19" s="46" t="s">
        <v>42</v>
      </c>
      <c r="F19" s="72"/>
      <c r="G19" s="24"/>
      <c r="H19" s="24"/>
      <c r="I19" s="24"/>
      <c r="J19" s="24"/>
      <c r="K19" s="25"/>
      <c r="L19" s="72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72"/>
      <c r="Y19" s="24"/>
      <c r="Z19" s="24"/>
      <c r="AA19" s="24"/>
      <c r="AB19" s="24"/>
      <c r="AC19" s="24"/>
      <c r="AD19" s="24">
        <f>200000*1/1000000*0.5+N("P2 AM $199品類加價購")</f>
        <v>0.1</v>
      </c>
      <c r="AE19" s="24">
        <f>200000*1/1000000*0.5+N("P2 AM $199品類加價購")</f>
        <v>0.1</v>
      </c>
      <c r="AF19" s="24"/>
      <c r="AG19" s="24">
        <f>(4000+4000)*136.9*1/1000000*0.5+N("P5 AM 1ct $119後壁櫃")</f>
        <v>0.54759999999999998</v>
      </c>
      <c r="AH19" s="24">
        <f>(4000+4000)*136.9*1/1000000*0.5+N("P5 AM 1ct $119後壁櫃")</f>
        <v>0.54759999999999998</v>
      </c>
      <c r="AI19" s="23"/>
      <c r="AK19" s="245"/>
    </row>
    <row r="20" spans="1:49" outlineLevel="1">
      <c r="A20" s="272" t="s">
        <v>77</v>
      </c>
      <c r="B20" s="31" t="s">
        <v>717</v>
      </c>
      <c r="C20" s="31" t="s">
        <v>39</v>
      </c>
      <c r="D20" s="31" t="s">
        <v>40</v>
      </c>
      <c r="E20" s="59" t="s">
        <v>43</v>
      </c>
      <c r="F20" s="199"/>
      <c r="G20" s="200"/>
      <c r="H20" s="200"/>
      <c r="I20" s="200"/>
      <c r="J20" s="200"/>
      <c r="K20" s="200"/>
      <c r="L20" s="199"/>
      <c r="M20" s="200"/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199"/>
      <c r="Y20" s="200"/>
      <c r="Z20" s="200"/>
      <c r="AA20" s="200"/>
      <c r="AB20" s="200"/>
      <c r="AC20" s="200"/>
      <c r="AD20" s="198"/>
      <c r="AE20" s="198"/>
      <c r="AF20" s="198"/>
      <c r="AG20" s="198"/>
      <c r="AH20" s="198"/>
      <c r="AI20" s="201"/>
      <c r="AK20" s="245"/>
    </row>
    <row r="21" spans="1:49">
      <c r="A21" s="275" t="s">
        <v>731</v>
      </c>
      <c r="B21" s="96" t="s">
        <v>83</v>
      </c>
      <c r="C21" s="96" t="s">
        <v>113</v>
      </c>
      <c r="D21" s="96" t="s">
        <v>40</v>
      </c>
      <c r="E21" s="96" t="s">
        <v>103</v>
      </c>
      <c r="F21" s="203">
        <f>F22+F23</f>
        <v>3.9299089449999993</v>
      </c>
      <c r="G21" s="98">
        <f t="shared" ref="G21:AI21" si="31">G22+G23</f>
        <v>0.98839566000000034</v>
      </c>
      <c r="H21" s="98">
        <f t="shared" si="31"/>
        <v>1.496203490000001</v>
      </c>
      <c r="I21" s="98">
        <f t="shared" si="31"/>
        <v>1.0852884249999997</v>
      </c>
      <c r="J21" s="98">
        <f t="shared" si="31"/>
        <v>0.71868227499999993</v>
      </c>
      <c r="K21" s="98">
        <f t="shared" si="31"/>
        <v>3.4134017299999981</v>
      </c>
      <c r="L21" s="203">
        <f t="shared" si="31"/>
        <v>2.1291529799999998</v>
      </c>
      <c r="M21" s="98">
        <f t="shared" si="31"/>
        <v>3.0237710900000017</v>
      </c>
      <c r="N21" s="98">
        <f t="shared" si="31"/>
        <v>3.3876486299999988</v>
      </c>
      <c r="O21" s="98">
        <f t="shared" si="31"/>
        <v>1.8241687800000006</v>
      </c>
      <c r="P21" s="98">
        <f t="shared" si="31"/>
        <v>1.9765602200000005</v>
      </c>
      <c r="Q21" s="98">
        <f t="shared" si="31"/>
        <v>3.9905987099999995</v>
      </c>
      <c r="R21" s="98">
        <f t="shared" si="31"/>
        <v>2.6160256200000003</v>
      </c>
      <c r="S21" s="98">
        <f t="shared" si="31"/>
        <v>1.9840283700000003</v>
      </c>
      <c r="T21" s="98">
        <f t="shared" si="31"/>
        <v>4.3909874999999932E-2</v>
      </c>
      <c r="U21" s="98">
        <f t="shared" si="31"/>
        <v>2.2526376899999994</v>
      </c>
      <c r="V21" s="98">
        <f t="shared" si="31"/>
        <v>2.5057308799999993</v>
      </c>
      <c r="W21" s="98">
        <f t="shared" si="31"/>
        <v>1.3886581600000003</v>
      </c>
      <c r="X21" s="203">
        <f t="shared" si="31"/>
        <v>1.828058339999999</v>
      </c>
      <c r="Y21" s="98">
        <f t="shared" si="31"/>
        <v>2.6883828350000005</v>
      </c>
      <c r="Z21" s="98">
        <f t="shared" si="31"/>
        <v>2.7948273850000001</v>
      </c>
      <c r="AA21" s="98">
        <f t="shared" si="31"/>
        <v>1.4373993099999998</v>
      </c>
      <c r="AB21" s="98">
        <f t="shared" si="31"/>
        <v>1.9749061050000001</v>
      </c>
      <c r="AC21" s="98">
        <f t="shared" si="31"/>
        <v>2.1749703349999989</v>
      </c>
      <c r="AD21" s="98">
        <f t="shared" si="31"/>
        <v>0.93499125999999999</v>
      </c>
      <c r="AE21" s="98">
        <f t="shared" si="31"/>
        <v>0.47</v>
      </c>
      <c r="AF21" s="98">
        <f t="shared" si="31"/>
        <v>1.55</v>
      </c>
      <c r="AG21" s="98">
        <f t="shared" si="31"/>
        <v>1</v>
      </c>
      <c r="AH21" s="98">
        <f t="shared" si="31"/>
        <v>2.2684799999999998</v>
      </c>
      <c r="AI21" s="99">
        <f t="shared" si="31"/>
        <v>2.477328</v>
      </c>
      <c r="AK21" s="281">
        <v>1.0861599999999998</v>
      </c>
      <c r="AL21" s="281">
        <f t="shared" ref="AL21:AL26" si="32">AG21-AK21</f>
        <v>-8.6159999999999792E-2</v>
      </c>
      <c r="AN21" s="156">
        <f t="shared" ref="AN21:AN26" si="33">IFERROR(AG21/U21*100,"NA")</f>
        <v>44.39240293453495</v>
      </c>
      <c r="AO21" s="157">
        <f t="shared" ref="AO21:AO26" si="34">IFERROR(SUM(X21:AG21)/SUM(L21:U21)*100,"NA")</f>
        <v>72.555413153178762</v>
      </c>
      <c r="AP21" s="157">
        <f t="shared" ref="AP21:AP26" si="35">IFERROR(SUM(AD21:AG21)/SUM(R21:U21)*100,"NA")</f>
        <v>57.34695891098206</v>
      </c>
      <c r="AQ21" s="157">
        <f t="shared" ref="AQ21:AQ26" si="36">IFERROR(SUM(X21:Z21)/SUM(L21:N21)*100,"NA")</f>
        <v>85.606303193227305</v>
      </c>
      <c r="AR21" s="157">
        <f t="shared" ref="AR21:AR26" si="37">IFERROR(SUM(AA21:AC21)/SUM(O21:Q21)*100,"NA")</f>
        <v>71.711471497070391</v>
      </c>
      <c r="AS21" s="157">
        <f t="shared" ref="AS21:AS26" si="38">IFERROR(SUM(AD21:AF21)/SUM(R21:T21)*100,"NA")</f>
        <v>63.630797867976071</v>
      </c>
      <c r="AT21" s="157">
        <f t="shared" ref="AT21:AT26" si="39">IFERROR(SUM(AG21:AI21)/SUM(U21:W21)*100,"NA")</f>
        <v>93.472962659461245</v>
      </c>
      <c r="AU21" s="157">
        <f t="shared" ref="AU21:AU26" si="40">IFERROR(SUM(X21:AC21)/SUM(L21:Q21)*100,"NA")</f>
        <v>78.977608154542978</v>
      </c>
      <c r="AV21" s="157">
        <f t="shared" ref="AV21:AV26" si="41">IFERROR(SUM(AD21:AI21)/SUM(R21:W21)*100,"NA")</f>
        <v>80.630218175072002</v>
      </c>
      <c r="AW21" s="158">
        <f t="shared" ref="AW21:AW26" si="42">IFERROR(SUM(X21:AI21)/SUM(L21:W21)*100,"NA")</f>
        <v>79.63510809381728</v>
      </c>
    </row>
    <row r="22" spans="1:49">
      <c r="A22" s="276" t="s">
        <v>731</v>
      </c>
      <c r="B22" s="92" t="s">
        <v>83</v>
      </c>
      <c r="C22" s="92" t="s">
        <v>113</v>
      </c>
      <c r="D22" s="92" t="s">
        <v>40</v>
      </c>
      <c r="E22" s="92" t="s">
        <v>110</v>
      </c>
      <c r="F22" s="76">
        <v>1.7808550249999988</v>
      </c>
      <c r="G22" s="75">
        <v>0.2077929</v>
      </c>
      <c r="H22" s="75">
        <v>0.19561594999999998</v>
      </c>
      <c r="I22" s="75">
        <v>0.26599197499999988</v>
      </c>
      <c r="J22" s="75">
        <v>0.42963847500000008</v>
      </c>
      <c r="K22" s="75">
        <v>2.9812842499999981</v>
      </c>
      <c r="L22" s="76">
        <v>1.9245692999999999</v>
      </c>
      <c r="M22" s="75">
        <v>0.59354275000000023</v>
      </c>
      <c r="N22" s="75">
        <v>2.3250981999999989</v>
      </c>
      <c r="O22" s="75">
        <v>1.0600779000000005</v>
      </c>
      <c r="P22" s="75">
        <v>0.11665829999999999</v>
      </c>
      <c r="Q22" s="75">
        <v>2.2182141999999994</v>
      </c>
      <c r="R22" s="75">
        <v>1.1348733000000002</v>
      </c>
      <c r="S22" s="75">
        <v>0.19693219999999995</v>
      </c>
      <c r="T22" s="75">
        <v>-4.6984575000000015E-2</v>
      </c>
      <c r="U22" s="75">
        <v>0.37153544999999988</v>
      </c>
      <c r="V22" s="75">
        <v>2.2697243499999993</v>
      </c>
      <c r="W22" s="75">
        <v>0.89517495000000036</v>
      </c>
      <c r="X22" s="76">
        <v>1.4282579999999991</v>
      </c>
      <c r="Y22" s="75">
        <v>0.87818912500000024</v>
      </c>
      <c r="Z22" s="75">
        <v>1.2113065249999992</v>
      </c>
      <c r="AA22" s="75">
        <v>0.84424299999999985</v>
      </c>
      <c r="AB22" s="75">
        <v>6.5448825000000002E-2</v>
      </c>
      <c r="AC22" s="75">
        <v>1.627356024999999</v>
      </c>
      <c r="AD22" s="75">
        <v>0.77</v>
      </c>
      <c r="AE22" s="75">
        <v>0.17</v>
      </c>
      <c r="AF22" s="75">
        <v>7.0000000000000007E-2</v>
      </c>
      <c r="AG22" s="75">
        <v>0.2</v>
      </c>
      <c r="AH22" s="75">
        <f t="shared" ref="AH22:AI22" si="43">AH4+AH28+AH34</f>
        <v>1.5494399999999999</v>
      </c>
      <c r="AI22" s="94">
        <f t="shared" si="43"/>
        <v>0.85736000000000001</v>
      </c>
      <c r="AK22" s="288">
        <v>0.36</v>
      </c>
      <c r="AL22" s="263">
        <f t="shared" si="32"/>
        <v>-0.15999999999999998</v>
      </c>
      <c r="AN22" s="151">
        <f t="shared" si="33"/>
        <v>53.830664072566982</v>
      </c>
      <c r="AO22" s="152">
        <f t="shared" si="34"/>
        <v>73.422497345190024</v>
      </c>
      <c r="AP22" s="152">
        <f t="shared" si="35"/>
        <v>73.051911911167053</v>
      </c>
      <c r="AQ22" s="152">
        <f t="shared" si="36"/>
        <v>72.632685107981828</v>
      </c>
      <c r="AR22" s="152">
        <f t="shared" si="37"/>
        <v>74.730041711360457</v>
      </c>
      <c r="AS22" s="152">
        <f t="shared" si="38"/>
        <v>78.610176745058837</v>
      </c>
      <c r="AT22" s="152">
        <f t="shared" si="39"/>
        <v>73.712656510911174</v>
      </c>
      <c r="AU22" s="152">
        <f t="shared" si="40"/>
        <v>73.497006883447938</v>
      </c>
      <c r="AV22" s="152">
        <f t="shared" si="41"/>
        <v>75.017801249463915</v>
      </c>
      <c r="AW22" s="153">
        <f t="shared" si="42"/>
        <v>74.05845145992771</v>
      </c>
    </row>
    <row r="23" spans="1:49">
      <c r="A23" s="277" t="s">
        <v>731</v>
      </c>
      <c r="B23" s="22" t="s">
        <v>83</v>
      </c>
      <c r="C23" s="22" t="s">
        <v>113</v>
      </c>
      <c r="D23" s="22" t="s">
        <v>40</v>
      </c>
      <c r="E23" s="22" t="s">
        <v>114</v>
      </c>
      <c r="F23" s="72">
        <f>F24+F25+F26</f>
        <v>2.1490539200000005</v>
      </c>
      <c r="G23" s="24">
        <f t="shared" ref="G23:AG23" si="44">G24+G25+G26</f>
        <v>0.78060276000000028</v>
      </c>
      <c r="H23" s="24">
        <f t="shared" si="44"/>
        <v>1.3005875400000011</v>
      </c>
      <c r="I23" s="24">
        <f t="shared" si="44"/>
        <v>0.81929644999999973</v>
      </c>
      <c r="J23" s="24">
        <f t="shared" si="44"/>
        <v>0.28904379999999985</v>
      </c>
      <c r="K23" s="24">
        <f t="shared" si="44"/>
        <v>0.43211748000000016</v>
      </c>
      <c r="L23" s="72">
        <f t="shared" si="44"/>
        <v>0.20458367999999999</v>
      </c>
      <c r="M23" s="24">
        <f t="shared" si="44"/>
        <v>2.4302283400000015</v>
      </c>
      <c r="N23" s="24">
        <f t="shared" si="44"/>
        <v>1.0625504299999999</v>
      </c>
      <c r="O23" s="24">
        <f t="shared" si="44"/>
        <v>0.76409088000000014</v>
      </c>
      <c r="P23" s="24">
        <f t="shared" si="44"/>
        <v>1.8599019200000004</v>
      </c>
      <c r="Q23" s="24">
        <f t="shared" si="44"/>
        <v>1.7723845100000002</v>
      </c>
      <c r="R23" s="24">
        <f t="shared" si="44"/>
        <v>1.4811523199999999</v>
      </c>
      <c r="S23" s="24">
        <f t="shared" si="44"/>
        <v>1.7870961700000003</v>
      </c>
      <c r="T23" s="24">
        <f t="shared" si="44"/>
        <v>9.0894449999999946E-2</v>
      </c>
      <c r="U23" s="24">
        <f t="shared" si="44"/>
        <v>1.8811022399999997</v>
      </c>
      <c r="V23" s="24">
        <f t="shared" si="44"/>
        <v>0.23600652999999994</v>
      </c>
      <c r="W23" s="24">
        <f t="shared" si="44"/>
        <v>0.49348321000000001</v>
      </c>
      <c r="X23" s="72">
        <f t="shared" si="44"/>
        <v>0.39980033999999987</v>
      </c>
      <c r="Y23" s="24">
        <f t="shared" si="44"/>
        <v>1.8101937100000005</v>
      </c>
      <c r="Z23" s="24">
        <f t="shared" si="44"/>
        <v>1.5835208600000008</v>
      </c>
      <c r="AA23" s="24">
        <f t="shared" si="44"/>
        <v>0.59315630999999991</v>
      </c>
      <c r="AB23" s="24">
        <f t="shared" si="44"/>
        <v>1.90945728</v>
      </c>
      <c r="AC23" s="24">
        <f t="shared" si="44"/>
        <v>0.54761430999999994</v>
      </c>
      <c r="AD23" s="24">
        <f t="shared" si="44"/>
        <v>0.16499125999999995</v>
      </c>
      <c r="AE23" s="24">
        <f t="shared" si="44"/>
        <v>0.3</v>
      </c>
      <c r="AF23" s="24">
        <f t="shared" si="44"/>
        <v>1.48</v>
      </c>
      <c r="AG23" s="24">
        <f t="shared" si="44"/>
        <v>0.8</v>
      </c>
      <c r="AH23" s="24">
        <f t="shared" ref="AH23:AI23" si="45">AH5+AH29+AH35</f>
        <v>0.7190399999999999</v>
      </c>
      <c r="AI23" s="25">
        <f t="shared" si="45"/>
        <v>1.6199680000000001</v>
      </c>
      <c r="AK23" s="282">
        <v>0.72615999999999981</v>
      </c>
      <c r="AL23" s="263">
        <f t="shared" si="32"/>
        <v>7.3840000000000239E-2</v>
      </c>
      <c r="AN23" s="154">
        <f t="shared" si="33"/>
        <v>42.528257262614297</v>
      </c>
      <c r="AO23" s="147">
        <f t="shared" si="34"/>
        <v>71.911991150036528</v>
      </c>
      <c r="AP23" s="147">
        <f t="shared" si="35"/>
        <v>52.382878390434385</v>
      </c>
      <c r="AQ23" s="147">
        <f t="shared" si="36"/>
        <v>102.60056895422845</v>
      </c>
      <c r="AR23" s="147">
        <f t="shared" si="37"/>
        <v>69.380484997544471</v>
      </c>
      <c r="AS23" s="147">
        <f t="shared" si="38"/>
        <v>57.901413983889583</v>
      </c>
      <c r="AT23" s="147">
        <f t="shared" si="39"/>
        <v>120.24123356113276</v>
      </c>
      <c r="AU23" s="147">
        <f t="shared" si="40"/>
        <v>84.556002700042342</v>
      </c>
      <c r="AV23" s="147">
        <f t="shared" si="41"/>
        <v>85.162897986766879</v>
      </c>
      <c r="AW23" s="155">
        <f t="shared" si="42"/>
        <v>84.813620683391463</v>
      </c>
    </row>
    <row r="24" spans="1:49">
      <c r="A24" s="277" t="s">
        <v>731</v>
      </c>
      <c r="B24" s="22" t="s">
        <v>83</v>
      </c>
      <c r="C24" s="22" t="s">
        <v>113</v>
      </c>
      <c r="D24" s="22" t="s">
        <v>40</v>
      </c>
      <c r="E24" s="46" t="s">
        <v>111</v>
      </c>
      <c r="F24" s="72">
        <v>1.4136513000000004</v>
      </c>
      <c r="G24" s="24">
        <v>0.67349640000000022</v>
      </c>
      <c r="H24" s="24">
        <v>1.2153472000000012</v>
      </c>
      <c r="I24" s="24">
        <v>0.21708889999999975</v>
      </c>
      <c r="J24" s="24">
        <v>0.20772409999999986</v>
      </c>
      <c r="K24" s="24">
        <v>0.11567160000000004</v>
      </c>
      <c r="L24" s="72">
        <v>9.1382400000000016E-2</v>
      </c>
      <c r="M24" s="24">
        <v>1.6152928000000013</v>
      </c>
      <c r="N24" s="24">
        <v>0.78479140000000014</v>
      </c>
      <c r="O24" s="24">
        <v>0.26318880000000006</v>
      </c>
      <c r="P24" s="24">
        <v>0.68287020000000009</v>
      </c>
      <c r="Q24" s="24">
        <v>7.4668800000000007E-2</v>
      </c>
      <c r="R24" s="24">
        <v>0.93805799999999995</v>
      </c>
      <c r="S24" s="24">
        <v>1.6611191000000003</v>
      </c>
      <c r="T24" s="24">
        <v>0.14232089999999994</v>
      </c>
      <c r="U24" s="24">
        <v>0.13400520000000005</v>
      </c>
      <c r="V24" s="24">
        <v>-1.7032200000000004E-2</v>
      </c>
      <c r="W24" s="24">
        <v>0.20078650000000006</v>
      </c>
      <c r="X24" s="72">
        <v>0.20022059999999997</v>
      </c>
      <c r="Y24" s="24">
        <v>1.5933865000000005</v>
      </c>
      <c r="Z24" s="24">
        <v>1.0603780000000005</v>
      </c>
      <c r="AA24" s="24">
        <v>0.34036899999999987</v>
      </c>
      <c r="AB24" s="24">
        <v>0.26014379999999998</v>
      </c>
      <c r="AC24" s="24">
        <v>0.29894479999999996</v>
      </c>
      <c r="AD24" s="24">
        <v>0.1713541999999999</v>
      </c>
      <c r="AE24" s="24">
        <v>0.12</v>
      </c>
      <c r="AF24" s="24">
        <v>0.55000000000000004</v>
      </c>
      <c r="AG24" s="24">
        <v>0.06</v>
      </c>
      <c r="AH24" s="24">
        <f t="shared" ref="AH24:AI24" si="46">AH6+AH30+AH36</f>
        <v>0.3</v>
      </c>
      <c r="AI24" s="25">
        <f t="shared" si="46"/>
        <v>1.2199679999999999</v>
      </c>
      <c r="AK24" s="282">
        <v>0.3</v>
      </c>
      <c r="AL24" s="263">
        <f t="shared" si="32"/>
        <v>-0.24</v>
      </c>
      <c r="AN24" s="154">
        <f t="shared" si="33"/>
        <v>44.774381889657995</v>
      </c>
      <c r="AO24" s="147">
        <f t="shared" si="34"/>
        <v>72.871278377360866</v>
      </c>
      <c r="AP24" s="147">
        <f t="shared" si="35"/>
        <v>31.345964073348959</v>
      </c>
      <c r="AQ24" s="147">
        <f t="shared" si="36"/>
        <v>114.55040577304946</v>
      </c>
      <c r="AR24" s="147">
        <f t="shared" si="37"/>
        <v>88.119241976166379</v>
      </c>
      <c r="AS24" s="147">
        <f t="shared" si="38"/>
        <v>30.689579200860251</v>
      </c>
      <c r="AT24" s="147">
        <f t="shared" si="39"/>
        <v>497.22132619166371</v>
      </c>
      <c r="AU24" s="147">
        <f t="shared" si="40"/>
        <v>106.86887662026905</v>
      </c>
      <c r="AV24" s="147">
        <f t="shared" si="41"/>
        <v>79.147381349886331</v>
      </c>
      <c r="AW24" s="155">
        <f t="shared" si="42"/>
        <v>93.963480125297693</v>
      </c>
    </row>
    <row r="25" spans="1:49">
      <c r="A25" s="277" t="s">
        <v>731</v>
      </c>
      <c r="B25" s="22" t="s">
        <v>83</v>
      </c>
      <c r="C25" s="22" t="s">
        <v>113</v>
      </c>
      <c r="D25" s="22" t="s">
        <v>40</v>
      </c>
      <c r="E25" s="46" t="s">
        <v>112</v>
      </c>
      <c r="F25" s="72">
        <v>0.73540262000000001</v>
      </c>
      <c r="G25" s="24">
        <v>0.10710636000000001</v>
      </c>
      <c r="H25" s="24">
        <v>8.5240339999999998E-2</v>
      </c>
      <c r="I25" s="24">
        <v>0.60220754999999992</v>
      </c>
      <c r="J25" s="24">
        <v>8.1319699999999967E-2</v>
      </c>
      <c r="K25" s="24">
        <v>0.31644588000000012</v>
      </c>
      <c r="L25" s="72">
        <v>0.11320127999999997</v>
      </c>
      <c r="M25" s="24">
        <v>0.81493554000000024</v>
      </c>
      <c r="N25" s="24">
        <v>0.27775902999999991</v>
      </c>
      <c r="O25" s="24">
        <v>0.50090208000000003</v>
      </c>
      <c r="P25" s="24">
        <v>1.1770317200000002</v>
      </c>
      <c r="Q25" s="24">
        <v>0.28020947000000007</v>
      </c>
      <c r="R25" s="24">
        <v>0.24389351999999992</v>
      </c>
      <c r="S25" s="24">
        <v>3.7160270000000002E-2</v>
      </c>
      <c r="T25" s="24">
        <v>-6.5385849999999995E-2</v>
      </c>
      <c r="U25" s="24">
        <v>1.4021090399999998</v>
      </c>
      <c r="V25" s="24">
        <v>1.0106989999999998E-2</v>
      </c>
      <c r="W25" s="24">
        <v>0.22653656999999996</v>
      </c>
      <c r="X25" s="72">
        <v>0.20114391999999995</v>
      </c>
      <c r="Y25" s="24">
        <v>0.15698680999999998</v>
      </c>
      <c r="Z25" s="24">
        <v>0.46947142000000025</v>
      </c>
      <c r="AA25" s="24">
        <v>0.12982081000000004</v>
      </c>
      <c r="AB25" s="24">
        <v>1.6111793999999999</v>
      </c>
      <c r="AC25" s="24">
        <v>0.20097550999999997</v>
      </c>
      <c r="AD25" s="24">
        <v>-2.9722279999999962E-2</v>
      </c>
      <c r="AE25" s="24">
        <v>0.12</v>
      </c>
      <c r="AF25" s="24">
        <v>1.19</v>
      </c>
      <c r="AG25" s="24">
        <v>0.77</v>
      </c>
      <c r="AH25" s="24">
        <f t="shared" ref="AH25:AI25" si="47">AH7+AH31+AH37</f>
        <v>0.31903999999999999</v>
      </c>
      <c r="AI25" s="25">
        <f t="shared" si="47"/>
        <v>0.3</v>
      </c>
      <c r="AK25" s="282">
        <v>0.32615999999999989</v>
      </c>
      <c r="AL25" s="263">
        <f t="shared" si="32"/>
        <v>0.44384000000000012</v>
      </c>
      <c r="AN25" s="154">
        <f t="shared" si="33"/>
        <v>54.917269487114936</v>
      </c>
      <c r="AO25" s="147">
        <f t="shared" si="34"/>
        <v>100.79550298891671</v>
      </c>
      <c r="AP25" s="147">
        <f t="shared" si="35"/>
        <v>126.73426222197823</v>
      </c>
      <c r="AQ25" s="147">
        <f t="shared" si="36"/>
        <v>68.629654045164855</v>
      </c>
      <c r="AR25" s="147">
        <f t="shared" si="37"/>
        <v>99.174342845710143</v>
      </c>
      <c r="AS25" s="147">
        <f t="shared" si="38"/>
        <v>593.63376865379269</v>
      </c>
      <c r="AT25" s="147">
        <f t="shared" si="39"/>
        <v>84.762031803946513</v>
      </c>
      <c r="AU25" s="147">
        <f t="shared" si="40"/>
        <v>87.532984421507408</v>
      </c>
      <c r="AV25" s="147">
        <f t="shared" si="41"/>
        <v>143.94349406850293</v>
      </c>
      <c r="AW25" s="155">
        <f t="shared" si="42"/>
        <v>108.37778837500909</v>
      </c>
    </row>
    <row r="26" spans="1:49">
      <c r="A26" s="278" t="s">
        <v>731</v>
      </c>
      <c r="B26" s="31" t="s">
        <v>83</v>
      </c>
      <c r="C26" s="31" t="s">
        <v>113</v>
      </c>
      <c r="D26" s="31" t="s">
        <v>40</v>
      </c>
      <c r="E26" s="59" t="s">
        <v>43</v>
      </c>
      <c r="F26" s="74">
        <v>0</v>
      </c>
      <c r="G26" s="32">
        <v>0</v>
      </c>
      <c r="H26" s="32">
        <v>0</v>
      </c>
      <c r="I26" s="32">
        <v>0</v>
      </c>
      <c r="J26" s="32">
        <v>0</v>
      </c>
      <c r="K26" s="32">
        <v>0</v>
      </c>
      <c r="L26" s="74">
        <v>0</v>
      </c>
      <c r="M26" s="32">
        <v>0</v>
      </c>
      <c r="N26" s="32">
        <v>0</v>
      </c>
      <c r="O26" s="32">
        <v>0</v>
      </c>
      <c r="P26" s="32">
        <v>0</v>
      </c>
      <c r="Q26" s="32">
        <v>1.4175062400000003</v>
      </c>
      <c r="R26" s="32">
        <v>0.29920079999999999</v>
      </c>
      <c r="S26" s="32">
        <v>8.8816800000000015E-2</v>
      </c>
      <c r="T26" s="32">
        <v>1.3959400000000002E-2</v>
      </c>
      <c r="U26" s="32">
        <v>0.34498799999999996</v>
      </c>
      <c r="V26" s="32">
        <v>0.24293173999999995</v>
      </c>
      <c r="W26" s="32">
        <v>6.6160139999999978E-2</v>
      </c>
      <c r="X26" s="74">
        <v>-1.5641800000000001E-3</v>
      </c>
      <c r="Y26" s="32">
        <v>5.9820400000000003E-2</v>
      </c>
      <c r="Z26" s="32">
        <v>5.3671440000000001E-2</v>
      </c>
      <c r="AA26" s="32">
        <v>0.12296649999999996</v>
      </c>
      <c r="AB26" s="32">
        <v>3.8134080000000001E-2</v>
      </c>
      <c r="AC26" s="32">
        <v>4.7694E-2</v>
      </c>
      <c r="AD26" s="32">
        <v>2.3359339999999999E-2</v>
      </c>
      <c r="AE26" s="32">
        <v>0.06</v>
      </c>
      <c r="AF26" s="32">
        <v>-0.26</v>
      </c>
      <c r="AG26" s="32">
        <v>-0.03</v>
      </c>
      <c r="AH26" s="32">
        <f t="shared" ref="AH26:AI26" si="48">AH8+AH32+AH38</f>
        <v>0.1</v>
      </c>
      <c r="AI26" s="33">
        <f t="shared" si="48"/>
        <v>0.1</v>
      </c>
      <c r="AK26" s="283">
        <v>0.1</v>
      </c>
      <c r="AL26" s="264">
        <f t="shared" si="32"/>
        <v>-0.13</v>
      </c>
      <c r="AN26" s="82">
        <f t="shared" si="33"/>
        <v>-8.6959546419005882</v>
      </c>
      <c r="AO26" s="83">
        <f t="shared" si="34"/>
        <v>5.270644298327567</v>
      </c>
      <c r="AP26" s="83">
        <f t="shared" si="35"/>
        <v>-27.664035128821297</v>
      </c>
      <c r="AQ26" s="83" t="str">
        <f t="shared" si="36"/>
        <v>NA</v>
      </c>
      <c r="AR26" s="83">
        <f t="shared" si="37"/>
        <v>14.729711524938324</v>
      </c>
      <c r="AS26" s="83">
        <f t="shared" si="38"/>
        <v>-43.942976836983213</v>
      </c>
      <c r="AT26" s="83">
        <f t="shared" si="39"/>
        <v>25.99070926933268</v>
      </c>
      <c r="AU26" s="83">
        <f t="shared" si="40"/>
        <v>22.625807982333814</v>
      </c>
      <c r="AV26" s="83">
        <f t="shared" si="41"/>
        <v>-0.62881650844412784</v>
      </c>
      <c r="AW26" s="84">
        <f t="shared" si="42"/>
        <v>12.697536499493086</v>
      </c>
    </row>
    <row r="27" spans="1:49" outlineLevel="1">
      <c r="A27" s="275" t="s">
        <v>731</v>
      </c>
      <c r="B27" s="100" t="s">
        <v>711</v>
      </c>
      <c r="C27" s="100" t="s">
        <v>113</v>
      </c>
      <c r="D27" s="100" t="s">
        <v>40</v>
      </c>
      <c r="E27" s="100" t="s">
        <v>103</v>
      </c>
      <c r="F27" s="202"/>
      <c r="G27" s="103"/>
      <c r="H27" s="103"/>
      <c r="I27" s="103"/>
      <c r="J27" s="103"/>
      <c r="K27" s="103"/>
      <c r="L27" s="202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202"/>
      <c r="Y27" s="103"/>
      <c r="Z27" s="103"/>
      <c r="AA27" s="103"/>
      <c r="AB27" s="103"/>
      <c r="AC27" s="103"/>
      <c r="AD27" s="103">
        <f>AD28+AD29</f>
        <v>-0.5</v>
      </c>
      <c r="AE27" s="103">
        <f t="shared" ref="AE27" si="49">AE28+AE29</f>
        <v>0</v>
      </c>
      <c r="AF27" s="103">
        <f t="shared" ref="AF27" si="50">AF28+AF29</f>
        <v>0</v>
      </c>
      <c r="AG27" s="103">
        <f t="shared" ref="AG27" si="51">AG28+AG29</f>
        <v>-0.85000000000000009</v>
      </c>
      <c r="AH27" s="103">
        <f t="shared" ref="AH27" si="52">AH28+AH29</f>
        <v>-0.2</v>
      </c>
      <c r="AI27" s="104">
        <f t="shared" ref="AI27" si="53">AI28+AI29</f>
        <v>0</v>
      </c>
      <c r="AK27" s="245"/>
    </row>
    <row r="28" spans="1:49" outlineLevel="1">
      <c r="A28" s="276" t="s">
        <v>731</v>
      </c>
      <c r="B28" s="92" t="s">
        <v>711</v>
      </c>
      <c r="C28" s="92" t="s">
        <v>39</v>
      </c>
      <c r="D28" s="92" t="s">
        <v>40</v>
      </c>
      <c r="E28" s="92" t="s">
        <v>41</v>
      </c>
      <c r="F28" s="76"/>
      <c r="G28" s="75"/>
      <c r="H28" s="75"/>
      <c r="I28" s="75"/>
      <c r="J28" s="75"/>
      <c r="K28" s="75"/>
      <c r="L28" s="76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6"/>
      <c r="Y28" s="75"/>
      <c r="Z28" s="75"/>
      <c r="AA28" s="75"/>
      <c r="AB28" s="75"/>
      <c r="AC28" s="75"/>
      <c r="AD28" s="75">
        <f>-0.5</f>
        <v>-0.5</v>
      </c>
      <c r="AE28" s="75"/>
      <c r="AF28" s="75"/>
      <c r="AG28" s="75"/>
      <c r="AH28" s="75"/>
      <c r="AI28" s="94"/>
      <c r="AK28" s="245"/>
    </row>
    <row r="29" spans="1:49" outlineLevel="1">
      <c r="A29" s="277" t="s">
        <v>731</v>
      </c>
      <c r="B29" s="22" t="s">
        <v>711</v>
      </c>
      <c r="C29" s="22" t="s">
        <v>39</v>
      </c>
      <c r="D29" s="22" t="s">
        <v>40</v>
      </c>
      <c r="E29" s="22" t="s">
        <v>729</v>
      </c>
      <c r="F29" s="72"/>
      <c r="G29" s="24"/>
      <c r="H29" s="24"/>
      <c r="I29" s="24"/>
      <c r="J29" s="24"/>
      <c r="K29" s="24"/>
      <c r="L29" s="72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72"/>
      <c r="Y29" s="24"/>
      <c r="Z29" s="24"/>
      <c r="AA29" s="24"/>
      <c r="AB29" s="24"/>
      <c r="AC29" s="24"/>
      <c r="AD29" s="24">
        <f>AD30+AD31+AD32</f>
        <v>0</v>
      </c>
      <c r="AE29" s="24">
        <f t="shared" ref="AE29" si="54">AE30+AE31+AE32</f>
        <v>0</v>
      </c>
      <c r="AF29" s="24">
        <f t="shared" ref="AF29" si="55">AF30+AF31+AF32</f>
        <v>0</v>
      </c>
      <c r="AG29" s="24">
        <f t="shared" ref="AG29" si="56">AG30+AG31+AG32</f>
        <v>-0.85000000000000009</v>
      </c>
      <c r="AH29" s="24">
        <f t="shared" ref="AH29" si="57">AH30+AH31+AH32</f>
        <v>-0.2</v>
      </c>
      <c r="AI29" s="25">
        <f t="shared" ref="AI29" si="58">AI30+AI31+AI32</f>
        <v>0</v>
      </c>
      <c r="AK29" s="245"/>
    </row>
    <row r="30" spans="1:49" outlineLevel="1">
      <c r="A30" s="277" t="s">
        <v>731</v>
      </c>
      <c r="B30" s="22" t="s">
        <v>711</v>
      </c>
      <c r="C30" s="22" t="s">
        <v>39</v>
      </c>
      <c r="D30" s="22" t="s">
        <v>40</v>
      </c>
      <c r="E30" s="46" t="s">
        <v>730</v>
      </c>
      <c r="F30" s="72"/>
      <c r="G30" s="24"/>
      <c r="H30" s="24"/>
      <c r="I30" s="24"/>
      <c r="J30" s="24"/>
      <c r="K30" s="24"/>
      <c r="L30" s="72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72"/>
      <c r="Y30" s="24"/>
      <c r="Z30" s="24"/>
      <c r="AA30" s="24"/>
      <c r="AB30" s="24"/>
      <c r="AC30" s="24"/>
      <c r="AH30" s="24"/>
      <c r="AI30" s="25"/>
    </row>
    <row r="31" spans="1:49" outlineLevel="1">
      <c r="A31" s="277" t="s">
        <v>731</v>
      </c>
      <c r="B31" s="22" t="s">
        <v>711</v>
      </c>
      <c r="C31" s="22" t="s">
        <v>39</v>
      </c>
      <c r="D31" s="22" t="s">
        <v>40</v>
      </c>
      <c r="E31" s="46" t="s">
        <v>42</v>
      </c>
      <c r="F31" s="72"/>
      <c r="G31" s="24"/>
      <c r="H31" s="24"/>
      <c r="I31" s="24"/>
      <c r="J31" s="24"/>
      <c r="K31" s="25"/>
      <c r="L31" s="72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72"/>
      <c r="Y31" s="24"/>
      <c r="Z31" s="24"/>
      <c r="AA31" s="24"/>
      <c r="AB31" s="24"/>
      <c r="AC31" s="24"/>
      <c r="AG31" s="24">
        <f>-0.55-0.3</f>
        <v>-0.85000000000000009</v>
      </c>
      <c r="AH31" s="24">
        <v>-0.2</v>
      </c>
      <c r="AI31" s="23"/>
    </row>
    <row r="32" spans="1:49" outlineLevel="1">
      <c r="A32" s="278" t="s">
        <v>731</v>
      </c>
      <c r="B32" s="31" t="s">
        <v>711</v>
      </c>
      <c r="C32" s="31" t="s">
        <v>39</v>
      </c>
      <c r="D32" s="31" t="s">
        <v>40</v>
      </c>
      <c r="E32" s="59" t="s">
        <v>43</v>
      </c>
      <c r="F32" s="199"/>
      <c r="G32" s="200"/>
      <c r="H32" s="200"/>
      <c r="I32" s="200"/>
      <c r="J32" s="200"/>
      <c r="K32" s="200"/>
      <c r="L32" s="199"/>
      <c r="M32" s="200"/>
      <c r="N32" s="200"/>
      <c r="O32" s="200"/>
      <c r="P32" s="200"/>
      <c r="Q32" s="200"/>
      <c r="R32" s="200"/>
      <c r="S32" s="200"/>
      <c r="T32" s="200"/>
      <c r="U32" s="200"/>
      <c r="V32" s="200"/>
      <c r="W32" s="200"/>
      <c r="X32" s="199"/>
      <c r="Y32" s="200"/>
      <c r="Z32" s="200"/>
      <c r="AA32" s="200"/>
      <c r="AB32" s="200"/>
      <c r="AC32" s="200"/>
      <c r="AD32" s="198"/>
      <c r="AE32" s="198"/>
      <c r="AF32" s="198"/>
      <c r="AG32" s="198"/>
      <c r="AH32" s="198"/>
      <c r="AI32" s="201"/>
      <c r="AK32" s="245"/>
    </row>
    <row r="33" spans="1:49" outlineLevel="1">
      <c r="A33" s="275" t="s">
        <v>731</v>
      </c>
      <c r="B33" s="100" t="s">
        <v>713</v>
      </c>
      <c r="C33" s="100" t="s">
        <v>113</v>
      </c>
      <c r="D33" s="100" t="s">
        <v>40</v>
      </c>
      <c r="E33" s="100" t="s">
        <v>103</v>
      </c>
      <c r="F33" s="202"/>
      <c r="G33" s="103"/>
      <c r="H33" s="103"/>
      <c r="I33" s="103"/>
      <c r="J33" s="103"/>
      <c r="K33" s="103"/>
      <c r="L33" s="202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202"/>
      <c r="Y33" s="103"/>
      <c r="Z33" s="103"/>
      <c r="AA33" s="103"/>
      <c r="AB33" s="103"/>
      <c r="AC33" s="103"/>
      <c r="AD33" s="103">
        <f>AD34+AD35</f>
        <v>6.0000000000000026E-2</v>
      </c>
      <c r="AE33" s="103">
        <f t="shared" ref="AE33" si="59">AE34+AE35</f>
        <v>-0.06</v>
      </c>
      <c r="AF33" s="103">
        <f t="shared" ref="AF33" si="60">AF34+AF35</f>
        <v>0</v>
      </c>
      <c r="AG33" s="103">
        <f t="shared" ref="AG33" si="61">AG34+AG35</f>
        <v>0.32856000000000007</v>
      </c>
      <c r="AH33" s="103">
        <f t="shared" ref="AH33" si="62">AH34+AH35</f>
        <v>0.11747999999999997</v>
      </c>
      <c r="AI33" s="104">
        <f t="shared" ref="AI33" si="63">AI34+AI35</f>
        <v>1.6808000000000101E-2</v>
      </c>
      <c r="AK33" s="245"/>
    </row>
    <row r="34" spans="1:49" outlineLevel="1">
      <c r="A34" s="276" t="s">
        <v>731</v>
      </c>
      <c r="B34" s="92" t="s">
        <v>713</v>
      </c>
      <c r="C34" s="92" t="s">
        <v>39</v>
      </c>
      <c r="D34" s="92" t="s">
        <v>40</v>
      </c>
      <c r="E34" s="92" t="s">
        <v>41</v>
      </c>
      <c r="F34" s="76"/>
      <c r="G34" s="75"/>
      <c r="H34" s="75"/>
      <c r="I34" s="75"/>
      <c r="J34" s="75"/>
      <c r="K34" s="75"/>
      <c r="L34" s="76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6"/>
      <c r="Y34" s="75"/>
      <c r="Z34" s="75"/>
      <c r="AA34" s="75"/>
      <c r="AB34" s="75"/>
      <c r="AC34" s="75"/>
      <c r="AD34" s="75"/>
      <c r="AE34" s="75"/>
      <c r="AF34" s="75"/>
      <c r="AG34" s="75"/>
      <c r="AH34" s="75">
        <f>AH16*0.6</f>
        <v>0.44603999999999994</v>
      </c>
      <c r="AI34" s="94">
        <f>-AH34+0.2</f>
        <v>-0.24603999999999993</v>
      </c>
      <c r="AJ34" s="24"/>
      <c r="AK34" s="245"/>
    </row>
    <row r="35" spans="1:49" outlineLevel="1">
      <c r="A35" s="277" t="s">
        <v>731</v>
      </c>
      <c r="B35" s="22" t="s">
        <v>713</v>
      </c>
      <c r="C35" s="22" t="s">
        <v>39</v>
      </c>
      <c r="D35" s="22" t="s">
        <v>40</v>
      </c>
      <c r="E35" s="22" t="s">
        <v>729</v>
      </c>
      <c r="F35" s="72"/>
      <c r="G35" s="24"/>
      <c r="H35" s="24"/>
      <c r="I35" s="24"/>
      <c r="J35" s="24"/>
      <c r="K35" s="24"/>
      <c r="L35" s="72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72"/>
      <c r="Y35" s="24"/>
      <c r="Z35" s="24"/>
      <c r="AA35" s="24"/>
      <c r="AB35" s="24"/>
      <c r="AC35" s="24"/>
      <c r="AD35" s="24">
        <f>AD36+AD37+AD38</f>
        <v>6.0000000000000026E-2</v>
      </c>
      <c r="AE35" s="24">
        <f t="shared" ref="AE35" si="64">AE36+AE37+AE38</f>
        <v>-0.06</v>
      </c>
      <c r="AF35" s="24">
        <f t="shared" ref="AF35" si="65">AF36+AF37+AF38</f>
        <v>0</v>
      </c>
      <c r="AG35" s="24">
        <f t="shared" ref="AG35" si="66">AG36+AG37+AG38</f>
        <v>0.32856000000000007</v>
      </c>
      <c r="AH35" s="24">
        <f t="shared" ref="AH35" si="67">AH36+AH37+AH38</f>
        <v>-0.32855999999999996</v>
      </c>
      <c r="AI35" s="25">
        <f t="shared" ref="AI35" si="68">AI36+AI37+AI38</f>
        <v>0.26284800000000003</v>
      </c>
      <c r="AK35" s="245"/>
    </row>
    <row r="36" spans="1:49" outlineLevel="1">
      <c r="A36" s="277" t="s">
        <v>731</v>
      </c>
      <c r="B36" s="22" t="s">
        <v>713</v>
      </c>
      <c r="C36" s="22" t="s">
        <v>39</v>
      </c>
      <c r="D36" s="22" t="s">
        <v>40</v>
      </c>
      <c r="E36" s="46" t="s">
        <v>730</v>
      </c>
      <c r="F36" s="72"/>
      <c r="G36" s="24"/>
      <c r="H36" s="24"/>
      <c r="I36" s="24"/>
      <c r="J36" s="24"/>
      <c r="K36" s="24"/>
      <c r="L36" s="72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72"/>
      <c r="Y36" s="24"/>
      <c r="Z36" s="24"/>
      <c r="AA36" s="24"/>
      <c r="AB36" s="24"/>
      <c r="AC36" s="24"/>
      <c r="AH36" s="24"/>
      <c r="AI36" s="25">
        <f>AI18/2.5</f>
        <v>0.26284800000000003</v>
      </c>
    </row>
    <row r="37" spans="1:49" outlineLevel="1">
      <c r="A37" s="277" t="s">
        <v>731</v>
      </c>
      <c r="B37" s="22" t="s">
        <v>713</v>
      </c>
      <c r="C37" s="22" t="s">
        <v>39</v>
      </c>
      <c r="D37" s="22" t="s">
        <v>40</v>
      </c>
      <c r="E37" s="46" t="s">
        <v>42</v>
      </c>
      <c r="F37" s="72"/>
      <c r="G37" s="24"/>
      <c r="H37" s="24"/>
      <c r="I37" s="24"/>
      <c r="J37" s="24"/>
      <c r="K37" s="24"/>
      <c r="L37" s="72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72"/>
      <c r="Y37" s="24"/>
      <c r="Z37" s="24"/>
      <c r="AA37" s="24"/>
      <c r="AB37" s="24"/>
      <c r="AC37" s="24"/>
      <c r="AD37" s="24">
        <f>200000*1/1000000*0.8+N("P2 AM $199品類加價購")-AD19</f>
        <v>6.0000000000000026E-2</v>
      </c>
      <c r="AE37" s="24">
        <f>200000*1/1000000*0.2+N("P2 AM $199品類加價購")-AE19</f>
        <v>-0.06</v>
      </c>
      <c r="AG37" s="24">
        <f>(4000+4000)*136.9*1/1000000*0.8+N("P5 AM 1ct $119後壁櫃")-AG19</f>
        <v>0.32856000000000007</v>
      </c>
      <c r="AH37" s="24">
        <f>(4000+4000)*136.9*1/1000000*0.2+N("P5 AM 1ct $119後壁櫃")-AH19</f>
        <v>-0.32855999999999996</v>
      </c>
      <c r="AI37" s="23"/>
      <c r="AK37" s="245"/>
    </row>
    <row r="38" spans="1:49" outlineLevel="1">
      <c r="A38" s="278" t="s">
        <v>731</v>
      </c>
      <c r="B38" s="31" t="s">
        <v>713</v>
      </c>
      <c r="C38" s="31" t="s">
        <v>39</v>
      </c>
      <c r="D38" s="31" t="s">
        <v>40</v>
      </c>
      <c r="E38" s="59" t="s">
        <v>43</v>
      </c>
      <c r="F38" s="73"/>
      <c r="G38" s="67"/>
      <c r="H38" s="67"/>
      <c r="I38" s="67"/>
      <c r="J38" s="67"/>
      <c r="K38" s="67"/>
      <c r="L38" s="199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199"/>
      <c r="Y38" s="200"/>
      <c r="Z38" s="200"/>
      <c r="AA38" s="200"/>
      <c r="AB38" s="200"/>
      <c r="AC38" s="200"/>
      <c r="AD38" s="198"/>
      <c r="AE38" s="198"/>
      <c r="AF38" s="198"/>
      <c r="AG38" s="198"/>
      <c r="AH38" s="198"/>
      <c r="AI38" s="201"/>
      <c r="AK38" s="245"/>
    </row>
    <row r="39" spans="1:49">
      <c r="A39" s="284" t="s">
        <v>745</v>
      </c>
      <c r="B39" s="126" t="s">
        <v>83</v>
      </c>
      <c r="C39" s="126" t="s">
        <v>113</v>
      </c>
      <c r="D39" s="126" t="s">
        <v>40</v>
      </c>
      <c r="E39" s="126" t="s">
        <v>103</v>
      </c>
      <c r="F39" s="226">
        <f>F40+F41</f>
        <v>1.8292221</v>
      </c>
      <c r="G39" s="130">
        <f t="shared" ref="G39:AI39" si="69">G40+G41</f>
        <v>2.8949756999999998</v>
      </c>
      <c r="H39" s="130">
        <f t="shared" si="69"/>
        <v>1.1773662</v>
      </c>
      <c r="I39" s="130">
        <f t="shared" si="69"/>
        <v>2.2637166</v>
      </c>
      <c r="J39" s="130">
        <f t="shared" si="69"/>
        <v>2.7107805000000003</v>
      </c>
      <c r="K39" s="130">
        <f t="shared" si="69"/>
        <v>4.6344864000000001</v>
      </c>
      <c r="L39" s="226">
        <f t="shared" si="69"/>
        <v>4.6818336599999997</v>
      </c>
      <c r="M39" s="130">
        <f t="shared" si="69"/>
        <v>1.1281538999999998</v>
      </c>
      <c r="N39" s="130">
        <f t="shared" si="69"/>
        <v>4.3344634800000001</v>
      </c>
      <c r="O39" s="130">
        <f t="shared" si="69"/>
        <v>0.28381829999999997</v>
      </c>
      <c r="P39" s="130">
        <f t="shared" si="69"/>
        <v>1.94370456</v>
      </c>
      <c r="Q39" s="130">
        <f t="shared" si="69"/>
        <v>5.0643379799999995</v>
      </c>
      <c r="R39" s="130">
        <f t="shared" si="69"/>
        <v>1.93807296</v>
      </c>
      <c r="S39" s="130">
        <f t="shared" si="69"/>
        <v>2.6693442000000003</v>
      </c>
      <c r="T39" s="130">
        <f t="shared" si="69"/>
        <v>1.1109414</v>
      </c>
      <c r="U39" s="130">
        <f t="shared" si="69"/>
        <v>3.1468959600000002</v>
      </c>
      <c r="V39" s="130">
        <f t="shared" si="69"/>
        <v>2.4937197000000002</v>
      </c>
      <c r="W39" s="130">
        <f t="shared" si="69"/>
        <v>1.1226780000000001</v>
      </c>
      <c r="X39" s="226">
        <f t="shared" si="69"/>
        <v>2.1003149999999997</v>
      </c>
      <c r="Y39" s="130">
        <f t="shared" si="69"/>
        <v>3.1933992</v>
      </c>
      <c r="Z39" s="130">
        <f t="shared" si="69"/>
        <v>1.2972623999999999</v>
      </c>
      <c r="AA39" s="130">
        <f t="shared" si="69"/>
        <v>2.6569343999999999</v>
      </c>
      <c r="AB39" s="130">
        <f t="shared" si="69"/>
        <v>2.07673248</v>
      </c>
      <c r="AC39" s="130">
        <f t="shared" si="69"/>
        <v>1.9812105600000001</v>
      </c>
      <c r="AD39" s="130">
        <f t="shared" si="69"/>
        <v>1.3477712399999999</v>
      </c>
      <c r="AE39" s="130">
        <f t="shared" si="69"/>
        <v>0.79065660000000004</v>
      </c>
      <c r="AF39" s="130">
        <f>AF40+AF41</f>
        <v>1.1801461200000001</v>
      </c>
      <c r="AG39" s="130">
        <f t="shared" si="69"/>
        <v>1.6353373200000001</v>
      </c>
      <c r="AH39" s="130">
        <f t="shared" si="69"/>
        <v>2.2684799999999998</v>
      </c>
      <c r="AI39" s="131">
        <f t="shared" si="69"/>
        <v>2.477328</v>
      </c>
      <c r="AK39" s="281">
        <v>1.0861599999999998</v>
      </c>
      <c r="AL39" s="281">
        <f>AG39-AK39</f>
        <v>0.5491773200000003</v>
      </c>
      <c r="AN39" s="156">
        <f t="shared" ref="AN39:AN41" si="70">IFERROR(AG39/U39*100,"NA")</f>
        <v>51.966678936535295</v>
      </c>
      <c r="AO39" s="157">
        <f t="shared" ref="AO39:AO41" si="71">IFERROR(SUM(X39:AG39)/SUM(L39:U39)*100,"NA")</f>
        <v>69.424630618197725</v>
      </c>
      <c r="AP39" s="157">
        <f t="shared" ref="AP39:AP41" si="72">IFERROR(SUM(AD39:AG39)/SUM(R39:U39)*100,"NA")</f>
        <v>55.880079571590223</v>
      </c>
      <c r="AQ39" s="157">
        <f t="shared" ref="AQ39:AQ41" si="73">IFERROR(SUM(X39:Z39)/SUM(L39:N39)*100,"NA")</f>
        <v>64.971249543336555</v>
      </c>
      <c r="AR39" s="157">
        <f t="shared" ref="AR39:AR41" si="74">IFERROR(SUM(AA39:AC39)/SUM(O39:Q39)*100,"NA")</f>
        <v>92.087295511251128</v>
      </c>
      <c r="AS39" s="157">
        <f t="shared" ref="AS39:AS41" si="75">IFERROR(SUM(AD39:AF39)/SUM(R39:T39)*100,"NA")</f>
        <v>58.033680909998765</v>
      </c>
      <c r="AT39" s="157">
        <f t="shared" ref="AT39:AT41" si="76">IFERROR(SUM(AG39:AI39)/SUM(U39:W39)*100,"NA")</f>
        <v>94.349671044743602</v>
      </c>
      <c r="AU39" s="157">
        <f t="shared" ref="AU39:AU41" si="77">IFERROR(SUM(X39:AC39)/SUM(L39:Q39)*100,"NA")</f>
        <v>76.311172520733791</v>
      </c>
      <c r="AV39" s="157">
        <f t="shared" ref="AV39:AV41" si="78">IFERROR(SUM(AD39:AI39)/SUM(R39:W39)*100,"NA")</f>
        <v>77.711821392184248</v>
      </c>
      <c r="AW39" s="158">
        <f t="shared" ref="AW39:AW41" si="79">IFERROR(SUM(X39:AI39)/SUM(L39:W39)*100,"NA")</f>
        <v>76.895517499467843</v>
      </c>
    </row>
    <row r="40" spans="1:49">
      <c r="A40" s="285" t="s">
        <v>745</v>
      </c>
      <c r="B40" s="92" t="s">
        <v>83</v>
      </c>
      <c r="C40" s="92" t="s">
        <v>113</v>
      </c>
      <c r="D40" s="92" t="s">
        <v>40</v>
      </c>
      <c r="E40" s="92" t="s">
        <v>110</v>
      </c>
      <c r="F40" s="76">
        <v>0.30480930000000001</v>
      </c>
      <c r="G40" s="75">
        <v>0.37803330000000002</v>
      </c>
      <c r="H40" s="75">
        <v>0.9977646</v>
      </c>
      <c r="I40" s="75">
        <v>2.2550262000000001</v>
      </c>
      <c r="J40" s="75">
        <v>2.0666229</v>
      </c>
      <c r="K40" s="75">
        <v>2.6628600000000002</v>
      </c>
      <c r="L40" s="76">
        <v>3.1740236999999998</v>
      </c>
      <c r="M40" s="75">
        <v>2.8264500000000001E-2</v>
      </c>
      <c r="N40" s="75">
        <v>2.5242042000000002</v>
      </c>
      <c r="O40" s="75">
        <v>0.28381829999999997</v>
      </c>
      <c r="P40" s="75">
        <v>9.8710800000000001E-2</v>
      </c>
      <c r="Q40" s="75">
        <v>1.6193726999999998</v>
      </c>
      <c r="R40" s="75">
        <v>0.75897000000000003</v>
      </c>
      <c r="S40" s="75">
        <v>0.6027882</v>
      </c>
      <c r="T40" s="75">
        <v>0.10965899999999999</v>
      </c>
      <c r="U40" s="75">
        <v>1.1727815999999998</v>
      </c>
      <c r="V40" s="75">
        <v>1.8419397000000002</v>
      </c>
      <c r="W40" s="75">
        <v>0.4912494</v>
      </c>
      <c r="X40" s="76">
        <v>1.5024845999999998</v>
      </c>
      <c r="Y40" s="75">
        <v>1.7127936000000001</v>
      </c>
      <c r="Z40" s="75">
        <v>0.23680320000000002</v>
      </c>
      <c r="AA40" s="75">
        <v>1.5441023999999999</v>
      </c>
      <c r="AB40" s="75">
        <v>0.59038080000000004</v>
      </c>
      <c r="AC40" s="75">
        <v>1.7572572000000002</v>
      </c>
      <c r="AD40" s="75">
        <v>4.5407999999999997E-2</v>
      </c>
      <c r="AE40" s="75">
        <v>4.5327600000000003E-2</v>
      </c>
      <c r="AF40" s="75">
        <v>0.45090240000000004</v>
      </c>
      <c r="AG40" s="75">
        <v>0.35006160000000003</v>
      </c>
      <c r="AH40" s="75">
        <f t="shared" ref="AH40:AI40" si="80">AH22+AH44</f>
        <v>1.5494399999999999</v>
      </c>
      <c r="AI40" s="94">
        <f t="shared" si="80"/>
        <v>0.85736000000000001</v>
      </c>
      <c r="AK40" s="288">
        <v>0.36</v>
      </c>
      <c r="AL40" s="263">
        <f t="shared" ref="AL40:AL41" si="81">AG40-AK40</f>
        <v>-9.9383999999999584E-3</v>
      </c>
      <c r="AN40" s="151">
        <f t="shared" si="70"/>
        <v>29.848831189029578</v>
      </c>
      <c r="AO40" s="152">
        <f t="shared" si="71"/>
        <v>79.396939608061359</v>
      </c>
      <c r="AP40" s="152">
        <f t="shared" si="72"/>
        <v>33.722865315573102</v>
      </c>
      <c r="AQ40" s="152">
        <f t="shared" si="73"/>
        <v>60.282650510459078</v>
      </c>
      <c r="AR40" s="152">
        <f t="shared" si="74"/>
        <v>194.40216298321928</v>
      </c>
      <c r="AS40" s="152">
        <f t="shared" si="75"/>
        <v>36.810633992860765</v>
      </c>
      <c r="AT40" s="152">
        <f t="shared" si="76"/>
        <v>78.633332560366242</v>
      </c>
      <c r="AU40" s="152">
        <f t="shared" si="77"/>
        <v>95.023902895636468</v>
      </c>
      <c r="AV40" s="152">
        <f t="shared" si="78"/>
        <v>66.269691377680246</v>
      </c>
      <c r="AW40" s="153">
        <f t="shared" si="79"/>
        <v>83.759671905596434</v>
      </c>
    </row>
    <row r="41" spans="1:49">
      <c r="A41" s="286" t="s">
        <v>745</v>
      </c>
      <c r="B41" s="31" t="s">
        <v>83</v>
      </c>
      <c r="C41" s="31" t="s">
        <v>113</v>
      </c>
      <c r="D41" s="31" t="s">
        <v>40</v>
      </c>
      <c r="E41" s="31" t="s">
        <v>114</v>
      </c>
      <c r="F41" s="74">
        <v>1.5244127999999999</v>
      </c>
      <c r="G41" s="32">
        <v>2.5169424</v>
      </c>
      <c r="H41" s="32">
        <v>0.1796016</v>
      </c>
      <c r="I41" s="32">
        <v>8.6904000000000009E-3</v>
      </c>
      <c r="J41" s="32">
        <v>0.6441576</v>
      </c>
      <c r="K41" s="32">
        <v>1.9716264000000001</v>
      </c>
      <c r="L41" s="74">
        <v>1.5078099599999999</v>
      </c>
      <c r="M41" s="32">
        <v>1.0998893999999999</v>
      </c>
      <c r="N41" s="32">
        <v>1.8102592799999999</v>
      </c>
      <c r="O41" s="32">
        <v>0</v>
      </c>
      <c r="P41" s="32">
        <v>1.8449937599999999</v>
      </c>
      <c r="Q41" s="32">
        <v>3.4449652799999999</v>
      </c>
      <c r="R41" s="32">
        <v>1.17910296</v>
      </c>
      <c r="S41" s="32">
        <v>2.0665560000000003</v>
      </c>
      <c r="T41" s="32">
        <v>1.0012824</v>
      </c>
      <c r="U41" s="32">
        <v>1.9741143600000002</v>
      </c>
      <c r="V41" s="32">
        <v>0.65178000000000003</v>
      </c>
      <c r="W41" s="32">
        <v>0.63142860000000001</v>
      </c>
      <c r="X41" s="74">
        <v>0.59783039999999998</v>
      </c>
      <c r="Y41" s="32">
        <v>1.4806056000000001</v>
      </c>
      <c r="Z41" s="32">
        <v>1.0604591999999999</v>
      </c>
      <c r="AA41" s="32">
        <v>1.112832</v>
      </c>
      <c r="AB41" s="32">
        <v>1.4863516799999998</v>
      </c>
      <c r="AC41" s="32">
        <v>0.22395335999999999</v>
      </c>
      <c r="AD41" s="32">
        <v>1.30236324</v>
      </c>
      <c r="AE41" s="32">
        <v>0.74532900000000002</v>
      </c>
      <c r="AF41" s="32">
        <v>0.72924372000000004</v>
      </c>
      <c r="AG41" s="32">
        <v>1.28527572</v>
      </c>
      <c r="AH41" s="32">
        <f t="shared" ref="AH41:AI41" si="82">AH23+AH44</f>
        <v>0.7190399999999999</v>
      </c>
      <c r="AI41" s="33">
        <f t="shared" si="82"/>
        <v>1.6199680000000001</v>
      </c>
      <c r="AK41" s="283">
        <v>0.72615999999999981</v>
      </c>
      <c r="AL41" s="264">
        <f t="shared" si="81"/>
        <v>0.5591157200000002</v>
      </c>
      <c r="AN41" s="82">
        <f t="shared" si="70"/>
        <v>65.106447024679966</v>
      </c>
      <c r="AO41" s="83">
        <f t="shared" si="71"/>
        <v>62.930884924448435</v>
      </c>
      <c r="AP41" s="83">
        <f t="shared" si="72"/>
        <v>65.297786466378085</v>
      </c>
      <c r="AQ41" s="83">
        <f t="shared" si="73"/>
        <v>71.048542002647636</v>
      </c>
      <c r="AR41" s="83">
        <f t="shared" si="74"/>
        <v>53.367843090142344</v>
      </c>
      <c r="AS41" s="83">
        <f t="shared" si="75"/>
        <v>65.386727166866265</v>
      </c>
      <c r="AT41" s="83">
        <f t="shared" si="76"/>
        <v>111.26571618799505</v>
      </c>
      <c r="AU41" s="83">
        <f t="shared" si="77"/>
        <v>61.414120273009985</v>
      </c>
      <c r="AV41" s="83">
        <f t="shared" si="78"/>
        <v>85.301095577614177</v>
      </c>
      <c r="AW41" s="84">
        <f t="shared" si="79"/>
        <v>71.828498676112076</v>
      </c>
    </row>
    <row r="42" spans="1:49" outlineLevel="1">
      <c r="A42" s="287" t="s">
        <v>745</v>
      </c>
      <c r="B42" s="100" t="s">
        <v>711</v>
      </c>
      <c r="C42" s="100" t="s">
        <v>113</v>
      </c>
      <c r="D42" s="100" t="s">
        <v>40</v>
      </c>
      <c r="E42" s="100" t="s">
        <v>103</v>
      </c>
      <c r="F42" s="202"/>
      <c r="G42" s="103"/>
      <c r="H42" s="103"/>
      <c r="I42" s="103"/>
      <c r="J42" s="103"/>
      <c r="K42" s="103"/>
      <c r="L42" s="202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202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4"/>
      <c r="AK42" s="245"/>
    </row>
    <row r="43" spans="1:49" outlineLevel="1">
      <c r="A43" s="285" t="s">
        <v>745</v>
      </c>
      <c r="B43" s="92" t="s">
        <v>713</v>
      </c>
      <c r="C43" s="92" t="s">
        <v>39</v>
      </c>
      <c r="D43" s="92" t="s">
        <v>40</v>
      </c>
      <c r="E43" s="92" t="s">
        <v>41</v>
      </c>
      <c r="F43" s="76"/>
      <c r="G43" s="75"/>
      <c r="H43" s="75"/>
      <c r="I43" s="75"/>
      <c r="J43" s="75"/>
      <c r="K43" s="75"/>
      <c r="L43" s="76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6"/>
      <c r="Y43" s="75"/>
      <c r="Z43" s="75"/>
      <c r="AA43" s="75"/>
      <c r="AB43" s="75"/>
      <c r="AC43" s="75"/>
      <c r="AD43" s="75"/>
      <c r="AE43" s="75"/>
      <c r="AF43" s="75">
        <v>-0.2</v>
      </c>
      <c r="AG43" s="75"/>
      <c r="AH43" s="75"/>
      <c r="AI43" s="94"/>
      <c r="AK43" s="245"/>
    </row>
    <row r="44" spans="1:49" outlineLevel="1">
      <c r="A44" s="286" t="s">
        <v>745</v>
      </c>
      <c r="B44" s="31" t="s">
        <v>713</v>
      </c>
      <c r="C44" s="31" t="s">
        <v>39</v>
      </c>
      <c r="D44" s="31" t="s">
        <v>40</v>
      </c>
      <c r="E44" s="31" t="s">
        <v>729</v>
      </c>
      <c r="F44" s="74"/>
      <c r="G44" s="32"/>
      <c r="H44" s="32"/>
      <c r="I44" s="32"/>
      <c r="J44" s="32"/>
      <c r="K44" s="32"/>
      <c r="L44" s="74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74"/>
      <c r="Y44" s="32"/>
      <c r="Z44" s="32"/>
      <c r="AA44" s="32"/>
      <c r="AB44" s="32"/>
      <c r="AC44" s="32"/>
      <c r="AD44" s="32"/>
      <c r="AE44" s="32"/>
      <c r="AF44" s="32">
        <v>-0.2</v>
      </c>
      <c r="AG44" s="32"/>
      <c r="AH44" s="32"/>
      <c r="AI44" s="33"/>
      <c r="AK44" s="245"/>
    </row>
  </sheetData>
  <phoneticPr fontId="5" type="noConversion"/>
  <conditionalFormatting sqref="AN3:AW8">
    <cfRule type="cellIs" dxfId="23" priority="7" operator="equal">
      <formula>"NA"</formula>
    </cfRule>
    <cfRule type="cellIs" dxfId="22" priority="8" operator="greaterThan">
      <formula>100</formula>
    </cfRule>
    <cfRule type="cellIs" dxfId="21" priority="9" operator="lessThan">
      <formula>100</formula>
    </cfRule>
  </conditionalFormatting>
  <conditionalFormatting sqref="AN21:AW26">
    <cfRule type="cellIs" dxfId="20" priority="4" operator="equal">
      <formula>"NA"</formula>
    </cfRule>
    <cfRule type="cellIs" dxfId="19" priority="5" operator="greaterThan">
      <formula>100</formula>
    </cfRule>
    <cfRule type="cellIs" dxfId="18" priority="6" operator="lessThan">
      <formula>100</formula>
    </cfRule>
  </conditionalFormatting>
  <conditionalFormatting sqref="AN39:AW41">
    <cfRule type="cellIs" dxfId="17" priority="1" operator="equal">
      <formula>"NA"</formula>
    </cfRule>
    <cfRule type="cellIs" dxfId="16" priority="2" operator="greaterThan">
      <formula>100</formula>
    </cfRule>
    <cfRule type="cellIs" dxfId="15" priority="3" operator="lessThan">
      <formula>100</formula>
    </cfRule>
  </conditionalFormatting>
  <pageMargins left="0.7" right="0.7" top="0.75" bottom="0.75" header="0.3" footer="0.3"/>
  <pageSetup paperSize="9" orientation="portrait" r:id="rId1"/>
  <ignoredErrors>
    <ignoredError sqref="F5:AG5 AH29:AI29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A4CEE-9EB3-4D5B-BCF2-C4428B6535F9}">
  <dimension ref="A1:AW65"/>
  <sheetViews>
    <sheetView zoomScale="80" zoomScaleNormal="80" workbookViewId="0">
      <pane xSplit="5" ySplit="2" topLeftCell="S3" activePane="bottomRight" state="frozen"/>
      <selection pane="topRight" activeCell="F1" sqref="F1"/>
      <selection pane="bottomLeft" activeCell="A2" sqref="A2"/>
      <selection pane="bottomRight" activeCell="AM47" sqref="AM47"/>
    </sheetView>
  </sheetViews>
  <sheetFormatPr defaultColWidth="9" defaultRowHeight="14.4" outlineLevelRow="1" outlineLevelCol="1"/>
  <cols>
    <col min="1" max="1" width="9.6640625" style="21" bestFit="1" customWidth="1"/>
    <col min="2" max="2" width="8.33203125" style="21" bestFit="1" customWidth="1"/>
    <col min="3" max="3" width="9.109375" style="21" bestFit="1" customWidth="1"/>
    <col min="4" max="4" width="8.44140625" style="21" bestFit="1" customWidth="1"/>
    <col min="5" max="5" width="12.109375" style="21" bestFit="1" customWidth="1"/>
    <col min="6" max="11" width="9" style="21" hidden="1" customWidth="1" outlineLevel="1"/>
    <col min="12" max="12" width="9" style="21" collapsed="1"/>
    <col min="13" max="23" width="9" style="21"/>
    <col min="24" max="24" width="12" style="21" bestFit="1" customWidth="1"/>
    <col min="25" max="29" width="9" style="21"/>
    <col min="30" max="39" width="9" style="21" customWidth="1"/>
    <col min="40" max="42" width="8.88671875" style="21" bestFit="1" customWidth="1"/>
    <col min="43" max="16384" width="9" style="21"/>
  </cols>
  <sheetData>
    <row r="1" spans="1:49">
      <c r="F1" s="148" t="s">
        <v>90</v>
      </c>
      <c r="G1" s="148" t="s">
        <v>90</v>
      </c>
      <c r="H1" s="148" t="s">
        <v>90</v>
      </c>
      <c r="I1" s="148" t="s">
        <v>90</v>
      </c>
      <c r="J1" s="148" t="s">
        <v>90</v>
      </c>
      <c r="K1" s="148" t="s">
        <v>90</v>
      </c>
      <c r="L1" s="148" t="s">
        <v>90</v>
      </c>
      <c r="M1" s="148" t="s">
        <v>90</v>
      </c>
      <c r="N1" s="148" t="s">
        <v>90</v>
      </c>
      <c r="O1" s="148" t="s">
        <v>90</v>
      </c>
      <c r="P1" s="148" t="s">
        <v>90</v>
      </c>
      <c r="Q1" s="148" t="s">
        <v>90</v>
      </c>
      <c r="R1" s="148" t="s">
        <v>90</v>
      </c>
      <c r="S1" s="148" t="s">
        <v>90</v>
      </c>
      <c r="T1" s="148" t="s">
        <v>90</v>
      </c>
      <c r="U1" s="148" t="s">
        <v>90</v>
      </c>
      <c r="V1" s="148" t="s">
        <v>90</v>
      </c>
      <c r="W1" s="148" t="s">
        <v>90</v>
      </c>
      <c r="X1" s="148" t="s">
        <v>90</v>
      </c>
      <c r="Y1" s="148" t="s">
        <v>90</v>
      </c>
      <c r="Z1" s="148" t="s">
        <v>90</v>
      </c>
      <c r="AA1" s="148" t="s">
        <v>90</v>
      </c>
      <c r="AB1" s="148" t="s">
        <v>90</v>
      </c>
      <c r="AC1" s="148" t="s">
        <v>90</v>
      </c>
      <c r="AD1" s="148" t="s">
        <v>90</v>
      </c>
      <c r="AE1" s="235" t="s">
        <v>90</v>
      </c>
      <c r="AF1" s="235" t="s">
        <v>90</v>
      </c>
      <c r="AG1" s="235" t="s">
        <v>90</v>
      </c>
      <c r="AH1" s="148" t="s">
        <v>719</v>
      </c>
      <c r="AI1" s="148" t="s">
        <v>719</v>
      </c>
      <c r="AK1" s="245" t="s">
        <v>751</v>
      </c>
      <c r="AL1" s="245"/>
    </row>
    <row r="2" spans="1:49" ht="15" thickBot="1">
      <c r="A2" s="18" t="s">
        <v>78</v>
      </c>
      <c r="B2" s="19" t="s">
        <v>89</v>
      </c>
      <c r="C2" s="19" t="s">
        <v>0</v>
      </c>
      <c r="D2" s="19" t="s">
        <v>79</v>
      </c>
      <c r="E2" s="19" t="s">
        <v>80</v>
      </c>
      <c r="F2" s="61">
        <v>202401</v>
      </c>
      <c r="G2" s="57">
        <v>202402</v>
      </c>
      <c r="H2" s="57">
        <v>202403</v>
      </c>
      <c r="I2" s="57">
        <v>202404</v>
      </c>
      <c r="J2" s="57">
        <v>202405</v>
      </c>
      <c r="K2" s="57">
        <v>202406</v>
      </c>
      <c r="L2" s="69">
        <v>202407</v>
      </c>
      <c r="M2" s="7">
        <v>202408</v>
      </c>
      <c r="N2" s="7">
        <v>202409</v>
      </c>
      <c r="O2" s="7">
        <v>202410</v>
      </c>
      <c r="P2" s="7">
        <v>202411</v>
      </c>
      <c r="Q2" s="7">
        <v>202412</v>
      </c>
      <c r="R2" s="7">
        <v>202501</v>
      </c>
      <c r="S2" s="7">
        <v>202502</v>
      </c>
      <c r="T2" s="7">
        <v>202503</v>
      </c>
      <c r="U2" s="7">
        <v>202504</v>
      </c>
      <c r="V2" s="7">
        <v>202505</v>
      </c>
      <c r="W2" s="7">
        <v>202506</v>
      </c>
      <c r="X2" s="68">
        <v>202507</v>
      </c>
      <c r="Y2" s="8">
        <v>202508</v>
      </c>
      <c r="Z2" s="8">
        <v>202509</v>
      </c>
      <c r="AA2" s="8">
        <v>202510</v>
      </c>
      <c r="AB2" s="8">
        <v>202511</v>
      </c>
      <c r="AC2" s="8">
        <v>202512</v>
      </c>
      <c r="AD2" s="8">
        <v>202601</v>
      </c>
      <c r="AE2" s="8">
        <v>202602</v>
      </c>
      <c r="AF2" s="8">
        <v>202603</v>
      </c>
      <c r="AG2" s="8">
        <v>202604</v>
      </c>
      <c r="AH2" s="8">
        <v>202605</v>
      </c>
      <c r="AI2" s="9">
        <v>202606</v>
      </c>
      <c r="AK2" s="245" t="s">
        <v>749</v>
      </c>
      <c r="AL2" s="246" t="s">
        <v>750</v>
      </c>
      <c r="AN2" s="16" t="s">
        <v>98</v>
      </c>
      <c r="AO2" s="15" t="s">
        <v>99</v>
      </c>
      <c r="AP2" s="15" t="s">
        <v>134</v>
      </c>
      <c r="AQ2" s="15" t="s">
        <v>91</v>
      </c>
      <c r="AR2" s="15" t="s">
        <v>92</v>
      </c>
      <c r="AS2" s="15" t="s">
        <v>93</v>
      </c>
      <c r="AT2" s="15" t="s">
        <v>94</v>
      </c>
      <c r="AU2" s="15" t="s">
        <v>95</v>
      </c>
      <c r="AV2" s="15" t="s">
        <v>96</v>
      </c>
      <c r="AW2" s="17" t="s">
        <v>97</v>
      </c>
    </row>
    <row r="3" spans="1:49" ht="15" thickTop="1">
      <c r="A3" s="269" t="s">
        <v>77</v>
      </c>
      <c r="B3" s="176" t="s">
        <v>83</v>
      </c>
      <c r="C3" s="176" t="s">
        <v>25</v>
      </c>
      <c r="D3" s="176" t="s">
        <v>25</v>
      </c>
      <c r="E3" s="176" t="s">
        <v>83</v>
      </c>
      <c r="F3" s="177">
        <f>SUM(F4:F11)</f>
        <v>0.84207448000000007</v>
      </c>
      <c r="G3" s="178">
        <f>SUM(G4:G11)</f>
        <v>1.1955440106666668</v>
      </c>
      <c r="H3" s="178">
        <f t="shared" ref="H3:AB3" si="0">SUM(H4:H11)</f>
        <v>0.74396438533333331</v>
      </c>
      <c r="I3" s="178">
        <f t="shared" si="0"/>
        <v>0.8155621068333333</v>
      </c>
      <c r="J3" s="178">
        <f t="shared" si="0"/>
        <v>1.0207331310000001</v>
      </c>
      <c r="K3" s="178">
        <f t="shared" si="0"/>
        <v>0.79918778283333336</v>
      </c>
      <c r="L3" s="177">
        <f t="shared" si="0"/>
        <v>0.8056164241666669</v>
      </c>
      <c r="M3" s="178">
        <f t="shared" si="0"/>
        <v>1.0013544238333332</v>
      </c>
      <c r="N3" s="178">
        <f>SUM(N4:N11)</f>
        <v>0.79514204616666673</v>
      </c>
      <c r="O3" s="178">
        <f t="shared" si="0"/>
        <v>0.83439940099999999</v>
      </c>
      <c r="P3" s="178">
        <f t="shared" si="0"/>
        <v>1.027408283</v>
      </c>
      <c r="Q3" s="178">
        <f t="shared" si="0"/>
        <v>0.96912565216666657</v>
      </c>
      <c r="R3" s="178">
        <f t="shared" si="0"/>
        <v>1.1869294793333336</v>
      </c>
      <c r="S3" s="178">
        <f t="shared" si="0"/>
        <v>1.0047623651666666</v>
      </c>
      <c r="T3" s="178">
        <f t="shared" si="0"/>
        <v>0.91153003750000017</v>
      </c>
      <c r="U3" s="178">
        <f t="shared" si="0"/>
        <v>0.88563894150000011</v>
      </c>
      <c r="V3" s="178">
        <f t="shared" si="0"/>
        <v>1.0797682399999999</v>
      </c>
      <c r="W3" s="178">
        <f t="shared" si="0"/>
        <v>0.92203430583333335</v>
      </c>
      <c r="X3" s="177">
        <f t="shared" si="0"/>
        <v>1.1095099444999998</v>
      </c>
      <c r="Y3" s="178">
        <f t="shared" si="0"/>
        <v>0.87289099749999988</v>
      </c>
      <c r="Z3" s="178">
        <f t="shared" si="0"/>
        <v>0.86513451550000009</v>
      </c>
      <c r="AA3" s="178">
        <f t="shared" si="0"/>
        <v>1.1318798040000002</v>
      </c>
      <c r="AB3" s="178">
        <f t="shared" si="0"/>
        <v>0.95971862900000005</v>
      </c>
      <c r="AC3" s="178">
        <f t="shared" ref="AC3" si="1">SUM(AC4:AC11)</f>
        <v>1.2142867774999999</v>
      </c>
      <c r="AD3" s="178">
        <f>SUM(AD4:AD11)</f>
        <v>0.87812500683333339</v>
      </c>
      <c r="AE3" s="178">
        <f t="shared" ref="AE3:AI3" si="2">SUM(AE4:AE11)</f>
        <v>1.2227291365000001</v>
      </c>
      <c r="AF3" s="178">
        <f t="shared" si="2"/>
        <v>0.91190253200000004</v>
      </c>
      <c r="AG3" s="178">
        <f t="shared" ref="AG3" si="3">SUM(AG4:AG11)</f>
        <v>1.1380391329259261</v>
      </c>
      <c r="AH3" s="178">
        <f t="shared" si="2"/>
        <v>1.0024509301666666</v>
      </c>
      <c r="AI3" s="205">
        <f t="shared" si="2"/>
        <v>1.0024509301666666</v>
      </c>
      <c r="AK3" s="281">
        <v>1.0724509301666665</v>
      </c>
      <c r="AL3" s="281">
        <f>AG3-AK3</f>
        <v>6.5588202759259584E-2</v>
      </c>
      <c r="AN3" s="82">
        <f t="shared" ref="AN3:AN11" si="4">IFERROR(AG3/U3*100,"NA")</f>
        <v>128.49922012219085</v>
      </c>
      <c r="AO3" s="83">
        <f t="shared" ref="AO3:AO11" si="5">IFERROR(SUM(X3:AG3)/SUM(L3:U3)*100,"NA")</f>
        <v>109.36444625684305</v>
      </c>
      <c r="AP3" s="83">
        <f t="shared" ref="AP3:AP11" si="6">IFERROR(SUM(AD3:AG3)/SUM(R3:U3)*100,"NA")</f>
        <v>104.05967999197252</v>
      </c>
      <c r="AQ3" s="83">
        <f t="shared" ref="AQ3:AQ11" si="7">IFERROR(SUM(X3:Z3)/SUM(L3:N3)*100,"NA")</f>
        <v>109.43166470153977</v>
      </c>
      <c r="AR3" s="83">
        <f t="shared" ref="AR3:AR11" si="8">IFERROR(SUM(AA3:AC3)/SUM(O3:Q3)*100,"NA")</f>
        <v>116.77721860368709</v>
      </c>
      <c r="AS3" s="83">
        <f t="shared" ref="AS3:AS11" si="9">IFERROR(SUM(AD3:AF3)/SUM(R3:T3)*100,"NA")</f>
        <v>97.084797345900299</v>
      </c>
      <c r="AT3" s="83">
        <f t="shared" ref="AT3:AT11" si="10">IFERROR(SUM(AG3:AI3)/SUM(U3:W3)*100,"NA")</f>
        <v>108.84864704780179</v>
      </c>
      <c r="AU3" s="83">
        <f t="shared" ref="AU3:AU11" si="11">IFERROR(SUM(X3:AC3)/SUM(L3:Q3)*100,"NA")</f>
        <v>113.25912585916778</v>
      </c>
      <c r="AV3" s="83">
        <f t="shared" ref="AV3:AV11" si="12">IFERROR(SUM(AD3:AI3)/SUM(R3:W3)*100,"NA")</f>
        <v>102.75485850371903</v>
      </c>
      <c r="AW3" s="84">
        <f t="shared" ref="AW3:AW11" si="13">IFERROR(SUM(X3:AI3)/SUM(L3:W3)*100,"NA")</f>
        <v>107.75062364113109</v>
      </c>
    </row>
    <row r="4" spans="1:49">
      <c r="A4" s="270" t="s">
        <v>77</v>
      </c>
      <c r="B4" s="204" t="s">
        <v>103</v>
      </c>
      <c r="C4" s="22" t="s">
        <v>132</v>
      </c>
      <c r="D4" s="22" t="s">
        <v>132</v>
      </c>
      <c r="E4" s="22" t="s">
        <v>128</v>
      </c>
      <c r="F4" s="76">
        <f>SUMIFS('Offtake Raw'!H:H,'Offtake Raw'!$C:$C,Shave!$D4,'Offtake Raw'!$D:$D,Shave!$E4)/1000000</f>
        <v>0.18994520000000001</v>
      </c>
      <c r="G4" s="75">
        <f>SUMIFS('Offtake Raw'!I:I,'Offtake Raw'!$C:$C,Shave!$D4,'Offtake Raw'!$D:$D,Shave!$E4)/1000000</f>
        <v>0.1884952</v>
      </c>
      <c r="H4" s="75">
        <f>SUMIFS('Offtake Raw'!J:J,'Offtake Raw'!$C:$C,Shave!$D4,'Offtake Raw'!$D:$D,Shave!$E4)/1000000</f>
        <v>7.2590799999999997E-2</v>
      </c>
      <c r="I4" s="75">
        <f>SUMIFS('Offtake Raw'!K:K,'Offtake Raw'!$C:$C,Shave!$D4,'Offtake Raw'!$D:$D,Shave!$E4)/1000000</f>
        <v>0.10725860000000001</v>
      </c>
      <c r="J4" s="75">
        <f>SUMIFS('Offtake Raw'!L:L,'Offtake Raw'!$C:$C,Shave!$D4,'Offtake Raw'!$D:$D,Shave!$E4)/1000000</f>
        <v>0.22586600000000001</v>
      </c>
      <c r="K4" s="75">
        <f>SUMIFS('Offtake Raw'!M:M,'Offtake Raw'!$C:$C,Shave!$D4,'Offtake Raw'!$D:$D,Shave!$E4)/1000000</f>
        <v>0.11216490000000001</v>
      </c>
      <c r="L4" s="76">
        <f>SUMIFS('Offtake Raw'!N:N,'Offtake Raw'!$C:$C,Shave!$D4,'Offtake Raw'!$D:$D,Shave!$E4)/1000000</f>
        <v>0.11582819999999999</v>
      </c>
      <c r="M4" s="75">
        <f>SUMIFS('Offtake Raw'!O:O,'Offtake Raw'!$C:$C,Shave!$D4,'Offtake Raw'!$D:$D,Shave!$E4)/1000000</f>
        <v>0.26617499999999999</v>
      </c>
      <c r="N4" s="75">
        <f>SUMIFS('Offtake Raw'!P:P,'Offtake Raw'!$C:$C,Shave!$D4,'Offtake Raw'!$D:$D,Shave!$E4)/1000000</f>
        <v>0.1787598</v>
      </c>
      <c r="O4" s="75">
        <f>SUMIFS('Offtake Raw'!Q:Q,'Offtake Raw'!$C:$C,Shave!$D4,'Offtake Raw'!$D:$D,Shave!$E4)/1000000</f>
        <v>0.2058287</v>
      </c>
      <c r="P4" s="75">
        <f>SUMIFS('Offtake Raw'!R:R,'Offtake Raw'!$C:$C,Shave!$D4,'Offtake Raw'!$D:$D,Shave!$E4)/1000000</f>
        <v>0.31993369999999999</v>
      </c>
      <c r="Q4" s="75">
        <f>SUMIFS('Offtake Raw'!S:S,'Offtake Raw'!$C:$C,Shave!$D4,'Offtake Raw'!$D:$D,Shave!$E4)/1000000</f>
        <v>0.30402030000000002</v>
      </c>
      <c r="R4" s="75">
        <f>SUMIFS('Offtake Raw'!T:T,'Offtake Raw'!$C:$C,Shave!$D4,'Offtake Raw'!$D:$D,Shave!$E4)/1000000</f>
        <v>0.39534590000000003</v>
      </c>
      <c r="S4" s="75">
        <f>SUMIFS('Offtake Raw'!U:U,'Offtake Raw'!$C:$C,Shave!$D4,'Offtake Raw'!$D:$D,Shave!$E4)/1000000</f>
        <v>0.26185449999999999</v>
      </c>
      <c r="T4" s="75">
        <f>SUMIFS('Offtake Raw'!V:V,'Offtake Raw'!$C:$C,Shave!$D4,'Offtake Raw'!$D:$D,Shave!$E4)/1000000</f>
        <v>0.2212944</v>
      </c>
      <c r="U4" s="75">
        <f>SUMIFS('Offtake Raw'!W:W,'Offtake Raw'!$C:$C,Shave!$D4,'Offtake Raw'!$D:$D,Shave!$E4)/1000000</f>
        <v>0.25091650000000004</v>
      </c>
      <c r="V4" s="75">
        <f>SUMIFS('Offtake Raw'!X:X,'Offtake Raw'!$C:$C,Shave!$D4,'Offtake Raw'!$D:$D,Shave!$E4)/1000000</f>
        <v>0.27884370000000003</v>
      </c>
      <c r="W4" s="75">
        <f>SUMIFS('Offtake Raw'!Y:Y,'Offtake Raw'!$C:$C,Shave!$D4,'Offtake Raw'!$D:$D,Shave!$E4)/1000000</f>
        <v>0.29108609999999996</v>
      </c>
      <c r="X4" s="76">
        <f>SUMIFS('Offtake Raw'!Z:Z,'Offtake Raw'!$C:$C,Shave!$D4,'Offtake Raw'!$D:$D,Shave!$E4)/1000000</f>
        <v>0.29622350000000008</v>
      </c>
      <c r="Y4" s="75">
        <f>SUMIFS('Offtake Raw'!AA:AA,'Offtake Raw'!$C:$C,Shave!$D4,'Offtake Raw'!$D:$D,Shave!$E4)/1000000</f>
        <v>0.22592110000000001</v>
      </c>
      <c r="Z4" s="75">
        <f>SUMIFS('Offtake Raw'!AB:AB,'Offtake Raw'!$C:$C,Shave!$D4,'Offtake Raw'!$D:$D,Shave!$E4)/1000000</f>
        <v>0.24291100000000002</v>
      </c>
      <c r="AA4" s="75">
        <f>SUMIFS('Offtake Raw'!AC:AC,'Offtake Raw'!$C:$C,Shave!$D4,'Offtake Raw'!$D:$D,Shave!$E4)/1000000</f>
        <v>0.32737110000000003</v>
      </c>
      <c r="AB4" s="75">
        <f>SUMIFS('Offtake Raw'!AD:AD,'Offtake Raw'!$C:$C,Shave!$D4,'Offtake Raw'!$D:$D,Shave!$E4)/1000000</f>
        <v>0.28631710000000005</v>
      </c>
      <c r="AC4" s="75">
        <f>SUMIFS('Offtake Raw'!AE:AE,'Offtake Raw'!$C:$C,Shave!$D4,'Offtake Raw'!$D:$D,Shave!$E4)/1000000</f>
        <v>0.35899159999999997</v>
      </c>
      <c r="AD4" s="242">
        <f>SUMIFS('Offtake Raw'!AF:AF,'Offtake Raw'!$C:$C,Shave!$D4,'Offtake Raw'!$D:$D,Shave!$E4)/1000000</f>
        <v>0.23243090000000002</v>
      </c>
      <c r="AE4" s="242">
        <f>SUMIFS('Offtake Raw'!AG:AG,'Offtake Raw'!$C:$C,Shave!$D4,'Offtake Raw'!$D:$D,Shave!$E4)/1000000</f>
        <v>0.37787219999999999</v>
      </c>
      <c r="AF4" s="242">
        <f>SUMIFS('Offtake Raw'!AH:AH,'Offtake Raw'!$C:$C,Shave!$D4,'Offtake Raw'!$D:$D,Shave!$E4)/1000000</f>
        <v>0.29442400000000002</v>
      </c>
      <c r="AG4" s="242">
        <f>SUMIFS('Offtake Raw'!AI:AI,'Offtake Raw'!$C:$C,Shave!$D4,'Offtake Raw'!$D:$D,Shave!$E4)/1000000</f>
        <v>0.28476926666666674</v>
      </c>
      <c r="AH4" s="24">
        <f t="shared" ref="AH4:AI4" si="14">AH13+AH22</f>
        <v>0.28380875</v>
      </c>
      <c r="AI4" s="25">
        <f t="shared" si="14"/>
        <v>0.28380875</v>
      </c>
      <c r="AK4" s="282">
        <v>0.35380875000000001</v>
      </c>
      <c r="AL4" s="263">
        <f t="shared" ref="AL4:AL11" si="15">AG4-AK4</f>
        <v>-6.9039483333333262E-2</v>
      </c>
      <c r="AN4" s="151">
        <f t="shared" si="4"/>
        <v>113.49164629136254</v>
      </c>
      <c r="AO4" s="152">
        <f t="shared" si="5"/>
        <v>116.16197286964285</v>
      </c>
      <c r="AP4" s="152">
        <f t="shared" si="6"/>
        <v>105.32003413341681</v>
      </c>
      <c r="AQ4" s="152">
        <f t="shared" si="7"/>
        <v>136.43118394045257</v>
      </c>
      <c r="AR4" s="152">
        <f t="shared" si="8"/>
        <v>117.22102666155851</v>
      </c>
      <c r="AS4" s="152">
        <f t="shared" si="9"/>
        <v>102.98605068578664</v>
      </c>
      <c r="AT4" s="152">
        <f t="shared" si="10"/>
        <v>103.84243270228136</v>
      </c>
      <c r="AU4" s="152">
        <f t="shared" si="11"/>
        <v>124.96787412308707</v>
      </c>
      <c r="AV4" s="152">
        <f t="shared" si="12"/>
        <v>103.39971572903559</v>
      </c>
      <c r="AW4" s="153">
        <f t="shared" si="13"/>
        <v>113.10606157696994</v>
      </c>
    </row>
    <row r="5" spans="1:49">
      <c r="A5" s="271" t="s">
        <v>77</v>
      </c>
      <c r="B5" s="22" t="s">
        <v>83</v>
      </c>
      <c r="C5" s="22" t="s">
        <v>132</v>
      </c>
      <c r="D5" s="22" t="s">
        <v>132</v>
      </c>
      <c r="E5" s="22" t="s">
        <v>26</v>
      </c>
      <c r="F5" s="72">
        <f>SUMIFS('Offtake Raw'!H:H,'Offtake Raw'!$C:$C,Shave!$D5,'Offtake Raw'!$D:$D,Shave!$E5)/1000000</f>
        <v>7.378564E-2</v>
      </c>
      <c r="G5" s="24">
        <f>SUMIFS('Offtake Raw'!I:I,'Offtake Raw'!$C:$C,Shave!$D5,'Offtake Raw'!$D:$D,Shave!$E5)/1000000</f>
        <v>0.1125134</v>
      </c>
      <c r="H5" s="24">
        <f>SUMIFS('Offtake Raw'!J:J,'Offtake Raw'!$C:$C,Shave!$D5,'Offtake Raw'!$D:$D,Shave!$E5)/1000000</f>
        <v>8.9974584999999996E-2</v>
      </c>
      <c r="I5" s="24">
        <f>SUMIFS('Offtake Raw'!K:K,'Offtake Raw'!$C:$C,Shave!$D5,'Offtake Raw'!$D:$D,Shave!$E5)/1000000</f>
        <v>9.1569049999999999E-2</v>
      </c>
      <c r="J5" s="24">
        <f>SUMIFS('Offtake Raw'!L:L,'Offtake Raw'!$C:$C,Shave!$D5,'Offtake Raw'!$D:$D,Shave!$E5)/1000000</f>
        <v>0.11637944750000001</v>
      </c>
      <c r="K5" s="24">
        <f>SUMIFS('Offtake Raw'!M:M,'Offtake Raw'!$C:$C,Shave!$D5,'Offtake Raw'!$D:$D,Shave!$E5)/1000000</f>
        <v>7.4797394999999989E-2</v>
      </c>
      <c r="L5" s="72">
        <f>SUMIFS('Offtake Raw'!N:N,'Offtake Raw'!$C:$C,Shave!$D5,'Offtake Raw'!$D:$D,Shave!$E5)/1000000</f>
        <v>7.1777042500000013E-2</v>
      </c>
      <c r="M5" s="24">
        <f>SUMIFS('Offtake Raw'!O:O,'Offtake Raw'!$C:$C,Shave!$D5,'Offtake Raw'!$D:$D,Shave!$E5)/1000000</f>
        <v>8.3897529999999998E-2</v>
      </c>
      <c r="N5" s="24">
        <f>SUMIFS('Offtake Raw'!P:P,'Offtake Raw'!$C:$C,Shave!$D5,'Offtake Raw'!$D:$D,Shave!$E5)/1000000</f>
        <v>7.6202205000000023E-2</v>
      </c>
      <c r="O5" s="24">
        <f>SUMIFS('Offtake Raw'!Q:Q,'Offtake Raw'!$C:$C,Shave!$D5,'Offtake Raw'!$D:$D,Shave!$E5)/1000000</f>
        <v>8.1764597500000008E-2</v>
      </c>
      <c r="P5" s="24">
        <f>SUMIFS('Offtake Raw'!R:R,'Offtake Raw'!$C:$C,Shave!$D5,'Offtake Raw'!$D:$D,Shave!$E5)/1000000</f>
        <v>8.70080825E-2</v>
      </c>
      <c r="Q5" s="24">
        <f>SUMIFS('Offtake Raw'!S:S,'Offtake Raw'!$C:$C,Shave!$D5,'Offtake Raw'!$D:$D,Shave!$E5)/1000000</f>
        <v>7.9715785499999997E-2</v>
      </c>
      <c r="R5" s="24">
        <f>SUMIFS('Offtake Raw'!T:T,'Offtake Raw'!$C:$C,Shave!$D5,'Offtake Raw'!$D:$D,Shave!$E5)/1000000</f>
        <v>0.10258435</v>
      </c>
      <c r="S5" s="24">
        <f>SUMIFS('Offtake Raw'!U:U,'Offtake Raw'!$C:$C,Shave!$D5,'Offtake Raw'!$D:$D,Shave!$E5)/1000000</f>
        <v>0.10720177000000002</v>
      </c>
      <c r="T5" s="24">
        <f>SUMIFS('Offtake Raw'!V:V,'Offtake Raw'!$C:$C,Shave!$D5,'Offtake Raw'!$D:$D,Shave!$E5)/1000000</f>
        <v>7.4333399000000008E-2</v>
      </c>
      <c r="U5" s="24">
        <f>SUMIFS('Offtake Raw'!W:W,'Offtake Raw'!$C:$C,Shave!$D5,'Offtake Raw'!$D:$D,Shave!$E5)/1000000</f>
        <v>7.7995449999999994E-2</v>
      </c>
      <c r="V5" s="24">
        <f>SUMIFS('Offtake Raw'!X:X,'Offtake Raw'!$C:$C,Shave!$D5,'Offtake Raw'!$D:$D,Shave!$E5)/1000000</f>
        <v>9.1809619000000009E-2</v>
      </c>
      <c r="W5" s="24">
        <f>SUMIFS('Offtake Raw'!Y:Y,'Offtake Raw'!$C:$C,Shave!$D5,'Offtake Raw'!$D:$D,Shave!$E5)/1000000</f>
        <v>7.0780847000000008E-2</v>
      </c>
      <c r="X5" s="72">
        <f>SUMIFS('Offtake Raw'!Z:Z,'Offtake Raw'!$C:$C,Shave!$D5,'Offtake Raw'!$D:$D,Shave!$E5)/1000000</f>
        <v>8.6770658000000014E-2</v>
      </c>
      <c r="Y5" s="24">
        <f>SUMIFS('Offtake Raw'!AA:AA,'Offtake Raw'!$C:$C,Shave!$D5,'Offtake Raw'!$D:$D,Shave!$E5)/1000000</f>
        <v>7.1136568500000011E-2</v>
      </c>
      <c r="Z5" s="24">
        <f>SUMIFS('Offtake Raw'!AB:AB,'Offtake Raw'!$C:$C,Shave!$D5,'Offtake Raw'!$D:$D,Shave!$E5)/1000000</f>
        <v>6.5011037500000007E-2</v>
      </c>
      <c r="AA5" s="24">
        <f>SUMIFS('Offtake Raw'!AC:AC,'Offtake Raw'!$C:$C,Shave!$D5,'Offtake Raw'!$D:$D,Shave!$E5)/1000000</f>
        <v>9.8184472500000022E-2</v>
      </c>
      <c r="AB5" s="24">
        <f>SUMIFS('Offtake Raw'!AD:AD,'Offtake Raw'!$C:$C,Shave!$D5,'Offtake Raw'!$D:$D,Shave!$E5)/1000000</f>
        <v>7.0863906000000004E-2</v>
      </c>
      <c r="AC5" s="24">
        <f>SUMIFS('Offtake Raw'!AE:AE,'Offtake Raw'!$C:$C,Shave!$D5,'Offtake Raw'!$D:$D,Shave!$E5)/1000000</f>
        <v>0.10434815200000001</v>
      </c>
      <c r="AD5" s="24">
        <f>SUMIFS('Offtake Raw'!AF:AF,'Offtake Raw'!$C:$C,Shave!$D5,'Offtake Raw'!$D:$D,Shave!$E5)/1000000</f>
        <v>9.1343542999999999E-2</v>
      </c>
      <c r="AE5" s="24">
        <f>SUMIFS('Offtake Raw'!AG:AG,'Offtake Raw'!$C:$C,Shave!$D5,'Offtake Raw'!$D:$D,Shave!$E5)/1000000</f>
        <v>0.20903666800000001</v>
      </c>
      <c r="AF5" s="24">
        <f>SUMIFS('Offtake Raw'!AH:AH,'Offtake Raw'!$C:$C,Shave!$D5,'Offtake Raw'!$D:$D,Shave!$E5)/1000000</f>
        <v>0.14203734350000002</v>
      </c>
      <c r="AG5" s="24">
        <f>SUMIFS('Offtake Raw'!AI:AI,'Offtake Raw'!$C:$C,Shave!$D5,'Offtake Raw'!$D:$D,Shave!$E5)/1000000</f>
        <v>0.1849877301666667</v>
      </c>
      <c r="AH5" s="24">
        <f t="shared" ref="AH5:AI5" si="16">AH14+AH23</f>
        <v>7.8872641416666667E-2</v>
      </c>
      <c r="AI5" s="25">
        <f t="shared" si="16"/>
        <v>7.8872641416666667E-2</v>
      </c>
      <c r="AK5" s="282">
        <v>7.8872641416666667E-2</v>
      </c>
      <c r="AL5" s="263">
        <f t="shared" si="15"/>
        <v>0.10611508875000003</v>
      </c>
      <c r="AN5" s="154">
        <f t="shared" si="4"/>
        <v>237.17759198346405</v>
      </c>
      <c r="AO5" s="147">
        <f t="shared" si="5"/>
        <v>133.38237066708302</v>
      </c>
      <c r="AP5" s="147">
        <f t="shared" si="6"/>
        <v>173.26135022787929</v>
      </c>
      <c r="AQ5" s="147">
        <f t="shared" si="7"/>
        <v>96.136519751314907</v>
      </c>
      <c r="AR5" s="147">
        <f t="shared" si="8"/>
        <v>110.0238314683464</v>
      </c>
      <c r="AS5" s="147">
        <f t="shared" si="9"/>
        <v>155.7152975822122</v>
      </c>
      <c r="AT5" s="147">
        <f t="shared" si="10"/>
        <v>142.45763787768857</v>
      </c>
      <c r="AU5" s="147">
        <f t="shared" si="11"/>
        <v>103.3202967392876</v>
      </c>
      <c r="AV5" s="147">
        <f t="shared" si="12"/>
        <v>149.63644649497482</v>
      </c>
      <c r="AW5" s="155">
        <f t="shared" si="13"/>
        <v>127.50002463010868</v>
      </c>
    </row>
    <row r="6" spans="1:49">
      <c r="A6" s="271" t="s">
        <v>77</v>
      </c>
      <c r="B6" s="22" t="s">
        <v>83</v>
      </c>
      <c r="C6" s="22" t="s">
        <v>132</v>
      </c>
      <c r="D6" s="22" t="s">
        <v>132</v>
      </c>
      <c r="E6" s="22" t="s">
        <v>28</v>
      </c>
      <c r="F6" s="72">
        <f>SUMIFS('Offtake Raw'!H:H,'Offtake Raw'!$C:$C,Shave!$D6,'Offtake Raw'!$D:$D,Shave!$E6)/1000000</f>
        <v>0.31906349000000001</v>
      </c>
      <c r="G6" s="24">
        <f>SUMIFS('Offtake Raw'!I:I,'Offtake Raw'!$C:$C,Shave!$D6,'Offtake Raw'!$D:$D,Shave!$E6)/1000000</f>
        <v>0.44302744399999999</v>
      </c>
      <c r="H6" s="24">
        <f>SUMIFS('Offtake Raw'!J:J,'Offtake Raw'!$C:$C,Shave!$D6,'Offtake Raw'!$D:$D,Shave!$E6)/1000000</f>
        <v>0.28108687533333326</v>
      </c>
      <c r="I6" s="24">
        <f>SUMIFS('Offtake Raw'!K:K,'Offtake Raw'!$C:$C,Shave!$D6,'Offtake Raw'!$D:$D,Shave!$E6)/1000000</f>
        <v>0.29388420100000001</v>
      </c>
      <c r="J6" s="24">
        <f>SUMIFS('Offtake Raw'!L:L,'Offtake Raw'!$C:$C,Shave!$D6,'Offtake Raw'!$D:$D,Shave!$E6)/1000000</f>
        <v>0.31797066433333332</v>
      </c>
      <c r="K6" s="24">
        <f>SUMIFS('Offtake Raw'!M:M,'Offtake Raw'!$C:$C,Shave!$D6,'Offtake Raw'!$D:$D,Shave!$E6)/1000000</f>
        <v>0.30654800783333336</v>
      </c>
      <c r="L6" s="72">
        <f>SUMIFS('Offtake Raw'!N:N,'Offtake Raw'!$C:$C,Shave!$D6,'Offtake Raw'!$D:$D,Shave!$E6)/1000000</f>
        <v>0.32849307833333335</v>
      </c>
      <c r="M6" s="24">
        <f>SUMIFS('Offtake Raw'!O:O,'Offtake Raw'!$C:$C,Shave!$D6,'Offtake Raw'!$D:$D,Shave!$E6)/1000000</f>
        <v>0.31719498216666664</v>
      </c>
      <c r="N6" s="24">
        <f>SUMIFS('Offtake Raw'!P:P,'Offtake Raw'!$C:$C,Shave!$D6,'Offtake Raw'!$D:$D,Shave!$E6)/1000000</f>
        <v>0.24527971783333333</v>
      </c>
      <c r="O6" s="24">
        <f>SUMIFS('Offtake Raw'!Q:Q,'Offtake Raw'!$C:$C,Shave!$D6,'Offtake Raw'!$D:$D,Shave!$E6)/1000000</f>
        <v>0.24412490766666667</v>
      </c>
      <c r="P6" s="24">
        <f>SUMIFS('Offtake Raw'!R:R,'Offtake Raw'!$C:$C,Shave!$D6,'Offtake Raw'!$D:$D,Shave!$E6)/1000000</f>
        <v>0.27764793966666662</v>
      </c>
      <c r="Q6" s="24">
        <f>SUMIFS('Offtake Raw'!S:S,'Offtake Raw'!$C:$C,Shave!$D6,'Offtake Raw'!$D:$D,Shave!$E6)/1000000</f>
        <v>0.25618239749999994</v>
      </c>
      <c r="R6" s="24">
        <f>SUMIFS('Offtake Raw'!T:T,'Offtake Raw'!$C:$C,Shave!$D6,'Offtake Raw'!$D:$D,Shave!$E6)/1000000</f>
        <v>0.27144672533333336</v>
      </c>
      <c r="S6" s="24">
        <f>SUMIFS('Offtake Raw'!U:U,'Offtake Raw'!$C:$C,Shave!$D6,'Offtake Raw'!$D:$D,Shave!$E6)/1000000</f>
        <v>0.25614712283333335</v>
      </c>
      <c r="T6" s="24">
        <f>SUMIFS('Offtake Raw'!V:V,'Offtake Raw'!$C:$C,Shave!$D6,'Offtake Raw'!$D:$D,Shave!$E6)/1000000</f>
        <v>0.19110029766666667</v>
      </c>
      <c r="U6" s="24">
        <f>SUMIFS('Offtake Raw'!W:W,'Offtake Raw'!$C:$C,Shave!$D6,'Offtake Raw'!$D:$D,Shave!$E6)/1000000</f>
        <v>0.16439383133333332</v>
      </c>
      <c r="V6" s="24">
        <f>SUMIFS('Offtake Raw'!X:X,'Offtake Raw'!$C:$C,Shave!$D6,'Offtake Raw'!$D:$D,Shave!$E6)/1000000</f>
        <v>0.19005975083333335</v>
      </c>
      <c r="W6" s="24">
        <f>SUMIFS('Offtake Raw'!Y:Y,'Offtake Raw'!$C:$C,Shave!$D6,'Offtake Raw'!$D:$D,Shave!$E6)/1000000</f>
        <v>0.12170267699999998</v>
      </c>
      <c r="X6" s="72">
        <f>SUMIFS('Offtake Raw'!Z:Z,'Offtake Raw'!$C:$C,Shave!$D6,'Offtake Raw'!$D:$D,Shave!$E6)/1000000</f>
        <v>0.16715218833333331</v>
      </c>
      <c r="Y6" s="24">
        <f>SUMIFS('Offtake Raw'!AA:AA,'Offtake Raw'!$C:$C,Shave!$D6,'Offtake Raw'!$D:$D,Shave!$E6)/1000000</f>
        <v>0.18683956200000001</v>
      </c>
      <c r="Z6" s="24">
        <f>SUMIFS('Offtake Raw'!AB:AB,'Offtake Raw'!$C:$C,Shave!$D6,'Offtake Raw'!$D:$D,Shave!$E6)/1000000</f>
        <v>0.16413397683333336</v>
      </c>
      <c r="AA6" s="24">
        <f>SUMIFS('Offtake Raw'!AC:AC,'Offtake Raw'!$C:$C,Shave!$D6,'Offtake Raw'!$D:$D,Shave!$E6)/1000000</f>
        <v>0.24910371999999997</v>
      </c>
      <c r="AB6" s="24">
        <f>SUMIFS('Offtake Raw'!AD:AD,'Offtake Raw'!$C:$C,Shave!$D6,'Offtake Raw'!$D:$D,Shave!$E6)/1000000</f>
        <v>0.21431916000000004</v>
      </c>
      <c r="AC6" s="24">
        <f>SUMIFS('Offtake Raw'!AE:AE,'Offtake Raw'!$C:$C,Shave!$D6,'Offtake Raw'!$D:$D,Shave!$E6)/1000000</f>
        <v>0.25989978000000002</v>
      </c>
      <c r="AD6" s="24">
        <f>SUMIFS('Offtake Raw'!AF:AF,'Offtake Raw'!$C:$C,Shave!$D6,'Offtake Raw'!$D:$D,Shave!$E6)/1000000</f>
        <v>0.17613825850000003</v>
      </c>
      <c r="AE6" s="24">
        <f>SUMIFS('Offtake Raw'!AG:AG,'Offtake Raw'!$C:$C,Shave!$D6,'Offtake Raw'!$D:$D,Shave!$E6)/1000000</f>
        <v>0.21524621850000006</v>
      </c>
      <c r="AF6" s="24">
        <f>SUMIFS('Offtake Raw'!AH:AH,'Offtake Raw'!$C:$C,Shave!$D6,'Offtake Raw'!$D:$D,Shave!$E6)/1000000</f>
        <v>0.15310816000000002</v>
      </c>
      <c r="AG6" s="24">
        <f>SUMIFS('Offtake Raw'!AI:AI,'Offtake Raw'!$C:$C,Shave!$D6,'Offtake Raw'!$D:$D,Shave!$E6)/1000000</f>
        <v>0.21238251537037039</v>
      </c>
      <c r="AH6" s="24">
        <f t="shared" ref="AH6:AI6" si="17">AH15+AH24</f>
        <v>0.20319639536111112</v>
      </c>
      <c r="AI6" s="25">
        <f t="shared" si="17"/>
        <v>0.20319639536111112</v>
      </c>
      <c r="AK6" s="282">
        <v>0.20319639536111112</v>
      </c>
      <c r="AL6" s="263">
        <f t="shared" si="15"/>
        <v>9.1861200092592799E-3</v>
      </c>
      <c r="AN6" s="154">
        <f t="shared" si="4"/>
        <v>129.19129242734954</v>
      </c>
      <c r="AO6" s="147">
        <f t="shared" si="5"/>
        <v>78.303876404765688</v>
      </c>
      <c r="AP6" s="147">
        <f t="shared" si="6"/>
        <v>85.70778585376712</v>
      </c>
      <c r="AQ6" s="147">
        <f t="shared" si="7"/>
        <v>58.153138616963865</v>
      </c>
      <c r="AR6" s="147">
        <f t="shared" si="8"/>
        <v>92.977412878675608</v>
      </c>
      <c r="AS6" s="147">
        <f t="shared" si="9"/>
        <v>75.761384749927984</v>
      </c>
      <c r="AT6" s="147">
        <f t="shared" si="10"/>
        <v>129.95215208879691</v>
      </c>
      <c r="AU6" s="147">
        <f t="shared" si="11"/>
        <v>74.386198160961541</v>
      </c>
      <c r="AV6" s="147">
        <f t="shared" si="12"/>
        <v>97.356785269917765</v>
      </c>
      <c r="AW6" s="155">
        <f t="shared" si="13"/>
        <v>83.970201923366318</v>
      </c>
    </row>
    <row r="7" spans="1:49">
      <c r="A7" s="271" t="s">
        <v>77</v>
      </c>
      <c r="B7" s="22" t="s">
        <v>83</v>
      </c>
      <c r="C7" s="22" t="s">
        <v>132</v>
      </c>
      <c r="D7" s="22" t="s">
        <v>132</v>
      </c>
      <c r="E7" s="22" t="s">
        <v>129</v>
      </c>
      <c r="F7" s="72">
        <f>SUMIFS('Offtake Raw'!H:H,'Offtake Raw'!$C:$C,Shave!$D7,'Offtake Raw'!$D:$D,Shave!$E7)/1000000</f>
        <v>0.15935036666666666</v>
      </c>
      <c r="G7" s="24">
        <f>SUMIFS('Offtake Raw'!I:I,'Offtake Raw'!$C:$C,Shave!$D7,'Offtake Raw'!$D:$D,Shave!$E7)/1000000</f>
        <v>0.23963785666666665</v>
      </c>
      <c r="H7" s="24">
        <f>SUMIFS('Offtake Raw'!J:J,'Offtake Raw'!$C:$C,Shave!$D7,'Offtake Raw'!$D:$D,Shave!$E7)/1000000</f>
        <v>0.14107026083333332</v>
      </c>
      <c r="I7" s="24">
        <f>SUMIFS('Offtake Raw'!K:K,'Offtake Raw'!$C:$C,Shave!$D7,'Offtake Raw'!$D:$D,Shave!$E7)/1000000</f>
        <v>0.168355175</v>
      </c>
      <c r="J7" s="24">
        <f>SUMIFS('Offtake Raw'!L:L,'Offtake Raw'!$C:$C,Shave!$D7,'Offtake Raw'!$D:$D,Shave!$E7)/1000000</f>
        <v>0.20358968333333333</v>
      </c>
      <c r="K7" s="24">
        <f>SUMIFS('Offtake Raw'!M:M,'Offtake Raw'!$C:$C,Shave!$D7,'Offtake Raw'!$D:$D,Shave!$E7)/1000000</f>
        <v>0.16360534416666664</v>
      </c>
      <c r="L7" s="72">
        <f>SUMIFS('Offtake Raw'!N:N,'Offtake Raw'!$C:$C,Shave!$D7,'Offtake Raw'!$D:$D,Shave!$E7)/1000000</f>
        <v>0.15735514666666667</v>
      </c>
      <c r="M7" s="24">
        <f>SUMIFS('Offtake Raw'!O:O,'Offtake Raw'!$C:$C,Shave!$D7,'Offtake Raw'!$D:$D,Shave!$E7)/1000000</f>
        <v>0.1797188158333333</v>
      </c>
      <c r="N7" s="24">
        <f>SUMIFS('Offtake Raw'!P:P,'Offtake Raw'!$C:$C,Shave!$D7,'Offtake Raw'!$D:$D,Shave!$E7)/1000000</f>
        <v>0.14446128083333332</v>
      </c>
      <c r="O7" s="24">
        <f>SUMIFS('Offtake Raw'!Q:Q,'Offtake Raw'!$C:$C,Shave!$D7,'Offtake Raw'!$D:$D,Shave!$E7)/1000000</f>
        <v>0.18589022250000001</v>
      </c>
      <c r="P7" s="24">
        <f>SUMIFS('Offtake Raw'!R:R,'Offtake Raw'!$C:$C,Shave!$D7,'Offtake Raw'!$D:$D,Shave!$E7)/1000000</f>
        <v>0.18086504749999999</v>
      </c>
      <c r="Q7" s="24">
        <f>SUMIFS('Offtake Raw'!S:S,'Offtake Raw'!$C:$C,Shave!$D7,'Offtake Raw'!$D:$D,Shave!$E7)/1000000</f>
        <v>0.18109982249999998</v>
      </c>
      <c r="R7" s="24">
        <f>SUMIFS('Offtake Raw'!T:T,'Offtake Raw'!$C:$C,Shave!$D7,'Offtake Raw'!$D:$D,Shave!$E7)/1000000</f>
        <v>0.24204629750000001</v>
      </c>
      <c r="S7" s="24">
        <f>SUMIFS('Offtake Raw'!U:U,'Offtake Raw'!$C:$C,Shave!$D7,'Offtake Raw'!$D:$D,Shave!$E7)/1000000</f>
        <v>0.17541446999999996</v>
      </c>
      <c r="T7" s="24">
        <f>SUMIFS('Offtake Raw'!V:V,'Offtake Raw'!$C:$C,Shave!$D7,'Offtake Raw'!$D:$D,Shave!$E7)/1000000</f>
        <v>0.19168112500000001</v>
      </c>
      <c r="U7" s="24">
        <f>SUMIFS('Offtake Raw'!W:W,'Offtake Raw'!$C:$C,Shave!$D7,'Offtake Raw'!$D:$D,Shave!$E7)/1000000</f>
        <v>0.20513086999999999</v>
      </c>
      <c r="V7" s="24">
        <f>SUMIFS('Offtake Raw'!X:X,'Offtake Raw'!$C:$C,Shave!$D7,'Offtake Raw'!$D:$D,Shave!$E7)/1000000</f>
        <v>0.26495958999999997</v>
      </c>
      <c r="W7" s="24">
        <f>SUMIFS('Offtake Raw'!Y:Y,'Offtake Raw'!$C:$C,Shave!$D7,'Offtake Raw'!$D:$D,Shave!$E7)/1000000</f>
        <v>0.24461830499999998</v>
      </c>
      <c r="X7" s="72">
        <f>SUMIFS('Offtake Raw'!Z:Z,'Offtake Raw'!$C:$C,Shave!$D7,'Offtake Raw'!$D:$D,Shave!$E7)/1000000</f>
        <v>0.34257997749999997</v>
      </c>
      <c r="Y7" s="24">
        <f>SUMIFS('Offtake Raw'!AA:AA,'Offtake Raw'!$C:$C,Shave!$D7,'Offtake Raw'!$D:$D,Shave!$E7)/1000000</f>
        <v>0.21343640249999996</v>
      </c>
      <c r="Z7" s="24">
        <f>SUMIFS('Offtake Raw'!AB:AB,'Offtake Raw'!$C:$C,Shave!$D7,'Offtake Raw'!$D:$D,Shave!$E7)/1000000</f>
        <v>0.22847298750000003</v>
      </c>
      <c r="AA7" s="24">
        <f>SUMIFS('Offtake Raw'!AC:AC,'Offtake Raw'!$C:$C,Shave!$D7,'Offtake Raw'!$D:$D,Shave!$E7)/1000000</f>
        <v>0.2353823075</v>
      </c>
      <c r="AB7" s="24">
        <f>SUMIFS('Offtake Raw'!AD:AD,'Offtake Raw'!$C:$C,Shave!$D7,'Offtake Raw'!$D:$D,Shave!$E7)/1000000</f>
        <v>0.20671515000000001</v>
      </c>
      <c r="AC7" s="24">
        <f>SUMIFS('Offtake Raw'!AE:AE,'Offtake Raw'!$C:$C,Shave!$D7,'Offtake Raw'!$D:$D,Shave!$E7)/1000000</f>
        <v>0.26919020999999999</v>
      </c>
      <c r="AD7" s="24">
        <f>SUMIFS('Offtake Raw'!AF:AF,'Offtake Raw'!$C:$C,Shave!$D7,'Offtake Raw'!$D:$D,Shave!$E7)/1000000</f>
        <v>0.19956228000000001</v>
      </c>
      <c r="AE7" s="24">
        <f>SUMIFS('Offtake Raw'!AG:AG,'Offtake Raw'!$C:$C,Shave!$D7,'Offtake Raw'!$D:$D,Shave!$E7)/1000000</f>
        <v>0.22820109249999998</v>
      </c>
      <c r="AF7" s="24">
        <f>SUMIFS('Offtake Raw'!AH:AH,'Offtake Raw'!$C:$C,Shave!$D7,'Offtake Raw'!$D:$D,Shave!$E7)/1000000</f>
        <v>0.16995612999999998</v>
      </c>
      <c r="AG7" s="24">
        <f>SUMIFS('Offtake Raw'!AI:AI,'Offtake Raw'!$C:$C,Shave!$D7,'Offtake Raw'!$D:$D,Shave!$E7)/1000000</f>
        <v>0.24426806388888886</v>
      </c>
      <c r="AH7" s="24">
        <f t="shared" ref="AH7:AI7" si="18">AH16+AH25</f>
        <v>0.2431485383333333</v>
      </c>
      <c r="AI7" s="25">
        <f t="shared" si="18"/>
        <v>0.2431485383333333</v>
      </c>
      <c r="AK7" s="282">
        <v>0.2431485383333333</v>
      </c>
      <c r="AL7" s="263">
        <f t="shared" si="15"/>
        <v>1.1195255555555561E-3</v>
      </c>
      <c r="AN7" s="154">
        <f t="shared" si="4"/>
        <v>119.07913415903168</v>
      </c>
      <c r="AO7" s="147">
        <f t="shared" si="5"/>
        <v>126.79998875620073</v>
      </c>
      <c r="AP7" s="147">
        <f t="shared" si="6"/>
        <v>103.4036265444761</v>
      </c>
      <c r="AQ7" s="147">
        <f t="shared" si="7"/>
        <v>162.91421622008934</v>
      </c>
      <c r="AR7" s="147">
        <f t="shared" si="8"/>
        <v>129.83135088773497</v>
      </c>
      <c r="AS7" s="147">
        <f t="shared" si="9"/>
        <v>98.124839197461696</v>
      </c>
      <c r="AT7" s="147">
        <f t="shared" si="10"/>
        <v>102.21857857802479</v>
      </c>
      <c r="AU7" s="147">
        <f t="shared" si="11"/>
        <v>145.30707963069307</v>
      </c>
      <c r="AV7" s="147">
        <f t="shared" si="12"/>
        <v>100.33493094787059</v>
      </c>
      <c r="AW7" s="155">
        <f t="shared" si="13"/>
        <v>120.00732972339185</v>
      </c>
    </row>
    <row r="8" spans="1:49">
      <c r="A8" s="271" t="s">
        <v>77</v>
      </c>
      <c r="B8" s="22" t="s">
        <v>83</v>
      </c>
      <c r="C8" s="22" t="s">
        <v>132</v>
      </c>
      <c r="D8" s="22" t="s">
        <v>132</v>
      </c>
      <c r="E8" s="22" t="s">
        <v>29</v>
      </c>
      <c r="F8" s="72">
        <f>SUMIFS('Offtake Raw'!H:H,'Offtake Raw'!$C:$C,Shave!$D8,'Offtake Raw'!$D:$D,Shave!$E8)/1000000</f>
        <v>3.48744E-2</v>
      </c>
      <c r="G8" s="24">
        <f>SUMIFS('Offtake Raw'!I:I,'Offtake Raw'!$C:$C,Shave!$D8,'Offtake Raw'!$D:$D,Shave!$E8)/1000000</f>
        <v>5.3775999999999997E-2</v>
      </c>
      <c r="H8" s="24">
        <f>SUMIFS('Offtake Raw'!J:J,'Offtake Raw'!$C:$C,Shave!$D8,'Offtake Raw'!$D:$D,Shave!$E8)/1000000</f>
        <v>3.9329099999999999E-2</v>
      </c>
      <c r="I8" s="24">
        <f>SUMIFS('Offtake Raw'!K:K,'Offtake Raw'!$C:$C,Shave!$D8,'Offtake Raw'!$D:$D,Shave!$E8)/1000000</f>
        <v>4.3947800000000002E-2</v>
      </c>
      <c r="J8" s="24">
        <f>SUMIFS('Offtake Raw'!L:L,'Offtake Raw'!$C:$C,Shave!$D8,'Offtake Raw'!$D:$D,Shave!$E8)/1000000</f>
        <v>5.1544699999999999E-2</v>
      </c>
      <c r="K8" s="24">
        <f>SUMIFS('Offtake Raw'!M:M,'Offtake Raw'!$C:$C,Shave!$D8,'Offtake Raw'!$D:$D,Shave!$E8)/1000000</f>
        <v>4.5851099999999999E-2</v>
      </c>
      <c r="L8" s="72">
        <f>SUMIFS('Offtake Raw'!N:N,'Offtake Raw'!$C:$C,Shave!$D8,'Offtake Raw'!$D:$D,Shave!$E8)/1000000</f>
        <v>3.4349299999999992E-2</v>
      </c>
      <c r="M8" s="24">
        <f>SUMIFS('Offtake Raw'!O:O,'Offtake Raw'!$C:$C,Shave!$D8,'Offtake Raw'!$D:$D,Shave!$E8)/1000000</f>
        <v>4.4407199999999994E-2</v>
      </c>
      <c r="N8" s="24">
        <f>SUMIFS('Offtake Raw'!P:P,'Offtake Raw'!$C:$C,Shave!$D8,'Offtake Raw'!$D:$D,Shave!$E8)/1000000</f>
        <v>4.5203E-2</v>
      </c>
      <c r="O8" s="24">
        <f>SUMIFS('Offtake Raw'!Q:Q,'Offtake Raw'!$C:$C,Shave!$D8,'Offtake Raw'!$D:$D,Shave!$E8)/1000000</f>
        <v>3.1838900000000003E-2</v>
      </c>
      <c r="P8" s="24">
        <f>SUMIFS('Offtake Raw'!R:R,'Offtake Raw'!$C:$C,Shave!$D8,'Offtake Raw'!$D:$D,Shave!$E8)/1000000</f>
        <v>3.9870500000000003E-2</v>
      </c>
      <c r="Q8" s="24">
        <f>SUMIFS('Offtake Raw'!S:S,'Offtake Raw'!$C:$C,Shave!$D8,'Offtake Raw'!$D:$D,Shave!$E8)/1000000</f>
        <v>3.739224E-2</v>
      </c>
      <c r="R8" s="24">
        <f>SUMIFS('Offtake Raw'!T:T,'Offtake Raw'!$C:$C,Shave!$D8,'Offtake Raw'!$D:$D,Shave!$E8)/1000000</f>
        <v>4.2656219999999995E-2</v>
      </c>
      <c r="S8" s="24">
        <f>SUMIFS('Offtake Raw'!U:U,'Offtake Raw'!$C:$C,Shave!$D8,'Offtake Raw'!$D:$D,Shave!$E8)/1000000</f>
        <v>4.3802840000000003E-2</v>
      </c>
      <c r="T8" s="24">
        <f>SUMIFS('Offtake Raw'!V:V,'Offtake Raw'!$C:$C,Shave!$D8,'Offtake Raw'!$D:$D,Shave!$E8)/1000000</f>
        <v>2.67002E-2</v>
      </c>
      <c r="U8" s="24">
        <f>SUMIFS('Offtake Raw'!W:W,'Offtake Raw'!$C:$C,Shave!$D8,'Offtake Raw'!$D:$D,Shave!$E8)/1000000</f>
        <v>2.4658060000000002E-2</v>
      </c>
      <c r="V8" s="24">
        <f>SUMIFS('Offtake Raw'!X:X,'Offtake Raw'!$C:$C,Shave!$D8,'Offtake Raw'!$D:$D,Shave!$E8)/1000000</f>
        <v>3.2294059999999999E-2</v>
      </c>
      <c r="W8" s="24">
        <f>SUMIFS('Offtake Raw'!Y:Y,'Offtake Raw'!$C:$C,Shave!$D8,'Offtake Raw'!$D:$D,Shave!$E8)/1000000</f>
        <v>2.7215960000000001E-2</v>
      </c>
      <c r="X8" s="72">
        <f>SUMIFS('Offtake Raw'!Z:Z,'Offtake Raw'!$C:$C,Shave!$D8,'Offtake Raw'!$D:$D,Shave!$E8)/1000000</f>
        <v>2.763436E-2</v>
      </c>
      <c r="Y8" s="24">
        <f>SUMIFS('Offtake Raw'!AA:AA,'Offtake Raw'!$C:$C,Shave!$D8,'Offtake Raw'!$D:$D,Shave!$E8)/1000000</f>
        <v>1.7897960000000004E-2</v>
      </c>
      <c r="Z8" s="24">
        <f>SUMIFS('Offtake Raw'!AB:AB,'Offtake Raw'!$C:$C,Shave!$D8,'Offtake Raw'!$D:$D,Shave!$E8)/1000000</f>
        <v>2.354028E-2</v>
      </c>
      <c r="AA8" s="24">
        <f>SUMIFS('Offtake Raw'!AC:AC,'Offtake Raw'!$C:$C,Shave!$D8,'Offtake Raw'!$D:$D,Shave!$E8)/1000000</f>
        <v>2.9306540000000002E-2</v>
      </c>
      <c r="AB8" s="24">
        <f>SUMIFS('Offtake Raw'!AD:AD,'Offtake Raw'!$C:$C,Shave!$D8,'Offtake Raw'!$D:$D,Shave!$E8)/1000000</f>
        <v>2.8944040000000001E-2</v>
      </c>
      <c r="AC8" s="24">
        <f>SUMIFS('Offtake Raw'!AE:AE,'Offtake Raw'!$C:$C,Shave!$D8,'Offtake Raw'!$D:$D,Shave!$E8)/1000000</f>
        <v>2.1523780000000003E-2</v>
      </c>
      <c r="AD8" s="24">
        <f>SUMIFS('Offtake Raw'!AF:AF,'Offtake Raw'!$C:$C,Shave!$D8,'Offtake Raw'!$D:$D,Shave!$E8)/1000000</f>
        <v>2.3392580000000003E-2</v>
      </c>
      <c r="AE8" s="24">
        <f>SUMIFS('Offtake Raw'!AG:AG,'Offtake Raw'!$C:$C,Shave!$D8,'Offtake Raw'!$D:$D,Shave!$E8)/1000000</f>
        <v>2.1943579999999997E-2</v>
      </c>
      <c r="AF8" s="24">
        <f>SUMIFS('Offtake Raw'!AH:AH,'Offtake Raw'!$C:$C,Shave!$D8,'Offtake Raw'!$D:$D,Shave!$E8)/1000000</f>
        <v>1.5774760000000002E-2</v>
      </c>
      <c r="AG8" s="24">
        <f>SUMIFS('Offtake Raw'!AI:AI,'Offtake Raw'!$C:$C,Shave!$D8,'Offtake Raw'!$D:$D,Shave!$E8)/1000000</f>
        <v>2.3106397777777777E-2</v>
      </c>
      <c r="AH8" s="24">
        <f t="shared" ref="AH8:AI8" si="19">AH17+AH26</f>
        <v>2.2121246666666667E-2</v>
      </c>
      <c r="AI8" s="25">
        <f t="shared" si="19"/>
        <v>2.2121246666666667E-2</v>
      </c>
      <c r="AK8" s="282">
        <v>2.2121246666666667E-2</v>
      </c>
      <c r="AL8" s="263">
        <f t="shared" si="15"/>
        <v>9.8515111111110998E-4</v>
      </c>
      <c r="AN8" s="154">
        <f t="shared" si="4"/>
        <v>93.7072818290562</v>
      </c>
      <c r="AO8" s="147">
        <f t="shared" si="5"/>
        <v>62.841146875388176</v>
      </c>
      <c r="AP8" s="147">
        <f t="shared" si="6"/>
        <v>61.107934603413973</v>
      </c>
      <c r="AQ8" s="147">
        <f t="shared" si="7"/>
        <v>55.721909171947303</v>
      </c>
      <c r="AR8" s="147">
        <f t="shared" si="8"/>
        <v>73.11930416444703</v>
      </c>
      <c r="AS8" s="147">
        <f t="shared" si="9"/>
        <v>54.004347501035269</v>
      </c>
      <c r="AT8" s="147">
        <f t="shared" si="10"/>
        <v>80.01714083428196</v>
      </c>
      <c r="AU8" s="147">
        <f t="shared" si="11"/>
        <v>63.866056778062621</v>
      </c>
      <c r="AV8" s="147">
        <f t="shared" si="12"/>
        <v>65.099854440398914</v>
      </c>
      <c r="AW8" s="155">
        <f t="shared" si="13"/>
        <v>64.431736442181503</v>
      </c>
    </row>
    <row r="9" spans="1:49">
      <c r="A9" s="271" t="s">
        <v>77</v>
      </c>
      <c r="B9" s="22" t="s">
        <v>83</v>
      </c>
      <c r="C9" s="22" t="s">
        <v>132</v>
      </c>
      <c r="D9" s="22" t="s">
        <v>132</v>
      </c>
      <c r="E9" s="22" t="s">
        <v>30</v>
      </c>
      <c r="F9" s="72">
        <f>SUMIFS('Offtake Raw'!H:H,'Offtake Raw'!$C:$C,Shave!$D9,'Offtake Raw'!$D:$D,Shave!$E9)/1000000</f>
        <v>3.2496449999999996E-2</v>
      </c>
      <c r="G9" s="24">
        <f>SUMIFS('Offtake Raw'!I:I,'Offtake Raw'!$C:$C,Shave!$D9,'Offtake Raw'!$D:$D,Shave!$E9)/1000000</f>
        <v>0.10286914999999999</v>
      </c>
      <c r="H9" s="24">
        <f>SUMIFS('Offtake Raw'!J:J,'Offtake Raw'!$C:$C,Shave!$D9,'Offtake Raw'!$D:$D,Shave!$E9)/1000000</f>
        <v>8.3158737499999996E-2</v>
      </c>
      <c r="I9" s="24">
        <f>SUMIFS('Offtake Raw'!K:K,'Offtake Raw'!$C:$C,Shave!$D9,'Offtake Raw'!$D:$D,Shave!$E9)/1000000</f>
        <v>7.4419387500000003E-2</v>
      </c>
      <c r="J9" s="24">
        <f>SUMIFS('Offtake Raw'!L:L,'Offtake Raw'!$C:$C,Shave!$D9,'Offtake Raw'!$D:$D,Shave!$E9)/1000000</f>
        <v>6.6061462500000001E-2</v>
      </c>
      <c r="K9" s="24">
        <f>SUMIFS('Offtake Raw'!M:M,'Offtake Raw'!$C:$C,Shave!$D9,'Offtake Raw'!$D:$D,Shave!$E9)/1000000</f>
        <v>5.6899862500000002E-2</v>
      </c>
      <c r="L9" s="72">
        <f>SUMIFS('Offtake Raw'!N:N,'Offtake Raw'!$C:$C,Shave!$D9,'Offtake Raw'!$D:$D,Shave!$E9)/1000000</f>
        <v>5.6927150000000003E-2</v>
      </c>
      <c r="M9" s="24">
        <f>SUMIFS('Offtake Raw'!O:O,'Offtake Raw'!$C:$C,Shave!$D9,'Offtake Raw'!$D:$D,Shave!$E9)/1000000</f>
        <v>5.8617962500000002E-2</v>
      </c>
      <c r="N9" s="24">
        <f>SUMIFS('Offtake Raw'!P:P,'Offtake Raw'!$C:$C,Shave!$D9,'Offtake Raw'!$D:$D,Shave!$E9)/1000000</f>
        <v>6.3535562500000003E-2</v>
      </c>
      <c r="O9" s="24">
        <f>SUMIFS('Offtake Raw'!Q:Q,'Offtake Raw'!$C:$C,Shave!$D9,'Offtake Raw'!$D:$D,Shave!$E9)/1000000</f>
        <v>5.3144500000000004E-2</v>
      </c>
      <c r="P9" s="24">
        <f>SUMIFS('Offtake Raw'!R:R,'Offtake Raw'!$C:$C,Shave!$D9,'Offtake Raw'!$D:$D,Shave!$E9)/1000000</f>
        <v>7.1303599999999995E-2</v>
      </c>
      <c r="Q9" s="24">
        <f>SUMIFS('Offtake Raw'!S:S,'Offtake Raw'!$C:$C,Shave!$D9,'Offtake Raw'!$D:$D,Shave!$E9)/1000000</f>
        <v>6.0436599999999993E-2</v>
      </c>
      <c r="R9" s="24">
        <f>SUMIFS('Offtake Raw'!T:T,'Offtake Raw'!$C:$C,Shave!$D9,'Offtake Raw'!$D:$D,Shave!$E9)/1000000</f>
        <v>7.4131000000000002E-2</v>
      </c>
      <c r="S9" s="24">
        <f>SUMIFS('Offtake Raw'!U:U,'Offtake Raw'!$C:$C,Shave!$D9,'Offtake Raw'!$D:$D,Shave!$E9)/1000000</f>
        <v>8.5782499999999998E-2</v>
      </c>
      <c r="T9" s="24">
        <f>SUMIFS('Offtake Raw'!V:V,'Offtake Raw'!$C:$C,Shave!$D9,'Offtake Raw'!$D:$D,Shave!$E9)/1000000</f>
        <v>5.6505799999999995E-2</v>
      </c>
      <c r="U9" s="24">
        <f>SUMIFS('Offtake Raw'!W:W,'Offtake Raw'!$C:$C,Shave!$D9,'Offtake Raw'!$D:$D,Shave!$E9)/1000000</f>
        <v>3.9148099999999998E-2</v>
      </c>
      <c r="V9" s="24">
        <f>SUMIFS('Offtake Raw'!X:X,'Offtake Raw'!$C:$C,Shave!$D9,'Offtake Raw'!$D:$D,Shave!$E9)/1000000</f>
        <v>5.7594899999999997E-2</v>
      </c>
      <c r="W9" s="24">
        <f>SUMIFS('Offtake Raw'!Y:Y,'Offtake Raw'!$C:$C,Shave!$D9,'Offtake Raw'!$D:$D,Shave!$E9)/1000000</f>
        <v>5.10515E-2</v>
      </c>
      <c r="X9" s="72">
        <f>SUMIFS('Offtake Raw'!Z:Z,'Offtake Raw'!$C:$C,Shave!$D9,'Offtake Raw'!$D:$D,Shave!$E9)/1000000</f>
        <v>6.4433799999999999E-2</v>
      </c>
      <c r="Y9" s="24">
        <f>SUMIFS('Offtake Raw'!AA:AA,'Offtake Raw'!$C:$C,Shave!$D9,'Offtake Raw'!$D:$D,Shave!$E9)/1000000</f>
        <v>4.7856299999999997E-2</v>
      </c>
      <c r="Z9" s="24">
        <f>SUMIFS('Offtake Raw'!AB:AB,'Offtake Raw'!$C:$C,Shave!$D9,'Offtake Raw'!$D:$D,Shave!$E9)/1000000</f>
        <v>4.4050899999999997E-2</v>
      </c>
      <c r="AA9" s="24">
        <f>SUMIFS('Offtake Raw'!AC:AC,'Offtake Raw'!$C:$C,Shave!$D9,'Offtake Raw'!$D:$D,Shave!$E9)/1000000</f>
        <v>6.1328199999999999E-2</v>
      </c>
      <c r="AB9" s="24">
        <f>SUMIFS('Offtake Raw'!AD:AD,'Offtake Raw'!$C:$C,Shave!$D9,'Offtake Raw'!$D:$D,Shave!$E9)/1000000</f>
        <v>5.36195E-2</v>
      </c>
      <c r="AC9" s="24">
        <f>SUMIFS('Offtake Raw'!AE:AE,'Offtake Raw'!$C:$C,Shave!$D9,'Offtake Raw'!$D:$D,Shave!$E9)/1000000</f>
        <v>7.2876999999999983E-2</v>
      </c>
      <c r="AD9" s="24">
        <f>SUMIFS('Offtake Raw'!AF:AF,'Offtake Raw'!$C:$C,Shave!$D9,'Offtake Raw'!$D:$D,Shave!$E9)/1000000</f>
        <v>5.8189699999999997E-2</v>
      </c>
      <c r="AE9" s="24">
        <f>SUMIFS('Offtake Raw'!AG:AG,'Offtake Raw'!$C:$C,Shave!$D9,'Offtake Raw'!$D:$D,Shave!$E9)/1000000</f>
        <v>5.6352599999999989E-2</v>
      </c>
      <c r="AF9" s="24">
        <f>SUMIFS('Offtake Raw'!AH:AH,'Offtake Raw'!$C:$C,Shave!$D9,'Offtake Raw'!$D:$D,Shave!$E9)/1000000</f>
        <v>4.3887800000000005E-2</v>
      </c>
      <c r="AG9" s="24">
        <f>SUMIFS('Offtake Raw'!AI:AI,'Offtake Raw'!$C:$C,Shave!$D9,'Offtake Raw'!$D:$D,Shave!$E9)/1000000</f>
        <v>5.6571888888888894E-2</v>
      </c>
      <c r="AH9" s="24">
        <f t="shared" ref="AH9:AI9" si="20">AH18+AH27</f>
        <v>5.1527933333333324E-2</v>
      </c>
      <c r="AI9" s="25">
        <f t="shared" si="20"/>
        <v>5.1527933333333324E-2</v>
      </c>
      <c r="AK9" s="282">
        <v>5.1527933333333324E-2</v>
      </c>
      <c r="AL9" s="263">
        <f t="shared" si="15"/>
        <v>5.0439555555555696E-3</v>
      </c>
      <c r="AN9" s="154">
        <f t="shared" si="4"/>
        <v>144.50736788985645</v>
      </c>
      <c r="AO9" s="147">
        <f t="shared" si="5"/>
        <v>90.256353086225133</v>
      </c>
      <c r="AP9" s="147">
        <f t="shared" si="6"/>
        <v>84.127313925363282</v>
      </c>
      <c r="AQ9" s="147">
        <f t="shared" si="7"/>
        <v>87.301993919779449</v>
      </c>
      <c r="AR9" s="147">
        <f t="shared" si="8"/>
        <v>101.5901802582907</v>
      </c>
      <c r="AS9" s="147">
        <f t="shared" si="9"/>
        <v>73.205162386164275</v>
      </c>
      <c r="AT9" s="147">
        <f t="shared" si="10"/>
        <v>108.00656015992176</v>
      </c>
      <c r="AU9" s="147">
        <f t="shared" si="11"/>
        <v>94.560011374708353</v>
      </c>
      <c r="AV9" s="147">
        <f t="shared" si="12"/>
        <v>87.32723898862578</v>
      </c>
      <c r="AW9" s="155">
        <f t="shared" si="13"/>
        <v>90.942391418369681</v>
      </c>
    </row>
    <row r="10" spans="1:49">
      <c r="A10" s="271" t="s">
        <v>77</v>
      </c>
      <c r="B10" s="22" t="s">
        <v>83</v>
      </c>
      <c r="C10" s="22" t="s">
        <v>132</v>
      </c>
      <c r="D10" s="22" t="s">
        <v>132</v>
      </c>
      <c r="E10" s="22" t="s">
        <v>32</v>
      </c>
      <c r="F10" s="72">
        <f>SUMIFS('Offtake Raw'!H:H,'Offtake Raw'!$C:$C,Shave!$D10,'Offtake Raw'!$D:$D,Shave!$E10)/1000000</f>
        <v>3.2558933333333331E-2</v>
      </c>
      <c r="G10" s="24">
        <f>SUMIFS('Offtake Raw'!I:I,'Offtake Raw'!$C:$C,Shave!$D10,'Offtake Raw'!$D:$D,Shave!$E10)/1000000</f>
        <v>5.5224960000000003E-2</v>
      </c>
      <c r="H10" s="24">
        <f>SUMIFS('Offtake Raw'!J:J,'Offtake Raw'!$C:$C,Shave!$D10,'Offtake Raw'!$D:$D,Shave!$E10)/1000000</f>
        <v>3.6754026666666675E-2</v>
      </c>
      <c r="I10" s="24">
        <f>SUMIFS('Offtake Raw'!K:K,'Offtake Raw'!$C:$C,Shave!$D10,'Offtake Raw'!$D:$D,Shave!$E10)/1000000</f>
        <v>3.6127893333333334E-2</v>
      </c>
      <c r="J10" s="24">
        <f>SUMIFS('Offtake Raw'!L:L,'Offtake Raw'!$C:$C,Shave!$D10,'Offtake Raw'!$D:$D,Shave!$E10)/1000000</f>
        <v>3.9321173333333334E-2</v>
      </c>
      <c r="K10" s="24">
        <f>SUMIFS('Offtake Raw'!M:M,'Offtake Raw'!$C:$C,Shave!$D10,'Offtake Raw'!$D:$D,Shave!$E10)/1000000</f>
        <v>3.9321173333333334E-2</v>
      </c>
      <c r="L10" s="72">
        <f>SUMIFS('Offtake Raw'!N:N,'Offtake Raw'!$C:$C,Shave!$D10,'Offtake Raw'!$D:$D,Shave!$E10)/1000000</f>
        <v>4.0886506666666669E-2</v>
      </c>
      <c r="M10" s="24">
        <f>SUMIFS('Offtake Raw'!O:O,'Offtake Raw'!$C:$C,Shave!$D10,'Offtake Raw'!$D:$D,Shave!$E10)/1000000</f>
        <v>5.1342933333333333E-2</v>
      </c>
      <c r="N10" s="24">
        <f>SUMIFS('Offtake Raw'!P:P,'Offtake Raw'!$C:$C,Shave!$D10,'Offtake Raw'!$D:$D,Shave!$E10)/1000000</f>
        <v>4.1700480000000005E-2</v>
      </c>
      <c r="O10" s="24">
        <f>SUMIFS('Offtake Raw'!Q:Q,'Offtake Raw'!$C:$C,Shave!$D10,'Offtake Raw'!$D:$D,Shave!$E10)/1000000</f>
        <v>3.1807573333333332E-2</v>
      </c>
      <c r="P10" s="24">
        <f>SUMIFS('Offtake Raw'!R:R,'Offtake Raw'!$C:$C,Shave!$D10,'Offtake Raw'!$D:$D,Shave!$E10)/1000000</f>
        <v>5.0779413333333336E-2</v>
      </c>
      <c r="Q10" s="24">
        <f>SUMIFS('Offtake Raw'!S:S,'Offtake Raw'!$C:$C,Shave!$D10,'Offtake Raw'!$D:$D,Shave!$E10)/1000000</f>
        <v>5.0278506666666667E-2</v>
      </c>
      <c r="R10" s="24">
        <f>SUMIFS('Offtake Raw'!T:T,'Offtake Raw'!$C:$C,Shave!$D10,'Offtake Raw'!$D:$D,Shave!$E10)/1000000</f>
        <v>5.8606080000000005E-2</v>
      </c>
      <c r="S10" s="24">
        <f>SUMIFS('Offtake Raw'!U:U,'Offtake Raw'!$C:$C,Shave!$D10,'Offtake Raw'!$D:$D,Shave!$E10)/1000000</f>
        <v>6.7107333333333338E-2</v>
      </c>
      <c r="T10" s="24">
        <f>SUMIFS('Offtake Raw'!V:V,'Offtake Raw'!$C:$C,Shave!$D10,'Offtake Raw'!$D:$D,Shave!$E10)/1000000</f>
        <v>6.2186465333333343E-2</v>
      </c>
      <c r="U10" s="24">
        <f>SUMIFS('Offtake Raw'!W:W,'Offtake Raw'!$C:$C,Shave!$D10,'Offtake Raw'!$D:$D,Shave!$E10)/1000000</f>
        <v>4.3006702166666674E-2</v>
      </c>
      <c r="V10" s="24">
        <f>SUMIFS('Offtake Raw'!X:X,'Offtake Raw'!$C:$C,Shave!$D10,'Offtake Raw'!$D:$D,Shave!$E10)/1000000</f>
        <v>4.0574002666666664E-2</v>
      </c>
      <c r="W10" s="24">
        <f>SUMIFS('Offtake Raw'!Y:Y,'Offtake Raw'!$C:$C,Shave!$D10,'Offtake Raw'!$D:$D,Shave!$E10)/1000000</f>
        <v>5.4270687333333338E-2</v>
      </c>
      <c r="X10" s="72">
        <f>SUMIFS('Offtake Raw'!Z:Z,'Offtake Raw'!$C:$C,Shave!$D10,'Offtake Raw'!$D:$D,Shave!$E10)/1000000</f>
        <v>6.9391275666666669E-2</v>
      </c>
      <c r="Y10" s="24">
        <f>SUMIFS('Offtake Raw'!AA:AA,'Offtake Raw'!$C:$C,Shave!$D10,'Offtake Raw'!$D:$D,Shave!$E10)/1000000</f>
        <v>5.9672618499999996E-2</v>
      </c>
      <c r="Z10" s="24">
        <f>SUMIFS('Offtake Raw'!AB:AB,'Offtake Raw'!$C:$C,Shave!$D10,'Offtake Raw'!$D:$D,Shave!$E10)/1000000</f>
        <v>5.6142180666666666E-2</v>
      </c>
      <c r="AA10" s="24">
        <f>SUMIFS('Offtake Raw'!AC:AC,'Offtake Raw'!$C:$C,Shave!$D10,'Offtake Raw'!$D:$D,Shave!$E10)/1000000</f>
        <v>7.836322200000001E-2</v>
      </c>
      <c r="AB10" s="24">
        <f>SUMIFS('Offtake Raw'!AD:AD,'Offtake Raw'!$C:$C,Shave!$D10,'Offtake Raw'!$D:$D,Shave!$E10)/1000000</f>
        <v>6.1906441000000006E-2</v>
      </c>
      <c r="AC10" s="24">
        <f>SUMIFS('Offtake Raw'!AE:AE,'Offtake Raw'!$C:$C,Shave!$D10,'Offtake Raw'!$D:$D,Shave!$E10)/1000000</f>
        <v>7.9809712499999991E-2</v>
      </c>
      <c r="AD10" s="24">
        <f>SUMIFS('Offtake Raw'!AF:AF,'Offtake Raw'!$C:$C,Shave!$D10,'Offtake Raw'!$D:$D,Shave!$E10)/1000000</f>
        <v>6.1276384833333343E-2</v>
      </c>
      <c r="AE10" s="24">
        <f>SUMIFS('Offtake Raw'!AG:AG,'Offtake Raw'!$C:$C,Shave!$D10,'Offtake Raw'!$D:$D,Shave!$E10)/1000000</f>
        <v>7.81725105E-2</v>
      </c>
      <c r="AF10" s="24">
        <f>SUMIFS('Offtake Raw'!AH:AH,'Offtake Raw'!$C:$C,Shave!$D10,'Offtake Raw'!$D:$D,Shave!$E10)/1000000</f>
        <v>6.1213425000000002E-2</v>
      </c>
      <c r="AG10" s="24">
        <f>SUMIFS('Offtake Raw'!AI:AI,'Offtake Raw'!$C:$C,Shave!$D10,'Offtake Raw'!$D:$D,Shave!$E10)/1000000</f>
        <v>7.9138118500000007E-2</v>
      </c>
      <c r="AH10" s="24">
        <f t="shared" ref="AH10:AI10" si="21">AH19+AH28</f>
        <v>6.6438146805555556E-2</v>
      </c>
      <c r="AI10" s="25">
        <f t="shared" si="21"/>
        <v>6.6438146805555556E-2</v>
      </c>
      <c r="AK10" s="282">
        <v>6.6438146805555556E-2</v>
      </c>
      <c r="AL10" s="263">
        <f t="shared" si="15"/>
        <v>1.2699971694444451E-2</v>
      </c>
      <c r="AN10" s="154">
        <f t="shared" si="4"/>
        <v>184.01345491061113</v>
      </c>
      <c r="AO10" s="147">
        <f t="shared" si="5"/>
        <v>137.64981800278869</v>
      </c>
      <c r="AP10" s="147">
        <f t="shared" si="6"/>
        <v>121.17473561106135</v>
      </c>
      <c r="AQ10" s="147">
        <f t="shared" si="7"/>
        <v>138.28581009630508</v>
      </c>
      <c r="AR10" s="147">
        <f t="shared" si="8"/>
        <v>165.64073182482696</v>
      </c>
      <c r="AS10" s="147">
        <f t="shared" si="9"/>
        <v>106.79215003076567</v>
      </c>
      <c r="AT10" s="147">
        <f t="shared" si="10"/>
        <v>153.79925351408787</v>
      </c>
      <c r="AU10" s="147">
        <f t="shared" si="11"/>
        <v>151.90870235350374</v>
      </c>
      <c r="AV10" s="147">
        <f t="shared" si="12"/>
        <v>126.68461166359822</v>
      </c>
      <c r="AW10" s="155">
        <f t="shared" si="13"/>
        <v>138.04181250767212</v>
      </c>
    </row>
    <row r="11" spans="1:49">
      <c r="A11" s="272" t="s">
        <v>77</v>
      </c>
      <c r="B11" s="31" t="s">
        <v>83</v>
      </c>
      <c r="C11" s="31" t="s">
        <v>132</v>
      </c>
      <c r="D11" s="31" t="s">
        <v>132</v>
      </c>
      <c r="E11" s="119" t="s">
        <v>131</v>
      </c>
      <c r="F11" s="74">
        <f>SUMIFS('Offtake Raw'!H:H,'Offtake Raw'!$C:$C,Shave!$D11,'Offtake Raw'!$D:$D,Shave!$E11)/1000000</f>
        <v>0</v>
      </c>
      <c r="G11" s="32">
        <f>SUMIFS('Offtake Raw'!I:I,'Offtake Raw'!$C:$C,Shave!$D11,'Offtake Raw'!$D:$D,Shave!$E11)/1000000</f>
        <v>0</v>
      </c>
      <c r="H11" s="32">
        <f>SUMIFS('Offtake Raw'!J:J,'Offtake Raw'!$C:$C,Shave!$D11,'Offtake Raw'!$D:$D,Shave!$E11)/1000000</f>
        <v>0</v>
      </c>
      <c r="I11" s="32">
        <f>SUMIFS('Offtake Raw'!K:K,'Offtake Raw'!$C:$C,Shave!$D11,'Offtake Raw'!$D:$D,Shave!$E11)/1000000</f>
        <v>0</v>
      </c>
      <c r="J11" s="32">
        <f>SUMIFS('Offtake Raw'!L:L,'Offtake Raw'!$C:$C,Shave!$D11,'Offtake Raw'!$D:$D,Shave!$E11)/1000000</f>
        <v>0</v>
      </c>
      <c r="K11" s="32">
        <f>SUMIFS('Offtake Raw'!M:M,'Offtake Raw'!$C:$C,Shave!$D11,'Offtake Raw'!$D:$D,Shave!$E11)/1000000</f>
        <v>0</v>
      </c>
      <c r="L11" s="74">
        <f>SUMIFS('Offtake Raw'!N:N,'Offtake Raw'!$C:$C,Shave!$D11,'Offtake Raw'!$D:$D,Shave!$E11)/1000000</f>
        <v>0</v>
      </c>
      <c r="M11" s="32">
        <f>SUMIFS('Offtake Raw'!O:O,'Offtake Raw'!$C:$C,Shave!$D11,'Offtake Raw'!$D:$D,Shave!$E11)/1000000</f>
        <v>0</v>
      </c>
      <c r="N11" s="32">
        <f>SUMIFS('Offtake Raw'!P:P,'Offtake Raw'!$C:$C,Shave!$D11,'Offtake Raw'!$D:$D,Shave!$E11)/1000000</f>
        <v>0</v>
      </c>
      <c r="O11" s="32">
        <f>SUMIFS('Offtake Raw'!Q:Q,'Offtake Raw'!$C:$C,Shave!$D11,'Offtake Raw'!$D:$D,Shave!$E11)/1000000</f>
        <v>0</v>
      </c>
      <c r="P11" s="32">
        <f>SUMIFS('Offtake Raw'!R:R,'Offtake Raw'!$C:$C,Shave!$D11,'Offtake Raw'!$D:$D,Shave!$E11)/1000000</f>
        <v>0</v>
      </c>
      <c r="Q11" s="32">
        <f>SUMIFS('Offtake Raw'!S:S,'Offtake Raw'!$C:$C,Shave!$D11,'Offtake Raw'!$D:$D,Shave!$E11)/1000000</f>
        <v>0</v>
      </c>
      <c r="R11" s="32">
        <f>SUMIFS('Offtake Raw'!T:T,'Offtake Raw'!$C:$C,Shave!$D11,'Offtake Raw'!$D:$D,Shave!$E11)/1000000</f>
        <v>1.1290650000000001E-4</v>
      </c>
      <c r="S11" s="32">
        <f>SUMIFS('Offtake Raw'!U:U,'Offtake Raw'!$C:$C,Shave!$D11,'Offtake Raw'!$D:$D,Shave!$E11)/1000000</f>
        <v>7.451829000000001E-3</v>
      </c>
      <c r="T11" s="32">
        <f>SUMIFS('Offtake Raw'!V:V,'Offtake Raw'!$C:$C,Shave!$D11,'Offtake Raw'!$D:$D,Shave!$E11)/1000000</f>
        <v>8.772835050000001E-2</v>
      </c>
      <c r="U11" s="32">
        <f>SUMIFS('Offtake Raw'!W:W,'Offtake Raw'!$C:$C,Shave!$D11,'Offtake Raw'!$D:$D,Shave!$E11)/1000000</f>
        <v>8.0389427999999999E-2</v>
      </c>
      <c r="V11" s="32">
        <f>SUMIFS('Offtake Raw'!X:X,'Offtake Raw'!$C:$C,Shave!$D11,'Offtake Raw'!$D:$D,Shave!$E11)/1000000</f>
        <v>0.12363261750000001</v>
      </c>
      <c r="W11" s="32">
        <f>SUMIFS('Offtake Raw'!Y:Y,'Offtake Raw'!$C:$C,Shave!$D11,'Offtake Raw'!$D:$D,Shave!$E11)/1000000</f>
        <v>6.1308229500000005E-2</v>
      </c>
      <c r="X11" s="74">
        <f>SUMIFS('Offtake Raw'!Z:Z,'Offtake Raw'!$C:$C,Shave!$D11,'Offtake Raw'!$D:$D,Shave!$E11)/1000000</f>
        <v>5.5324185000000012E-2</v>
      </c>
      <c r="Y11" s="32">
        <f>SUMIFS('Offtake Raw'!AA:AA,'Offtake Raw'!$C:$C,Shave!$D11,'Offtake Raw'!$D:$D,Shave!$E11)/1000000</f>
        <v>5.0130486000000002E-2</v>
      </c>
      <c r="Z11" s="32">
        <f>SUMIFS('Offtake Raw'!AB:AB,'Offtake Raw'!$C:$C,Shave!$D11,'Offtake Raw'!$D:$D,Shave!$E11)/1000000</f>
        <v>4.0872153000000008E-2</v>
      </c>
      <c r="AA11" s="32">
        <f>SUMIFS('Offtake Raw'!AC:AC,'Offtake Raw'!$C:$C,Shave!$D11,'Offtake Raw'!$D:$D,Shave!$E11)/1000000</f>
        <v>5.2840241999999996E-2</v>
      </c>
      <c r="AB11" s="32">
        <f>SUMIFS('Offtake Raw'!AD:AD,'Offtake Raw'!$C:$C,Shave!$D11,'Offtake Raw'!$D:$D,Shave!$E11)/1000000</f>
        <v>3.7033332000000002E-2</v>
      </c>
      <c r="AC11" s="32">
        <f>SUMIFS('Offtake Raw'!AE:AE,'Offtake Raw'!$C:$C,Shave!$D11,'Offtake Raw'!$D:$D,Shave!$E11)/1000000</f>
        <v>4.7646543000000006E-2</v>
      </c>
      <c r="AD11" s="32">
        <f>SUMIFS('Offtake Raw'!AF:AF,'Offtake Raw'!$C:$C,Shave!$D11,'Offtake Raw'!$D:$D,Shave!$E11)/1000000</f>
        <v>3.5791360500000001E-2</v>
      </c>
      <c r="AE11" s="32">
        <f>SUMIFS('Offtake Raw'!AG:AG,'Offtake Raw'!$C:$C,Shave!$D11,'Offtake Raw'!$D:$D,Shave!$E11)/1000000</f>
        <v>3.5904267000000011E-2</v>
      </c>
      <c r="AF11" s="32">
        <f>SUMIFS('Offtake Raw'!AH:AH,'Offtake Raw'!$C:$C,Shave!$D11,'Offtake Raw'!$D:$D,Shave!$E11)/1000000</f>
        <v>3.1500913500000005E-2</v>
      </c>
      <c r="AG11" s="32">
        <f>SUMIFS('Offtake Raw'!AI:AI,'Offtake Raw'!$C:$C,Shave!$D11,'Offtake Raw'!$D:$D,Shave!$E11)/1000000</f>
        <v>5.2815151666666671E-2</v>
      </c>
      <c r="AH11" s="32">
        <f t="shared" ref="AH11:AI11" si="22">AH20+AH29</f>
        <v>5.3337278250000002E-2</v>
      </c>
      <c r="AI11" s="33">
        <f t="shared" si="22"/>
        <v>5.3337278250000002E-2</v>
      </c>
      <c r="AK11" s="283">
        <v>5.3337278250000002E-2</v>
      </c>
      <c r="AL11" s="264">
        <f t="shared" si="15"/>
        <v>-5.2212658333333078E-4</v>
      </c>
      <c r="AN11" s="82">
        <f t="shared" si="4"/>
        <v>65.699126092384532</v>
      </c>
      <c r="AO11" s="83">
        <f t="shared" si="5"/>
        <v>250.37132247929162</v>
      </c>
      <c r="AP11" s="83">
        <f t="shared" si="6"/>
        <v>88.80319908597545</v>
      </c>
      <c r="AQ11" s="83" t="str">
        <f t="shared" si="7"/>
        <v>NA</v>
      </c>
      <c r="AR11" s="83" t="str">
        <f t="shared" si="8"/>
        <v>NA</v>
      </c>
      <c r="AS11" s="83">
        <f t="shared" si="9"/>
        <v>108.29383886255926</v>
      </c>
      <c r="AT11" s="83">
        <f t="shared" si="10"/>
        <v>60.109879344400731</v>
      </c>
      <c r="AU11" s="83" t="str">
        <f t="shared" si="11"/>
        <v>NA</v>
      </c>
      <c r="AV11" s="83">
        <f t="shared" si="12"/>
        <v>72.842271903363098</v>
      </c>
      <c r="AW11" s="84">
        <f t="shared" si="13"/>
        <v>151.55235330599302</v>
      </c>
    </row>
    <row r="12" spans="1:49" outlineLevel="1">
      <c r="A12" s="273" t="s">
        <v>77</v>
      </c>
      <c r="B12" s="100" t="s">
        <v>715</v>
      </c>
      <c r="C12" s="100" t="s">
        <v>25</v>
      </c>
      <c r="D12" s="100" t="s">
        <v>25</v>
      </c>
      <c r="E12" s="100" t="s">
        <v>83</v>
      </c>
      <c r="F12" s="202"/>
      <c r="G12" s="103"/>
      <c r="H12" s="103"/>
      <c r="I12" s="103"/>
      <c r="J12" s="103"/>
      <c r="K12" s="103"/>
      <c r="L12" s="202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202"/>
      <c r="Y12" s="103"/>
      <c r="Z12" s="103"/>
      <c r="AA12" s="103"/>
      <c r="AB12" s="103"/>
      <c r="AC12" s="103"/>
      <c r="AD12" s="103">
        <f>SUM(AD13:AD20)</f>
        <v>0.99245093016666663</v>
      </c>
      <c r="AE12" s="103">
        <f t="shared" ref="AE12:AI12" si="23">SUM(AE13:AE20)</f>
        <v>0.99245093016666663</v>
      </c>
      <c r="AF12" s="103">
        <f t="shared" si="23"/>
        <v>0.99245093016666663</v>
      </c>
      <c r="AG12" s="103">
        <f t="shared" si="23"/>
        <v>0.99245093016666663</v>
      </c>
      <c r="AH12" s="103">
        <f t="shared" si="23"/>
        <v>0.99245093016666663</v>
      </c>
      <c r="AI12" s="104">
        <f t="shared" si="23"/>
        <v>0.99245093016666663</v>
      </c>
      <c r="AK12" s="250"/>
    </row>
    <row r="13" spans="1:49" outlineLevel="1">
      <c r="A13" s="274" t="s">
        <v>77</v>
      </c>
      <c r="B13" s="92" t="s">
        <v>716</v>
      </c>
      <c r="C13" s="22" t="s">
        <v>132</v>
      </c>
      <c r="D13" s="22" t="s">
        <v>132</v>
      </c>
      <c r="E13" s="22" t="s">
        <v>128</v>
      </c>
      <c r="F13" s="76"/>
      <c r="G13" s="75"/>
      <c r="H13" s="75"/>
      <c r="I13" s="75"/>
      <c r="J13" s="75"/>
      <c r="K13" s="75"/>
      <c r="L13" s="76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6"/>
      <c r="Y13" s="75"/>
      <c r="Z13" s="75"/>
      <c r="AA13" s="75"/>
      <c r="AB13" s="75"/>
      <c r="AC13" s="75"/>
      <c r="AD13" s="24">
        <v>0.28380875</v>
      </c>
      <c r="AE13" s="24">
        <v>0.28380875</v>
      </c>
      <c r="AF13" s="24">
        <v>0.28380875</v>
      </c>
      <c r="AG13" s="24">
        <v>0.28380875</v>
      </c>
      <c r="AH13" s="24">
        <v>0.28380875</v>
      </c>
      <c r="AI13" s="25">
        <v>0.28380875</v>
      </c>
      <c r="AK13" s="250"/>
    </row>
    <row r="14" spans="1:49" outlineLevel="1">
      <c r="A14" s="271" t="s">
        <v>77</v>
      </c>
      <c r="B14" s="22" t="s">
        <v>715</v>
      </c>
      <c r="C14" s="22" t="s">
        <v>132</v>
      </c>
      <c r="D14" s="22" t="s">
        <v>132</v>
      </c>
      <c r="E14" s="22" t="s">
        <v>26</v>
      </c>
      <c r="F14" s="72"/>
      <c r="G14" s="24"/>
      <c r="H14" s="24"/>
      <c r="I14" s="24"/>
      <c r="J14" s="24"/>
      <c r="K14" s="24"/>
      <c r="L14" s="72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72"/>
      <c r="Y14" s="24"/>
      <c r="Z14" s="24"/>
      <c r="AA14" s="24"/>
      <c r="AB14" s="24"/>
      <c r="AC14" s="24"/>
      <c r="AD14" s="24">
        <v>7.8872641416666667E-2</v>
      </c>
      <c r="AE14" s="24">
        <v>7.8872641416666667E-2</v>
      </c>
      <c r="AF14" s="24">
        <v>7.8872641416666667E-2</v>
      </c>
      <c r="AG14" s="24">
        <v>7.8872641416666667E-2</v>
      </c>
      <c r="AH14" s="24">
        <v>7.8872641416666667E-2</v>
      </c>
      <c r="AI14" s="25">
        <v>7.8872641416666667E-2</v>
      </c>
      <c r="AK14" s="250"/>
    </row>
    <row r="15" spans="1:49" outlineLevel="1">
      <c r="A15" s="271" t="s">
        <v>77</v>
      </c>
      <c r="B15" s="22" t="s">
        <v>715</v>
      </c>
      <c r="C15" s="22" t="s">
        <v>132</v>
      </c>
      <c r="D15" s="22" t="s">
        <v>132</v>
      </c>
      <c r="E15" s="22" t="s">
        <v>28</v>
      </c>
      <c r="F15" s="72"/>
      <c r="G15" s="24"/>
      <c r="H15" s="24"/>
      <c r="I15" s="24"/>
      <c r="J15" s="24"/>
      <c r="K15" s="24"/>
      <c r="L15" s="72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72"/>
      <c r="Y15" s="24"/>
      <c r="Z15" s="24"/>
      <c r="AA15" s="24"/>
      <c r="AB15" s="24"/>
      <c r="AC15" s="24"/>
      <c r="AD15" s="24">
        <v>0.20319639536111112</v>
      </c>
      <c r="AE15" s="24">
        <v>0.20319639536111112</v>
      </c>
      <c r="AF15" s="24">
        <v>0.20319639536111112</v>
      </c>
      <c r="AG15" s="24">
        <v>0.20319639536111112</v>
      </c>
      <c r="AH15" s="24">
        <v>0.20319639536111112</v>
      </c>
      <c r="AI15" s="25">
        <v>0.20319639536111112</v>
      </c>
      <c r="AK15" s="250"/>
    </row>
    <row r="16" spans="1:49" outlineLevel="1">
      <c r="A16" s="271" t="s">
        <v>77</v>
      </c>
      <c r="B16" s="22" t="s">
        <v>715</v>
      </c>
      <c r="C16" s="22" t="s">
        <v>132</v>
      </c>
      <c r="D16" s="22" t="s">
        <v>132</v>
      </c>
      <c r="E16" s="22" t="s">
        <v>129</v>
      </c>
      <c r="F16" s="72"/>
      <c r="G16" s="24"/>
      <c r="H16" s="24"/>
      <c r="I16" s="24"/>
      <c r="J16" s="24"/>
      <c r="K16" s="24"/>
      <c r="L16" s="72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72"/>
      <c r="Y16" s="24"/>
      <c r="Z16" s="24"/>
      <c r="AA16" s="24"/>
      <c r="AB16" s="24"/>
      <c r="AC16" s="24"/>
      <c r="AD16" s="24">
        <v>0.2431485383333333</v>
      </c>
      <c r="AE16" s="24">
        <v>0.2431485383333333</v>
      </c>
      <c r="AF16" s="24">
        <v>0.2431485383333333</v>
      </c>
      <c r="AG16" s="24">
        <v>0.2431485383333333</v>
      </c>
      <c r="AH16" s="24">
        <v>0.2431485383333333</v>
      </c>
      <c r="AI16" s="25">
        <v>0.2431485383333333</v>
      </c>
      <c r="AK16" s="250"/>
    </row>
    <row r="17" spans="1:49" outlineLevel="1">
      <c r="A17" s="271" t="s">
        <v>77</v>
      </c>
      <c r="B17" s="22" t="s">
        <v>715</v>
      </c>
      <c r="C17" s="22" t="s">
        <v>132</v>
      </c>
      <c r="D17" s="22" t="s">
        <v>132</v>
      </c>
      <c r="E17" s="22" t="s">
        <v>29</v>
      </c>
      <c r="F17" s="72"/>
      <c r="G17" s="24"/>
      <c r="H17" s="24"/>
      <c r="I17" s="24"/>
      <c r="J17" s="24"/>
      <c r="K17" s="24"/>
      <c r="L17" s="72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72"/>
      <c r="Y17" s="24"/>
      <c r="Z17" s="24"/>
      <c r="AA17" s="24"/>
      <c r="AB17" s="24"/>
      <c r="AC17" s="24"/>
      <c r="AD17" s="24">
        <v>2.2121246666666667E-2</v>
      </c>
      <c r="AE17" s="24">
        <v>2.2121246666666667E-2</v>
      </c>
      <c r="AF17" s="24">
        <v>2.2121246666666667E-2</v>
      </c>
      <c r="AG17" s="24">
        <v>2.2121246666666667E-2</v>
      </c>
      <c r="AH17" s="24">
        <v>2.2121246666666667E-2</v>
      </c>
      <c r="AI17" s="25">
        <v>2.2121246666666667E-2</v>
      </c>
      <c r="AK17" s="250"/>
    </row>
    <row r="18" spans="1:49" outlineLevel="1">
      <c r="A18" s="271" t="s">
        <v>77</v>
      </c>
      <c r="B18" s="22" t="s">
        <v>715</v>
      </c>
      <c r="C18" s="22" t="s">
        <v>132</v>
      </c>
      <c r="D18" s="22" t="s">
        <v>132</v>
      </c>
      <c r="E18" s="22" t="s">
        <v>30</v>
      </c>
      <c r="F18" s="72"/>
      <c r="G18" s="24"/>
      <c r="H18" s="24"/>
      <c r="I18" s="24"/>
      <c r="J18" s="24"/>
      <c r="K18" s="24"/>
      <c r="L18" s="72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72"/>
      <c r="Y18" s="24"/>
      <c r="Z18" s="24"/>
      <c r="AA18" s="24"/>
      <c r="AB18" s="24"/>
      <c r="AC18" s="24"/>
      <c r="AD18" s="24">
        <v>5.1527933333333324E-2</v>
      </c>
      <c r="AE18" s="24">
        <v>5.1527933333333324E-2</v>
      </c>
      <c r="AF18" s="24">
        <v>5.1527933333333324E-2</v>
      </c>
      <c r="AG18" s="24">
        <v>5.1527933333333324E-2</v>
      </c>
      <c r="AH18" s="24">
        <v>5.1527933333333324E-2</v>
      </c>
      <c r="AI18" s="25">
        <v>5.1527933333333324E-2</v>
      </c>
      <c r="AK18" s="250"/>
    </row>
    <row r="19" spans="1:49" outlineLevel="1">
      <c r="A19" s="271" t="s">
        <v>77</v>
      </c>
      <c r="B19" s="22" t="s">
        <v>715</v>
      </c>
      <c r="C19" s="22" t="s">
        <v>132</v>
      </c>
      <c r="D19" s="22" t="s">
        <v>132</v>
      </c>
      <c r="E19" s="22" t="s">
        <v>32</v>
      </c>
      <c r="F19" s="72"/>
      <c r="G19" s="24"/>
      <c r="H19" s="24"/>
      <c r="I19" s="24"/>
      <c r="J19" s="24"/>
      <c r="K19" s="24"/>
      <c r="L19" s="72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72"/>
      <c r="Y19" s="24"/>
      <c r="Z19" s="24"/>
      <c r="AA19" s="24"/>
      <c r="AB19" s="24"/>
      <c r="AC19" s="24"/>
      <c r="AD19" s="24">
        <v>6.6438146805555556E-2</v>
      </c>
      <c r="AE19" s="24">
        <v>6.6438146805555556E-2</v>
      </c>
      <c r="AF19" s="24">
        <v>6.6438146805555556E-2</v>
      </c>
      <c r="AG19" s="24">
        <v>6.6438146805555556E-2</v>
      </c>
      <c r="AH19" s="24">
        <v>6.6438146805555556E-2</v>
      </c>
      <c r="AI19" s="25">
        <v>6.6438146805555556E-2</v>
      </c>
      <c r="AK19" s="250"/>
    </row>
    <row r="20" spans="1:49" outlineLevel="1">
      <c r="A20" s="272" t="s">
        <v>77</v>
      </c>
      <c r="B20" s="31" t="s">
        <v>715</v>
      </c>
      <c r="C20" s="31" t="s">
        <v>132</v>
      </c>
      <c r="D20" s="31" t="s">
        <v>132</v>
      </c>
      <c r="E20" s="31" t="s">
        <v>131</v>
      </c>
      <c r="F20" s="74"/>
      <c r="G20" s="32"/>
      <c r="H20" s="32"/>
      <c r="I20" s="32"/>
      <c r="J20" s="32"/>
      <c r="K20" s="32"/>
      <c r="L20" s="74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74"/>
      <c r="Y20" s="32"/>
      <c r="Z20" s="32"/>
      <c r="AA20" s="32"/>
      <c r="AB20" s="32"/>
      <c r="AC20" s="32"/>
      <c r="AD20" s="32">
        <v>4.333727825E-2</v>
      </c>
      <c r="AE20" s="32">
        <v>4.333727825E-2</v>
      </c>
      <c r="AF20" s="32">
        <v>4.333727825E-2</v>
      </c>
      <c r="AG20" s="32">
        <v>4.333727825E-2</v>
      </c>
      <c r="AH20" s="32">
        <v>4.333727825E-2</v>
      </c>
      <c r="AI20" s="33">
        <v>4.333727825E-2</v>
      </c>
      <c r="AK20" s="250"/>
    </row>
    <row r="21" spans="1:49" outlineLevel="1">
      <c r="A21" s="273" t="s">
        <v>77</v>
      </c>
      <c r="B21" s="100" t="s">
        <v>717</v>
      </c>
      <c r="C21" s="100" t="s">
        <v>25</v>
      </c>
      <c r="D21" s="100" t="s">
        <v>25</v>
      </c>
      <c r="E21" s="100" t="s">
        <v>83</v>
      </c>
      <c r="F21" s="202"/>
      <c r="G21" s="103"/>
      <c r="H21" s="103"/>
      <c r="I21" s="103"/>
      <c r="J21" s="103"/>
      <c r="K21" s="103"/>
      <c r="L21" s="202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202"/>
      <c r="Y21" s="103"/>
      <c r="Z21" s="103"/>
      <c r="AA21" s="103"/>
      <c r="AB21" s="103"/>
      <c r="AC21" s="103"/>
      <c r="AD21" s="103">
        <f>SUM(AD22:AD29)</f>
        <v>0.16500000000000001</v>
      </c>
      <c r="AE21" s="103">
        <f t="shared" ref="AE21" si="24">SUM(AE22:AE29)</f>
        <v>0.23500000000000001</v>
      </c>
      <c r="AF21" s="103">
        <f t="shared" ref="AF21" si="25">SUM(AF22:AF29)</f>
        <v>0.14000000000000001</v>
      </c>
      <c r="AG21" s="103">
        <f t="shared" ref="AG21" si="26">SUM(AG22:AG29)</f>
        <v>0.08</v>
      </c>
      <c r="AH21" s="103">
        <f t="shared" ref="AH21" si="27">SUM(AH22:AH29)</f>
        <v>0.01</v>
      </c>
      <c r="AI21" s="104">
        <f t="shared" ref="AI21" si="28">SUM(AI22:AI29)</f>
        <v>0.01</v>
      </c>
      <c r="AK21" s="250"/>
    </row>
    <row r="22" spans="1:49" outlineLevel="1">
      <c r="A22" s="274" t="s">
        <v>77</v>
      </c>
      <c r="B22" s="92" t="s">
        <v>718</v>
      </c>
      <c r="C22" s="22" t="s">
        <v>132</v>
      </c>
      <c r="D22" s="22" t="s">
        <v>132</v>
      </c>
      <c r="E22" s="22" t="s">
        <v>128</v>
      </c>
      <c r="F22" s="76"/>
      <c r="G22" s="75"/>
      <c r="H22" s="75"/>
      <c r="I22" s="75"/>
      <c r="J22" s="75"/>
      <c r="K22" s="75"/>
      <c r="L22" s="76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6"/>
      <c r="Y22" s="75"/>
      <c r="Z22" s="75"/>
      <c r="AA22" s="75"/>
      <c r="AB22" s="75"/>
      <c r="AC22" s="75"/>
      <c r="AD22" s="24">
        <f>300*1500/1000000/2+N("P2 Labs 1U 1500支")-0.12/2</f>
        <v>0.16500000000000001</v>
      </c>
      <c r="AE22" s="24">
        <f>300*1500/1000000/2+N("P2 Labs 1U 1500支")-0.12/2+0.28*0.5/2+N("Labs HS uplift")</f>
        <v>0.23500000000000001</v>
      </c>
      <c r="AF22" s="22">
        <f>0.28*0.5+N("Labs HS uplift")</f>
        <v>0.14000000000000001</v>
      </c>
      <c r="AG22" s="22">
        <f>0.28*0.5/2+N("Labs HS uplift")</f>
        <v>7.0000000000000007E-2</v>
      </c>
      <c r="AI22" s="42"/>
      <c r="AK22" s="250"/>
    </row>
    <row r="23" spans="1:49" outlineLevel="1">
      <c r="A23" s="271" t="s">
        <v>77</v>
      </c>
      <c r="B23" s="22" t="s">
        <v>717</v>
      </c>
      <c r="C23" s="22" t="s">
        <v>132</v>
      </c>
      <c r="D23" s="22" t="s">
        <v>132</v>
      </c>
      <c r="E23" s="22" t="s">
        <v>26</v>
      </c>
      <c r="F23" s="72"/>
      <c r="G23" s="24"/>
      <c r="H23" s="24"/>
      <c r="I23" s="24"/>
      <c r="J23" s="24"/>
      <c r="K23" s="24"/>
      <c r="L23" s="72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72"/>
      <c r="Y23" s="24"/>
      <c r="Z23" s="24"/>
      <c r="AA23" s="24"/>
      <c r="AB23" s="24"/>
      <c r="AC23" s="24"/>
      <c r="AI23" s="42"/>
    </row>
    <row r="24" spans="1:49" outlineLevel="1">
      <c r="A24" s="271" t="s">
        <v>77</v>
      </c>
      <c r="B24" s="22" t="s">
        <v>717</v>
      </c>
      <c r="C24" s="22" t="s">
        <v>132</v>
      </c>
      <c r="D24" s="22" t="s">
        <v>132</v>
      </c>
      <c r="E24" s="22" t="s">
        <v>28</v>
      </c>
      <c r="F24" s="72"/>
      <c r="G24" s="24"/>
      <c r="H24" s="24"/>
      <c r="I24" s="24"/>
      <c r="J24" s="24"/>
      <c r="K24" s="24"/>
      <c r="L24" s="72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72"/>
      <c r="Y24" s="24"/>
      <c r="Z24" s="24"/>
      <c r="AA24" s="24"/>
      <c r="AB24" s="24"/>
      <c r="AC24" s="24"/>
      <c r="AI24" s="42"/>
    </row>
    <row r="25" spans="1:49" outlineLevel="1">
      <c r="A25" s="271" t="s">
        <v>77</v>
      </c>
      <c r="B25" s="22" t="s">
        <v>717</v>
      </c>
      <c r="C25" s="22" t="s">
        <v>132</v>
      </c>
      <c r="D25" s="22" t="s">
        <v>132</v>
      </c>
      <c r="E25" s="22" t="s">
        <v>129</v>
      </c>
      <c r="F25" s="72"/>
      <c r="G25" s="24"/>
      <c r="H25" s="24"/>
      <c r="I25" s="24"/>
      <c r="J25" s="24"/>
      <c r="K25" s="24"/>
      <c r="L25" s="72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72"/>
      <c r="Y25" s="24"/>
      <c r="Z25" s="24"/>
      <c r="AA25" s="24"/>
      <c r="AB25" s="24"/>
      <c r="AC25" s="24"/>
      <c r="AI25" s="42"/>
    </row>
    <row r="26" spans="1:49" outlineLevel="1">
      <c r="A26" s="271" t="s">
        <v>77</v>
      </c>
      <c r="B26" s="22" t="s">
        <v>717</v>
      </c>
      <c r="C26" s="22" t="s">
        <v>132</v>
      </c>
      <c r="D26" s="22" t="s">
        <v>132</v>
      </c>
      <c r="E26" s="22" t="s">
        <v>29</v>
      </c>
      <c r="F26" s="72"/>
      <c r="G26" s="24"/>
      <c r="H26" s="24"/>
      <c r="I26" s="24"/>
      <c r="J26" s="24"/>
      <c r="K26" s="24"/>
      <c r="L26" s="72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72"/>
      <c r="Y26" s="24"/>
      <c r="Z26" s="24"/>
      <c r="AA26" s="24"/>
      <c r="AB26" s="24"/>
      <c r="AC26" s="24"/>
      <c r="AI26" s="42"/>
    </row>
    <row r="27" spans="1:49" outlineLevel="1">
      <c r="A27" s="271" t="s">
        <v>77</v>
      </c>
      <c r="B27" s="22" t="s">
        <v>717</v>
      </c>
      <c r="C27" s="22" t="s">
        <v>132</v>
      </c>
      <c r="D27" s="22" t="s">
        <v>132</v>
      </c>
      <c r="E27" s="22" t="s">
        <v>30</v>
      </c>
      <c r="F27" s="72"/>
      <c r="G27" s="24"/>
      <c r="H27" s="24"/>
      <c r="I27" s="24"/>
      <c r="J27" s="24"/>
      <c r="K27" s="24"/>
      <c r="L27" s="72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72"/>
      <c r="Y27" s="24"/>
      <c r="Z27" s="24"/>
      <c r="AA27" s="24"/>
      <c r="AB27" s="24"/>
      <c r="AC27" s="24"/>
      <c r="AI27" s="42"/>
    </row>
    <row r="28" spans="1:49" outlineLevel="1">
      <c r="A28" s="271" t="s">
        <v>77</v>
      </c>
      <c r="B28" s="22" t="s">
        <v>717</v>
      </c>
      <c r="C28" s="22" t="s">
        <v>132</v>
      </c>
      <c r="D28" s="22" t="s">
        <v>132</v>
      </c>
      <c r="E28" s="22" t="s">
        <v>32</v>
      </c>
      <c r="F28" s="72"/>
      <c r="G28" s="24"/>
      <c r="H28" s="24"/>
      <c r="I28" s="24"/>
      <c r="J28" s="24"/>
      <c r="K28" s="24"/>
      <c r="L28" s="72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72"/>
      <c r="Y28" s="24"/>
      <c r="Z28" s="24"/>
      <c r="AA28" s="24"/>
      <c r="AB28" s="24"/>
      <c r="AC28" s="24"/>
      <c r="AI28" s="42"/>
    </row>
    <row r="29" spans="1:49" outlineLevel="1">
      <c r="A29" s="272" t="s">
        <v>77</v>
      </c>
      <c r="B29" s="31" t="s">
        <v>717</v>
      </c>
      <c r="C29" s="31" t="s">
        <v>132</v>
      </c>
      <c r="D29" s="31" t="s">
        <v>132</v>
      </c>
      <c r="E29" s="31" t="s">
        <v>131</v>
      </c>
      <c r="F29" s="74"/>
      <c r="G29" s="32"/>
      <c r="H29" s="32"/>
      <c r="I29" s="32"/>
      <c r="J29" s="32"/>
      <c r="K29" s="32"/>
      <c r="L29" s="74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74"/>
      <c r="Y29" s="32"/>
      <c r="Z29" s="32"/>
      <c r="AA29" s="32"/>
      <c r="AB29" s="32"/>
      <c r="AC29" s="32"/>
      <c r="AD29" s="66"/>
      <c r="AE29" s="66"/>
      <c r="AF29" s="66"/>
      <c r="AG29" s="31">
        <v>0.01</v>
      </c>
      <c r="AH29" s="31">
        <v>0.01</v>
      </c>
      <c r="AI29" s="119">
        <v>0.01</v>
      </c>
      <c r="AK29" s="249"/>
    </row>
    <row r="30" spans="1:49">
      <c r="A30" s="275" t="s">
        <v>731</v>
      </c>
      <c r="B30" s="96" t="s">
        <v>83</v>
      </c>
      <c r="C30" s="96" t="s">
        <v>25</v>
      </c>
      <c r="D30" s="96" t="s">
        <v>25</v>
      </c>
      <c r="E30" s="96" t="s">
        <v>83</v>
      </c>
      <c r="F30" s="203">
        <f>SUM(F31:F38)</f>
        <v>1.7856362969999999</v>
      </c>
      <c r="G30" s="98">
        <f t="shared" ref="G30:AI30" si="29">SUM(G31:G38)</f>
        <v>0.90449255599999989</v>
      </c>
      <c r="H30" s="98">
        <f t="shared" si="29"/>
        <v>0.67041022000000006</v>
      </c>
      <c r="I30" s="98">
        <f t="shared" si="29"/>
        <v>1.84269244</v>
      </c>
      <c r="J30" s="98">
        <f t="shared" si="29"/>
        <v>0.7969355239999999</v>
      </c>
      <c r="K30" s="98">
        <f t="shared" si="29"/>
        <v>0.71210871999999992</v>
      </c>
      <c r="L30" s="203">
        <f t="shared" si="29"/>
        <v>0.78883048799999989</v>
      </c>
      <c r="M30" s="98">
        <f t="shared" si="29"/>
        <v>1.5730773270000002</v>
      </c>
      <c r="N30" s="98">
        <f t="shared" si="29"/>
        <v>0.66481132799999987</v>
      </c>
      <c r="O30" s="98">
        <f t="shared" si="29"/>
        <v>0.76167210800000018</v>
      </c>
      <c r="P30" s="98">
        <f t="shared" si="29"/>
        <v>0.63378374399999993</v>
      </c>
      <c r="Q30" s="98">
        <f t="shared" si="29"/>
        <v>0.73758458800000015</v>
      </c>
      <c r="R30" s="98">
        <f t="shared" si="29"/>
        <v>1.7583936999999998</v>
      </c>
      <c r="S30" s="98">
        <f t="shared" si="29"/>
        <v>0.90539479400000011</v>
      </c>
      <c r="T30" s="98">
        <f t="shared" si="29"/>
        <v>0.93215488300000016</v>
      </c>
      <c r="U30" s="98">
        <f t="shared" si="29"/>
        <v>0.80256996800000013</v>
      </c>
      <c r="V30" s="98">
        <f t="shared" si="29"/>
        <v>0.80750804100000007</v>
      </c>
      <c r="W30" s="98">
        <f t="shared" si="29"/>
        <v>1.0214011200000002</v>
      </c>
      <c r="X30" s="203">
        <f t="shared" si="29"/>
        <v>0.75253097200000019</v>
      </c>
      <c r="Y30" s="98">
        <f t="shared" si="29"/>
        <v>1.1840195680000003</v>
      </c>
      <c r="Z30" s="98">
        <f t="shared" si="29"/>
        <v>0.80548762699999998</v>
      </c>
      <c r="AA30" s="98">
        <f t="shared" si="29"/>
        <v>1.827335463</v>
      </c>
      <c r="AB30" s="98">
        <f t="shared" si="29"/>
        <v>0.293681782</v>
      </c>
      <c r="AC30" s="98">
        <f t="shared" si="29"/>
        <v>1.1108651125</v>
      </c>
      <c r="AD30" s="98">
        <f t="shared" si="29"/>
        <v>2.2026772999999999</v>
      </c>
      <c r="AE30" s="98">
        <f t="shared" si="29"/>
        <v>4.3299999999999992</v>
      </c>
      <c r="AF30" s="98">
        <f t="shared" si="29"/>
        <v>0.57000000000000006</v>
      </c>
      <c r="AG30" s="98">
        <f t="shared" si="29"/>
        <v>0.59000000000000008</v>
      </c>
      <c r="AH30" s="98">
        <f t="shared" si="29"/>
        <v>0.64245093016666666</v>
      </c>
      <c r="AI30" s="99">
        <f t="shared" si="29"/>
        <v>0.64245093016666666</v>
      </c>
      <c r="AK30" s="281">
        <v>0.84245093016666672</v>
      </c>
      <c r="AL30" s="281">
        <f t="shared" ref="AL30:AL38" si="30">AG30-AK30</f>
        <v>-0.25245093016666664</v>
      </c>
      <c r="AN30" s="156">
        <f t="shared" ref="AN30:AN38" si="31">IFERROR(AG30/U30*100,"NA")</f>
        <v>73.513839730419619</v>
      </c>
      <c r="AO30" s="157">
        <f t="shared" ref="AO30:AO38" si="32">IFERROR(SUM(X30:AG30)/SUM(L30:U30)*100,"NA")</f>
        <v>142.98187473246421</v>
      </c>
      <c r="AP30" s="157">
        <f t="shared" ref="AP30:AP38" si="33">IFERROR(SUM(AD30:AG30)/SUM(R30:U30)*100,"NA")</f>
        <v>174.89266705862408</v>
      </c>
      <c r="AQ30" s="157">
        <f t="shared" ref="AQ30:AQ38" si="34">IFERROR(SUM(X30:Z30)/SUM(L30:N30)*100,"NA")</f>
        <v>90.594403955240068</v>
      </c>
      <c r="AR30" s="157">
        <f t="shared" ref="AR30:AR38" si="35">IFERROR(SUM(AA30:AC30)/SUM(O30:Q30)*100,"NA")</f>
        <v>151.51528760983078</v>
      </c>
      <c r="AS30" s="157">
        <f t="shared" ref="AS30:AS38" si="36">IFERROR(SUM(AD30:AF30)/SUM(R30:T30)*100,"NA")</f>
        <v>197.51916410668221</v>
      </c>
      <c r="AT30" s="157">
        <f t="shared" ref="AT30:AT38" si="37">IFERROR(SUM(AG30:AI30)/SUM(U30:W30)*100,"NA")</f>
        <v>71.248973236045487</v>
      </c>
      <c r="AU30" s="157">
        <f t="shared" ref="AU30:AU38" si="38">IFERROR(SUM(X30:AC30)/SUM(L30:Q30)*100,"NA")</f>
        <v>115.7790480041442</v>
      </c>
      <c r="AV30" s="157">
        <f t="shared" ref="AV30:AV38" si="39">IFERROR(SUM(AD30:AI30)/SUM(R30:W30)*100,"NA")</f>
        <v>144.16203737073582</v>
      </c>
      <c r="AW30" s="158">
        <f t="shared" ref="AW30:AW38" si="40">IFERROR(SUM(X30:AI30)/SUM(L30:W30)*100,"NA")</f>
        <v>131.30113813914031</v>
      </c>
    </row>
    <row r="31" spans="1:49">
      <c r="A31" s="276" t="s">
        <v>731</v>
      </c>
      <c r="B31" s="92" t="s">
        <v>83</v>
      </c>
      <c r="C31" s="22" t="s">
        <v>132</v>
      </c>
      <c r="D31" s="22" t="s">
        <v>132</v>
      </c>
      <c r="E31" s="22" t="s">
        <v>128</v>
      </c>
      <c r="F31" s="76">
        <v>4.2007200000000001E-2</v>
      </c>
      <c r="G31" s="75">
        <v>0.170796</v>
      </c>
      <c r="H31" s="75">
        <v>6.4200000000000004E-3</v>
      </c>
      <c r="I31" s="75">
        <v>1.2565271999999998</v>
      </c>
      <c r="J31" s="75">
        <v>0.1019096</v>
      </c>
      <c r="K31" s="75">
        <v>4.2271199999999995E-2</v>
      </c>
      <c r="L31" s="76"/>
      <c r="M31" s="75">
        <v>1.0622196000000002</v>
      </c>
      <c r="N31" s="75">
        <v>6.5353900000000006E-2</v>
      </c>
      <c r="O31" s="75">
        <v>0.18496320000000002</v>
      </c>
      <c r="P31" s="75">
        <v>0.2422636</v>
      </c>
      <c r="Q31" s="75">
        <v>0.35895959999999999</v>
      </c>
      <c r="R31" s="75">
        <v>0.39341579999999987</v>
      </c>
      <c r="S31" s="75">
        <v>0.27980639999999996</v>
      </c>
      <c r="T31" s="75">
        <v>0.13731800000000002</v>
      </c>
      <c r="U31" s="75">
        <v>0.28236120000000003</v>
      </c>
      <c r="V31" s="75">
        <v>0.28202490000000008</v>
      </c>
      <c r="W31" s="75">
        <v>0.26005259999999997</v>
      </c>
      <c r="X31" s="76">
        <v>0.25253819999999999</v>
      </c>
      <c r="Y31" s="75">
        <v>0.23927409999999999</v>
      </c>
      <c r="Z31" s="75">
        <v>0.24594719999999998</v>
      </c>
      <c r="AA31" s="75">
        <v>0.52227540000000006</v>
      </c>
      <c r="AB31" s="75">
        <v>0.10946639999999998</v>
      </c>
      <c r="AC31" s="75">
        <v>0.3859554</v>
      </c>
      <c r="AD31" s="24">
        <v>0.6890987999999999</v>
      </c>
      <c r="AE31" s="24">
        <v>1.64</v>
      </c>
      <c r="AF31" s="24">
        <v>0.06</v>
      </c>
      <c r="AG31" s="24">
        <v>0.06</v>
      </c>
      <c r="AH31" s="24">
        <f t="shared" ref="AH31:AI31" si="41">AH4+AH40+AH49</f>
        <v>3.8087499999999719E-3</v>
      </c>
      <c r="AI31" s="25">
        <f t="shared" si="41"/>
        <v>3.8087499999999719E-3</v>
      </c>
      <c r="AK31" s="282">
        <v>3.8087499999999719E-3</v>
      </c>
      <c r="AL31" s="263">
        <f t="shared" si="30"/>
        <v>5.6191250000000026E-2</v>
      </c>
      <c r="AN31" s="151">
        <f t="shared" si="31"/>
        <v>21.249378455680169</v>
      </c>
      <c r="AO31" s="152">
        <f t="shared" si="32"/>
        <v>139.84134162368068</v>
      </c>
      <c r="AP31" s="152">
        <f t="shared" si="33"/>
        <v>224.09146881868756</v>
      </c>
      <c r="AQ31" s="152">
        <f t="shared" si="34"/>
        <v>65.428949864465579</v>
      </c>
      <c r="AR31" s="152">
        <f t="shared" si="35"/>
        <v>129.44731681952268</v>
      </c>
      <c r="AS31" s="152">
        <f t="shared" si="36"/>
        <v>294.75389376122246</v>
      </c>
      <c r="AT31" s="152">
        <f t="shared" si="37"/>
        <v>8.2016407041542241</v>
      </c>
      <c r="AU31" s="152">
        <f t="shared" si="38"/>
        <v>91.728157748524239</v>
      </c>
      <c r="AV31" s="152">
        <f t="shared" si="39"/>
        <v>150.25981680864504</v>
      </c>
      <c r="AW31" s="153">
        <f t="shared" si="40"/>
        <v>118.69492902661641</v>
      </c>
    </row>
    <row r="32" spans="1:49">
      <c r="A32" s="277" t="s">
        <v>731</v>
      </c>
      <c r="B32" s="22" t="s">
        <v>83</v>
      </c>
      <c r="C32" s="22" t="s">
        <v>132</v>
      </c>
      <c r="D32" s="22" t="s">
        <v>132</v>
      </c>
      <c r="E32" s="22" t="s">
        <v>26</v>
      </c>
      <c r="F32" s="72">
        <v>8.536740000000001E-2</v>
      </c>
      <c r="G32" s="24">
        <v>0.116378</v>
      </c>
      <c r="H32" s="24">
        <v>0.11844659999999996</v>
      </c>
      <c r="I32" s="24">
        <v>7.6998099999999958E-2</v>
      </c>
      <c r="J32" s="24">
        <v>0.12984169999999998</v>
      </c>
      <c r="K32" s="24">
        <v>0.10215139999999995</v>
      </c>
      <c r="L32" s="72">
        <v>9.0998799999999963E-2</v>
      </c>
      <c r="M32" s="24">
        <v>5.8912599999999996E-2</v>
      </c>
      <c r="N32" s="24">
        <v>0.10057569999999995</v>
      </c>
      <c r="O32" s="24">
        <v>7.6158599999999979E-2</v>
      </c>
      <c r="P32" s="24">
        <v>3.13511E-2</v>
      </c>
      <c r="Q32" s="24">
        <v>4.801890000000001E-2</v>
      </c>
      <c r="R32" s="24">
        <v>0.40979960000000015</v>
      </c>
      <c r="S32" s="24">
        <v>4.05914E-2</v>
      </c>
      <c r="T32" s="24">
        <v>3.0180799999999997E-2</v>
      </c>
      <c r="U32" s="24">
        <v>4.1785900000000008E-2</v>
      </c>
      <c r="V32" s="24">
        <v>4.2409000000000016E-2</v>
      </c>
      <c r="W32" s="24">
        <v>7.9512599999999989E-2</v>
      </c>
      <c r="X32" s="72">
        <v>3.2858600000000002E-2</v>
      </c>
      <c r="Y32" s="24">
        <v>9.541949999999999E-2</v>
      </c>
      <c r="Z32" s="24">
        <v>2.7910199999999993E-2</v>
      </c>
      <c r="AA32" s="24">
        <v>9.8095999999999989E-2</v>
      </c>
      <c r="AB32" s="24">
        <v>3.3074000000000013E-2</v>
      </c>
      <c r="AC32" s="24">
        <v>0.31751110000000005</v>
      </c>
      <c r="AD32" s="24">
        <v>0.86679019999999984</v>
      </c>
      <c r="AE32" s="24">
        <v>1.93</v>
      </c>
      <c r="AF32" s="24">
        <v>-0.05</v>
      </c>
      <c r="AG32" s="24">
        <v>0.01</v>
      </c>
      <c r="AH32" s="24">
        <f t="shared" ref="AH32:AI32" si="42">AH5+AH41+AH50</f>
        <v>-1.1273585833333349E-3</v>
      </c>
      <c r="AI32" s="25">
        <f t="shared" si="42"/>
        <v>-1.1273585833333349E-3</v>
      </c>
      <c r="AK32" s="282">
        <v>-1.1273585833333349E-3</v>
      </c>
      <c r="AL32" s="263">
        <f t="shared" si="30"/>
        <v>1.1127358583333335E-2</v>
      </c>
      <c r="AN32" s="154">
        <f t="shared" si="31"/>
        <v>23.931517569323621</v>
      </c>
      <c r="AO32" s="147">
        <f t="shared" si="32"/>
        <v>362.10210245144884</v>
      </c>
      <c r="AP32" s="147">
        <f t="shared" si="33"/>
        <v>527.75908156422292</v>
      </c>
      <c r="AQ32" s="147">
        <f t="shared" si="34"/>
        <v>62.35382979802155</v>
      </c>
      <c r="AR32" s="147">
        <f t="shared" si="35"/>
        <v>288.48784082155959</v>
      </c>
      <c r="AS32" s="147">
        <f t="shared" si="36"/>
        <v>571.56707905041435</v>
      </c>
      <c r="AT32" s="147">
        <f t="shared" si="37"/>
        <v>4.7311716526935719</v>
      </c>
      <c r="AU32" s="147">
        <f t="shared" si="38"/>
        <v>148.97684990999122</v>
      </c>
      <c r="AV32" s="147">
        <f t="shared" si="39"/>
        <v>427.53747991489598</v>
      </c>
      <c r="AW32" s="155">
        <f t="shared" si="40"/>
        <v>319.85345858385818</v>
      </c>
    </row>
    <row r="33" spans="1:49">
      <c r="A33" s="277" t="s">
        <v>731</v>
      </c>
      <c r="B33" s="22" t="s">
        <v>83</v>
      </c>
      <c r="C33" s="22" t="s">
        <v>132</v>
      </c>
      <c r="D33" s="22" t="s">
        <v>132</v>
      </c>
      <c r="E33" s="22" t="s">
        <v>28</v>
      </c>
      <c r="F33" s="72">
        <v>0.39616329100000003</v>
      </c>
      <c r="G33" s="24">
        <v>0.31202333199999999</v>
      </c>
      <c r="H33" s="24">
        <v>0.26876428800000002</v>
      </c>
      <c r="I33" s="24">
        <v>0.27060782599999994</v>
      </c>
      <c r="J33" s="24">
        <v>0.27296895599999993</v>
      </c>
      <c r="K33" s="24">
        <v>0.31634253199999979</v>
      </c>
      <c r="L33" s="72">
        <v>0.38614206799999984</v>
      </c>
      <c r="M33" s="24">
        <v>0.15513241400000008</v>
      </c>
      <c r="N33" s="24">
        <v>0.26936889399999991</v>
      </c>
      <c r="O33" s="24">
        <v>0.2071287680000001</v>
      </c>
      <c r="P33" s="24">
        <v>9.5336531999999988E-2</v>
      </c>
      <c r="Q33" s="24">
        <v>0.11079638600000001</v>
      </c>
      <c r="R33" s="24">
        <v>0.67077817599999989</v>
      </c>
      <c r="S33" s="24">
        <v>7.3553088000000003E-2</v>
      </c>
      <c r="T33" s="24">
        <v>8.7911616000000012E-2</v>
      </c>
      <c r="U33" s="24">
        <v>0.12462451999999999</v>
      </c>
      <c r="V33" s="24">
        <v>0.11084837299999997</v>
      </c>
      <c r="W33" s="24">
        <v>0.10788926</v>
      </c>
      <c r="X33" s="72">
        <v>9.6857771999999981E-2</v>
      </c>
      <c r="Y33" s="24">
        <v>0.44628896800000001</v>
      </c>
      <c r="Z33" s="24">
        <v>8.4144426999999994E-2</v>
      </c>
      <c r="AA33" s="24">
        <v>0.5957774629999999</v>
      </c>
      <c r="AB33" s="24">
        <v>-6.3395888000000011E-2</v>
      </c>
      <c r="AC33" s="24">
        <v>-5.8466015100000046E-2</v>
      </c>
      <c r="AD33" s="24">
        <v>0.22107719999999997</v>
      </c>
      <c r="AE33" s="24">
        <v>0.23</v>
      </c>
      <c r="AF33" s="24">
        <v>0.17</v>
      </c>
      <c r="AG33" s="24">
        <v>0.16</v>
      </c>
      <c r="AH33" s="24">
        <f t="shared" ref="AH33:AI33" si="43">AH6+AH42+AH51</f>
        <v>0.20319639536111112</v>
      </c>
      <c r="AI33" s="25">
        <f t="shared" si="43"/>
        <v>0.20319639536111112</v>
      </c>
      <c r="AK33" s="282">
        <v>0.20319639536111112</v>
      </c>
      <c r="AL33" s="263">
        <f t="shared" si="30"/>
        <v>-4.3196395361111112E-2</v>
      </c>
      <c r="AN33" s="154">
        <f t="shared" si="31"/>
        <v>128.38564995074805</v>
      </c>
      <c r="AO33" s="147">
        <f t="shared" si="32"/>
        <v>86.312715319861724</v>
      </c>
      <c r="AP33" s="147">
        <f t="shared" si="33"/>
        <v>81.628572569198212</v>
      </c>
      <c r="AQ33" s="147">
        <f t="shared" si="34"/>
        <v>77.381890183976552</v>
      </c>
      <c r="AR33" s="147">
        <f t="shared" si="35"/>
        <v>114.67686842375211</v>
      </c>
      <c r="AS33" s="147">
        <f t="shared" si="36"/>
        <v>74.626916603960623</v>
      </c>
      <c r="AT33" s="147">
        <f t="shared" si="37"/>
        <v>164.95492755202474</v>
      </c>
      <c r="AU33" s="147">
        <f t="shared" si="38"/>
        <v>89.974848629231332</v>
      </c>
      <c r="AV33" s="147">
        <f t="shared" si="39"/>
        <v>101.00926394402583</v>
      </c>
      <c r="AW33" s="155">
        <f t="shared" si="40"/>
        <v>95.380999746209525</v>
      </c>
    </row>
    <row r="34" spans="1:49">
      <c r="A34" s="277" t="s">
        <v>731</v>
      </c>
      <c r="B34" s="22" t="s">
        <v>83</v>
      </c>
      <c r="C34" s="22" t="s">
        <v>132</v>
      </c>
      <c r="D34" s="22" t="s">
        <v>132</v>
      </c>
      <c r="E34" s="22" t="s">
        <v>129</v>
      </c>
      <c r="F34" s="72">
        <v>0.17553365399999998</v>
      </c>
      <c r="G34" s="24">
        <v>0.21266818800000001</v>
      </c>
      <c r="H34" s="24">
        <v>0.14207019600000004</v>
      </c>
      <c r="I34" s="24">
        <v>0.16466547000000009</v>
      </c>
      <c r="J34" s="24">
        <v>0.19138522799999999</v>
      </c>
      <c r="K34" s="24">
        <v>0.14263189600000004</v>
      </c>
      <c r="L34" s="72">
        <v>0.18884948400000007</v>
      </c>
      <c r="M34" s="24">
        <v>0.15911879400000001</v>
      </c>
      <c r="N34" s="24">
        <v>0.16132208600000003</v>
      </c>
      <c r="O34" s="24">
        <v>0.20390256000000007</v>
      </c>
      <c r="P34" s="24">
        <v>0.13832564399999997</v>
      </c>
      <c r="Q34" s="24">
        <v>0.11481071400000004</v>
      </c>
      <c r="R34" s="24">
        <v>8.9165159999999993E-2</v>
      </c>
      <c r="S34" s="24">
        <v>0.38252454200000008</v>
      </c>
      <c r="T34" s="24">
        <v>0.15754526399999999</v>
      </c>
      <c r="U34" s="24">
        <v>0.28253360000000011</v>
      </c>
      <c r="V34" s="24">
        <v>0.20199119999999998</v>
      </c>
      <c r="W34" s="24">
        <v>0.33693530000000022</v>
      </c>
      <c r="X34" s="72">
        <v>0.27062600000000009</v>
      </c>
      <c r="Y34" s="24">
        <v>0.23562199999999997</v>
      </c>
      <c r="Z34" s="24">
        <v>0.25274620000000003</v>
      </c>
      <c r="AA34" s="24">
        <v>0.34857580000000005</v>
      </c>
      <c r="AB34" s="24">
        <v>0.11716920000000002</v>
      </c>
      <c r="AC34" s="24">
        <v>0.26542890000000002</v>
      </c>
      <c r="AD34" s="24">
        <v>0.23451630000000004</v>
      </c>
      <c r="AE34" s="24">
        <v>0.28999999999999998</v>
      </c>
      <c r="AF34" s="24">
        <v>0.2</v>
      </c>
      <c r="AG34" s="24">
        <v>0.21</v>
      </c>
      <c r="AH34" s="24">
        <f t="shared" ref="AH34:AI34" si="44">AH7+AH43+AH52</f>
        <v>0.2431485383333333</v>
      </c>
      <c r="AI34" s="25">
        <f t="shared" si="44"/>
        <v>0.2431485383333333</v>
      </c>
      <c r="AK34" s="282">
        <v>0.2431485383333333</v>
      </c>
      <c r="AL34" s="263">
        <f t="shared" si="30"/>
        <v>-3.3148538333333311E-2</v>
      </c>
      <c r="AN34" s="154">
        <f t="shared" si="31"/>
        <v>74.327442824499428</v>
      </c>
      <c r="AO34" s="147">
        <f t="shared" si="32"/>
        <v>129.10319888721793</v>
      </c>
      <c r="AP34" s="147">
        <f t="shared" si="33"/>
        <v>102.4949021986792</v>
      </c>
      <c r="AQ34" s="147">
        <f t="shared" si="34"/>
        <v>149.02975859170189</v>
      </c>
      <c r="AR34" s="147">
        <f t="shared" si="35"/>
        <v>159.9806649288453</v>
      </c>
      <c r="AS34" s="147">
        <f t="shared" si="36"/>
        <v>115.14240929834152</v>
      </c>
      <c r="AT34" s="147">
        <f t="shared" si="37"/>
        <v>84.763347199293833</v>
      </c>
      <c r="AU34" s="147">
        <f t="shared" si="38"/>
        <v>154.20914255188634</v>
      </c>
      <c r="AV34" s="147">
        <f t="shared" si="39"/>
        <v>97.940181225284917</v>
      </c>
      <c r="AW34" s="155">
        <f t="shared" si="40"/>
        <v>120.43658058618223</v>
      </c>
    </row>
    <row r="35" spans="1:49">
      <c r="A35" s="277" t="s">
        <v>731</v>
      </c>
      <c r="B35" s="22" t="s">
        <v>83</v>
      </c>
      <c r="C35" s="22" t="s">
        <v>132</v>
      </c>
      <c r="D35" s="22" t="s">
        <v>132</v>
      </c>
      <c r="E35" s="22" t="s">
        <v>29</v>
      </c>
      <c r="F35" s="72">
        <v>3.6128927999999998E-2</v>
      </c>
      <c r="G35" s="24">
        <v>3.0517159999999995E-2</v>
      </c>
      <c r="H35" s="24">
        <v>5.980516000000001E-2</v>
      </c>
      <c r="I35" s="24">
        <v>3.5341779999999996E-2</v>
      </c>
      <c r="J35" s="24">
        <v>5.5571508000000006E-2</v>
      </c>
      <c r="K35" s="24">
        <v>5.0059044000000011E-2</v>
      </c>
      <c r="L35" s="72">
        <v>4.3019508000000005E-2</v>
      </c>
      <c r="M35" s="24">
        <v>1.378116E-3</v>
      </c>
      <c r="N35" s="24">
        <v>9.7461160000000008E-3</v>
      </c>
      <c r="O35" s="24">
        <v>2.0870348000000004E-2</v>
      </c>
      <c r="P35" s="24">
        <v>1.0287431999999999E-2</v>
      </c>
      <c r="Q35" s="24">
        <v>1.9932232000000001E-2</v>
      </c>
      <c r="R35" s="24">
        <v>7.597646399999998E-2</v>
      </c>
      <c r="S35" s="24">
        <v>1.569858E-2</v>
      </c>
      <c r="T35" s="24">
        <v>1.0186116E-2</v>
      </c>
      <c r="U35" s="24">
        <v>4.1343480000000004E-3</v>
      </c>
      <c r="V35" s="24">
        <v>3.1237267999999995E-2</v>
      </c>
      <c r="W35" s="24">
        <v>2.3967359999999997E-2</v>
      </c>
      <c r="X35" s="72">
        <v>8.8079999999999999E-3</v>
      </c>
      <c r="Y35" s="24">
        <v>-2.1740000000000002E-3</v>
      </c>
      <c r="Z35" s="24">
        <v>3.5833199999999996E-2</v>
      </c>
      <c r="AA35" s="24">
        <v>1.9833600000000003E-2</v>
      </c>
      <c r="AB35" s="24">
        <v>1.0186200000000001E-2</v>
      </c>
      <c r="AC35" s="24">
        <v>2.6494900000000002E-2</v>
      </c>
      <c r="AD35" s="24">
        <v>5.5128E-3</v>
      </c>
      <c r="AE35" s="24">
        <v>0.03</v>
      </c>
      <c r="AF35" s="24">
        <v>0.04</v>
      </c>
      <c r="AG35" s="24">
        <v>0.02</v>
      </c>
      <c r="AH35" s="24">
        <f t="shared" ref="AH35:AI35" si="45">AH8+AH44+AH53</f>
        <v>2.2121246666666667E-2</v>
      </c>
      <c r="AI35" s="25">
        <f t="shared" si="45"/>
        <v>2.2121246666666667E-2</v>
      </c>
      <c r="AK35" s="282">
        <v>2.2121246666666667E-2</v>
      </c>
      <c r="AL35" s="263">
        <f t="shared" si="30"/>
        <v>-2.1212466666666666E-3</v>
      </c>
      <c r="AN35" s="154">
        <f t="shared" si="31"/>
        <v>483.7522143757613</v>
      </c>
      <c r="AO35" s="147">
        <f t="shared" si="32"/>
        <v>92.077536985169601</v>
      </c>
      <c r="AP35" s="147">
        <f t="shared" si="33"/>
        <v>90.110233728018002</v>
      </c>
      <c r="AQ35" s="147">
        <f t="shared" si="34"/>
        <v>78.434182788259534</v>
      </c>
      <c r="AR35" s="147">
        <f t="shared" si="35"/>
        <v>110.6179031627552</v>
      </c>
      <c r="AS35" s="147">
        <f t="shared" si="36"/>
        <v>74.133065046579091</v>
      </c>
      <c r="AT35" s="147">
        <f t="shared" si="37"/>
        <v>108.26356918146574</v>
      </c>
      <c r="AU35" s="147">
        <f t="shared" si="38"/>
        <v>94.059080968623064</v>
      </c>
      <c r="AV35" s="147">
        <f t="shared" si="39"/>
        <v>86.696758948970967</v>
      </c>
      <c r="AW35" s="155">
        <f t="shared" si="40"/>
        <v>89.604665204350212</v>
      </c>
    </row>
    <row r="36" spans="1:49">
      <c r="A36" s="277" t="s">
        <v>731</v>
      </c>
      <c r="B36" s="22" t="s">
        <v>83</v>
      </c>
      <c r="C36" s="22" t="s">
        <v>132</v>
      </c>
      <c r="D36" s="22" t="s">
        <v>132</v>
      </c>
      <c r="E36" s="22" t="s">
        <v>30</v>
      </c>
      <c r="F36" s="72">
        <v>1.0098625999999999</v>
      </c>
      <c r="G36" s="24">
        <v>8.7635999999999981E-3</v>
      </c>
      <c r="H36" s="24">
        <v>4.0341599999999998E-2</v>
      </c>
      <c r="I36" s="24">
        <v>5.4923999999999997E-3</v>
      </c>
      <c r="J36" s="24">
        <v>9.9447999999999984E-3</v>
      </c>
      <c r="K36" s="24">
        <v>1.5073999999999997E-2</v>
      </c>
      <c r="L36" s="72">
        <v>3.2485199999999999E-2</v>
      </c>
      <c r="M36" s="24">
        <v>9.0545700000000007E-2</v>
      </c>
      <c r="N36" s="24">
        <v>4.3470000000000002E-3</v>
      </c>
      <c r="O36" s="24">
        <v>5.21188E-2</v>
      </c>
      <c r="P36" s="24">
        <v>5.5359599999999981E-2</v>
      </c>
      <c r="Q36" s="24">
        <v>4.2239463999999977E-2</v>
      </c>
      <c r="R36" s="24">
        <v>6.2906799999999985E-2</v>
      </c>
      <c r="S36" s="24">
        <v>5.9085999999999993E-2</v>
      </c>
      <c r="T36" s="24">
        <v>5.4131699999999998E-2</v>
      </c>
      <c r="U36" s="24">
        <v>3.5462399999999998E-2</v>
      </c>
      <c r="V36" s="24">
        <v>1.2000500000000004E-2</v>
      </c>
      <c r="W36" s="24">
        <v>6.5430799999999997E-2</v>
      </c>
      <c r="X36" s="72">
        <v>3.2185200000000004E-2</v>
      </c>
      <c r="Y36" s="24">
        <v>5.1874199999999995E-2</v>
      </c>
      <c r="Z36" s="24">
        <v>4.7497199999999996E-2</v>
      </c>
      <c r="AA36" s="24">
        <v>5.9743999999999998E-2</v>
      </c>
      <c r="AB36" s="24">
        <v>4.3288E-2</v>
      </c>
      <c r="AC36" s="24">
        <v>6.7779199999999998E-2</v>
      </c>
      <c r="AD36" s="24">
        <v>7.1962800000000007E-2</v>
      </c>
      <c r="AE36" s="24">
        <v>0.06</v>
      </c>
      <c r="AF36" s="24">
        <v>0.05</v>
      </c>
      <c r="AG36" s="24">
        <v>0.03</v>
      </c>
      <c r="AH36" s="24">
        <f t="shared" ref="AH36:AI36" si="46">AH9+AH45+AH54</f>
        <v>5.1527933333333324E-2</v>
      </c>
      <c r="AI36" s="25">
        <f t="shared" si="46"/>
        <v>5.1527933333333324E-2</v>
      </c>
      <c r="AK36" s="282">
        <v>5.1527933333333324E-2</v>
      </c>
      <c r="AL36" s="263">
        <f t="shared" si="30"/>
        <v>-2.1527933333333325E-2</v>
      </c>
      <c r="AN36" s="154">
        <f t="shared" si="31"/>
        <v>84.596643205197623</v>
      </c>
      <c r="AO36" s="147">
        <f t="shared" si="32"/>
        <v>105.24838261911418</v>
      </c>
      <c r="AP36" s="147">
        <f t="shared" si="33"/>
        <v>100.17765750148047</v>
      </c>
      <c r="AQ36" s="147">
        <f t="shared" si="34"/>
        <v>103.28055337699868</v>
      </c>
      <c r="AR36" s="147">
        <f t="shared" si="35"/>
        <v>114.08872357409538</v>
      </c>
      <c r="AS36" s="147">
        <f t="shared" si="36"/>
        <v>103.314871014538</v>
      </c>
      <c r="AT36" s="147">
        <f t="shared" si="37"/>
        <v>117.8594258728934</v>
      </c>
      <c r="AU36" s="147">
        <f t="shared" si="38"/>
        <v>109.12032563586935</v>
      </c>
      <c r="AV36" s="147">
        <f t="shared" si="39"/>
        <v>108.99613473015424</v>
      </c>
      <c r="AW36" s="155">
        <f t="shared" si="40"/>
        <v>109.05692244444735</v>
      </c>
    </row>
    <row r="37" spans="1:49">
      <c r="A37" s="277" t="s">
        <v>731</v>
      </c>
      <c r="B37" s="22" t="s">
        <v>83</v>
      </c>
      <c r="C37" s="22" t="s">
        <v>132</v>
      </c>
      <c r="D37" s="22" t="s">
        <v>132</v>
      </c>
      <c r="E37" s="22" t="s">
        <v>32</v>
      </c>
      <c r="F37" s="72">
        <v>4.0573223999999998E-2</v>
      </c>
      <c r="G37" s="24">
        <v>5.3346275999999998E-2</v>
      </c>
      <c r="H37" s="24">
        <v>3.4562375999999999E-2</v>
      </c>
      <c r="I37" s="24">
        <v>3.3059663999999996E-2</v>
      </c>
      <c r="J37" s="24">
        <v>3.5313731999999994E-2</v>
      </c>
      <c r="K37" s="24">
        <v>4.3578647999999991E-2</v>
      </c>
      <c r="L37" s="72">
        <v>4.7335427999999999E-2</v>
      </c>
      <c r="M37" s="24">
        <v>4.5770102999999999E-2</v>
      </c>
      <c r="N37" s="24">
        <v>5.4097632E-2</v>
      </c>
      <c r="O37" s="24">
        <v>1.6529831999999998E-2</v>
      </c>
      <c r="P37" s="24">
        <v>6.0859835999999987E-2</v>
      </c>
      <c r="Q37" s="24">
        <v>4.2827291999999996E-2</v>
      </c>
      <c r="R37" s="24">
        <v>5.6351699999999998E-2</v>
      </c>
      <c r="S37" s="24">
        <v>4.8086784E-2</v>
      </c>
      <c r="T37" s="24">
        <v>9.8049387000000016E-2</v>
      </c>
      <c r="U37" s="24">
        <v>8.1480000000000007E-3</v>
      </c>
      <c r="V37" s="24">
        <v>4.8484799999999995E-2</v>
      </c>
      <c r="W37" s="24">
        <v>8.6461200000000016E-2</v>
      </c>
      <c r="X37" s="72">
        <v>3.5809199999999999E-2</v>
      </c>
      <c r="Y37" s="24">
        <v>7.4146799999999985E-2</v>
      </c>
      <c r="Z37" s="24">
        <v>6.3025200000000003E-2</v>
      </c>
      <c r="AA37" s="24">
        <v>0.11863320000000001</v>
      </c>
      <c r="AB37" s="24">
        <v>1.7685869999999999E-2</v>
      </c>
      <c r="AC37" s="24">
        <v>6.8529627600000018E-2</v>
      </c>
      <c r="AD37" s="24">
        <v>7.4071200000000031E-2</v>
      </c>
      <c r="AE37" s="24">
        <v>0.1</v>
      </c>
      <c r="AF37" s="24">
        <v>7.0000000000000007E-2</v>
      </c>
      <c r="AG37" s="24">
        <v>0.06</v>
      </c>
      <c r="AH37" s="24">
        <f t="shared" ref="AH37:AI37" si="47">AH10+AH46+AH55</f>
        <v>6.6438146805555556E-2</v>
      </c>
      <c r="AI37" s="25">
        <f t="shared" si="47"/>
        <v>6.6438146805555556E-2</v>
      </c>
      <c r="AK37" s="282">
        <v>6.6438146805555556E-2</v>
      </c>
      <c r="AL37" s="263">
        <f t="shared" si="30"/>
        <v>-6.4381468055555585E-3</v>
      </c>
      <c r="AN37" s="154">
        <f t="shared" si="31"/>
        <v>736.37702503681874</v>
      </c>
      <c r="AO37" s="147">
        <f t="shared" si="32"/>
        <v>142.64042416755058</v>
      </c>
      <c r="AP37" s="147">
        <f t="shared" si="33"/>
        <v>144.35869757435572</v>
      </c>
      <c r="AQ37" s="147">
        <f t="shared" si="34"/>
        <v>117.51187710552115</v>
      </c>
      <c r="AR37" s="147">
        <f t="shared" si="35"/>
        <v>170.39916630731642</v>
      </c>
      <c r="AS37" s="147">
        <f t="shared" si="36"/>
        <v>120.53620732670947</v>
      </c>
      <c r="AT37" s="147">
        <f t="shared" si="37"/>
        <v>134.78992383406089</v>
      </c>
      <c r="AU37" s="147">
        <f t="shared" si="38"/>
        <v>141.28701062634693</v>
      </c>
      <c r="AV37" s="147">
        <f t="shared" si="39"/>
        <v>126.43819895607633</v>
      </c>
      <c r="AW37" s="155">
        <f t="shared" si="40"/>
        <v>132.91594467653744</v>
      </c>
    </row>
    <row r="38" spans="1:49">
      <c r="A38" s="278" t="s">
        <v>731</v>
      </c>
      <c r="B38" s="31" t="s">
        <v>83</v>
      </c>
      <c r="C38" s="31" t="s">
        <v>132</v>
      </c>
      <c r="D38" s="31" t="s">
        <v>132</v>
      </c>
      <c r="E38" s="31" t="s">
        <v>131</v>
      </c>
      <c r="F38" s="74"/>
      <c r="G38" s="32"/>
      <c r="H38" s="32"/>
      <c r="I38" s="32"/>
      <c r="J38" s="32"/>
      <c r="K38" s="32"/>
      <c r="L38" s="74"/>
      <c r="M38" s="32"/>
      <c r="N38" s="32"/>
      <c r="O38" s="32"/>
      <c r="P38" s="32"/>
      <c r="Q38" s="32">
        <v>0</v>
      </c>
      <c r="R38" s="32">
        <v>0</v>
      </c>
      <c r="S38" s="32">
        <v>6.0480000000000004E-3</v>
      </c>
      <c r="T38" s="32">
        <v>0.35683199999999998</v>
      </c>
      <c r="U38" s="32">
        <v>2.3519999999999999E-2</v>
      </c>
      <c r="V38" s="32">
        <v>7.8511999999999998E-2</v>
      </c>
      <c r="W38" s="32">
        <v>6.1151999999999998E-2</v>
      </c>
      <c r="X38" s="74">
        <v>2.2848E-2</v>
      </c>
      <c r="Y38" s="32">
        <v>4.3568000000000003E-2</v>
      </c>
      <c r="Z38" s="32">
        <v>4.8384000000000003E-2</v>
      </c>
      <c r="AA38" s="32">
        <v>6.4399999999999999E-2</v>
      </c>
      <c r="AB38" s="32">
        <v>2.6207999999999999E-2</v>
      </c>
      <c r="AC38" s="32">
        <v>3.7631999999999999E-2</v>
      </c>
      <c r="AD38" s="32">
        <v>3.9648000000000003E-2</v>
      </c>
      <c r="AE38" s="32">
        <v>0.05</v>
      </c>
      <c r="AF38" s="32">
        <v>0.03</v>
      </c>
      <c r="AG38" s="32">
        <v>0.04</v>
      </c>
      <c r="AH38" s="32">
        <f t="shared" ref="AH38:AI38" si="48">AH11+AH47+AH56</f>
        <v>5.3337278250000002E-2</v>
      </c>
      <c r="AI38" s="33">
        <f t="shared" si="48"/>
        <v>5.3337278250000002E-2</v>
      </c>
      <c r="AK38" s="283">
        <v>0.25333727825000002</v>
      </c>
      <c r="AL38" s="264">
        <f t="shared" si="30"/>
        <v>-0.21333727825000001</v>
      </c>
      <c r="AN38" s="82">
        <f t="shared" si="31"/>
        <v>170.06802721088437</v>
      </c>
      <c r="AO38" s="83">
        <f t="shared" si="32"/>
        <v>104.21532091097309</v>
      </c>
      <c r="AP38" s="83">
        <f t="shared" si="33"/>
        <v>41.316770186335411</v>
      </c>
      <c r="AQ38" s="83" t="str">
        <f t="shared" si="34"/>
        <v>NA</v>
      </c>
      <c r="AR38" s="83" t="str">
        <f t="shared" si="35"/>
        <v>NA</v>
      </c>
      <c r="AS38" s="83">
        <f t="shared" si="36"/>
        <v>32.971781305114639</v>
      </c>
      <c r="AT38" s="83">
        <f t="shared" si="37"/>
        <v>89.882927554171971</v>
      </c>
      <c r="AU38" s="83" t="str">
        <f t="shared" si="38"/>
        <v>NA</v>
      </c>
      <c r="AV38" s="83">
        <f t="shared" si="39"/>
        <v>50.625504976580807</v>
      </c>
      <c r="AW38" s="84">
        <f t="shared" si="40"/>
        <v>96.825206913987643</v>
      </c>
    </row>
    <row r="39" spans="1:49" outlineLevel="1">
      <c r="A39" s="275" t="s">
        <v>731</v>
      </c>
      <c r="B39" s="100" t="s">
        <v>711</v>
      </c>
      <c r="C39" s="100" t="s">
        <v>25</v>
      </c>
      <c r="D39" s="100" t="s">
        <v>25</v>
      </c>
      <c r="E39" s="100" t="s">
        <v>83</v>
      </c>
      <c r="F39" s="202"/>
      <c r="G39" s="103"/>
      <c r="H39" s="103"/>
      <c r="I39" s="103"/>
      <c r="J39" s="103"/>
      <c r="K39" s="103"/>
      <c r="L39" s="202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202"/>
      <c r="Y39" s="103"/>
      <c r="Z39" s="103"/>
      <c r="AA39" s="103"/>
      <c r="AB39" s="103"/>
      <c r="AC39" s="103"/>
      <c r="AD39" s="103">
        <f>SUM(AD40:AD47)</f>
        <v>0</v>
      </c>
      <c r="AE39" s="103">
        <f>SUM(AE40:AE47)</f>
        <v>2.7303429999999995</v>
      </c>
      <c r="AF39" s="103">
        <f t="shared" ref="AF39" si="49">SUM(AF40:AF47)</f>
        <v>0.27356199999999986</v>
      </c>
      <c r="AG39" s="103">
        <f t="shared" ref="AG39" si="50">SUM(AG40:AG47)</f>
        <v>0.11</v>
      </c>
      <c r="AH39" s="103">
        <f t="shared" ref="AH39" si="51">SUM(AH40:AH47)</f>
        <v>-0.02</v>
      </c>
      <c r="AI39" s="104">
        <f t="shared" ref="AI39" si="52">SUM(AI40:AI47)</f>
        <v>-0.02</v>
      </c>
      <c r="AK39" s="250"/>
    </row>
    <row r="40" spans="1:49" outlineLevel="1">
      <c r="A40" s="276" t="s">
        <v>731</v>
      </c>
      <c r="B40" s="92" t="s">
        <v>711</v>
      </c>
      <c r="C40" s="22" t="s">
        <v>132</v>
      </c>
      <c r="D40" s="22" t="s">
        <v>132</v>
      </c>
      <c r="E40" s="22" t="s">
        <v>128</v>
      </c>
      <c r="F40" s="76"/>
      <c r="G40" s="75"/>
      <c r="H40" s="75"/>
      <c r="I40" s="75"/>
      <c r="J40" s="75"/>
      <c r="K40" s="75"/>
      <c r="L40" s="76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6"/>
      <c r="Y40" s="75"/>
      <c r="Z40" s="75"/>
      <c r="AA40" s="75"/>
      <c r="AB40" s="75"/>
      <c r="AC40" s="75"/>
      <c r="AD40" s="24"/>
      <c r="AE40" s="24">
        <f>(608.8*2+746.9*3+642*5)*350*60%/1000000+N("P3 HS 30cm Labs 2U+3U+4B")-0.28*0.5/2+N("Labs HS uplift")</f>
        <v>1.3303429999999996</v>
      </c>
      <c r="AF40" s="24">
        <f>(608.8*2+746.9*3+642*5)*350*40%/1000000+N("P3 HS 30cm Labs 2U+3U+4B")-0.28*0.5+N("Labs HS uplift")-0.5</f>
        <v>0.29356199999999988</v>
      </c>
      <c r="AG40" s="24">
        <f>-0.28*0.5/2+N("Labs HS uplift")</f>
        <v>-7.0000000000000007E-2</v>
      </c>
      <c r="AI40" s="42"/>
      <c r="AK40" s="250"/>
    </row>
    <row r="41" spans="1:49" outlineLevel="1">
      <c r="A41" s="277" t="s">
        <v>731</v>
      </c>
      <c r="B41" s="22" t="s">
        <v>711</v>
      </c>
      <c r="C41" s="22" t="s">
        <v>132</v>
      </c>
      <c r="D41" s="22" t="s">
        <v>132</v>
      </c>
      <c r="E41" s="22" t="s">
        <v>26</v>
      </c>
      <c r="F41" s="72"/>
      <c r="G41" s="24"/>
      <c r="H41" s="24"/>
      <c r="I41" s="24"/>
      <c r="J41" s="24"/>
      <c r="K41" s="24"/>
      <c r="L41" s="72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72"/>
      <c r="Y41" s="24"/>
      <c r="Z41" s="24"/>
      <c r="AA41" s="24"/>
      <c r="AB41" s="24"/>
      <c r="AC41" s="24"/>
      <c r="AE41" s="24">
        <v>1.4</v>
      </c>
      <c r="AF41" s="22">
        <v>-0.02</v>
      </c>
      <c r="AG41" s="22">
        <v>-0.02</v>
      </c>
      <c r="AH41" s="22">
        <v>-0.02</v>
      </c>
      <c r="AI41" s="23">
        <v>-0.02</v>
      </c>
    </row>
    <row r="42" spans="1:49" outlineLevel="1">
      <c r="A42" s="277" t="s">
        <v>731</v>
      </c>
      <c r="B42" s="22" t="s">
        <v>711</v>
      </c>
      <c r="C42" s="22" t="s">
        <v>132</v>
      </c>
      <c r="D42" s="22" t="s">
        <v>132</v>
      </c>
      <c r="E42" s="22" t="s">
        <v>28</v>
      </c>
      <c r="F42" s="72"/>
      <c r="G42" s="24"/>
      <c r="H42" s="24"/>
      <c r="I42" s="24"/>
      <c r="J42" s="24"/>
      <c r="K42" s="24"/>
      <c r="L42" s="72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72"/>
      <c r="Y42" s="24"/>
      <c r="Z42" s="24"/>
      <c r="AA42" s="24"/>
      <c r="AB42" s="24"/>
      <c r="AC42" s="24"/>
      <c r="AI42" s="42"/>
    </row>
    <row r="43" spans="1:49" outlineLevel="1">
      <c r="A43" s="277" t="s">
        <v>731</v>
      </c>
      <c r="B43" s="22" t="s">
        <v>711</v>
      </c>
      <c r="C43" s="22" t="s">
        <v>132</v>
      </c>
      <c r="D43" s="22" t="s">
        <v>132</v>
      </c>
      <c r="E43" s="22" t="s">
        <v>129</v>
      </c>
      <c r="F43" s="72"/>
      <c r="G43" s="24"/>
      <c r="H43" s="24"/>
      <c r="I43" s="24"/>
      <c r="J43" s="24"/>
      <c r="K43" s="24"/>
      <c r="L43" s="72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72"/>
      <c r="Y43" s="24"/>
      <c r="Z43" s="24"/>
      <c r="AA43" s="24"/>
      <c r="AB43" s="24"/>
      <c r="AC43" s="24"/>
      <c r="AI43" s="42"/>
    </row>
    <row r="44" spans="1:49" outlineLevel="1">
      <c r="A44" s="277" t="s">
        <v>731</v>
      </c>
      <c r="B44" s="22" t="s">
        <v>711</v>
      </c>
      <c r="C44" s="22" t="s">
        <v>132</v>
      </c>
      <c r="D44" s="22" t="s">
        <v>132</v>
      </c>
      <c r="E44" s="22" t="s">
        <v>29</v>
      </c>
      <c r="F44" s="72"/>
      <c r="G44" s="24"/>
      <c r="H44" s="24"/>
      <c r="I44" s="24"/>
      <c r="J44" s="24"/>
      <c r="K44" s="24"/>
      <c r="L44" s="72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72"/>
      <c r="Y44" s="24"/>
      <c r="Z44" s="24"/>
      <c r="AA44" s="24"/>
      <c r="AB44" s="24"/>
      <c r="AC44" s="24"/>
      <c r="AI44" s="42"/>
    </row>
    <row r="45" spans="1:49" outlineLevel="1">
      <c r="A45" s="277" t="s">
        <v>731</v>
      </c>
      <c r="B45" s="22" t="s">
        <v>711</v>
      </c>
      <c r="C45" s="22" t="s">
        <v>132</v>
      </c>
      <c r="D45" s="22" t="s">
        <v>132</v>
      </c>
      <c r="E45" s="22" t="s">
        <v>30</v>
      </c>
      <c r="F45" s="72"/>
      <c r="G45" s="24"/>
      <c r="H45" s="24"/>
      <c r="I45" s="24"/>
      <c r="J45" s="24"/>
      <c r="K45" s="24"/>
      <c r="L45" s="72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72"/>
      <c r="Y45" s="24"/>
      <c r="Z45" s="24"/>
      <c r="AA45" s="24"/>
      <c r="AB45" s="24"/>
      <c r="AC45" s="24"/>
      <c r="AI45" s="42"/>
    </row>
    <row r="46" spans="1:49" outlineLevel="1">
      <c r="A46" s="277" t="s">
        <v>731</v>
      </c>
      <c r="B46" s="22" t="s">
        <v>711</v>
      </c>
      <c r="C46" s="22" t="s">
        <v>132</v>
      </c>
      <c r="D46" s="22" t="s">
        <v>132</v>
      </c>
      <c r="E46" s="22" t="s">
        <v>32</v>
      </c>
      <c r="F46" s="72"/>
      <c r="G46" s="24"/>
      <c r="H46" s="24"/>
      <c r="I46" s="24"/>
      <c r="J46" s="24"/>
      <c r="K46" s="24"/>
      <c r="L46" s="72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72"/>
      <c r="Y46" s="24"/>
      <c r="Z46" s="24"/>
      <c r="AA46" s="24"/>
      <c r="AB46" s="24"/>
      <c r="AC46" s="24"/>
      <c r="AI46" s="42"/>
    </row>
    <row r="47" spans="1:49" outlineLevel="1">
      <c r="A47" s="278" t="s">
        <v>731</v>
      </c>
      <c r="B47" s="31" t="s">
        <v>711</v>
      </c>
      <c r="C47" s="31" t="s">
        <v>132</v>
      </c>
      <c r="D47" s="31" t="s">
        <v>132</v>
      </c>
      <c r="E47" s="31" t="s">
        <v>131</v>
      </c>
      <c r="F47" s="74"/>
      <c r="G47" s="32"/>
      <c r="H47" s="32"/>
      <c r="I47" s="32"/>
      <c r="J47" s="32"/>
      <c r="K47" s="32"/>
      <c r="L47" s="74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74"/>
      <c r="Y47" s="32"/>
      <c r="Z47" s="32"/>
      <c r="AA47" s="32"/>
      <c r="AB47" s="32"/>
      <c r="AC47" s="32"/>
      <c r="AD47" s="66"/>
      <c r="AE47" s="66"/>
      <c r="AF47" s="66"/>
      <c r="AG47" s="31">
        <v>0.2</v>
      </c>
      <c r="AH47" s="66"/>
      <c r="AI47" s="71"/>
      <c r="AK47" s="250"/>
    </row>
    <row r="48" spans="1:49" outlineLevel="1">
      <c r="A48" s="275" t="s">
        <v>731</v>
      </c>
      <c r="B48" s="100" t="s">
        <v>713</v>
      </c>
      <c r="C48" s="100" t="s">
        <v>25</v>
      </c>
      <c r="D48" s="100" t="s">
        <v>25</v>
      </c>
      <c r="E48" s="100" t="s">
        <v>83</v>
      </c>
      <c r="F48" s="202"/>
      <c r="G48" s="103"/>
      <c r="H48" s="103"/>
      <c r="I48" s="103"/>
      <c r="J48" s="103"/>
      <c r="K48" s="103"/>
      <c r="L48" s="202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202"/>
      <c r="Y48" s="103"/>
      <c r="Z48" s="103"/>
      <c r="AA48" s="103"/>
      <c r="AB48" s="103"/>
      <c r="AC48" s="103"/>
      <c r="AD48" s="103">
        <f>SUM(AD49:AD56)</f>
        <v>0.22000000000000003</v>
      </c>
      <c r="AE48" s="103">
        <f t="shared" ref="AE48" si="53">SUM(AE49:AE56)</f>
        <v>-0.23</v>
      </c>
      <c r="AF48" s="103">
        <f t="shared" ref="AF48" si="54">SUM(AF49:AF56)</f>
        <v>-0.34</v>
      </c>
      <c r="AG48" s="103">
        <f t="shared" ref="AG48" si="55">SUM(AG49:AG56)</f>
        <v>-0.34</v>
      </c>
      <c r="AH48" s="103">
        <f t="shared" ref="AH48" si="56">SUM(AH49:AH56)</f>
        <v>-0.34</v>
      </c>
      <c r="AI48" s="104">
        <f t="shared" ref="AI48" si="57">SUM(AI49:AI56)</f>
        <v>-0.34</v>
      </c>
      <c r="AK48" s="250"/>
    </row>
    <row r="49" spans="1:49" outlineLevel="1">
      <c r="A49" s="276" t="s">
        <v>731</v>
      </c>
      <c r="B49" s="92" t="s">
        <v>713</v>
      </c>
      <c r="C49" s="22" t="s">
        <v>132</v>
      </c>
      <c r="D49" s="22" t="s">
        <v>132</v>
      </c>
      <c r="E49" s="22" t="s">
        <v>128</v>
      </c>
      <c r="F49" s="76"/>
      <c r="G49" s="75"/>
      <c r="H49" s="75"/>
      <c r="I49" s="75"/>
      <c r="J49" s="75"/>
      <c r="K49" s="75"/>
      <c r="L49" s="76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6"/>
      <c r="Y49" s="75"/>
      <c r="Z49" s="75"/>
      <c r="AA49" s="75"/>
      <c r="AB49" s="75"/>
      <c r="AC49" s="75"/>
      <c r="AD49" s="22">
        <f>0.28-0.06</f>
        <v>0.22000000000000003</v>
      </c>
      <c r="AE49" s="22">
        <v>-0.17</v>
      </c>
      <c r="AF49" s="22">
        <v>-0.28000000000000003</v>
      </c>
      <c r="AG49" s="22">
        <v>-0.28000000000000003</v>
      </c>
      <c r="AH49" s="22">
        <v>-0.28000000000000003</v>
      </c>
      <c r="AI49" s="23">
        <v>-0.28000000000000003</v>
      </c>
      <c r="AK49" s="250"/>
    </row>
    <row r="50" spans="1:49" outlineLevel="1">
      <c r="A50" s="277" t="s">
        <v>731</v>
      </c>
      <c r="B50" s="22" t="s">
        <v>713</v>
      </c>
      <c r="C50" s="22" t="s">
        <v>132</v>
      </c>
      <c r="D50" s="22" t="s">
        <v>132</v>
      </c>
      <c r="E50" s="22" t="s">
        <v>26</v>
      </c>
      <c r="F50" s="72"/>
      <c r="G50" s="24"/>
      <c r="H50" s="24"/>
      <c r="I50" s="24"/>
      <c r="J50" s="24"/>
      <c r="K50" s="24"/>
      <c r="L50" s="72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72"/>
      <c r="Y50" s="24"/>
      <c r="Z50" s="24"/>
      <c r="AA50" s="24"/>
      <c r="AB50" s="24"/>
      <c r="AC50" s="24"/>
      <c r="AE50" s="22">
        <v>-0.06</v>
      </c>
      <c r="AF50" s="22">
        <v>-0.06</v>
      </c>
      <c r="AG50" s="22">
        <v>-0.06</v>
      </c>
      <c r="AH50" s="22">
        <v>-0.06</v>
      </c>
      <c r="AI50" s="23">
        <v>-0.06</v>
      </c>
    </row>
    <row r="51" spans="1:49" outlineLevel="1">
      <c r="A51" s="277" t="s">
        <v>731</v>
      </c>
      <c r="B51" s="22" t="s">
        <v>713</v>
      </c>
      <c r="C51" s="22" t="s">
        <v>132</v>
      </c>
      <c r="D51" s="22" t="s">
        <v>132</v>
      </c>
      <c r="E51" s="22" t="s">
        <v>28</v>
      </c>
      <c r="F51" s="72"/>
      <c r="G51" s="24"/>
      <c r="H51" s="24"/>
      <c r="I51" s="24"/>
      <c r="J51" s="24"/>
      <c r="K51" s="24"/>
      <c r="L51" s="72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72"/>
      <c r="Y51" s="24"/>
      <c r="Z51" s="24"/>
      <c r="AA51" s="24"/>
      <c r="AB51" s="24"/>
      <c r="AC51" s="24"/>
      <c r="AI51" s="42"/>
    </row>
    <row r="52" spans="1:49" outlineLevel="1">
      <c r="A52" s="277" t="s">
        <v>731</v>
      </c>
      <c r="B52" s="22" t="s">
        <v>713</v>
      </c>
      <c r="C52" s="22" t="s">
        <v>132</v>
      </c>
      <c r="D52" s="22" t="s">
        <v>132</v>
      </c>
      <c r="E52" s="22" t="s">
        <v>129</v>
      </c>
      <c r="F52" s="72"/>
      <c r="G52" s="24"/>
      <c r="H52" s="24"/>
      <c r="I52" s="24"/>
      <c r="J52" s="24"/>
      <c r="K52" s="24"/>
      <c r="L52" s="72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72"/>
      <c r="Y52" s="24"/>
      <c r="Z52" s="24"/>
      <c r="AA52" s="24"/>
      <c r="AB52" s="24"/>
      <c r="AC52" s="24"/>
      <c r="AI52" s="42"/>
    </row>
    <row r="53" spans="1:49" outlineLevel="1">
      <c r="A53" s="277" t="s">
        <v>731</v>
      </c>
      <c r="B53" s="22" t="s">
        <v>713</v>
      </c>
      <c r="C53" s="22" t="s">
        <v>132</v>
      </c>
      <c r="D53" s="22" t="s">
        <v>132</v>
      </c>
      <c r="E53" s="22" t="s">
        <v>29</v>
      </c>
      <c r="F53" s="72"/>
      <c r="G53" s="24"/>
      <c r="H53" s="24"/>
      <c r="I53" s="24"/>
      <c r="J53" s="24"/>
      <c r="K53" s="24"/>
      <c r="L53" s="72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72"/>
      <c r="Y53" s="24"/>
      <c r="Z53" s="24"/>
      <c r="AA53" s="24"/>
      <c r="AB53" s="24"/>
      <c r="AC53" s="24"/>
      <c r="AI53" s="42"/>
    </row>
    <row r="54" spans="1:49" outlineLevel="1">
      <c r="A54" s="277" t="s">
        <v>731</v>
      </c>
      <c r="B54" s="22" t="s">
        <v>713</v>
      </c>
      <c r="C54" s="22" t="s">
        <v>132</v>
      </c>
      <c r="D54" s="22" t="s">
        <v>132</v>
      </c>
      <c r="E54" s="22" t="s">
        <v>30</v>
      </c>
      <c r="F54" s="72"/>
      <c r="G54" s="24"/>
      <c r="H54" s="24"/>
      <c r="I54" s="24"/>
      <c r="J54" s="24"/>
      <c r="K54" s="24"/>
      <c r="L54" s="72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72"/>
      <c r="Y54" s="24"/>
      <c r="Z54" s="24"/>
      <c r="AA54" s="24"/>
      <c r="AB54" s="24"/>
      <c r="AC54" s="24"/>
      <c r="AI54" s="42"/>
    </row>
    <row r="55" spans="1:49" outlineLevel="1">
      <c r="A55" s="277" t="s">
        <v>731</v>
      </c>
      <c r="B55" s="22" t="s">
        <v>713</v>
      </c>
      <c r="C55" s="22" t="s">
        <v>132</v>
      </c>
      <c r="D55" s="22" t="s">
        <v>132</v>
      </c>
      <c r="E55" s="22" t="s">
        <v>32</v>
      </c>
      <c r="F55" s="72"/>
      <c r="G55" s="24"/>
      <c r="H55" s="24"/>
      <c r="I55" s="24"/>
      <c r="J55" s="24"/>
      <c r="K55" s="24"/>
      <c r="L55" s="72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72"/>
      <c r="Y55" s="24"/>
      <c r="Z55" s="24"/>
      <c r="AA55" s="24"/>
      <c r="AB55" s="24"/>
      <c r="AC55" s="24"/>
      <c r="AI55" s="42"/>
    </row>
    <row r="56" spans="1:49" outlineLevel="1">
      <c r="A56" s="278" t="s">
        <v>731</v>
      </c>
      <c r="B56" s="31" t="s">
        <v>713</v>
      </c>
      <c r="C56" s="31" t="s">
        <v>132</v>
      </c>
      <c r="D56" s="31" t="s">
        <v>132</v>
      </c>
      <c r="E56" s="31" t="s">
        <v>131</v>
      </c>
      <c r="F56" s="74"/>
      <c r="G56" s="32"/>
      <c r="H56" s="32"/>
      <c r="I56" s="32"/>
      <c r="J56" s="32"/>
      <c r="K56" s="32"/>
      <c r="L56" s="74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74"/>
      <c r="Y56" s="32"/>
      <c r="Z56" s="32"/>
      <c r="AA56" s="32"/>
      <c r="AB56" s="32"/>
      <c r="AC56" s="32"/>
      <c r="AD56" s="66"/>
      <c r="AE56" s="66"/>
      <c r="AF56" s="66"/>
      <c r="AG56" s="66"/>
      <c r="AH56" s="66"/>
      <c r="AI56" s="71"/>
      <c r="AK56" s="249"/>
    </row>
    <row r="57" spans="1:49">
      <c r="A57" s="279" t="s">
        <v>745</v>
      </c>
      <c r="B57" s="96" t="s">
        <v>83</v>
      </c>
      <c r="C57" s="96" t="s">
        <v>25</v>
      </c>
      <c r="D57" s="96" t="s">
        <v>25</v>
      </c>
      <c r="E57" s="96" t="s">
        <v>83</v>
      </c>
      <c r="F57" s="203">
        <v>1.7683540699999998</v>
      </c>
      <c r="G57" s="98">
        <v>0.89489586999999993</v>
      </c>
      <c r="H57" s="98">
        <v>0.60580963000000021</v>
      </c>
      <c r="I57" s="98">
        <v>2.44695565</v>
      </c>
      <c r="J57" s="98">
        <v>0.70861656000000017</v>
      </c>
      <c r="K57" s="98">
        <v>0.42492526000000003</v>
      </c>
      <c r="L57" s="203">
        <v>1.07662071</v>
      </c>
      <c r="M57" s="98">
        <v>0.92402120000000021</v>
      </c>
      <c r="N57" s="98">
        <v>0.94098436000000008</v>
      </c>
      <c r="O57" s="98">
        <v>0.89361154999999981</v>
      </c>
      <c r="P57" s="98">
        <v>0.38438559999999999</v>
      </c>
      <c r="Q57" s="98">
        <v>0.93171445000000019</v>
      </c>
      <c r="R57" s="98">
        <v>2.6744057299999997</v>
      </c>
      <c r="S57" s="98">
        <v>1.1516445500000001</v>
      </c>
      <c r="T57" s="98">
        <v>2.5171599999999996</v>
      </c>
      <c r="U57" s="98">
        <v>1.2234573399999999</v>
      </c>
      <c r="V57" s="98">
        <v>0.74396249999999997</v>
      </c>
      <c r="W57" s="98">
        <v>5.2201320000000002E-2</v>
      </c>
      <c r="X57" s="203">
        <v>0.97442130000000016</v>
      </c>
      <c r="Y57" s="98">
        <v>1.4117740000000001</v>
      </c>
      <c r="Z57" s="98">
        <v>1.46094422</v>
      </c>
      <c r="AA57" s="98">
        <v>1.3622729599999999</v>
      </c>
      <c r="AB57" s="98">
        <v>0.78819170000000005</v>
      </c>
      <c r="AC57" s="98">
        <v>0.73841127000000006</v>
      </c>
      <c r="AD57" s="98">
        <v>4.0343031000000007</v>
      </c>
      <c r="AE57" s="98">
        <v>1.28697266</v>
      </c>
      <c r="AF57" s="98">
        <v>0.97181319999999993</v>
      </c>
      <c r="AG57" s="98">
        <v>0.43695924999999997</v>
      </c>
      <c r="AH57" s="98">
        <f t="shared" ref="AH57:AI57" si="58">AH30+AH58</f>
        <v>0.64245093016666666</v>
      </c>
      <c r="AI57" s="99">
        <f t="shared" si="58"/>
        <v>0.64245093016666666</v>
      </c>
      <c r="AK57" s="281">
        <v>0.84245093016666672</v>
      </c>
      <c r="AL57" s="281">
        <f>AG57-AK57</f>
        <v>-0.40549168016666676</v>
      </c>
      <c r="AN57" s="156">
        <f t="shared" ref="AN57" si="59">IFERROR(AG57/U57*100,"NA")</f>
        <v>35.715119417240984</v>
      </c>
      <c r="AO57" s="157">
        <f t="shared" ref="AO57" si="60">IFERROR(SUM(X57:AG57)/SUM(L57:U57)*100,"NA")</f>
        <v>105.88188274166251</v>
      </c>
      <c r="AP57" s="157">
        <f t="shared" ref="AP57" si="61">IFERROR(SUM(AD57:AG57)/SUM(R57:U57)*100,"NA")</f>
        <v>88.943357208017574</v>
      </c>
      <c r="AQ57" s="157">
        <f t="shared" ref="AQ57" si="62">IFERROR(SUM(X57:Z57)/SUM(L57:N57)*100,"NA")</f>
        <v>130.78274283972857</v>
      </c>
      <c r="AR57" s="157">
        <f t="shared" ref="AR57" si="63">IFERROR(SUM(AA57:AC57)/SUM(O57:Q57)*100,"NA")</f>
        <v>130.73542855094757</v>
      </c>
      <c r="AS57" s="157">
        <f t="shared" ref="AS57" si="64">IFERROR(SUM(AD57:AF57)/SUM(R57:T57)*100,"NA")</f>
        <v>99.209843000821991</v>
      </c>
      <c r="AT57" s="157">
        <f t="shared" ref="AT57" si="65">IFERROR(SUM(AG57:AI57)/SUM(U57:W57)*100,"NA")</f>
        <v>85.25663844467411</v>
      </c>
      <c r="AU57" s="157">
        <f t="shared" ref="AU57" si="66">IFERROR(SUM(X57:AC57)/SUM(L57:Q57)*100,"NA")</f>
        <v>130.76244696021072</v>
      </c>
      <c r="AV57" s="157">
        <f t="shared" ref="AV57" si="67">IFERROR(SUM(AD57:AI57)/SUM(R57:W57)*100,"NA")</f>
        <v>95.840148493215779</v>
      </c>
      <c r="AW57" s="158">
        <f t="shared" ref="AW57" si="68">IFERROR(SUM(X57:AI57)/SUM(L57:W57)*100,"NA")</f>
        <v>109.15184782699259</v>
      </c>
    </row>
    <row r="58" spans="1:49" outlineLevel="1">
      <c r="A58" s="280" t="s">
        <v>745</v>
      </c>
      <c r="B58" s="213" t="s">
        <v>713</v>
      </c>
      <c r="C58" s="213" t="s">
        <v>132</v>
      </c>
      <c r="D58" s="213" t="s">
        <v>132</v>
      </c>
      <c r="E58" s="213" t="s">
        <v>83</v>
      </c>
      <c r="F58" s="214"/>
      <c r="G58" s="215"/>
      <c r="H58" s="215"/>
      <c r="I58" s="215"/>
      <c r="J58" s="215"/>
      <c r="K58" s="215"/>
      <c r="L58" s="214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4"/>
      <c r="Y58" s="215"/>
      <c r="Z58" s="215"/>
      <c r="AA58" s="215"/>
      <c r="AB58" s="215"/>
      <c r="AC58" s="215"/>
      <c r="AD58" s="213"/>
      <c r="AE58" s="215">
        <v>-1</v>
      </c>
      <c r="AF58" s="213"/>
      <c r="AG58" s="213"/>
      <c r="AH58" s="213"/>
      <c r="AI58" s="218"/>
      <c r="AK58" s="250"/>
      <c r="AL58" s="250"/>
    </row>
    <row r="59" spans="1:49">
      <c r="AL59" s="250"/>
    </row>
    <row r="60" spans="1:49">
      <c r="AL60" s="250"/>
    </row>
    <row r="61" spans="1:49">
      <c r="AL61" s="250"/>
    </row>
    <row r="62" spans="1:49">
      <c r="AL62" s="250"/>
    </row>
    <row r="63" spans="1:49">
      <c r="AL63" s="250"/>
    </row>
    <row r="64" spans="1:49">
      <c r="AL64" s="250"/>
    </row>
    <row r="65" spans="38:38">
      <c r="AL65" s="250"/>
    </row>
  </sheetData>
  <phoneticPr fontId="5" type="noConversion"/>
  <conditionalFormatting sqref="AN3:AW11">
    <cfRule type="cellIs" dxfId="14" priority="10" operator="equal">
      <formula>"NA"</formula>
    </cfRule>
    <cfRule type="cellIs" dxfId="13" priority="11" operator="greaterThan">
      <formula>100</formula>
    </cfRule>
    <cfRule type="cellIs" dxfId="12" priority="12" operator="lessThan">
      <formula>100</formula>
    </cfRule>
  </conditionalFormatting>
  <conditionalFormatting sqref="AN30:AW38">
    <cfRule type="cellIs" dxfId="11" priority="4" operator="equal">
      <formula>"NA"</formula>
    </cfRule>
    <cfRule type="cellIs" dxfId="10" priority="5" operator="greaterThan">
      <formula>100</formula>
    </cfRule>
    <cfRule type="cellIs" dxfId="9" priority="6" operator="lessThan">
      <formula>100</formula>
    </cfRule>
  </conditionalFormatting>
  <conditionalFormatting sqref="AN57:AW57">
    <cfRule type="cellIs" dxfId="8" priority="1" operator="equal">
      <formula>"NA"</formula>
    </cfRule>
    <cfRule type="cellIs" dxfId="7" priority="2" operator="greaterThan">
      <formula>100</formula>
    </cfRule>
    <cfRule type="cellIs" dxfId="6" priority="3" operator="lessThan">
      <formula>100</formula>
    </cfRule>
  </conditionalFormatting>
  <pageMargins left="0.7" right="0.7" top="0.75" bottom="0.75" header="0.3" footer="0.3"/>
  <ignoredErrors>
    <ignoredError sqref="AE48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EF6FC-13CD-4445-9E87-870ED6AC1264}">
  <dimension ref="A1:AW63"/>
  <sheetViews>
    <sheetView zoomScale="80" zoomScaleNormal="80" workbookViewId="0">
      <pane xSplit="11" ySplit="3" topLeftCell="X25" activePane="bottomRight" state="frozen"/>
      <selection pane="topRight" activeCell="L1" sqref="L1"/>
      <selection pane="bottomLeft" activeCell="A4" sqref="A4"/>
      <selection pane="bottomRight" activeCell="AG60" sqref="AG60"/>
    </sheetView>
  </sheetViews>
  <sheetFormatPr defaultColWidth="9" defaultRowHeight="14.4" outlineLevelRow="1" outlineLevelCol="1"/>
  <cols>
    <col min="1" max="1" width="11.109375" style="46" bestFit="1" customWidth="1"/>
    <col min="2" max="2" width="9" style="46" customWidth="1"/>
    <col min="3" max="3" width="10" style="46" customWidth="1"/>
    <col min="4" max="4" width="7.109375" style="46" bestFit="1" customWidth="1"/>
    <col min="5" max="5" width="8.88671875" style="46" bestFit="1" customWidth="1"/>
    <col min="6" max="11" width="8.6640625" style="46" hidden="1" customWidth="1" outlineLevel="1"/>
    <col min="12" max="12" width="8.6640625" style="46" customWidth="1" collapsed="1"/>
    <col min="13" max="21" width="8.6640625" style="46" customWidth="1"/>
    <col min="22" max="22" width="9.109375" style="46" customWidth="1"/>
    <col min="23" max="23" width="8.6640625" style="46" customWidth="1"/>
    <col min="24" max="28" width="8.6640625" style="46" bestFit="1" customWidth="1"/>
    <col min="29" max="29" width="9.109375" style="46" bestFit="1" customWidth="1"/>
    <col min="30" max="35" width="8.44140625" style="46" customWidth="1"/>
    <col min="36" max="39" width="12.33203125" style="46" customWidth="1"/>
    <col min="40" max="42" width="8.88671875" style="46" customWidth="1"/>
    <col min="43" max="49" width="8.88671875" style="46" bestFit="1" customWidth="1"/>
    <col min="50" max="16384" width="9" style="46"/>
  </cols>
  <sheetData>
    <row r="1" spans="1:49">
      <c r="F1" s="148" t="s">
        <v>90</v>
      </c>
      <c r="G1" s="148" t="s">
        <v>90</v>
      </c>
      <c r="H1" s="148" t="s">
        <v>90</v>
      </c>
      <c r="I1" s="148" t="s">
        <v>90</v>
      </c>
      <c r="J1" s="148" t="s">
        <v>90</v>
      </c>
      <c r="K1" s="148" t="s">
        <v>90</v>
      </c>
      <c r="L1" s="148" t="s">
        <v>90</v>
      </c>
      <c r="M1" s="148" t="s">
        <v>90</v>
      </c>
      <c r="N1" s="148" t="s">
        <v>90</v>
      </c>
      <c r="O1" s="148" t="s">
        <v>90</v>
      </c>
      <c r="P1" s="148" t="s">
        <v>90</v>
      </c>
      <c r="Q1" s="148" t="s">
        <v>90</v>
      </c>
      <c r="R1" s="148" t="s">
        <v>90</v>
      </c>
      <c r="S1" s="148" t="s">
        <v>90</v>
      </c>
      <c r="T1" s="148" t="s">
        <v>90</v>
      </c>
      <c r="U1" s="148" t="s">
        <v>90</v>
      </c>
      <c r="V1" s="148" t="s">
        <v>90</v>
      </c>
      <c r="W1" s="148" t="s">
        <v>90</v>
      </c>
      <c r="X1" s="148" t="s">
        <v>90</v>
      </c>
      <c r="Y1" s="148" t="s">
        <v>90</v>
      </c>
      <c r="Z1" s="148" t="s">
        <v>90</v>
      </c>
      <c r="AA1" s="148" t="s">
        <v>90</v>
      </c>
      <c r="AB1" s="148" t="s">
        <v>90</v>
      </c>
      <c r="AC1" s="235" t="s">
        <v>90</v>
      </c>
      <c r="AD1" s="235" t="s">
        <v>90</v>
      </c>
      <c r="AE1" s="235" t="s">
        <v>90</v>
      </c>
      <c r="AF1" s="235" t="s">
        <v>90</v>
      </c>
      <c r="AG1" s="235" t="s">
        <v>90</v>
      </c>
      <c r="AH1" s="148" t="s">
        <v>719</v>
      </c>
      <c r="AI1" s="148" t="s">
        <v>719</v>
      </c>
      <c r="AK1" s="245" t="s">
        <v>751</v>
      </c>
      <c r="AL1" s="245"/>
    </row>
    <row r="2" spans="1:49" ht="15" thickBot="1">
      <c r="A2" s="44" t="s">
        <v>78</v>
      </c>
      <c r="B2" s="45" t="s">
        <v>89</v>
      </c>
      <c r="C2" s="45" t="s">
        <v>0</v>
      </c>
      <c r="D2" s="45" t="s">
        <v>79</v>
      </c>
      <c r="E2" s="45" t="s">
        <v>80</v>
      </c>
      <c r="F2" s="61">
        <v>202401</v>
      </c>
      <c r="G2" s="57">
        <v>202402</v>
      </c>
      <c r="H2" s="57">
        <v>202403</v>
      </c>
      <c r="I2" s="57">
        <v>202404</v>
      </c>
      <c r="J2" s="57">
        <v>202405</v>
      </c>
      <c r="K2" s="57">
        <v>202406</v>
      </c>
      <c r="L2" s="69">
        <v>202407</v>
      </c>
      <c r="M2" s="7">
        <v>202408</v>
      </c>
      <c r="N2" s="7">
        <v>202409</v>
      </c>
      <c r="O2" s="7">
        <v>202410</v>
      </c>
      <c r="P2" s="7">
        <v>202411</v>
      </c>
      <c r="Q2" s="7">
        <v>202412</v>
      </c>
      <c r="R2" s="7">
        <v>202501</v>
      </c>
      <c r="S2" s="7">
        <v>202502</v>
      </c>
      <c r="T2" s="7">
        <v>202503</v>
      </c>
      <c r="U2" s="7">
        <v>202504</v>
      </c>
      <c r="V2" s="7">
        <v>202505</v>
      </c>
      <c r="W2" s="10">
        <v>202506</v>
      </c>
      <c r="X2" s="8">
        <v>202507</v>
      </c>
      <c r="Y2" s="8">
        <v>202508</v>
      </c>
      <c r="Z2" s="8">
        <v>202509</v>
      </c>
      <c r="AA2" s="8">
        <v>202510</v>
      </c>
      <c r="AB2" s="8">
        <v>202511</v>
      </c>
      <c r="AC2" s="8">
        <v>202512</v>
      </c>
      <c r="AD2" s="8">
        <v>202601</v>
      </c>
      <c r="AE2" s="8">
        <v>202602</v>
      </c>
      <c r="AF2" s="8">
        <v>202603</v>
      </c>
      <c r="AG2" s="8">
        <v>202604</v>
      </c>
      <c r="AH2" s="8">
        <v>202605</v>
      </c>
      <c r="AI2" s="9">
        <v>202606</v>
      </c>
      <c r="AK2" s="245" t="s">
        <v>749</v>
      </c>
      <c r="AL2" s="246" t="s">
        <v>750</v>
      </c>
      <c r="AN2" s="144" t="s">
        <v>98</v>
      </c>
      <c r="AO2" s="145" t="s">
        <v>99</v>
      </c>
      <c r="AP2" s="145" t="s">
        <v>134</v>
      </c>
      <c r="AQ2" s="145" t="s">
        <v>91</v>
      </c>
      <c r="AR2" s="145" t="s">
        <v>92</v>
      </c>
      <c r="AS2" s="145" t="s">
        <v>93</v>
      </c>
      <c r="AT2" s="145" t="s">
        <v>94</v>
      </c>
      <c r="AU2" s="145" t="s">
        <v>95</v>
      </c>
      <c r="AV2" s="145" t="s">
        <v>96</v>
      </c>
      <c r="AW2" s="146" t="s">
        <v>97</v>
      </c>
    </row>
    <row r="3" spans="1:49" ht="15" thickTop="1">
      <c r="A3" s="252" t="s">
        <v>77</v>
      </c>
      <c r="B3" s="105" t="s">
        <v>83</v>
      </c>
      <c r="C3" s="105" t="s">
        <v>104</v>
      </c>
      <c r="D3" s="105" t="s">
        <v>105</v>
      </c>
      <c r="E3" s="105" t="s">
        <v>103</v>
      </c>
      <c r="F3" s="106">
        <f t="shared" ref="F3:AC3" si="0">SUM(F4:F8)</f>
        <v>3.776985985833333</v>
      </c>
      <c r="G3" s="107">
        <f t="shared" si="0"/>
        <v>5.4227941341666659</v>
      </c>
      <c r="H3" s="107">
        <f t="shared" si="0"/>
        <v>3.9762772691666668</v>
      </c>
      <c r="I3" s="107">
        <f t="shared" si="0"/>
        <v>2.9057808000000001</v>
      </c>
      <c r="J3" s="107">
        <f t="shared" si="0"/>
        <v>3.8329953374999999</v>
      </c>
      <c r="K3" s="107">
        <f t="shared" si="0"/>
        <v>3.5466866608333341</v>
      </c>
      <c r="L3" s="106">
        <f>SUM(L4:L8)</f>
        <v>4.8695032358333341</v>
      </c>
      <c r="M3" s="107">
        <f t="shared" si="0"/>
        <v>3.7218802575000005</v>
      </c>
      <c r="N3" s="107">
        <f t="shared" si="0"/>
        <v>4.879102907500001</v>
      </c>
      <c r="O3" s="107">
        <f t="shared" si="0"/>
        <v>6.9427730066666662</v>
      </c>
      <c r="P3" s="107">
        <f t="shared" si="0"/>
        <v>3.4056849791666668</v>
      </c>
      <c r="Q3" s="107">
        <f t="shared" si="0"/>
        <v>4.2605043108333334</v>
      </c>
      <c r="R3" s="107">
        <f t="shared" si="0"/>
        <v>6.7288987433333327</v>
      </c>
      <c r="S3" s="107">
        <f t="shared" si="0"/>
        <v>5.3082444616666669</v>
      </c>
      <c r="T3" s="107">
        <f t="shared" si="0"/>
        <v>3.4609148083333339</v>
      </c>
      <c r="U3" s="107">
        <f t="shared" si="0"/>
        <v>5.8759059175000008</v>
      </c>
      <c r="V3" s="107">
        <f t="shared" si="0"/>
        <v>10.694532313333335</v>
      </c>
      <c r="W3" s="108">
        <f t="shared" si="0"/>
        <v>4.6147653233333337</v>
      </c>
      <c r="X3" s="107">
        <f t="shared" si="0"/>
        <v>5.6037275633333339</v>
      </c>
      <c r="Y3" s="107">
        <f t="shared" si="0"/>
        <v>6.2154374558333334</v>
      </c>
      <c r="Z3" s="107">
        <f t="shared" si="0"/>
        <v>5.2433642016666662</v>
      </c>
      <c r="AA3" s="107">
        <f t="shared" si="0"/>
        <v>7.9624026666666659</v>
      </c>
      <c r="AB3" s="107">
        <f t="shared" si="0"/>
        <v>7.1444628199999993</v>
      </c>
      <c r="AC3" s="107">
        <f t="shared" si="0"/>
        <v>11.014674630833333</v>
      </c>
      <c r="AD3" s="107">
        <f>SUM(AD4:AD8)</f>
        <v>5.9713665391666666</v>
      </c>
      <c r="AE3" s="107">
        <f>SUM(AE4:AE8)</f>
        <v>6.8570419949999994</v>
      </c>
      <c r="AF3" s="107">
        <f t="shared" ref="AF3:AG3" si="1">SUM(AF4:AF8)</f>
        <v>4.5713876341666664</v>
      </c>
      <c r="AG3" s="107">
        <f t="shared" si="1"/>
        <v>6.4353207617592583</v>
      </c>
      <c r="AH3" s="107">
        <f t="shared" ref="AH3:AI3" si="2">SUM(AH4:AH9)</f>
        <v>7.6499999999999995</v>
      </c>
      <c r="AI3" s="108">
        <f t="shared" si="2"/>
        <v>9.15</v>
      </c>
      <c r="AK3" s="265">
        <v>6.45</v>
      </c>
      <c r="AL3" s="266">
        <f>AG3-AK3</f>
        <v>-1.467923824074191E-2</v>
      </c>
      <c r="AM3" s="251"/>
      <c r="AN3" s="88">
        <f t="shared" ref="AN3:AN9" si="3">IFERROR(AG3/U3*100,"NA")</f>
        <v>109.52048674899937</v>
      </c>
      <c r="AO3" s="89">
        <f t="shared" ref="AO3:AO9" si="4">IFERROR(SUM(X3:AG3)/SUM(L3:U3)*100,"NA")</f>
        <v>135.51984121319998</v>
      </c>
      <c r="AP3" s="89">
        <f t="shared" ref="AP3:AP9" si="5">IFERROR(SUM(AD3:AG3)/SUM(R3:U3)*100,"NA")</f>
        <v>111.51472420943351</v>
      </c>
      <c r="AQ3" s="89">
        <f t="shared" ref="AQ3:AQ8" si="6">IFERROR(SUM(X3:Z3)/SUM(L3:N3)*100,"NA")</f>
        <v>126.66602164995153</v>
      </c>
      <c r="AR3" s="89">
        <f t="shared" ref="AR3:AR8" si="7">IFERROR(SUM(AA3:AC3)/SUM(O3:Q3)*100,"NA")</f>
        <v>178.8048978910717</v>
      </c>
      <c r="AS3" s="89">
        <f t="shared" ref="AS3:AS8" si="8">IFERROR(SUM(AD3:AF3)/SUM(R3:T3)*100,"NA")</f>
        <v>112.27081582327212</v>
      </c>
      <c r="AT3" s="89">
        <f t="shared" ref="AT3:AT8" si="9">IFERROR(SUM(AG3:AI3)/SUM(U3:W3)*100,"NA")</f>
        <v>109.67711828848287</v>
      </c>
      <c r="AU3" s="89">
        <f t="shared" ref="AU3:AU8" si="10">IFERROR(SUM(X3:AC3)/SUM(L3:Q3)*100,"NA")</f>
        <v>153.79244017058687</v>
      </c>
      <c r="AV3" s="89">
        <f t="shared" ref="AV3:AV8" si="11">IFERROR(SUM(AD3:AI3)/SUM(R3:W3)*100,"NA")</f>
        <v>110.77291165977942</v>
      </c>
      <c r="AW3" s="90">
        <f t="shared" ref="AW3:AW8" si="12">IFERROR(SUM(X3:AI3)/SUM(L3:W3)*100,"NA")</f>
        <v>129.4250749010495</v>
      </c>
    </row>
    <row r="4" spans="1:49">
      <c r="A4" s="253" t="s">
        <v>77</v>
      </c>
      <c r="B4" s="162" t="s">
        <v>83</v>
      </c>
      <c r="C4" s="162" t="s">
        <v>104</v>
      </c>
      <c r="D4" s="162" t="s">
        <v>105</v>
      </c>
      <c r="E4" s="162" t="s">
        <v>17</v>
      </c>
      <c r="F4" s="163">
        <f>SUMIFS('Offtake Raw'!H:H,'Offtake Raw'!$C:$C,Skin!$D4,'Offtake Raw'!$D:$D,Skin!$E4)/1000000</f>
        <v>1.6345184241666668</v>
      </c>
      <c r="G4" s="164">
        <f>SUMIFS('Offtake Raw'!I:I,'Offtake Raw'!$C:$C,Skin!$D4,'Offtake Raw'!$D:$D,Skin!$E4)/1000000</f>
        <v>1.8170266774999999</v>
      </c>
      <c r="H4" s="164">
        <f>SUMIFS('Offtake Raw'!J:J,'Offtake Raw'!$C:$C,Skin!$D4,'Offtake Raw'!$D:$D,Skin!$E4)/1000000</f>
        <v>0.62381006999999999</v>
      </c>
      <c r="I4" s="164">
        <f>SUMIFS('Offtake Raw'!K:K,'Offtake Raw'!$C:$C,Skin!$D4,'Offtake Raw'!$D:$D,Skin!$E4)/1000000</f>
        <v>0.53393293249999996</v>
      </c>
      <c r="J4" s="164">
        <f>SUMIFS('Offtake Raw'!L:L,'Offtake Raw'!$C:$C,Skin!$D4,'Offtake Raw'!$D:$D,Skin!$E4)/1000000</f>
        <v>0.68026901500000003</v>
      </c>
      <c r="K4" s="164">
        <f>SUMIFS('Offtake Raw'!M:M,'Offtake Raw'!$C:$C,Skin!$D4,'Offtake Raw'!$D:$D,Skin!$E4)/1000000</f>
        <v>0.44490422250000006</v>
      </c>
      <c r="L4" s="163">
        <f>SUMIFS('Offtake Raw'!N:N,'Offtake Raw'!$C:$C,Skin!$D4,'Offtake Raw'!$D:$D,Skin!$E4)/1000000</f>
        <v>0.41393446749999996</v>
      </c>
      <c r="M4" s="164">
        <f>SUMIFS('Offtake Raw'!O:O,'Offtake Raw'!$C:$C,Skin!$D4,'Offtake Raw'!$D:$D,Skin!$E4)/1000000</f>
        <v>0.82545993000000006</v>
      </c>
      <c r="N4" s="164">
        <f>SUMIFS('Offtake Raw'!P:P,'Offtake Raw'!$C:$C,Skin!$D4,'Offtake Raw'!$D:$D,Skin!$E4)/1000000</f>
        <v>1.19229849</v>
      </c>
      <c r="O4" s="164">
        <f>SUMIFS('Offtake Raw'!Q:Q,'Offtake Raw'!$C:$C,Skin!$D4,'Offtake Raw'!$D:$D,Skin!$E4)/1000000</f>
        <v>0.71112993000000002</v>
      </c>
      <c r="P4" s="164">
        <f>SUMIFS('Offtake Raw'!R:R,'Offtake Raw'!$C:$C,Skin!$D4,'Offtake Raw'!$D:$D,Skin!$E4)/1000000</f>
        <v>0.68680936000000004</v>
      </c>
      <c r="Q4" s="164">
        <f>SUMIFS('Offtake Raw'!S:S,'Offtake Raw'!$C:$C,Skin!$D4,'Offtake Raw'!$D:$D,Skin!$E4)/1000000</f>
        <v>1.4769494299999999</v>
      </c>
      <c r="R4" s="164">
        <f>SUMIFS('Offtake Raw'!T:T,'Offtake Raw'!$C:$C,Skin!$D4,'Offtake Raw'!$D:$D,Skin!$E4)/1000000</f>
        <v>3.2789403799999999</v>
      </c>
      <c r="S4" s="164">
        <f>SUMIFS('Offtake Raw'!U:U,'Offtake Raw'!$C:$C,Skin!$D4,'Offtake Raw'!$D:$D,Skin!$E4)/1000000</f>
        <v>0.71747033999999998</v>
      </c>
      <c r="T4" s="164">
        <f>SUMIFS('Offtake Raw'!V:V,'Offtake Raw'!$C:$C,Skin!$D4,'Offtake Raw'!$D:$D,Skin!$E4)/1000000</f>
        <v>0.55581782999999996</v>
      </c>
      <c r="U4" s="164">
        <f>SUMIFS('Offtake Raw'!W:W,'Offtake Raw'!$C:$C,Skin!$D4,'Offtake Raw'!$D:$D,Skin!$E4)/1000000</f>
        <v>1.4147315600000001</v>
      </c>
      <c r="V4" s="164">
        <f>SUMIFS('Offtake Raw'!X:X,'Offtake Raw'!$C:$C,Skin!$D4,'Offtake Raw'!$D:$D,Skin!$E4)/1000000</f>
        <v>3.23433291</v>
      </c>
      <c r="W4" s="165">
        <f>SUMIFS('Offtake Raw'!Y:Y,'Offtake Raw'!$C:$C,Skin!$D4,'Offtake Raw'!$D:$D,Skin!$E4)/1000000</f>
        <v>0.54944892999999995</v>
      </c>
      <c r="X4" s="164">
        <f>SUMIFS('Offtake Raw'!Z:Z,'Offtake Raw'!$C:$C,Skin!$D4,'Offtake Raw'!$D:$D,Skin!$E4)/1000000</f>
        <v>1.06487417</v>
      </c>
      <c r="Y4" s="164">
        <f>SUMIFS('Offtake Raw'!AA:AA,'Offtake Raw'!$C:$C,Skin!$D4,'Offtake Raw'!$D:$D,Skin!$E4)/1000000</f>
        <v>1.1979811800000002</v>
      </c>
      <c r="Z4" s="164">
        <f>SUMIFS('Offtake Raw'!AB:AB,'Offtake Raw'!$C:$C,Skin!$D4,'Offtake Raw'!$D:$D,Skin!$E4)/1000000</f>
        <v>1.0935933199999999</v>
      </c>
      <c r="AA4" s="164">
        <f>SUMIFS('Offtake Raw'!AC:AC,'Offtake Raw'!$C:$C,Skin!$D4,'Offtake Raw'!$D:$D,Skin!$E4)/1000000</f>
        <v>0.85207884999999994</v>
      </c>
      <c r="AB4" s="164">
        <f>SUMIFS('Offtake Raw'!AD:AD,'Offtake Raw'!$C:$C,Skin!$D4,'Offtake Raw'!$D:$D,Skin!$E4)/1000000</f>
        <v>0.56252599000000003</v>
      </c>
      <c r="AC4" s="164">
        <f>SUMIFS('Offtake Raw'!AE:AE,'Offtake Raw'!$C:$C,Skin!$D4,'Offtake Raw'!$D:$D,Skin!$E4)/1000000</f>
        <v>0.85671845999999996</v>
      </c>
      <c r="AD4" s="164">
        <f>SUMIFS('Offtake Raw'!AF:AF,'Offtake Raw'!$C:$C,Skin!$D4,'Offtake Raw'!$D:$D,Skin!$E4)/1000000</f>
        <v>0.70837399000000001</v>
      </c>
      <c r="AE4" s="164">
        <f>SUMIFS('Offtake Raw'!AG:AG,'Offtake Raw'!$C:$C,Skin!$D4,'Offtake Raw'!$D:$D,Skin!$E4)/1000000</f>
        <v>0.7528250700000001</v>
      </c>
      <c r="AF4" s="164">
        <f>SUMIFS('Offtake Raw'!AH:AH,'Offtake Raw'!$C:$C,Skin!$D4,'Offtake Raw'!$D:$D,Skin!$E4)/1000000</f>
        <v>0.48488175999999999</v>
      </c>
      <c r="AG4" s="164">
        <f>SUMIFS('Offtake Raw'!AI:AI,'Offtake Raw'!$C:$C,Skin!$D4,'Offtake Raw'!$D:$D,Skin!$E4)/1000000</f>
        <v>0.69433310111111113</v>
      </c>
      <c r="AH4" s="164">
        <f t="shared" ref="AH4:AI9" si="13">AH11+AH18</f>
        <v>1</v>
      </c>
      <c r="AI4" s="165">
        <f t="shared" si="13"/>
        <v>1</v>
      </c>
      <c r="AJ4" s="251"/>
      <c r="AK4" s="267">
        <v>0.8</v>
      </c>
      <c r="AL4" s="263">
        <f t="shared" ref="AL4:AL9" si="14">AG4-AK4</f>
        <v>-0.10566689888888892</v>
      </c>
      <c r="AM4" s="251"/>
      <c r="AN4" s="51">
        <f t="shared" si="3"/>
        <v>49.078787859310289</v>
      </c>
      <c r="AO4" s="52">
        <f t="shared" si="4"/>
        <v>73.341511463751857</v>
      </c>
      <c r="AP4" s="52">
        <f t="shared" si="5"/>
        <v>44.250571018332337</v>
      </c>
      <c r="AQ4" s="52">
        <f t="shared" si="6"/>
        <v>138.02929996849778</v>
      </c>
      <c r="AR4" s="52">
        <f t="shared" si="7"/>
        <v>79.005607563133779</v>
      </c>
      <c r="AS4" s="52">
        <f t="shared" si="8"/>
        <v>42.750068425277114</v>
      </c>
      <c r="AT4" s="52">
        <f t="shared" si="9"/>
        <v>51.828915187774861</v>
      </c>
      <c r="AU4" s="52">
        <f t="shared" si="10"/>
        <v>106.05267922472063</v>
      </c>
      <c r="AV4" s="52">
        <f t="shared" si="11"/>
        <v>47.590367429538134</v>
      </c>
      <c r="AW4" s="53">
        <f t="shared" si="12"/>
        <v>68.193964564150988</v>
      </c>
    </row>
    <row r="5" spans="1:49">
      <c r="A5" s="254" t="s">
        <v>77</v>
      </c>
      <c r="B5" s="46" t="s">
        <v>83</v>
      </c>
      <c r="C5" s="46" t="s">
        <v>104</v>
      </c>
      <c r="D5" s="46" t="s">
        <v>105</v>
      </c>
      <c r="E5" s="46" t="s">
        <v>106</v>
      </c>
      <c r="F5" s="62">
        <f>SUMIFS('Offtake Raw'!H:H,'Offtake Raw'!$C:$C,Skin!$D5,'Offtake Raw'!$D:$D,Skin!$E5)/1000000</f>
        <v>0.34007664500000001</v>
      </c>
      <c r="G5" s="56">
        <f>SUMIFS('Offtake Raw'!I:I,'Offtake Raw'!$C:$C,Skin!$D5,'Offtake Raw'!$D:$D,Skin!$E5)/1000000</f>
        <v>0.36814122249999998</v>
      </c>
      <c r="H5" s="56">
        <f>SUMIFS('Offtake Raw'!J:J,'Offtake Raw'!$C:$C,Skin!$D5,'Offtake Raw'!$D:$D,Skin!$E5)/1000000</f>
        <v>0.17168918</v>
      </c>
      <c r="I5" s="56">
        <f>SUMIFS('Offtake Raw'!K:K,'Offtake Raw'!$C:$C,Skin!$D5,'Offtake Raw'!$D:$D,Skin!$E5)/1000000</f>
        <v>0.17499089499999998</v>
      </c>
      <c r="J5" s="56">
        <f>SUMIFS('Offtake Raw'!L:L,'Offtake Raw'!$C:$C,Skin!$D5,'Offtake Raw'!$D:$D,Skin!$E5)/1000000</f>
        <v>0.20965890249999999</v>
      </c>
      <c r="K5" s="56">
        <f>SUMIFS('Offtake Raw'!M:M,'Offtake Raw'!$C:$C,Skin!$D5,'Offtake Raw'!$D:$D,Skin!$E5)/1000000</f>
        <v>0.13206860000000001</v>
      </c>
      <c r="L5" s="62">
        <f>SUMIFS('Offtake Raw'!N:N,'Offtake Raw'!$C:$C,Skin!$D5,'Offtake Raw'!$D:$D,Skin!$E5)/1000000</f>
        <v>0.10950688083333333</v>
      </c>
      <c r="M5" s="56">
        <f>SUMIFS('Offtake Raw'!O:O,'Offtake Raw'!$C:$C,Skin!$D5,'Offtake Raw'!$D:$D,Skin!$E5)/1000000</f>
        <v>0.75195251083333337</v>
      </c>
      <c r="N5" s="56">
        <f>SUMIFS('Offtake Raw'!P:P,'Offtake Raw'!$C:$C,Skin!$D5,'Offtake Raw'!$D:$D,Skin!$E5)/1000000</f>
        <v>0.84482168833333349</v>
      </c>
      <c r="O5" s="56">
        <f>SUMIFS('Offtake Raw'!Q:Q,'Offtake Raw'!$C:$C,Skin!$D5,'Offtake Raw'!$D:$D,Skin!$E5)/1000000</f>
        <v>1.0609469025</v>
      </c>
      <c r="P5" s="56">
        <f>SUMIFS('Offtake Raw'!R:R,'Offtake Raw'!$C:$C,Skin!$D5,'Offtake Raw'!$D:$D,Skin!$E5)/1000000</f>
        <v>0.99002474666666673</v>
      </c>
      <c r="Q5" s="56">
        <f>SUMIFS('Offtake Raw'!S:S,'Offtake Raw'!$C:$C,Skin!$D5,'Offtake Raw'!$D:$D,Skin!$E5)/1000000</f>
        <v>1.0442376483333333</v>
      </c>
      <c r="R5" s="56">
        <f>SUMIFS('Offtake Raw'!T:T,'Offtake Raw'!$C:$C,Skin!$D5,'Offtake Raw'!$D:$D,Skin!$E5)/1000000</f>
        <v>1.4368090908333333</v>
      </c>
      <c r="S5" s="56">
        <f>SUMIFS('Offtake Raw'!U:U,'Offtake Raw'!$C:$C,Skin!$D5,'Offtake Raw'!$D:$D,Skin!$E5)/1000000</f>
        <v>1.1069222458333334</v>
      </c>
      <c r="T5" s="56">
        <f>SUMIFS('Offtake Raw'!V:V,'Offtake Raw'!$C:$C,Skin!$D5,'Offtake Raw'!$D:$D,Skin!$E5)/1000000</f>
        <v>0.85794690000000007</v>
      </c>
      <c r="U5" s="56">
        <f>SUMIFS('Offtake Raw'!W:W,'Offtake Raw'!$C:$C,Skin!$D5,'Offtake Raw'!$D:$D,Skin!$E5)/1000000</f>
        <v>0.90913265333333337</v>
      </c>
      <c r="V5" s="56">
        <f>SUMIFS('Offtake Raw'!X:X,'Offtake Raw'!$C:$C,Skin!$D5,'Offtake Raw'!$D:$D,Skin!$E5)/1000000</f>
        <v>1.2778084225000002</v>
      </c>
      <c r="W5" s="58">
        <f>SUMIFS('Offtake Raw'!Y:Y,'Offtake Raw'!$C:$C,Skin!$D5,'Offtake Raw'!$D:$D,Skin!$E5)/1000000</f>
        <v>0.76239115833333337</v>
      </c>
      <c r="X5" s="56">
        <f>SUMIFS('Offtake Raw'!Z:Z,'Offtake Raw'!$C:$C,Skin!$D5,'Offtake Raw'!$D:$D,Skin!$E5)/1000000</f>
        <v>0.73242803750000007</v>
      </c>
      <c r="Y5" s="56">
        <f>SUMIFS('Offtake Raw'!AA:AA,'Offtake Raw'!$C:$C,Skin!$D5,'Offtake Raw'!$D:$D,Skin!$E5)/1000000</f>
        <v>0.48160593000000002</v>
      </c>
      <c r="Z5" s="56">
        <f>SUMIFS('Offtake Raw'!AB:AB,'Offtake Raw'!$C:$C,Skin!$D5,'Offtake Raw'!$D:$D,Skin!$E5)/1000000</f>
        <v>0.51880433999999997</v>
      </c>
      <c r="AA5" s="56">
        <f>SUMIFS('Offtake Raw'!AC:AC,'Offtake Raw'!$C:$C,Skin!$D5,'Offtake Raw'!$D:$D,Skin!$E5)/1000000</f>
        <v>0.93419373999999999</v>
      </c>
      <c r="AB5" s="56">
        <f>SUMIFS('Offtake Raw'!AD:AD,'Offtake Raw'!$C:$C,Skin!$D5,'Offtake Raw'!$D:$D,Skin!$E5)/1000000</f>
        <v>0.79062449000000001</v>
      </c>
      <c r="AC5" s="56">
        <f>SUMIFS('Offtake Raw'!AE:AE,'Offtake Raw'!$C:$C,Skin!$D5,'Offtake Raw'!$D:$D,Skin!$E5)/1000000</f>
        <v>0.83856027583333337</v>
      </c>
      <c r="AD5" s="56">
        <f>SUMIFS('Offtake Raw'!AF:AF,'Offtake Raw'!$C:$C,Skin!$D5,'Offtake Raw'!$D:$D,Skin!$E5)/1000000</f>
        <v>0.60683918000000003</v>
      </c>
      <c r="AE5" s="56">
        <f>SUMIFS('Offtake Raw'!AG:AG,'Offtake Raw'!$C:$C,Skin!$D5,'Offtake Raw'!$D:$D,Skin!$E5)/1000000</f>
        <v>0.64853067000000009</v>
      </c>
      <c r="AF5" s="56">
        <f>SUMIFS('Offtake Raw'!AH:AH,'Offtake Raw'!$C:$C,Skin!$D5,'Offtake Raw'!$D:$D,Skin!$E5)/1000000</f>
        <v>0.57237351000000003</v>
      </c>
      <c r="AG5" s="56">
        <f>SUMIFS('Offtake Raw'!AI:AI,'Offtake Raw'!$C:$C,Skin!$D5,'Offtake Raw'!$D:$D,Skin!$E5)/1000000</f>
        <v>0.69807877888888903</v>
      </c>
      <c r="AH5" s="56">
        <f t="shared" si="13"/>
        <v>0.65</v>
      </c>
      <c r="AI5" s="58">
        <f t="shared" si="13"/>
        <v>0.65</v>
      </c>
      <c r="AJ5" s="251"/>
      <c r="AK5" s="267">
        <v>0.65</v>
      </c>
      <c r="AL5" s="263">
        <f t="shared" si="14"/>
        <v>4.8078778888889007E-2</v>
      </c>
      <c r="AM5" s="251"/>
      <c r="AN5" s="51">
        <f t="shared" si="3"/>
        <v>76.785139806538055</v>
      </c>
      <c r="AO5" s="52">
        <f t="shared" si="4"/>
        <v>74.866257731773587</v>
      </c>
      <c r="AP5" s="52">
        <f t="shared" si="5"/>
        <v>58.592738195687566</v>
      </c>
      <c r="AQ5" s="52">
        <f t="shared" si="6"/>
        <v>101.55643919464899</v>
      </c>
      <c r="AR5" s="52">
        <f t="shared" si="7"/>
        <v>82.817614560145358</v>
      </c>
      <c r="AS5" s="52">
        <f t="shared" si="8"/>
        <v>53.73063625767913</v>
      </c>
      <c r="AT5" s="52">
        <f t="shared" si="9"/>
        <v>67.7468192881785</v>
      </c>
      <c r="AU5" s="52">
        <f t="shared" si="10"/>
        <v>89.476734837699524</v>
      </c>
      <c r="AV5" s="52">
        <f t="shared" si="11"/>
        <v>60.239581661198116</v>
      </c>
      <c r="AW5" s="53">
        <f t="shared" si="12"/>
        <v>72.82706419552531</v>
      </c>
    </row>
    <row r="6" spans="1:49">
      <c r="A6" s="254" t="s">
        <v>77</v>
      </c>
      <c r="B6" s="46" t="s">
        <v>83</v>
      </c>
      <c r="C6" s="46" t="s">
        <v>104</v>
      </c>
      <c r="D6" s="46" t="s">
        <v>105</v>
      </c>
      <c r="E6" s="46" t="s">
        <v>19</v>
      </c>
      <c r="F6" s="62">
        <f>SUMIFS('Offtake Raw'!H:H,'Offtake Raw'!$C:$C,Skin!$D6,'Offtake Raw'!$D:$D,Skin!$E6)/1000000</f>
        <v>0</v>
      </c>
      <c r="G6" s="56">
        <f>SUMIFS('Offtake Raw'!I:I,'Offtake Raw'!$C:$C,Skin!$D6,'Offtake Raw'!$D:$D,Skin!$E6)/1000000</f>
        <v>0</v>
      </c>
      <c r="H6" s="56">
        <f>SUMIFS('Offtake Raw'!J:J,'Offtake Raw'!$C:$C,Skin!$D6,'Offtake Raw'!$D:$D,Skin!$E6)/1000000</f>
        <v>0</v>
      </c>
      <c r="I6" s="56">
        <f>SUMIFS('Offtake Raw'!K:K,'Offtake Raw'!$C:$C,Skin!$D6,'Offtake Raw'!$D:$D,Skin!$E6)/1000000</f>
        <v>0</v>
      </c>
      <c r="J6" s="56">
        <f>SUMIFS('Offtake Raw'!L:L,'Offtake Raw'!$C:$C,Skin!$D6,'Offtake Raw'!$D:$D,Skin!$E6)/1000000</f>
        <v>0</v>
      </c>
      <c r="K6" s="56">
        <f>SUMIFS('Offtake Raw'!M:M,'Offtake Raw'!$C:$C,Skin!$D6,'Offtake Raw'!$D:$D,Skin!$E6)/1000000</f>
        <v>0</v>
      </c>
      <c r="L6" s="62">
        <f>SUMIFS('Offtake Raw'!N:N,'Offtake Raw'!$C:$C,Skin!$D6,'Offtake Raw'!$D:$D,Skin!$E6)/1000000</f>
        <v>0</v>
      </c>
      <c r="M6" s="56">
        <f>SUMIFS('Offtake Raw'!O:O,'Offtake Raw'!$C:$C,Skin!$D6,'Offtake Raw'!$D:$D,Skin!$E6)/1000000</f>
        <v>0</v>
      </c>
      <c r="N6" s="56">
        <f>SUMIFS('Offtake Raw'!P:P,'Offtake Raw'!$C:$C,Skin!$D6,'Offtake Raw'!$D:$D,Skin!$E6)/1000000</f>
        <v>0</v>
      </c>
      <c r="O6" s="56">
        <f>SUMIFS('Offtake Raw'!Q:Q,'Offtake Raw'!$C:$C,Skin!$D6,'Offtake Raw'!$D:$D,Skin!$E6)/1000000</f>
        <v>0</v>
      </c>
      <c r="P6" s="56">
        <f>SUMIFS('Offtake Raw'!R:R,'Offtake Raw'!$C:$C,Skin!$D6,'Offtake Raw'!$D:$D,Skin!$E6)/1000000</f>
        <v>0</v>
      </c>
      <c r="Q6" s="56">
        <f>SUMIFS('Offtake Raw'!S:S,'Offtake Raw'!$C:$C,Skin!$D6,'Offtake Raw'!$D:$D,Skin!$E6)/1000000</f>
        <v>0</v>
      </c>
      <c r="R6" s="56">
        <f>SUMIFS('Offtake Raw'!T:T,'Offtake Raw'!$C:$C,Skin!$D6,'Offtake Raw'!$D:$D,Skin!$E6)/1000000</f>
        <v>0</v>
      </c>
      <c r="S6" s="56">
        <f>SUMIFS('Offtake Raw'!U:U,'Offtake Raw'!$C:$C,Skin!$D6,'Offtake Raw'!$D:$D,Skin!$E6)/1000000</f>
        <v>0</v>
      </c>
      <c r="T6" s="56">
        <f>SUMIFS('Offtake Raw'!V:V,'Offtake Raw'!$C:$C,Skin!$D6,'Offtake Raw'!$D:$D,Skin!$E6)/1000000</f>
        <v>0</v>
      </c>
      <c r="U6" s="56">
        <f>SUMIFS('Offtake Raw'!W:W,'Offtake Raw'!$C:$C,Skin!$D6,'Offtake Raw'!$D:$D,Skin!$E6)/1000000</f>
        <v>0</v>
      </c>
      <c r="V6" s="56">
        <f>SUMIFS('Offtake Raw'!X:X,'Offtake Raw'!$C:$C,Skin!$D6,'Offtake Raw'!$D:$D,Skin!$E6)/1000000</f>
        <v>0</v>
      </c>
      <c r="W6" s="58">
        <f>SUMIFS('Offtake Raw'!Y:Y,'Offtake Raw'!$C:$C,Skin!$D6,'Offtake Raw'!$D:$D,Skin!$E6)/1000000</f>
        <v>0</v>
      </c>
      <c r="X6" s="56">
        <f>SUMIFS('Offtake Raw'!Z:Z,'Offtake Raw'!$C:$C,Skin!$D6,'Offtake Raw'!$D:$D,Skin!$E6)/1000000</f>
        <v>0</v>
      </c>
      <c r="Y6" s="56">
        <f>SUMIFS('Offtake Raw'!AA:AA,'Offtake Raw'!$C:$C,Skin!$D6,'Offtake Raw'!$D:$D,Skin!$E6)/1000000</f>
        <v>0</v>
      </c>
      <c r="Z6" s="56">
        <f>SUMIFS('Offtake Raw'!AB:AB,'Offtake Raw'!$C:$C,Skin!$D6,'Offtake Raw'!$D:$D,Skin!$E6)/1000000</f>
        <v>0.15743620999999999</v>
      </c>
      <c r="AA6" s="56">
        <f>SUMIFS('Offtake Raw'!AC:AC,'Offtake Raw'!$C:$C,Skin!$D6,'Offtake Raw'!$D:$D,Skin!$E6)/1000000</f>
        <v>0.98906057000000003</v>
      </c>
      <c r="AB6" s="56">
        <f>SUMIFS('Offtake Raw'!AD:AD,'Offtake Raw'!$C:$C,Skin!$D6,'Offtake Raw'!$D:$D,Skin!$E6)/1000000</f>
        <v>3.7991898099999997</v>
      </c>
      <c r="AC6" s="56">
        <f>SUMIFS('Offtake Raw'!AE:AE,'Offtake Raw'!$C:$C,Skin!$D6,'Offtake Raw'!$D:$D,Skin!$E6)/1000000</f>
        <v>6.5621740099999997</v>
      </c>
      <c r="AD6" s="56">
        <f>SUMIFS('Offtake Raw'!AF:AF,'Offtake Raw'!$C:$C,Skin!$D6,'Offtake Raw'!$D:$D,Skin!$E6)/1000000</f>
        <v>2.32618502</v>
      </c>
      <c r="AE6" s="56">
        <f>SUMIFS('Offtake Raw'!AG:AG,'Offtake Raw'!$C:$C,Skin!$D6,'Offtake Raw'!$D:$D,Skin!$E6)/1000000</f>
        <v>3.5497949999999996</v>
      </c>
      <c r="AF6" s="56">
        <f>SUMIFS('Offtake Raw'!AH:AH,'Offtake Raw'!$C:$C,Skin!$D6,'Offtake Raw'!$D:$D,Skin!$E6)/1000000</f>
        <v>2.0676626100000002</v>
      </c>
      <c r="AG6" s="56">
        <f>SUMIFS('Offtake Raw'!AI:AI,'Offtake Raw'!$C:$C,Skin!$D6,'Offtake Raw'!$D:$D,Skin!$E6)/1000000</f>
        <v>2.7709466388888884</v>
      </c>
      <c r="AH6" s="56">
        <f t="shared" si="13"/>
        <v>3.3</v>
      </c>
      <c r="AI6" s="58">
        <f t="shared" si="13"/>
        <v>1.8</v>
      </c>
      <c r="AJ6" s="251"/>
      <c r="AK6" s="267">
        <v>3.3</v>
      </c>
      <c r="AL6" s="263">
        <f t="shared" si="14"/>
        <v>-0.52905336111111145</v>
      </c>
      <c r="AM6" s="251"/>
      <c r="AN6" s="51" t="str">
        <f t="shared" si="3"/>
        <v>NA</v>
      </c>
      <c r="AO6" s="52" t="str">
        <f t="shared" si="4"/>
        <v>NA</v>
      </c>
      <c r="AP6" s="52" t="str">
        <f t="shared" si="5"/>
        <v>NA</v>
      </c>
      <c r="AQ6" s="52" t="str">
        <f t="shared" si="6"/>
        <v>NA</v>
      </c>
      <c r="AR6" s="52" t="str">
        <f t="shared" si="7"/>
        <v>NA</v>
      </c>
      <c r="AS6" s="52" t="str">
        <f t="shared" si="8"/>
        <v>NA</v>
      </c>
      <c r="AT6" s="52" t="str">
        <f t="shared" si="9"/>
        <v>NA</v>
      </c>
      <c r="AU6" s="52" t="str">
        <f t="shared" si="10"/>
        <v>NA</v>
      </c>
      <c r="AV6" s="52" t="str">
        <f t="shared" si="11"/>
        <v>NA</v>
      </c>
      <c r="AW6" s="53" t="str">
        <f t="shared" si="12"/>
        <v>NA</v>
      </c>
    </row>
    <row r="7" spans="1:49">
      <c r="A7" s="254" t="s">
        <v>77</v>
      </c>
      <c r="B7" s="46" t="s">
        <v>83</v>
      </c>
      <c r="C7" s="46" t="s">
        <v>104</v>
      </c>
      <c r="D7" s="46" t="s">
        <v>105</v>
      </c>
      <c r="E7" s="46" t="s">
        <v>18</v>
      </c>
      <c r="F7" s="62">
        <f>SUMIFS('Offtake Raw'!H:H,'Offtake Raw'!$C:$C,Skin!$D7,'Offtake Raw'!$D:$D,Skin!$E7)/1000000</f>
        <v>0.934228265</v>
      </c>
      <c r="G7" s="56">
        <f>SUMIFS('Offtake Raw'!I:I,'Offtake Raw'!$C:$C,Skin!$D7,'Offtake Raw'!$D:$D,Skin!$E7)/1000000</f>
        <v>2.141507480833333</v>
      </c>
      <c r="H7" s="56">
        <f>SUMIFS('Offtake Raw'!J:J,'Offtake Raw'!$C:$C,Skin!$D7,'Offtake Raw'!$D:$D,Skin!$E7)/1000000</f>
        <v>2.3207923149999998</v>
      </c>
      <c r="I7" s="56">
        <f>SUMIFS('Offtake Raw'!K:K,'Offtake Raw'!$C:$C,Skin!$D7,'Offtake Raw'!$D:$D,Skin!$E7)/1000000</f>
        <v>1.3661057716666667</v>
      </c>
      <c r="J7" s="56">
        <f>SUMIFS('Offtake Raw'!L:L,'Offtake Raw'!$C:$C,Skin!$D7,'Offtake Raw'!$D:$D,Skin!$E7)/1000000</f>
        <v>1.7731532333333333</v>
      </c>
      <c r="K7" s="56">
        <f>SUMIFS('Offtake Raw'!M:M,'Offtake Raw'!$C:$C,Skin!$D7,'Offtake Raw'!$D:$D,Skin!$E7)/1000000</f>
        <v>2.1702832800000005</v>
      </c>
      <c r="L7" s="62">
        <f>SUMIFS('Offtake Raw'!N:N,'Offtake Raw'!$C:$C,Skin!$D7,'Offtake Raw'!$D:$D,Skin!$E7)/1000000</f>
        <v>3.6342715600000002</v>
      </c>
      <c r="M7" s="56">
        <f>SUMIFS('Offtake Raw'!O:O,'Offtake Raw'!$C:$C,Skin!$D7,'Offtake Raw'!$D:$D,Skin!$E7)/1000000</f>
        <v>1.2701595783333333</v>
      </c>
      <c r="N7" s="56">
        <f>SUMIFS('Offtake Raw'!P:P,'Offtake Raw'!$C:$C,Skin!$D7,'Offtake Raw'!$D:$D,Skin!$E7)/1000000</f>
        <v>2.1026486900000001</v>
      </c>
      <c r="O7" s="56">
        <f>SUMIFS('Offtake Raw'!Q:Q,'Offtake Raw'!$C:$C,Skin!$D7,'Offtake Raw'!$D:$D,Skin!$E7)/1000000</f>
        <v>4.2319630999999998</v>
      </c>
      <c r="P7" s="56">
        <f>SUMIFS('Offtake Raw'!R:R,'Offtake Raw'!$C:$C,Skin!$D7,'Offtake Raw'!$D:$D,Skin!$E7)/1000000</f>
        <v>0.71736043999999999</v>
      </c>
      <c r="Q7" s="56">
        <f>SUMIFS('Offtake Raw'!S:S,'Offtake Raw'!$C:$C,Skin!$D7,'Offtake Raw'!$D:$D,Skin!$E7)/1000000</f>
        <v>0.79673190000000005</v>
      </c>
      <c r="R7" s="56">
        <f>SUMIFS('Offtake Raw'!T:T,'Offtake Raw'!$C:$C,Skin!$D7,'Offtake Raw'!$D:$D,Skin!$E7)/1000000</f>
        <v>0.84084952000000002</v>
      </c>
      <c r="S7" s="56">
        <f>SUMIFS('Offtake Raw'!U:U,'Offtake Raw'!$C:$C,Skin!$D7,'Offtake Raw'!$D:$D,Skin!$E7)/1000000</f>
        <v>2.68908798</v>
      </c>
      <c r="T7" s="56">
        <f>SUMIFS('Offtake Raw'!V:V,'Offtake Raw'!$C:$C,Skin!$D7,'Offtake Raw'!$D:$D,Skin!$E7)/1000000</f>
        <v>1.4039039900000001</v>
      </c>
      <c r="U7" s="56">
        <f>SUMIFS('Offtake Raw'!W:W,'Offtake Raw'!$C:$C,Skin!$D7,'Offtake Raw'!$D:$D,Skin!$E7)/1000000</f>
        <v>2.8195646299999999</v>
      </c>
      <c r="V7" s="56">
        <f>SUMIFS('Offtake Raw'!X:X,'Offtake Raw'!$C:$C,Skin!$D7,'Offtake Raw'!$D:$D,Skin!$E7)/1000000</f>
        <v>5.2137416600000002</v>
      </c>
      <c r="W7" s="58">
        <f>SUMIFS('Offtake Raw'!Y:Y,'Offtake Raw'!$C:$C,Skin!$D7,'Offtake Raw'!$D:$D,Skin!$E7)/1000000</f>
        <v>2.6699522600000001</v>
      </c>
      <c r="X7" s="56">
        <f>SUMIFS('Offtake Raw'!Z:Z,'Offtake Raw'!$C:$C,Skin!$D7,'Offtake Raw'!$D:$D,Skin!$E7)/1000000</f>
        <v>3.0759933500000005</v>
      </c>
      <c r="Y7" s="56">
        <f>SUMIFS('Offtake Raw'!AA:AA,'Offtake Raw'!$C:$C,Skin!$D7,'Offtake Raw'!$D:$D,Skin!$E7)/1000000</f>
        <v>3.8971060300000002</v>
      </c>
      <c r="Z7" s="56">
        <f>SUMIFS('Offtake Raw'!AB:AB,'Offtake Raw'!$C:$C,Skin!$D7,'Offtake Raw'!$D:$D,Skin!$E7)/1000000</f>
        <v>2.7469588200000001</v>
      </c>
      <c r="AA7" s="56">
        <f>SUMIFS('Offtake Raw'!AC:AC,'Offtake Raw'!$C:$C,Skin!$D7,'Offtake Raw'!$D:$D,Skin!$E7)/1000000</f>
        <v>4.1345098</v>
      </c>
      <c r="AB7" s="56">
        <f>SUMIFS('Offtake Raw'!AD:AD,'Offtake Raw'!$C:$C,Skin!$D7,'Offtake Raw'!$D:$D,Skin!$E7)/1000000</f>
        <v>1.25080977</v>
      </c>
      <c r="AC7" s="56">
        <f>SUMIFS('Offtake Raw'!AE:AE,'Offtake Raw'!$C:$C,Skin!$D7,'Offtake Raw'!$D:$D,Skin!$E7)/1000000</f>
        <v>1.83632858</v>
      </c>
      <c r="AD7" s="56">
        <f>SUMIFS('Offtake Raw'!AF:AF,'Offtake Raw'!$C:$C,Skin!$D7,'Offtake Raw'!$D:$D,Skin!$E7)/1000000</f>
        <v>1.5100843000000002</v>
      </c>
      <c r="AE7" s="56">
        <f>SUMIFS('Offtake Raw'!AG:AG,'Offtake Raw'!$C:$C,Skin!$D7,'Offtake Raw'!$D:$D,Skin!$E7)/1000000</f>
        <v>1.1939092099999999</v>
      </c>
      <c r="AF7" s="56">
        <f>SUMIFS('Offtake Raw'!AH:AH,'Offtake Raw'!$C:$C,Skin!$D7,'Offtake Raw'!$D:$D,Skin!$E7)/1000000</f>
        <v>0.96448436000000004</v>
      </c>
      <c r="AG7" s="56">
        <f>SUMIFS('Offtake Raw'!AI:AI,'Offtake Raw'!$C:$C,Skin!$D7,'Offtake Raw'!$D:$D,Skin!$E7)/1000000</f>
        <v>1.577270286666667</v>
      </c>
      <c r="AH7" s="56">
        <f t="shared" si="13"/>
        <v>1</v>
      </c>
      <c r="AI7" s="58">
        <f t="shared" si="13"/>
        <v>2</v>
      </c>
      <c r="AJ7" s="251"/>
      <c r="AK7" s="267">
        <v>1</v>
      </c>
      <c r="AL7" s="263">
        <f t="shared" si="14"/>
        <v>0.57727028666666702</v>
      </c>
      <c r="AM7" s="251"/>
      <c r="AN7" s="51">
        <f t="shared" si="3"/>
        <v>55.940206863308084</v>
      </c>
      <c r="AO7" s="52">
        <f t="shared" si="4"/>
        <v>108.19696060150663</v>
      </c>
      <c r="AP7" s="52">
        <f t="shared" si="5"/>
        <v>67.657337633007515</v>
      </c>
      <c r="AQ7" s="52">
        <f t="shared" si="6"/>
        <v>138.7176746680787</v>
      </c>
      <c r="AR7" s="52">
        <f t="shared" si="7"/>
        <v>125.68009872873765</v>
      </c>
      <c r="AS7" s="52">
        <f t="shared" si="8"/>
        <v>74.353379155680983</v>
      </c>
      <c r="AT7" s="52">
        <f t="shared" si="9"/>
        <v>42.76520337506625</v>
      </c>
      <c r="AU7" s="52">
        <f t="shared" si="10"/>
        <v>132.84346157659832</v>
      </c>
      <c r="AV7" s="52">
        <f t="shared" si="11"/>
        <v>52.731952443700479</v>
      </c>
      <c r="AW7" s="53">
        <f t="shared" si="12"/>
        <v>88.71872400181708</v>
      </c>
    </row>
    <row r="8" spans="1:49">
      <c r="A8" s="254" t="s">
        <v>77</v>
      </c>
      <c r="B8" s="46" t="s">
        <v>83</v>
      </c>
      <c r="C8" s="46" t="s">
        <v>104</v>
      </c>
      <c r="D8" s="46" t="s">
        <v>105</v>
      </c>
      <c r="E8" s="46" t="s">
        <v>102</v>
      </c>
      <c r="F8" s="62">
        <f>SUMIFS('Offtake Raw'!H:H,'Offtake Raw'!$C:$C,Skin!$D8,'Offtake Raw'!$D:$D,Skin!$E8)/1000000</f>
        <v>0.86816265166666651</v>
      </c>
      <c r="G8" s="56">
        <f>SUMIFS('Offtake Raw'!I:I,'Offtake Raw'!$C:$C,Skin!$D8,'Offtake Raw'!$D:$D,Skin!$E8)/1000000</f>
        <v>1.0961187533333334</v>
      </c>
      <c r="H8" s="56">
        <f>SUMIFS('Offtake Raw'!J:J,'Offtake Raw'!$C:$C,Skin!$D8,'Offtake Raw'!$D:$D,Skin!$E8)/1000000</f>
        <v>0.85998570416666664</v>
      </c>
      <c r="I8" s="56">
        <f>SUMIFS('Offtake Raw'!K:K,'Offtake Raw'!$C:$C,Skin!$D8,'Offtake Raw'!$D:$D,Skin!$E8)/1000000</f>
        <v>0.83075120083333331</v>
      </c>
      <c r="J8" s="56">
        <f>SUMIFS('Offtake Raw'!L:L,'Offtake Raw'!$C:$C,Skin!$D8,'Offtake Raw'!$D:$D,Skin!$E8)/1000000</f>
        <v>1.1699141866666665</v>
      </c>
      <c r="K8" s="56">
        <f>SUMIFS('Offtake Raw'!M:M,'Offtake Raw'!$C:$C,Skin!$D8,'Offtake Raw'!$D:$D,Skin!$E8)/1000000</f>
        <v>0.79943055833333321</v>
      </c>
      <c r="L8" s="62">
        <f>SUMIFS('Offtake Raw'!N:N,'Offtake Raw'!$C:$C,Skin!$D8,'Offtake Raw'!$D:$D,Skin!$E8)/1000000</f>
        <v>0.71179032750000015</v>
      </c>
      <c r="M8" s="56">
        <f>SUMIFS('Offtake Raw'!O:O,'Offtake Raw'!$C:$C,Skin!$D8,'Offtake Raw'!$D:$D,Skin!$E8)/1000000</f>
        <v>0.87430823833333338</v>
      </c>
      <c r="N8" s="56">
        <f>SUMIFS('Offtake Raw'!P:P,'Offtake Raw'!$C:$C,Skin!$D8,'Offtake Raw'!$D:$D,Skin!$E8)/1000000</f>
        <v>0.73933403916666673</v>
      </c>
      <c r="O8" s="56">
        <f>SUMIFS('Offtake Raw'!Q:Q,'Offtake Raw'!$C:$C,Skin!$D8,'Offtake Raw'!$D:$D,Skin!$E8)/1000000</f>
        <v>0.93873307416666674</v>
      </c>
      <c r="P8" s="56">
        <f>SUMIFS('Offtake Raw'!R:R,'Offtake Raw'!$C:$C,Skin!$D8,'Offtake Raw'!$D:$D,Skin!$E8)/1000000</f>
        <v>1.0114904325</v>
      </c>
      <c r="Q8" s="56">
        <f>SUMIFS('Offtake Raw'!S:S,'Offtake Raw'!$C:$C,Skin!$D8,'Offtake Raw'!$D:$D,Skin!$E8)/1000000</f>
        <v>0.94258533249999998</v>
      </c>
      <c r="R8" s="56">
        <f>SUMIFS('Offtake Raw'!T:T,'Offtake Raw'!$C:$C,Skin!$D8,'Offtake Raw'!$D:$D,Skin!$E8)/1000000</f>
        <v>1.1722997525000001</v>
      </c>
      <c r="S8" s="56">
        <f>SUMIFS('Offtake Raw'!U:U,'Offtake Raw'!$C:$C,Skin!$D8,'Offtake Raw'!$D:$D,Skin!$E8)/1000000</f>
        <v>0.7947638958333334</v>
      </c>
      <c r="T8" s="56">
        <f>SUMIFS('Offtake Raw'!V:V,'Offtake Raw'!$C:$C,Skin!$D8,'Offtake Raw'!$D:$D,Skin!$E8)/1000000</f>
        <v>0.64324608833333341</v>
      </c>
      <c r="U8" s="56">
        <f>SUMIFS('Offtake Raw'!W:W,'Offtake Raw'!$C:$C,Skin!$D8,'Offtake Raw'!$D:$D,Skin!$E8)/1000000</f>
        <v>0.73247707416666674</v>
      </c>
      <c r="V8" s="56">
        <f>SUMIFS('Offtake Raw'!X:X,'Offtake Raw'!$C:$C,Skin!$D8,'Offtake Raw'!$D:$D,Skin!$E8)/1000000</f>
        <v>0.96864932083333344</v>
      </c>
      <c r="W8" s="58">
        <f>SUMIFS('Offtake Raw'!Y:Y,'Offtake Raw'!$C:$C,Skin!$D8,'Offtake Raw'!$D:$D,Skin!$E8)/1000000</f>
        <v>0.63297297499999994</v>
      </c>
      <c r="X8" s="56">
        <f>SUMIFS('Offtake Raw'!Z:Z,'Offtake Raw'!$C:$C,Skin!$D8,'Offtake Raw'!$D:$D,Skin!$E8)/1000000</f>
        <v>0.73043200583333323</v>
      </c>
      <c r="Y8" s="56">
        <f>SUMIFS('Offtake Raw'!AA:AA,'Offtake Raw'!$C:$C,Skin!$D8,'Offtake Raw'!$D:$D,Skin!$E8)/1000000</f>
        <v>0.63874431583333324</v>
      </c>
      <c r="Z8" s="56">
        <f>SUMIFS('Offtake Raw'!AB:AB,'Offtake Raw'!$C:$C,Skin!$D8,'Offtake Raw'!$D:$D,Skin!$E8)/1000000</f>
        <v>0.72657151166666656</v>
      </c>
      <c r="AA8" s="56">
        <f>SUMIFS('Offtake Raw'!AC:AC,'Offtake Raw'!$C:$C,Skin!$D8,'Offtake Raw'!$D:$D,Skin!$E8)/1000000</f>
        <v>1.0525597066666665</v>
      </c>
      <c r="AB8" s="56">
        <f>SUMIFS('Offtake Raw'!AD:AD,'Offtake Raw'!$C:$C,Skin!$D8,'Offtake Raw'!$D:$D,Skin!$E8)/1000000</f>
        <v>0.7413127599999999</v>
      </c>
      <c r="AC8" s="56">
        <f>SUMIFS('Offtake Raw'!AE:AE,'Offtake Raw'!$C:$C,Skin!$D8,'Offtake Raw'!$D:$D,Skin!$E8)/1000000</f>
        <v>0.92089330500000011</v>
      </c>
      <c r="AD8" s="56">
        <f>SUMIFS('Offtake Raw'!AF:AF,'Offtake Raw'!$C:$C,Skin!$D8,'Offtake Raw'!$D:$D,Skin!$E8)/1000000</f>
        <v>0.81988404916666657</v>
      </c>
      <c r="AE8" s="56">
        <f>SUMIFS('Offtake Raw'!AG:AG,'Offtake Raw'!$C:$C,Skin!$D8,'Offtake Raw'!$D:$D,Skin!$E8)/1000000</f>
        <v>0.71198204499999995</v>
      </c>
      <c r="AF8" s="56">
        <f>SUMIFS('Offtake Raw'!AH:AH,'Offtake Raw'!$C:$C,Skin!$D8,'Offtake Raw'!$D:$D,Skin!$E8)/1000000</f>
        <v>0.48198539416666669</v>
      </c>
      <c r="AG8" s="56">
        <f>SUMIFS('Offtake Raw'!AI:AI,'Offtake Raw'!$C:$C,Skin!$D8,'Offtake Raw'!$D:$D,Skin!$E8)/1000000</f>
        <v>0.69469195620370372</v>
      </c>
      <c r="AH8" s="56">
        <f t="shared" si="13"/>
        <v>0.7</v>
      </c>
      <c r="AI8" s="58">
        <f t="shared" si="13"/>
        <v>0.7</v>
      </c>
      <c r="AJ8" s="251"/>
      <c r="AK8" s="267">
        <v>0.7</v>
      </c>
      <c r="AL8" s="263">
        <f t="shared" si="14"/>
        <v>-5.3080437962962357E-3</v>
      </c>
      <c r="AM8" s="251"/>
      <c r="AN8" s="51">
        <f t="shared" si="3"/>
        <v>94.841460668792834</v>
      </c>
      <c r="AO8" s="52">
        <f t="shared" si="4"/>
        <v>87.828901220429813</v>
      </c>
      <c r="AP8" s="52">
        <f t="shared" si="5"/>
        <v>81.026508653174204</v>
      </c>
      <c r="AQ8" s="52">
        <f t="shared" si="6"/>
        <v>90.122922884421016</v>
      </c>
      <c r="AR8" s="52">
        <f t="shared" si="7"/>
        <v>93.845322058982333</v>
      </c>
      <c r="AS8" s="52">
        <f t="shared" si="8"/>
        <v>77.149905240938821</v>
      </c>
      <c r="AT8" s="52">
        <f t="shared" si="9"/>
        <v>89.743049637329861</v>
      </c>
      <c r="AU8" s="52">
        <f t="shared" si="10"/>
        <v>92.186489576436614</v>
      </c>
      <c r="AV8" s="52">
        <f t="shared" si="11"/>
        <v>83.094730955765542</v>
      </c>
      <c r="AW8" s="53">
        <f t="shared" si="12"/>
        <v>87.763098858158358</v>
      </c>
    </row>
    <row r="9" spans="1:49">
      <c r="A9" s="255" t="s">
        <v>77</v>
      </c>
      <c r="B9" s="59" t="s">
        <v>83</v>
      </c>
      <c r="C9" s="59" t="s">
        <v>104</v>
      </c>
      <c r="D9" s="59" t="s">
        <v>105</v>
      </c>
      <c r="E9" s="59" t="s">
        <v>766</v>
      </c>
      <c r="F9" s="63"/>
      <c r="G9" s="60"/>
      <c r="H9" s="60"/>
      <c r="I9" s="60"/>
      <c r="J9" s="60"/>
      <c r="K9" s="60"/>
      <c r="L9" s="63"/>
      <c r="M9" s="60"/>
      <c r="N9" s="60"/>
      <c r="O9" s="60"/>
      <c r="P9" s="60"/>
      <c r="Q9" s="60"/>
      <c r="R9" s="60"/>
      <c r="S9" s="60"/>
      <c r="T9" s="60"/>
      <c r="U9" s="60"/>
      <c r="V9" s="60"/>
      <c r="W9" s="1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>
        <f t="shared" si="13"/>
        <v>1</v>
      </c>
      <c r="AI9" s="160">
        <f t="shared" si="13"/>
        <v>3</v>
      </c>
      <c r="AJ9" s="251"/>
      <c r="AK9" s="268">
        <v>0</v>
      </c>
      <c r="AL9" s="264">
        <f t="shared" si="14"/>
        <v>0</v>
      </c>
      <c r="AM9" s="251"/>
      <c r="AN9" s="54" t="str">
        <f t="shared" si="3"/>
        <v>NA</v>
      </c>
      <c r="AO9" s="48" t="str">
        <f t="shared" si="4"/>
        <v>NA</v>
      </c>
      <c r="AP9" s="48" t="str">
        <f t="shared" si="5"/>
        <v>NA</v>
      </c>
      <c r="AQ9" s="48" t="str">
        <f t="shared" ref="AQ9" si="15">IFERROR(SUM(X9:Z9)/SUM(L9:N9)*100,"NA")</f>
        <v>NA</v>
      </c>
      <c r="AR9" s="48" t="str">
        <f t="shared" ref="AR9" si="16">IFERROR(SUM(AA9:AC9)/SUM(O9:Q9)*100,"NA")</f>
        <v>NA</v>
      </c>
      <c r="AS9" s="48" t="str">
        <f t="shared" ref="AS9" si="17">IFERROR(SUM(AD9:AF9)/SUM(R9:T9)*100,"NA")</f>
        <v>NA</v>
      </c>
      <c r="AT9" s="48" t="str">
        <f t="shared" ref="AT9" si="18">IFERROR(SUM(AG9:AI9)/SUM(U9:W9)*100,"NA")</f>
        <v>NA</v>
      </c>
      <c r="AU9" s="48" t="str">
        <f t="shared" ref="AU9" si="19">IFERROR(SUM(X9:AC9)/SUM(L9:Q9)*100,"NA")</f>
        <v>NA</v>
      </c>
      <c r="AV9" s="48" t="str">
        <f t="shared" ref="AV9" si="20">IFERROR(SUM(AD9:AI9)/SUM(R9:W9)*100,"NA")</f>
        <v>NA</v>
      </c>
      <c r="AW9" s="55" t="str">
        <f t="shared" ref="AW9" si="21">IFERROR(SUM(X9:AI9)/SUM(L9:W9)*100,"NA")</f>
        <v>NA</v>
      </c>
    </row>
    <row r="10" spans="1:49" outlineLevel="1">
      <c r="A10" s="252" t="s">
        <v>77</v>
      </c>
      <c r="B10" s="109" t="s">
        <v>715</v>
      </c>
      <c r="C10" s="109" t="s">
        <v>104</v>
      </c>
      <c r="D10" s="109" t="s">
        <v>105</v>
      </c>
      <c r="E10" s="109" t="s">
        <v>103</v>
      </c>
      <c r="F10" s="110"/>
      <c r="G10" s="111"/>
      <c r="H10" s="111"/>
      <c r="I10" s="111"/>
      <c r="J10" s="111"/>
      <c r="K10" s="111"/>
      <c r="L10" s="112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339"/>
      <c r="X10" s="113"/>
      <c r="Y10" s="113"/>
      <c r="Z10" s="113"/>
      <c r="AA10" s="113"/>
      <c r="AB10" s="113"/>
      <c r="AC10" s="113"/>
      <c r="AD10" s="111">
        <f t="shared" ref="AD10:AF10" si="22">AD15+AD14+AD13+AD12+AD11</f>
        <v>3.95</v>
      </c>
      <c r="AE10" s="111">
        <f t="shared" si="22"/>
        <v>4.95</v>
      </c>
      <c r="AF10" s="111">
        <f t="shared" si="22"/>
        <v>4.95</v>
      </c>
      <c r="AG10" s="111">
        <f>AG15+AG14+AG13+AG12+AG11+AG16</f>
        <v>4.95</v>
      </c>
      <c r="AH10" s="111">
        <f t="shared" ref="AH10:AI10" si="23">AH15+AH14+AH13+AH12+AH11+AH16</f>
        <v>4.95</v>
      </c>
      <c r="AI10" s="114">
        <f t="shared" si="23"/>
        <v>4.95</v>
      </c>
      <c r="AJ10" s="56"/>
      <c r="AK10" s="247"/>
      <c r="AL10" s="56"/>
      <c r="AM10" s="56"/>
      <c r="AN10" s="115"/>
    </row>
    <row r="11" spans="1:49" outlineLevel="1">
      <c r="A11" s="253" t="s">
        <v>77</v>
      </c>
      <c r="B11" s="162" t="s">
        <v>715</v>
      </c>
      <c r="C11" s="162" t="s">
        <v>104</v>
      </c>
      <c r="D11" s="162" t="s">
        <v>105</v>
      </c>
      <c r="E11" s="162" t="s">
        <v>17</v>
      </c>
      <c r="F11" s="163"/>
      <c r="G11" s="164"/>
      <c r="H11" s="164"/>
      <c r="I11" s="164"/>
      <c r="J11" s="164"/>
      <c r="K11" s="164"/>
      <c r="L11" s="163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5"/>
      <c r="X11" s="164"/>
      <c r="Y11" s="164"/>
      <c r="Z11" s="164"/>
      <c r="AA11" s="164"/>
      <c r="AB11" s="164"/>
      <c r="AC11" s="164"/>
      <c r="AD11" s="164">
        <v>0.8</v>
      </c>
      <c r="AE11" s="164">
        <v>0.8</v>
      </c>
      <c r="AF11" s="164">
        <v>0.8</v>
      </c>
      <c r="AG11" s="164">
        <v>0.8</v>
      </c>
      <c r="AH11" s="164">
        <v>0.8</v>
      </c>
      <c r="AI11" s="165">
        <v>0.8</v>
      </c>
      <c r="AJ11" s="56"/>
      <c r="AK11" s="247"/>
      <c r="AL11" s="56"/>
      <c r="AM11" s="56"/>
      <c r="AN11" s="115"/>
    </row>
    <row r="12" spans="1:49" outlineLevel="1">
      <c r="A12" s="254" t="s">
        <v>77</v>
      </c>
      <c r="B12" s="46" t="s">
        <v>715</v>
      </c>
      <c r="C12" s="46" t="s">
        <v>104</v>
      </c>
      <c r="D12" s="46" t="s">
        <v>105</v>
      </c>
      <c r="E12" s="46" t="s">
        <v>106</v>
      </c>
      <c r="F12" s="62"/>
      <c r="G12" s="56"/>
      <c r="H12" s="56"/>
      <c r="I12" s="56"/>
      <c r="J12" s="56"/>
      <c r="K12" s="56"/>
      <c r="L12" s="62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8"/>
      <c r="X12" s="56"/>
      <c r="Y12" s="56"/>
      <c r="Z12" s="56"/>
      <c r="AA12" s="56"/>
      <c r="AB12" s="56"/>
      <c r="AC12" s="56"/>
      <c r="AD12" s="56">
        <v>0.65</v>
      </c>
      <c r="AE12" s="56">
        <v>0.65</v>
      </c>
      <c r="AF12" s="56">
        <v>0.65</v>
      </c>
      <c r="AG12" s="56">
        <v>0.65</v>
      </c>
      <c r="AH12" s="56">
        <v>0.65</v>
      </c>
      <c r="AI12" s="58">
        <v>0.65</v>
      </c>
      <c r="AJ12" s="56"/>
      <c r="AK12" s="247"/>
      <c r="AL12" s="56"/>
      <c r="AM12" s="56"/>
      <c r="AN12" s="115"/>
    </row>
    <row r="13" spans="1:49" outlineLevel="1">
      <c r="A13" s="254" t="s">
        <v>77</v>
      </c>
      <c r="B13" s="46" t="s">
        <v>715</v>
      </c>
      <c r="C13" s="46" t="s">
        <v>104</v>
      </c>
      <c r="D13" s="46" t="s">
        <v>105</v>
      </c>
      <c r="E13" s="46" t="s">
        <v>19</v>
      </c>
      <c r="F13" s="62"/>
      <c r="G13" s="56"/>
      <c r="H13" s="56"/>
      <c r="I13" s="56"/>
      <c r="J13" s="56"/>
      <c r="K13" s="56"/>
      <c r="L13" s="62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8"/>
      <c r="X13" s="56"/>
      <c r="Y13" s="56"/>
      <c r="Z13" s="56"/>
      <c r="AA13" s="56"/>
      <c r="AB13" s="56"/>
      <c r="AC13" s="56"/>
      <c r="AD13" s="56">
        <v>0.6</v>
      </c>
      <c r="AE13" s="56">
        <v>1.8</v>
      </c>
      <c r="AF13" s="56">
        <v>1.8</v>
      </c>
      <c r="AG13" s="56">
        <v>1.8</v>
      </c>
      <c r="AH13" s="56">
        <v>1.8</v>
      </c>
      <c r="AI13" s="58">
        <v>1.8</v>
      </c>
      <c r="AJ13" s="56"/>
      <c r="AK13" s="247"/>
      <c r="AL13" s="56"/>
      <c r="AM13" s="56"/>
      <c r="AN13" s="115"/>
    </row>
    <row r="14" spans="1:49" outlineLevel="1">
      <c r="A14" s="254" t="s">
        <v>77</v>
      </c>
      <c r="B14" s="46" t="s">
        <v>715</v>
      </c>
      <c r="C14" s="46" t="s">
        <v>104</v>
      </c>
      <c r="D14" s="46" t="s">
        <v>105</v>
      </c>
      <c r="E14" s="46" t="s">
        <v>18</v>
      </c>
      <c r="F14" s="62"/>
      <c r="G14" s="56"/>
      <c r="H14" s="56"/>
      <c r="I14" s="56"/>
      <c r="J14" s="56"/>
      <c r="K14" s="56"/>
      <c r="L14" s="62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8"/>
      <c r="X14" s="56"/>
      <c r="Y14" s="56"/>
      <c r="Z14" s="56"/>
      <c r="AA14" s="56"/>
      <c r="AB14" s="56"/>
      <c r="AC14" s="56"/>
      <c r="AD14" s="56">
        <v>1.2</v>
      </c>
      <c r="AE14" s="56">
        <v>1</v>
      </c>
      <c r="AF14" s="56">
        <v>1</v>
      </c>
      <c r="AG14" s="56">
        <v>1</v>
      </c>
      <c r="AH14" s="56">
        <v>1</v>
      </c>
      <c r="AI14" s="58">
        <v>1</v>
      </c>
      <c r="AJ14" s="56"/>
      <c r="AK14" s="247"/>
      <c r="AL14" s="56"/>
      <c r="AM14" s="56"/>
      <c r="AN14" s="115"/>
    </row>
    <row r="15" spans="1:49" outlineLevel="1">
      <c r="A15" s="254" t="s">
        <v>77</v>
      </c>
      <c r="B15" s="46" t="s">
        <v>715</v>
      </c>
      <c r="C15" s="46" t="s">
        <v>104</v>
      </c>
      <c r="D15" s="46" t="s">
        <v>105</v>
      </c>
      <c r="E15" s="46" t="s">
        <v>102</v>
      </c>
      <c r="F15" s="62"/>
      <c r="G15" s="56"/>
      <c r="H15" s="56"/>
      <c r="I15" s="56"/>
      <c r="J15" s="56"/>
      <c r="K15" s="56"/>
      <c r="L15" s="62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8"/>
      <c r="X15" s="56"/>
      <c r="Y15" s="56"/>
      <c r="Z15" s="56"/>
      <c r="AA15" s="56"/>
      <c r="AB15" s="56"/>
      <c r="AC15" s="56"/>
      <c r="AD15" s="56">
        <v>0.7</v>
      </c>
      <c r="AE15" s="56">
        <v>0.7</v>
      </c>
      <c r="AF15" s="56">
        <v>0.7</v>
      </c>
      <c r="AG15" s="56">
        <v>0.7</v>
      </c>
      <c r="AH15" s="56">
        <v>0.7</v>
      </c>
      <c r="AI15" s="58">
        <v>0.7</v>
      </c>
      <c r="AJ15" s="56"/>
      <c r="AK15" s="247"/>
      <c r="AL15" s="56"/>
      <c r="AM15" s="56"/>
      <c r="AN15" s="338"/>
    </row>
    <row r="16" spans="1:49" outlineLevel="1">
      <c r="A16" s="255" t="s">
        <v>77</v>
      </c>
      <c r="B16" s="59" t="s">
        <v>715</v>
      </c>
      <c r="C16" s="59" t="s">
        <v>104</v>
      </c>
      <c r="D16" s="59" t="s">
        <v>105</v>
      </c>
      <c r="E16" s="59" t="s">
        <v>766</v>
      </c>
      <c r="F16" s="63"/>
      <c r="G16" s="60"/>
      <c r="H16" s="60"/>
      <c r="I16" s="60"/>
      <c r="J16" s="60"/>
      <c r="K16" s="60"/>
      <c r="L16" s="63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1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160"/>
      <c r="AJ16" s="56"/>
      <c r="AK16" s="247"/>
      <c r="AL16" s="56"/>
      <c r="AM16" s="56"/>
      <c r="AN16" s="115"/>
    </row>
    <row r="17" spans="1:49" outlineLevel="1">
      <c r="A17" s="252" t="s">
        <v>77</v>
      </c>
      <c r="B17" s="109" t="s">
        <v>717</v>
      </c>
      <c r="C17" s="109" t="s">
        <v>104</v>
      </c>
      <c r="D17" s="109" t="s">
        <v>105</v>
      </c>
      <c r="E17" s="109" t="s">
        <v>103</v>
      </c>
      <c r="F17" s="110"/>
      <c r="G17" s="111"/>
      <c r="H17" s="111"/>
      <c r="I17" s="111"/>
      <c r="J17" s="111"/>
      <c r="K17" s="111"/>
      <c r="L17" s="112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339"/>
      <c r="X17" s="113"/>
      <c r="Y17" s="113"/>
      <c r="Z17" s="113"/>
      <c r="AA17" s="113"/>
      <c r="AB17" s="113"/>
      <c r="AC17" s="113"/>
      <c r="AD17" s="111">
        <f t="shared" ref="AD17:AF17" si="24">AD22+AD21+AD20+AD19+AD18</f>
        <v>2.3035714285714284</v>
      </c>
      <c r="AE17" s="111">
        <f t="shared" si="24"/>
        <v>2</v>
      </c>
      <c r="AF17" s="111">
        <f t="shared" si="24"/>
        <v>2</v>
      </c>
      <c r="AG17" s="111">
        <f>AG22+AG21+AG20+AG19+AG18+AG23</f>
        <v>1.5</v>
      </c>
      <c r="AH17" s="111">
        <f t="shared" ref="AH17:AI17" si="25">AH22+AH21+AH20+AH19+AH18+AH23</f>
        <v>2.7</v>
      </c>
      <c r="AI17" s="114">
        <f t="shared" si="25"/>
        <v>4.2</v>
      </c>
      <c r="AK17" s="248"/>
    </row>
    <row r="18" spans="1:49" outlineLevel="1">
      <c r="A18" s="254" t="s">
        <v>77</v>
      </c>
      <c r="B18" s="46" t="s">
        <v>717</v>
      </c>
      <c r="C18" s="46" t="s">
        <v>104</v>
      </c>
      <c r="D18" s="46" t="s">
        <v>105</v>
      </c>
      <c r="E18" s="46" t="s">
        <v>17</v>
      </c>
      <c r="F18" s="62"/>
      <c r="G18" s="56"/>
      <c r="H18" s="56"/>
      <c r="I18" s="56"/>
      <c r="J18" s="56"/>
      <c r="K18" s="56"/>
      <c r="L18" s="62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8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>
        <v>0.2</v>
      </c>
      <c r="AI18" s="58">
        <v>0.2</v>
      </c>
      <c r="AK18" s="248"/>
    </row>
    <row r="19" spans="1:49" outlineLevel="1">
      <c r="A19" s="254" t="s">
        <v>77</v>
      </c>
      <c r="B19" s="46" t="s">
        <v>717</v>
      </c>
      <c r="C19" s="46" t="s">
        <v>104</v>
      </c>
      <c r="D19" s="46" t="s">
        <v>105</v>
      </c>
      <c r="E19" s="46" t="s">
        <v>106</v>
      </c>
      <c r="F19" s="62"/>
      <c r="G19" s="56"/>
      <c r="H19" s="56"/>
      <c r="I19" s="56"/>
      <c r="J19" s="56"/>
      <c r="K19" s="56"/>
      <c r="L19" s="62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8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8"/>
      <c r="AK19" s="248"/>
    </row>
    <row r="20" spans="1:49" outlineLevel="1">
      <c r="A20" s="254" t="s">
        <v>77</v>
      </c>
      <c r="B20" s="46" t="s">
        <v>717</v>
      </c>
      <c r="C20" s="46" t="s">
        <v>104</v>
      </c>
      <c r="D20" s="46" t="s">
        <v>105</v>
      </c>
      <c r="E20" s="46" t="s">
        <v>19</v>
      </c>
      <c r="F20" s="62"/>
      <c r="G20" s="56"/>
      <c r="H20" s="56"/>
      <c r="I20" s="56"/>
      <c r="J20" s="56"/>
      <c r="K20" s="56"/>
      <c r="L20" s="62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8"/>
      <c r="X20" s="56"/>
      <c r="Y20" s="56"/>
      <c r="Z20" s="56"/>
      <c r="AA20" s="56"/>
      <c r="AB20" s="56"/>
      <c r="AC20" s="56"/>
      <c r="AD20" s="56"/>
      <c r="AE20" s="56">
        <v>2</v>
      </c>
      <c r="AF20" s="56">
        <v>2</v>
      </c>
      <c r="AG20" s="211">
        <v>1.5</v>
      </c>
      <c r="AH20" s="211">
        <v>1.5</v>
      </c>
      <c r="AI20" s="58"/>
      <c r="AK20" s="248"/>
    </row>
    <row r="21" spans="1:49" outlineLevel="1">
      <c r="A21" s="254" t="s">
        <v>77</v>
      </c>
      <c r="B21" s="46" t="s">
        <v>717</v>
      </c>
      <c r="C21" s="46" t="s">
        <v>104</v>
      </c>
      <c r="D21" s="46" t="s">
        <v>105</v>
      </c>
      <c r="E21" s="46" t="s">
        <v>18</v>
      </c>
      <c r="F21" s="62"/>
      <c r="G21" s="56"/>
      <c r="H21" s="56"/>
      <c r="I21" s="56"/>
      <c r="J21" s="56"/>
      <c r="K21" s="56"/>
      <c r="L21" s="62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8"/>
      <c r="X21" s="56"/>
      <c r="Y21" s="56"/>
      <c r="Z21" s="56"/>
      <c r="AA21" s="56"/>
      <c r="AB21" s="56"/>
      <c r="AC21" s="56"/>
      <c r="AD21" s="56">
        <f>4.3/28*15</f>
        <v>2.3035714285714284</v>
      </c>
      <c r="AE21" s="56"/>
      <c r="AF21" s="56"/>
      <c r="AG21" s="56"/>
      <c r="AH21" s="56"/>
      <c r="AI21" s="58">
        <v>1</v>
      </c>
      <c r="AK21" s="248"/>
    </row>
    <row r="22" spans="1:49" outlineLevel="1">
      <c r="A22" s="254" t="s">
        <v>77</v>
      </c>
      <c r="B22" s="46" t="s">
        <v>717</v>
      </c>
      <c r="C22" s="46" t="s">
        <v>104</v>
      </c>
      <c r="D22" s="46" t="s">
        <v>105</v>
      </c>
      <c r="E22" s="46" t="s">
        <v>102</v>
      </c>
      <c r="F22" s="62"/>
      <c r="G22" s="56"/>
      <c r="H22" s="56"/>
      <c r="I22" s="56"/>
      <c r="J22" s="56"/>
      <c r="K22" s="56"/>
      <c r="L22" s="62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8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8"/>
      <c r="AK22" s="248"/>
    </row>
    <row r="23" spans="1:49" outlineLevel="1">
      <c r="A23" s="254" t="s">
        <v>77</v>
      </c>
      <c r="B23" s="46" t="s">
        <v>717</v>
      </c>
      <c r="C23" s="46" t="s">
        <v>104</v>
      </c>
      <c r="D23" s="46" t="s">
        <v>767</v>
      </c>
      <c r="E23" s="46" t="s">
        <v>766</v>
      </c>
      <c r="F23" s="62"/>
      <c r="G23" s="56"/>
      <c r="H23" s="56"/>
      <c r="I23" s="56"/>
      <c r="J23" s="56"/>
      <c r="K23" s="56"/>
      <c r="L23" s="62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8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>
        <v>1</v>
      </c>
      <c r="AI23" s="58">
        <v>3</v>
      </c>
      <c r="AK23" s="248"/>
    </row>
    <row r="24" spans="1:49">
      <c r="A24" s="256" t="s">
        <v>709</v>
      </c>
      <c r="B24" s="172" t="s">
        <v>83</v>
      </c>
      <c r="C24" s="172" t="s">
        <v>104</v>
      </c>
      <c r="D24" s="172" t="s">
        <v>105</v>
      </c>
      <c r="E24" s="172" t="s">
        <v>103</v>
      </c>
      <c r="F24" s="173">
        <f t="shared" ref="F24:W24" si="26">SUM(F25:F29)</f>
        <v>4.4121633210000013</v>
      </c>
      <c r="G24" s="174">
        <f t="shared" si="26"/>
        <v>4.3334671380000005</v>
      </c>
      <c r="H24" s="174">
        <f t="shared" si="26"/>
        <v>4.6134315929999996</v>
      </c>
      <c r="I24" s="174">
        <f t="shared" si="26"/>
        <v>0.51600163000000032</v>
      </c>
      <c r="J24" s="174">
        <f t="shared" si="26"/>
        <v>5.0999902100000005</v>
      </c>
      <c r="K24" s="174">
        <f t="shared" si="26"/>
        <v>2.6557137770000008</v>
      </c>
      <c r="L24" s="173">
        <f t="shared" si="26"/>
        <v>13.405783421999999</v>
      </c>
      <c r="M24" s="174">
        <f t="shared" si="26"/>
        <v>1.529259784</v>
      </c>
      <c r="N24" s="174">
        <f t="shared" si="26"/>
        <v>4.5254854910000004</v>
      </c>
      <c r="O24" s="174">
        <f t="shared" si="26"/>
        <v>8.6147053960000015</v>
      </c>
      <c r="P24" s="174">
        <f t="shared" si="26"/>
        <v>2.0125780840000003</v>
      </c>
      <c r="Q24" s="174">
        <f t="shared" si="26"/>
        <v>8.0985226650000008</v>
      </c>
      <c r="R24" s="174">
        <f t="shared" si="26"/>
        <v>6.4928507519999998</v>
      </c>
      <c r="S24" s="174">
        <f t="shared" si="26"/>
        <v>2.7219695819999998</v>
      </c>
      <c r="T24" s="174">
        <f t="shared" si="26"/>
        <v>3.919458273</v>
      </c>
      <c r="U24" s="174">
        <f t="shared" si="26"/>
        <v>16.057899827000004</v>
      </c>
      <c r="V24" s="174">
        <f t="shared" si="26"/>
        <v>4.9642328500000001</v>
      </c>
      <c r="W24" s="175">
        <f t="shared" si="26"/>
        <v>4.8196367530000002</v>
      </c>
      <c r="X24" s="174">
        <f t="shared" ref="X24:AF24" si="27">SUM(X25:X29)</f>
        <v>16.540813740000004</v>
      </c>
      <c r="Y24" s="174">
        <f t="shared" si="27"/>
        <v>6.3612439630000015</v>
      </c>
      <c r="Z24" s="174">
        <f t="shared" si="27"/>
        <v>20.336049407999997</v>
      </c>
      <c r="AA24" s="174">
        <f t="shared" si="27"/>
        <v>9.5313466869999974</v>
      </c>
      <c r="AB24" s="174">
        <f t="shared" si="27"/>
        <v>5.5962140579999966</v>
      </c>
      <c r="AC24" s="174">
        <f t="shared" si="27"/>
        <v>7.3082473906000009</v>
      </c>
      <c r="AD24" s="174">
        <f t="shared" si="27"/>
        <v>6.7729919867999984</v>
      </c>
      <c r="AE24" s="174">
        <f t="shared" si="27"/>
        <v>9.1866155331000012</v>
      </c>
      <c r="AF24" s="174">
        <f t="shared" si="27"/>
        <v>3.03</v>
      </c>
      <c r="AG24" s="174">
        <f>SUM(AG25:AG30)</f>
        <v>6.8</v>
      </c>
      <c r="AH24" s="174">
        <f t="shared" ref="AH24:AI24" si="28">SUM(AH25:AH30)</f>
        <v>21.150000000000002</v>
      </c>
      <c r="AI24" s="175">
        <f t="shared" si="28"/>
        <v>11.15</v>
      </c>
      <c r="AK24" s="265">
        <v>3.4499999999999997</v>
      </c>
      <c r="AL24" s="266">
        <f t="shared" ref="AL24:AL30" si="29">AG24-AK24</f>
        <v>3.35</v>
      </c>
      <c r="AN24" s="88">
        <f t="shared" ref="AN24:AN30" si="30">IFERROR(AG24/U24*100,"NA")</f>
        <v>42.346758126902586</v>
      </c>
      <c r="AO24" s="89">
        <f t="shared" ref="AO24:AO30" si="31">IFERROR(SUM(X24:AG24)/SUM(L24:U24)*100,"NA")</f>
        <v>135.74583100675059</v>
      </c>
      <c r="AP24" s="89">
        <f t="shared" ref="AP24:AP30" si="32">IFERROR(SUM(AD24:AG24)/SUM(R24:U24)*100,"NA")</f>
        <v>88.344237749187499</v>
      </c>
      <c r="AQ24" s="89">
        <f t="shared" ref="AQ24:AQ29" si="33">IFERROR(SUM(X24:Z24)/SUM(L24:N24)*100,"NA")</f>
        <v>222.18361990168086</v>
      </c>
      <c r="AR24" s="89">
        <f t="shared" ref="AR24:AR29" si="34">IFERROR(SUM(AA24:AC24)/SUM(O24:Q24)*100,"NA")</f>
        <v>119.81224179013839</v>
      </c>
      <c r="AS24" s="89">
        <f t="shared" ref="AS24:AS29" si="35">IFERROR(SUM(AD24:AF24)/SUM(R24:T24)*100,"NA")</f>
        <v>144.58051399777196</v>
      </c>
      <c r="AT24" s="89">
        <f t="shared" ref="AT24:AT29" si="36">IFERROR(SUM(AG24:AI24)/SUM(U24:W24)*100,"NA")</f>
        <v>151.30542862366215</v>
      </c>
      <c r="AU24" s="89">
        <f t="shared" ref="AU24:AU29" si="37">IFERROR(SUM(X24:AC24)/SUM(L24:Q24)*100,"NA")</f>
        <v>171.98276691998001</v>
      </c>
      <c r="AV24" s="89">
        <f t="shared" ref="AV24:AV29" si="38">IFERROR(SUM(AD24:AI24)/SUM(R24:W24)*100,"NA")</f>
        <v>149.03924447331212</v>
      </c>
      <c r="AW24" s="90">
        <f t="shared" ref="AW24:AW29" si="39">IFERROR(SUM(X24:AI24)/SUM(L24:W24)*100,"NA")</f>
        <v>160.39359873136141</v>
      </c>
    </row>
    <row r="25" spans="1:49">
      <c r="A25" s="257" t="s">
        <v>709</v>
      </c>
      <c r="B25" s="46" t="s">
        <v>83</v>
      </c>
      <c r="C25" s="46" t="s">
        <v>104</v>
      </c>
      <c r="D25" s="46" t="s">
        <v>105</v>
      </c>
      <c r="E25" s="46" t="s">
        <v>17</v>
      </c>
      <c r="F25" s="62">
        <v>1.8199430430000003</v>
      </c>
      <c r="G25" s="56">
        <v>2.0116189199999996</v>
      </c>
      <c r="H25" s="56">
        <v>0.39789503999999992</v>
      </c>
      <c r="I25" s="56">
        <v>2.5090197999999959E-2</v>
      </c>
      <c r="J25" s="56">
        <v>0.88352511600000005</v>
      </c>
      <c r="K25" s="56">
        <v>0.26646108000000002</v>
      </c>
      <c r="L25" s="62">
        <v>1.4394884399999996</v>
      </c>
      <c r="M25" s="56">
        <v>0.17691605199999999</v>
      </c>
      <c r="N25" s="56">
        <v>0.99131687899999987</v>
      </c>
      <c r="O25" s="56">
        <v>1.3067848800000001</v>
      </c>
      <c r="P25" s="56">
        <v>0.31682892000000007</v>
      </c>
      <c r="Q25" s="56">
        <v>5.5717693200000014</v>
      </c>
      <c r="R25" s="56">
        <v>2.1878547600000005</v>
      </c>
      <c r="S25" s="56">
        <v>2.0298959999999998E-2</v>
      </c>
      <c r="T25" s="56">
        <v>9.4283430000000043E-2</v>
      </c>
      <c r="U25" s="56">
        <v>4.8786981600000017</v>
      </c>
      <c r="V25" s="56">
        <v>2.0085594700000002</v>
      </c>
      <c r="W25" s="58">
        <v>5.2207170000000004E-2</v>
      </c>
      <c r="X25" s="56">
        <v>3.7214759999999993E-2</v>
      </c>
      <c r="Y25" s="56">
        <v>0.76856985999999961</v>
      </c>
      <c r="Z25" s="56">
        <v>1.0085006399999998</v>
      </c>
      <c r="AA25" s="56">
        <v>0.76854659999999997</v>
      </c>
      <c r="AB25" s="56">
        <v>0.17090005000000003</v>
      </c>
      <c r="AC25" s="56">
        <v>0.60336654999999983</v>
      </c>
      <c r="AD25" s="56">
        <v>0.95553107999999998</v>
      </c>
      <c r="AE25" s="56">
        <v>0.89608155999999994</v>
      </c>
      <c r="AF25" s="56">
        <v>0.28000000000000003</v>
      </c>
      <c r="AG25" s="56">
        <v>0.54</v>
      </c>
      <c r="AH25" s="56">
        <f t="shared" ref="AG25:AI30" si="40">AH4+AH32+AH39</f>
        <v>1</v>
      </c>
      <c r="AI25" s="58">
        <f t="shared" si="40"/>
        <v>0.8</v>
      </c>
      <c r="AK25" s="267">
        <v>0.5</v>
      </c>
      <c r="AL25" s="263">
        <f t="shared" si="29"/>
        <v>4.0000000000000036E-2</v>
      </c>
      <c r="AN25" s="51">
        <f t="shared" si="30"/>
        <v>11.06852652675688</v>
      </c>
      <c r="AO25" s="52">
        <f t="shared" si="31"/>
        <v>35.495913686081131</v>
      </c>
      <c r="AP25" s="52">
        <f t="shared" si="32"/>
        <v>37.203207078965342</v>
      </c>
      <c r="AQ25" s="52">
        <f t="shared" si="33"/>
        <v>69.573585589946063</v>
      </c>
      <c r="AR25" s="52">
        <f t="shared" si="34"/>
        <v>21.441710250447365</v>
      </c>
      <c r="AS25" s="52">
        <f t="shared" si="35"/>
        <v>92.580709097748866</v>
      </c>
      <c r="AT25" s="52">
        <f t="shared" si="36"/>
        <v>33.720179688785208</v>
      </c>
      <c r="AU25" s="52">
        <f t="shared" si="37"/>
        <v>34.245258357513912</v>
      </c>
      <c r="AV25" s="52">
        <f t="shared" si="38"/>
        <v>48.384116864602731</v>
      </c>
      <c r="AW25" s="53">
        <f t="shared" si="39"/>
        <v>41.106371500859069</v>
      </c>
    </row>
    <row r="26" spans="1:49">
      <c r="A26" s="257" t="s">
        <v>709</v>
      </c>
      <c r="B26" s="46" t="s">
        <v>83</v>
      </c>
      <c r="C26" s="46" t="s">
        <v>104</v>
      </c>
      <c r="D26" s="46" t="s">
        <v>105</v>
      </c>
      <c r="E26" s="46" t="s">
        <v>106</v>
      </c>
      <c r="F26" s="62"/>
      <c r="G26" s="56"/>
      <c r="H26" s="56"/>
      <c r="I26" s="56"/>
      <c r="J26" s="56"/>
      <c r="K26" s="56"/>
      <c r="L26" s="62">
        <v>6.2134363199999996</v>
      </c>
      <c r="M26" s="56">
        <v>9.2735990000000004E-2</v>
      </c>
      <c r="N26" s="56">
        <v>0.17724989000000002</v>
      </c>
      <c r="O26" s="56">
        <v>1.6802696400000003</v>
      </c>
      <c r="P26" s="56">
        <v>0.75845374999999982</v>
      </c>
      <c r="Q26" s="56">
        <v>1.2933763200000001</v>
      </c>
      <c r="R26" s="56">
        <v>2.0895874799999992</v>
      </c>
      <c r="S26" s="56">
        <v>0.24752088000000003</v>
      </c>
      <c r="T26" s="56">
        <v>0.7745132099999994</v>
      </c>
      <c r="U26" s="56">
        <v>1.2620936699999994</v>
      </c>
      <c r="V26" s="56">
        <v>0.96548531999999965</v>
      </c>
      <c r="W26" s="58">
        <v>1.2746153199999994</v>
      </c>
      <c r="X26" s="56">
        <v>0.14348472000000004</v>
      </c>
      <c r="Y26" s="56">
        <v>0.33956195</v>
      </c>
      <c r="Z26" s="56">
        <v>0.49991955999999999</v>
      </c>
      <c r="AA26" s="56">
        <v>0.89887955999999936</v>
      </c>
      <c r="AB26" s="56">
        <v>0.50735321999999983</v>
      </c>
      <c r="AC26" s="56">
        <v>0.72727490999999922</v>
      </c>
      <c r="AD26" s="56">
        <v>0.6541790799999998</v>
      </c>
      <c r="AE26" s="56">
        <v>0.63161482999999985</v>
      </c>
      <c r="AF26" s="56">
        <v>0.56999999999999995</v>
      </c>
      <c r="AG26" s="56">
        <v>0.52</v>
      </c>
      <c r="AH26" s="56">
        <f t="shared" si="40"/>
        <v>0.65</v>
      </c>
      <c r="AI26" s="58">
        <f t="shared" si="40"/>
        <v>0.65</v>
      </c>
      <c r="AK26" s="267">
        <v>0.65</v>
      </c>
      <c r="AL26" s="263">
        <f t="shared" si="29"/>
        <v>-0.13</v>
      </c>
      <c r="AN26" s="51">
        <f t="shared" si="30"/>
        <v>41.201379292235913</v>
      </c>
      <c r="AO26" s="52">
        <f t="shared" si="31"/>
        <v>37.646024761479744</v>
      </c>
      <c r="AP26" s="52">
        <f t="shared" si="32"/>
        <v>54.319812325047486</v>
      </c>
      <c r="AQ26" s="52">
        <f t="shared" si="33"/>
        <v>15.161225039455243</v>
      </c>
      <c r="AR26" s="52">
        <f t="shared" si="34"/>
        <v>57.166417185568662</v>
      </c>
      <c r="AS26" s="52">
        <f t="shared" si="35"/>
        <v>59.640732918559905</v>
      </c>
      <c r="AT26" s="52">
        <f t="shared" si="36"/>
        <v>51.96741924921924</v>
      </c>
      <c r="AU26" s="52">
        <f t="shared" si="37"/>
        <v>30.50724130843745</v>
      </c>
      <c r="AV26" s="52">
        <f t="shared" si="38"/>
        <v>55.577505886057423</v>
      </c>
      <c r="AW26" s="53">
        <f t="shared" si="39"/>
        <v>40.359685655819277</v>
      </c>
    </row>
    <row r="27" spans="1:49">
      <c r="A27" s="257" t="s">
        <v>709</v>
      </c>
      <c r="B27" s="46" t="s">
        <v>83</v>
      </c>
      <c r="C27" s="46" t="s">
        <v>104</v>
      </c>
      <c r="D27" s="46" t="s">
        <v>105</v>
      </c>
      <c r="E27" s="46" t="s">
        <v>19</v>
      </c>
      <c r="F27" s="62"/>
      <c r="G27" s="56"/>
      <c r="H27" s="56"/>
      <c r="I27" s="56"/>
      <c r="J27" s="56"/>
      <c r="K27" s="56"/>
      <c r="L27" s="62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8"/>
      <c r="X27" s="56"/>
      <c r="Y27" s="56">
        <v>0</v>
      </c>
      <c r="Z27" s="56">
        <v>18.638582159999999</v>
      </c>
      <c r="AA27" s="56">
        <v>3.1193230799999982</v>
      </c>
      <c r="AB27" s="56">
        <v>4.1215791999999967</v>
      </c>
      <c r="AC27" s="56">
        <v>3.7111497000000013</v>
      </c>
      <c r="AD27" s="56">
        <v>2.8085815299999992</v>
      </c>
      <c r="AE27" s="56">
        <v>5.9484611400000009</v>
      </c>
      <c r="AF27" s="56">
        <v>1.1499999999999999</v>
      </c>
      <c r="AG27" s="56">
        <v>4.37</v>
      </c>
      <c r="AH27" s="56">
        <f t="shared" si="40"/>
        <v>3</v>
      </c>
      <c r="AI27" s="58">
        <f t="shared" si="40"/>
        <v>1.5</v>
      </c>
      <c r="AK27" s="267">
        <v>1.2999999999999998</v>
      </c>
      <c r="AL27" s="263">
        <f t="shared" si="29"/>
        <v>3.0700000000000003</v>
      </c>
      <c r="AN27" s="51" t="str">
        <f t="shared" si="30"/>
        <v>NA</v>
      </c>
      <c r="AO27" s="52" t="str">
        <f t="shared" si="31"/>
        <v>NA</v>
      </c>
      <c r="AP27" s="52" t="str">
        <f t="shared" si="32"/>
        <v>NA</v>
      </c>
      <c r="AQ27" s="52" t="str">
        <f t="shared" si="33"/>
        <v>NA</v>
      </c>
      <c r="AR27" s="52" t="str">
        <f t="shared" si="34"/>
        <v>NA</v>
      </c>
      <c r="AS27" s="52" t="str">
        <f t="shared" si="35"/>
        <v>NA</v>
      </c>
      <c r="AT27" s="52" t="str">
        <f t="shared" si="36"/>
        <v>NA</v>
      </c>
      <c r="AU27" s="52" t="str">
        <f t="shared" si="37"/>
        <v>NA</v>
      </c>
      <c r="AV27" s="52" t="str">
        <f t="shared" si="38"/>
        <v>NA</v>
      </c>
      <c r="AW27" s="53" t="str">
        <f t="shared" si="39"/>
        <v>NA</v>
      </c>
    </row>
    <row r="28" spans="1:49">
      <c r="A28" s="257" t="s">
        <v>709</v>
      </c>
      <c r="B28" s="46" t="s">
        <v>83</v>
      </c>
      <c r="C28" s="46" t="s">
        <v>104</v>
      </c>
      <c r="D28" s="46" t="s">
        <v>105</v>
      </c>
      <c r="E28" s="46" t="s">
        <v>18</v>
      </c>
      <c r="F28" s="62">
        <v>1.6320032890000002</v>
      </c>
      <c r="G28" s="56">
        <v>0.97406391600000031</v>
      </c>
      <c r="H28" s="56">
        <v>2.641458249999999</v>
      </c>
      <c r="I28" s="56">
        <v>0.24886482699999998</v>
      </c>
      <c r="J28" s="56">
        <v>2.6599010519999999</v>
      </c>
      <c r="K28" s="56">
        <v>1.2498180250000004</v>
      </c>
      <c r="L28" s="62">
        <v>4.5747012239999982</v>
      </c>
      <c r="M28" s="56">
        <v>0.50984347000000008</v>
      </c>
      <c r="N28" s="56">
        <v>2.0659365820000004</v>
      </c>
      <c r="O28" s="56">
        <v>3.9771623040000015</v>
      </c>
      <c r="P28" s="56">
        <v>0.13403933600000001</v>
      </c>
      <c r="Q28" s="56">
        <v>0.40883362699999998</v>
      </c>
      <c r="R28" s="56">
        <v>0.71842847999999981</v>
      </c>
      <c r="S28" s="56">
        <v>1.6565968799999997</v>
      </c>
      <c r="T28" s="56">
        <v>2.224514279000001</v>
      </c>
      <c r="U28" s="56">
        <v>9.0490072400000034</v>
      </c>
      <c r="V28" s="56">
        <v>0.81061098400000031</v>
      </c>
      <c r="W28" s="58">
        <v>2.1164432400000002</v>
      </c>
      <c r="X28" s="56">
        <v>15.905056800000006</v>
      </c>
      <c r="Y28" s="56">
        <v>4.5485135850000011</v>
      </c>
      <c r="Z28" s="56">
        <v>-0.86084184999999991</v>
      </c>
      <c r="AA28" s="56">
        <v>2.9433165199999998</v>
      </c>
      <c r="AB28" s="56">
        <v>0.36133034699999983</v>
      </c>
      <c r="AC28" s="56">
        <v>1.3218439855999999</v>
      </c>
      <c r="AD28" s="56">
        <v>0.90217900019999975</v>
      </c>
      <c r="AE28" s="56">
        <v>0.46160446999999993</v>
      </c>
      <c r="AF28" s="56">
        <v>0.59</v>
      </c>
      <c r="AG28" s="56">
        <v>0.75</v>
      </c>
      <c r="AH28" s="56">
        <f t="shared" si="40"/>
        <v>1</v>
      </c>
      <c r="AI28" s="58">
        <f t="shared" si="40"/>
        <v>1.5</v>
      </c>
      <c r="AK28" s="267">
        <v>0.5</v>
      </c>
      <c r="AL28" s="263">
        <f t="shared" si="29"/>
        <v>0.25</v>
      </c>
      <c r="AN28" s="51">
        <f t="shared" si="30"/>
        <v>8.2882020105445271</v>
      </c>
      <c r="AO28" s="52">
        <f t="shared" si="31"/>
        <v>106.33490824311582</v>
      </c>
      <c r="AP28" s="52">
        <f t="shared" si="32"/>
        <v>19.810046403988313</v>
      </c>
      <c r="AQ28" s="52">
        <f t="shared" si="33"/>
        <v>274.00573162482618</v>
      </c>
      <c r="AR28" s="52">
        <f t="shared" si="34"/>
        <v>102.35519369455395</v>
      </c>
      <c r="AS28" s="52">
        <f t="shared" si="35"/>
        <v>42.477804814065642</v>
      </c>
      <c r="AT28" s="52">
        <f t="shared" si="36"/>
        <v>27.13746927376323</v>
      </c>
      <c r="AU28" s="52">
        <f t="shared" si="37"/>
        <v>207.52482804308042</v>
      </c>
      <c r="AV28" s="52">
        <f t="shared" si="38"/>
        <v>31.394236853697997</v>
      </c>
      <c r="AW28" s="53">
        <f t="shared" si="39"/>
        <v>104.16653795239949</v>
      </c>
    </row>
    <row r="29" spans="1:49">
      <c r="A29" s="257" t="s">
        <v>709</v>
      </c>
      <c r="B29" s="46" t="s">
        <v>83</v>
      </c>
      <c r="C29" s="46" t="s">
        <v>104</v>
      </c>
      <c r="D29" s="46" t="s">
        <v>105</v>
      </c>
      <c r="E29" s="46" t="s">
        <v>102</v>
      </c>
      <c r="F29" s="62">
        <v>0.96021698900000052</v>
      </c>
      <c r="G29" s="56">
        <v>1.3477843020000002</v>
      </c>
      <c r="H29" s="56">
        <v>1.5740783030000003</v>
      </c>
      <c r="I29" s="56">
        <v>0.2420466050000003</v>
      </c>
      <c r="J29" s="56">
        <v>1.5565640420000004</v>
      </c>
      <c r="K29" s="56">
        <v>1.1394346720000001</v>
      </c>
      <c r="L29" s="62">
        <v>1.1781574380000004</v>
      </c>
      <c r="M29" s="56">
        <v>0.74976427199999995</v>
      </c>
      <c r="N29" s="56">
        <v>1.2909821400000001</v>
      </c>
      <c r="O29" s="56">
        <v>1.6504885720000004</v>
      </c>
      <c r="P29" s="56">
        <v>0.80325607799999998</v>
      </c>
      <c r="Q29" s="56">
        <v>0.82454339800000009</v>
      </c>
      <c r="R29" s="56">
        <v>1.4969800320000004</v>
      </c>
      <c r="S29" s="56">
        <v>0.7975528620000002</v>
      </c>
      <c r="T29" s="56">
        <v>0.82614735399999972</v>
      </c>
      <c r="U29" s="56">
        <v>0.86810075699999989</v>
      </c>
      <c r="V29" s="56">
        <v>1.1795770760000002</v>
      </c>
      <c r="W29" s="58">
        <v>1.3763710230000008</v>
      </c>
      <c r="X29" s="56">
        <v>0.45505745999999991</v>
      </c>
      <c r="Y29" s="56">
        <v>0.7045985680000002</v>
      </c>
      <c r="Z29" s="56">
        <v>1.0498888980000001</v>
      </c>
      <c r="AA29" s="56">
        <v>1.8012809270000005</v>
      </c>
      <c r="AB29" s="56">
        <v>0.43505124099999992</v>
      </c>
      <c r="AC29" s="56">
        <v>0.94461224500000007</v>
      </c>
      <c r="AD29" s="56">
        <v>1.4525212966000003</v>
      </c>
      <c r="AE29" s="56">
        <v>1.2488535331000001</v>
      </c>
      <c r="AF29" s="56">
        <v>0.44000000000000006</v>
      </c>
      <c r="AG29" s="56">
        <v>0.62</v>
      </c>
      <c r="AH29" s="56">
        <f t="shared" si="40"/>
        <v>0.7</v>
      </c>
      <c r="AI29" s="58">
        <f t="shared" si="40"/>
        <v>0.7</v>
      </c>
      <c r="AK29" s="267">
        <v>0.49999999999999994</v>
      </c>
      <c r="AL29" s="263">
        <f t="shared" si="29"/>
        <v>0.12000000000000005</v>
      </c>
      <c r="AN29" s="51">
        <f t="shared" si="30"/>
        <v>71.420280998556947</v>
      </c>
      <c r="AO29" s="52">
        <f t="shared" si="31"/>
        <v>87.277205971814823</v>
      </c>
      <c r="AP29" s="52">
        <f t="shared" si="32"/>
        <v>94.298855339138896</v>
      </c>
      <c r="AQ29" s="52">
        <f t="shared" si="33"/>
        <v>68.642774962041813</v>
      </c>
      <c r="AR29" s="52">
        <f t="shared" si="34"/>
        <v>97.030656440962019</v>
      </c>
      <c r="AS29" s="52">
        <f t="shared" si="35"/>
        <v>100.66314329105852</v>
      </c>
      <c r="AT29" s="52">
        <f t="shared" si="36"/>
        <v>58.994485328687119</v>
      </c>
      <c r="AU29" s="52">
        <f t="shared" si="37"/>
        <v>82.966448022865521</v>
      </c>
      <c r="AV29" s="52">
        <f t="shared" si="38"/>
        <v>78.863078176077252</v>
      </c>
      <c r="AW29" s="53">
        <f t="shared" si="39"/>
        <v>80.907284801693351</v>
      </c>
    </row>
    <row r="30" spans="1:49">
      <c r="A30" s="258" t="s">
        <v>709</v>
      </c>
      <c r="B30" s="59" t="s">
        <v>83</v>
      </c>
      <c r="C30" s="59" t="s">
        <v>104</v>
      </c>
      <c r="D30" s="59" t="s">
        <v>105</v>
      </c>
      <c r="E30" s="59" t="s">
        <v>766</v>
      </c>
      <c r="F30" s="63"/>
      <c r="G30" s="60"/>
      <c r="H30" s="60"/>
      <c r="I30" s="60"/>
      <c r="J30" s="60"/>
      <c r="K30" s="60"/>
      <c r="L30" s="63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160"/>
      <c r="X30" s="60"/>
      <c r="Y30" s="60"/>
      <c r="Z30" s="60"/>
      <c r="AA30" s="60"/>
      <c r="AB30" s="60"/>
      <c r="AC30" s="60"/>
      <c r="AD30" s="60"/>
      <c r="AE30" s="60"/>
      <c r="AF30" s="60"/>
      <c r="AG30" s="60">
        <f t="shared" si="40"/>
        <v>0</v>
      </c>
      <c r="AH30" s="60">
        <f t="shared" si="40"/>
        <v>14.8</v>
      </c>
      <c r="AI30" s="160">
        <f t="shared" si="40"/>
        <v>6</v>
      </c>
      <c r="AK30" s="268">
        <v>0</v>
      </c>
      <c r="AL30" s="264">
        <f t="shared" si="29"/>
        <v>0</v>
      </c>
      <c r="AN30" s="54" t="str">
        <f t="shared" si="30"/>
        <v>NA</v>
      </c>
      <c r="AO30" s="48" t="str">
        <f t="shared" si="31"/>
        <v>NA</v>
      </c>
      <c r="AP30" s="48" t="str">
        <f t="shared" si="32"/>
        <v>NA</v>
      </c>
      <c r="AQ30" s="48" t="str">
        <f t="shared" ref="AQ30" si="41">IFERROR(SUM(X30:Z30)/SUM(L30:N30)*100,"NA")</f>
        <v>NA</v>
      </c>
      <c r="AR30" s="48" t="str">
        <f t="shared" ref="AR30" si="42">IFERROR(SUM(AA30:AC30)/SUM(O30:Q30)*100,"NA")</f>
        <v>NA</v>
      </c>
      <c r="AS30" s="48" t="str">
        <f t="shared" ref="AS30" si="43">IFERROR(SUM(AD30:AF30)/SUM(R30:T30)*100,"NA")</f>
        <v>NA</v>
      </c>
      <c r="AT30" s="48" t="str">
        <f t="shared" ref="AT30" si="44">IFERROR(SUM(AG30:AI30)/SUM(U30:W30)*100,"NA")</f>
        <v>NA</v>
      </c>
      <c r="AU30" s="48" t="str">
        <f t="shared" ref="AU30" si="45">IFERROR(SUM(X30:AC30)/SUM(L30:Q30)*100,"NA")</f>
        <v>NA</v>
      </c>
      <c r="AV30" s="48" t="str">
        <f t="shared" ref="AV30" si="46">IFERROR(SUM(AD30:AI30)/SUM(R30:W30)*100,"NA")</f>
        <v>NA</v>
      </c>
      <c r="AW30" s="55" t="str">
        <f t="shared" ref="AW30" si="47">IFERROR(SUM(X30:AI30)/SUM(L30:W30)*100,"NA")</f>
        <v>NA</v>
      </c>
    </row>
    <row r="31" spans="1:49" outlineLevel="1">
      <c r="A31" s="256" t="s">
        <v>709</v>
      </c>
      <c r="B31" s="166" t="s">
        <v>711</v>
      </c>
      <c r="C31" s="166" t="s">
        <v>104</v>
      </c>
      <c r="D31" s="166" t="s">
        <v>105</v>
      </c>
      <c r="E31" s="166" t="s">
        <v>103</v>
      </c>
      <c r="F31" s="167"/>
      <c r="G31" s="168"/>
      <c r="H31" s="168"/>
      <c r="I31" s="168"/>
      <c r="J31" s="168"/>
      <c r="K31" s="168"/>
      <c r="L31" s="169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340"/>
      <c r="X31" s="170"/>
      <c r="Y31" s="170"/>
      <c r="Z31" s="170"/>
      <c r="AA31" s="170"/>
      <c r="AB31" s="170"/>
      <c r="AC31" s="170"/>
      <c r="AD31" s="168">
        <f t="shared" ref="AD31:AI31" si="48">SUM(AD32:AD36)</f>
        <v>0</v>
      </c>
      <c r="AE31" s="168">
        <f t="shared" si="48"/>
        <v>0.5865999999999999</v>
      </c>
      <c r="AF31" s="168">
        <f t="shared" si="48"/>
        <v>-0.6</v>
      </c>
      <c r="AG31" s="168">
        <f t="shared" si="48"/>
        <v>0</v>
      </c>
      <c r="AH31" s="168">
        <f t="shared" si="48"/>
        <v>0</v>
      </c>
      <c r="AI31" s="171">
        <f t="shared" si="48"/>
        <v>0</v>
      </c>
      <c r="AK31" s="247"/>
    </row>
    <row r="32" spans="1:49" outlineLevel="1">
      <c r="A32" s="257" t="s">
        <v>709</v>
      </c>
      <c r="B32" s="46" t="s">
        <v>711</v>
      </c>
      <c r="C32" s="46" t="s">
        <v>104</v>
      </c>
      <c r="D32" s="46" t="s">
        <v>105</v>
      </c>
      <c r="E32" s="46" t="s">
        <v>17</v>
      </c>
      <c r="F32" s="62"/>
      <c r="G32" s="56"/>
      <c r="H32" s="56"/>
      <c r="I32" s="56"/>
      <c r="J32" s="56"/>
      <c r="K32" s="56"/>
      <c r="L32" s="62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8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8"/>
      <c r="AK32" s="247"/>
    </row>
    <row r="33" spans="1:49" outlineLevel="1">
      <c r="A33" s="257" t="s">
        <v>709</v>
      </c>
      <c r="B33" s="46" t="s">
        <v>711</v>
      </c>
      <c r="C33" s="46" t="s">
        <v>104</v>
      </c>
      <c r="D33" s="46" t="s">
        <v>105</v>
      </c>
      <c r="E33" s="46" t="s">
        <v>106</v>
      </c>
      <c r="F33" s="62"/>
      <c r="G33" s="56"/>
      <c r="H33" s="56"/>
      <c r="I33" s="56"/>
      <c r="J33" s="56"/>
      <c r="K33" s="56"/>
      <c r="L33" s="62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8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8"/>
      <c r="AK33" s="247"/>
    </row>
    <row r="34" spans="1:49" outlineLevel="1">
      <c r="A34" s="257" t="s">
        <v>709</v>
      </c>
      <c r="B34" s="46" t="s">
        <v>711</v>
      </c>
      <c r="C34" s="46" t="s">
        <v>104</v>
      </c>
      <c r="D34" s="46" t="s">
        <v>105</v>
      </c>
      <c r="E34" s="46" t="s">
        <v>19</v>
      </c>
      <c r="F34" s="62"/>
      <c r="G34" s="56"/>
      <c r="H34" s="56"/>
      <c r="I34" s="56"/>
      <c r="J34" s="56"/>
      <c r="K34" s="56"/>
      <c r="L34" s="62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8"/>
      <c r="X34" s="56"/>
      <c r="Y34" s="56"/>
      <c r="Z34" s="56"/>
      <c r="AA34" s="56"/>
      <c r="AB34" s="56"/>
      <c r="AC34" s="56"/>
      <c r="AD34" s="56"/>
      <c r="AE34" s="211">
        <f>500*4*293.3/1000000+N("P3 Magic mask NI ")+0.6+N("紙架")</f>
        <v>1.1865999999999999</v>
      </c>
      <c r="AF34" s="56">
        <f>-0.6+N("紙架")</f>
        <v>-0.6</v>
      </c>
      <c r="AG34" s="56"/>
      <c r="AH34" s="56"/>
      <c r="AI34" s="58"/>
      <c r="AK34" s="247"/>
    </row>
    <row r="35" spans="1:49" outlineLevel="1">
      <c r="A35" s="257" t="s">
        <v>709</v>
      </c>
      <c r="B35" s="46" t="s">
        <v>711</v>
      </c>
      <c r="C35" s="46" t="s">
        <v>104</v>
      </c>
      <c r="D35" s="46" t="s">
        <v>105</v>
      </c>
      <c r="E35" s="46" t="s">
        <v>18</v>
      </c>
      <c r="F35" s="62"/>
      <c r="G35" s="56"/>
      <c r="H35" s="56"/>
      <c r="I35" s="56"/>
      <c r="J35" s="56"/>
      <c r="K35" s="56"/>
      <c r="L35" s="62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8"/>
      <c r="X35" s="56"/>
      <c r="Y35" s="56"/>
      <c r="Z35" s="56"/>
      <c r="AA35" s="56"/>
      <c r="AB35" s="56"/>
      <c r="AC35" s="56"/>
      <c r="AD35" s="56"/>
      <c r="AE35" s="56">
        <v>-0.6</v>
      </c>
      <c r="AF35" s="56">
        <f>500*8*500/1000000*0+N("P4 Botox toner hard con 假設一瓶500元")+N("Watch out負向")</f>
        <v>0</v>
      </c>
      <c r="AG35" s="56"/>
      <c r="AH35" s="56"/>
      <c r="AI35" s="58"/>
      <c r="AK35" s="247"/>
    </row>
    <row r="36" spans="1:49" outlineLevel="1">
      <c r="A36" s="257" t="s">
        <v>709</v>
      </c>
      <c r="B36" s="46" t="s">
        <v>711</v>
      </c>
      <c r="C36" s="46" t="s">
        <v>104</v>
      </c>
      <c r="D36" s="46" t="s">
        <v>105</v>
      </c>
      <c r="E36" s="46" t="s">
        <v>102</v>
      </c>
      <c r="F36" s="62"/>
      <c r="G36" s="56"/>
      <c r="H36" s="56"/>
      <c r="I36" s="56"/>
      <c r="J36" s="56"/>
      <c r="K36" s="56"/>
      <c r="L36" s="62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8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8"/>
      <c r="AK36" s="247"/>
    </row>
    <row r="37" spans="1:49" outlineLevel="1">
      <c r="A37" s="258" t="s">
        <v>709</v>
      </c>
      <c r="B37" s="59" t="s">
        <v>711</v>
      </c>
      <c r="C37" s="59" t="s">
        <v>104</v>
      </c>
      <c r="D37" s="59" t="s">
        <v>105</v>
      </c>
      <c r="E37" s="59" t="s">
        <v>766</v>
      </c>
      <c r="F37" s="63"/>
      <c r="G37" s="60"/>
      <c r="H37" s="60"/>
      <c r="I37" s="60"/>
      <c r="J37" s="60"/>
      <c r="K37" s="60"/>
      <c r="L37" s="63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1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>
        <v>13.8</v>
      </c>
      <c r="AI37" s="160">
        <v>3</v>
      </c>
      <c r="AK37" s="247"/>
    </row>
    <row r="38" spans="1:49" outlineLevel="1">
      <c r="A38" s="256" t="s">
        <v>709</v>
      </c>
      <c r="B38" s="166" t="s">
        <v>713</v>
      </c>
      <c r="C38" s="166" t="s">
        <v>104</v>
      </c>
      <c r="D38" s="166" t="s">
        <v>105</v>
      </c>
      <c r="E38" s="166" t="s">
        <v>103</v>
      </c>
      <c r="F38" s="167"/>
      <c r="G38" s="168"/>
      <c r="H38" s="168"/>
      <c r="I38" s="168"/>
      <c r="J38" s="168"/>
      <c r="K38" s="168"/>
      <c r="L38" s="169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340"/>
      <c r="X38" s="170"/>
      <c r="Y38" s="170"/>
      <c r="Z38" s="170"/>
      <c r="AA38" s="170"/>
      <c r="AB38" s="170"/>
      <c r="AC38" s="170"/>
      <c r="AD38" s="168">
        <f t="shared" ref="AD38:AI38" si="49">SUM(AD39:AD43)</f>
        <v>0</v>
      </c>
      <c r="AE38" s="168">
        <f t="shared" si="49"/>
        <v>0</v>
      </c>
      <c r="AF38" s="168">
        <f t="shared" si="49"/>
        <v>0</v>
      </c>
      <c r="AG38" s="168">
        <f t="shared" si="49"/>
        <v>-3</v>
      </c>
      <c r="AH38" s="168">
        <f t="shared" si="49"/>
        <v>-0.3</v>
      </c>
      <c r="AI38" s="171">
        <f t="shared" si="49"/>
        <v>-1</v>
      </c>
      <c r="AK38" s="247"/>
    </row>
    <row r="39" spans="1:49" outlineLevel="1">
      <c r="A39" s="257" t="s">
        <v>709</v>
      </c>
      <c r="B39" s="46" t="s">
        <v>713</v>
      </c>
      <c r="C39" s="46" t="s">
        <v>104</v>
      </c>
      <c r="D39" s="46" t="s">
        <v>105</v>
      </c>
      <c r="E39" s="46" t="s">
        <v>17</v>
      </c>
      <c r="F39" s="62"/>
      <c r="G39" s="56"/>
      <c r="H39" s="56"/>
      <c r="I39" s="56"/>
      <c r="J39" s="56"/>
      <c r="K39" s="56"/>
      <c r="L39" s="62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8"/>
      <c r="X39" s="56"/>
      <c r="Y39" s="56"/>
      <c r="Z39" s="56"/>
      <c r="AA39" s="56"/>
      <c r="AB39" s="56"/>
      <c r="AC39" s="56"/>
      <c r="AD39" s="56"/>
      <c r="AE39" s="56"/>
      <c r="AF39" s="56"/>
      <c r="AG39" s="56">
        <v>-0.3</v>
      </c>
      <c r="AH39" s="56"/>
      <c r="AI39" s="58">
        <v>-0.2</v>
      </c>
      <c r="AK39" s="247"/>
    </row>
    <row r="40" spans="1:49" outlineLevel="1">
      <c r="A40" s="257" t="s">
        <v>709</v>
      </c>
      <c r="B40" s="46" t="s">
        <v>713</v>
      </c>
      <c r="C40" s="46" t="s">
        <v>104</v>
      </c>
      <c r="D40" s="46" t="s">
        <v>105</v>
      </c>
      <c r="E40" s="46" t="s">
        <v>106</v>
      </c>
      <c r="F40" s="62"/>
      <c r="G40" s="56"/>
      <c r="H40" s="56"/>
      <c r="I40" s="56"/>
      <c r="J40" s="56"/>
      <c r="K40" s="56"/>
      <c r="L40" s="62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8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8"/>
      <c r="AK40" s="247"/>
    </row>
    <row r="41" spans="1:49" outlineLevel="1">
      <c r="A41" s="257" t="s">
        <v>709</v>
      </c>
      <c r="B41" s="46" t="s">
        <v>713</v>
      </c>
      <c r="C41" s="46" t="s">
        <v>104</v>
      </c>
      <c r="D41" s="46" t="s">
        <v>105</v>
      </c>
      <c r="E41" s="46" t="s">
        <v>19</v>
      </c>
      <c r="F41" s="62"/>
      <c r="G41" s="56"/>
      <c r="H41" s="56"/>
      <c r="I41" s="56"/>
      <c r="J41" s="56"/>
      <c r="K41" s="56"/>
      <c r="L41" s="62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8"/>
      <c r="X41" s="56"/>
      <c r="Y41" s="56"/>
      <c r="Z41" s="56"/>
      <c r="AA41" s="56"/>
      <c r="AB41" s="56"/>
      <c r="AC41" s="56"/>
      <c r="AD41" s="56"/>
      <c r="AE41" s="56"/>
      <c r="AF41" s="56"/>
      <c r="AG41" s="56">
        <v>-2</v>
      </c>
      <c r="AH41" s="56">
        <v>-0.3</v>
      </c>
      <c r="AI41" s="58">
        <v>-0.3</v>
      </c>
      <c r="AK41" s="248"/>
    </row>
    <row r="42" spans="1:49" outlineLevel="1">
      <c r="A42" s="257" t="s">
        <v>709</v>
      </c>
      <c r="B42" s="46" t="s">
        <v>713</v>
      </c>
      <c r="C42" s="46" t="s">
        <v>104</v>
      </c>
      <c r="D42" s="46" t="s">
        <v>105</v>
      </c>
      <c r="E42" s="46" t="s">
        <v>18</v>
      </c>
      <c r="F42" s="62"/>
      <c r="G42" s="56"/>
      <c r="H42" s="56"/>
      <c r="I42" s="56"/>
      <c r="J42" s="56"/>
      <c r="K42" s="56"/>
      <c r="L42" s="62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8"/>
      <c r="X42" s="56"/>
      <c r="Y42" s="56"/>
      <c r="Z42" s="56"/>
      <c r="AA42" s="56"/>
      <c r="AB42" s="56"/>
      <c r="AC42" s="56"/>
      <c r="AD42" s="56"/>
      <c r="AE42" s="56"/>
      <c r="AF42" s="56"/>
      <c r="AG42" s="56">
        <v>-0.5</v>
      </c>
      <c r="AH42" s="56"/>
      <c r="AI42" s="58">
        <v>-0.5</v>
      </c>
      <c r="AK42" s="248"/>
    </row>
    <row r="43" spans="1:49" outlineLevel="1">
      <c r="A43" s="257" t="s">
        <v>709</v>
      </c>
      <c r="B43" s="46" t="s">
        <v>713</v>
      </c>
      <c r="C43" s="46" t="s">
        <v>104</v>
      </c>
      <c r="D43" s="46" t="s">
        <v>105</v>
      </c>
      <c r="E43" s="46" t="s">
        <v>102</v>
      </c>
      <c r="F43" s="62"/>
      <c r="G43" s="56"/>
      <c r="H43" s="56"/>
      <c r="I43" s="56"/>
      <c r="J43" s="56"/>
      <c r="K43" s="56"/>
      <c r="L43" s="62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6">
        <v>-0.2</v>
      </c>
      <c r="AH43" s="56"/>
      <c r="AI43" s="58"/>
      <c r="AK43" s="248"/>
    </row>
    <row r="44" spans="1:49" outlineLevel="1">
      <c r="A44" s="258" t="s">
        <v>709</v>
      </c>
      <c r="B44" s="59" t="s">
        <v>713</v>
      </c>
      <c r="C44" s="59" t="s">
        <v>104</v>
      </c>
      <c r="D44" s="59" t="s">
        <v>105</v>
      </c>
      <c r="E44" s="59" t="s">
        <v>766</v>
      </c>
      <c r="F44" s="63"/>
      <c r="G44" s="60"/>
      <c r="H44" s="60"/>
      <c r="I44" s="60"/>
      <c r="J44" s="60"/>
      <c r="K44" s="60"/>
      <c r="L44" s="63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1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160"/>
      <c r="AK44" s="248"/>
    </row>
    <row r="45" spans="1:49">
      <c r="A45" s="259" t="s">
        <v>745</v>
      </c>
      <c r="B45" s="172" t="s">
        <v>83</v>
      </c>
      <c r="C45" s="172" t="s">
        <v>104</v>
      </c>
      <c r="D45" s="172" t="s">
        <v>105</v>
      </c>
      <c r="E45" s="172" t="s">
        <v>103</v>
      </c>
      <c r="F45" s="173">
        <f t="shared" ref="F45:W45" si="50">SUM(F46:F50)</f>
        <v>4.2359289699999998</v>
      </c>
      <c r="G45" s="174">
        <f t="shared" si="50"/>
        <v>4.3824768299999999</v>
      </c>
      <c r="H45" s="174">
        <f t="shared" si="50"/>
        <v>4.0707142899999997</v>
      </c>
      <c r="I45" s="174">
        <f t="shared" si="50"/>
        <v>-1.9288891200000002</v>
      </c>
      <c r="J45" s="174">
        <f t="shared" si="50"/>
        <v>5.1970617899999993</v>
      </c>
      <c r="K45" s="174">
        <f t="shared" si="50"/>
        <v>1.7085736499999999</v>
      </c>
      <c r="L45" s="173">
        <f t="shared" si="50"/>
        <v>12.946326559999999</v>
      </c>
      <c r="M45" s="174">
        <f t="shared" si="50"/>
        <v>4.267525019999999</v>
      </c>
      <c r="N45" s="174">
        <f t="shared" si="50"/>
        <v>2.8884985200000002</v>
      </c>
      <c r="O45" s="174">
        <f t="shared" si="50"/>
        <v>7.0563822600000004</v>
      </c>
      <c r="P45" s="174">
        <f t="shared" si="50"/>
        <v>4.3300518799999992</v>
      </c>
      <c r="Q45" s="174">
        <f t="shared" si="50"/>
        <v>7.3292284399999987</v>
      </c>
      <c r="R45" s="174">
        <f t="shared" si="50"/>
        <v>5.7713964299999994</v>
      </c>
      <c r="S45" s="174">
        <f t="shared" si="50"/>
        <v>5.0057814199999999</v>
      </c>
      <c r="T45" s="174">
        <f t="shared" si="50"/>
        <v>7.9949872799999993</v>
      </c>
      <c r="U45" s="174">
        <f t="shared" si="50"/>
        <v>11.24746597</v>
      </c>
      <c r="V45" s="174">
        <f t="shared" si="50"/>
        <v>4.85892298</v>
      </c>
      <c r="W45" s="175">
        <f t="shared" si="50"/>
        <v>5.1518098700000001</v>
      </c>
      <c r="X45" s="174">
        <f t="shared" ref="X45" si="51">SUM(X46:X50)</f>
        <v>16.128978119999999</v>
      </c>
      <c r="Y45" s="174">
        <f t="shared" ref="Y45" si="52">SUM(Y46:Y50)</f>
        <v>7.5376361599999999</v>
      </c>
      <c r="Z45" s="174">
        <f t="shared" ref="Z45" si="53">SUM(Z46:Z50)</f>
        <v>22.700959229999999</v>
      </c>
      <c r="AA45" s="174">
        <f t="shared" ref="AA45" si="54">SUM(AA46:AA50)</f>
        <v>11.32724971</v>
      </c>
      <c r="AB45" s="174">
        <f t="shared" ref="AB45" si="55">SUM(AB46:AB50)</f>
        <v>10.582107550000002</v>
      </c>
      <c r="AC45" s="174">
        <f t="shared" ref="AC45" si="56">SUM(AC46:AC50)</f>
        <v>13.016394350000002</v>
      </c>
      <c r="AD45" s="174">
        <f t="shared" ref="AD45:AF45" si="57">SUM(AD46:AD50)</f>
        <v>2.31528205</v>
      </c>
      <c r="AE45" s="174">
        <f t="shared" si="57"/>
        <v>5.9356248599999999</v>
      </c>
      <c r="AF45" s="174">
        <f t="shared" si="57"/>
        <v>5.67</v>
      </c>
      <c r="AG45" s="174">
        <f>SUM(AG46:AG51)</f>
        <v>4.7200000000000006</v>
      </c>
      <c r="AH45" s="174">
        <f t="shared" ref="AH45:AI45" si="58">SUM(AH46:AH51)</f>
        <v>21.150000000000002</v>
      </c>
      <c r="AI45" s="175">
        <f t="shared" si="58"/>
        <v>11.15</v>
      </c>
      <c r="AK45" s="265">
        <v>3.4499999999999997</v>
      </c>
      <c r="AL45" s="266">
        <f t="shared" ref="AL45:AL51" si="59">AG45-AK45</f>
        <v>1.2700000000000009</v>
      </c>
      <c r="AN45" s="88">
        <f t="shared" ref="AN45:AN51" si="60">IFERROR(AF45/T45*100,"NA")</f>
        <v>70.919437410286918</v>
      </c>
      <c r="AO45" s="89">
        <f t="shared" ref="AO45:AO51" si="61">IFERROR(SUM(X45:AF45)/SUM(L45:T45)*100,"NA")</f>
        <v>165.33067903372049</v>
      </c>
      <c r="AP45" s="89">
        <f t="shared" ref="AP45:AP51" si="62">IFERROR(SUM(AD45:AF45)/SUM(R45:T45)*100,"NA")</f>
        <v>74.1571726734539</v>
      </c>
      <c r="AQ45" s="89">
        <f t="shared" ref="AQ45:AQ51" si="63">IFERROR(SUM(X45:Z45)/SUM(L45:N45)*100,"NA")</f>
        <v>230.65747675939647</v>
      </c>
      <c r="AR45" s="89">
        <f t="shared" ref="AR45:AR51" si="64">IFERROR(SUM(AA45:AC45)/SUM(O45:Q45)*100,"NA")</f>
        <v>186.61242400962334</v>
      </c>
      <c r="AS45" s="89">
        <f t="shared" ref="AS45:AS51" si="65">IFERROR(SUM(AD45:AF45)/SUM(R45:T45)*100,"NA")</f>
        <v>74.1571726734539</v>
      </c>
      <c r="AT45" s="89">
        <f t="shared" ref="AT45:AT51" si="66">IFERROR(SUM(AG45:AI45)/SUM(U45:W45)*100,"NA")</f>
        <v>174.14457505765299</v>
      </c>
      <c r="AU45" s="89">
        <f t="shared" ref="AU45:AU51" si="67">IFERROR(SUM(X45:AC45)/SUM(L45:Q45)*100,"NA")</f>
        <v>209.42165635873562</v>
      </c>
      <c r="AV45" s="89">
        <f t="shared" ref="AV45:AV51" si="68">IFERROR(SUM(AD45:AI45)/SUM(R45:W45)*100,"NA")</f>
        <v>127.25566765675134</v>
      </c>
      <c r="AW45" s="90">
        <f t="shared" ref="AW45:AW51" si="69">IFERROR(SUM(X45:AI45)/SUM(L45:W45)*100,"NA")</f>
        <v>167.7069810206948</v>
      </c>
    </row>
    <row r="46" spans="1:49">
      <c r="A46" s="260" t="s">
        <v>745</v>
      </c>
      <c r="B46" s="46" t="s">
        <v>83</v>
      </c>
      <c r="C46" s="46" t="s">
        <v>104</v>
      </c>
      <c r="D46" s="46" t="s">
        <v>105</v>
      </c>
      <c r="E46" s="46" t="s">
        <v>17</v>
      </c>
      <c r="F46" s="62">
        <v>2.0057516399999997</v>
      </c>
      <c r="G46" s="56">
        <v>1.9467391200000002</v>
      </c>
      <c r="H46" s="56">
        <v>0.37564703999999999</v>
      </c>
      <c r="I46" s="56">
        <v>0.11154616000000002</v>
      </c>
      <c r="J46" s="56">
        <v>1.03929396</v>
      </c>
      <c r="K46" s="56">
        <v>0.4384632</v>
      </c>
      <c r="L46" s="62">
        <v>1.1124000000000001</v>
      </c>
      <c r="M46" s="56">
        <v>0.42154739999999996</v>
      </c>
      <c r="N46" s="56">
        <v>0.85519331999999992</v>
      </c>
      <c r="O46" s="56">
        <v>0.98646275999999999</v>
      </c>
      <c r="P46" s="56">
        <v>0.87903160000000002</v>
      </c>
      <c r="Q46" s="56">
        <v>4.8667343999999995</v>
      </c>
      <c r="R46" s="56">
        <v>2.3360400000000001</v>
      </c>
      <c r="S46" s="56">
        <v>0.58956287999999979</v>
      </c>
      <c r="T46" s="56">
        <v>0.92429064000000005</v>
      </c>
      <c r="U46" s="56">
        <v>4.9994932800000003</v>
      </c>
      <c r="V46" s="56">
        <v>1.1874791899999999</v>
      </c>
      <c r="W46" s="58">
        <v>0</v>
      </c>
      <c r="X46" s="56">
        <v>0</v>
      </c>
      <c r="Y46" s="56">
        <v>0.84666803999999996</v>
      </c>
      <c r="Z46" s="56">
        <v>0.95836761999999986</v>
      </c>
      <c r="AA46" s="56">
        <v>0.57162864999999996</v>
      </c>
      <c r="AB46" s="56">
        <v>1.04963352</v>
      </c>
      <c r="AC46" s="56">
        <v>0.8538939499999999</v>
      </c>
      <c r="AD46" s="56">
        <v>0.17798398999999998</v>
      </c>
      <c r="AE46" s="56">
        <v>0.55140551999999998</v>
      </c>
      <c r="AF46" s="56">
        <v>1.22</v>
      </c>
      <c r="AG46" s="56">
        <v>0.35</v>
      </c>
      <c r="AH46" s="56">
        <f t="shared" ref="AH46:AI46" si="70">AH25+AH53+AH59</f>
        <v>1</v>
      </c>
      <c r="AI46" s="58">
        <f t="shared" si="70"/>
        <v>0.8</v>
      </c>
      <c r="AK46" s="267">
        <v>0.5</v>
      </c>
      <c r="AL46" s="263">
        <f t="shared" si="59"/>
        <v>-0.15000000000000002</v>
      </c>
      <c r="AN46" s="51">
        <f t="shared" si="60"/>
        <v>131.99311420052894</v>
      </c>
      <c r="AO46" s="52">
        <f t="shared" si="61"/>
        <v>48.026019440049907</v>
      </c>
      <c r="AP46" s="52">
        <f t="shared" si="62"/>
        <v>50.634894182735735</v>
      </c>
      <c r="AQ46" s="52">
        <f t="shared" si="63"/>
        <v>75.551667797952049</v>
      </c>
      <c r="AR46" s="52">
        <f t="shared" si="64"/>
        <v>36.765775618117885</v>
      </c>
      <c r="AS46" s="52">
        <f t="shared" si="65"/>
        <v>50.634894182735735</v>
      </c>
      <c r="AT46" s="52">
        <f t="shared" si="66"/>
        <v>34.750437478510392</v>
      </c>
      <c r="AU46" s="52">
        <f t="shared" si="67"/>
        <v>46.924881065118313</v>
      </c>
      <c r="AV46" s="52">
        <f t="shared" si="68"/>
        <v>40.843322149407314</v>
      </c>
      <c r="AW46" s="53">
        <f t="shared" si="69"/>
        <v>43.738794750287099</v>
      </c>
    </row>
    <row r="47" spans="1:49">
      <c r="A47" s="260" t="s">
        <v>745</v>
      </c>
      <c r="B47" s="46" t="s">
        <v>83</v>
      </c>
      <c r="C47" s="46" t="s">
        <v>104</v>
      </c>
      <c r="D47" s="46" t="s">
        <v>105</v>
      </c>
      <c r="E47" s="46" t="s">
        <v>106</v>
      </c>
      <c r="F47" s="62">
        <v>0</v>
      </c>
      <c r="G47" s="56">
        <v>0</v>
      </c>
      <c r="H47" s="56">
        <v>0</v>
      </c>
      <c r="I47" s="56">
        <v>0</v>
      </c>
      <c r="J47" s="56">
        <v>0</v>
      </c>
      <c r="K47" s="56">
        <v>0</v>
      </c>
      <c r="L47" s="62">
        <v>6.3946108799999992</v>
      </c>
      <c r="M47" s="56">
        <v>0.20915567999999998</v>
      </c>
      <c r="N47" s="56">
        <v>5.3030160000000007E-2</v>
      </c>
      <c r="O47" s="56">
        <v>1.52327196</v>
      </c>
      <c r="P47" s="56">
        <v>1.35008448</v>
      </c>
      <c r="Q47" s="56">
        <v>1.17279456</v>
      </c>
      <c r="R47" s="56">
        <v>1.8186923999999998</v>
      </c>
      <c r="S47" s="56">
        <v>0.79849968000000004</v>
      </c>
      <c r="T47" s="56">
        <v>1.1476771200000002</v>
      </c>
      <c r="U47" s="56">
        <v>0.68821619999999994</v>
      </c>
      <c r="V47" s="56">
        <v>1.2490996799999996</v>
      </c>
      <c r="W47" s="58">
        <v>1.1348789999999997</v>
      </c>
      <c r="X47" s="56">
        <v>6.9217200000000001E-3</v>
      </c>
      <c r="Y47" s="56">
        <v>0.34597692000000002</v>
      </c>
      <c r="Z47" s="56">
        <v>0.38441880000000006</v>
      </c>
      <c r="AA47" s="56">
        <v>0.84877271999999981</v>
      </c>
      <c r="AB47" s="56">
        <v>0.90442272000000001</v>
      </c>
      <c r="AC47" s="56">
        <v>2.03784024</v>
      </c>
      <c r="AD47" s="56">
        <v>5.5982279999999995E-2</v>
      </c>
      <c r="AE47" s="56">
        <v>0.66436619999999991</v>
      </c>
      <c r="AF47" s="56">
        <v>0.14000000000000001</v>
      </c>
      <c r="AG47" s="56">
        <v>0.64</v>
      </c>
      <c r="AH47" s="56">
        <f t="shared" ref="AH47:AI47" si="71">AH26+AH54+AH60</f>
        <v>0.65</v>
      </c>
      <c r="AI47" s="58">
        <f t="shared" si="71"/>
        <v>0.65</v>
      </c>
      <c r="AK47" s="267">
        <v>0.65</v>
      </c>
      <c r="AL47" s="263">
        <f t="shared" si="59"/>
        <v>-1.0000000000000009E-2</v>
      </c>
      <c r="AN47" s="51">
        <f t="shared" si="60"/>
        <v>12.19855284733741</v>
      </c>
      <c r="AO47" s="52">
        <f t="shared" si="61"/>
        <v>37.246127938975881</v>
      </c>
      <c r="AP47" s="52">
        <f t="shared" si="62"/>
        <v>22.852015151017731</v>
      </c>
      <c r="AQ47" s="52">
        <f t="shared" si="63"/>
        <v>11.076159765924176</v>
      </c>
      <c r="AR47" s="52">
        <f t="shared" si="64"/>
        <v>93.694864081938618</v>
      </c>
      <c r="AS47" s="52">
        <f t="shared" si="65"/>
        <v>22.852015151017731</v>
      </c>
      <c r="AT47" s="52">
        <f t="shared" si="66"/>
        <v>63.147035776584602</v>
      </c>
      <c r="AU47" s="52">
        <f t="shared" si="67"/>
        <v>42.309401470196107</v>
      </c>
      <c r="AV47" s="52">
        <f t="shared" si="68"/>
        <v>40.958347724013144</v>
      </c>
      <c r="AW47" s="53">
        <f t="shared" si="69"/>
        <v>41.782763224822915</v>
      </c>
    </row>
    <row r="48" spans="1:49">
      <c r="A48" s="260" t="s">
        <v>745</v>
      </c>
      <c r="B48" s="46" t="s">
        <v>83</v>
      </c>
      <c r="C48" s="46" t="s">
        <v>104</v>
      </c>
      <c r="D48" s="46" t="s">
        <v>105</v>
      </c>
      <c r="E48" s="46" t="s">
        <v>19</v>
      </c>
      <c r="F48" s="62">
        <v>0</v>
      </c>
      <c r="G48" s="56">
        <v>0</v>
      </c>
      <c r="H48" s="56">
        <v>0</v>
      </c>
      <c r="I48" s="56">
        <v>0</v>
      </c>
      <c r="J48" s="56">
        <v>0</v>
      </c>
      <c r="K48" s="56">
        <v>0</v>
      </c>
      <c r="L48" s="62">
        <v>0</v>
      </c>
      <c r="M48" s="56">
        <v>0</v>
      </c>
      <c r="N48" s="56">
        <v>0</v>
      </c>
      <c r="O48" s="56">
        <v>0</v>
      </c>
      <c r="P48" s="56">
        <v>0</v>
      </c>
      <c r="Q48" s="56">
        <v>0</v>
      </c>
      <c r="R48" s="56">
        <v>0</v>
      </c>
      <c r="S48" s="56">
        <v>0</v>
      </c>
      <c r="T48" s="56">
        <v>0</v>
      </c>
      <c r="U48" s="56">
        <v>0</v>
      </c>
      <c r="V48" s="56">
        <v>0</v>
      </c>
      <c r="W48" s="58">
        <v>0</v>
      </c>
      <c r="X48" s="56">
        <v>0</v>
      </c>
      <c r="Y48" s="56">
        <v>0</v>
      </c>
      <c r="Z48" s="56">
        <v>18.939159119999999</v>
      </c>
      <c r="AA48" s="56">
        <v>4.6990970399999998</v>
      </c>
      <c r="AB48" s="56">
        <v>6.666229920000001</v>
      </c>
      <c r="AC48" s="56">
        <v>6.5050844400000001</v>
      </c>
      <c r="AD48" s="56">
        <v>1.7032694399999999</v>
      </c>
      <c r="AE48" s="56">
        <v>3.5810461199999994</v>
      </c>
      <c r="AF48" s="56">
        <v>3.65</v>
      </c>
      <c r="AG48" s="56">
        <v>2.25</v>
      </c>
      <c r="AH48" s="56">
        <f t="shared" ref="AH48:AI48" si="72">AH27+AH55+AH61</f>
        <v>3</v>
      </c>
      <c r="AI48" s="58">
        <f t="shared" si="72"/>
        <v>1.5</v>
      </c>
      <c r="AK48" s="267">
        <v>1.2999999999999998</v>
      </c>
      <c r="AL48" s="263">
        <f t="shared" si="59"/>
        <v>0.95000000000000018</v>
      </c>
      <c r="AN48" s="51" t="str">
        <f t="shared" si="60"/>
        <v>NA</v>
      </c>
      <c r="AO48" s="52" t="str">
        <f t="shared" si="61"/>
        <v>NA</v>
      </c>
      <c r="AP48" s="52" t="str">
        <f t="shared" si="62"/>
        <v>NA</v>
      </c>
      <c r="AQ48" s="52" t="str">
        <f t="shared" si="63"/>
        <v>NA</v>
      </c>
      <c r="AR48" s="52" t="str">
        <f t="shared" si="64"/>
        <v>NA</v>
      </c>
      <c r="AS48" s="52" t="str">
        <f t="shared" si="65"/>
        <v>NA</v>
      </c>
      <c r="AT48" s="52" t="str">
        <f t="shared" si="66"/>
        <v>NA</v>
      </c>
      <c r="AU48" s="52" t="str">
        <f t="shared" si="67"/>
        <v>NA</v>
      </c>
      <c r="AV48" s="52" t="str">
        <f t="shared" si="68"/>
        <v>NA</v>
      </c>
      <c r="AW48" s="53" t="str">
        <f t="shared" si="69"/>
        <v>NA</v>
      </c>
    </row>
    <row r="49" spans="1:49">
      <c r="A49" s="260" t="s">
        <v>745</v>
      </c>
      <c r="B49" s="46" t="s">
        <v>83</v>
      </c>
      <c r="C49" s="46" t="s">
        <v>104</v>
      </c>
      <c r="D49" s="46" t="s">
        <v>105</v>
      </c>
      <c r="E49" s="46" t="s">
        <v>18</v>
      </c>
      <c r="F49" s="62">
        <v>1.5191176000000002</v>
      </c>
      <c r="G49" s="56">
        <v>1.6558895999999999</v>
      </c>
      <c r="H49" s="56">
        <v>3.0048840000000001</v>
      </c>
      <c r="I49" s="56">
        <v>0.93111733000000008</v>
      </c>
      <c r="J49" s="56">
        <v>2.3328710799999999</v>
      </c>
      <c r="K49" s="56">
        <v>0.548647</v>
      </c>
      <c r="L49" s="62">
        <v>5.1904222799999999</v>
      </c>
      <c r="M49" s="56">
        <v>2.6716049199999996</v>
      </c>
      <c r="N49" s="56">
        <v>0.96309999999999996</v>
      </c>
      <c r="O49" s="56">
        <v>3.9776013999999997</v>
      </c>
      <c r="P49" s="56">
        <v>1.2635942099999999</v>
      </c>
      <c r="Q49" s="56">
        <v>0.33271919999999999</v>
      </c>
      <c r="R49" s="56">
        <v>5.0747399999999998E-2</v>
      </c>
      <c r="S49" s="56">
        <v>3.4527384100000003</v>
      </c>
      <c r="T49" s="56">
        <v>5.1507719999999999</v>
      </c>
      <c r="U49" s="56">
        <v>5.28173388</v>
      </c>
      <c r="V49" s="56">
        <v>0.76240955999999993</v>
      </c>
      <c r="W49" s="58">
        <v>2.0236021800000001</v>
      </c>
      <c r="X49" s="56">
        <v>16.072985639999999</v>
      </c>
      <c r="Y49" s="56">
        <v>6.0704142000000001</v>
      </c>
      <c r="Z49" s="56">
        <v>1.7858921999999999</v>
      </c>
      <c r="AA49" s="56">
        <v>3.3889359000000003</v>
      </c>
      <c r="AB49" s="56">
        <v>1.2127046399999999</v>
      </c>
      <c r="AC49" s="56">
        <v>1.3049664600000002</v>
      </c>
      <c r="AD49" s="56">
        <v>0.17291603999999997</v>
      </c>
      <c r="AE49" s="56">
        <v>0.48803521999999999</v>
      </c>
      <c r="AF49" s="56">
        <v>0.39</v>
      </c>
      <c r="AG49" s="56">
        <v>1.04</v>
      </c>
      <c r="AH49" s="56">
        <f t="shared" ref="AH49:AI49" si="73">AH28+AH56+AH62</f>
        <v>1</v>
      </c>
      <c r="AI49" s="58">
        <f t="shared" si="73"/>
        <v>1.5</v>
      </c>
      <c r="AK49" s="267">
        <v>0.5</v>
      </c>
      <c r="AL49" s="263">
        <f t="shared" si="59"/>
        <v>0.54</v>
      </c>
      <c r="AN49" s="51">
        <f t="shared" si="60"/>
        <v>7.5716805170176444</v>
      </c>
      <c r="AO49" s="52">
        <f t="shared" si="61"/>
        <v>133.98017004578219</v>
      </c>
      <c r="AP49" s="52">
        <f t="shared" si="62"/>
        <v>12.143748003273313</v>
      </c>
      <c r="AQ49" s="52">
        <f t="shared" si="63"/>
        <v>271.14954263775371</v>
      </c>
      <c r="AR49" s="52">
        <f t="shared" si="64"/>
        <v>105.96873474641426</v>
      </c>
      <c r="AS49" s="52">
        <f t="shared" si="65"/>
        <v>12.143748003273313</v>
      </c>
      <c r="AT49" s="52">
        <f t="shared" si="66"/>
        <v>43.878428581390992</v>
      </c>
      <c r="AU49" s="52">
        <f t="shared" si="67"/>
        <v>207.20752824583224</v>
      </c>
      <c r="AV49" s="52">
        <f t="shared" si="68"/>
        <v>27.454552794575044</v>
      </c>
      <c r="AW49" s="53">
        <f t="shared" si="69"/>
        <v>110.62240941222056</v>
      </c>
    </row>
    <row r="50" spans="1:49">
      <c r="A50" s="260" t="s">
        <v>745</v>
      </c>
      <c r="B50" s="46" t="s">
        <v>83</v>
      </c>
      <c r="C50" s="46" t="s">
        <v>104</v>
      </c>
      <c r="D50" s="46" t="s">
        <v>105</v>
      </c>
      <c r="E50" s="46" t="s">
        <v>102</v>
      </c>
      <c r="F50" s="62">
        <v>0.71105973</v>
      </c>
      <c r="G50" s="56">
        <v>0.77984811000000009</v>
      </c>
      <c r="H50" s="56">
        <v>0.69018325000000003</v>
      </c>
      <c r="I50" s="56">
        <v>-2.9715526100000003</v>
      </c>
      <c r="J50" s="56">
        <v>1.82489675</v>
      </c>
      <c r="K50" s="56">
        <v>0.72146345000000001</v>
      </c>
      <c r="L50" s="62">
        <v>0.24889340000000001</v>
      </c>
      <c r="M50" s="56">
        <v>0.96521701999999987</v>
      </c>
      <c r="N50" s="56">
        <v>1.0171750400000001</v>
      </c>
      <c r="O50" s="56">
        <v>0.56904614000000009</v>
      </c>
      <c r="P50" s="56">
        <v>0.83734158999999975</v>
      </c>
      <c r="Q50" s="56">
        <v>0.95698028000000013</v>
      </c>
      <c r="R50" s="56">
        <v>1.5659166299999998</v>
      </c>
      <c r="S50" s="56">
        <v>0.16498044999999997</v>
      </c>
      <c r="T50" s="56">
        <v>0.77224751999999997</v>
      </c>
      <c r="U50" s="56">
        <v>0.27802261</v>
      </c>
      <c r="V50" s="56">
        <v>1.6599345500000002</v>
      </c>
      <c r="W50" s="58">
        <v>1.99332869</v>
      </c>
      <c r="X50" s="56">
        <v>4.9070759999999998E-2</v>
      </c>
      <c r="Y50" s="56">
        <v>0.27457700000000002</v>
      </c>
      <c r="Z50" s="56">
        <v>0.63312149000000006</v>
      </c>
      <c r="AA50" s="56">
        <v>1.8188154000000003</v>
      </c>
      <c r="AB50" s="56">
        <v>0.74911675</v>
      </c>
      <c r="AC50" s="56">
        <v>2.3146092600000001</v>
      </c>
      <c r="AD50" s="56">
        <v>0.20513030000000002</v>
      </c>
      <c r="AE50" s="56">
        <v>0.65077180000000001</v>
      </c>
      <c r="AF50" s="56">
        <v>0.27</v>
      </c>
      <c r="AG50" s="56">
        <v>0.44</v>
      </c>
      <c r="AH50" s="56">
        <f t="shared" ref="AG50:AI51" si="74">AH29+AH57+AH63</f>
        <v>0.7</v>
      </c>
      <c r="AI50" s="58">
        <f t="shared" si="74"/>
        <v>0.7</v>
      </c>
      <c r="AK50" s="267">
        <v>0.49999999999999994</v>
      </c>
      <c r="AL50" s="263">
        <f t="shared" si="59"/>
        <v>-5.9999999999999942E-2</v>
      </c>
      <c r="AN50" s="51">
        <f t="shared" si="60"/>
        <v>34.962883402979401</v>
      </c>
      <c r="AO50" s="52">
        <f t="shared" si="61"/>
        <v>98.132021949731268</v>
      </c>
      <c r="AP50" s="52">
        <f t="shared" si="62"/>
        <v>44.97950697694413</v>
      </c>
      <c r="AQ50" s="52">
        <f t="shared" si="63"/>
        <v>42.879733102370501</v>
      </c>
      <c r="AR50" s="52">
        <f t="shared" si="64"/>
        <v>206.59251497611666</v>
      </c>
      <c r="AS50" s="52">
        <f t="shared" si="65"/>
        <v>44.97950697694413</v>
      </c>
      <c r="AT50" s="52">
        <f t="shared" si="66"/>
        <v>46.804024693345561</v>
      </c>
      <c r="AU50" s="52">
        <f t="shared" si="67"/>
        <v>127.08925054145597</v>
      </c>
      <c r="AV50" s="52">
        <f t="shared" si="68"/>
        <v>46.094244440858013</v>
      </c>
      <c r="AW50" s="53">
        <f t="shared" si="69"/>
        <v>79.836302125081687</v>
      </c>
    </row>
    <row r="51" spans="1:49">
      <c r="A51" s="261" t="s">
        <v>745</v>
      </c>
      <c r="B51" s="59" t="s">
        <v>83</v>
      </c>
      <c r="C51" s="59" t="s">
        <v>104</v>
      </c>
      <c r="D51" s="59" t="s">
        <v>105</v>
      </c>
      <c r="E51" s="59" t="s">
        <v>766</v>
      </c>
      <c r="F51" s="63"/>
      <c r="G51" s="60"/>
      <c r="H51" s="60"/>
      <c r="I51" s="60"/>
      <c r="J51" s="60"/>
      <c r="K51" s="60"/>
      <c r="L51" s="63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160"/>
      <c r="X51" s="60"/>
      <c r="Y51" s="60"/>
      <c r="Z51" s="60"/>
      <c r="AA51" s="60"/>
      <c r="AB51" s="60"/>
      <c r="AC51" s="60"/>
      <c r="AD51" s="60"/>
      <c r="AE51" s="60"/>
      <c r="AF51" s="60"/>
      <c r="AG51" s="60">
        <f t="shared" si="74"/>
        <v>0</v>
      </c>
      <c r="AH51" s="60">
        <f t="shared" si="74"/>
        <v>14.8</v>
      </c>
      <c r="AI51" s="160">
        <f t="shared" si="74"/>
        <v>6</v>
      </c>
      <c r="AK51" s="268">
        <v>0</v>
      </c>
      <c r="AL51" s="264">
        <f t="shared" si="59"/>
        <v>0</v>
      </c>
      <c r="AN51" s="54" t="str">
        <f t="shared" si="60"/>
        <v>NA</v>
      </c>
      <c r="AO51" s="48" t="str">
        <f t="shared" si="61"/>
        <v>NA</v>
      </c>
      <c r="AP51" s="48" t="str">
        <f t="shared" si="62"/>
        <v>NA</v>
      </c>
      <c r="AQ51" s="48" t="str">
        <f t="shared" si="63"/>
        <v>NA</v>
      </c>
      <c r="AR51" s="48" t="str">
        <f t="shared" si="64"/>
        <v>NA</v>
      </c>
      <c r="AS51" s="48" t="str">
        <f t="shared" si="65"/>
        <v>NA</v>
      </c>
      <c r="AT51" s="48" t="str">
        <f t="shared" si="66"/>
        <v>NA</v>
      </c>
      <c r="AU51" s="48" t="str">
        <f t="shared" si="67"/>
        <v>NA</v>
      </c>
      <c r="AV51" s="48" t="str">
        <f t="shared" si="68"/>
        <v>NA</v>
      </c>
      <c r="AW51" s="55" t="str">
        <f t="shared" si="69"/>
        <v>NA</v>
      </c>
    </row>
    <row r="52" spans="1:49" outlineLevel="1">
      <c r="A52" s="259" t="s">
        <v>745</v>
      </c>
      <c r="B52" s="166" t="s">
        <v>713</v>
      </c>
      <c r="C52" s="166" t="s">
        <v>104</v>
      </c>
      <c r="D52" s="166" t="s">
        <v>105</v>
      </c>
      <c r="E52" s="166" t="s">
        <v>103</v>
      </c>
      <c r="F52" s="167"/>
      <c r="G52" s="168"/>
      <c r="H52" s="168"/>
      <c r="I52" s="168"/>
      <c r="J52" s="168"/>
      <c r="K52" s="168"/>
      <c r="L52" s="169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340"/>
      <c r="X52" s="170"/>
      <c r="Y52" s="170"/>
      <c r="Z52" s="170"/>
      <c r="AA52" s="170"/>
      <c r="AB52" s="170"/>
      <c r="AC52" s="170"/>
      <c r="AD52" s="168">
        <f t="shared" ref="AD52" si="75">SUM(AD53:AD57)</f>
        <v>-3.9876774285714283</v>
      </c>
      <c r="AE52" s="168">
        <f t="shared" ref="AE52" si="76">SUM(AE53:AE57)</f>
        <v>-1.8118567999999999</v>
      </c>
      <c r="AF52" s="168">
        <f t="shared" ref="AF52" si="77">SUM(AF53:AF57)</f>
        <v>-1.0496707999999999</v>
      </c>
      <c r="AG52" s="168">
        <f t="shared" ref="AG52" si="78">SUM(AG53:AG57)</f>
        <v>0</v>
      </c>
      <c r="AH52" s="168">
        <f t="shared" ref="AH52" si="79">SUM(AH53:AH57)</f>
        <v>0</v>
      </c>
      <c r="AI52" s="171">
        <f t="shared" ref="AI52" si="80">SUM(AI53:AI57)</f>
        <v>0</v>
      </c>
      <c r="AK52" s="247"/>
    </row>
    <row r="53" spans="1:49" outlineLevel="1">
      <c r="A53" s="260" t="s">
        <v>745</v>
      </c>
      <c r="B53" s="46" t="s">
        <v>713</v>
      </c>
      <c r="C53" s="46" t="s">
        <v>104</v>
      </c>
      <c r="D53" s="46" t="s">
        <v>105</v>
      </c>
      <c r="E53" s="46" t="s">
        <v>17</v>
      </c>
      <c r="F53" s="62"/>
      <c r="G53" s="56"/>
      <c r="H53" s="56"/>
      <c r="I53" s="56"/>
      <c r="J53" s="56"/>
      <c r="K53" s="56"/>
      <c r="L53" s="62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8"/>
      <c r="X53" s="56"/>
      <c r="Y53" s="56"/>
      <c r="Z53" s="56"/>
      <c r="AA53" s="56"/>
      <c r="AB53" s="56"/>
      <c r="AC53" s="56"/>
      <c r="AD53" s="56">
        <v>-0.61934900000000004</v>
      </c>
      <c r="AE53" s="56">
        <f>-0.2080274-0.08</f>
        <v>-0.28802739999999999</v>
      </c>
      <c r="AF53" s="56">
        <v>-0.22450460000000005</v>
      </c>
      <c r="AG53" s="56"/>
      <c r="AH53" s="56"/>
      <c r="AI53" s="58"/>
    </row>
    <row r="54" spans="1:49" outlineLevel="1">
      <c r="A54" s="260" t="s">
        <v>745</v>
      </c>
      <c r="B54" s="46" t="s">
        <v>713</v>
      </c>
      <c r="C54" s="46" t="s">
        <v>104</v>
      </c>
      <c r="D54" s="46" t="s">
        <v>105</v>
      </c>
      <c r="E54" s="46" t="s">
        <v>106</v>
      </c>
      <c r="F54" s="62"/>
      <c r="G54" s="56"/>
      <c r="H54" s="56"/>
      <c r="I54" s="56"/>
      <c r="J54" s="56"/>
      <c r="K54" s="56"/>
      <c r="L54" s="62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8"/>
      <c r="X54" s="56"/>
      <c r="Y54" s="56"/>
      <c r="Z54" s="56"/>
      <c r="AA54" s="56"/>
      <c r="AB54" s="56"/>
      <c r="AC54" s="56"/>
      <c r="AD54" s="56">
        <v>-0.65</v>
      </c>
      <c r="AE54" s="56">
        <v>-0.23899279999999995</v>
      </c>
      <c r="AF54" s="56">
        <v>0.39096340000000007</v>
      </c>
      <c r="AG54" s="56"/>
      <c r="AH54" s="56"/>
      <c r="AI54" s="58"/>
    </row>
    <row r="55" spans="1:49" outlineLevel="1">
      <c r="A55" s="260" t="s">
        <v>745</v>
      </c>
      <c r="B55" s="46" t="s">
        <v>713</v>
      </c>
      <c r="C55" s="46" t="s">
        <v>104</v>
      </c>
      <c r="D55" s="46" t="s">
        <v>105</v>
      </c>
      <c r="E55" s="46" t="s">
        <v>19</v>
      </c>
      <c r="F55" s="62"/>
      <c r="G55" s="56"/>
      <c r="H55" s="56"/>
      <c r="I55" s="56"/>
      <c r="J55" s="56"/>
      <c r="K55" s="56"/>
      <c r="L55" s="62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8"/>
      <c r="X55" s="56"/>
      <c r="Y55" s="56"/>
      <c r="Z55" s="56"/>
      <c r="AA55" s="56"/>
      <c r="AB55" s="56"/>
      <c r="AC55" s="56"/>
      <c r="AD55" s="56">
        <v>0.623112</v>
      </c>
      <c r="AE55" s="56">
        <v>-1.2729400000000002</v>
      </c>
      <c r="AF55" s="56">
        <f>-1.261866+0.6</f>
        <v>-0.66186599999999995</v>
      </c>
      <c r="AG55" s="56"/>
      <c r="AH55" s="56"/>
      <c r="AI55" s="58"/>
    </row>
    <row r="56" spans="1:49" outlineLevel="1">
      <c r="A56" s="260" t="s">
        <v>745</v>
      </c>
      <c r="B56" s="46" t="s">
        <v>713</v>
      </c>
      <c r="C56" s="46" t="s">
        <v>104</v>
      </c>
      <c r="D56" s="46" t="s">
        <v>105</v>
      </c>
      <c r="E56" s="46" t="s">
        <v>18</v>
      </c>
      <c r="F56" s="62"/>
      <c r="G56" s="56"/>
      <c r="H56" s="56"/>
      <c r="I56" s="56"/>
      <c r="J56" s="56"/>
      <c r="K56" s="56"/>
      <c r="L56" s="62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8"/>
      <c r="X56" s="56"/>
      <c r="Y56" s="56"/>
      <c r="Z56" s="56"/>
      <c r="AA56" s="56"/>
      <c r="AB56" s="56"/>
      <c r="AC56" s="56"/>
      <c r="AD56" s="56">
        <v>-3.3394114285714283</v>
      </c>
      <c r="AE56" s="56">
        <v>0.1159920000000001</v>
      </c>
      <c r="AF56" s="56">
        <f>-0.6+0.6</f>
        <v>0</v>
      </c>
      <c r="AG56" s="56"/>
      <c r="AH56" s="56"/>
      <c r="AI56" s="58"/>
      <c r="AK56" s="247"/>
    </row>
    <row r="57" spans="1:49" outlineLevel="1">
      <c r="A57" s="260" t="s">
        <v>745</v>
      </c>
      <c r="B57" s="46" t="s">
        <v>713</v>
      </c>
      <c r="C57" s="46" t="s">
        <v>104</v>
      </c>
      <c r="D57" s="46" t="s">
        <v>105</v>
      </c>
      <c r="E57" s="46" t="s">
        <v>102</v>
      </c>
      <c r="F57" s="62"/>
      <c r="G57" s="56"/>
      <c r="H57" s="56"/>
      <c r="I57" s="56"/>
      <c r="J57" s="56"/>
      <c r="K57" s="56"/>
      <c r="L57" s="62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8"/>
      <c r="X57" s="56"/>
      <c r="Y57" s="56"/>
      <c r="Z57" s="56"/>
      <c r="AA57" s="56"/>
      <c r="AB57" s="56"/>
      <c r="AC57" s="56"/>
      <c r="AD57" s="56">
        <v>-2.0289999999999475E-3</v>
      </c>
      <c r="AE57" s="56">
        <f>0.1121114-0.24</f>
        <v>-0.12788859999999999</v>
      </c>
      <c r="AF57" s="56">
        <v>-0.55426359999999997</v>
      </c>
      <c r="AG57" s="56"/>
      <c r="AH57" s="56"/>
      <c r="AI57" s="58"/>
      <c r="AK57" s="247"/>
    </row>
    <row r="58" spans="1:49">
      <c r="A58" s="261" t="s">
        <v>745</v>
      </c>
      <c r="B58" s="59" t="s">
        <v>713</v>
      </c>
      <c r="C58" s="59" t="s">
        <v>104</v>
      </c>
      <c r="D58" s="59" t="s">
        <v>105</v>
      </c>
      <c r="E58" s="59" t="s">
        <v>766</v>
      </c>
      <c r="F58" s="341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161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161"/>
      <c r="AK58" s="248"/>
    </row>
    <row r="59" spans="1:49">
      <c r="AK59" s="248"/>
    </row>
    <row r="60" spans="1:49">
      <c r="AK60" s="163" t="s">
        <v>754</v>
      </c>
      <c r="AL60" s="333" t="s">
        <v>755</v>
      </c>
    </row>
    <row r="61" spans="1:49">
      <c r="AK61" s="334">
        <v>18.399999999999999</v>
      </c>
      <c r="AL61" s="161">
        <v>135</v>
      </c>
    </row>
    <row r="63" spans="1:49">
      <c r="AK63" s="248"/>
    </row>
  </sheetData>
  <phoneticPr fontId="5" type="noConversion"/>
  <conditionalFormatting sqref="AN3:AW9 AN24:AW30">
    <cfRule type="cellIs" dxfId="5" priority="4" operator="equal">
      <formula>"NA"</formula>
    </cfRule>
    <cfRule type="cellIs" dxfId="4" priority="5" operator="lessThan">
      <formula>100</formula>
    </cfRule>
    <cfRule type="cellIs" dxfId="3" priority="6" operator="greaterThan">
      <formula>100</formula>
    </cfRule>
  </conditionalFormatting>
  <conditionalFormatting sqref="AN45:AW51">
    <cfRule type="cellIs" dxfId="2" priority="1" operator="equal">
      <formula>"NA"</formula>
    </cfRule>
    <cfRule type="cellIs" dxfId="1" priority="2" operator="lessThan">
      <formula>100</formula>
    </cfRule>
    <cfRule type="cellIs" dxfId="0" priority="3" operator="greaterThan">
      <formula>100</formula>
    </cfRule>
  </conditionalFormatting>
  <pageMargins left="0.7" right="0.7" top="0.75" bottom="0.75" header="0.3" footer="0.3"/>
  <ignoredErrors>
    <ignoredError sqref="AS52:AW52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AD08A-3526-4E1A-94FF-2663D3992987}">
  <sheetPr>
    <tabColor theme="7" tint="0.79998168889431442"/>
  </sheetPr>
  <dimension ref="A1:DZ582"/>
  <sheetViews>
    <sheetView zoomScale="80" zoomScaleNormal="80" workbookViewId="0">
      <pane xSplit="6" ySplit="3" topLeftCell="G535" activePane="bottomRight" state="frozen"/>
      <selection pane="topRight" activeCell="G1" sqref="G1"/>
      <selection pane="bottomLeft" activeCell="A3" sqref="A3"/>
      <selection pane="bottomRight" activeCell="F558" sqref="F558"/>
    </sheetView>
  </sheetViews>
  <sheetFormatPr defaultColWidth="9" defaultRowHeight="14.4"/>
  <cols>
    <col min="1" max="1" width="20.33203125" style="22" customWidth="1"/>
    <col min="2" max="2" width="19" style="22" bestFit="1" customWidth="1"/>
    <col min="3" max="3" width="16.33203125" style="22" bestFit="1" customWidth="1"/>
    <col min="4" max="4" width="19.88671875" style="22" bestFit="1" customWidth="1"/>
    <col min="5" max="5" width="21.44140625" style="22" bestFit="1" customWidth="1"/>
    <col min="6" max="6" width="64" style="80" bestFit="1" customWidth="1"/>
    <col min="7" max="7" width="20.6640625" style="23" bestFit="1" customWidth="1"/>
    <col min="8" max="12" width="18.44140625" style="21" customWidth="1"/>
    <col min="13" max="13" width="18.44140625" style="42" customWidth="1"/>
    <col min="14" max="24" width="18.44140625" style="21" customWidth="1"/>
    <col min="25" max="25" width="18.44140625" style="42" customWidth="1"/>
    <col min="26" max="31" width="18.44140625" style="21" customWidth="1"/>
    <col min="32" max="32" width="18.44140625" style="233" customWidth="1"/>
    <col min="33" max="36" width="18.44140625" style="21" customWidth="1"/>
    <col min="37" max="37" width="18.44140625" style="42" customWidth="1"/>
    <col min="38" max="42" width="18.44140625" style="21" customWidth="1"/>
    <col min="43" max="43" width="18.44140625" style="42" customWidth="1"/>
    <col min="44" max="54" width="18.44140625" style="21" customWidth="1"/>
    <col min="55" max="55" width="18.44140625" style="42" customWidth="1"/>
    <col min="56" max="65" width="18.44140625" style="21" customWidth="1"/>
    <col min="66" max="66" width="18.44140625" style="21" bestFit="1" customWidth="1"/>
    <col min="67" max="67" width="18.44140625" style="42" bestFit="1" customWidth="1"/>
    <col min="68" max="72" width="18.44140625" style="21" bestFit="1" customWidth="1"/>
    <col min="73" max="73" width="18.44140625" style="42" bestFit="1" customWidth="1"/>
    <col min="74" max="84" width="18.44140625" style="21" bestFit="1" customWidth="1"/>
    <col min="85" max="85" width="18.44140625" style="42" bestFit="1" customWidth="1"/>
    <col min="86" max="96" width="18.44140625" style="21" bestFit="1" customWidth="1"/>
    <col min="97" max="97" width="18.44140625" style="42" bestFit="1" customWidth="1"/>
    <col min="98" max="102" width="18.44140625" style="21" bestFit="1" customWidth="1"/>
    <col min="103" max="103" width="18.44140625" style="42" bestFit="1" customWidth="1"/>
    <col min="104" max="109" width="18.44140625" style="21" bestFit="1" customWidth="1"/>
    <col min="110" max="111" width="14.88671875" style="21" bestFit="1" customWidth="1"/>
    <col min="112" max="114" width="14.88671875" style="21" customWidth="1"/>
    <col min="115" max="115" width="14.88671875" style="42" customWidth="1"/>
    <col min="116" max="118" width="14.88671875" style="21" customWidth="1"/>
    <col min="119" max="119" width="14.88671875" style="21" bestFit="1" customWidth="1"/>
    <col min="120" max="126" width="18.44140625" style="21" bestFit="1" customWidth="1"/>
    <col min="127" max="127" width="18.44140625" style="42" bestFit="1" customWidth="1"/>
    <col min="128" max="129" width="9" style="21"/>
    <col min="130" max="130" width="14.44140625" style="21" bestFit="1" customWidth="1"/>
    <col min="131" max="16384" width="9" style="21"/>
  </cols>
  <sheetData>
    <row r="1" spans="1:127" s="22" customFormat="1">
      <c r="A1" s="34"/>
      <c r="B1" s="34"/>
      <c r="C1" s="34"/>
      <c r="D1" s="34"/>
      <c r="E1" s="34"/>
      <c r="F1" s="78"/>
      <c r="G1" s="35"/>
      <c r="H1" s="34" t="s">
        <v>142</v>
      </c>
      <c r="I1" s="34" t="s">
        <v>142</v>
      </c>
      <c r="J1" s="34" t="s">
        <v>142</v>
      </c>
      <c r="K1" s="34" t="s">
        <v>142</v>
      </c>
      <c r="L1" s="34" t="s">
        <v>142</v>
      </c>
      <c r="M1" s="34" t="s">
        <v>142</v>
      </c>
      <c r="N1" s="34" t="s">
        <v>76</v>
      </c>
      <c r="O1" s="34" t="s">
        <v>76</v>
      </c>
      <c r="P1" s="34" t="s">
        <v>76</v>
      </c>
      <c r="Q1" s="34" t="s">
        <v>76</v>
      </c>
      <c r="R1" s="34" t="s">
        <v>76</v>
      </c>
      <c r="S1" s="34" t="s">
        <v>76</v>
      </c>
      <c r="T1" s="34" t="s">
        <v>76</v>
      </c>
      <c r="U1" s="34" t="s">
        <v>76</v>
      </c>
      <c r="V1" s="34" t="s">
        <v>76</v>
      </c>
      <c r="W1" s="34" t="s">
        <v>76</v>
      </c>
      <c r="X1" s="34" t="s">
        <v>76</v>
      </c>
      <c r="Y1" s="34" t="s">
        <v>76</v>
      </c>
      <c r="Z1" s="34" t="s">
        <v>76</v>
      </c>
      <c r="AA1" s="34" t="s">
        <v>76</v>
      </c>
      <c r="AB1" s="34" t="s">
        <v>76</v>
      </c>
      <c r="AC1" s="34" t="s">
        <v>76</v>
      </c>
      <c r="AD1" s="34" t="s">
        <v>76</v>
      </c>
      <c r="AE1" s="34" t="s">
        <v>76</v>
      </c>
      <c r="AF1" s="34" t="s">
        <v>76</v>
      </c>
      <c r="AG1" s="34" t="s">
        <v>76</v>
      </c>
      <c r="AH1" s="34" t="s">
        <v>76</v>
      </c>
      <c r="AI1" s="34" t="s">
        <v>76</v>
      </c>
      <c r="AJ1" s="34" t="s">
        <v>76</v>
      </c>
      <c r="AK1" s="34" t="s">
        <v>76</v>
      </c>
      <c r="AL1" s="43" t="s">
        <v>74</v>
      </c>
      <c r="AM1" s="43" t="s">
        <v>74</v>
      </c>
      <c r="AN1" s="43" t="s">
        <v>74</v>
      </c>
      <c r="AO1" s="43" t="s">
        <v>74</v>
      </c>
      <c r="AP1" s="43" t="s">
        <v>74</v>
      </c>
      <c r="AQ1" s="43" t="s">
        <v>74</v>
      </c>
      <c r="AR1" s="43" t="s">
        <v>74</v>
      </c>
      <c r="AS1" s="43" t="s">
        <v>74</v>
      </c>
      <c r="AT1" s="43" t="s">
        <v>74</v>
      </c>
      <c r="AU1" s="43" t="s">
        <v>74</v>
      </c>
      <c r="AV1" s="43" t="s">
        <v>74</v>
      </c>
      <c r="AW1" s="43" t="s">
        <v>74</v>
      </c>
      <c r="AX1" s="43" t="s">
        <v>74</v>
      </c>
      <c r="AY1" s="43" t="s">
        <v>74</v>
      </c>
      <c r="AZ1" s="43" t="s">
        <v>74</v>
      </c>
      <c r="BA1" s="43" t="s">
        <v>74</v>
      </c>
      <c r="BB1" s="43" t="s">
        <v>74</v>
      </c>
      <c r="BC1" s="43" t="s">
        <v>74</v>
      </c>
      <c r="BD1" s="43" t="s">
        <v>74</v>
      </c>
      <c r="BE1" s="43" t="s">
        <v>74</v>
      </c>
      <c r="BF1" s="43" t="s">
        <v>74</v>
      </c>
      <c r="BG1" s="43" t="s">
        <v>74</v>
      </c>
      <c r="BH1" s="43" t="s">
        <v>74</v>
      </c>
      <c r="BI1" s="43" t="s">
        <v>74</v>
      </c>
      <c r="BJ1" s="43" t="s">
        <v>74</v>
      </c>
      <c r="BK1" s="43" t="s">
        <v>74</v>
      </c>
      <c r="BL1" s="43" t="s">
        <v>74</v>
      </c>
      <c r="BM1" s="43" t="s">
        <v>74</v>
      </c>
      <c r="BN1" s="43" t="s">
        <v>74</v>
      </c>
      <c r="BO1" s="43" t="s">
        <v>74</v>
      </c>
      <c r="BP1" s="34" t="s">
        <v>75</v>
      </c>
      <c r="BQ1" s="34" t="s">
        <v>75</v>
      </c>
      <c r="BR1" s="34" t="s">
        <v>75</v>
      </c>
      <c r="BS1" s="34" t="s">
        <v>75</v>
      </c>
      <c r="BT1" s="34" t="s">
        <v>75</v>
      </c>
      <c r="BU1" s="34" t="s">
        <v>75</v>
      </c>
      <c r="BV1" s="34" t="s">
        <v>75</v>
      </c>
      <c r="BW1" s="34" t="s">
        <v>75</v>
      </c>
      <c r="BX1" s="34" t="s">
        <v>75</v>
      </c>
      <c r="BY1" s="34" t="s">
        <v>75</v>
      </c>
      <c r="BZ1" s="34" t="s">
        <v>75</v>
      </c>
      <c r="CA1" s="34" t="s">
        <v>75</v>
      </c>
      <c r="CB1" s="34" t="s">
        <v>75</v>
      </c>
      <c r="CC1" s="34" t="s">
        <v>75</v>
      </c>
      <c r="CD1" s="34" t="s">
        <v>75</v>
      </c>
      <c r="CE1" s="34" t="s">
        <v>75</v>
      </c>
      <c r="CF1" s="34" t="s">
        <v>75</v>
      </c>
      <c r="CG1" s="34" t="s">
        <v>75</v>
      </c>
      <c r="CH1" s="34" t="s">
        <v>75</v>
      </c>
      <c r="CI1" s="34" t="s">
        <v>75</v>
      </c>
      <c r="CJ1" s="34" t="s">
        <v>75</v>
      </c>
      <c r="CK1" s="34" t="s">
        <v>75</v>
      </c>
      <c r="CL1" s="34" t="s">
        <v>75</v>
      </c>
      <c r="CM1" s="34" t="s">
        <v>75</v>
      </c>
      <c r="CN1" s="34" t="s">
        <v>75</v>
      </c>
      <c r="CO1" s="34" t="s">
        <v>75</v>
      </c>
      <c r="CP1" s="34" t="s">
        <v>75</v>
      </c>
      <c r="CQ1" s="34" t="s">
        <v>75</v>
      </c>
      <c r="CR1" s="34" t="s">
        <v>75</v>
      </c>
      <c r="CS1" s="34" t="s">
        <v>75</v>
      </c>
      <c r="CT1" s="34" t="s">
        <v>73</v>
      </c>
      <c r="CU1" s="34" t="s">
        <v>73</v>
      </c>
      <c r="CV1" s="34" t="s">
        <v>73</v>
      </c>
      <c r="CW1" s="34" t="s">
        <v>73</v>
      </c>
      <c r="CX1" s="34" t="s">
        <v>73</v>
      </c>
      <c r="CY1" s="34" t="s">
        <v>73</v>
      </c>
      <c r="CZ1" s="34" t="s">
        <v>73</v>
      </c>
      <c r="DA1" s="34" t="s">
        <v>73</v>
      </c>
      <c r="DB1" s="34" t="s">
        <v>73</v>
      </c>
      <c r="DC1" s="34" t="s">
        <v>73</v>
      </c>
      <c r="DD1" s="34" t="s">
        <v>73</v>
      </c>
      <c r="DE1" s="34" t="s">
        <v>73</v>
      </c>
      <c r="DF1" s="34" t="s">
        <v>73</v>
      </c>
      <c r="DG1" s="34" t="s">
        <v>73</v>
      </c>
      <c r="DH1" s="34" t="s">
        <v>73</v>
      </c>
      <c r="DI1" s="34" t="s">
        <v>73</v>
      </c>
      <c r="DJ1" s="34" t="s">
        <v>73</v>
      </c>
      <c r="DK1" s="34" t="s">
        <v>73</v>
      </c>
      <c r="DL1" s="34" t="s">
        <v>73</v>
      </c>
      <c r="DM1" s="34" t="s">
        <v>73</v>
      </c>
      <c r="DN1" s="34" t="s">
        <v>73</v>
      </c>
      <c r="DO1" s="34" t="s">
        <v>73</v>
      </c>
      <c r="DP1" s="34" t="s">
        <v>73</v>
      </c>
      <c r="DQ1" s="34" t="s">
        <v>73</v>
      </c>
      <c r="DR1" s="34" t="s">
        <v>73</v>
      </c>
      <c r="DS1" s="34" t="s">
        <v>73</v>
      </c>
      <c r="DT1" s="34" t="s">
        <v>73</v>
      </c>
      <c r="DU1" s="34" t="s">
        <v>73</v>
      </c>
      <c r="DV1" s="34" t="s">
        <v>73</v>
      </c>
      <c r="DW1" s="34" t="s">
        <v>73</v>
      </c>
    </row>
    <row r="2" spans="1:127" s="22" customFormat="1">
      <c r="A2" s="34"/>
      <c r="B2" s="34"/>
      <c r="C2" s="34"/>
      <c r="D2" s="34"/>
      <c r="E2" s="34"/>
      <c r="F2" s="34"/>
      <c r="G2" s="35"/>
      <c r="H2" s="81">
        <f t="shared" ref="H2:AM2" si="0">SUBTOTAL(9,H4:H1048576)</f>
        <v>27157089.241605558</v>
      </c>
      <c r="I2" s="81">
        <f t="shared" si="0"/>
        <v>31904606.661305554</v>
      </c>
      <c r="J2" s="81">
        <f t="shared" si="0"/>
        <v>25839498.844322223</v>
      </c>
      <c r="K2" s="81">
        <f t="shared" si="0"/>
        <v>25758075.540316675</v>
      </c>
      <c r="L2" s="81">
        <f t="shared" si="0"/>
        <v>30696403.709405564</v>
      </c>
      <c r="M2" s="81">
        <f t="shared" si="0"/>
        <v>26138073.721594434</v>
      </c>
      <c r="N2" s="81">
        <f t="shared" si="0"/>
        <v>25637333.776466671</v>
      </c>
      <c r="O2" s="81">
        <f t="shared" si="0"/>
        <v>26882370.497911092</v>
      </c>
      <c r="P2" s="81">
        <f t="shared" si="0"/>
        <v>26971181.118688881</v>
      </c>
      <c r="Q2" s="81">
        <f t="shared" si="0"/>
        <v>29692564.59566078</v>
      </c>
      <c r="R2" s="81">
        <f t="shared" si="0"/>
        <v>36582386.34880887</v>
      </c>
      <c r="S2" s="81">
        <f t="shared" si="0"/>
        <v>33101645.076274782</v>
      </c>
      <c r="T2" s="81">
        <f t="shared" si="0"/>
        <v>32590197.742542472</v>
      </c>
      <c r="U2" s="81">
        <f t="shared" si="0"/>
        <v>34119074.244145542</v>
      </c>
      <c r="V2" s="81">
        <f t="shared" si="0"/>
        <v>26226385.777363628</v>
      </c>
      <c r="W2" s="81">
        <f t="shared" si="0"/>
        <v>31081781.451777734</v>
      </c>
      <c r="X2" s="81">
        <f t="shared" si="0"/>
        <v>47668614.350712843</v>
      </c>
      <c r="Y2" s="81">
        <f t="shared" si="0"/>
        <v>30548970.006949823</v>
      </c>
      <c r="Z2" s="81">
        <f t="shared" si="0"/>
        <v>36112966.718768239</v>
      </c>
      <c r="AA2" s="81">
        <f t="shared" si="0"/>
        <v>30608377.354476172</v>
      </c>
      <c r="AB2" s="81">
        <f t="shared" si="0"/>
        <v>26874071.506504599</v>
      </c>
      <c r="AC2" s="81">
        <f t="shared" si="0"/>
        <v>40913638.618876338</v>
      </c>
      <c r="AD2" s="81">
        <f t="shared" si="0"/>
        <v>39053530.920402497</v>
      </c>
      <c r="AE2" s="81">
        <f t="shared" si="0"/>
        <v>52786068.275010563</v>
      </c>
      <c r="AF2" s="81">
        <f t="shared" si="0"/>
        <v>35109335.3191038</v>
      </c>
      <c r="AG2" s="81">
        <f t="shared" si="0"/>
        <v>34655904.224744588</v>
      </c>
      <c r="AH2" s="81">
        <f t="shared" si="0"/>
        <v>25932134.405522782</v>
      </c>
      <c r="AI2" s="81">
        <f t="shared" si="0"/>
        <v>36659503.401070744</v>
      </c>
      <c r="AJ2" s="81">
        <f t="shared" si="0"/>
        <v>0</v>
      </c>
      <c r="AK2" s="81">
        <f t="shared" si="0"/>
        <v>0</v>
      </c>
      <c r="AL2" s="81">
        <f t="shared" si="0"/>
        <v>170496</v>
      </c>
      <c r="AM2" s="81">
        <f t="shared" si="0"/>
        <v>168305</v>
      </c>
      <c r="AN2" s="81">
        <f t="shared" ref="AN2:BI2" si="1">SUBTOTAL(9,AN4:AN1048576)</f>
        <v>123769</v>
      </c>
      <c r="AO2" s="81">
        <f t="shared" si="1"/>
        <v>144887</v>
      </c>
      <c r="AP2" s="81">
        <f t="shared" si="1"/>
        <v>184341</v>
      </c>
      <c r="AQ2" s="81">
        <f t="shared" si="1"/>
        <v>152460</v>
      </c>
      <c r="AR2" s="81">
        <f t="shared" si="1"/>
        <v>129016</v>
      </c>
      <c r="AS2" s="81">
        <f t="shared" si="1"/>
        <v>145068</v>
      </c>
      <c r="AT2" s="81">
        <f t="shared" si="1"/>
        <v>141633</v>
      </c>
      <c r="AU2" s="81">
        <f t="shared" si="1"/>
        <v>141731</v>
      </c>
      <c r="AV2" s="81">
        <f t="shared" si="1"/>
        <v>184851</v>
      </c>
      <c r="AW2" s="81">
        <f t="shared" si="1"/>
        <v>181174</v>
      </c>
      <c r="AX2" s="81">
        <f t="shared" si="1"/>
        <v>160752</v>
      </c>
      <c r="AY2" s="81">
        <f t="shared" si="1"/>
        <v>160840</v>
      </c>
      <c r="AZ2" s="81">
        <f t="shared" si="1"/>
        <v>132284</v>
      </c>
      <c r="BA2" s="81">
        <f t="shared" si="1"/>
        <v>140184</v>
      </c>
      <c r="BB2" s="81">
        <f t="shared" si="1"/>
        <v>205176</v>
      </c>
      <c r="BC2" s="81">
        <f t="shared" si="1"/>
        <v>156466</v>
      </c>
      <c r="BD2" s="81">
        <f t="shared" si="1"/>
        <v>178994</v>
      </c>
      <c r="BE2" s="81">
        <f t="shared" si="1"/>
        <v>135540</v>
      </c>
      <c r="BF2" s="81">
        <f t="shared" si="1"/>
        <v>124403</v>
      </c>
      <c r="BG2" s="81">
        <f t="shared" si="1"/>
        <v>180783</v>
      </c>
      <c r="BH2" s="81">
        <f t="shared" si="1"/>
        <v>167559</v>
      </c>
      <c r="BI2" s="81">
        <f t="shared" si="1"/>
        <v>217916</v>
      </c>
      <c r="BJ2" s="81">
        <f>SUBTOTAL(9,BJ4:BJ1048576)</f>
        <v>164664</v>
      </c>
      <c r="BK2" s="81">
        <f t="shared" ref="BK2:BS2" si="2">SUBTOTAL(9,BK4:BK1048576)</f>
        <v>153660</v>
      </c>
      <c r="BL2" s="81">
        <f t="shared" si="2"/>
        <v>124423</v>
      </c>
      <c r="BM2" s="81">
        <f>SUBTOTAL(9,BM4:BM1048576)</f>
        <v>167132</v>
      </c>
      <c r="BN2" s="81">
        <f t="shared" si="2"/>
        <v>0</v>
      </c>
      <c r="BO2" s="81">
        <f t="shared" si="2"/>
        <v>0</v>
      </c>
      <c r="BP2" s="81">
        <f t="shared" si="2"/>
        <v>21733</v>
      </c>
      <c r="BQ2" s="81">
        <f t="shared" si="2"/>
        <v>18699</v>
      </c>
      <c r="BR2" s="81">
        <f t="shared" si="2"/>
        <v>38035</v>
      </c>
      <c r="BS2" s="81">
        <f t="shared" si="2"/>
        <v>16852</v>
      </c>
      <c r="BT2" s="81">
        <f t="shared" ref="BT2:CY2" si="3">SUBTOTAL(9,BT4:BT1048576)</f>
        <v>16885</v>
      </c>
      <c r="BU2" s="81">
        <f t="shared" si="3"/>
        <v>27475</v>
      </c>
      <c r="BV2" s="81">
        <f t="shared" si="3"/>
        <v>20041</v>
      </c>
      <c r="BW2" s="81">
        <f t="shared" si="3"/>
        <v>16561</v>
      </c>
      <c r="BX2" s="81">
        <f t="shared" si="3"/>
        <v>22906</v>
      </c>
      <c r="BY2" s="81">
        <f t="shared" si="3"/>
        <v>25915</v>
      </c>
      <c r="BZ2" s="81">
        <f t="shared" si="3"/>
        <v>46726</v>
      </c>
      <c r="CA2" s="81">
        <f t="shared" si="3"/>
        <v>10908</v>
      </c>
      <c r="CB2" s="81">
        <f t="shared" si="3"/>
        <v>12664</v>
      </c>
      <c r="CC2" s="81">
        <f t="shared" si="3"/>
        <v>34858</v>
      </c>
      <c r="CD2" s="81">
        <f t="shared" si="3"/>
        <v>20177</v>
      </c>
      <c r="CE2" s="81">
        <f t="shared" si="3"/>
        <v>23634</v>
      </c>
      <c r="CF2" s="81">
        <f t="shared" si="3"/>
        <v>39988</v>
      </c>
      <c r="CG2" s="81">
        <f t="shared" si="3"/>
        <v>22622</v>
      </c>
      <c r="CH2" s="81">
        <f t="shared" si="3"/>
        <v>20785</v>
      </c>
      <c r="CI2" s="81">
        <f t="shared" si="3"/>
        <v>19928</v>
      </c>
      <c r="CJ2" s="81">
        <f t="shared" si="3"/>
        <v>16552</v>
      </c>
      <c r="CK2" s="81">
        <f t="shared" si="3"/>
        <v>29406</v>
      </c>
      <c r="CL2" s="81">
        <f t="shared" si="3"/>
        <v>24867</v>
      </c>
      <c r="CM2" s="81">
        <f t="shared" si="3"/>
        <v>19491</v>
      </c>
      <c r="CN2" s="81">
        <f t="shared" si="3"/>
        <v>15067</v>
      </c>
      <c r="CO2" s="81">
        <f t="shared" si="3"/>
        <v>6444</v>
      </c>
      <c r="CP2" s="81">
        <f t="shared" si="3"/>
        <v>6444</v>
      </c>
      <c r="CQ2" s="81">
        <f t="shared" si="3"/>
        <v>17664.888888888891</v>
      </c>
      <c r="CR2" s="81">
        <f t="shared" si="3"/>
        <v>0</v>
      </c>
      <c r="CS2" s="81">
        <f t="shared" si="3"/>
        <v>0</v>
      </c>
      <c r="CT2" s="81">
        <f t="shared" si="3"/>
        <v>192229</v>
      </c>
      <c r="CU2" s="81">
        <f t="shared" si="3"/>
        <v>187004</v>
      </c>
      <c r="CV2" s="81">
        <f t="shared" si="3"/>
        <v>161804</v>
      </c>
      <c r="CW2" s="81">
        <f t="shared" si="3"/>
        <v>161739</v>
      </c>
      <c r="CX2" s="81">
        <f t="shared" si="3"/>
        <v>201226</v>
      </c>
      <c r="CY2" s="81">
        <f t="shared" si="3"/>
        <v>179935</v>
      </c>
      <c r="CZ2" s="81">
        <f t="shared" ref="CZ2:DW2" si="4">SUBTOTAL(9,CZ4:CZ1048576)</f>
        <v>149057</v>
      </c>
      <c r="DA2" s="81">
        <f t="shared" si="4"/>
        <v>161629</v>
      </c>
      <c r="DB2" s="81">
        <f t="shared" si="4"/>
        <v>164539</v>
      </c>
      <c r="DC2" s="81">
        <f t="shared" si="4"/>
        <v>167646</v>
      </c>
      <c r="DD2" s="81">
        <f t="shared" si="4"/>
        <v>231577</v>
      </c>
      <c r="DE2" s="81">
        <f t="shared" si="4"/>
        <v>192082</v>
      </c>
      <c r="DF2" s="81">
        <f t="shared" si="4"/>
        <v>173416</v>
      </c>
      <c r="DG2" s="81">
        <f t="shared" si="4"/>
        <v>195698</v>
      </c>
      <c r="DH2" s="81">
        <f t="shared" si="4"/>
        <v>152461</v>
      </c>
      <c r="DI2" s="81">
        <f t="shared" si="4"/>
        <v>163818</v>
      </c>
      <c r="DJ2" s="81">
        <f t="shared" si="4"/>
        <v>245164</v>
      </c>
      <c r="DK2" s="81">
        <f t="shared" si="4"/>
        <v>179088</v>
      </c>
      <c r="DL2" s="81">
        <f t="shared" si="4"/>
        <v>199779</v>
      </c>
      <c r="DM2" s="81">
        <f t="shared" si="4"/>
        <v>155468</v>
      </c>
      <c r="DN2" s="81">
        <f t="shared" si="4"/>
        <v>140955</v>
      </c>
      <c r="DO2" s="81">
        <f t="shared" si="4"/>
        <v>210189</v>
      </c>
      <c r="DP2" s="81">
        <f t="shared" si="4"/>
        <v>192426</v>
      </c>
      <c r="DQ2" s="81">
        <f t="shared" si="4"/>
        <v>237407</v>
      </c>
      <c r="DR2" s="81">
        <f t="shared" si="4"/>
        <v>179731</v>
      </c>
      <c r="DS2" s="81">
        <f t="shared" si="4"/>
        <v>160104</v>
      </c>
      <c r="DT2" s="81">
        <f t="shared" si="4"/>
        <v>127837</v>
      </c>
      <c r="DU2" s="81">
        <f t="shared" si="4"/>
        <v>182634.11111111121</v>
      </c>
      <c r="DV2" s="81">
        <f t="shared" si="4"/>
        <v>0</v>
      </c>
      <c r="DW2" s="81">
        <f t="shared" si="4"/>
        <v>0</v>
      </c>
    </row>
    <row r="3" spans="1:127" ht="15" thickBot="1">
      <c r="A3" s="36" t="s">
        <v>0</v>
      </c>
      <c r="B3" s="36" t="s">
        <v>1</v>
      </c>
      <c r="C3" s="36" t="s">
        <v>147</v>
      </c>
      <c r="D3" s="36" t="s">
        <v>148</v>
      </c>
      <c r="E3" s="36" t="s">
        <v>2</v>
      </c>
      <c r="F3" s="79" t="s">
        <v>149</v>
      </c>
      <c r="G3" s="37" t="s">
        <v>3</v>
      </c>
      <c r="H3" s="12">
        <v>202401</v>
      </c>
      <c r="I3" s="12">
        <v>202402</v>
      </c>
      <c r="J3" s="12">
        <v>202403</v>
      </c>
      <c r="K3" s="12">
        <v>202404</v>
      </c>
      <c r="L3" s="12">
        <v>202405</v>
      </c>
      <c r="M3" s="13">
        <v>202406</v>
      </c>
      <c r="N3" s="3">
        <v>202407</v>
      </c>
      <c r="O3" s="3">
        <v>202408</v>
      </c>
      <c r="P3" s="3">
        <v>202409</v>
      </c>
      <c r="Q3" s="3">
        <v>202410</v>
      </c>
      <c r="R3" s="3">
        <v>202411</v>
      </c>
      <c r="S3" s="3">
        <v>202412</v>
      </c>
      <c r="T3" s="3">
        <v>202501</v>
      </c>
      <c r="U3" s="3">
        <v>202502</v>
      </c>
      <c r="V3" s="3">
        <v>202503</v>
      </c>
      <c r="W3" s="3">
        <v>202504</v>
      </c>
      <c r="X3" s="3">
        <v>202505</v>
      </c>
      <c r="Y3" s="14">
        <v>202506</v>
      </c>
      <c r="Z3" s="4">
        <v>202507</v>
      </c>
      <c r="AA3" s="4">
        <v>202508</v>
      </c>
      <c r="AB3" s="4">
        <v>202509</v>
      </c>
      <c r="AC3" s="4">
        <v>202510</v>
      </c>
      <c r="AD3" s="4">
        <v>202511</v>
      </c>
      <c r="AE3" s="4">
        <v>202512</v>
      </c>
      <c r="AF3" s="4">
        <v>202601</v>
      </c>
      <c r="AG3" s="4">
        <v>202602</v>
      </c>
      <c r="AH3" s="4">
        <v>202603</v>
      </c>
      <c r="AI3" s="4">
        <v>202604</v>
      </c>
      <c r="AJ3" s="4">
        <v>202605</v>
      </c>
      <c r="AK3" s="6">
        <v>202606</v>
      </c>
      <c r="AL3" s="12">
        <v>202401</v>
      </c>
      <c r="AM3" s="12">
        <v>202402</v>
      </c>
      <c r="AN3" s="12">
        <v>202403</v>
      </c>
      <c r="AO3" s="12">
        <v>202404</v>
      </c>
      <c r="AP3" s="12">
        <v>202405</v>
      </c>
      <c r="AQ3" s="13">
        <v>202406</v>
      </c>
      <c r="AR3" s="1" t="s">
        <v>49</v>
      </c>
      <c r="AS3" s="1" t="s">
        <v>50</v>
      </c>
      <c r="AT3" s="1" t="s">
        <v>51</v>
      </c>
      <c r="AU3" s="1" t="s">
        <v>52</v>
      </c>
      <c r="AV3" s="1" t="s">
        <v>53</v>
      </c>
      <c r="AW3" s="1" t="s">
        <v>54</v>
      </c>
      <c r="AX3" s="1" t="s">
        <v>55</v>
      </c>
      <c r="AY3" s="1" t="s">
        <v>56</v>
      </c>
      <c r="AZ3" s="1" t="s">
        <v>57</v>
      </c>
      <c r="BA3" s="1" t="s">
        <v>58</v>
      </c>
      <c r="BB3" s="1" t="s">
        <v>59</v>
      </c>
      <c r="BC3" s="11" t="s">
        <v>60</v>
      </c>
      <c r="BD3" s="2" t="s">
        <v>61</v>
      </c>
      <c r="BE3" s="2" t="s">
        <v>62</v>
      </c>
      <c r="BF3" s="2" t="s">
        <v>63</v>
      </c>
      <c r="BG3" s="2" t="s">
        <v>64</v>
      </c>
      <c r="BH3" s="2" t="s">
        <v>65</v>
      </c>
      <c r="BI3" s="2" t="s">
        <v>66</v>
      </c>
      <c r="BJ3" s="2" t="s">
        <v>67</v>
      </c>
      <c r="BK3" s="2" t="s">
        <v>68</v>
      </c>
      <c r="BL3" s="2" t="s">
        <v>69</v>
      </c>
      <c r="BM3" s="2" t="s">
        <v>70</v>
      </c>
      <c r="BN3" s="2" t="s">
        <v>71</v>
      </c>
      <c r="BO3" s="5" t="s">
        <v>72</v>
      </c>
      <c r="BP3" s="12">
        <v>202401</v>
      </c>
      <c r="BQ3" s="12">
        <v>202402</v>
      </c>
      <c r="BR3" s="12">
        <v>202403</v>
      </c>
      <c r="BS3" s="12">
        <v>202404</v>
      </c>
      <c r="BT3" s="12">
        <v>202405</v>
      </c>
      <c r="BU3" s="13">
        <v>202406</v>
      </c>
      <c r="BV3" s="1" t="s">
        <v>49</v>
      </c>
      <c r="BW3" s="1" t="s">
        <v>50</v>
      </c>
      <c r="BX3" s="1" t="s">
        <v>51</v>
      </c>
      <c r="BY3" s="1" t="s">
        <v>52</v>
      </c>
      <c r="BZ3" s="1" t="s">
        <v>53</v>
      </c>
      <c r="CA3" s="1" t="s">
        <v>54</v>
      </c>
      <c r="CB3" s="1" t="s">
        <v>55</v>
      </c>
      <c r="CC3" s="1" t="s">
        <v>56</v>
      </c>
      <c r="CD3" s="1" t="s">
        <v>57</v>
      </c>
      <c r="CE3" s="1" t="s">
        <v>58</v>
      </c>
      <c r="CF3" s="1" t="s">
        <v>59</v>
      </c>
      <c r="CG3" s="11" t="s">
        <v>60</v>
      </c>
      <c r="CH3" s="2" t="s">
        <v>61</v>
      </c>
      <c r="CI3" s="2" t="s">
        <v>62</v>
      </c>
      <c r="CJ3" s="2" t="s">
        <v>63</v>
      </c>
      <c r="CK3" s="2" t="s">
        <v>64</v>
      </c>
      <c r="CL3" s="2" t="s">
        <v>65</v>
      </c>
      <c r="CM3" s="2" t="s">
        <v>66</v>
      </c>
      <c r="CN3" s="2" t="s">
        <v>67</v>
      </c>
      <c r="CO3" s="2" t="s">
        <v>68</v>
      </c>
      <c r="CP3" s="2" t="s">
        <v>69</v>
      </c>
      <c r="CQ3" s="2" t="s">
        <v>70</v>
      </c>
      <c r="CR3" s="2" t="s">
        <v>71</v>
      </c>
      <c r="CS3" s="5" t="s">
        <v>72</v>
      </c>
      <c r="CT3" s="12">
        <v>202401</v>
      </c>
      <c r="CU3" s="12">
        <v>202402</v>
      </c>
      <c r="CV3" s="12">
        <v>202403</v>
      </c>
      <c r="CW3" s="12">
        <v>202404</v>
      </c>
      <c r="CX3" s="12">
        <v>202405</v>
      </c>
      <c r="CY3" s="13">
        <v>202406</v>
      </c>
      <c r="CZ3" s="1" t="s">
        <v>49</v>
      </c>
      <c r="DA3" s="1" t="s">
        <v>50</v>
      </c>
      <c r="DB3" s="1" t="s">
        <v>51</v>
      </c>
      <c r="DC3" s="1" t="s">
        <v>52</v>
      </c>
      <c r="DD3" s="1" t="s">
        <v>53</v>
      </c>
      <c r="DE3" s="1" t="s">
        <v>54</v>
      </c>
      <c r="DF3" s="1" t="s">
        <v>55</v>
      </c>
      <c r="DG3" s="1" t="s">
        <v>56</v>
      </c>
      <c r="DH3" s="1" t="s">
        <v>57</v>
      </c>
      <c r="DI3" s="1" t="s">
        <v>58</v>
      </c>
      <c r="DJ3" s="1" t="s">
        <v>59</v>
      </c>
      <c r="DK3" s="11" t="s">
        <v>60</v>
      </c>
      <c r="DL3" s="2" t="s">
        <v>61</v>
      </c>
      <c r="DM3" s="2" t="s">
        <v>62</v>
      </c>
      <c r="DN3" s="2" t="s">
        <v>63</v>
      </c>
      <c r="DO3" s="2" t="s">
        <v>64</v>
      </c>
      <c r="DP3" s="2" t="s">
        <v>65</v>
      </c>
      <c r="DQ3" s="2" t="s">
        <v>66</v>
      </c>
      <c r="DR3" s="2" t="s">
        <v>67</v>
      </c>
      <c r="DS3" s="2" t="s">
        <v>68</v>
      </c>
      <c r="DT3" s="2" t="s">
        <v>69</v>
      </c>
      <c r="DU3" s="2" t="s">
        <v>70</v>
      </c>
      <c r="DV3" s="2" t="s">
        <v>71</v>
      </c>
      <c r="DW3" s="5" t="s">
        <v>72</v>
      </c>
    </row>
    <row r="4" spans="1:127" ht="15" thickTop="1">
      <c r="A4" s="22" t="s">
        <v>679</v>
      </c>
      <c r="B4" s="26">
        <v>4902430137935</v>
      </c>
      <c r="C4" s="22" t="s">
        <v>707</v>
      </c>
      <c r="D4" s="22" t="s">
        <v>8</v>
      </c>
      <c r="E4" s="22">
        <v>716590</v>
      </c>
      <c r="F4" s="80" t="s">
        <v>680</v>
      </c>
      <c r="G4" s="23">
        <v>213.995</v>
      </c>
      <c r="H4" s="85">
        <f t="shared" ref="H4:H35" si="5">CT4*$G4</f>
        <v>28247.34</v>
      </c>
      <c r="I4" s="85">
        <f t="shared" ref="I4:I35" si="6">CU4*$G4</f>
        <v>48576.864999999998</v>
      </c>
      <c r="J4" s="85">
        <f t="shared" ref="J4:J35" si="7">CV4*$G4</f>
        <v>35523.17</v>
      </c>
      <c r="K4" s="85">
        <f t="shared" ref="K4:K35" si="8">CW4*$G4</f>
        <v>21185.505000000001</v>
      </c>
      <c r="L4" s="85">
        <f t="shared" ref="L4:L35" si="9">CX4*$G4</f>
        <v>25037.415000000001</v>
      </c>
      <c r="M4" s="86">
        <f t="shared" ref="M4:M35" si="10">CY4*$G4</f>
        <v>25037.415000000001</v>
      </c>
      <c r="N4" s="87">
        <f t="shared" ref="N4:N35" si="11">CZ4*$G4</f>
        <v>28675.33</v>
      </c>
      <c r="O4" s="87">
        <f t="shared" ref="O4:O35" si="12">DA4*$G4</f>
        <v>26107.39</v>
      </c>
      <c r="P4" s="87">
        <f t="shared" ref="P4:P35" si="13">DB4*$G4</f>
        <v>23753.445</v>
      </c>
      <c r="Q4" s="87">
        <f t="shared" ref="Q4:Q35" si="14">DC4*$G4</f>
        <v>31243.27</v>
      </c>
      <c r="R4" s="87">
        <f t="shared" ref="R4:R35" si="15">DD4*$G4</f>
        <v>34453.195</v>
      </c>
      <c r="S4" s="87">
        <f t="shared" ref="S4:S35" si="16">DE4*$G4</f>
        <v>38305.105000000003</v>
      </c>
      <c r="T4" s="87">
        <f t="shared" ref="T4:T35" si="17">DF4*$G4</f>
        <v>34239.199999999997</v>
      </c>
      <c r="U4" s="87">
        <f t="shared" ref="U4:U35" si="18">DG4*$G4</f>
        <v>27177.365000000002</v>
      </c>
      <c r="V4" s="87">
        <f t="shared" ref="V4:V35" si="19">DH4*$G4</f>
        <v>23967.440000000002</v>
      </c>
      <c r="W4" s="87">
        <f t="shared" ref="W4:W35" si="20">DI4*$G4</f>
        <v>46008.925000000003</v>
      </c>
      <c r="X4" s="87">
        <f t="shared" ref="X4:X35" si="21">DJ4*$G4</f>
        <v>46864.904999999999</v>
      </c>
      <c r="Y4" s="86">
        <f t="shared" ref="Y4:Y35" si="22">DK4*$G4</f>
        <v>19687.54</v>
      </c>
      <c r="Z4" s="87">
        <f t="shared" ref="Z4:Z35" si="23">DL4*$G4</f>
        <v>18831.560000000001</v>
      </c>
      <c r="AA4" s="87">
        <f t="shared" ref="AA4:AA35" si="24">DM4*$G4</f>
        <v>427.99</v>
      </c>
      <c r="AB4" s="87">
        <f t="shared" ref="AB4:AB35" si="25">DN4*$G4</f>
        <v>0</v>
      </c>
      <c r="AC4" s="87">
        <f t="shared" ref="AC4:AC35" si="26">DO4*$G4</f>
        <v>213.995</v>
      </c>
      <c r="AD4" s="87">
        <f t="shared" ref="AD4:AD35" si="27">DP4*$G4</f>
        <v>213.995</v>
      </c>
      <c r="AE4" s="87">
        <f t="shared" ref="AE4:AE35" si="28">DQ4*$G4</f>
        <v>0</v>
      </c>
      <c r="AF4" s="87">
        <f t="shared" ref="AF4:AF35" si="29">DR4*$G4</f>
        <v>0</v>
      </c>
      <c r="AG4" s="87">
        <f t="shared" ref="AG4:AG35" si="30">DS4*$G4</f>
        <v>0</v>
      </c>
      <c r="AH4" s="87">
        <f t="shared" ref="AH4:AH35" si="31">DT4*$G4</f>
        <v>0</v>
      </c>
      <c r="AI4" s="87">
        <f t="shared" ref="AI4:AI35" si="32">DU4*$G4</f>
        <v>427.99</v>
      </c>
      <c r="AJ4" s="87">
        <f t="shared" ref="AJ4:AJ35" si="33">DV4*$G4</f>
        <v>0</v>
      </c>
      <c r="AK4" s="335">
        <f t="shared" ref="AK4:AK35" si="34">DW4*$G4</f>
        <v>0</v>
      </c>
      <c r="AL4" s="21">
        <v>128</v>
      </c>
      <c r="AM4" s="21">
        <v>212</v>
      </c>
      <c r="AN4" s="21">
        <v>128</v>
      </c>
      <c r="AO4" s="21">
        <v>96</v>
      </c>
      <c r="AP4" s="21">
        <v>115</v>
      </c>
      <c r="AQ4" s="42">
        <v>113</v>
      </c>
      <c r="AR4" s="21">
        <v>130</v>
      </c>
      <c r="AS4" s="21">
        <v>116</v>
      </c>
      <c r="AT4" s="21">
        <v>109</v>
      </c>
      <c r="AU4" s="21">
        <v>138</v>
      </c>
      <c r="AV4" s="21">
        <v>152</v>
      </c>
      <c r="AW4" s="21">
        <v>175</v>
      </c>
      <c r="AX4" s="21">
        <v>159</v>
      </c>
      <c r="AY4" s="21">
        <v>119</v>
      </c>
      <c r="AZ4" s="21">
        <v>112</v>
      </c>
      <c r="BA4" s="21">
        <v>197</v>
      </c>
      <c r="BB4" s="21">
        <v>219</v>
      </c>
      <c r="BC4" s="42">
        <v>92</v>
      </c>
      <c r="BD4" s="21">
        <v>88</v>
      </c>
      <c r="BE4" s="21">
        <v>2</v>
      </c>
      <c r="BF4" s="21">
        <v>0</v>
      </c>
      <c r="BG4" s="21">
        <v>1</v>
      </c>
      <c r="BH4" s="21">
        <v>1</v>
      </c>
      <c r="BI4" s="21">
        <v>0</v>
      </c>
      <c r="BJ4" s="40">
        <v>0</v>
      </c>
      <c r="BK4" s="40">
        <v>0</v>
      </c>
      <c r="BL4" s="40">
        <v>0</v>
      </c>
      <c r="BM4" s="40">
        <v>2</v>
      </c>
      <c r="BP4" s="21">
        <v>4</v>
      </c>
      <c r="BQ4" s="21">
        <v>15</v>
      </c>
      <c r="BR4" s="21">
        <v>38</v>
      </c>
      <c r="BS4" s="21">
        <v>3</v>
      </c>
      <c r="BT4" s="21">
        <v>2</v>
      </c>
      <c r="BU4" s="42">
        <v>4</v>
      </c>
      <c r="BV4" s="21">
        <v>4</v>
      </c>
      <c r="BW4" s="21">
        <v>6</v>
      </c>
      <c r="BX4" s="21">
        <v>2</v>
      </c>
      <c r="BY4" s="21">
        <v>8</v>
      </c>
      <c r="BZ4" s="21">
        <v>9</v>
      </c>
      <c r="CA4" s="21">
        <v>4</v>
      </c>
      <c r="CB4" s="21">
        <v>1</v>
      </c>
      <c r="CC4" s="21">
        <v>8</v>
      </c>
      <c r="CD4" s="21">
        <v>0</v>
      </c>
      <c r="CE4" s="21">
        <v>18</v>
      </c>
      <c r="CF4" s="21">
        <v>0</v>
      </c>
      <c r="CG4" s="42">
        <v>0</v>
      </c>
      <c r="CH4" s="21">
        <v>0</v>
      </c>
      <c r="CI4" s="21">
        <v>0</v>
      </c>
      <c r="CJ4" s="21">
        <v>0</v>
      </c>
      <c r="CK4" s="21">
        <v>0</v>
      </c>
      <c r="CL4" s="21">
        <v>0</v>
      </c>
      <c r="CM4" s="21">
        <v>0</v>
      </c>
      <c r="CN4" s="21">
        <v>0</v>
      </c>
      <c r="CO4" s="21">
        <v>0</v>
      </c>
      <c r="CP4" s="21">
        <f>CO4</f>
        <v>0</v>
      </c>
      <c r="CQ4" s="230">
        <f>AVERAGE(CH4:CP4)</f>
        <v>0</v>
      </c>
      <c r="CT4" s="85">
        <f t="shared" ref="CT4:CT38" si="35">AL4+BP4</f>
        <v>132</v>
      </c>
      <c r="CU4" s="85">
        <f t="shared" ref="CU4:CU38" si="36">AM4+BQ4</f>
        <v>227</v>
      </c>
      <c r="CV4" s="85">
        <f t="shared" ref="CV4:CV38" si="37">AN4+BR4</f>
        <v>166</v>
      </c>
      <c r="CW4" s="85">
        <f t="shared" ref="CW4:CW38" si="38">AO4+BS4</f>
        <v>99</v>
      </c>
      <c r="CX4" s="85">
        <f t="shared" ref="CX4:CX38" si="39">AP4+BT4</f>
        <v>117</v>
      </c>
      <c r="CY4" s="86">
        <f t="shared" ref="CY4:CY38" si="40">AQ4+BU4</f>
        <v>117</v>
      </c>
      <c r="CZ4" s="87">
        <f t="shared" ref="CZ4:CZ38" si="41">AR4+BV4</f>
        <v>134</v>
      </c>
      <c r="DA4" s="87">
        <f t="shared" ref="DA4:DA38" si="42">AS4+BW4</f>
        <v>122</v>
      </c>
      <c r="DB4" s="87">
        <f t="shared" ref="DB4:DB38" si="43">AT4+BX4</f>
        <v>111</v>
      </c>
      <c r="DC4" s="87">
        <f t="shared" ref="DC4:DC38" si="44">AU4+BY4</f>
        <v>146</v>
      </c>
      <c r="DD4" s="87">
        <f t="shared" ref="DD4:DD38" si="45">AV4+BZ4</f>
        <v>161</v>
      </c>
      <c r="DE4" s="87">
        <f t="shared" ref="DE4:DE38" si="46">AW4+CA4</f>
        <v>179</v>
      </c>
      <c r="DF4" s="87">
        <f t="shared" ref="DF4:DF38" si="47">AX4+CB4</f>
        <v>160</v>
      </c>
      <c r="DG4" s="87">
        <f t="shared" ref="DG4:DG38" si="48">AY4+CC4</f>
        <v>127</v>
      </c>
      <c r="DH4" s="87">
        <f t="shared" ref="DH4:DH38" si="49">AZ4+CD4</f>
        <v>112</v>
      </c>
      <c r="DI4" s="87">
        <f t="shared" ref="DI4:DI38" si="50">BA4+CE4</f>
        <v>215</v>
      </c>
      <c r="DJ4" s="87">
        <f t="shared" ref="DJ4:DJ38" si="51">BB4+CF4</f>
        <v>219</v>
      </c>
      <c r="DK4" s="86">
        <f t="shared" ref="DK4:DK38" si="52">BC4+CG4</f>
        <v>92</v>
      </c>
      <c r="DL4" s="87">
        <f t="shared" ref="DL4:DL38" si="53">BD4+CH4</f>
        <v>88</v>
      </c>
      <c r="DM4" s="87">
        <f t="shared" ref="DM4:DM38" si="54">BE4+CI4</f>
        <v>2</v>
      </c>
      <c r="DN4" s="87">
        <f t="shared" ref="DN4:DN38" si="55">BF4+CJ4</f>
        <v>0</v>
      </c>
      <c r="DO4" s="87">
        <f t="shared" ref="DO4:DO38" si="56">BG4+CK4</f>
        <v>1</v>
      </c>
      <c r="DP4" s="87">
        <f t="shared" ref="DP4:DP38" si="57">BH4+CL4</f>
        <v>1</v>
      </c>
      <c r="DQ4" s="87">
        <f t="shared" ref="DQ4:DQ38" si="58">BI4+CM4</f>
        <v>0</v>
      </c>
      <c r="DR4" s="87">
        <f t="shared" ref="DR4:DR38" si="59">BJ4+CN4</f>
        <v>0</v>
      </c>
      <c r="DS4" s="87">
        <f t="shared" ref="DS4:DS38" si="60">BK4+CO4</f>
        <v>0</v>
      </c>
      <c r="DT4" s="87">
        <f t="shared" ref="DT4:DU40" si="61">BL4+CP4</f>
        <v>0</v>
      </c>
      <c r="DU4" s="87">
        <f t="shared" si="61"/>
        <v>2</v>
      </c>
      <c r="DV4" s="87">
        <f t="shared" ref="DV4:DV40" si="62">BN4+CR4</f>
        <v>0</v>
      </c>
      <c r="DW4" s="87">
        <f t="shared" ref="DW4:DW40" si="63">BO4+CS4</f>
        <v>0</v>
      </c>
    </row>
    <row r="5" spans="1:127">
      <c r="A5" s="22" t="s">
        <v>679</v>
      </c>
      <c r="B5" s="26">
        <v>4902430137959</v>
      </c>
      <c r="C5" s="22" t="s">
        <v>707</v>
      </c>
      <c r="D5" s="22" t="s">
        <v>8</v>
      </c>
      <c r="E5" s="22">
        <v>695208</v>
      </c>
      <c r="F5" s="80" t="s">
        <v>681</v>
      </c>
      <c r="G5" s="25">
        <v>221.73333333333335</v>
      </c>
      <c r="H5" s="85">
        <f t="shared" si="5"/>
        <v>98227.866666666669</v>
      </c>
      <c r="I5" s="85">
        <f t="shared" si="6"/>
        <v>142352.80000000002</v>
      </c>
      <c r="J5" s="85">
        <f t="shared" si="7"/>
        <v>117075.20000000001</v>
      </c>
      <c r="K5" s="85">
        <f t="shared" si="8"/>
        <v>95345.333333333343</v>
      </c>
      <c r="L5" s="85">
        <f t="shared" si="9"/>
        <v>104658.13333333335</v>
      </c>
      <c r="M5" s="86">
        <f t="shared" si="10"/>
        <v>94680.133333333346</v>
      </c>
      <c r="N5" s="87">
        <f t="shared" si="11"/>
        <v>119957.73333333334</v>
      </c>
      <c r="O5" s="87">
        <f t="shared" si="12"/>
        <v>107984.13333333335</v>
      </c>
      <c r="P5" s="87">
        <f t="shared" si="13"/>
        <v>76276.266666666677</v>
      </c>
      <c r="Q5" s="87">
        <f t="shared" si="14"/>
        <v>104658.13333333335</v>
      </c>
      <c r="R5" s="87">
        <f t="shared" si="15"/>
        <v>95567.06666666668</v>
      </c>
      <c r="S5" s="87">
        <f t="shared" si="16"/>
        <v>123505.46666666667</v>
      </c>
      <c r="T5" s="87">
        <f t="shared" si="17"/>
        <v>109758.00000000001</v>
      </c>
      <c r="U5" s="87">
        <f t="shared" si="18"/>
        <v>84258.666666666672</v>
      </c>
      <c r="V5" s="87">
        <f t="shared" si="19"/>
        <v>73837.200000000012</v>
      </c>
      <c r="W5" s="87">
        <f t="shared" si="20"/>
        <v>141244.13333333333</v>
      </c>
      <c r="X5" s="87">
        <f t="shared" si="21"/>
        <v>123062.00000000001</v>
      </c>
      <c r="Y5" s="86">
        <f t="shared" si="22"/>
        <v>23725.466666666667</v>
      </c>
      <c r="Z5" s="87">
        <f t="shared" si="23"/>
        <v>16408.266666666666</v>
      </c>
      <c r="AA5" s="87">
        <f t="shared" si="24"/>
        <v>221.73333333333335</v>
      </c>
      <c r="AB5" s="87">
        <f t="shared" si="25"/>
        <v>0</v>
      </c>
      <c r="AC5" s="87">
        <f t="shared" si="26"/>
        <v>0</v>
      </c>
      <c r="AD5" s="87">
        <f t="shared" si="27"/>
        <v>0</v>
      </c>
      <c r="AE5" s="87">
        <f t="shared" si="28"/>
        <v>0</v>
      </c>
      <c r="AF5" s="87">
        <f t="shared" si="29"/>
        <v>0</v>
      </c>
      <c r="AG5" s="87">
        <f t="shared" si="30"/>
        <v>0</v>
      </c>
      <c r="AH5" s="87">
        <f t="shared" si="31"/>
        <v>221.73333333333335</v>
      </c>
      <c r="AI5" s="87">
        <f t="shared" si="32"/>
        <v>221.73333333333335</v>
      </c>
      <c r="AJ5" s="87">
        <f t="shared" si="33"/>
        <v>0</v>
      </c>
      <c r="AK5" s="86">
        <f t="shared" si="34"/>
        <v>0</v>
      </c>
      <c r="AL5" s="21">
        <v>436</v>
      </c>
      <c r="AM5" s="21">
        <v>627</v>
      </c>
      <c r="AN5" s="21">
        <v>464</v>
      </c>
      <c r="AO5" s="21">
        <v>414</v>
      </c>
      <c r="AP5" s="21">
        <v>463</v>
      </c>
      <c r="AQ5" s="42">
        <v>413</v>
      </c>
      <c r="AR5" s="21">
        <v>521</v>
      </c>
      <c r="AS5" s="21">
        <v>482</v>
      </c>
      <c r="AT5" s="21">
        <v>330</v>
      </c>
      <c r="AU5" s="21">
        <v>452</v>
      </c>
      <c r="AV5" s="21">
        <v>408</v>
      </c>
      <c r="AW5" s="21">
        <v>539</v>
      </c>
      <c r="AX5" s="21">
        <v>491</v>
      </c>
      <c r="AY5" s="21">
        <v>366</v>
      </c>
      <c r="AZ5" s="21">
        <v>330</v>
      </c>
      <c r="BA5" s="21">
        <v>601</v>
      </c>
      <c r="BB5" s="21">
        <v>555</v>
      </c>
      <c r="BC5" s="42">
        <v>107</v>
      </c>
      <c r="BD5" s="21">
        <v>74</v>
      </c>
      <c r="BE5" s="21">
        <v>1</v>
      </c>
      <c r="BF5" s="21">
        <v>0</v>
      </c>
      <c r="BG5" s="21">
        <v>0</v>
      </c>
      <c r="BI5" s="21">
        <v>0</v>
      </c>
      <c r="BJ5" s="40">
        <v>0</v>
      </c>
      <c r="BK5" s="40">
        <v>0</v>
      </c>
      <c r="BL5" s="40">
        <v>1</v>
      </c>
      <c r="BM5" s="40">
        <v>1</v>
      </c>
      <c r="BP5" s="21">
        <v>7</v>
      </c>
      <c r="BQ5" s="21">
        <v>15</v>
      </c>
      <c r="BR5" s="21">
        <v>64</v>
      </c>
      <c r="BS5" s="21">
        <v>16</v>
      </c>
      <c r="BT5" s="21">
        <v>9</v>
      </c>
      <c r="BU5" s="42">
        <v>14</v>
      </c>
      <c r="BV5" s="21">
        <v>20</v>
      </c>
      <c r="BW5" s="21">
        <v>5</v>
      </c>
      <c r="BX5" s="21">
        <v>14</v>
      </c>
      <c r="BY5" s="21">
        <v>20</v>
      </c>
      <c r="BZ5" s="21">
        <v>23</v>
      </c>
      <c r="CA5" s="21">
        <v>18</v>
      </c>
      <c r="CB5" s="21">
        <v>4</v>
      </c>
      <c r="CC5" s="21">
        <v>14</v>
      </c>
      <c r="CD5" s="21">
        <v>3</v>
      </c>
      <c r="CE5" s="21">
        <v>36</v>
      </c>
      <c r="CF5" s="21">
        <v>0</v>
      </c>
      <c r="CG5" s="42">
        <v>0</v>
      </c>
      <c r="CH5" s="21">
        <v>0</v>
      </c>
      <c r="CI5" s="21">
        <v>0</v>
      </c>
      <c r="CJ5" s="21">
        <v>0</v>
      </c>
      <c r="CK5" s="21">
        <v>0</v>
      </c>
      <c r="CL5" s="21">
        <v>0</v>
      </c>
      <c r="CM5" s="21">
        <v>0</v>
      </c>
      <c r="CN5" s="21">
        <v>0</v>
      </c>
      <c r="CO5" s="21">
        <v>0</v>
      </c>
      <c r="CP5" s="21">
        <f t="shared" ref="CP5:CP68" si="64">CO5</f>
        <v>0</v>
      </c>
      <c r="CQ5" s="230">
        <f t="shared" ref="CQ5:CQ68" si="65">AVERAGE(CH5:CP5)</f>
        <v>0</v>
      </c>
      <c r="CT5" s="85">
        <f t="shared" si="35"/>
        <v>443</v>
      </c>
      <c r="CU5" s="85">
        <f t="shared" si="36"/>
        <v>642</v>
      </c>
      <c r="CV5" s="85">
        <f t="shared" si="37"/>
        <v>528</v>
      </c>
      <c r="CW5" s="85">
        <f t="shared" si="38"/>
        <v>430</v>
      </c>
      <c r="CX5" s="85">
        <f t="shared" si="39"/>
        <v>472</v>
      </c>
      <c r="CY5" s="86">
        <f t="shared" si="40"/>
        <v>427</v>
      </c>
      <c r="CZ5" s="87">
        <f t="shared" si="41"/>
        <v>541</v>
      </c>
      <c r="DA5" s="87">
        <f t="shared" si="42"/>
        <v>487</v>
      </c>
      <c r="DB5" s="87">
        <f t="shared" si="43"/>
        <v>344</v>
      </c>
      <c r="DC5" s="87">
        <f t="shared" si="44"/>
        <v>472</v>
      </c>
      <c r="DD5" s="87">
        <f t="shared" si="45"/>
        <v>431</v>
      </c>
      <c r="DE5" s="87">
        <f t="shared" si="46"/>
        <v>557</v>
      </c>
      <c r="DF5" s="87">
        <f t="shared" si="47"/>
        <v>495</v>
      </c>
      <c r="DG5" s="87">
        <f t="shared" si="48"/>
        <v>380</v>
      </c>
      <c r="DH5" s="87">
        <f t="shared" si="49"/>
        <v>333</v>
      </c>
      <c r="DI5" s="87">
        <f t="shared" si="50"/>
        <v>637</v>
      </c>
      <c r="DJ5" s="87">
        <f t="shared" si="51"/>
        <v>555</v>
      </c>
      <c r="DK5" s="86">
        <f t="shared" si="52"/>
        <v>107</v>
      </c>
      <c r="DL5" s="87">
        <f t="shared" si="53"/>
        <v>74</v>
      </c>
      <c r="DM5" s="87">
        <f t="shared" si="54"/>
        <v>1</v>
      </c>
      <c r="DN5" s="87">
        <f t="shared" si="55"/>
        <v>0</v>
      </c>
      <c r="DO5" s="87">
        <f t="shared" si="56"/>
        <v>0</v>
      </c>
      <c r="DP5" s="87">
        <f t="shared" si="57"/>
        <v>0</v>
      </c>
      <c r="DQ5" s="87">
        <f t="shared" si="58"/>
        <v>0</v>
      </c>
      <c r="DR5" s="87">
        <f t="shared" si="59"/>
        <v>0</v>
      </c>
      <c r="DS5" s="87">
        <f t="shared" si="60"/>
        <v>0</v>
      </c>
      <c r="DT5" s="87">
        <f t="shared" si="61"/>
        <v>1</v>
      </c>
      <c r="DU5" s="87">
        <f t="shared" si="61"/>
        <v>1</v>
      </c>
      <c r="DV5" s="87">
        <f t="shared" si="62"/>
        <v>0</v>
      </c>
      <c r="DW5" s="87">
        <f t="shared" si="63"/>
        <v>0</v>
      </c>
    </row>
    <row r="6" spans="1:127">
      <c r="A6" s="22" t="s">
        <v>679</v>
      </c>
      <c r="B6" s="26">
        <v>4902430138031</v>
      </c>
      <c r="C6" s="22" t="s">
        <v>707</v>
      </c>
      <c r="D6" s="22" t="s">
        <v>8</v>
      </c>
      <c r="E6" s="22">
        <v>695198</v>
      </c>
      <c r="F6" s="80" t="s">
        <v>682</v>
      </c>
      <c r="G6" s="25">
        <v>221.73333333333335</v>
      </c>
      <c r="H6" s="85">
        <f t="shared" si="5"/>
        <v>117075.20000000001</v>
      </c>
      <c r="I6" s="85">
        <f t="shared" si="6"/>
        <v>200890.40000000002</v>
      </c>
      <c r="J6" s="85">
        <f t="shared" si="7"/>
        <v>161865.33333333334</v>
      </c>
      <c r="K6" s="85">
        <f t="shared" si="8"/>
        <v>157874.13333333333</v>
      </c>
      <c r="L6" s="85">
        <f t="shared" si="9"/>
        <v>186477.73333333334</v>
      </c>
      <c r="M6" s="86">
        <f t="shared" si="10"/>
        <v>174060.66666666669</v>
      </c>
      <c r="N6" s="87">
        <f t="shared" si="11"/>
        <v>210203.2</v>
      </c>
      <c r="O6" s="87">
        <f t="shared" si="12"/>
        <v>180490.93333333335</v>
      </c>
      <c r="P6" s="87">
        <f t="shared" si="13"/>
        <v>126388.00000000001</v>
      </c>
      <c r="Q6" s="87">
        <f t="shared" si="14"/>
        <v>133705.20000000001</v>
      </c>
      <c r="R6" s="87">
        <f t="shared" si="15"/>
        <v>149004.80000000002</v>
      </c>
      <c r="S6" s="87">
        <f t="shared" si="16"/>
        <v>151000.40000000002</v>
      </c>
      <c r="T6" s="87">
        <f t="shared" si="17"/>
        <v>138805.06666666668</v>
      </c>
      <c r="U6" s="87">
        <f t="shared" si="18"/>
        <v>111531.86666666667</v>
      </c>
      <c r="V6" s="87">
        <f t="shared" si="19"/>
        <v>104214.66666666667</v>
      </c>
      <c r="W6" s="87">
        <f t="shared" si="20"/>
        <v>162308.80000000002</v>
      </c>
      <c r="X6" s="87">
        <f t="shared" si="21"/>
        <v>140357.20000000001</v>
      </c>
      <c r="Y6" s="86">
        <f t="shared" si="22"/>
        <v>16408.266666666666</v>
      </c>
      <c r="Z6" s="87">
        <f t="shared" si="23"/>
        <v>11086.666666666668</v>
      </c>
      <c r="AA6" s="87">
        <f t="shared" si="24"/>
        <v>221.73333333333335</v>
      </c>
      <c r="AB6" s="87">
        <f t="shared" si="25"/>
        <v>443.4666666666667</v>
      </c>
      <c r="AC6" s="87">
        <f t="shared" si="26"/>
        <v>221.73333333333335</v>
      </c>
      <c r="AD6" s="87">
        <f t="shared" si="27"/>
        <v>0</v>
      </c>
      <c r="AE6" s="87">
        <f t="shared" si="28"/>
        <v>0</v>
      </c>
      <c r="AF6" s="87">
        <f t="shared" si="29"/>
        <v>221.73333333333335</v>
      </c>
      <c r="AG6" s="87">
        <f t="shared" si="30"/>
        <v>0</v>
      </c>
      <c r="AH6" s="87">
        <f t="shared" si="31"/>
        <v>0</v>
      </c>
      <c r="AI6" s="87">
        <f t="shared" si="32"/>
        <v>0</v>
      </c>
      <c r="AJ6" s="87">
        <f t="shared" si="33"/>
        <v>0</v>
      </c>
      <c r="AK6" s="86">
        <f t="shared" si="34"/>
        <v>0</v>
      </c>
      <c r="AL6" s="21">
        <v>518</v>
      </c>
      <c r="AM6" s="21">
        <v>884</v>
      </c>
      <c r="AN6" s="21">
        <v>652</v>
      </c>
      <c r="AO6" s="21">
        <v>694</v>
      </c>
      <c r="AP6" s="21">
        <v>835</v>
      </c>
      <c r="AQ6" s="42">
        <v>740</v>
      </c>
      <c r="AR6" s="21">
        <v>916</v>
      </c>
      <c r="AS6" s="21">
        <v>807</v>
      </c>
      <c r="AT6" s="21">
        <v>552</v>
      </c>
      <c r="AU6" s="21">
        <v>585</v>
      </c>
      <c r="AV6" s="21">
        <v>645</v>
      </c>
      <c r="AW6" s="21">
        <v>667</v>
      </c>
      <c r="AX6" s="21">
        <v>622</v>
      </c>
      <c r="AY6" s="21">
        <v>484</v>
      </c>
      <c r="AZ6" s="21">
        <v>464</v>
      </c>
      <c r="BA6" s="21">
        <v>703</v>
      </c>
      <c r="BB6" s="21">
        <v>633</v>
      </c>
      <c r="BC6" s="42">
        <v>74</v>
      </c>
      <c r="BD6" s="21">
        <v>50</v>
      </c>
      <c r="BE6" s="21">
        <v>1</v>
      </c>
      <c r="BF6" s="21">
        <v>2</v>
      </c>
      <c r="BG6" s="21">
        <v>1</v>
      </c>
      <c r="BI6" s="21">
        <v>0</v>
      </c>
      <c r="BJ6" s="40">
        <v>1</v>
      </c>
      <c r="BK6" s="40">
        <v>0</v>
      </c>
      <c r="BL6" s="40">
        <v>0</v>
      </c>
      <c r="BM6" s="40">
        <v>0</v>
      </c>
      <c r="BP6" s="21">
        <v>10</v>
      </c>
      <c r="BQ6" s="21">
        <v>22</v>
      </c>
      <c r="BR6" s="21">
        <v>78</v>
      </c>
      <c r="BS6" s="21">
        <v>18</v>
      </c>
      <c r="BT6" s="21">
        <v>6</v>
      </c>
      <c r="BU6" s="42">
        <v>45</v>
      </c>
      <c r="BV6" s="21">
        <v>32</v>
      </c>
      <c r="BW6" s="21">
        <v>7</v>
      </c>
      <c r="BX6" s="21">
        <v>18</v>
      </c>
      <c r="BY6" s="21">
        <v>18</v>
      </c>
      <c r="BZ6" s="21">
        <v>27</v>
      </c>
      <c r="CA6" s="21">
        <v>14</v>
      </c>
      <c r="CB6" s="21">
        <v>4</v>
      </c>
      <c r="CC6" s="21">
        <v>19</v>
      </c>
      <c r="CD6" s="21">
        <v>6</v>
      </c>
      <c r="CE6" s="21">
        <v>29</v>
      </c>
      <c r="CF6" s="21">
        <v>0</v>
      </c>
      <c r="CG6" s="42">
        <v>0</v>
      </c>
      <c r="CH6" s="21">
        <v>0</v>
      </c>
      <c r="CI6" s="21">
        <v>0</v>
      </c>
      <c r="CJ6" s="21">
        <v>0</v>
      </c>
      <c r="CK6" s="21">
        <v>0</v>
      </c>
      <c r="CL6" s="21">
        <v>0</v>
      </c>
      <c r="CM6" s="21">
        <v>0</v>
      </c>
      <c r="CN6" s="21">
        <v>0</v>
      </c>
      <c r="CO6" s="21">
        <v>0</v>
      </c>
      <c r="CP6" s="21">
        <f t="shared" si="64"/>
        <v>0</v>
      </c>
      <c r="CQ6" s="230">
        <f t="shared" si="65"/>
        <v>0</v>
      </c>
      <c r="CT6" s="85">
        <f t="shared" si="35"/>
        <v>528</v>
      </c>
      <c r="CU6" s="85">
        <f t="shared" si="36"/>
        <v>906</v>
      </c>
      <c r="CV6" s="85">
        <f t="shared" si="37"/>
        <v>730</v>
      </c>
      <c r="CW6" s="85">
        <f t="shared" si="38"/>
        <v>712</v>
      </c>
      <c r="CX6" s="85">
        <f t="shared" si="39"/>
        <v>841</v>
      </c>
      <c r="CY6" s="86">
        <f t="shared" si="40"/>
        <v>785</v>
      </c>
      <c r="CZ6" s="87">
        <f t="shared" si="41"/>
        <v>948</v>
      </c>
      <c r="DA6" s="87">
        <f t="shared" si="42"/>
        <v>814</v>
      </c>
      <c r="DB6" s="87">
        <f t="shared" si="43"/>
        <v>570</v>
      </c>
      <c r="DC6" s="87">
        <f t="shared" si="44"/>
        <v>603</v>
      </c>
      <c r="DD6" s="87">
        <f t="shared" si="45"/>
        <v>672</v>
      </c>
      <c r="DE6" s="87">
        <f t="shared" si="46"/>
        <v>681</v>
      </c>
      <c r="DF6" s="87">
        <f t="shared" si="47"/>
        <v>626</v>
      </c>
      <c r="DG6" s="87">
        <f t="shared" si="48"/>
        <v>503</v>
      </c>
      <c r="DH6" s="87">
        <f t="shared" si="49"/>
        <v>470</v>
      </c>
      <c r="DI6" s="87">
        <f t="shared" si="50"/>
        <v>732</v>
      </c>
      <c r="DJ6" s="87">
        <f t="shared" si="51"/>
        <v>633</v>
      </c>
      <c r="DK6" s="86">
        <f t="shared" si="52"/>
        <v>74</v>
      </c>
      <c r="DL6" s="87">
        <f t="shared" si="53"/>
        <v>50</v>
      </c>
      <c r="DM6" s="87">
        <f t="shared" si="54"/>
        <v>1</v>
      </c>
      <c r="DN6" s="87">
        <f t="shared" si="55"/>
        <v>2</v>
      </c>
      <c r="DO6" s="87">
        <f t="shared" si="56"/>
        <v>1</v>
      </c>
      <c r="DP6" s="87">
        <f t="shared" si="57"/>
        <v>0</v>
      </c>
      <c r="DQ6" s="87">
        <f t="shared" si="58"/>
        <v>0</v>
      </c>
      <c r="DR6" s="87">
        <f t="shared" si="59"/>
        <v>1</v>
      </c>
      <c r="DS6" s="87">
        <f t="shared" si="60"/>
        <v>0</v>
      </c>
      <c r="DT6" s="87">
        <f t="shared" si="61"/>
        <v>0</v>
      </c>
      <c r="DU6" s="87">
        <f t="shared" ref="DU6:DU40" si="66">BM6+CQ6</f>
        <v>0</v>
      </c>
      <c r="DV6" s="87">
        <f t="shared" si="62"/>
        <v>0</v>
      </c>
      <c r="DW6" s="87">
        <f t="shared" si="63"/>
        <v>0</v>
      </c>
    </row>
    <row r="7" spans="1:127">
      <c r="A7" s="22" t="s">
        <v>679</v>
      </c>
      <c r="B7" s="26">
        <v>4902430304504</v>
      </c>
      <c r="C7" s="22" t="s">
        <v>707</v>
      </c>
      <c r="D7" s="22" t="s">
        <v>8</v>
      </c>
      <c r="E7" s="22">
        <v>860091</v>
      </c>
      <c r="F7" s="80" t="s">
        <v>683</v>
      </c>
      <c r="G7" s="25">
        <v>213.995</v>
      </c>
      <c r="H7" s="85">
        <f t="shared" si="5"/>
        <v>139310.745</v>
      </c>
      <c r="I7" s="85">
        <f t="shared" si="6"/>
        <v>205435.2</v>
      </c>
      <c r="J7" s="85">
        <f t="shared" si="7"/>
        <v>159640.26999999999</v>
      </c>
      <c r="K7" s="85">
        <f t="shared" si="8"/>
        <v>134174.86499999999</v>
      </c>
      <c r="L7" s="85">
        <f t="shared" si="9"/>
        <v>150224.49</v>
      </c>
      <c r="M7" s="86">
        <f t="shared" si="10"/>
        <v>136742.80499999999</v>
      </c>
      <c r="N7" s="87">
        <f t="shared" si="11"/>
        <v>127969.01000000001</v>
      </c>
      <c r="O7" s="87">
        <f t="shared" si="12"/>
        <v>120051.19500000001</v>
      </c>
      <c r="P7" s="87">
        <f t="shared" si="13"/>
        <v>107211.495</v>
      </c>
      <c r="Q7" s="87">
        <f t="shared" si="14"/>
        <v>144232.63</v>
      </c>
      <c r="R7" s="87">
        <f t="shared" si="15"/>
        <v>165204.14000000001</v>
      </c>
      <c r="S7" s="87">
        <f t="shared" si="16"/>
        <v>182323.74</v>
      </c>
      <c r="T7" s="87">
        <f t="shared" si="17"/>
        <v>150438.48500000002</v>
      </c>
      <c r="U7" s="87">
        <f t="shared" si="18"/>
        <v>123047.125</v>
      </c>
      <c r="V7" s="87">
        <f t="shared" si="19"/>
        <v>105713.53</v>
      </c>
      <c r="W7" s="87">
        <f t="shared" si="20"/>
        <v>175689.89499999999</v>
      </c>
      <c r="X7" s="87">
        <f t="shared" si="21"/>
        <v>129680.97</v>
      </c>
      <c r="Y7" s="86">
        <f t="shared" si="22"/>
        <v>21827.49</v>
      </c>
      <c r="Z7" s="87">
        <f t="shared" si="23"/>
        <v>12839.7</v>
      </c>
      <c r="AA7" s="87">
        <f t="shared" si="24"/>
        <v>427.99</v>
      </c>
      <c r="AB7" s="87">
        <f t="shared" si="25"/>
        <v>0</v>
      </c>
      <c r="AC7" s="87">
        <f t="shared" si="26"/>
        <v>0</v>
      </c>
      <c r="AD7" s="87">
        <f t="shared" si="27"/>
        <v>0</v>
      </c>
      <c r="AE7" s="87">
        <f t="shared" si="28"/>
        <v>0</v>
      </c>
      <c r="AF7" s="87">
        <f t="shared" si="29"/>
        <v>0</v>
      </c>
      <c r="AG7" s="87">
        <f t="shared" si="30"/>
        <v>0</v>
      </c>
      <c r="AH7" s="87">
        <f t="shared" si="31"/>
        <v>0</v>
      </c>
      <c r="AI7" s="87">
        <f t="shared" si="32"/>
        <v>0</v>
      </c>
      <c r="AJ7" s="87">
        <f t="shared" si="33"/>
        <v>0</v>
      </c>
      <c r="AK7" s="86">
        <f t="shared" si="34"/>
        <v>0</v>
      </c>
      <c r="AL7" s="21">
        <v>627</v>
      </c>
      <c r="AM7" s="21">
        <v>928</v>
      </c>
      <c r="AN7" s="21">
        <v>662</v>
      </c>
      <c r="AO7" s="21">
        <v>602</v>
      </c>
      <c r="AP7" s="21">
        <v>690</v>
      </c>
      <c r="AQ7" s="42">
        <v>595</v>
      </c>
      <c r="AR7" s="21">
        <v>572</v>
      </c>
      <c r="AS7" s="21">
        <v>537</v>
      </c>
      <c r="AT7" s="21">
        <v>481</v>
      </c>
      <c r="AU7" s="21">
        <v>636</v>
      </c>
      <c r="AV7" s="21">
        <v>729</v>
      </c>
      <c r="AW7" s="21">
        <v>831</v>
      </c>
      <c r="AX7" s="21">
        <v>683</v>
      </c>
      <c r="AY7" s="21">
        <v>550</v>
      </c>
      <c r="AZ7" s="21">
        <v>470</v>
      </c>
      <c r="BA7" s="21">
        <v>778</v>
      </c>
      <c r="BB7" s="21">
        <v>606</v>
      </c>
      <c r="BC7" s="42">
        <v>102</v>
      </c>
      <c r="BD7" s="21">
        <v>60</v>
      </c>
      <c r="BE7" s="21">
        <v>2</v>
      </c>
      <c r="BF7" s="21">
        <v>0</v>
      </c>
      <c r="BG7" s="21">
        <v>0</v>
      </c>
      <c r="BI7" s="21">
        <v>0</v>
      </c>
      <c r="BJ7" s="40">
        <v>0</v>
      </c>
      <c r="BK7" s="40">
        <v>0</v>
      </c>
      <c r="BL7" s="40">
        <v>0</v>
      </c>
      <c r="BM7" s="40">
        <v>0</v>
      </c>
      <c r="BP7" s="21">
        <v>24</v>
      </c>
      <c r="BQ7" s="21">
        <v>32</v>
      </c>
      <c r="BR7" s="21">
        <v>84</v>
      </c>
      <c r="BS7" s="21">
        <v>25</v>
      </c>
      <c r="BT7" s="21">
        <v>12</v>
      </c>
      <c r="BU7" s="42">
        <v>44</v>
      </c>
      <c r="BV7" s="21">
        <v>26</v>
      </c>
      <c r="BW7" s="21">
        <v>24</v>
      </c>
      <c r="BX7" s="21">
        <v>20</v>
      </c>
      <c r="BY7" s="21">
        <v>38</v>
      </c>
      <c r="BZ7" s="21">
        <v>43</v>
      </c>
      <c r="CA7" s="21">
        <v>21</v>
      </c>
      <c r="CB7" s="21">
        <v>20</v>
      </c>
      <c r="CC7" s="21">
        <v>25</v>
      </c>
      <c r="CD7" s="21">
        <v>24</v>
      </c>
      <c r="CE7" s="21">
        <v>43</v>
      </c>
      <c r="CF7" s="21">
        <v>0</v>
      </c>
      <c r="CG7" s="42">
        <v>0</v>
      </c>
      <c r="CH7" s="21">
        <v>0</v>
      </c>
      <c r="CI7" s="21">
        <v>0</v>
      </c>
      <c r="CJ7" s="21">
        <v>0</v>
      </c>
      <c r="CK7" s="21">
        <v>0</v>
      </c>
      <c r="CL7" s="21">
        <v>0</v>
      </c>
      <c r="CM7" s="21">
        <v>0</v>
      </c>
      <c r="CN7" s="21">
        <v>0</v>
      </c>
      <c r="CO7" s="21">
        <v>0</v>
      </c>
      <c r="CP7" s="21">
        <f t="shared" si="64"/>
        <v>0</v>
      </c>
      <c r="CQ7" s="230">
        <f t="shared" si="65"/>
        <v>0</v>
      </c>
      <c r="CT7" s="85">
        <f t="shared" si="35"/>
        <v>651</v>
      </c>
      <c r="CU7" s="85">
        <f t="shared" si="36"/>
        <v>960</v>
      </c>
      <c r="CV7" s="85">
        <f t="shared" si="37"/>
        <v>746</v>
      </c>
      <c r="CW7" s="85">
        <f t="shared" si="38"/>
        <v>627</v>
      </c>
      <c r="CX7" s="85">
        <f t="shared" si="39"/>
        <v>702</v>
      </c>
      <c r="CY7" s="86">
        <f t="shared" si="40"/>
        <v>639</v>
      </c>
      <c r="CZ7" s="87">
        <f t="shared" si="41"/>
        <v>598</v>
      </c>
      <c r="DA7" s="87">
        <f t="shared" si="42"/>
        <v>561</v>
      </c>
      <c r="DB7" s="87">
        <f t="shared" si="43"/>
        <v>501</v>
      </c>
      <c r="DC7" s="87">
        <f t="shared" si="44"/>
        <v>674</v>
      </c>
      <c r="DD7" s="87">
        <f t="shared" si="45"/>
        <v>772</v>
      </c>
      <c r="DE7" s="87">
        <f t="shared" si="46"/>
        <v>852</v>
      </c>
      <c r="DF7" s="87">
        <f t="shared" si="47"/>
        <v>703</v>
      </c>
      <c r="DG7" s="87">
        <f t="shared" si="48"/>
        <v>575</v>
      </c>
      <c r="DH7" s="87">
        <f t="shared" si="49"/>
        <v>494</v>
      </c>
      <c r="DI7" s="87">
        <f t="shared" si="50"/>
        <v>821</v>
      </c>
      <c r="DJ7" s="87">
        <f t="shared" si="51"/>
        <v>606</v>
      </c>
      <c r="DK7" s="86">
        <f t="shared" si="52"/>
        <v>102</v>
      </c>
      <c r="DL7" s="87">
        <f t="shared" si="53"/>
        <v>60</v>
      </c>
      <c r="DM7" s="87">
        <f t="shared" si="54"/>
        <v>2</v>
      </c>
      <c r="DN7" s="87">
        <f t="shared" si="55"/>
        <v>0</v>
      </c>
      <c r="DO7" s="87">
        <f t="shared" si="56"/>
        <v>0</v>
      </c>
      <c r="DP7" s="87">
        <f t="shared" si="57"/>
        <v>0</v>
      </c>
      <c r="DQ7" s="87">
        <f t="shared" si="58"/>
        <v>0</v>
      </c>
      <c r="DR7" s="87">
        <f t="shared" si="59"/>
        <v>0</v>
      </c>
      <c r="DS7" s="87">
        <f t="shared" si="60"/>
        <v>0</v>
      </c>
      <c r="DT7" s="87">
        <f t="shared" si="61"/>
        <v>0</v>
      </c>
      <c r="DU7" s="87">
        <f t="shared" si="66"/>
        <v>0</v>
      </c>
      <c r="DV7" s="87">
        <f t="shared" si="62"/>
        <v>0</v>
      </c>
      <c r="DW7" s="87">
        <f t="shared" si="63"/>
        <v>0</v>
      </c>
    </row>
    <row r="8" spans="1:127">
      <c r="A8" s="22" t="s">
        <v>679</v>
      </c>
      <c r="B8" s="26">
        <v>4902430875844</v>
      </c>
      <c r="C8" s="22" t="s">
        <v>707</v>
      </c>
      <c r="D8" s="22" t="s">
        <v>8</v>
      </c>
      <c r="E8" s="22">
        <v>272890</v>
      </c>
      <c r="F8" s="80" t="s">
        <v>684</v>
      </c>
      <c r="G8" s="25">
        <v>221.73333333333335</v>
      </c>
      <c r="H8" s="85">
        <f t="shared" si="5"/>
        <v>87584.666666666672</v>
      </c>
      <c r="I8" s="85">
        <f t="shared" si="6"/>
        <v>138139.86666666667</v>
      </c>
      <c r="J8" s="85">
        <f t="shared" si="7"/>
        <v>107540.66666666667</v>
      </c>
      <c r="K8" s="85">
        <f t="shared" si="8"/>
        <v>73393.733333333337</v>
      </c>
      <c r="L8" s="85">
        <f t="shared" si="9"/>
        <v>100001.73333333334</v>
      </c>
      <c r="M8" s="86">
        <f t="shared" si="10"/>
        <v>86919.466666666674</v>
      </c>
      <c r="N8" s="87">
        <f t="shared" si="11"/>
        <v>99336.53333333334</v>
      </c>
      <c r="O8" s="87">
        <f t="shared" si="12"/>
        <v>90467.200000000012</v>
      </c>
      <c r="P8" s="87">
        <f t="shared" si="13"/>
        <v>83371.733333333337</v>
      </c>
      <c r="Q8" s="87">
        <f t="shared" si="14"/>
        <v>102884.26666666668</v>
      </c>
      <c r="R8" s="87">
        <f t="shared" si="15"/>
        <v>105766.8</v>
      </c>
      <c r="S8" s="87">
        <f t="shared" si="16"/>
        <v>126388.00000000001</v>
      </c>
      <c r="T8" s="87">
        <f t="shared" si="17"/>
        <v>103327.73333333334</v>
      </c>
      <c r="U8" s="87">
        <f t="shared" si="18"/>
        <v>76498</v>
      </c>
      <c r="V8" s="87">
        <f t="shared" si="19"/>
        <v>75167.600000000006</v>
      </c>
      <c r="W8" s="87">
        <f t="shared" si="20"/>
        <v>102440.8</v>
      </c>
      <c r="X8" s="87">
        <f t="shared" si="21"/>
        <v>76719.733333333337</v>
      </c>
      <c r="Y8" s="86">
        <f t="shared" si="22"/>
        <v>18847.333333333336</v>
      </c>
      <c r="Z8" s="87">
        <f t="shared" si="23"/>
        <v>10199.733333333334</v>
      </c>
      <c r="AA8" s="87">
        <f t="shared" si="24"/>
        <v>443.4666666666667</v>
      </c>
      <c r="AB8" s="87">
        <f t="shared" si="25"/>
        <v>0</v>
      </c>
      <c r="AC8" s="87">
        <f t="shared" si="26"/>
        <v>0</v>
      </c>
      <c r="AD8" s="87">
        <f t="shared" si="27"/>
        <v>0</v>
      </c>
      <c r="AE8" s="87">
        <f t="shared" si="28"/>
        <v>0</v>
      </c>
      <c r="AF8" s="87">
        <f t="shared" si="29"/>
        <v>0</v>
      </c>
      <c r="AG8" s="87">
        <f t="shared" si="30"/>
        <v>0</v>
      </c>
      <c r="AH8" s="87">
        <f t="shared" si="31"/>
        <v>0</v>
      </c>
      <c r="AI8" s="87">
        <f t="shared" si="32"/>
        <v>0</v>
      </c>
      <c r="AJ8" s="87">
        <f t="shared" si="33"/>
        <v>0</v>
      </c>
      <c r="AK8" s="86">
        <f t="shared" si="34"/>
        <v>0</v>
      </c>
      <c r="AL8" s="21">
        <v>360</v>
      </c>
      <c r="AM8" s="21">
        <v>568</v>
      </c>
      <c r="AN8" s="21">
        <v>345</v>
      </c>
      <c r="AO8" s="21">
        <v>299</v>
      </c>
      <c r="AP8" s="21">
        <v>407</v>
      </c>
      <c r="AQ8" s="42">
        <v>323</v>
      </c>
      <c r="AR8" s="21">
        <v>399</v>
      </c>
      <c r="AS8" s="21">
        <v>377</v>
      </c>
      <c r="AT8" s="21">
        <v>320</v>
      </c>
      <c r="AU8" s="21">
        <v>404</v>
      </c>
      <c r="AV8" s="21">
        <v>417</v>
      </c>
      <c r="AW8" s="21">
        <v>535</v>
      </c>
      <c r="AX8" s="21">
        <v>457</v>
      </c>
      <c r="AY8" s="21">
        <v>309</v>
      </c>
      <c r="AZ8" s="21">
        <v>302</v>
      </c>
      <c r="BA8" s="21">
        <v>400</v>
      </c>
      <c r="BB8" s="21">
        <v>346</v>
      </c>
      <c r="BC8" s="42">
        <v>85</v>
      </c>
      <c r="BD8" s="21">
        <v>46</v>
      </c>
      <c r="BE8" s="21">
        <v>2</v>
      </c>
      <c r="BF8" s="21">
        <v>0</v>
      </c>
      <c r="BG8" s="21">
        <v>0</v>
      </c>
      <c r="BI8" s="21">
        <v>0</v>
      </c>
      <c r="BJ8" s="40">
        <v>0</v>
      </c>
      <c r="BK8" s="40">
        <v>0</v>
      </c>
      <c r="BL8" s="40">
        <v>0</v>
      </c>
      <c r="BM8" s="40">
        <v>0</v>
      </c>
      <c r="BP8" s="21">
        <v>35</v>
      </c>
      <c r="BQ8" s="21">
        <v>55</v>
      </c>
      <c r="BR8" s="21">
        <v>140</v>
      </c>
      <c r="BS8" s="21">
        <v>32</v>
      </c>
      <c r="BT8" s="21">
        <v>44</v>
      </c>
      <c r="BU8" s="42">
        <v>69</v>
      </c>
      <c r="BV8" s="21">
        <v>49</v>
      </c>
      <c r="BW8" s="21">
        <v>31</v>
      </c>
      <c r="BX8" s="21">
        <v>56</v>
      </c>
      <c r="BY8" s="21">
        <v>60</v>
      </c>
      <c r="BZ8" s="21">
        <v>60</v>
      </c>
      <c r="CA8" s="21">
        <v>35</v>
      </c>
      <c r="CB8" s="21">
        <v>9</v>
      </c>
      <c r="CC8" s="21">
        <v>36</v>
      </c>
      <c r="CD8" s="21">
        <v>37</v>
      </c>
      <c r="CE8" s="21">
        <v>62</v>
      </c>
      <c r="CF8" s="21">
        <v>0</v>
      </c>
      <c r="CG8" s="42">
        <v>0</v>
      </c>
      <c r="CH8" s="21">
        <v>0</v>
      </c>
      <c r="CI8" s="21">
        <v>0</v>
      </c>
      <c r="CJ8" s="21">
        <v>0</v>
      </c>
      <c r="CK8" s="21">
        <v>0</v>
      </c>
      <c r="CL8" s="21">
        <v>0</v>
      </c>
      <c r="CM8" s="21">
        <v>0</v>
      </c>
      <c r="CN8" s="21">
        <v>0</v>
      </c>
      <c r="CO8" s="21">
        <v>0</v>
      </c>
      <c r="CP8" s="21">
        <f t="shared" si="64"/>
        <v>0</v>
      </c>
      <c r="CQ8" s="230">
        <f t="shared" si="65"/>
        <v>0</v>
      </c>
      <c r="CT8" s="85">
        <f t="shared" si="35"/>
        <v>395</v>
      </c>
      <c r="CU8" s="85">
        <f t="shared" si="36"/>
        <v>623</v>
      </c>
      <c r="CV8" s="85">
        <f t="shared" si="37"/>
        <v>485</v>
      </c>
      <c r="CW8" s="85">
        <f t="shared" si="38"/>
        <v>331</v>
      </c>
      <c r="CX8" s="85">
        <f t="shared" si="39"/>
        <v>451</v>
      </c>
      <c r="CY8" s="86">
        <f t="shared" si="40"/>
        <v>392</v>
      </c>
      <c r="CZ8" s="87">
        <f t="shared" si="41"/>
        <v>448</v>
      </c>
      <c r="DA8" s="87">
        <f t="shared" si="42"/>
        <v>408</v>
      </c>
      <c r="DB8" s="87">
        <f t="shared" si="43"/>
        <v>376</v>
      </c>
      <c r="DC8" s="87">
        <f t="shared" si="44"/>
        <v>464</v>
      </c>
      <c r="DD8" s="87">
        <f t="shared" si="45"/>
        <v>477</v>
      </c>
      <c r="DE8" s="87">
        <f t="shared" si="46"/>
        <v>570</v>
      </c>
      <c r="DF8" s="87">
        <f t="shared" si="47"/>
        <v>466</v>
      </c>
      <c r="DG8" s="87">
        <f t="shared" si="48"/>
        <v>345</v>
      </c>
      <c r="DH8" s="87">
        <f t="shared" si="49"/>
        <v>339</v>
      </c>
      <c r="DI8" s="87">
        <f t="shared" si="50"/>
        <v>462</v>
      </c>
      <c r="DJ8" s="87">
        <f t="shared" si="51"/>
        <v>346</v>
      </c>
      <c r="DK8" s="86">
        <f t="shared" si="52"/>
        <v>85</v>
      </c>
      <c r="DL8" s="87">
        <f t="shared" si="53"/>
        <v>46</v>
      </c>
      <c r="DM8" s="87">
        <f t="shared" si="54"/>
        <v>2</v>
      </c>
      <c r="DN8" s="87">
        <f t="shared" si="55"/>
        <v>0</v>
      </c>
      <c r="DO8" s="87">
        <f t="shared" si="56"/>
        <v>0</v>
      </c>
      <c r="DP8" s="87">
        <f t="shared" si="57"/>
        <v>0</v>
      </c>
      <c r="DQ8" s="87">
        <f t="shared" si="58"/>
        <v>0</v>
      </c>
      <c r="DR8" s="87">
        <f t="shared" si="59"/>
        <v>0</v>
      </c>
      <c r="DS8" s="87">
        <f t="shared" si="60"/>
        <v>0</v>
      </c>
      <c r="DT8" s="87">
        <f t="shared" si="61"/>
        <v>0</v>
      </c>
      <c r="DU8" s="87">
        <f t="shared" si="66"/>
        <v>0</v>
      </c>
      <c r="DV8" s="87">
        <f t="shared" si="62"/>
        <v>0</v>
      </c>
      <c r="DW8" s="87">
        <f t="shared" si="63"/>
        <v>0</v>
      </c>
    </row>
    <row r="9" spans="1:127">
      <c r="A9" s="22" t="s">
        <v>679</v>
      </c>
      <c r="B9" s="26">
        <v>4902430875851</v>
      </c>
      <c r="C9" s="22" t="s">
        <v>707</v>
      </c>
      <c r="D9" s="22" t="s">
        <v>8</v>
      </c>
      <c r="E9" s="22">
        <v>272887</v>
      </c>
      <c r="F9" s="80" t="s">
        <v>685</v>
      </c>
      <c r="G9" s="25">
        <v>221.73333333333335</v>
      </c>
      <c r="H9" s="85">
        <f t="shared" si="5"/>
        <v>26386.26666666667</v>
      </c>
      <c r="I9" s="85">
        <f t="shared" si="6"/>
        <v>39246.800000000003</v>
      </c>
      <c r="J9" s="85">
        <f t="shared" si="7"/>
        <v>42572.800000000003</v>
      </c>
      <c r="K9" s="85">
        <f t="shared" si="8"/>
        <v>22395.066666666669</v>
      </c>
      <c r="L9" s="85">
        <f t="shared" si="9"/>
        <v>31929.600000000002</v>
      </c>
      <c r="M9" s="86">
        <f t="shared" si="10"/>
        <v>30377.466666666667</v>
      </c>
      <c r="N9" s="87">
        <f t="shared" si="11"/>
        <v>39025.066666666666</v>
      </c>
      <c r="O9" s="87">
        <f t="shared" si="12"/>
        <v>30377.466666666667</v>
      </c>
      <c r="P9" s="87">
        <f t="shared" si="13"/>
        <v>26829.733333333334</v>
      </c>
      <c r="Q9" s="87">
        <f t="shared" si="14"/>
        <v>35033.866666666669</v>
      </c>
      <c r="R9" s="87">
        <f t="shared" si="15"/>
        <v>36807.733333333337</v>
      </c>
      <c r="S9" s="87">
        <f t="shared" si="16"/>
        <v>32373.066666666669</v>
      </c>
      <c r="T9" s="87">
        <f t="shared" si="17"/>
        <v>26829.733333333334</v>
      </c>
      <c r="U9" s="87">
        <f t="shared" si="18"/>
        <v>21286.400000000001</v>
      </c>
      <c r="V9" s="87">
        <f t="shared" si="19"/>
        <v>19734.266666666666</v>
      </c>
      <c r="W9" s="87">
        <f t="shared" si="20"/>
        <v>51442.133333333339</v>
      </c>
      <c r="X9" s="87">
        <f t="shared" si="21"/>
        <v>51220.4</v>
      </c>
      <c r="Y9" s="86">
        <f t="shared" si="22"/>
        <v>21286.400000000001</v>
      </c>
      <c r="Z9" s="87">
        <f t="shared" si="23"/>
        <v>14856.133333333335</v>
      </c>
      <c r="AA9" s="87">
        <f t="shared" si="24"/>
        <v>0</v>
      </c>
      <c r="AB9" s="87">
        <f t="shared" si="25"/>
        <v>0</v>
      </c>
      <c r="AC9" s="87">
        <f t="shared" si="26"/>
        <v>0</v>
      </c>
      <c r="AD9" s="87">
        <f t="shared" si="27"/>
        <v>0</v>
      </c>
      <c r="AE9" s="87">
        <f t="shared" si="28"/>
        <v>0</v>
      </c>
      <c r="AF9" s="87">
        <f t="shared" si="29"/>
        <v>0</v>
      </c>
      <c r="AG9" s="87">
        <f t="shared" si="30"/>
        <v>0</v>
      </c>
      <c r="AH9" s="87">
        <f t="shared" si="31"/>
        <v>0</v>
      </c>
      <c r="AI9" s="87">
        <f t="shared" si="32"/>
        <v>665.2</v>
      </c>
      <c r="AJ9" s="87">
        <f t="shared" si="33"/>
        <v>0</v>
      </c>
      <c r="AK9" s="86">
        <f t="shared" si="34"/>
        <v>0</v>
      </c>
      <c r="AL9" s="21">
        <v>109</v>
      </c>
      <c r="AM9" s="21">
        <v>153</v>
      </c>
      <c r="AN9" s="21">
        <v>117</v>
      </c>
      <c r="AO9" s="21">
        <v>92</v>
      </c>
      <c r="AP9" s="21">
        <v>128</v>
      </c>
      <c r="AQ9" s="42">
        <v>116</v>
      </c>
      <c r="AR9" s="21">
        <v>148</v>
      </c>
      <c r="AS9" s="21">
        <v>127</v>
      </c>
      <c r="AT9" s="21">
        <v>96</v>
      </c>
      <c r="AU9" s="21">
        <v>136</v>
      </c>
      <c r="AV9" s="21">
        <v>129</v>
      </c>
      <c r="AW9" s="21">
        <v>131</v>
      </c>
      <c r="AX9" s="21">
        <v>110</v>
      </c>
      <c r="AY9" s="21">
        <v>78</v>
      </c>
      <c r="AZ9" s="21">
        <v>74</v>
      </c>
      <c r="BA9" s="21">
        <v>173</v>
      </c>
      <c r="BB9" s="21">
        <v>231</v>
      </c>
      <c r="BC9" s="42">
        <v>96</v>
      </c>
      <c r="BD9" s="21">
        <v>67</v>
      </c>
      <c r="BE9" s="21">
        <v>0</v>
      </c>
      <c r="BF9" s="21">
        <v>0</v>
      </c>
      <c r="BG9" s="21">
        <v>0</v>
      </c>
      <c r="BI9" s="21">
        <v>0</v>
      </c>
      <c r="BJ9" s="40">
        <v>0</v>
      </c>
      <c r="BK9" s="40">
        <v>0</v>
      </c>
      <c r="BL9" s="40">
        <v>0</v>
      </c>
      <c r="BM9" s="40">
        <v>3</v>
      </c>
      <c r="BP9" s="21">
        <v>10</v>
      </c>
      <c r="BQ9" s="21">
        <v>24</v>
      </c>
      <c r="BR9" s="21">
        <v>75</v>
      </c>
      <c r="BS9" s="21">
        <v>9</v>
      </c>
      <c r="BT9" s="21">
        <v>16</v>
      </c>
      <c r="BU9" s="42">
        <v>21</v>
      </c>
      <c r="BV9" s="21">
        <v>28</v>
      </c>
      <c r="BW9" s="21">
        <v>10</v>
      </c>
      <c r="BX9" s="21">
        <v>25</v>
      </c>
      <c r="BY9" s="21">
        <v>22</v>
      </c>
      <c r="BZ9" s="21">
        <v>37</v>
      </c>
      <c r="CA9" s="21">
        <v>15</v>
      </c>
      <c r="CB9" s="21">
        <v>11</v>
      </c>
      <c r="CC9" s="21">
        <v>18</v>
      </c>
      <c r="CD9" s="21">
        <v>15</v>
      </c>
      <c r="CE9" s="21">
        <v>59</v>
      </c>
      <c r="CF9" s="21">
        <v>0</v>
      </c>
      <c r="CG9" s="42">
        <v>0</v>
      </c>
      <c r="CH9" s="21">
        <v>0</v>
      </c>
      <c r="CI9" s="21">
        <v>0</v>
      </c>
      <c r="CJ9" s="21">
        <v>0</v>
      </c>
      <c r="CK9" s="21">
        <v>0</v>
      </c>
      <c r="CL9" s="21">
        <v>0</v>
      </c>
      <c r="CM9" s="21">
        <v>0</v>
      </c>
      <c r="CN9" s="21">
        <v>0</v>
      </c>
      <c r="CO9" s="21">
        <v>0</v>
      </c>
      <c r="CP9" s="21">
        <f t="shared" si="64"/>
        <v>0</v>
      </c>
      <c r="CQ9" s="230">
        <f t="shared" si="65"/>
        <v>0</v>
      </c>
      <c r="CT9" s="85">
        <f t="shared" si="35"/>
        <v>119</v>
      </c>
      <c r="CU9" s="85">
        <f t="shared" si="36"/>
        <v>177</v>
      </c>
      <c r="CV9" s="85">
        <f t="shared" si="37"/>
        <v>192</v>
      </c>
      <c r="CW9" s="85">
        <f t="shared" si="38"/>
        <v>101</v>
      </c>
      <c r="CX9" s="85">
        <f t="shared" si="39"/>
        <v>144</v>
      </c>
      <c r="CY9" s="86">
        <f t="shared" si="40"/>
        <v>137</v>
      </c>
      <c r="CZ9" s="87">
        <f t="shared" si="41"/>
        <v>176</v>
      </c>
      <c r="DA9" s="87">
        <f t="shared" si="42"/>
        <v>137</v>
      </c>
      <c r="DB9" s="87">
        <f t="shared" si="43"/>
        <v>121</v>
      </c>
      <c r="DC9" s="87">
        <f t="shared" si="44"/>
        <v>158</v>
      </c>
      <c r="DD9" s="87">
        <f t="shared" si="45"/>
        <v>166</v>
      </c>
      <c r="DE9" s="87">
        <f t="shared" si="46"/>
        <v>146</v>
      </c>
      <c r="DF9" s="87">
        <f t="shared" si="47"/>
        <v>121</v>
      </c>
      <c r="DG9" s="87">
        <f t="shared" si="48"/>
        <v>96</v>
      </c>
      <c r="DH9" s="87">
        <f t="shared" si="49"/>
        <v>89</v>
      </c>
      <c r="DI9" s="87">
        <f t="shared" si="50"/>
        <v>232</v>
      </c>
      <c r="DJ9" s="87">
        <f t="shared" si="51"/>
        <v>231</v>
      </c>
      <c r="DK9" s="86">
        <f t="shared" si="52"/>
        <v>96</v>
      </c>
      <c r="DL9" s="87">
        <f t="shared" si="53"/>
        <v>67</v>
      </c>
      <c r="DM9" s="87">
        <f t="shared" si="54"/>
        <v>0</v>
      </c>
      <c r="DN9" s="87">
        <f t="shared" si="55"/>
        <v>0</v>
      </c>
      <c r="DO9" s="87">
        <f t="shared" si="56"/>
        <v>0</v>
      </c>
      <c r="DP9" s="87">
        <f t="shared" si="57"/>
        <v>0</v>
      </c>
      <c r="DQ9" s="87">
        <f t="shared" si="58"/>
        <v>0</v>
      </c>
      <c r="DR9" s="87">
        <f t="shared" si="59"/>
        <v>0</v>
      </c>
      <c r="DS9" s="87">
        <f t="shared" si="60"/>
        <v>0</v>
      </c>
      <c r="DT9" s="87">
        <f t="shared" si="61"/>
        <v>0</v>
      </c>
      <c r="DU9" s="87">
        <f t="shared" si="66"/>
        <v>3</v>
      </c>
      <c r="DV9" s="87">
        <f t="shared" si="62"/>
        <v>0</v>
      </c>
      <c r="DW9" s="87">
        <f t="shared" si="63"/>
        <v>0</v>
      </c>
    </row>
    <row r="10" spans="1:127">
      <c r="A10" s="22" t="s">
        <v>679</v>
      </c>
      <c r="B10" s="26">
        <v>4987176093370</v>
      </c>
      <c r="C10" s="22" t="s">
        <v>707</v>
      </c>
      <c r="D10" s="22" t="s">
        <v>8</v>
      </c>
      <c r="E10" s="22">
        <v>119307</v>
      </c>
      <c r="F10" s="80" t="s">
        <v>686</v>
      </c>
      <c r="G10" s="25">
        <v>243</v>
      </c>
      <c r="H10" s="85">
        <f t="shared" si="5"/>
        <v>8019</v>
      </c>
      <c r="I10" s="85">
        <f t="shared" si="6"/>
        <v>5832</v>
      </c>
      <c r="J10" s="85">
        <f t="shared" si="7"/>
        <v>972</v>
      </c>
      <c r="K10" s="85">
        <f t="shared" si="8"/>
        <v>3645</v>
      </c>
      <c r="L10" s="85">
        <f t="shared" si="9"/>
        <v>972</v>
      </c>
      <c r="M10" s="86">
        <f t="shared" si="10"/>
        <v>729</v>
      </c>
      <c r="N10" s="87">
        <f t="shared" si="11"/>
        <v>0</v>
      </c>
      <c r="O10" s="87">
        <f t="shared" si="12"/>
        <v>0</v>
      </c>
      <c r="P10" s="87">
        <f t="shared" si="13"/>
        <v>0</v>
      </c>
      <c r="Q10" s="87">
        <f t="shared" si="14"/>
        <v>0</v>
      </c>
      <c r="R10" s="87">
        <f t="shared" si="15"/>
        <v>0</v>
      </c>
      <c r="S10" s="87">
        <f t="shared" si="16"/>
        <v>0</v>
      </c>
      <c r="T10" s="87">
        <f t="shared" si="17"/>
        <v>0</v>
      </c>
      <c r="U10" s="87">
        <f t="shared" si="18"/>
        <v>0</v>
      </c>
      <c r="V10" s="87">
        <f t="shared" si="19"/>
        <v>0</v>
      </c>
      <c r="W10" s="87">
        <f t="shared" si="20"/>
        <v>0</v>
      </c>
      <c r="X10" s="87">
        <f t="shared" si="21"/>
        <v>0</v>
      </c>
      <c r="Y10" s="86">
        <f t="shared" si="22"/>
        <v>0</v>
      </c>
      <c r="Z10" s="87">
        <f t="shared" si="23"/>
        <v>0</v>
      </c>
      <c r="AA10" s="87">
        <f t="shared" si="24"/>
        <v>0</v>
      </c>
      <c r="AB10" s="87">
        <f t="shared" si="25"/>
        <v>0</v>
      </c>
      <c r="AC10" s="87">
        <f t="shared" si="26"/>
        <v>0</v>
      </c>
      <c r="AD10" s="87">
        <f t="shared" si="27"/>
        <v>0</v>
      </c>
      <c r="AE10" s="87">
        <f t="shared" si="28"/>
        <v>0</v>
      </c>
      <c r="AF10" s="87">
        <f t="shared" si="29"/>
        <v>0</v>
      </c>
      <c r="AG10" s="87">
        <f t="shared" si="30"/>
        <v>0</v>
      </c>
      <c r="AH10" s="87">
        <f t="shared" si="31"/>
        <v>0</v>
      </c>
      <c r="AI10" s="87">
        <f t="shared" si="32"/>
        <v>0</v>
      </c>
      <c r="AJ10" s="87">
        <f t="shared" si="33"/>
        <v>0</v>
      </c>
      <c r="AK10" s="86">
        <f t="shared" si="34"/>
        <v>0</v>
      </c>
      <c r="AL10" s="21">
        <v>33</v>
      </c>
      <c r="AM10" s="21">
        <v>24</v>
      </c>
      <c r="AN10" s="21">
        <v>4</v>
      </c>
      <c r="AO10" s="21">
        <v>15</v>
      </c>
      <c r="AP10" s="21">
        <v>4</v>
      </c>
      <c r="AQ10" s="42">
        <v>3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1">
        <v>0</v>
      </c>
      <c r="BA10" s="21">
        <v>0</v>
      </c>
      <c r="BB10" s="21">
        <v>0</v>
      </c>
      <c r="BC10" s="42">
        <v>0</v>
      </c>
      <c r="BD10" s="21">
        <v>0</v>
      </c>
      <c r="BE10" s="21">
        <v>0</v>
      </c>
      <c r="BF10" s="21">
        <v>0</v>
      </c>
      <c r="BG10" s="21">
        <v>0</v>
      </c>
      <c r="BI10" s="21">
        <v>0</v>
      </c>
      <c r="BJ10" s="40">
        <v>0</v>
      </c>
      <c r="BK10" s="40">
        <v>0</v>
      </c>
      <c r="BL10" s="40">
        <v>0</v>
      </c>
      <c r="BM10" s="40">
        <v>0</v>
      </c>
      <c r="BP10" s="21">
        <v>0</v>
      </c>
      <c r="BQ10" s="21">
        <v>0</v>
      </c>
      <c r="BR10" s="21">
        <v>0</v>
      </c>
      <c r="BS10" s="21">
        <v>0</v>
      </c>
      <c r="BT10" s="21">
        <v>0</v>
      </c>
      <c r="BU10" s="42">
        <v>0</v>
      </c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42">
        <v>0</v>
      </c>
      <c r="CH10" s="21">
        <v>0</v>
      </c>
      <c r="CI10" s="21">
        <v>0</v>
      </c>
      <c r="CJ10" s="21">
        <v>0</v>
      </c>
      <c r="CK10" s="21">
        <v>0</v>
      </c>
      <c r="CL10" s="21">
        <v>0</v>
      </c>
      <c r="CM10" s="21">
        <v>0</v>
      </c>
      <c r="CN10" s="21">
        <v>0</v>
      </c>
      <c r="CO10" s="21">
        <v>0</v>
      </c>
      <c r="CP10" s="21">
        <f t="shared" si="64"/>
        <v>0</v>
      </c>
      <c r="CQ10" s="230">
        <f t="shared" si="65"/>
        <v>0</v>
      </c>
      <c r="CT10" s="85">
        <f t="shared" si="35"/>
        <v>33</v>
      </c>
      <c r="CU10" s="85">
        <f t="shared" si="36"/>
        <v>24</v>
      </c>
      <c r="CV10" s="85">
        <f t="shared" si="37"/>
        <v>4</v>
      </c>
      <c r="CW10" s="85">
        <f t="shared" si="38"/>
        <v>15</v>
      </c>
      <c r="CX10" s="85">
        <f t="shared" si="39"/>
        <v>4</v>
      </c>
      <c r="CY10" s="86">
        <f t="shared" si="40"/>
        <v>3</v>
      </c>
      <c r="CZ10" s="87">
        <f t="shared" si="41"/>
        <v>0</v>
      </c>
      <c r="DA10" s="87">
        <f t="shared" si="42"/>
        <v>0</v>
      </c>
      <c r="DB10" s="87">
        <f t="shared" si="43"/>
        <v>0</v>
      </c>
      <c r="DC10" s="87">
        <f t="shared" si="44"/>
        <v>0</v>
      </c>
      <c r="DD10" s="87">
        <f t="shared" si="45"/>
        <v>0</v>
      </c>
      <c r="DE10" s="87">
        <f t="shared" si="46"/>
        <v>0</v>
      </c>
      <c r="DF10" s="87">
        <f t="shared" si="47"/>
        <v>0</v>
      </c>
      <c r="DG10" s="87">
        <f t="shared" si="48"/>
        <v>0</v>
      </c>
      <c r="DH10" s="87">
        <f t="shared" si="49"/>
        <v>0</v>
      </c>
      <c r="DI10" s="87">
        <f t="shared" si="50"/>
        <v>0</v>
      </c>
      <c r="DJ10" s="87">
        <f t="shared" si="51"/>
        <v>0</v>
      </c>
      <c r="DK10" s="86">
        <f t="shared" si="52"/>
        <v>0</v>
      </c>
      <c r="DL10" s="87">
        <f t="shared" si="53"/>
        <v>0</v>
      </c>
      <c r="DM10" s="87">
        <f t="shared" si="54"/>
        <v>0</v>
      </c>
      <c r="DN10" s="87">
        <f t="shared" si="55"/>
        <v>0</v>
      </c>
      <c r="DO10" s="87">
        <f t="shared" si="56"/>
        <v>0</v>
      </c>
      <c r="DP10" s="87">
        <f t="shared" si="57"/>
        <v>0</v>
      </c>
      <c r="DQ10" s="87">
        <f t="shared" si="58"/>
        <v>0</v>
      </c>
      <c r="DR10" s="87">
        <f t="shared" si="59"/>
        <v>0</v>
      </c>
      <c r="DS10" s="87">
        <f t="shared" si="60"/>
        <v>0</v>
      </c>
      <c r="DT10" s="87">
        <f t="shared" si="61"/>
        <v>0</v>
      </c>
      <c r="DU10" s="87">
        <f t="shared" si="66"/>
        <v>0</v>
      </c>
      <c r="DV10" s="87">
        <f t="shared" si="62"/>
        <v>0</v>
      </c>
      <c r="DW10" s="87">
        <f t="shared" si="63"/>
        <v>0</v>
      </c>
    </row>
    <row r="11" spans="1:127">
      <c r="A11" s="22" t="s">
        <v>679</v>
      </c>
      <c r="B11" s="26">
        <v>4902430918015</v>
      </c>
      <c r="C11" s="22" t="s">
        <v>707</v>
      </c>
      <c r="D11" s="22" t="s">
        <v>8</v>
      </c>
      <c r="E11" s="22">
        <v>103747</v>
      </c>
      <c r="F11" s="80" t="s">
        <v>687</v>
      </c>
      <c r="G11" s="25">
        <v>301.51</v>
      </c>
      <c r="H11" s="85">
        <f t="shared" si="5"/>
        <v>65427.67</v>
      </c>
      <c r="I11" s="85">
        <f t="shared" si="6"/>
        <v>42512.909999999996</v>
      </c>
      <c r="J11" s="85">
        <f t="shared" si="7"/>
        <v>124222.12</v>
      </c>
      <c r="K11" s="85">
        <f t="shared" si="8"/>
        <v>41608.379999999997</v>
      </c>
      <c r="L11" s="85">
        <f t="shared" si="9"/>
        <v>84422.8</v>
      </c>
      <c r="M11" s="86">
        <f t="shared" si="10"/>
        <v>146835.37</v>
      </c>
      <c r="N11" s="87">
        <f t="shared" si="11"/>
        <v>86533.37</v>
      </c>
      <c r="O11" s="87">
        <f t="shared" si="12"/>
        <v>83819.78</v>
      </c>
      <c r="P11" s="87">
        <f t="shared" si="13"/>
        <v>66633.709999999992</v>
      </c>
      <c r="Q11" s="87">
        <f t="shared" si="14"/>
        <v>76282.03</v>
      </c>
      <c r="R11" s="87">
        <f t="shared" si="15"/>
        <v>110352.66</v>
      </c>
      <c r="S11" s="87">
        <f t="shared" si="16"/>
        <v>64221.63</v>
      </c>
      <c r="T11" s="87">
        <f t="shared" si="17"/>
        <v>69347.3</v>
      </c>
      <c r="U11" s="87">
        <f t="shared" si="18"/>
        <v>88342.43</v>
      </c>
      <c r="V11" s="87">
        <f t="shared" si="19"/>
        <v>58794.45</v>
      </c>
      <c r="W11" s="87">
        <f t="shared" si="20"/>
        <v>258695.58</v>
      </c>
      <c r="X11" s="87">
        <f t="shared" si="21"/>
        <v>192061.87</v>
      </c>
      <c r="Y11" s="86">
        <f t="shared" si="22"/>
        <v>36181.199999999997</v>
      </c>
      <c r="Z11" s="87">
        <f t="shared" si="23"/>
        <v>32864.589999999997</v>
      </c>
      <c r="AA11" s="87">
        <f t="shared" si="24"/>
        <v>7236.24</v>
      </c>
      <c r="AB11" s="87">
        <f t="shared" si="25"/>
        <v>5427.18</v>
      </c>
      <c r="AC11" s="87">
        <f t="shared" si="26"/>
        <v>0</v>
      </c>
      <c r="AD11" s="87">
        <f t="shared" si="27"/>
        <v>0</v>
      </c>
      <c r="AE11" s="87">
        <f t="shared" si="28"/>
        <v>0</v>
      </c>
      <c r="AF11" s="87">
        <f t="shared" si="29"/>
        <v>0</v>
      </c>
      <c r="AG11" s="87">
        <f t="shared" si="30"/>
        <v>0</v>
      </c>
      <c r="AH11" s="87">
        <f t="shared" si="31"/>
        <v>0</v>
      </c>
      <c r="AI11" s="87">
        <f t="shared" si="32"/>
        <v>0</v>
      </c>
      <c r="AJ11" s="87">
        <f t="shared" si="33"/>
        <v>0</v>
      </c>
      <c r="AK11" s="86">
        <f t="shared" si="34"/>
        <v>0</v>
      </c>
      <c r="AL11" s="21">
        <v>83</v>
      </c>
      <c r="AM11" s="21">
        <v>92</v>
      </c>
      <c r="AN11" s="21">
        <v>69</v>
      </c>
      <c r="AO11" s="21">
        <v>72</v>
      </c>
      <c r="AP11" s="21">
        <v>233</v>
      </c>
      <c r="AQ11" s="42">
        <v>307</v>
      </c>
      <c r="AR11" s="21">
        <v>221</v>
      </c>
      <c r="AS11" s="21">
        <v>236</v>
      </c>
      <c r="AT11" s="21">
        <v>158</v>
      </c>
      <c r="AU11" s="21">
        <v>188</v>
      </c>
      <c r="AV11" s="21">
        <v>245</v>
      </c>
      <c r="AW11" s="21">
        <v>173</v>
      </c>
      <c r="AX11" s="21">
        <v>209</v>
      </c>
      <c r="AY11" s="21">
        <v>167</v>
      </c>
      <c r="AZ11" s="21">
        <v>136</v>
      </c>
      <c r="BA11" s="21">
        <v>156</v>
      </c>
      <c r="BB11" s="21">
        <v>169</v>
      </c>
      <c r="BC11" s="42">
        <v>119</v>
      </c>
      <c r="BD11" s="21">
        <v>109</v>
      </c>
      <c r="BE11" s="21">
        <v>24</v>
      </c>
      <c r="BF11" s="21">
        <v>18</v>
      </c>
      <c r="BG11" s="21">
        <v>0</v>
      </c>
      <c r="BI11" s="21">
        <v>0</v>
      </c>
      <c r="BJ11" s="40">
        <v>0</v>
      </c>
      <c r="BK11" s="40">
        <v>0</v>
      </c>
      <c r="BL11" s="40">
        <v>0</v>
      </c>
      <c r="BM11" s="40">
        <v>0</v>
      </c>
      <c r="BP11" s="21">
        <v>134</v>
      </c>
      <c r="BQ11" s="21">
        <v>49</v>
      </c>
      <c r="BR11" s="21">
        <v>343</v>
      </c>
      <c r="BS11" s="21">
        <v>66</v>
      </c>
      <c r="BT11" s="21">
        <v>47</v>
      </c>
      <c r="BU11" s="42">
        <v>180</v>
      </c>
      <c r="BV11" s="21">
        <v>66</v>
      </c>
      <c r="BW11" s="21">
        <v>42</v>
      </c>
      <c r="BX11" s="21">
        <v>63</v>
      </c>
      <c r="BY11" s="21">
        <v>65</v>
      </c>
      <c r="BZ11" s="21">
        <v>121</v>
      </c>
      <c r="CA11" s="21">
        <v>40</v>
      </c>
      <c r="CB11" s="21">
        <v>21</v>
      </c>
      <c r="CC11" s="21">
        <v>126</v>
      </c>
      <c r="CD11" s="21">
        <v>59</v>
      </c>
      <c r="CE11" s="21">
        <v>702</v>
      </c>
      <c r="CF11" s="21">
        <v>468</v>
      </c>
      <c r="CG11" s="42">
        <v>1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1">
        <f t="shared" si="64"/>
        <v>0</v>
      </c>
      <c r="CQ11" s="230">
        <f t="shared" si="65"/>
        <v>0</v>
      </c>
      <c r="CT11" s="85">
        <f t="shared" si="35"/>
        <v>217</v>
      </c>
      <c r="CU11" s="85">
        <f t="shared" si="36"/>
        <v>141</v>
      </c>
      <c r="CV11" s="85">
        <f t="shared" si="37"/>
        <v>412</v>
      </c>
      <c r="CW11" s="85">
        <f t="shared" si="38"/>
        <v>138</v>
      </c>
      <c r="CX11" s="85">
        <f t="shared" si="39"/>
        <v>280</v>
      </c>
      <c r="CY11" s="86">
        <f t="shared" si="40"/>
        <v>487</v>
      </c>
      <c r="CZ11" s="87">
        <f t="shared" si="41"/>
        <v>287</v>
      </c>
      <c r="DA11" s="87">
        <f t="shared" si="42"/>
        <v>278</v>
      </c>
      <c r="DB11" s="87">
        <f t="shared" si="43"/>
        <v>221</v>
      </c>
      <c r="DC11" s="87">
        <f t="shared" si="44"/>
        <v>253</v>
      </c>
      <c r="DD11" s="87">
        <f t="shared" si="45"/>
        <v>366</v>
      </c>
      <c r="DE11" s="87">
        <f t="shared" si="46"/>
        <v>213</v>
      </c>
      <c r="DF11" s="87">
        <f t="shared" si="47"/>
        <v>230</v>
      </c>
      <c r="DG11" s="87">
        <f t="shared" si="48"/>
        <v>293</v>
      </c>
      <c r="DH11" s="87">
        <f t="shared" si="49"/>
        <v>195</v>
      </c>
      <c r="DI11" s="87">
        <f t="shared" si="50"/>
        <v>858</v>
      </c>
      <c r="DJ11" s="87">
        <f t="shared" si="51"/>
        <v>637</v>
      </c>
      <c r="DK11" s="86">
        <f t="shared" si="52"/>
        <v>120</v>
      </c>
      <c r="DL11" s="87">
        <f t="shared" si="53"/>
        <v>109</v>
      </c>
      <c r="DM11" s="87">
        <f t="shared" si="54"/>
        <v>24</v>
      </c>
      <c r="DN11" s="87">
        <f t="shared" si="55"/>
        <v>18</v>
      </c>
      <c r="DO11" s="87">
        <f t="shared" si="56"/>
        <v>0</v>
      </c>
      <c r="DP11" s="87">
        <f t="shared" si="57"/>
        <v>0</v>
      </c>
      <c r="DQ11" s="87">
        <f t="shared" si="58"/>
        <v>0</v>
      </c>
      <c r="DR11" s="87">
        <f t="shared" si="59"/>
        <v>0</v>
      </c>
      <c r="DS11" s="87">
        <f t="shared" si="60"/>
        <v>0</v>
      </c>
      <c r="DT11" s="87">
        <f t="shared" si="61"/>
        <v>0</v>
      </c>
      <c r="DU11" s="87">
        <f t="shared" si="66"/>
        <v>0</v>
      </c>
      <c r="DV11" s="87">
        <f t="shared" si="62"/>
        <v>0</v>
      </c>
      <c r="DW11" s="87">
        <f t="shared" si="63"/>
        <v>0</v>
      </c>
    </row>
    <row r="12" spans="1:127">
      <c r="A12" s="22" t="s">
        <v>679</v>
      </c>
      <c r="B12" s="26">
        <v>4902430918022</v>
      </c>
      <c r="C12" s="22" t="s">
        <v>707</v>
      </c>
      <c r="D12" s="22" t="s">
        <v>8</v>
      </c>
      <c r="E12" s="22">
        <v>103748</v>
      </c>
      <c r="F12" s="80" t="s">
        <v>667</v>
      </c>
      <c r="G12" s="25">
        <v>301.51</v>
      </c>
      <c r="H12" s="85">
        <f t="shared" si="5"/>
        <v>59095.96</v>
      </c>
      <c r="I12" s="85">
        <f t="shared" si="6"/>
        <v>56382.369999999995</v>
      </c>
      <c r="J12" s="85">
        <f t="shared" si="7"/>
        <v>71759.38</v>
      </c>
      <c r="K12" s="85">
        <f t="shared" si="8"/>
        <v>54874.82</v>
      </c>
      <c r="L12" s="85">
        <f t="shared" si="9"/>
        <v>128443.26</v>
      </c>
      <c r="M12" s="86">
        <f t="shared" si="10"/>
        <v>202614.72</v>
      </c>
      <c r="N12" s="87">
        <f t="shared" si="11"/>
        <v>147136.88</v>
      </c>
      <c r="O12" s="87">
        <f t="shared" si="12"/>
        <v>134774.97</v>
      </c>
      <c r="P12" s="87">
        <f t="shared" si="13"/>
        <v>116081.34999999999</v>
      </c>
      <c r="Q12" s="87">
        <f t="shared" si="14"/>
        <v>128443.26</v>
      </c>
      <c r="R12" s="87">
        <f t="shared" si="15"/>
        <v>185428.65</v>
      </c>
      <c r="S12" s="87">
        <f t="shared" si="16"/>
        <v>126332.69</v>
      </c>
      <c r="T12" s="87">
        <f t="shared" si="17"/>
        <v>110352.66</v>
      </c>
      <c r="U12" s="87">
        <f t="shared" si="18"/>
        <v>113367.76</v>
      </c>
      <c r="V12" s="87">
        <f t="shared" si="19"/>
        <v>86834.880000000005</v>
      </c>
      <c r="W12" s="87">
        <f t="shared" si="20"/>
        <v>303620.57</v>
      </c>
      <c r="X12" s="87">
        <f t="shared" si="21"/>
        <v>486335.63</v>
      </c>
      <c r="Y12" s="86">
        <f t="shared" si="22"/>
        <v>149850.47</v>
      </c>
      <c r="Z12" s="87">
        <f t="shared" si="23"/>
        <v>42211.4</v>
      </c>
      <c r="AA12" s="87">
        <f t="shared" si="24"/>
        <v>7839.26</v>
      </c>
      <c r="AB12" s="87">
        <f t="shared" si="25"/>
        <v>2412.08</v>
      </c>
      <c r="AC12" s="87">
        <f t="shared" si="26"/>
        <v>301.51</v>
      </c>
      <c r="AD12" s="87">
        <f t="shared" si="27"/>
        <v>301.51</v>
      </c>
      <c r="AE12" s="87">
        <f t="shared" si="28"/>
        <v>301.51</v>
      </c>
      <c r="AF12" s="87">
        <f t="shared" si="29"/>
        <v>0</v>
      </c>
      <c r="AG12" s="87">
        <f t="shared" si="30"/>
        <v>0</v>
      </c>
      <c r="AH12" s="87">
        <f t="shared" si="31"/>
        <v>301.51</v>
      </c>
      <c r="AI12" s="87">
        <f t="shared" si="32"/>
        <v>0</v>
      </c>
      <c r="AJ12" s="87">
        <f t="shared" si="33"/>
        <v>0</v>
      </c>
      <c r="AK12" s="86">
        <f t="shared" si="34"/>
        <v>0</v>
      </c>
      <c r="AL12" s="21">
        <v>104</v>
      </c>
      <c r="AM12" s="21">
        <v>136</v>
      </c>
      <c r="AN12" s="21">
        <v>109</v>
      </c>
      <c r="AO12" s="21">
        <v>119</v>
      </c>
      <c r="AP12" s="21">
        <v>355</v>
      </c>
      <c r="AQ12" s="42">
        <v>532</v>
      </c>
      <c r="AR12" s="21">
        <v>392</v>
      </c>
      <c r="AS12" s="21">
        <v>391</v>
      </c>
      <c r="AT12" s="21">
        <v>297</v>
      </c>
      <c r="AU12" s="21">
        <v>348</v>
      </c>
      <c r="AV12" s="21">
        <v>468</v>
      </c>
      <c r="AW12" s="21">
        <v>386</v>
      </c>
      <c r="AX12" s="21">
        <v>339</v>
      </c>
      <c r="AY12" s="21">
        <v>286</v>
      </c>
      <c r="AZ12" s="21">
        <v>224</v>
      </c>
      <c r="BA12" s="21">
        <v>261</v>
      </c>
      <c r="BB12" s="21">
        <v>322</v>
      </c>
      <c r="BC12" s="42">
        <v>216</v>
      </c>
      <c r="BD12" s="21">
        <v>140</v>
      </c>
      <c r="BE12" s="21">
        <v>26</v>
      </c>
      <c r="BF12" s="21">
        <v>8</v>
      </c>
      <c r="BG12" s="21">
        <v>1</v>
      </c>
      <c r="BH12" s="21">
        <v>1</v>
      </c>
      <c r="BI12" s="21">
        <v>1</v>
      </c>
      <c r="BJ12" s="40">
        <v>0</v>
      </c>
      <c r="BK12" s="40">
        <v>0</v>
      </c>
      <c r="BL12" s="40">
        <v>1</v>
      </c>
      <c r="BM12" s="40">
        <v>0</v>
      </c>
      <c r="BP12" s="21">
        <v>92</v>
      </c>
      <c r="BQ12" s="21">
        <v>51</v>
      </c>
      <c r="BR12" s="21">
        <v>129</v>
      </c>
      <c r="BS12" s="21">
        <v>63</v>
      </c>
      <c r="BT12" s="21">
        <v>71</v>
      </c>
      <c r="BU12" s="42">
        <v>140</v>
      </c>
      <c r="BV12" s="21">
        <v>96</v>
      </c>
      <c r="BW12" s="21">
        <v>56</v>
      </c>
      <c r="BX12" s="21">
        <v>88</v>
      </c>
      <c r="BY12" s="21">
        <v>78</v>
      </c>
      <c r="BZ12" s="21">
        <v>147</v>
      </c>
      <c r="CA12" s="21">
        <v>33</v>
      </c>
      <c r="CB12" s="21">
        <v>27</v>
      </c>
      <c r="CC12" s="21">
        <v>90</v>
      </c>
      <c r="CD12" s="21">
        <v>64</v>
      </c>
      <c r="CE12" s="21">
        <v>746</v>
      </c>
      <c r="CF12" s="21">
        <v>1291</v>
      </c>
      <c r="CG12" s="42">
        <v>281</v>
      </c>
      <c r="CH12" s="21">
        <v>0</v>
      </c>
      <c r="CI12" s="21">
        <v>0</v>
      </c>
      <c r="CJ12" s="21">
        <v>0</v>
      </c>
      <c r="CK12" s="21">
        <v>0</v>
      </c>
      <c r="CL12" s="21">
        <v>0</v>
      </c>
      <c r="CM12" s="21">
        <v>0</v>
      </c>
      <c r="CN12" s="21">
        <v>0</v>
      </c>
      <c r="CO12" s="21">
        <v>0</v>
      </c>
      <c r="CP12" s="21">
        <f t="shared" si="64"/>
        <v>0</v>
      </c>
      <c r="CQ12" s="230">
        <f t="shared" si="65"/>
        <v>0</v>
      </c>
      <c r="CT12" s="85">
        <f t="shared" si="35"/>
        <v>196</v>
      </c>
      <c r="CU12" s="85">
        <f t="shared" si="36"/>
        <v>187</v>
      </c>
      <c r="CV12" s="85">
        <f t="shared" si="37"/>
        <v>238</v>
      </c>
      <c r="CW12" s="85">
        <f t="shared" si="38"/>
        <v>182</v>
      </c>
      <c r="CX12" s="85">
        <f t="shared" si="39"/>
        <v>426</v>
      </c>
      <c r="CY12" s="86">
        <f t="shared" si="40"/>
        <v>672</v>
      </c>
      <c r="CZ12" s="87">
        <f t="shared" si="41"/>
        <v>488</v>
      </c>
      <c r="DA12" s="87">
        <f t="shared" si="42"/>
        <v>447</v>
      </c>
      <c r="DB12" s="87">
        <f t="shared" si="43"/>
        <v>385</v>
      </c>
      <c r="DC12" s="87">
        <f t="shared" si="44"/>
        <v>426</v>
      </c>
      <c r="DD12" s="87">
        <f t="shared" si="45"/>
        <v>615</v>
      </c>
      <c r="DE12" s="87">
        <f t="shared" si="46"/>
        <v>419</v>
      </c>
      <c r="DF12" s="87">
        <f t="shared" si="47"/>
        <v>366</v>
      </c>
      <c r="DG12" s="87">
        <f t="shared" si="48"/>
        <v>376</v>
      </c>
      <c r="DH12" s="87">
        <f t="shared" si="49"/>
        <v>288</v>
      </c>
      <c r="DI12" s="87">
        <f t="shared" si="50"/>
        <v>1007</v>
      </c>
      <c r="DJ12" s="87">
        <f t="shared" si="51"/>
        <v>1613</v>
      </c>
      <c r="DK12" s="86">
        <f t="shared" si="52"/>
        <v>497</v>
      </c>
      <c r="DL12" s="87">
        <f t="shared" si="53"/>
        <v>140</v>
      </c>
      <c r="DM12" s="87">
        <f t="shared" si="54"/>
        <v>26</v>
      </c>
      <c r="DN12" s="87">
        <f t="shared" si="55"/>
        <v>8</v>
      </c>
      <c r="DO12" s="87">
        <f t="shared" si="56"/>
        <v>1</v>
      </c>
      <c r="DP12" s="87">
        <f t="shared" si="57"/>
        <v>1</v>
      </c>
      <c r="DQ12" s="87">
        <f t="shared" si="58"/>
        <v>1</v>
      </c>
      <c r="DR12" s="87">
        <f t="shared" si="59"/>
        <v>0</v>
      </c>
      <c r="DS12" s="87">
        <f t="shared" si="60"/>
        <v>0</v>
      </c>
      <c r="DT12" s="87">
        <f t="shared" si="61"/>
        <v>1</v>
      </c>
      <c r="DU12" s="87">
        <f t="shared" si="66"/>
        <v>0</v>
      </c>
      <c r="DV12" s="87">
        <f t="shared" si="62"/>
        <v>0</v>
      </c>
      <c r="DW12" s="87">
        <f t="shared" si="63"/>
        <v>0</v>
      </c>
    </row>
    <row r="13" spans="1:127">
      <c r="A13" s="22" t="s">
        <v>679</v>
      </c>
      <c r="B13" s="26">
        <v>4902430918039</v>
      </c>
      <c r="C13" s="22" t="s">
        <v>707</v>
      </c>
      <c r="D13" s="22" t="s">
        <v>8</v>
      </c>
      <c r="E13" s="22">
        <v>103749</v>
      </c>
      <c r="F13" s="80" t="s">
        <v>688</v>
      </c>
      <c r="G13" s="25">
        <v>301.51</v>
      </c>
      <c r="H13" s="85">
        <f t="shared" si="5"/>
        <v>66332.2</v>
      </c>
      <c r="I13" s="85">
        <f t="shared" si="6"/>
        <v>78995.62</v>
      </c>
      <c r="J13" s="85">
        <f t="shared" si="7"/>
        <v>95277.16</v>
      </c>
      <c r="K13" s="85">
        <f t="shared" si="8"/>
        <v>104322.45999999999</v>
      </c>
      <c r="L13" s="85">
        <f t="shared" si="9"/>
        <v>204423.78</v>
      </c>
      <c r="M13" s="86">
        <f t="shared" si="10"/>
        <v>347339.52000000002</v>
      </c>
      <c r="N13" s="87">
        <f t="shared" si="11"/>
        <v>198695.09</v>
      </c>
      <c r="O13" s="87">
        <f t="shared" si="12"/>
        <v>185428.65</v>
      </c>
      <c r="P13" s="87">
        <f t="shared" si="13"/>
        <v>137488.56</v>
      </c>
      <c r="Q13" s="87">
        <f t="shared" si="14"/>
        <v>186333.18</v>
      </c>
      <c r="R13" s="87">
        <f t="shared" si="15"/>
        <v>242112.53</v>
      </c>
      <c r="S13" s="87">
        <f t="shared" si="16"/>
        <v>133267.41999999998</v>
      </c>
      <c r="T13" s="87">
        <f t="shared" si="17"/>
        <v>121810.04</v>
      </c>
      <c r="U13" s="87">
        <f t="shared" si="18"/>
        <v>141106.68</v>
      </c>
      <c r="V13" s="87">
        <f t="shared" si="19"/>
        <v>122413.06</v>
      </c>
      <c r="W13" s="87">
        <f t="shared" si="20"/>
        <v>658799.35</v>
      </c>
      <c r="X13" s="87">
        <f t="shared" si="21"/>
        <v>404927.93</v>
      </c>
      <c r="Y13" s="86">
        <f t="shared" si="22"/>
        <v>113970.78</v>
      </c>
      <c r="Z13" s="87">
        <f t="shared" si="23"/>
        <v>40402.339999999997</v>
      </c>
      <c r="AA13" s="87">
        <f t="shared" si="24"/>
        <v>6030.2</v>
      </c>
      <c r="AB13" s="87">
        <f t="shared" si="25"/>
        <v>1809.06</v>
      </c>
      <c r="AC13" s="87">
        <f t="shared" si="26"/>
        <v>0</v>
      </c>
      <c r="AD13" s="87">
        <f t="shared" si="27"/>
        <v>0</v>
      </c>
      <c r="AE13" s="87">
        <f t="shared" si="28"/>
        <v>0</v>
      </c>
      <c r="AF13" s="87">
        <f t="shared" si="29"/>
        <v>0</v>
      </c>
      <c r="AG13" s="87">
        <f t="shared" si="30"/>
        <v>0</v>
      </c>
      <c r="AH13" s="87">
        <f t="shared" si="31"/>
        <v>0</v>
      </c>
      <c r="AI13" s="87">
        <f t="shared" si="32"/>
        <v>0</v>
      </c>
      <c r="AJ13" s="87">
        <f t="shared" si="33"/>
        <v>0</v>
      </c>
      <c r="AK13" s="86">
        <f t="shared" si="34"/>
        <v>0</v>
      </c>
      <c r="AL13" s="21">
        <v>108</v>
      </c>
      <c r="AM13" s="21">
        <v>162</v>
      </c>
      <c r="AN13" s="21">
        <v>156</v>
      </c>
      <c r="AO13" s="21">
        <v>227</v>
      </c>
      <c r="AP13" s="21">
        <v>590</v>
      </c>
      <c r="AQ13" s="42">
        <v>887</v>
      </c>
      <c r="AR13" s="21">
        <v>524</v>
      </c>
      <c r="AS13" s="21">
        <v>507</v>
      </c>
      <c r="AT13" s="21">
        <v>337</v>
      </c>
      <c r="AU13" s="21">
        <v>473</v>
      </c>
      <c r="AV13" s="21">
        <v>574</v>
      </c>
      <c r="AW13" s="21">
        <v>391</v>
      </c>
      <c r="AX13" s="21">
        <v>358</v>
      </c>
      <c r="AY13" s="21">
        <v>325</v>
      </c>
      <c r="AZ13" s="21">
        <v>317</v>
      </c>
      <c r="BA13" s="21">
        <v>388</v>
      </c>
      <c r="BB13" s="21">
        <v>621</v>
      </c>
      <c r="BC13" s="42">
        <v>378</v>
      </c>
      <c r="BD13" s="21">
        <v>134</v>
      </c>
      <c r="BE13" s="21">
        <v>20</v>
      </c>
      <c r="BF13" s="21">
        <v>6</v>
      </c>
      <c r="BG13" s="21">
        <v>0</v>
      </c>
      <c r="BI13" s="21">
        <v>0</v>
      </c>
      <c r="BJ13" s="40">
        <v>0</v>
      </c>
      <c r="BK13" s="40">
        <v>0</v>
      </c>
      <c r="BL13" s="40">
        <v>0</v>
      </c>
      <c r="BM13" s="40">
        <v>0</v>
      </c>
      <c r="BP13" s="21">
        <v>112</v>
      </c>
      <c r="BQ13" s="21">
        <v>100</v>
      </c>
      <c r="BR13" s="21">
        <v>160</v>
      </c>
      <c r="BS13" s="21">
        <v>119</v>
      </c>
      <c r="BT13" s="21">
        <v>88</v>
      </c>
      <c r="BU13" s="42">
        <v>265</v>
      </c>
      <c r="BV13" s="21">
        <v>135</v>
      </c>
      <c r="BW13" s="21">
        <v>108</v>
      </c>
      <c r="BX13" s="21">
        <v>119</v>
      </c>
      <c r="BY13" s="21">
        <v>145</v>
      </c>
      <c r="BZ13" s="21">
        <v>229</v>
      </c>
      <c r="CA13" s="21">
        <v>51</v>
      </c>
      <c r="CB13" s="21">
        <v>46</v>
      </c>
      <c r="CC13" s="21">
        <v>143</v>
      </c>
      <c r="CD13" s="21">
        <v>89</v>
      </c>
      <c r="CE13" s="21">
        <v>1797</v>
      </c>
      <c r="CF13" s="21">
        <v>722</v>
      </c>
      <c r="CG13" s="42">
        <v>0</v>
      </c>
      <c r="CH13" s="21">
        <v>0</v>
      </c>
      <c r="CI13" s="21">
        <v>0</v>
      </c>
      <c r="CJ13" s="21">
        <v>0</v>
      </c>
      <c r="CK13" s="21">
        <v>0</v>
      </c>
      <c r="CL13" s="21">
        <v>0</v>
      </c>
      <c r="CM13" s="21">
        <v>0</v>
      </c>
      <c r="CN13" s="21">
        <v>0</v>
      </c>
      <c r="CO13" s="21">
        <v>0</v>
      </c>
      <c r="CP13" s="21">
        <f t="shared" si="64"/>
        <v>0</v>
      </c>
      <c r="CQ13" s="230">
        <f t="shared" si="65"/>
        <v>0</v>
      </c>
      <c r="CT13" s="85">
        <f t="shared" si="35"/>
        <v>220</v>
      </c>
      <c r="CU13" s="85">
        <f t="shared" si="36"/>
        <v>262</v>
      </c>
      <c r="CV13" s="85">
        <f t="shared" si="37"/>
        <v>316</v>
      </c>
      <c r="CW13" s="85">
        <f t="shared" si="38"/>
        <v>346</v>
      </c>
      <c r="CX13" s="85">
        <f t="shared" si="39"/>
        <v>678</v>
      </c>
      <c r="CY13" s="86">
        <f t="shared" si="40"/>
        <v>1152</v>
      </c>
      <c r="CZ13" s="87">
        <f t="shared" si="41"/>
        <v>659</v>
      </c>
      <c r="DA13" s="87">
        <f t="shared" si="42"/>
        <v>615</v>
      </c>
      <c r="DB13" s="87">
        <f t="shared" si="43"/>
        <v>456</v>
      </c>
      <c r="DC13" s="87">
        <f t="shared" si="44"/>
        <v>618</v>
      </c>
      <c r="DD13" s="87">
        <f t="shared" si="45"/>
        <v>803</v>
      </c>
      <c r="DE13" s="87">
        <f t="shared" si="46"/>
        <v>442</v>
      </c>
      <c r="DF13" s="87">
        <f t="shared" si="47"/>
        <v>404</v>
      </c>
      <c r="DG13" s="87">
        <f t="shared" si="48"/>
        <v>468</v>
      </c>
      <c r="DH13" s="87">
        <f t="shared" si="49"/>
        <v>406</v>
      </c>
      <c r="DI13" s="87">
        <f t="shared" si="50"/>
        <v>2185</v>
      </c>
      <c r="DJ13" s="87">
        <f t="shared" si="51"/>
        <v>1343</v>
      </c>
      <c r="DK13" s="86">
        <f t="shared" si="52"/>
        <v>378</v>
      </c>
      <c r="DL13" s="87">
        <f t="shared" si="53"/>
        <v>134</v>
      </c>
      <c r="DM13" s="87">
        <f t="shared" si="54"/>
        <v>20</v>
      </c>
      <c r="DN13" s="87">
        <f t="shared" si="55"/>
        <v>6</v>
      </c>
      <c r="DO13" s="87">
        <f t="shared" si="56"/>
        <v>0</v>
      </c>
      <c r="DP13" s="87">
        <f t="shared" si="57"/>
        <v>0</v>
      </c>
      <c r="DQ13" s="87">
        <f t="shared" si="58"/>
        <v>0</v>
      </c>
      <c r="DR13" s="87">
        <f t="shared" si="59"/>
        <v>0</v>
      </c>
      <c r="DS13" s="87">
        <f t="shared" si="60"/>
        <v>0</v>
      </c>
      <c r="DT13" s="87">
        <f t="shared" si="61"/>
        <v>0</v>
      </c>
      <c r="DU13" s="87">
        <f t="shared" si="66"/>
        <v>0</v>
      </c>
      <c r="DV13" s="87">
        <f t="shared" si="62"/>
        <v>0</v>
      </c>
      <c r="DW13" s="87">
        <f t="shared" si="63"/>
        <v>0</v>
      </c>
    </row>
    <row r="14" spans="1:127">
      <c r="A14" s="22" t="s">
        <v>679</v>
      </c>
      <c r="B14" s="26">
        <v>4987176092724</v>
      </c>
      <c r="C14" s="22" t="s">
        <v>707</v>
      </c>
      <c r="D14" s="22" t="s">
        <v>82</v>
      </c>
      <c r="E14" s="22">
        <v>119257</v>
      </c>
      <c r="F14" s="80" t="s">
        <v>668</v>
      </c>
      <c r="G14" s="25">
        <v>242</v>
      </c>
      <c r="H14" s="85">
        <f t="shared" si="5"/>
        <v>27104</v>
      </c>
      <c r="I14" s="85">
        <f t="shared" si="6"/>
        <v>41382</v>
      </c>
      <c r="J14" s="85">
        <f t="shared" si="7"/>
        <v>39204</v>
      </c>
      <c r="K14" s="85">
        <f t="shared" si="8"/>
        <v>28556</v>
      </c>
      <c r="L14" s="85">
        <f t="shared" si="9"/>
        <v>54692</v>
      </c>
      <c r="M14" s="86">
        <f t="shared" si="10"/>
        <v>112530</v>
      </c>
      <c r="N14" s="87">
        <f t="shared" si="11"/>
        <v>45738</v>
      </c>
      <c r="O14" s="87">
        <f t="shared" si="12"/>
        <v>61710</v>
      </c>
      <c r="P14" s="87">
        <f t="shared" si="13"/>
        <v>63888</v>
      </c>
      <c r="Q14" s="87">
        <f t="shared" si="14"/>
        <v>32428</v>
      </c>
      <c r="R14" s="87">
        <f t="shared" si="15"/>
        <v>69454</v>
      </c>
      <c r="S14" s="87">
        <f t="shared" si="16"/>
        <v>47190</v>
      </c>
      <c r="T14" s="87">
        <f t="shared" si="17"/>
        <v>42108</v>
      </c>
      <c r="U14" s="87">
        <f t="shared" si="18"/>
        <v>65582</v>
      </c>
      <c r="V14" s="87">
        <f t="shared" si="19"/>
        <v>48400</v>
      </c>
      <c r="W14" s="87">
        <f t="shared" si="20"/>
        <v>41866</v>
      </c>
      <c r="X14" s="87">
        <f t="shared" si="21"/>
        <v>136488</v>
      </c>
      <c r="Y14" s="86">
        <f t="shared" si="22"/>
        <v>66550</v>
      </c>
      <c r="Z14" s="87">
        <f t="shared" si="23"/>
        <v>68970</v>
      </c>
      <c r="AA14" s="87">
        <f t="shared" si="24"/>
        <v>60258</v>
      </c>
      <c r="AB14" s="87">
        <f t="shared" si="25"/>
        <v>177386</v>
      </c>
      <c r="AC14" s="87">
        <f t="shared" si="26"/>
        <v>104060</v>
      </c>
      <c r="AD14" s="87">
        <f t="shared" si="27"/>
        <v>105512</v>
      </c>
      <c r="AE14" s="87">
        <f t="shared" si="28"/>
        <v>102850</v>
      </c>
      <c r="AF14" s="87">
        <f t="shared" si="29"/>
        <v>61952</v>
      </c>
      <c r="AG14" s="87">
        <f t="shared" si="30"/>
        <v>76472</v>
      </c>
      <c r="AH14" s="87">
        <f t="shared" si="31"/>
        <v>71874</v>
      </c>
      <c r="AI14" s="87">
        <f t="shared" si="32"/>
        <v>101747.55555555556</v>
      </c>
      <c r="AJ14" s="87">
        <f t="shared" si="33"/>
        <v>0</v>
      </c>
      <c r="AK14" s="86">
        <f t="shared" si="34"/>
        <v>0</v>
      </c>
      <c r="AL14" s="21">
        <v>77</v>
      </c>
      <c r="AM14" s="21">
        <v>107</v>
      </c>
      <c r="AN14" s="21">
        <v>78</v>
      </c>
      <c r="AO14" s="21">
        <v>82</v>
      </c>
      <c r="AP14" s="21">
        <v>131</v>
      </c>
      <c r="AQ14" s="42">
        <v>151</v>
      </c>
      <c r="AR14" s="21">
        <v>139</v>
      </c>
      <c r="AS14" s="21">
        <v>209</v>
      </c>
      <c r="AT14" s="21">
        <v>126</v>
      </c>
      <c r="AU14" s="21">
        <v>118</v>
      </c>
      <c r="AV14" s="21">
        <v>194</v>
      </c>
      <c r="AW14" s="21">
        <v>180</v>
      </c>
      <c r="AX14" s="21">
        <v>164</v>
      </c>
      <c r="AY14" s="21">
        <v>203</v>
      </c>
      <c r="AZ14" s="21">
        <v>160</v>
      </c>
      <c r="BA14" s="21">
        <v>144</v>
      </c>
      <c r="BB14" s="21">
        <v>294</v>
      </c>
      <c r="BC14" s="42">
        <v>228</v>
      </c>
      <c r="BD14" s="21">
        <v>264</v>
      </c>
      <c r="BE14" s="21">
        <v>212</v>
      </c>
      <c r="BF14" s="21">
        <v>200</v>
      </c>
      <c r="BG14" s="21">
        <v>356</v>
      </c>
      <c r="BH14" s="21">
        <v>273</v>
      </c>
      <c r="BI14" s="21">
        <v>386</v>
      </c>
      <c r="BJ14" s="40">
        <v>224</v>
      </c>
      <c r="BK14" s="40">
        <v>300</v>
      </c>
      <c r="BL14" s="40">
        <v>281</v>
      </c>
      <c r="BM14" s="40">
        <v>317</v>
      </c>
      <c r="BP14" s="21">
        <v>35</v>
      </c>
      <c r="BQ14" s="21">
        <v>64</v>
      </c>
      <c r="BR14" s="21">
        <v>84</v>
      </c>
      <c r="BS14" s="21">
        <v>36</v>
      </c>
      <c r="BT14" s="21">
        <v>95</v>
      </c>
      <c r="BU14" s="42">
        <v>314</v>
      </c>
      <c r="BV14" s="21">
        <v>50</v>
      </c>
      <c r="BW14" s="21">
        <v>46</v>
      </c>
      <c r="BX14" s="21">
        <v>138</v>
      </c>
      <c r="BY14" s="21">
        <v>16</v>
      </c>
      <c r="BZ14" s="21">
        <v>93</v>
      </c>
      <c r="CA14" s="21">
        <v>15</v>
      </c>
      <c r="CB14" s="21">
        <v>10</v>
      </c>
      <c r="CC14" s="21">
        <v>68</v>
      </c>
      <c r="CD14" s="21">
        <v>40</v>
      </c>
      <c r="CE14" s="21">
        <v>29</v>
      </c>
      <c r="CF14" s="21">
        <v>270</v>
      </c>
      <c r="CG14" s="42">
        <v>47</v>
      </c>
      <c r="CH14" s="21">
        <v>21</v>
      </c>
      <c r="CI14" s="21">
        <v>37</v>
      </c>
      <c r="CJ14" s="21">
        <v>533</v>
      </c>
      <c r="CK14" s="21">
        <v>74</v>
      </c>
      <c r="CL14" s="21">
        <v>163</v>
      </c>
      <c r="CM14" s="21">
        <v>39</v>
      </c>
      <c r="CN14" s="21">
        <v>32</v>
      </c>
      <c r="CO14" s="21">
        <v>16</v>
      </c>
      <c r="CP14" s="21">
        <f t="shared" si="64"/>
        <v>16</v>
      </c>
      <c r="CQ14" s="230">
        <f t="shared" si="65"/>
        <v>103.44444444444444</v>
      </c>
      <c r="CT14" s="85">
        <f t="shared" si="35"/>
        <v>112</v>
      </c>
      <c r="CU14" s="85">
        <f t="shared" si="36"/>
        <v>171</v>
      </c>
      <c r="CV14" s="85">
        <f t="shared" si="37"/>
        <v>162</v>
      </c>
      <c r="CW14" s="85">
        <f t="shared" si="38"/>
        <v>118</v>
      </c>
      <c r="CX14" s="85">
        <f t="shared" si="39"/>
        <v>226</v>
      </c>
      <c r="CY14" s="86">
        <f t="shared" si="40"/>
        <v>465</v>
      </c>
      <c r="CZ14" s="87">
        <f t="shared" si="41"/>
        <v>189</v>
      </c>
      <c r="DA14" s="87">
        <f t="shared" si="42"/>
        <v>255</v>
      </c>
      <c r="DB14" s="87">
        <f t="shared" si="43"/>
        <v>264</v>
      </c>
      <c r="DC14" s="87">
        <f t="shared" si="44"/>
        <v>134</v>
      </c>
      <c r="DD14" s="87">
        <f t="shared" si="45"/>
        <v>287</v>
      </c>
      <c r="DE14" s="87">
        <f t="shared" si="46"/>
        <v>195</v>
      </c>
      <c r="DF14" s="87">
        <f t="shared" si="47"/>
        <v>174</v>
      </c>
      <c r="DG14" s="87">
        <f t="shared" si="48"/>
        <v>271</v>
      </c>
      <c r="DH14" s="87">
        <f t="shared" si="49"/>
        <v>200</v>
      </c>
      <c r="DI14" s="87">
        <f t="shared" si="50"/>
        <v>173</v>
      </c>
      <c r="DJ14" s="87">
        <f t="shared" si="51"/>
        <v>564</v>
      </c>
      <c r="DK14" s="86">
        <f t="shared" si="52"/>
        <v>275</v>
      </c>
      <c r="DL14" s="87">
        <f t="shared" si="53"/>
        <v>285</v>
      </c>
      <c r="DM14" s="87">
        <f t="shared" si="54"/>
        <v>249</v>
      </c>
      <c r="DN14" s="87">
        <f t="shared" si="55"/>
        <v>733</v>
      </c>
      <c r="DO14" s="87">
        <f t="shared" si="56"/>
        <v>430</v>
      </c>
      <c r="DP14" s="87">
        <f t="shared" si="57"/>
        <v>436</v>
      </c>
      <c r="DQ14" s="87">
        <f t="shared" si="58"/>
        <v>425</v>
      </c>
      <c r="DR14" s="87">
        <f t="shared" si="59"/>
        <v>256</v>
      </c>
      <c r="DS14" s="87">
        <f t="shared" si="60"/>
        <v>316</v>
      </c>
      <c r="DT14" s="87">
        <f t="shared" si="61"/>
        <v>297</v>
      </c>
      <c r="DU14" s="87">
        <f t="shared" si="66"/>
        <v>420.44444444444446</v>
      </c>
      <c r="DV14" s="87">
        <f t="shared" si="62"/>
        <v>0</v>
      </c>
      <c r="DW14" s="87">
        <f t="shared" si="63"/>
        <v>0</v>
      </c>
    </row>
    <row r="15" spans="1:127">
      <c r="A15" s="22" t="s">
        <v>679</v>
      </c>
      <c r="B15" s="26">
        <v>4987176092731</v>
      </c>
      <c r="C15" s="22" t="s">
        <v>707</v>
      </c>
      <c r="D15" s="22" t="s">
        <v>82</v>
      </c>
      <c r="E15" s="22">
        <v>119251</v>
      </c>
      <c r="F15" s="80" t="s">
        <v>669</v>
      </c>
      <c r="G15" s="25">
        <v>242</v>
      </c>
      <c r="H15" s="85">
        <f t="shared" si="5"/>
        <v>62194</v>
      </c>
      <c r="I15" s="85">
        <f t="shared" si="6"/>
        <v>89056</v>
      </c>
      <c r="J15" s="85">
        <f t="shared" si="7"/>
        <v>93654</v>
      </c>
      <c r="K15" s="85">
        <f t="shared" si="8"/>
        <v>72116</v>
      </c>
      <c r="L15" s="85">
        <f t="shared" si="9"/>
        <v>101398</v>
      </c>
      <c r="M15" s="86">
        <f t="shared" si="10"/>
        <v>180290</v>
      </c>
      <c r="N15" s="87">
        <f t="shared" si="11"/>
        <v>65340</v>
      </c>
      <c r="O15" s="87">
        <f t="shared" si="12"/>
        <v>76230</v>
      </c>
      <c r="P15" s="87">
        <f t="shared" si="13"/>
        <v>106238</v>
      </c>
      <c r="Q15" s="87">
        <f t="shared" si="14"/>
        <v>43318</v>
      </c>
      <c r="R15" s="87">
        <f t="shared" si="15"/>
        <v>97526</v>
      </c>
      <c r="S15" s="87">
        <f t="shared" si="16"/>
        <v>84216</v>
      </c>
      <c r="T15" s="87">
        <f t="shared" si="17"/>
        <v>83732</v>
      </c>
      <c r="U15" s="87">
        <f t="shared" si="18"/>
        <v>103334</v>
      </c>
      <c r="V15" s="87">
        <f t="shared" si="19"/>
        <v>73326</v>
      </c>
      <c r="W15" s="87">
        <f t="shared" si="20"/>
        <v>84700</v>
      </c>
      <c r="X15" s="87">
        <f t="shared" si="21"/>
        <v>188518</v>
      </c>
      <c r="Y15" s="86">
        <f t="shared" si="22"/>
        <v>90508</v>
      </c>
      <c r="Z15" s="87">
        <f t="shared" si="23"/>
        <v>82522</v>
      </c>
      <c r="AA15" s="87">
        <f t="shared" si="24"/>
        <v>72116</v>
      </c>
      <c r="AB15" s="87">
        <f t="shared" si="25"/>
        <v>279268</v>
      </c>
      <c r="AC15" s="87">
        <f t="shared" si="26"/>
        <v>133584</v>
      </c>
      <c r="AD15" s="87">
        <f t="shared" si="27"/>
        <v>165286</v>
      </c>
      <c r="AE15" s="87">
        <f t="shared" si="28"/>
        <v>127534</v>
      </c>
      <c r="AF15" s="87">
        <f t="shared" si="29"/>
        <v>87604</v>
      </c>
      <c r="AG15" s="87">
        <f t="shared" si="30"/>
        <v>92444</v>
      </c>
      <c r="AH15" s="87">
        <f t="shared" si="31"/>
        <v>81554</v>
      </c>
      <c r="AI15" s="87">
        <f t="shared" si="32"/>
        <v>137805.55555555556</v>
      </c>
      <c r="AJ15" s="87">
        <f t="shared" si="33"/>
        <v>0</v>
      </c>
      <c r="AK15" s="86">
        <f t="shared" si="34"/>
        <v>0</v>
      </c>
      <c r="AL15" s="21">
        <v>184</v>
      </c>
      <c r="AM15" s="21">
        <v>243</v>
      </c>
      <c r="AN15" s="21">
        <v>229</v>
      </c>
      <c r="AO15" s="21">
        <v>203</v>
      </c>
      <c r="AP15" s="21">
        <v>249</v>
      </c>
      <c r="AQ15" s="42">
        <v>228</v>
      </c>
      <c r="AR15" s="21">
        <v>180</v>
      </c>
      <c r="AS15" s="21">
        <v>221</v>
      </c>
      <c r="AT15" s="21">
        <v>162</v>
      </c>
      <c r="AU15" s="21">
        <v>153</v>
      </c>
      <c r="AV15" s="21">
        <v>283</v>
      </c>
      <c r="AW15" s="21">
        <v>319</v>
      </c>
      <c r="AX15" s="21">
        <v>316</v>
      </c>
      <c r="AY15" s="21">
        <v>329</v>
      </c>
      <c r="AZ15" s="21">
        <v>257</v>
      </c>
      <c r="BA15" s="21">
        <v>274</v>
      </c>
      <c r="BB15" s="21">
        <v>359</v>
      </c>
      <c r="BC15" s="42">
        <v>291</v>
      </c>
      <c r="BD15" s="21">
        <v>288</v>
      </c>
      <c r="BE15" s="21">
        <v>223</v>
      </c>
      <c r="BF15" s="21">
        <v>248</v>
      </c>
      <c r="BG15" s="21">
        <v>416</v>
      </c>
      <c r="BH15" s="21">
        <v>355</v>
      </c>
      <c r="BI15" s="21">
        <v>443</v>
      </c>
      <c r="BJ15" s="40">
        <v>287</v>
      </c>
      <c r="BK15" s="40">
        <v>349</v>
      </c>
      <c r="BL15" s="40">
        <v>304</v>
      </c>
      <c r="BM15" s="40">
        <v>378</v>
      </c>
      <c r="BP15" s="21">
        <v>73</v>
      </c>
      <c r="BQ15" s="21">
        <v>125</v>
      </c>
      <c r="BR15" s="21">
        <v>158</v>
      </c>
      <c r="BS15" s="21">
        <v>95</v>
      </c>
      <c r="BT15" s="21">
        <v>170</v>
      </c>
      <c r="BU15" s="42">
        <v>517</v>
      </c>
      <c r="BV15" s="21">
        <v>90</v>
      </c>
      <c r="BW15" s="21">
        <v>94</v>
      </c>
      <c r="BX15" s="21">
        <v>277</v>
      </c>
      <c r="BY15" s="21">
        <v>26</v>
      </c>
      <c r="BZ15" s="21">
        <v>120</v>
      </c>
      <c r="CA15" s="21">
        <v>29</v>
      </c>
      <c r="CB15" s="21">
        <v>30</v>
      </c>
      <c r="CC15" s="21">
        <v>98</v>
      </c>
      <c r="CD15" s="21">
        <v>46</v>
      </c>
      <c r="CE15" s="21">
        <v>76</v>
      </c>
      <c r="CF15" s="21">
        <v>420</v>
      </c>
      <c r="CG15" s="42">
        <v>83</v>
      </c>
      <c r="CH15" s="21">
        <v>53</v>
      </c>
      <c r="CI15" s="21">
        <v>75</v>
      </c>
      <c r="CJ15" s="21">
        <v>906</v>
      </c>
      <c r="CK15" s="21">
        <v>136</v>
      </c>
      <c r="CL15" s="21">
        <v>328</v>
      </c>
      <c r="CM15" s="21">
        <v>84</v>
      </c>
      <c r="CN15" s="21">
        <v>75</v>
      </c>
      <c r="CO15" s="21">
        <v>33</v>
      </c>
      <c r="CP15" s="21">
        <f t="shared" si="64"/>
        <v>33</v>
      </c>
      <c r="CQ15" s="230">
        <f t="shared" si="65"/>
        <v>191.44444444444446</v>
      </c>
      <c r="CT15" s="85">
        <f t="shared" si="35"/>
        <v>257</v>
      </c>
      <c r="CU15" s="85">
        <f t="shared" si="36"/>
        <v>368</v>
      </c>
      <c r="CV15" s="85">
        <f t="shared" si="37"/>
        <v>387</v>
      </c>
      <c r="CW15" s="85">
        <f t="shared" si="38"/>
        <v>298</v>
      </c>
      <c r="CX15" s="85">
        <f t="shared" si="39"/>
        <v>419</v>
      </c>
      <c r="CY15" s="86">
        <f t="shared" si="40"/>
        <v>745</v>
      </c>
      <c r="CZ15" s="87">
        <f t="shared" si="41"/>
        <v>270</v>
      </c>
      <c r="DA15" s="87">
        <f t="shared" si="42"/>
        <v>315</v>
      </c>
      <c r="DB15" s="87">
        <f t="shared" si="43"/>
        <v>439</v>
      </c>
      <c r="DC15" s="87">
        <f t="shared" si="44"/>
        <v>179</v>
      </c>
      <c r="DD15" s="87">
        <f t="shared" si="45"/>
        <v>403</v>
      </c>
      <c r="DE15" s="87">
        <f t="shared" si="46"/>
        <v>348</v>
      </c>
      <c r="DF15" s="87">
        <f t="shared" si="47"/>
        <v>346</v>
      </c>
      <c r="DG15" s="87">
        <f t="shared" si="48"/>
        <v>427</v>
      </c>
      <c r="DH15" s="87">
        <f t="shared" si="49"/>
        <v>303</v>
      </c>
      <c r="DI15" s="87">
        <f t="shared" si="50"/>
        <v>350</v>
      </c>
      <c r="DJ15" s="87">
        <f t="shared" si="51"/>
        <v>779</v>
      </c>
      <c r="DK15" s="86">
        <f t="shared" si="52"/>
        <v>374</v>
      </c>
      <c r="DL15" s="87">
        <f t="shared" si="53"/>
        <v>341</v>
      </c>
      <c r="DM15" s="87">
        <f t="shared" si="54"/>
        <v>298</v>
      </c>
      <c r="DN15" s="87">
        <f t="shared" si="55"/>
        <v>1154</v>
      </c>
      <c r="DO15" s="87">
        <f t="shared" si="56"/>
        <v>552</v>
      </c>
      <c r="DP15" s="87">
        <f t="shared" si="57"/>
        <v>683</v>
      </c>
      <c r="DQ15" s="87">
        <f t="shared" si="58"/>
        <v>527</v>
      </c>
      <c r="DR15" s="87">
        <f t="shared" si="59"/>
        <v>362</v>
      </c>
      <c r="DS15" s="87">
        <f t="shared" si="60"/>
        <v>382</v>
      </c>
      <c r="DT15" s="87">
        <f t="shared" si="61"/>
        <v>337</v>
      </c>
      <c r="DU15" s="87">
        <f t="shared" si="66"/>
        <v>569.44444444444446</v>
      </c>
      <c r="DV15" s="87">
        <f t="shared" si="62"/>
        <v>0</v>
      </c>
      <c r="DW15" s="87">
        <f t="shared" si="63"/>
        <v>0</v>
      </c>
    </row>
    <row r="16" spans="1:127">
      <c r="A16" s="22" t="s">
        <v>679</v>
      </c>
      <c r="B16" s="26">
        <v>4987176092748</v>
      </c>
      <c r="C16" s="22" t="s">
        <v>707</v>
      </c>
      <c r="D16" s="22" t="s">
        <v>82</v>
      </c>
      <c r="E16" s="22">
        <v>119343</v>
      </c>
      <c r="F16" s="80" t="s">
        <v>689</v>
      </c>
      <c r="G16" s="25">
        <v>254.9</v>
      </c>
      <c r="H16" s="85">
        <f t="shared" si="5"/>
        <v>41803.599999999999</v>
      </c>
      <c r="I16" s="85">
        <f t="shared" si="6"/>
        <v>46646.700000000004</v>
      </c>
      <c r="J16" s="85">
        <f t="shared" si="7"/>
        <v>29058.600000000002</v>
      </c>
      <c r="K16" s="85">
        <f t="shared" si="8"/>
        <v>15039.1</v>
      </c>
      <c r="L16" s="85">
        <f t="shared" si="9"/>
        <v>16313.6</v>
      </c>
      <c r="M16" s="86">
        <f t="shared" si="10"/>
        <v>4843.1000000000004</v>
      </c>
      <c r="N16" s="87">
        <f t="shared" si="11"/>
        <v>0</v>
      </c>
      <c r="O16" s="87">
        <f t="shared" si="12"/>
        <v>254.9</v>
      </c>
      <c r="P16" s="87">
        <f t="shared" si="13"/>
        <v>0</v>
      </c>
      <c r="Q16" s="87">
        <f t="shared" si="14"/>
        <v>0</v>
      </c>
      <c r="R16" s="87">
        <f t="shared" si="15"/>
        <v>0</v>
      </c>
      <c r="S16" s="87">
        <f t="shared" si="16"/>
        <v>0</v>
      </c>
      <c r="T16" s="87">
        <f t="shared" si="17"/>
        <v>0</v>
      </c>
      <c r="U16" s="87">
        <f t="shared" si="18"/>
        <v>0</v>
      </c>
      <c r="V16" s="87">
        <f t="shared" si="19"/>
        <v>0</v>
      </c>
      <c r="W16" s="87">
        <f t="shared" si="20"/>
        <v>0</v>
      </c>
      <c r="X16" s="87">
        <f t="shared" si="21"/>
        <v>0</v>
      </c>
      <c r="Y16" s="86">
        <f t="shared" si="22"/>
        <v>0</v>
      </c>
      <c r="Z16" s="87">
        <f t="shared" si="23"/>
        <v>0</v>
      </c>
      <c r="AA16" s="87">
        <f t="shared" si="24"/>
        <v>0</v>
      </c>
      <c r="AB16" s="87">
        <f t="shared" si="25"/>
        <v>0</v>
      </c>
      <c r="AC16" s="87">
        <f t="shared" si="26"/>
        <v>0</v>
      </c>
      <c r="AD16" s="87">
        <f t="shared" si="27"/>
        <v>0</v>
      </c>
      <c r="AE16" s="87">
        <f t="shared" si="28"/>
        <v>0</v>
      </c>
      <c r="AF16" s="87">
        <f t="shared" si="29"/>
        <v>0</v>
      </c>
      <c r="AG16" s="87">
        <f t="shared" si="30"/>
        <v>0</v>
      </c>
      <c r="AH16" s="87">
        <f t="shared" si="31"/>
        <v>0</v>
      </c>
      <c r="AI16" s="87">
        <f t="shared" si="32"/>
        <v>0</v>
      </c>
      <c r="AJ16" s="87">
        <f t="shared" si="33"/>
        <v>0</v>
      </c>
      <c r="AK16" s="86">
        <f t="shared" si="34"/>
        <v>0</v>
      </c>
      <c r="AL16" s="21">
        <v>116</v>
      </c>
      <c r="AM16" s="21">
        <v>132</v>
      </c>
      <c r="AN16" s="21">
        <v>75</v>
      </c>
      <c r="AO16" s="21">
        <v>59</v>
      </c>
      <c r="AP16" s="21">
        <v>64</v>
      </c>
      <c r="AQ16" s="42">
        <v>19</v>
      </c>
      <c r="AR16" s="21">
        <v>0</v>
      </c>
      <c r="AS16" s="21">
        <v>1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0</v>
      </c>
      <c r="BA16" s="21">
        <v>0</v>
      </c>
      <c r="BB16" s="21">
        <v>0</v>
      </c>
      <c r="BC16" s="42">
        <v>0</v>
      </c>
      <c r="BD16" s="21">
        <v>0</v>
      </c>
      <c r="BE16" s="21">
        <v>0</v>
      </c>
      <c r="BF16" s="21">
        <v>0</v>
      </c>
      <c r="BG16" s="21">
        <v>0</v>
      </c>
      <c r="BI16" s="21">
        <v>0</v>
      </c>
      <c r="BJ16" s="40">
        <v>0</v>
      </c>
      <c r="BK16" s="40">
        <v>0</v>
      </c>
      <c r="BL16" s="40">
        <v>0</v>
      </c>
      <c r="BM16" s="40">
        <v>0</v>
      </c>
      <c r="BP16" s="21">
        <v>48</v>
      </c>
      <c r="BQ16" s="21">
        <v>51</v>
      </c>
      <c r="BR16" s="21">
        <v>39</v>
      </c>
      <c r="BS16" s="21">
        <v>0</v>
      </c>
      <c r="BT16" s="21">
        <v>0</v>
      </c>
      <c r="BU16" s="42">
        <v>0</v>
      </c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42">
        <v>0</v>
      </c>
      <c r="CH16" s="21">
        <v>0</v>
      </c>
      <c r="CI16" s="21">
        <v>0</v>
      </c>
      <c r="CJ16" s="21">
        <v>0</v>
      </c>
      <c r="CK16" s="21">
        <v>0</v>
      </c>
      <c r="CL16" s="21">
        <v>0</v>
      </c>
      <c r="CM16" s="21">
        <v>0</v>
      </c>
      <c r="CN16" s="21">
        <v>0</v>
      </c>
      <c r="CO16" s="21">
        <v>0</v>
      </c>
      <c r="CP16" s="21">
        <f t="shared" si="64"/>
        <v>0</v>
      </c>
      <c r="CQ16" s="230">
        <f t="shared" si="65"/>
        <v>0</v>
      </c>
      <c r="CT16" s="85">
        <f t="shared" si="35"/>
        <v>164</v>
      </c>
      <c r="CU16" s="85">
        <f t="shared" si="36"/>
        <v>183</v>
      </c>
      <c r="CV16" s="85">
        <f t="shared" si="37"/>
        <v>114</v>
      </c>
      <c r="CW16" s="85">
        <f t="shared" si="38"/>
        <v>59</v>
      </c>
      <c r="CX16" s="85">
        <f t="shared" si="39"/>
        <v>64</v>
      </c>
      <c r="CY16" s="86">
        <f t="shared" si="40"/>
        <v>19</v>
      </c>
      <c r="CZ16" s="87">
        <f t="shared" si="41"/>
        <v>0</v>
      </c>
      <c r="DA16" s="87">
        <f t="shared" si="42"/>
        <v>1</v>
      </c>
      <c r="DB16" s="87">
        <f t="shared" si="43"/>
        <v>0</v>
      </c>
      <c r="DC16" s="87">
        <f t="shared" si="44"/>
        <v>0</v>
      </c>
      <c r="DD16" s="87">
        <f t="shared" si="45"/>
        <v>0</v>
      </c>
      <c r="DE16" s="87">
        <f t="shared" si="46"/>
        <v>0</v>
      </c>
      <c r="DF16" s="87">
        <f t="shared" si="47"/>
        <v>0</v>
      </c>
      <c r="DG16" s="87">
        <f t="shared" si="48"/>
        <v>0</v>
      </c>
      <c r="DH16" s="87">
        <f t="shared" si="49"/>
        <v>0</v>
      </c>
      <c r="DI16" s="87">
        <f t="shared" si="50"/>
        <v>0</v>
      </c>
      <c r="DJ16" s="87">
        <f t="shared" si="51"/>
        <v>0</v>
      </c>
      <c r="DK16" s="86">
        <f t="shared" si="52"/>
        <v>0</v>
      </c>
      <c r="DL16" s="87">
        <f t="shared" si="53"/>
        <v>0</v>
      </c>
      <c r="DM16" s="87">
        <f t="shared" si="54"/>
        <v>0</v>
      </c>
      <c r="DN16" s="87">
        <f t="shared" si="55"/>
        <v>0</v>
      </c>
      <c r="DO16" s="87">
        <f t="shared" si="56"/>
        <v>0</v>
      </c>
      <c r="DP16" s="87">
        <f t="shared" si="57"/>
        <v>0</v>
      </c>
      <c r="DQ16" s="87">
        <f t="shared" si="58"/>
        <v>0</v>
      </c>
      <c r="DR16" s="87">
        <f t="shared" si="59"/>
        <v>0</v>
      </c>
      <c r="DS16" s="87">
        <f t="shared" si="60"/>
        <v>0</v>
      </c>
      <c r="DT16" s="87">
        <f t="shared" si="61"/>
        <v>0</v>
      </c>
      <c r="DU16" s="87">
        <f t="shared" si="66"/>
        <v>0</v>
      </c>
      <c r="DV16" s="87">
        <f t="shared" si="62"/>
        <v>0</v>
      </c>
      <c r="DW16" s="87">
        <f t="shared" si="63"/>
        <v>0</v>
      </c>
    </row>
    <row r="17" spans="1:130">
      <c r="A17" s="22" t="s">
        <v>679</v>
      </c>
      <c r="B17" s="26">
        <v>4987176092755</v>
      </c>
      <c r="C17" s="22" t="s">
        <v>707</v>
      </c>
      <c r="D17" s="22" t="s">
        <v>82</v>
      </c>
      <c r="E17" s="22">
        <v>119338</v>
      </c>
      <c r="F17" s="80" t="s">
        <v>690</v>
      </c>
      <c r="G17" s="25">
        <v>254.9</v>
      </c>
      <c r="H17" s="85">
        <f t="shared" si="5"/>
        <v>21921.4</v>
      </c>
      <c r="I17" s="85">
        <f t="shared" si="6"/>
        <v>25744.9</v>
      </c>
      <c r="J17" s="85">
        <f t="shared" si="7"/>
        <v>19372.400000000001</v>
      </c>
      <c r="K17" s="85">
        <f t="shared" si="8"/>
        <v>15803.800000000001</v>
      </c>
      <c r="L17" s="85">
        <f t="shared" si="9"/>
        <v>11980.300000000001</v>
      </c>
      <c r="M17" s="86">
        <f t="shared" si="10"/>
        <v>3823.5</v>
      </c>
      <c r="N17" s="87">
        <f t="shared" si="11"/>
        <v>254.9</v>
      </c>
      <c r="O17" s="87">
        <f t="shared" si="12"/>
        <v>0</v>
      </c>
      <c r="P17" s="87">
        <f t="shared" si="13"/>
        <v>0</v>
      </c>
      <c r="Q17" s="87">
        <f t="shared" si="14"/>
        <v>0</v>
      </c>
      <c r="R17" s="87">
        <f t="shared" si="15"/>
        <v>0</v>
      </c>
      <c r="S17" s="87">
        <f t="shared" si="16"/>
        <v>0</v>
      </c>
      <c r="T17" s="87">
        <f t="shared" si="17"/>
        <v>0</v>
      </c>
      <c r="U17" s="87">
        <f t="shared" si="18"/>
        <v>0</v>
      </c>
      <c r="V17" s="87">
        <f t="shared" si="19"/>
        <v>0</v>
      </c>
      <c r="W17" s="87">
        <f t="shared" si="20"/>
        <v>0</v>
      </c>
      <c r="X17" s="87">
        <f t="shared" si="21"/>
        <v>0</v>
      </c>
      <c r="Y17" s="86">
        <f t="shared" si="22"/>
        <v>0</v>
      </c>
      <c r="Z17" s="87">
        <f t="shared" si="23"/>
        <v>0</v>
      </c>
      <c r="AA17" s="87">
        <f t="shared" si="24"/>
        <v>0</v>
      </c>
      <c r="AB17" s="87">
        <f t="shared" si="25"/>
        <v>0</v>
      </c>
      <c r="AC17" s="87">
        <f t="shared" si="26"/>
        <v>0</v>
      </c>
      <c r="AD17" s="87">
        <f t="shared" si="27"/>
        <v>0</v>
      </c>
      <c r="AE17" s="87">
        <f t="shared" si="28"/>
        <v>0</v>
      </c>
      <c r="AF17" s="87">
        <f t="shared" si="29"/>
        <v>0</v>
      </c>
      <c r="AG17" s="87">
        <f t="shared" si="30"/>
        <v>0</v>
      </c>
      <c r="AH17" s="87">
        <f t="shared" si="31"/>
        <v>0</v>
      </c>
      <c r="AI17" s="87">
        <f t="shared" si="32"/>
        <v>0</v>
      </c>
      <c r="AJ17" s="87">
        <f t="shared" si="33"/>
        <v>0</v>
      </c>
      <c r="AK17" s="86">
        <f t="shared" si="34"/>
        <v>0</v>
      </c>
      <c r="AL17" s="21">
        <v>68</v>
      </c>
      <c r="AM17" s="21">
        <v>91</v>
      </c>
      <c r="AN17" s="21">
        <v>51</v>
      </c>
      <c r="AO17" s="21">
        <v>42</v>
      </c>
      <c r="AP17" s="21">
        <v>47</v>
      </c>
      <c r="AQ17" s="42">
        <v>15</v>
      </c>
      <c r="AR17" s="21">
        <v>1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1">
        <v>0</v>
      </c>
      <c r="BA17" s="21">
        <v>0</v>
      </c>
      <c r="BB17" s="21">
        <v>0</v>
      </c>
      <c r="BC17" s="42">
        <v>0</v>
      </c>
      <c r="BD17" s="21">
        <v>0</v>
      </c>
      <c r="BE17" s="21">
        <v>0</v>
      </c>
      <c r="BF17" s="21">
        <v>0</v>
      </c>
      <c r="BG17" s="21">
        <v>0</v>
      </c>
      <c r="BI17" s="21">
        <v>0</v>
      </c>
      <c r="BJ17" s="40">
        <v>0</v>
      </c>
      <c r="BK17" s="40">
        <v>0</v>
      </c>
      <c r="BL17" s="40">
        <v>0</v>
      </c>
      <c r="BM17" s="40">
        <v>0</v>
      </c>
      <c r="BP17" s="21">
        <v>18</v>
      </c>
      <c r="BQ17" s="21">
        <v>10</v>
      </c>
      <c r="BR17" s="21">
        <v>25</v>
      </c>
      <c r="BS17" s="21">
        <v>20</v>
      </c>
      <c r="BT17" s="21">
        <v>0</v>
      </c>
      <c r="BU17" s="42">
        <v>0</v>
      </c>
      <c r="BV17" s="21">
        <v>0</v>
      </c>
      <c r="BW17" s="21">
        <v>0</v>
      </c>
      <c r="BX17" s="21">
        <v>0</v>
      </c>
      <c r="BY17" s="21">
        <v>0</v>
      </c>
      <c r="BZ17" s="21">
        <v>0</v>
      </c>
      <c r="CA17" s="21">
        <v>0</v>
      </c>
      <c r="CB17" s="21">
        <v>0</v>
      </c>
      <c r="CC17" s="21">
        <v>0</v>
      </c>
      <c r="CD17" s="21">
        <v>0</v>
      </c>
      <c r="CE17" s="21">
        <v>0</v>
      </c>
      <c r="CF17" s="21">
        <v>0</v>
      </c>
      <c r="CG17" s="42">
        <v>0</v>
      </c>
      <c r="CH17" s="21">
        <v>0</v>
      </c>
      <c r="CI17" s="21">
        <v>0</v>
      </c>
      <c r="CJ17" s="21">
        <v>0</v>
      </c>
      <c r="CK17" s="21">
        <v>0</v>
      </c>
      <c r="CL17" s="21">
        <v>0</v>
      </c>
      <c r="CM17" s="21">
        <v>0</v>
      </c>
      <c r="CN17" s="21">
        <v>0</v>
      </c>
      <c r="CO17" s="21">
        <v>0</v>
      </c>
      <c r="CP17" s="21">
        <f t="shared" si="64"/>
        <v>0</v>
      </c>
      <c r="CQ17" s="230">
        <f t="shared" si="65"/>
        <v>0</v>
      </c>
      <c r="CT17" s="85">
        <f t="shared" si="35"/>
        <v>86</v>
      </c>
      <c r="CU17" s="85">
        <f t="shared" si="36"/>
        <v>101</v>
      </c>
      <c r="CV17" s="85">
        <f t="shared" si="37"/>
        <v>76</v>
      </c>
      <c r="CW17" s="85">
        <f t="shared" si="38"/>
        <v>62</v>
      </c>
      <c r="CX17" s="85">
        <f t="shared" si="39"/>
        <v>47</v>
      </c>
      <c r="CY17" s="86">
        <f t="shared" si="40"/>
        <v>15</v>
      </c>
      <c r="CZ17" s="87">
        <f t="shared" si="41"/>
        <v>1</v>
      </c>
      <c r="DA17" s="87">
        <f t="shared" si="42"/>
        <v>0</v>
      </c>
      <c r="DB17" s="87">
        <f t="shared" si="43"/>
        <v>0</v>
      </c>
      <c r="DC17" s="87">
        <f t="shared" si="44"/>
        <v>0</v>
      </c>
      <c r="DD17" s="87">
        <f t="shared" si="45"/>
        <v>0</v>
      </c>
      <c r="DE17" s="87">
        <f t="shared" si="46"/>
        <v>0</v>
      </c>
      <c r="DF17" s="87">
        <f t="shared" si="47"/>
        <v>0</v>
      </c>
      <c r="DG17" s="87">
        <f t="shared" si="48"/>
        <v>0</v>
      </c>
      <c r="DH17" s="87">
        <f t="shared" si="49"/>
        <v>0</v>
      </c>
      <c r="DI17" s="87">
        <f t="shared" si="50"/>
        <v>0</v>
      </c>
      <c r="DJ17" s="87">
        <f t="shared" si="51"/>
        <v>0</v>
      </c>
      <c r="DK17" s="86">
        <f t="shared" si="52"/>
        <v>0</v>
      </c>
      <c r="DL17" s="87">
        <f t="shared" si="53"/>
        <v>0</v>
      </c>
      <c r="DM17" s="87">
        <f t="shared" si="54"/>
        <v>0</v>
      </c>
      <c r="DN17" s="87">
        <f t="shared" si="55"/>
        <v>0</v>
      </c>
      <c r="DO17" s="87">
        <f t="shared" si="56"/>
        <v>0</v>
      </c>
      <c r="DP17" s="87">
        <f t="shared" si="57"/>
        <v>0</v>
      </c>
      <c r="DQ17" s="87">
        <f t="shared" si="58"/>
        <v>0</v>
      </c>
      <c r="DR17" s="87">
        <f t="shared" si="59"/>
        <v>0</v>
      </c>
      <c r="DS17" s="87">
        <f t="shared" si="60"/>
        <v>0</v>
      </c>
      <c r="DT17" s="87">
        <f t="shared" si="61"/>
        <v>0</v>
      </c>
      <c r="DU17" s="87">
        <f t="shared" si="66"/>
        <v>0</v>
      </c>
      <c r="DV17" s="87">
        <f t="shared" si="62"/>
        <v>0</v>
      </c>
      <c r="DW17" s="87">
        <f t="shared" si="63"/>
        <v>0</v>
      </c>
    </row>
    <row r="18" spans="1:130">
      <c r="A18" s="22" t="s">
        <v>679</v>
      </c>
      <c r="B18" s="26">
        <v>4987176222961</v>
      </c>
      <c r="C18" s="22" t="s">
        <v>707</v>
      </c>
      <c r="D18" s="22" t="s">
        <v>9</v>
      </c>
      <c r="E18" s="22">
        <v>221908</v>
      </c>
      <c r="F18" s="80" t="s">
        <v>670</v>
      </c>
      <c r="G18" s="25">
        <v>227.79999999999998</v>
      </c>
      <c r="H18" s="85">
        <f t="shared" si="5"/>
        <v>148070</v>
      </c>
      <c r="I18" s="85">
        <f t="shared" si="6"/>
        <v>162877</v>
      </c>
      <c r="J18" s="85">
        <f t="shared" si="7"/>
        <v>159915.59999999998</v>
      </c>
      <c r="K18" s="85">
        <f t="shared" si="8"/>
        <v>166749.59999999998</v>
      </c>
      <c r="L18" s="85">
        <f t="shared" si="9"/>
        <v>143969.59999999998</v>
      </c>
      <c r="M18" s="86">
        <f t="shared" si="10"/>
        <v>140780.4</v>
      </c>
      <c r="N18" s="87">
        <f t="shared" si="11"/>
        <v>125517.79999999999</v>
      </c>
      <c r="O18" s="87">
        <f t="shared" si="12"/>
        <v>164016</v>
      </c>
      <c r="P18" s="87">
        <f t="shared" si="13"/>
        <v>132351.79999999999</v>
      </c>
      <c r="Q18" s="87">
        <f t="shared" si="14"/>
        <v>172900.19999999998</v>
      </c>
      <c r="R18" s="87">
        <f t="shared" si="15"/>
        <v>127795.79999999999</v>
      </c>
      <c r="S18" s="87">
        <f t="shared" si="16"/>
        <v>154904</v>
      </c>
      <c r="T18" s="87">
        <f t="shared" si="17"/>
        <v>115038.99999999999</v>
      </c>
      <c r="U18" s="87">
        <f t="shared" si="18"/>
        <v>129618.2</v>
      </c>
      <c r="V18" s="87">
        <f t="shared" si="19"/>
        <v>139413.59999999998</v>
      </c>
      <c r="W18" s="87">
        <f t="shared" si="20"/>
        <v>137591.19999999998</v>
      </c>
      <c r="X18" s="87">
        <f t="shared" si="21"/>
        <v>147614.39999999999</v>
      </c>
      <c r="Y18" s="86">
        <f t="shared" si="22"/>
        <v>136452.19999999998</v>
      </c>
      <c r="Z18" s="87">
        <f t="shared" si="23"/>
        <v>149436.79999999999</v>
      </c>
      <c r="AA18" s="87">
        <f t="shared" si="24"/>
        <v>108204.99999999999</v>
      </c>
      <c r="AB18" s="87">
        <f t="shared" si="25"/>
        <v>116405.79999999999</v>
      </c>
      <c r="AC18" s="87">
        <f t="shared" si="26"/>
        <v>126656.79999999999</v>
      </c>
      <c r="AD18" s="87">
        <f t="shared" si="27"/>
        <v>89981</v>
      </c>
      <c r="AE18" s="87">
        <f t="shared" si="28"/>
        <v>33486.6</v>
      </c>
      <c r="AF18" s="87">
        <f t="shared" si="29"/>
        <v>8200.7999999999993</v>
      </c>
      <c r="AG18" s="87">
        <f t="shared" si="30"/>
        <v>1594.6</v>
      </c>
      <c r="AH18" s="87">
        <f t="shared" si="31"/>
        <v>683.4</v>
      </c>
      <c r="AI18" s="87">
        <f t="shared" si="32"/>
        <v>4505.3777777777777</v>
      </c>
      <c r="AJ18" s="87">
        <f t="shared" si="33"/>
        <v>0</v>
      </c>
      <c r="AK18" s="86">
        <f t="shared" si="34"/>
        <v>0</v>
      </c>
      <c r="AL18" s="21">
        <v>521</v>
      </c>
      <c r="AM18" s="21">
        <v>633</v>
      </c>
      <c r="AN18" s="21">
        <v>480</v>
      </c>
      <c r="AO18" s="21">
        <v>577</v>
      </c>
      <c r="AP18" s="21">
        <v>568</v>
      </c>
      <c r="AQ18" s="42">
        <v>508</v>
      </c>
      <c r="AR18" s="21">
        <v>468</v>
      </c>
      <c r="AS18" s="21">
        <v>637</v>
      </c>
      <c r="AT18" s="21">
        <v>481</v>
      </c>
      <c r="AU18" s="21">
        <v>607</v>
      </c>
      <c r="AV18" s="21">
        <v>519</v>
      </c>
      <c r="AW18" s="21">
        <v>656</v>
      </c>
      <c r="AX18" s="21">
        <v>487</v>
      </c>
      <c r="AY18" s="21">
        <v>503</v>
      </c>
      <c r="AZ18" s="21">
        <v>541</v>
      </c>
      <c r="BA18" s="21">
        <v>568</v>
      </c>
      <c r="BB18" s="21">
        <v>578</v>
      </c>
      <c r="BC18" s="42">
        <v>473</v>
      </c>
      <c r="BD18" s="21">
        <v>613</v>
      </c>
      <c r="BE18" s="21">
        <v>432</v>
      </c>
      <c r="BF18" s="21">
        <v>452</v>
      </c>
      <c r="BG18" s="21">
        <v>532</v>
      </c>
      <c r="BH18" s="21">
        <v>395</v>
      </c>
      <c r="BI18" s="21">
        <v>147</v>
      </c>
      <c r="BJ18" s="40">
        <v>36</v>
      </c>
      <c r="BK18" s="40">
        <v>7</v>
      </c>
      <c r="BL18" s="40">
        <v>3</v>
      </c>
      <c r="BM18" s="40">
        <v>1</v>
      </c>
      <c r="BP18" s="21">
        <v>129</v>
      </c>
      <c r="BQ18" s="21">
        <v>82</v>
      </c>
      <c r="BR18" s="21">
        <v>222</v>
      </c>
      <c r="BS18" s="21">
        <v>155</v>
      </c>
      <c r="BT18" s="21">
        <v>64</v>
      </c>
      <c r="BU18" s="42">
        <v>110</v>
      </c>
      <c r="BV18" s="21">
        <v>83</v>
      </c>
      <c r="BW18" s="21">
        <v>83</v>
      </c>
      <c r="BX18" s="21">
        <v>100</v>
      </c>
      <c r="BY18" s="21">
        <v>152</v>
      </c>
      <c r="BZ18" s="21">
        <v>42</v>
      </c>
      <c r="CA18" s="21">
        <v>24</v>
      </c>
      <c r="CB18" s="21">
        <v>18</v>
      </c>
      <c r="CC18" s="21">
        <v>66</v>
      </c>
      <c r="CD18" s="21">
        <v>71</v>
      </c>
      <c r="CE18" s="21">
        <v>36</v>
      </c>
      <c r="CF18" s="21">
        <v>70</v>
      </c>
      <c r="CG18" s="42">
        <v>126</v>
      </c>
      <c r="CH18" s="21">
        <v>43</v>
      </c>
      <c r="CI18" s="21">
        <v>43</v>
      </c>
      <c r="CJ18" s="21">
        <v>59</v>
      </c>
      <c r="CK18" s="21">
        <v>24</v>
      </c>
      <c r="CL18" s="21">
        <v>0</v>
      </c>
      <c r="CM18" s="21">
        <v>0</v>
      </c>
      <c r="CN18" s="21">
        <v>0</v>
      </c>
      <c r="CO18" s="21">
        <v>0</v>
      </c>
      <c r="CP18" s="21">
        <f t="shared" si="64"/>
        <v>0</v>
      </c>
      <c r="CQ18" s="230">
        <f t="shared" si="65"/>
        <v>18.777777777777779</v>
      </c>
      <c r="CT18" s="85">
        <f t="shared" si="35"/>
        <v>650</v>
      </c>
      <c r="CU18" s="85">
        <f t="shared" si="36"/>
        <v>715</v>
      </c>
      <c r="CV18" s="85">
        <f t="shared" si="37"/>
        <v>702</v>
      </c>
      <c r="CW18" s="85">
        <f t="shared" si="38"/>
        <v>732</v>
      </c>
      <c r="CX18" s="85">
        <f t="shared" si="39"/>
        <v>632</v>
      </c>
      <c r="CY18" s="86">
        <f t="shared" si="40"/>
        <v>618</v>
      </c>
      <c r="CZ18" s="87">
        <f t="shared" si="41"/>
        <v>551</v>
      </c>
      <c r="DA18" s="87">
        <f t="shared" si="42"/>
        <v>720</v>
      </c>
      <c r="DB18" s="87">
        <f t="shared" si="43"/>
        <v>581</v>
      </c>
      <c r="DC18" s="87">
        <f t="shared" si="44"/>
        <v>759</v>
      </c>
      <c r="DD18" s="87">
        <f t="shared" si="45"/>
        <v>561</v>
      </c>
      <c r="DE18" s="87">
        <f t="shared" si="46"/>
        <v>680</v>
      </c>
      <c r="DF18" s="87">
        <f t="shared" si="47"/>
        <v>505</v>
      </c>
      <c r="DG18" s="87">
        <f t="shared" si="48"/>
        <v>569</v>
      </c>
      <c r="DH18" s="87">
        <f t="shared" si="49"/>
        <v>612</v>
      </c>
      <c r="DI18" s="87">
        <f t="shared" si="50"/>
        <v>604</v>
      </c>
      <c r="DJ18" s="87">
        <f t="shared" si="51"/>
        <v>648</v>
      </c>
      <c r="DK18" s="86">
        <f t="shared" si="52"/>
        <v>599</v>
      </c>
      <c r="DL18" s="87">
        <f t="shared" si="53"/>
        <v>656</v>
      </c>
      <c r="DM18" s="87">
        <f t="shared" si="54"/>
        <v>475</v>
      </c>
      <c r="DN18" s="87">
        <f t="shared" si="55"/>
        <v>511</v>
      </c>
      <c r="DO18" s="87">
        <f t="shared" si="56"/>
        <v>556</v>
      </c>
      <c r="DP18" s="87">
        <f t="shared" si="57"/>
        <v>395</v>
      </c>
      <c r="DQ18" s="87">
        <f t="shared" si="58"/>
        <v>147</v>
      </c>
      <c r="DR18" s="87">
        <f t="shared" si="59"/>
        <v>36</v>
      </c>
      <c r="DS18" s="87">
        <f t="shared" si="60"/>
        <v>7</v>
      </c>
      <c r="DT18" s="87">
        <f t="shared" si="61"/>
        <v>3</v>
      </c>
      <c r="DU18" s="87">
        <f t="shared" si="66"/>
        <v>19.777777777777779</v>
      </c>
      <c r="DV18" s="87">
        <f t="shared" si="62"/>
        <v>0</v>
      </c>
      <c r="DW18" s="87">
        <f t="shared" si="63"/>
        <v>0</v>
      </c>
    </row>
    <row r="19" spans="1:130">
      <c r="A19" s="22" t="s">
        <v>679</v>
      </c>
      <c r="B19" s="26">
        <v>4987176222978</v>
      </c>
      <c r="C19" s="22" t="s">
        <v>707</v>
      </c>
      <c r="D19" s="22" t="s">
        <v>9</v>
      </c>
      <c r="E19" s="22">
        <v>221776</v>
      </c>
      <c r="F19" s="80" t="s">
        <v>671</v>
      </c>
      <c r="G19" s="25">
        <v>227.79999999999998</v>
      </c>
      <c r="H19" s="85">
        <f t="shared" si="5"/>
        <v>72668.2</v>
      </c>
      <c r="I19" s="85">
        <f t="shared" si="6"/>
        <v>60594.799999999996</v>
      </c>
      <c r="J19" s="85">
        <f t="shared" si="7"/>
        <v>68795.599999999991</v>
      </c>
      <c r="K19" s="85">
        <f t="shared" si="8"/>
        <v>62644.999999999993</v>
      </c>
      <c r="L19" s="85">
        <f t="shared" si="9"/>
        <v>51027.199999999997</v>
      </c>
      <c r="M19" s="86">
        <f t="shared" si="10"/>
        <v>47610.2</v>
      </c>
      <c r="N19" s="87">
        <f t="shared" si="11"/>
        <v>49432.6</v>
      </c>
      <c r="O19" s="87">
        <f t="shared" si="12"/>
        <v>67428.799999999988</v>
      </c>
      <c r="P19" s="87">
        <f t="shared" si="13"/>
        <v>51027.199999999997</v>
      </c>
      <c r="Q19" s="87">
        <f t="shared" si="14"/>
        <v>62872.799999999996</v>
      </c>
      <c r="R19" s="87">
        <f t="shared" si="15"/>
        <v>57177.799999999996</v>
      </c>
      <c r="S19" s="87">
        <f t="shared" si="16"/>
        <v>63556.2</v>
      </c>
      <c r="T19" s="87">
        <f t="shared" si="17"/>
        <v>58772.399999999994</v>
      </c>
      <c r="U19" s="87">
        <f t="shared" si="18"/>
        <v>56038.799999999996</v>
      </c>
      <c r="V19" s="87">
        <f t="shared" si="19"/>
        <v>56949.999999999993</v>
      </c>
      <c r="W19" s="87">
        <f t="shared" si="20"/>
        <v>52393.999999999993</v>
      </c>
      <c r="X19" s="87">
        <f t="shared" si="21"/>
        <v>57177.799999999996</v>
      </c>
      <c r="Y19" s="86">
        <f t="shared" si="22"/>
        <v>51254.999999999993</v>
      </c>
      <c r="Z19" s="87">
        <f t="shared" si="23"/>
        <v>62417.2</v>
      </c>
      <c r="AA19" s="87">
        <f t="shared" si="24"/>
        <v>45104.399999999994</v>
      </c>
      <c r="AB19" s="87">
        <f t="shared" si="25"/>
        <v>41459.599999999999</v>
      </c>
      <c r="AC19" s="87">
        <f t="shared" si="26"/>
        <v>68340</v>
      </c>
      <c r="AD19" s="87">
        <f t="shared" si="27"/>
        <v>79274.399999999994</v>
      </c>
      <c r="AE19" s="87">
        <f t="shared" si="28"/>
        <v>70390.2</v>
      </c>
      <c r="AF19" s="87">
        <f t="shared" si="29"/>
        <v>17085</v>
      </c>
      <c r="AG19" s="87">
        <f t="shared" si="30"/>
        <v>15718.199999999999</v>
      </c>
      <c r="AH19" s="87">
        <f t="shared" si="31"/>
        <v>14123.599999999999</v>
      </c>
      <c r="AI19" s="87">
        <f t="shared" si="32"/>
        <v>17312.8</v>
      </c>
      <c r="AJ19" s="87">
        <f t="shared" si="33"/>
        <v>0</v>
      </c>
      <c r="AK19" s="86">
        <f t="shared" si="34"/>
        <v>0</v>
      </c>
      <c r="AL19" s="21">
        <v>262</v>
      </c>
      <c r="AM19" s="21">
        <v>244</v>
      </c>
      <c r="AN19" s="21">
        <v>223</v>
      </c>
      <c r="AO19" s="21">
        <v>213</v>
      </c>
      <c r="AP19" s="21">
        <v>207</v>
      </c>
      <c r="AQ19" s="42">
        <v>169</v>
      </c>
      <c r="AR19" s="21">
        <v>193</v>
      </c>
      <c r="AS19" s="21">
        <v>275</v>
      </c>
      <c r="AT19" s="21">
        <v>187</v>
      </c>
      <c r="AU19" s="21">
        <v>228</v>
      </c>
      <c r="AV19" s="21">
        <v>230</v>
      </c>
      <c r="AW19" s="21">
        <v>273</v>
      </c>
      <c r="AX19" s="21">
        <v>248</v>
      </c>
      <c r="AY19" s="21">
        <v>216</v>
      </c>
      <c r="AZ19" s="21">
        <v>221</v>
      </c>
      <c r="BA19" s="21">
        <v>210</v>
      </c>
      <c r="BB19" s="21">
        <v>224</v>
      </c>
      <c r="BC19" s="42">
        <v>167</v>
      </c>
      <c r="BD19" s="21">
        <v>262</v>
      </c>
      <c r="BE19" s="21">
        <v>180</v>
      </c>
      <c r="BF19" s="21">
        <v>172</v>
      </c>
      <c r="BG19" s="21">
        <v>268</v>
      </c>
      <c r="BH19" s="21">
        <v>348</v>
      </c>
      <c r="BI19" s="21">
        <v>309</v>
      </c>
      <c r="BJ19" s="40">
        <v>75</v>
      </c>
      <c r="BK19" s="40">
        <v>69</v>
      </c>
      <c r="BL19" s="40">
        <v>62</v>
      </c>
      <c r="BM19" s="40">
        <v>68</v>
      </c>
      <c r="BP19" s="21">
        <v>57</v>
      </c>
      <c r="BQ19" s="21">
        <v>22</v>
      </c>
      <c r="BR19" s="21">
        <v>79</v>
      </c>
      <c r="BS19" s="21">
        <v>62</v>
      </c>
      <c r="BT19" s="21">
        <v>17</v>
      </c>
      <c r="BU19" s="42">
        <v>40</v>
      </c>
      <c r="BV19" s="21">
        <v>24</v>
      </c>
      <c r="BW19" s="21">
        <v>21</v>
      </c>
      <c r="BX19" s="21">
        <v>37</v>
      </c>
      <c r="BY19" s="21">
        <v>48</v>
      </c>
      <c r="BZ19" s="21">
        <v>21</v>
      </c>
      <c r="CA19" s="21">
        <v>6</v>
      </c>
      <c r="CB19" s="21">
        <v>10</v>
      </c>
      <c r="CC19" s="21">
        <v>30</v>
      </c>
      <c r="CD19" s="21">
        <v>29</v>
      </c>
      <c r="CE19" s="21">
        <v>20</v>
      </c>
      <c r="CF19" s="21">
        <v>27</v>
      </c>
      <c r="CG19" s="42">
        <v>58</v>
      </c>
      <c r="CH19" s="21">
        <v>12</v>
      </c>
      <c r="CI19" s="21">
        <v>18</v>
      </c>
      <c r="CJ19" s="21">
        <v>10</v>
      </c>
      <c r="CK19" s="21">
        <v>32</v>
      </c>
      <c r="CL19" s="21">
        <v>0</v>
      </c>
      <c r="CM19" s="21">
        <v>0</v>
      </c>
      <c r="CN19" s="21">
        <v>0</v>
      </c>
      <c r="CO19" s="21">
        <v>0</v>
      </c>
      <c r="CP19" s="21">
        <f t="shared" si="64"/>
        <v>0</v>
      </c>
      <c r="CQ19" s="230">
        <f t="shared" si="65"/>
        <v>8</v>
      </c>
      <c r="CT19" s="85">
        <f t="shared" si="35"/>
        <v>319</v>
      </c>
      <c r="CU19" s="85">
        <f t="shared" si="36"/>
        <v>266</v>
      </c>
      <c r="CV19" s="85">
        <f t="shared" si="37"/>
        <v>302</v>
      </c>
      <c r="CW19" s="85">
        <f t="shared" si="38"/>
        <v>275</v>
      </c>
      <c r="CX19" s="85">
        <f t="shared" si="39"/>
        <v>224</v>
      </c>
      <c r="CY19" s="86">
        <f t="shared" si="40"/>
        <v>209</v>
      </c>
      <c r="CZ19" s="87">
        <f t="shared" si="41"/>
        <v>217</v>
      </c>
      <c r="DA19" s="87">
        <f t="shared" si="42"/>
        <v>296</v>
      </c>
      <c r="DB19" s="87">
        <f t="shared" si="43"/>
        <v>224</v>
      </c>
      <c r="DC19" s="87">
        <f t="shared" si="44"/>
        <v>276</v>
      </c>
      <c r="DD19" s="87">
        <f t="shared" si="45"/>
        <v>251</v>
      </c>
      <c r="DE19" s="87">
        <f t="shared" si="46"/>
        <v>279</v>
      </c>
      <c r="DF19" s="87">
        <f t="shared" si="47"/>
        <v>258</v>
      </c>
      <c r="DG19" s="87">
        <f t="shared" si="48"/>
        <v>246</v>
      </c>
      <c r="DH19" s="87">
        <f t="shared" si="49"/>
        <v>250</v>
      </c>
      <c r="DI19" s="87">
        <f t="shared" si="50"/>
        <v>230</v>
      </c>
      <c r="DJ19" s="87">
        <f t="shared" si="51"/>
        <v>251</v>
      </c>
      <c r="DK19" s="86">
        <f t="shared" si="52"/>
        <v>225</v>
      </c>
      <c r="DL19" s="87">
        <f t="shared" si="53"/>
        <v>274</v>
      </c>
      <c r="DM19" s="87">
        <f t="shared" si="54"/>
        <v>198</v>
      </c>
      <c r="DN19" s="87">
        <f t="shared" si="55"/>
        <v>182</v>
      </c>
      <c r="DO19" s="87">
        <f t="shared" si="56"/>
        <v>300</v>
      </c>
      <c r="DP19" s="87">
        <f t="shared" si="57"/>
        <v>348</v>
      </c>
      <c r="DQ19" s="87">
        <f t="shared" si="58"/>
        <v>309</v>
      </c>
      <c r="DR19" s="87">
        <f t="shared" si="59"/>
        <v>75</v>
      </c>
      <c r="DS19" s="87">
        <f t="shared" si="60"/>
        <v>69</v>
      </c>
      <c r="DT19" s="87">
        <f t="shared" si="61"/>
        <v>62</v>
      </c>
      <c r="DU19" s="87">
        <f t="shared" si="66"/>
        <v>76</v>
      </c>
      <c r="DV19" s="87">
        <f t="shared" si="62"/>
        <v>0</v>
      </c>
      <c r="DW19" s="87">
        <f t="shared" si="63"/>
        <v>0</v>
      </c>
    </row>
    <row r="20" spans="1:130">
      <c r="A20" s="22" t="s">
        <v>679</v>
      </c>
      <c r="B20" s="26">
        <v>4902430552189</v>
      </c>
      <c r="C20" s="22" t="s">
        <v>707</v>
      </c>
      <c r="D20" s="22" t="s">
        <v>8</v>
      </c>
      <c r="E20" s="22">
        <v>186803</v>
      </c>
      <c r="F20" s="80" t="s">
        <v>691</v>
      </c>
      <c r="G20" s="25">
        <v>213.38333333333333</v>
      </c>
      <c r="H20" s="85">
        <f t="shared" si="5"/>
        <v>86633.633333333331</v>
      </c>
      <c r="I20" s="85">
        <f t="shared" si="6"/>
        <v>135711.79999999999</v>
      </c>
      <c r="J20" s="85">
        <f t="shared" si="7"/>
        <v>103277.53333333333</v>
      </c>
      <c r="K20" s="85">
        <f t="shared" si="8"/>
        <v>84926.566666666666</v>
      </c>
      <c r="L20" s="85">
        <f t="shared" si="9"/>
        <v>102424</v>
      </c>
      <c r="M20" s="86">
        <f t="shared" si="10"/>
        <v>89834.383333333331</v>
      </c>
      <c r="N20" s="87">
        <f t="shared" si="11"/>
        <v>93248.516666666663</v>
      </c>
      <c r="O20" s="87">
        <f t="shared" si="12"/>
        <v>89621</v>
      </c>
      <c r="P20" s="87">
        <f t="shared" si="13"/>
        <v>76818</v>
      </c>
      <c r="Q20" s="87">
        <f t="shared" si="14"/>
        <v>81085.666666666657</v>
      </c>
      <c r="R20" s="87">
        <f t="shared" si="15"/>
        <v>97729.566666666666</v>
      </c>
      <c r="S20" s="87">
        <f t="shared" si="16"/>
        <v>108398.73333333332</v>
      </c>
      <c r="T20" s="87">
        <f t="shared" si="17"/>
        <v>92394.983333333337</v>
      </c>
      <c r="U20" s="87">
        <f t="shared" si="18"/>
        <v>82365.96666666666</v>
      </c>
      <c r="V20" s="87">
        <f t="shared" si="19"/>
        <v>74897.55</v>
      </c>
      <c r="W20" s="87">
        <f t="shared" si="20"/>
        <v>89194.233333333337</v>
      </c>
      <c r="X20" s="87">
        <f t="shared" si="21"/>
        <v>86420.25</v>
      </c>
      <c r="Y20" s="86">
        <f t="shared" si="22"/>
        <v>17924.2</v>
      </c>
      <c r="Z20" s="87">
        <f t="shared" si="23"/>
        <v>16217.133333333333</v>
      </c>
      <c r="AA20" s="87">
        <f t="shared" si="24"/>
        <v>426.76666666666665</v>
      </c>
      <c r="AB20" s="87">
        <f t="shared" si="25"/>
        <v>0</v>
      </c>
      <c r="AC20" s="87">
        <f t="shared" si="26"/>
        <v>213.38333333333333</v>
      </c>
      <c r="AD20" s="87">
        <f t="shared" si="27"/>
        <v>0</v>
      </c>
      <c r="AE20" s="87">
        <f t="shared" si="28"/>
        <v>0</v>
      </c>
      <c r="AF20" s="87">
        <f t="shared" si="29"/>
        <v>0</v>
      </c>
      <c r="AG20" s="87">
        <f t="shared" si="30"/>
        <v>0</v>
      </c>
      <c r="AH20" s="87">
        <f t="shared" si="31"/>
        <v>0</v>
      </c>
      <c r="AI20" s="87">
        <f t="shared" si="32"/>
        <v>0</v>
      </c>
      <c r="AJ20" s="87">
        <f t="shared" si="33"/>
        <v>0</v>
      </c>
      <c r="AK20" s="86">
        <f t="shared" si="34"/>
        <v>0</v>
      </c>
      <c r="AL20" s="21">
        <v>388</v>
      </c>
      <c r="AM20" s="21">
        <v>565</v>
      </c>
      <c r="AN20" s="21">
        <v>407</v>
      </c>
      <c r="AO20" s="21">
        <v>378</v>
      </c>
      <c r="AP20" s="21">
        <v>459</v>
      </c>
      <c r="AQ20" s="42">
        <v>373</v>
      </c>
      <c r="AR20" s="21">
        <v>397</v>
      </c>
      <c r="AS20" s="21">
        <v>395</v>
      </c>
      <c r="AT20" s="21">
        <v>317</v>
      </c>
      <c r="AU20" s="21">
        <v>353</v>
      </c>
      <c r="AV20" s="21">
        <v>408</v>
      </c>
      <c r="AW20" s="21">
        <v>486</v>
      </c>
      <c r="AX20" s="21">
        <v>418</v>
      </c>
      <c r="AY20" s="21">
        <v>356</v>
      </c>
      <c r="AZ20" s="21">
        <v>325</v>
      </c>
      <c r="BA20" s="21">
        <v>383</v>
      </c>
      <c r="BB20" s="21">
        <v>405</v>
      </c>
      <c r="BC20" s="42">
        <v>84</v>
      </c>
      <c r="BD20" s="21">
        <v>76</v>
      </c>
      <c r="BE20" s="21">
        <v>2</v>
      </c>
      <c r="BF20" s="21">
        <v>0</v>
      </c>
      <c r="BG20" s="21">
        <v>1</v>
      </c>
      <c r="BI20" s="21">
        <v>0</v>
      </c>
      <c r="BJ20" s="40">
        <v>0</v>
      </c>
      <c r="BK20" s="40">
        <v>0</v>
      </c>
      <c r="BL20" s="40">
        <v>0</v>
      </c>
      <c r="BM20" s="40">
        <v>0</v>
      </c>
      <c r="BP20" s="21">
        <v>18</v>
      </c>
      <c r="BQ20" s="21">
        <v>71</v>
      </c>
      <c r="BR20" s="21">
        <v>77</v>
      </c>
      <c r="BS20" s="21">
        <v>20</v>
      </c>
      <c r="BT20" s="21">
        <v>21</v>
      </c>
      <c r="BU20" s="42">
        <v>48</v>
      </c>
      <c r="BV20" s="21">
        <v>40</v>
      </c>
      <c r="BW20" s="21">
        <v>25</v>
      </c>
      <c r="BX20" s="21">
        <v>43</v>
      </c>
      <c r="BY20" s="21">
        <v>27</v>
      </c>
      <c r="BZ20" s="21">
        <v>50</v>
      </c>
      <c r="CA20" s="21">
        <v>22</v>
      </c>
      <c r="CB20" s="21">
        <v>15</v>
      </c>
      <c r="CC20" s="21">
        <v>30</v>
      </c>
      <c r="CD20" s="21">
        <v>26</v>
      </c>
      <c r="CE20" s="21">
        <v>35</v>
      </c>
      <c r="CF20" s="21">
        <v>0</v>
      </c>
      <c r="CG20" s="42">
        <v>0</v>
      </c>
      <c r="CH20" s="21">
        <v>0</v>
      </c>
      <c r="CI20" s="21">
        <v>0</v>
      </c>
      <c r="CJ20" s="21">
        <v>0</v>
      </c>
      <c r="CK20" s="21">
        <v>0</v>
      </c>
      <c r="CL20" s="21">
        <v>0</v>
      </c>
      <c r="CM20" s="21">
        <v>0</v>
      </c>
      <c r="CN20" s="21">
        <v>0</v>
      </c>
      <c r="CO20" s="21">
        <v>0</v>
      </c>
      <c r="CP20" s="21">
        <f t="shared" si="64"/>
        <v>0</v>
      </c>
      <c r="CQ20" s="230">
        <f t="shared" si="65"/>
        <v>0</v>
      </c>
      <c r="CT20" s="85">
        <f t="shared" si="35"/>
        <v>406</v>
      </c>
      <c r="CU20" s="85">
        <f t="shared" si="36"/>
        <v>636</v>
      </c>
      <c r="CV20" s="85">
        <f t="shared" si="37"/>
        <v>484</v>
      </c>
      <c r="CW20" s="85">
        <f t="shared" si="38"/>
        <v>398</v>
      </c>
      <c r="CX20" s="85">
        <f t="shared" si="39"/>
        <v>480</v>
      </c>
      <c r="CY20" s="86">
        <f t="shared" si="40"/>
        <v>421</v>
      </c>
      <c r="CZ20" s="87">
        <f t="shared" si="41"/>
        <v>437</v>
      </c>
      <c r="DA20" s="87">
        <f t="shared" si="42"/>
        <v>420</v>
      </c>
      <c r="DB20" s="87">
        <f t="shared" si="43"/>
        <v>360</v>
      </c>
      <c r="DC20" s="87">
        <f t="shared" si="44"/>
        <v>380</v>
      </c>
      <c r="DD20" s="87">
        <f t="shared" si="45"/>
        <v>458</v>
      </c>
      <c r="DE20" s="87">
        <f t="shared" si="46"/>
        <v>508</v>
      </c>
      <c r="DF20" s="87">
        <f t="shared" si="47"/>
        <v>433</v>
      </c>
      <c r="DG20" s="87">
        <f t="shared" si="48"/>
        <v>386</v>
      </c>
      <c r="DH20" s="87">
        <f t="shared" si="49"/>
        <v>351</v>
      </c>
      <c r="DI20" s="87">
        <f t="shared" si="50"/>
        <v>418</v>
      </c>
      <c r="DJ20" s="87">
        <f t="shared" si="51"/>
        <v>405</v>
      </c>
      <c r="DK20" s="86">
        <f t="shared" si="52"/>
        <v>84</v>
      </c>
      <c r="DL20" s="87">
        <f t="shared" si="53"/>
        <v>76</v>
      </c>
      <c r="DM20" s="87">
        <f t="shared" si="54"/>
        <v>2</v>
      </c>
      <c r="DN20" s="87">
        <f t="shared" si="55"/>
        <v>0</v>
      </c>
      <c r="DO20" s="87">
        <f t="shared" si="56"/>
        <v>1</v>
      </c>
      <c r="DP20" s="87">
        <f t="shared" si="57"/>
        <v>0</v>
      </c>
      <c r="DQ20" s="87">
        <f t="shared" si="58"/>
        <v>0</v>
      </c>
      <c r="DR20" s="87">
        <f t="shared" si="59"/>
        <v>0</v>
      </c>
      <c r="DS20" s="87">
        <f t="shared" si="60"/>
        <v>0</v>
      </c>
      <c r="DT20" s="87">
        <f t="shared" si="61"/>
        <v>0</v>
      </c>
      <c r="DU20" s="87">
        <f t="shared" si="66"/>
        <v>0</v>
      </c>
      <c r="DV20" s="87">
        <f t="shared" si="62"/>
        <v>0</v>
      </c>
      <c r="DW20" s="87">
        <f t="shared" si="63"/>
        <v>0</v>
      </c>
    </row>
    <row r="21" spans="1:130">
      <c r="A21" s="22" t="s">
        <v>679</v>
      </c>
      <c r="B21" s="26">
        <v>4987176273024</v>
      </c>
      <c r="C21" s="22" t="s">
        <v>707</v>
      </c>
      <c r="D21" s="22" t="s">
        <v>9</v>
      </c>
      <c r="E21" s="22">
        <v>246647</v>
      </c>
      <c r="F21" s="80" t="s">
        <v>672</v>
      </c>
      <c r="G21" s="25">
        <v>242</v>
      </c>
      <c r="H21" s="85">
        <f t="shared" si="5"/>
        <v>0</v>
      </c>
      <c r="I21" s="85">
        <f t="shared" si="6"/>
        <v>0</v>
      </c>
      <c r="J21" s="85">
        <f t="shared" si="7"/>
        <v>0</v>
      </c>
      <c r="K21" s="85">
        <f t="shared" si="8"/>
        <v>0</v>
      </c>
      <c r="L21" s="85">
        <f t="shared" si="9"/>
        <v>0</v>
      </c>
      <c r="M21" s="86">
        <f t="shared" si="10"/>
        <v>0</v>
      </c>
      <c r="N21" s="87">
        <f t="shared" si="11"/>
        <v>48642</v>
      </c>
      <c r="O21" s="87">
        <f t="shared" si="12"/>
        <v>242000</v>
      </c>
      <c r="P21" s="87">
        <f t="shared" si="13"/>
        <v>177144</v>
      </c>
      <c r="Q21" s="87">
        <f t="shared" si="14"/>
        <v>189486</v>
      </c>
      <c r="R21" s="87">
        <f t="shared" si="15"/>
        <v>151492</v>
      </c>
      <c r="S21" s="87">
        <f t="shared" si="16"/>
        <v>138182</v>
      </c>
      <c r="T21" s="87">
        <f t="shared" si="17"/>
        <v>121726</v>
      </c>
      <c r="U21" s="87">
        <f t="shared" si="18"/>
        <v>132374</v>
      </c>
      <c r="V21" s="87">
        <f t="shared" si="19"/>
        <v>163592</v>
      </c>
      <c r="W21" s="87">
        <f t="shared" si="20"/>
        <v>171820</v>
      </c>
      <c r="X21" s="87">
        <f t="shared" si="21"/>
        <v>189244</v>
      </c>
      <c r="Y21" s="86">
        <f t="shared" si="22"/>
        <v>192874</v>
      </c>
      <c r="Z21" s="87">
        <f t="shared" si="23"/>
        <v>188276</v>
      </c>
      <c r="AA21" s="87">
        <f t="shared" si="24"/>
        <v>145442</v>
      </c>
      <c r="AB21" s="87">
        <f t="shared" si="25"/>
        <v>146894</v>
      </c>
      <c r="AC21" s="87">
        <f t="shared" si="26"/>
        <v>157784</v>
      </c>
      <c r="AD21" s="87">
        <f t="shared" si="27"/>
        <v>84216</v>
      </c>
      <c r="AE21" s="87">
        <f t="shared" si="28"/>
        <v>32186</v>
      </c>
      <c r="AF21" s="87">
        <f t="shared" si="29"/>
        <v>8712</v>
      </c>
      <c r="AG21" s="87">
        <f t="shared" si="30"/>
        <v>968</v>
      </c>
      <c r="AH21" s="87">
        <f t="shared" si="31"/>
        <v>242</v>
      </c>
      <c r="AI21" s="87">
        <f t="shared" si="32"/>
        <v>4006.4444444444448</v>
      </c>
      <c r="AJ21" s="87">
        <f t="shared" si="33"/>
        <v>0</v>
      </c>
      <c r="AK21" s="86">
        <f t="shared" si="34"/>
        <v>0</v>
      </c>
      <c r="AR21" s="21">
        <v>201</v>
      </c>
      <c r="AS21" s="21">
        <v>940</v>
      </c>
      <c r="AT21" s="21">
        <v>667</v>
      </c>
      <c r="AU21" s="21">
        <v>711</v>
      </c>
      <c r="AV21" s="21">
        <v>586</v>
      </c>
      <c r="AW21" s="21">
        <v>562</v>
      </c>
      <c r="AX21" s="21">
        <v>491</v>
      </c>
      <c r="AY21" s="21">
        <v>523</v>
      </c>
      <c r="AZ21" s="21">
        <v>589</v>
      </c>
      <c r="BA21" s="21">
        <v>685</v>
      </c>
      <c r="BB21" s="21">
        <v>731</v>
      </c>
      <c r="BC21" s="42">
        <v>619</v>
      </c>
      <c r="BD21" s="21">
        <v>738</v>
      </c>
      <c r="BE21" s="21">
        <v>567</v>
      </c>
      <c r="BF21" s="21">
        <v>541</v>
      </c>
      <c r="BG21" s="21">
        <v>652</v>
      </c>
      <c r="BH21" s="21">
        <v>348</v>
      </c>
      <c r="BI21" s="21">
        <v>133</v>
      </c>
      <c r="BJ21" s="40">
        <v>36</v>
      </c>
      <c r="BK21" s="40">
        <v>4</v>
      </c>
      <c r="BL21" s="40">
        <v>1</v>
      </c>
      <c r="BM21" s="40">
        <v>1</v>
      </c>
      <c r="BV21" s="21">
        <v>0</v>
      </c>
      <c r="BW21" s="21">
        <v>60</v>
      </c>
      <c r="BX21" s="21">
        <v>65</v>
      </c>
      <c r="BY21" s="21">
        <v>72</v>
      </c>
      <c r="BZ21" s="21">
        <v>40</v>
      </c>
      <c r="CA21" s="21">
        <v>9</v>
      </c>
      <c r="CB21" s="21">
        <v>12</v>
      </c>
      <c r="CC21" s="21">
        <v>24</v>
      </c>
      <c r="CD21" s="21">
        <v>87</v>
      </c>
      <c r="CE21" s="21">
        <v>25</v>
      </c>
      <c r="CF21" s="21">
        <v>51</v>
      </c>
      <c r="CG21" s="42">
        <v>178</v>
      </c>
      <c r="CH21" s="21">
        <v>40</v>
      </c>
      <c r="CI21" s="21">
        <v>34</v>
      </c>
      <c r="CJ21" s="21">
        <v>66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f t="shared" si="64"/>
        <v>0</v>
      </c>
      <c r="CQ21" s="230">
        <f t="shared" si="65"/>
        <v>15.555555555555555</v>
      </c>
      <c r="CT21" s="85">
        <f t="shared" si="35"/>
        <v>0</v>
      </c>
      <c r="CU21" s="85">
        <f t="shared" si="36"/>
        <v>0</v>
      </c>
      <c r="CV21" s="85">
        <f t="shared" si="37"/>
        <v>0</v>
      </c>
      <c r="CW21" s="85">
        <f t="shared" si="38"/>
        <v>0</v>
      </c>
      <c r="CX21" s="85">
        <f t="shared" si="39"/>
        <v>0</v>
      </c>
      <c r="CY21" s="86">
        <f t="shared" si="40"/>
        <v>0</v>
      </c>
      <c r="CZ21" s="87">
        <f t="shared" si="41"/>
        <v>201</v>
      </c>
      <c r="DA21" s="87">
        <f t="shared" si="42"/>
        <v>1000</v>
      </c>
      <c r="DB21" s="87">
        <f t="shared" si="43"/>
        <v>732</v>
      </c>
      <c r="DC21" s="87">
        <f t="shared" si="44"/>
        <v>783</v>
      </c>
      <c r="DD21" s="87">
        <f t="shared" si="45"/>
        <v>626</v>
      </c>
      <c r="DE21" s="87">
        <f t="shared" si="46"/>
        <v>571</v>
      </c>
      <c r="DF21" s="87">
        <f t="shared" si="47"/>
        <v>503</v>
      </c>
      <c r="DG21" s="87">
        <f t="shared" si="48"/>
        <v>547</v>
      </c>
      <c r="DH21" s="87">
        <f t="shared" si="49"/>
        <v>676</v>
      </c>
      <c r="DI21" s="87">
        <f t="shared" si="50"/>
        <v>710</v>
      </c>
      <c r="DJ21" s="87">
        <f t="shared" si="51"/>
        <v>782</v>
      </c>
      <c r="DK21" s="86">
        <f t="shared" si="52"/>
        <v>797</v>
      </c>
      <c r="DL21" s="87">
        <f t="shared" si="53"/>
        <v>778</v>
      </c>
      <c r="DM21" s="87">
        <f t="shared" si="54"/>
        <v>601</v>
      </c>
      <c r="DN21" s="87">
        <f t="shared" si="55"/>
        <v>607</v>
      </c>
      <c r="DO21" s="87">
        <f t="shared" si="56"/>
        <v>652</v>
      </c>
      <c r="DP21" s="87">
        <f t="shared" si="57"/>
        <v>348</v>
      </c>
      <c r="DQ21" s="87">
        <f t="shared" si="58"/>
        <v>133</v>
      </c>
      <c r="DR21" s="87">
        <f t="shared" si="59"/>
        <v>36</v>
      </c>
      <c r="DS21" s="87">
        <f t="shared" si="60"/>
        <v>4</v>
      </c>
      <c r="DT21" s="87">
        <f t="shared" si="61"/>
        <v>1</v>
      </c>
      <c r="DU21" s="87">
        <f t="shared" si="66"/>
        <v>16.555555555555557</v>
      </c>
      <c r="DV21" s="87">
        <f t="shared" si="62"/>
        <v>0</v>
      </c>
      <c r="DW21" s="87">
        <f t="shared" si="63"/>
        <v>0</v>
      </c>
    </row>
    <row r="22" spans="1:130">
      <c r="A22" s="22" t="s">
        <v>679</v>
      </c>
      <c r="B22" s="26">
        <v>4987176291554</v>
      </c>
      <c r="C22" s="22" t="s">
        <v>707</v>
      </c>
      <c r="D22" s="22" t="s">
        <v>9</v>
      </c>
      <c r="E22" s="22">
        <v>256494</v>
      </c>
      <c r="F22" s="80" t="s">
        <v>673</v>
      </c>
      <c r="G22" s="25">
        <v>156.71</v>
      </c>
      <c r="H22" s="85">
        <f t="shared" si="5"/>
        <v>0</v>
      </c>
      <c r="I22" s="85">
        <f t="shared" si="6"/>
        <v>0</v>
      </c>
      <c r="J22" s="85">
        <f t="shared" si="7"/>
        <v>0</v>
      </c>
      <c r="K22" s="85">
        <f t="shared" si="8"/>
        <v>0</v>
      </c>
      <c r="L22" s="85">
        <f t="shared" si="9"/>
        <v>0</v>
      </c>
      <c r="M22" s="86">
        <f t="shared" si="10"/>
        <v>0</v>
      </c>
      <c r="N22" s="87">
        <f t="shared" si="11"/>
        <v>0</v>
      </c>
      <c r="O22" s="87">
        <f t="shared" si="12"/>
        <v>0</v>
      </c>
      <c r="P22" s="87">
        <f t="shared" si="13"/>
        <v>0</v>
      </c>
      <c r="Q22" s="87">
        <f t="shared" si="14"/>
        <v>0</v>
      </c>
      <c r="R22" s="87">
        <f t="shared" si="15"/>
        <v>0</v>
      </c>
      <c r="S22" s="87">
        <f t="shared" si="16"/>
        <v>43878.8</v>
      </c>
      <c r="T22" s="87">
        <f t="shared" si="17"/>
        <v>162194.85</v>
      </c>
      <c r="U22" s="87">
        <f t="shared" si="18"/>
        <v>31342</v>
      </c>
      <c r="V22" s="87">
        <f t="shared" si="19"/>
        <v>25543.73</v>
      </c>
      <c r="W22" s="87">
        <f t="shared" si="20"/>
        <v>20215.59</v>
      </c>
      <c r="X22" s="87">
        <f t="shared" si="21"/>
        <v>27110.83</v>
      </c>
      <c r="Y22" s="86">
        <f t="shared" si="22"/>
        <v>15514.29</v>
      </c>
      <c r="Z22" s="87">
        <f t="shared" si="23"/>
        <v>204349.84</v>
      </c>
      <c r="AA22" s="87">
        <f t="shared" si="24"/>
        <v>271108.3</v>
      </c>
      <c r="AB22" s="87">
        <f t="shared" si="25"/>
        <v>28521.22</v>
      </c>
      <c r="AC22" s="87">
        <f t="shared" si="26"/>
        <v>61273.61</v>
      </c>
      <c r="AD22" s="87">
        <f t="shared" si="27"/>
        <v>120666.70000000001</v>
      </c>
      <c r="AE22" s="87">
        <f t="shared" si="28"/>
        <v>93555.87000000001</v>
      </c>
      <c r="AF22" s="87">
        <f t="shared" si="29"/>
        <v>241333.40000000002</v>
      </c>
      <c r="AG22" s="87">
        <f t="shared" si="30"/>
        <v>37453.69</v>
      </c>
      <c r="AH22" s="87">
        <f t="shared" si="31"/>
        <v>48423.39</v>
      </c>
      <c r="AI22" s="87">
        <f t="shared" si="32"/>
        <v>86416.858888888892</v>
      </c>
      <c r="AJ22" s="87">
        <f t="shared" si="33"/>
        <v>0</v>
      </c>
      <c r="AK22" s="86">
        <f t="shared" si="34"/>
        <v>0</v>
      </c>
      <c r="AW22" s="21">
        <v>250</v>
      </c>
      <c r="AX22" s="21">
        <v>1022</v>
      </c>
      <c r="AY22" s="21">
        <v>156</v>
      </c>
      <c r="AZ22" s="21">
        <v>145</v>
      </c>
      <c r="BA22" s="21">
        <v>118</v>
      </c>
      <c r="BB22" s="21">
        <v>141</v>
      </c>
      <c r="BC22" s="42">
        <v>79</v>
      </c>
      <c r="BD22" s="21">
        <v>1220</v>
      </c>
      <c r="BE22" s="21">
        <v>1703</v>
      </c>
      <c r="BF22" s="21">
        <v>152</v>
      </c>
      <c r="BG22" s="21">
        <v>219</v>
      </c>
      <c r="BH22" s="21">
        <v>166</v>
      </c>
      <c r="BI22" s="21">
        <v>181</v>
      </c>
      <c r="BJ22" s="40">
        <v>1486</v>
      </c>
      <c r="BK22" s="40">
        <v>215</v>
      </c>
      <c r="BL22" s="40">
        <v>285</v>
      </c>
      <c r="BM22" s="40">
        <v>392</v>
      </c>
      <c r="CA22" s="21">
        <v>30</v>
      </c>
      <c r="CB22" s="21">
        <v>13</v>
      </c>
      <c r="CC22" s="21">
        <v>44</v>
      </c>
      <c r="CD22" s="21">
        <v>18</v>
      </c>
      <c r="CE22" s="21">
        <v>11</v>
      </c>
      <c r="CF22" s="21">
        <v>32</v>
      </c>
      <c r="CG22" s="42">
        <v>20</v>
      </c>
      <c r="CH22" s="21">
        <v>84</v>
      </c>
      <c r="CI22" s="21">
        <v>27</v>
      </c>
      <c r="CJ22" s="21">
        <v>30</v>
      </c>
      <c r="CK22" s="21">
        <v>172</v>
      </c>
      <c r="CL22" s="21">
        <v>604</v>
      </c>
      <c r="CM22" s="21">
        <v>416</v>
      </c>
      <c r="CN22" s="21">
        <v>54</v>
      </c>
      <c r="CO22" s="21">
        <v>24</v>
      </c>
      <c r="CP22" s="21">
        <f t="shared" si="64"/>
        <v>24</v>
      </c>
      <c r="CQ22" s="230">
        <f t="shared" si="65"/>
        <v>159.44444444444446</v>
      </c>
      <c r="CT22" s="85">
        <f t="shared" si="35"/>
        <v>0</v>
      </c>
      <c r="CU22" s="85">
        <f t="shared" si="36"/>
        <v>0</v>
      </c>
      <c r="CV22" s="85">
        <f t="shared" si="37"/>
        <v>0</v>
      </c>
      <c r="CW22" s="85">
        <f t="shared" si="38"/>
        <v>0</v>
      </c>
      <c r="CX22" s="85">
        <f t="shared" si="39"/>
        <v>0</v>
      </c>
      <c r="CY22" s="86">
        <f t="shared" si="40"/>
        <v>0</v>
      </c>
      <c r="CZ22" s="87">
        <f t="shared" si="41"/>
        <v>0</v>
      </c>
      <c r="DA22" s="87">
        <f t="shared" si="42"/>
        <v>0</v>
      </c>
      <c r="DB22" s="87">
        <f t="shared" si="43"/>
        <v>0</v>
      </c>
      <c r="DC22" s="87">
        <f t="shared" si="44"/>
        <v>0</v>
      </c>
      <c r="DD22" s="87">
        <f t="shared" si="45"/>
        <v>0</v>
      </c>
      <c r="DE22" s="87">
        <f t="shared" si="46"/>
        <v>280</v>
      </c>
      <c r="DF22" s="87">
        <f t="shared" si="47"/>
        <v>1035</v>
      </c>
      <c r="DG22" s="87">
        <f t="shared" si="48"/>
        <v>200</v>
      </c>
      <c r="DH22" s="87">
        <f t="shared" si="49"/>
        <v>163</v>
      </c>
      <c r="DI22" s="87">
        <f t="shared" si="50"/>
        <v>129</v>
      </c>
      <c r="DJ22" s="87">
        <f t="shared" si="51"/>
        <v>173</v>
      </c>
      <c r="DK22" s="86">
        <f t="shared" si="52"/>
        <v>99</v>
      </c>
      <c r="DL22" s="87">
        <f t="shared" si="53"/>
        <v>1304</v>
      </c>
      <c r="DM22" s="87">
        <f t="shared" si="54"/>
        <v>1730</v>
      </c>
      <c r="DN22" s="87">
        <f t="shared" si="55"/>
        <v>182</v>
      </c>
      <c r="DO22" s="87">
        <f t="shared" si="56"/>
        <v>391</v>
      </c>
      <c r="DP22" s="87">
        <f t="shared" si="57"/>
        <v>770</v>
      </c>
      <c r="DQ22" s="87">
        <f t="shared" si="58"/>
        <v>597</v>
      </c>
      <c r="DR22" s="87">
        <f t="shared" si="59"/>
        <v>1540</v>
      </c>
      <c r="DS22" s="87">
        <f t="shared" si="60"/>
        <v>239</v>
      </c>
      <c r="DT22" s="87">
        <f t="shared" si="61"/>
        <v>309</v>
      </c>
      <c r="DU22" s="87">
        <f t="shared" si="66"/>
        <v>551.44444444444446</v>
      </c>
      <c r="DV22" s="87">
        <f t="shared" si="62"/>
        <v>0</v>
      </c>
      <c r="DW22" s="87">
        <f t="shared" si="63"/>
        <v>0</v>
      </c>
    </row>
    <row r="23" spans="1:130">
      <c r="A23" s="22" t="s">
        <v>679</v>
      </c>
      <c r="B23" s="26">
        <v>4987176291561</v>
      </c>
      <c r="C23" s="22" t="s">
        <v>707</v>
      </c>
      <c r="D23" s="22" t="s">
        <v>9</v>
      </c>
      <c r="E23" s="22">
        <v>256694</v>
      </c>
      <c r="F23" s="80" t="s">
        <v>674</v>
      </c>
      <c r="G23" s="25">
        <v>156.71</v>
      </c>
      <c r="H23" s="85">
        <f t="shared" si="5"/>
        <v>0</v>
      </c>
      <c r="I23" s="85">
        <f t="shared" si="6"/>
        <v>0</v>
      </c>
      <c r="J23" s="85">
        <f t="shared" si="7"/>
        <v>0</v>
      </c>
      <c r="K23" s="85">
        <f t="shared" si="8"/>
        <v>0</v>
      </c>
      <c r="L23" s="85">
        <f t="shared" si="9"/>
        <v>0</v>
      </c>
      <c r="M23" s="86">
        <f t="shared" si="10"/>
        <v>0</v>
      </c>
      <c r="N23" s="87">
        <f t="shared" si="11"/>
        <v>0</v>
      </c>
      <c r="O23" s="87">
        <f t="shared" si="12"/>
        <v>0</v>
      </c>
      <c r="P23" s="87">
        <f t="shared" si="13"/>
        <v>0</v>
      </c>
      <c r="Q23" s="87">
        <f t="shared" si="14"/>
        <v>0</v>
      </c>
      <c r="R23" s="87">
        <f t="shared" si="15"/>
        <v>0</v>
      </c>
      <c r="S23" s="87">
        <f t="shared" si="16"/>
        <v>44035.51</v>
      </c>
      <c r="T23" s="87">
        <f t="shared" si="17"/>
        <v>191186.2</v>
      </c>
      <c r="U23" s="87">
        <f t="shared" si="18"/>
        <v>35259.75</v>
      </c>
      <c r="V23" s="87">
        <f t="shared" si="19"/>
        <v>22409.530000000002</v>
      </c>
      <c r="W23" s="87">
        <f t="shared" si="20"/>
        <v>26797.41</v>
      </c>
      <c r="X23" s="87">
        <f t="shared" si="21"/>
        <v>29148.06</v>
      </c>
      <c r="Y23" s="86">
        <f t="shared" si="22"/>
        <v>19275.330000000002</v>
      </c>
      <c r="Z23" s="87">
        <f t="shared" si="23"/>
        <v>224408.72</v>
      </c>
      <c r="AA23" s="87">
        <f t="shared" si="24"/>
        <v>280824.32000000001</v>
      </c>
      <c r="AB23" s="87">
        <f t="shared" si="25"/>
        <v>34632.910000000003</v>
      </c>
      <c r="AC23" s="87">
        <f t="shared" si="26"/>
        <v>55475.340000000004</v>
      </c>
      <c r="AD23" s="87">
        <f t="shared" si="27"/>
        <v>38393.950000000004</v>
      </c>
      <c r="AE23" s="87">
        <f t="shared" si="28"/>
        <v>32752.390000000003</v>
      </c>
      <c r="AF23" s="87">
        <f t="shared" si="29"/>
        <v>22566.240000000002</v>
      </c>
      <c r="AG23" s="87">
        <f t="shared" si="30"/>
        <v>20058.88</v>
      </c>
      <c r="AH23" s="87">
        <f t="shared" si="31"/>
        <v>28051.09</v>
      </c>
      <c r="AI23" s="87">
        <f t="shared" si="32"/>
        <v>56798.668888888897</v>
      </c>
      <c r="AJ23" s="87">
        <f t="shared" si="33"/>
        <v>0</v>
      </c>
      <c r="AK23" s="86">
        <f t="shared" si="34"/>
        <v>0</v>
      </c>
      <c r="AW23" s="21">
        <v>252</v>
      </c>
      <c r="AX23" s="21">
        <v>1204</v>
      </c>
      <c r="AY23" s="21">
        <v>200</v>
      </c>
      <c r="AZ23" s="21">
        <v>128</v>
      </c>
      <c r="BA23" s="21">
        <v>150</v>
      </c>
      <c r="BB23" s="21">
        <v>154</v>
      </c>
      <c r="BC23" s="42">
        <v>97</v>
      </c>
      <c r="BD23" s="21">
        <v>1326</v>
      </c>
      <c r="BE23" s="21">
        <v>1757</v>
      </c>
      <c r="BF23" s="21">
        <v>172</v>
      </c>
      <c r="BG23" s="21">
        <v>241</v>
      </c>
      <c r="BH23" s="21">
        <v>175</v>
      </c>
      <c r="BI23" s="21">
        <v>171</v>
      </c>
      <c r="BJ23" s="40">
        <v>104</v>
      </c>
      <c r="BK23" s="40">
        <v>113</v>
      </c>
      <c r="BL23" s="40">
        <v>164</v>
      </c>
      <c r="BM23" s="40">
        <v>309</v>
      </c>
      <c r="CA23" s="21">
        <v>29</v>
      </c>
      <c r="CB23" s="21">
        <v>16</v>
      </c>
      <c r="CC23" s="21">
        <v>25</v>
      </c>
      <c r="CD23" s="21">
        <v>15</v>
      </c>
      <c r="CE23" s="21">
        <v>21</v>
      </c>
      <c r="CF23" s="21">
        <v>32</v>
      </c>
      <c r="CG23" s="42">
        <v>26</v>
      </c>
      <c r="CH23" s="21">
        <v>106</v>
      </c>
      <c r="CI23" s="21">
        <v>35</v>
      </c>
      <c r="CJ23" s="21">
        <v>49</v>
      </c>
      <c r="CK23" s="21">
        <v>113</v>
      </c>
      <c r="CL23" s="21">
        <v>70</v>
      </c>
      <c r="CM23" s="21">
        <v>38</v>
      </c>
      <c r="CN23" s="21">
        <v>40</v>
      </c>
      <c r="CO23" s="21">
        <v>15</v>
      </c>
      <c r="CP23" s="21">
        <f t="shared" si="64"/>
        <v>15</v>
      </c>
      <c r="CQ23" s="230">
        <f t="shared" si="65"/>
        <v>53.444444444444443</v>
      </c>
      <c r="CT23" s="85">
        <f t="shared" si="35"/>
        <v>0</v>
      </c>
      <c r="CU23" s="85">
        <f t="shared" si="36"/>
        <v>0</v>
      </c>
      <c r="CV23" s="85">
        <f t="shared" si="37"/>
        <v>0</v>
      </c>
      <c r="CW23" s="85">
        <f t="shared" si="38"/>
        <v>0</v>
      </c>
      <c r="CX23" s="85">
        <f t="shared" si="39"/>
        <v>0</v>
      </c>
      <c r="CY23" s="86">
        <f t="shared" si="40"/>
        <v>0</v>
      </c>
      <c r="CZ23" s="87">
        <f t="shared" si="41"/>
        <v>0</v>
      </c>
      <c r="DA23" s="87">
        <f t="shared" si="42"/>
        <v>0</v>
      </c>
      <c r="DB23" s="87">
        <f t="shared" si="43"/>
        <v>0</v>
      </c>
      <c r="DC23" s="87">
        <f t="shared" si="44"/>
        <v>0</v>
      </c>
      <c r="DD23" s="87">
        <f t="shared" si="45"/>
        <v>0</v>
      </c>
      <c r="DE23" s="87">
        <f t="shared" si="46"/>
        <v>281</v>
      </c>
      <c r="DF23" s="87">
        <f t="shared" si="47"/>
        <v>1220</v>
      </c>
      <c r="DG23" s="87">
        <f t="shared" si="48"/>
        <v>225</v>
      </c>
      <c r="DH23" s="87">
        <f t="shared" si="49"/>
        <v>143</v>
      </c>
      <c r="DI23" s="87">
        <f t="shared" si="50"/>
        <v>171</v>
      </c>
      <c r="DJ23" s="87">
        <f t="shared" si="51"/>
        <v>186</v>
      </c>
      <c r="DK23" s="86">
        <f t="shared" si="52"/>
        <v>123</v>
      </c>
      <c r="DL23" s="87">
        <f t="shared" si="53"/>
        <v>1432</v>
      </c>
      <c r="DM23" s="87">
        <f t="shared" si="54"/>
        <v>1792</v>
      </c>
      <c r="DN23" s="87">
        <f t="shared" si="55"/>
        <v>221</v>
      </c>
      <c r="DO23" s="87">
        <f t="shared" si="56"/>
        <v>354</v>
      </c>
      <c r="DP23" s="87">
        <f t="shared" si="57"/>
        <v>245</v>
      </c>
      <c r="DQ23" s="87">
        <f t="shared" si="58"/>
        <v>209</v>
      </c>
      <c r="DR23" s="87">
        <f t="shared" si="59"/>
        <v>144</v>
      </c>
      <c r="DS23" s="87">
        <f t="shared" si="60"/>
        <v>128</v>
      </c>
      <c r="DT23" s="87">
        <f t="shared" si="61"/>
        <v>179</v>
      </c>
      <c r="DU23" s="87">
        <f t="shared" si="66"/>
        <v>362.44444444444446</v>
      </c>
      <c r="DV23" s="87">
        <f t="shared" si="62"/>
        <v>0</v>
      </c>
      <c r="DW23" s="87">
        <f t="shared" si="63"/>
        <v>0</v>
      </c>
      <c r="DZ23" s="87"/>
    </row>
    <row r="24" spans="1:130">
      <c r="A24" s="22" t="s">
        <v>679</v>
      </c>
      <c r="B24" s="26">
        <v>4987176360502</v>
      </c>
      <c r="C24" s="22" t="s">
        <v>707</v>
      </c>
      <c r="D24" s="22" t="s">
        <v>9</v>
      </c>
      <c r="E24" s="22">
        <v>275860</v>
      </c>
      <c r="F24" s="80" t="s">
        <v>692</v>
      </c>
      <c r="G24" s="25">
        <v>259.3</v>
      </c>
      <c r="H24" s="85">
        <f t="shared" si="5"/>
        <v>0</v>
      </c>
      <c r="I24" s="85">
        <f t="shared" si="6"/>
        <v>0</v>
      </c>
      <c r="J24" s="85">
        <f t="shared" si="7"/>
        <v>0</v>
      </c>
      <c r="K24" s="85">
        <f t="shared" si="8"/>
        <v>0</v>
      </c>
      <c r="L24" s="85">
        <f t="shared" si="9"/>
        <v>0</v>
      </c>
      <c r="M24" s="86">
        <f t="shared" si="10"/>
        <v>0</v>
      </c>
      <c r="N24" s="87">
        <f t="shared" si="11"/>
        <v>0</v>
      </c>
      <c r="O24" s="87">
        <f t="shared" si="12"/>
        <v>0</v>
      </c>
      <c r="P24" s="87">
        <f t="shared" si="13"/>
        <v>0</v>
      </c>
      <c r="Q24" s="87">
        <f t="shared" si="14"/>
        <v>0</v>
      </c>
      <c r="R24" s="87">
        <f t="shared" si="15"/>
        <v>0</v>
      </c>
      <c r="S24" s="87">
        <f t="shared" si="16"/>
        <v>0</v>
      </c>
      <c r="T24" s="87">
        <f t="shared" si="17"/>
        <v>0</v>
      </c>
      <c r="U24" s="87">
        <f t="shared" si="18"/>
        <v>0</v>
      </c>
      <c r="V24" s="87">
        <f t="shared" si="19"/>
        <v>0</v>
      </c>
      <c r="W24" s="87">
        <f t="shared" si="20"/>
        <v>0</v>
      </c>
      <c r="X24" s="87">
        <f t="shared" si="21"/>
        <v>0</v>
      </c>
      <c r="Y24" s="86">
        <f t="shared" si="22"/>
        <v>0</v>
      </c>
      <c r="Z24" s="87">
        <f t="shared" si="23"/>
        <v>0</v>
      </c>
      <c r="AA24" s="87">
        <f t="shared" si="24"/>
        <v>0</v>
      </c>
      <c r="AB24" s="87">
        <f t="shared" si="25"/>
        <v>0</v>
      </c>
      <c r="AC24" s="87">
        <f t="shared" si="26"/>
        <v>777.90000000000009</v>
      </c>
      <c r="AD24" s="87">
        <f t="shared" si="27"/>
        <v>157654.39999999999</v>
      </c>
      <c r="AE24" s="87">
        <f t="shared" si="28"/>
        <v>255929.1</v>
      </c>
      <c r="AF24" s="87">
        <f t="shared" si="29"/>
        <v>106313</v>
      </c>
      <c r="AG24" s="87">
        <f t="shared" si="30"/>
        <v>136910.39999999999</v>
      </c>
      <c r="AH24" s="87">
        <f t="shared" si="31"/>
        <v>164655.5</v>
      </c>
      <c r="AI24" s="87">
        <f t="shared" si="32"/>
        <v>211617.61111111112</v>
      </c>
      <c r="AJ24" s="87">
        <f t="shared" si="33"/>
        <v>0</v>
      </c>
      <c r="AK24" s="86">
        <f t="shared" si="34"/>
        <v>0</v>
      </c>
      <c r="BH24" s="21">
        <v>418</v>
      </c>
      <c r="BI24" s="21">
        <v>969</v>
      </c>
      <c r="BJ24" s="40">
        <v>394</v>
      </c>
      <c r="BK24" s="40">
        <v>515</v>
      </c>
      <c r="BL24" s="40">
        <v>622</v>
      </c>
      <c r="BM24" s="40">
        <v>788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42">
        <v>0</v>
      </c>
      <c r="CH24" s="21">
        <v>0</v>
      </c>
      <c r="CI24" s="21">
        <v>0</v>
      </c>
      <c r="CJ24" s="21">
        <v>0</v>
      </c>
      <c r="CK24" s="21">
        <v>3</v>
      </c>
      <c r="CL24" s="21">
        <v>190</v>
      </c>
      <c r="CM24" s="21">
        <v>18</v>
      </c>
      <c r="CN24" s="21">
        <v>16</v>
      </c>
      <c r="CO24" s="21">
        <v>13</v>
      </c>
      <c r="CP24" s="21">
        <f t="shared" si="64"/>
        <v>13</v>
      </c>
      <c r="CQ24" s="230">
        <f t="shared" si="65"/>
        <v>28.111111111111111</v>
      </c>
      <c r="CT24" s="85">
        <f t="shared" si="35"/>
        <v>0</v>
      </c>
      <c r="CU24" s="85">
        <f t="shared" si="36"/>
        <v>0</v>
      </c>
      <c r="CV24" s="85">
        <f t="shared" si="37"/>
        <v>0</v>
      </c>
      <c r="CW24" s="85">
        <f t="shared" si="38"/>
        <v>0</v>
      </c>
      <c r="CX24" s="85">
        <f t="shared" si="39"/>
        <v>0</v>
      </c>
      <c r="CY24" s="86">
        <f t="shared" si="40"/>
        <v>0</v>
      </c>
      <c r="CZ24" s="87">
        <f t="shared" si="41"/>
        <v>0</v>
      </c>
      <c r="DA24" s="87">
        <f t="shared" si="42"/>
        <v>0</v>
      </c>
      <c r="DB24" s="87">
        <f t="shared" si="43"/>
        <v>0</v>
      </c>
      <c r="DC24" s="87">
        <f t="shared" si="44"/>
        <v>0</v>
      </c>
      <c r="DD24" s="87">
        <f t="shared" si="45"/>
        <v>0</v>
      </c>
      <c r="DE24" s="87">
        <f t="shared" si="46"/>
        <v>0</v>
      </c>
      <c r="DF24" s="87">
        <f t="shared" si="47"/>
        <v>0</v>
      </c>
      <c r="DG24" s="87">
        <f t="shared" si="48"/>
        <v>0</v>
      </c>
      <c r="DH24" s="87">
        <f t="shared" si="49"/>
        <v>0</v>
      </c>
      <c r="DI24" s="87">
        <f t="shared" si="50"/>
        <v>0</v>
      </c>
      <c r="DJ24" s="87">
        <f t="shared" si="51"/>
        <v>0</v>
      </c>
      <c r="DK24" s="86">
        <f t="shared" si="52"/>
        <v>0</v>
      </c>
      <c r="DL24" s="87">
        <f t="shared" si="53"/>
        <v>0</v>
      </c>
      <c r="DM24" s="87">
        <f t="shared" si="54"/>
        <v>0</v>
      </c>
      <c r="DN24" s="87">
        <f t="shared" si="55"/>
        <v>0</v>
      </c>
      <c r="DO24" s="87">
        <f t="shared" si="56"/>
        <v>3</v>
      </c>
      <c r="DP24" s="87">
        <f t="shared" si="57"/>
        <v>608</v>
      </c>
      <c r="DQ24" s="87">
        <f t="shared" si="58"/>
        <v>987</v>
      </c>
      <c r="DR24" s="87">
        <f t="shared" si="59"/>
        <v>410</v>
      </c>
      <c r="DS24" s="87">
        <f t="shared" si="60"/>
        <v>528</v>
      </c>
      <c r="DT24" s="87">
        <f t="shared" si="61"/>
        <v>635</v>
      </c>
      <c r="DU24" s="87">
        <f t="shared" si="66"/>
        <v>816.11111111111109</v>
      </c>
      <c r="DV24" s="87">
        <f t="shared" si="62"/>
        <v>0</v>
      </c>
      <c r="DW24" s="87">
        <f t="shared" si="63"/>
        <v>0</v>
      </c>
      <c r="DZ24" s="87"/>
    </row>
    <row r="25" spans="1:130">
      <c r="A25" s="22" t="s">
        <v>679</v>
      </c>
      <c r="B25" s="26">
        <v>4987176360519</v>
      </c>
      <c r="C25" s="22" t="s">
        <v>707</v>
      </c>
      <c r="D25" s="22" t="s">
        <v>9</v>
      </c>
      <c r="E25" s="22">
        <v>275934</v>
      </c>
      <c r="F25" s="80" t="s">
        <v>693</v>
      </c>
      <c r="G25" s="25">
        <v>259.3</v>
      </c>
      <c r="H25" s="85">
        <f t="shared" si="5"/>
        <v>0</v>
      </c>
      <c r="I25" s="85">
        <f t="shared" si="6"/>
        <v>0</v>
      </c>
      <c r="J25" s="85">
        <f t="shared" si="7"/>
        <v>0</v>
      </c>
      <c r="K25" s="85">
        <f t="shared" si="8"/>
        <v>0</v>
      </c>
      <c r="L25" s="85">
        <f t="shared" si="9"/>
        <v>0</v>
      </c>
      <c r="M25" s="86">
        <f t="shared" si="10"/>
        <v>0</v>
      </c>
      <c r="N25" s="87">
        <f t="shared" si="11"/>
        <v>0</v>
      </c>
      <c r="O25" s="87">
        <f t="shared" si="12"/>
        <v>0</v>
      </c>
      <c r="P25" s="87">
        <f t="shared" si="13"/>
        <v>0</v>
      </c>
      <c r="Q25" s="87">
        <f t="shared" si="14"/>
        <v>0</v>
      </c>
      <c r="R25" s="87">
        <f t="shared" si="15"/>
        <v>0</v>
      </c>
      <c r="S25" s="87">
        <f t="shared" si="16"/>
        <v>0</v>
      </c>
      <c r="T25" s="87">
        <f t="shared" si="17"/>
        <v>0</v>
      </c>
      <c r="U25" s="87">
        <f t="shared" si="18"/>
        <v>0</v>
      </c>
      <c r="V25" s="87">
        <f t="shared" si="19"/>
        <v>0</v>
      </c>
      <c r="W25" s="87">
        <f t="shared" si="20"/>
        <v>0</v>
      </c>
      <c r="X25" s="87">
        <f t="shared" si="21"/>
        <v>0</v>
      </c>
      <c r="Y25" s="86">
        <f t="shared" si="22"/>
        <v>0</v>
      </c>
      <c r="Z25" s="87">
        <f t="shared" si="23"/>
        <v>0</v>
      </c>
      <c r="AA25" s="87">
        <f t="shared" si="24"/>
        <v>0</v>
      </c>
      <c r="AB25" s="87">
        <f t="shared" si="25"/>
        <v>0</v>
      </c>
      <c r="AC25" s="87">
        <f t="shared" si="26"/>
        <v>0</v>
      </c>
      <c r="AD25" s="87">
        <f t="shared" si="27"/>
        <v>62750.600000000006</v>
      </c>
      <c r="AE25" s="87">
        <f t="shared" si="28"/>
        <v>127057</v>
      </c>
      <c r="AF25" s="87">
        <f t="shared" si="29"/>
        <v>52378.600000000006</v>
      </c>
      <c r="AG25" s="87">
        <f t="shared" si="30"/>
        <v>64047.100000000006</v>
      </c>
      <c r="AH25" s="87">
        <f t="shared" si="31"/>
        <v>55490.200000000004</v>
      </c>
      <c r="AI25" s="87">
        <f t="shared" si="32"/>
        <v>75110.56666666668</v>
      </c>
      <c r="AJ25" s="87">
        <f t="shared" si="33"/>
        <v>0</v>
      </c>
      <c r="AK25" s="86">
        <f t="shared" si="34"/>
        <v>0</v>
      </c>
      <c r="BH25" s="21">
        <v>170</v>
      </c>
      <c r="BI25" s="21">
        <v>484</v>
      </c>
      <c r="BJ25" s="40">
        <v>195</v>
      </c>
      <c r="BK25" s="40">
        <v>246</v>
      </c>
      <c r="BL25" s="40">
        <v>213</v>
      </c>
      <c r="BM25" s="40">
        <v>280</v>
      </c>
      <c r="CA25" s="21">
        <v>0</v>
      </c>
      <c r="CB25" s="21">
        <v>0</v>
      </c>
      <c r="CC25" s="21">
        <v>0</v>
      </c>
      <c r="CD25" s="21">
        <v>0</v>
      </c>
      <c r="CE25" s="21">
        <v>0</v>
      </c>
      <c r="CF25" s="21">
        <v>0</v>
      </c>
      <c r="CG25" s="42">
        <v>0</v>
      </c>
      <c r="CH25" s="21">
        <v>0</v>
      </c>
      <c r="CI25" s="21">
        <v>0</v>
      </c>
      <c r="CJ25" s="21">
        <v>0</v>
      </c>
      <c r="CK25" s="21">
        <v>0</v>
      </c>
      <c r="CL25" s="21">
        <v>72</v>
      </c>
      <c r="CM25" s="21">
        <v>6</v>
      </c>
      <c r="CN25" s="21">
        <v>7</v>
      </c>
      <c r="CO25" s="21">
        <v>1</v>
      </c>
      <c r="CP25" s="21">
        <f t="shared" si="64"/>
        <v>1</v>
      </c>
      <c r="CQ25" s="230">
        <f t="shared" si="65"/>
        <v>9.6666666666666661</v>
      </c>
      <c r="CT25" s="85">
        <f t="shared" si="35"/>
        <v>0</v>
      </c>
      <c r="CU25" s="85">
        <f t="shared" si="36"/>
        <v>0</v>
      </c>
      <c r="CV25" s="85">
        <f t="shared" si="37"/>
        <v>0</v>
      </c>
      <c r="CW25" s="85">
        <f t="shared" si="38"/>
        <v>0</v>
      </c>
      <c r="CX25" s="85">
        <f t="shared" si="39"/>
        <v>0</v>
      </c>
      <c r="CY25" s="86">
        <f t="shared" si="40"/>
        <v>0</v>
      </c>
      <c r="CZ25" s="87">
        <f t="shared" si="41"/>
        <v>0</v>
      </c>
      <c r="DA25" s="87">
        <f t="shared" si="42"/>
        <v>0</v>
      </c>
      <c r="DB25" s="87">
        <f t="shared" si="43"/>
        <v>0</v>
      </c>
      <c r="DC25" s="87">
        <f t="shared" si="44"/>
        <v>0</v>
      </c>
      <c r="DD25" s="87">
        <f t="shared" si="45"/>
        <v>0</v>
      </c>
      <c r="DE25" s="87">
        <f t="shared" si="46"/>
        <v>0</v>
      </c>
      <c r="DF25" s="87">
        <f t="shared" si="47"/>
        <v>0</v>
      </c>
      <c r="DG25" s="87">
        <f t="shared" si="48"/>
        <v>0</v>
      </c>
      <c r="DH25" s="87">
        <f t="shared" si="49"/>
        <v>0</v>
      </c>
      <c r="DI25" s="87">
        <f t="shared" si="50"/>
        <v>0</v>
      </c>
      <c r="DJ25" s="87">
        <f t="shared" si="51"/>
        <v>0</v>
      </c>
      <c r="DK25" s="86">
        <f t="shared" si="52"/>
        <v>0</v>
      </c>
      <c r="DL25" s="87">
        <f t="shared" si="53"/>
        <v>0</v>
      </c>
      <c r="DM25" s="87">
        <f t="shared" si="54"/>
        <v>0</v>
      </c>
      <c r="DN25" s="87">
        <f t="shared" si="55"/>
        <v>0</v>
      </c>
      <c r="DO25" s="87">
        <f t="shared" si="56"/>
        <v>0</v>
      </c>
      <c r="DP25" s="87">
        <f t="shared" si="57"/>
        <v>242</v>
      </c>
      <c r="DQ25" s="87">
        <f t="shared" si="58"/>
        <v>490</v>
      </c>
      <c r="DR25" s="87">
        <f t="shared" si="59"/>
        <v>202</v>
      </c>
      <c r="DS25" s="87">
        <f t="shared" si="60"/>
        <v>247</v>
      </c>
      <c r="DT25" s="87">
        <f t="shared" si="61"/>
        <v>214</v>
      </c>
      <c r="DU25" s="87">
        <f t="shared" si="66"/>
        <v>289.66666666666669</v>
      </c>
      <c r="DV25" s="87">
        <f t="shared" si="62"/>
        <v>0</v>
      </c>
      <c r="DW25" s="87">
        <f t="shared" si="63"/>
        <v>0</v>
      </c>
      <c r="DZ25" s="87"/>
    </row>
    <row r="26" spans="1:130">
      <c r="A26" s="22" t="s">
        <v>679</v>
      </c>
      <c r="B26" s="26">
        <v>4987176360526</v>
      </c>
      <c r="C26" s="22" t="s">
        <v>707</v>
      </c>
      <c r="D26" s="22" t="s">
        <v>9</v>
      </c>
      <c r="E26" s="22">
        <v>275937</v>
      </c>
      <c r="F26" s="80" t="s">
        <v>694</v>
      </c>
      <c r="G26" s="25">
        <v>259.3</v>
      </c>
      <c r="H26" s="85">
        <f t="shared" si="5"/>
        <v>0</v>
      </c>
      <c r="I26" s="85">
        <f t="shared" si="6"/>
        <v>0</v>
      </c>
      <c r="J26" s="85">
        <f t="shared" si="7"/>
        <v>0</v>
      </c>
      <c r="K26" s="85">
        <f t="shared" si="8"/>
        <v>0</v>
      </c>
      <c r="L26" s="85">
        <f t="shared" si="9"/>
        <v>0</v>
      </c>
      <c r="M26" s="86">
        <f t="shared" si="10"/>
        <v>0</v>
      </c>
      <c r="N26" s="87">
        <f t="shared" si="11"/>
        <v>0</v>
      </c>
      <c r="O26" s="87">
        <f t="shared" si="12"/>
        <v>0</v>
      </c>
      <c r="P26" s="87">
        <f t="shared" si="13"/>
        <v>0</v>
      </c>
      <c r="Q26" s="87">
        <f t="shared" si="14"/>
        <v>0</v>
      </c>
      <c r="R26" s="87">
        <f t="shared" si="15"/>
        <v>0</v>
      </c>
      <c r="S26" s="87">
        <f t="shared" si="16"/>
        <v>0</v>
      </c>
      <c r="T26" s="87">
        <f t="shared" si="17"/>
        <v>0</v>
      </c>
      <c r="U26" s="87">
        <f t="shared" si="18"/>
        <v>0</v>
      </c>
      <c r="V26" s="87">
        <f t="shared" si="19"/>
        <v>0</v>
      </c>
      <c r="W26" s="87">
        <f t="shared" si="20"/>
        <v>0</v>
      </c>
      <c r="X26" s="87">
        <f t="shared" si="21"/>
        <v>0</v>
      </c>
      <c r="Y26" s="86">
        <f t="shared" si="22"/>
        <v>0</v>
      </c>
      <c r="Z26" s="87">
        <f t="shared" si="23"/>
        <v>0</v>
      </c>
      <c r="AA26" s="87">
        <f t="shared" si="24"/>
        <v>0</v>
      </c>
      <c r="AB26" s="87">
        <f t="shared" si="25"/>
        <v>0</v>
      </c>
      <c r="AC26" s="87">
        <f t="shared" si="26"/>
        <v>1037.2</v>
      </c>
      <c r="AD26" s="87">
        <f t="shared" si="27"/>
        <v>98793.3</v>
      </c>
      <c r="AE26" s="87">
        <f t="shared" si="28"/>
        <v>181510</v>
      </c>
      <c r="AF26" s="87">
        <f t="shared" si="29"/>
        <v>85050.400000000009</v>
      </c>
      <c r="AG26" s="87">
        <f t="shared" si="30"/>
        <v>119796.6</v>
      </c>
      <c r="AH26" s="87">
        <f t="shared" si="31"/>
        <v>152209.1</v>
      </c>
      <c r="AI26" s="87">
        <f t="shared" si="32"/>
        <v>218100.11111111112</v>
      </c>
      <c r="AJ26" s="87">
        <f t="shared" si="33"/>
        <v>0</v>
      </c>
      <c r="AK26" s="86">
        <f t="shared" si="34"/>
        <v>0</v>
      </c>
      <c r="BH26" s="21">
        <v>318</v>
      </c>
      <c r="BI26" s="21">
        <v>693</v>
      </c>
      <c r="BJ26" s="40">
        <v>316</v>
      </c>
      <c r="BK26" s="40">
        <v>455</v>
      </c>
      <c r="BL26" s="40">
        <v>580</v>
      </c>
      <c r="BM26" s="40">
        <v>830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42">
        <v>0</v>
      </c>
      <c r="CH26" s="21">
        <v>0</v>
      </c>
      <c r="CI26" s="21">
        <v>0</v>
      </c>
      <c r="CJ26" s="21">
        <v>0</v>
      </c>
      <c r="CK26" s="21">
        <v>4</v>
      </c>
      <c r="CL26" s="21">
        <v>63</v>
      </c>
      <c r="CM26" s="21">
        <v>7</v>
      </c>
      <c r="CN26" s="21">
        <v>12</v>
      </c>
      <c r="CO26" s="21">
        <v>7</v>
      </c>
      <c r="CP26" s="21">
        <f t="shared" si="64"/>
        <v>7</v>
      </c>
      <c r="CQ26" s="230">
        <f t="shared" si="65"/>
        <v>11.111111111111111</v>
      </c>
      <c r="CT26" s="85">
        <f t="shared" si="35"/>
        <v>0</v>
      </c>
      <c r="CU26" s="85">
        <f t="shared" si="36"/>
        <v>0</v>
      </c>
      <c r="CV26" s="85">
        <f t="shared" si="37"/>
        <v>0</v>
      </c>
      <c r="CW26" s="85">
        <f t="shared" si="38"/>
        <v>0</v>
      </c>
      <c r="CX26" s="85">
        <f t="shared" si="39"/>
        <v>0</v>
      </c>
      <c r="CY26" s="86">
        <f t="shared" si="40"/>
        <v>0</v>
      </c>
      <c r="CZ26" s="87">
        <f t="shared" si="41"/>
        <v>0</v>
      </c>
      <c r="DA26" s="87">
        <f t="shared" si="42"/>
        <v>0</v>
      </c>
      <c r="DB26" s="87">
        <f t="shared" si="43"/>
        <v>0</v>
      </c>
      <c r="DC26" s="87">
        <f t="shared" si="44"/>
        <v>0</v>
      </c>
      <c r="DD26" s="87">
        <f t="shared" si="45"/>
        <v>0</v>
      </c>
      <c r="DE26" s="87">
        <f t="shared" si="46"/>
        <v>0</v>
      </c>
      <c r="DF26" s="87">
        <f t="shared" si="47"/>
        <v>0</v>
      </c>
      <c r="DG26" s="87">
        <f t="shared" si="48"/>
        <v>0</v>
      </c>
      <c r="DH26" s="87">
        <f t="shared" si="49"/>
        <v>0</v>
      </c>
      <c r="DI26" s="87">
        <f t="shared" si="50"/>
        <v>0</v>
      </c>
      <c r="DJ26" s="87">
        <f t="shared" si="51"/>
        <v>0</v>
      </c>
      <c r="DK26" s="86">
        <f t="shared" si="52"/>
        <v>0</v>
      </c>
      <c r="DL26" s="87">
        <f t="shared" si="53"/>
        <v>0</v>
      </c>
      <c r="DM26" s="87">
        <f t="shared" si="54"/>
        <v>0</v>
      </c>
      <c r="DN26" s="87">
        <f t="shared" si="55"/>
        <v>0</v>
      </c>
      <c r="DO26" s="87">
        <f t="shared" si="56"/>
        <v>4</v>
      </c>
      <c r="DP26" s="87">
        <f t="shared" si="57"/>
        <v>381</v>
      </c>
      <c r="DQ26" s="87">
        <f t="shared" si="58"/>
        <v>700</v>
      </c>
      <c r="DR26" s="87">
        <f t="shared" si="59"/>
        <v>328</v>
      </c>
      <c r="DS26" s="87">
        <f t="shared" si="60"/>
        <v>462</v>
      </c>
      <c r="DT26" s="87">
        <f t="shared" si="61"/>
        <v>587</v>
      </c>
      <c r="DU26" s="87">
        <f t="shared" si="66"/>
        <v>841.11111111111109</v>
      </c>
      <c r="DV26" s="87">
        <f t="shared" si="62"/>
        <v>0</v>
      </c>
      <c r="DW26" s="87">
        <f t="shared" si="63"/>
        <v>0</v>
      </c>
      <c r="DZ26" s="87"/>
    </row>
    <row r="27" spans="1:130">
      <c r="A27" s="22" t="s">
        <v>679</v>
      </c>
      <c r="B27" s="26">
        <v>4987176321886</v>
      </c>
      <c r="C27" s="22" t="s">
        <v>707</v>
      </c>
      <c r="D27" s="22" t="s">
        <v>8</v>
      </c>
      <c r="E27" s="22">
        <v>259701</v>
      </c>
      <c r="F27" s="80" t="s">
        <v>695</v>
      </c>
      <c r="G27" s="25">
        <v>339.76949999999999</v>
      </c>
      <c r="H27" s="85">
        <f t="shared" si="5"/>
        <v>0</v>
      </c>
      <c r="I27" s="85">
        <f t="shared" si="6"/>
        <v>0</v>
      </c>
      <c r="J27" s="85">
        <f t="shared" si="7"/>
        <v>0</v>
      </c>
      <c r="K27" s="85">
        <f t="shared" si="8"/>
        <v>0</v>
      </c>
      <c r="L27" s="85">
        <f t="shared" si="9"/>
        <v>0</v>
      </c>
      <c r="M27" s="86">
        <f t="shared" si="10"/>
        <v>0</v>
      </c>
      <c r="N27" s="87">
        <f t="shared" si="11"/>
        <v>0</v>
      </c>
      <c r="O27" s="87">
        <f t="shared" si="12"/>
        <v>0</v>
      </c>
      <c r="P27" s="87">
        <f t="shared" si="13"/>
        <v>0</v>
      </c>
      <c r="Q27" s="87">
        <f t="shared" si="14"/>
        <v>0</v>
      </c>
      <c r="R27" s="87">
        <f t="shared" si="15"/>
        <v>0</v>
      </c>
      <c r="S27" s="87">
        <f t="shared" si="16"/>
        <v>0</v>
      </c>
      <c r="T27" s="87">
        <f t="shared" si="17"/>
        <v>1019.3085</v>
      </c>
      <c r="U27" s="87">
        <f t="shared" si="18"/>
        <v>22424.787</v>
      </c>
      <c r="V27" s="87">
        <f t="shared" si="19"/>
        <v>22424.787</v>
      </c>
      <c r="W27" s="87">
        <f t="shared" si="20"/>
        <v>16648.7055</v>
      </c>
      <c r="X27" s="87">
        <f t="shared" si="21"/>
        <v>16308.936</v>
      </c>
      <c r="Y27" s="86">
        <f t="shared" si="22"/>
        <v>10872.624</v>
      </c>
      <c r="Z27" s="87">
        <f t="shared" si="23"/>
        <v>10532.854499999999</v>
      </c>
      <c r="AA27" s="87">
        <f t="shared" si="24"/>
        <v>6795.3899999999994</v>
      </c>
      <c r="AB27" s="87">
        <f t="shared" si="25"/>
        <v>6115.8509999999997</v>
      </c>
      <c r="AC27" s="87">
        <f t="shared" si="26"/>
        <v>12911.241</v>
      </c>
      <c r="AD27" s="87">
        <f t="shared" si="27"/>
        <v>13251.0105</v>
      </c>
      <c r="AE27" s="87">
        <f t="shared" si="28"/>
        <v>16988.474999999999</v>
      </c>
      <c r="AF27" s="87">
        <f t="shared" si="29"/>
        <v>8834.0069999999996</v>
      </c>
      <c r="AG27" s="87">
        <f t="shared" si="30"/>
        <v>8154.4679999999998</v>
      </c>
      <c r="AH27" s="87">
        <f t="shared" si="31"/>
        <v>6115.8509999999997</v>
      </c>
      <c r="AI27" s="87">
        <f t="shared" si="32"/>
        <v>10797.119666666667</v>
      </c>
      <c r="AJ27" s="87">
        <f t="shared" si="33"/>
        <v>0</v>
      </c>
      <c r="AK27" s="86">
        <f t="shared" si="34"/>
        <v>0</v>
      </c>
      <c r="AY27" s="21">
        <v>52</v>
      </c>
      <c r="AZ27" s="21">
        <v>58</v>
      </c>
      <c r="BA27" s="21">
        <v>43</v>
      </c>
      <c r="BB27" s="21">
        <v>36</v>
      </c>
      <c r="BC27" s="42">
        <v>26</v>
      </c>
      <c r="BD27" s="21">
        <v>26</v>
      </c>
      <c r="BE27" s="21">
        <v>13</v>
      </c>
      <c r="BF27" s="21">
        <v>10</v>
      </c>
      <c r="BG27" s="21">
        <v>28</v>
      </c>
      <c r="BH27" s="21">
        <v>26</v>
      </c>
      <c r="BI27" s="21">
        <v>46</v>
      </c>
      <c r="BJ27" s="40">
        <v>23</v>
      </c>
      <c r="BK27" s="40">
        <v>23</v>
      </c>
      <c r="BL27" s="40">
        <v>17</v>
      </c>
      <c r="BM27" s="40">
        <v>26</v>
      </c>
      <c r="CA27" s="21">
        <v>0</v>
      </c>
      <c r="CB27" s="21">
        <v>3</v>
      </c>
      <c r="CC27" s="21">
        <v>14</v>
      </c>
      <c r="CD27" s="21">
        <v>8</v>
      </c>
      <c r="CE27" s="21">
        <v>6</v>
      </c>
      <c r="CF27" s="21">
        <v>12</v>
      </c>
      <c r="CG27" s="42">
        <v>6</v>
      </c>
      <c r="CH27" s="21">
        <v>5</v>
      </c>
      <c r="CI27" s="21">
        <v>7</v>
      </c>
      <c r="CJ27" s="21">
        <v>8</v>
      </c>
      <c r="CK27" s="21">
        <v>10</v>
      </c>
      <c r="CL27" s="21">
        <v>13</v>
      </c>
      <c r="CM27" s="21">
        <v>4</v>
      </c>
      <c r="CN27" s="21">
        <v>3</v>
      </c>
      <c r="CO27" s="21">
        <v>1</v>
      </c>
      <c r="CP27" s="21">
        <f t="shared" si="64"/>
        <v>1</v>
      </c>
      <c r="CQ27" s="230">
        <f t="shared" si="65"/>
        <v>5.7777777777777777</v>
      </c>
      <c r="CT27" s="85">
        <f t="shared" si="35"/>
        <v>0</v>
      </c>
      <c r="CU27" s="85">
        <f t="shared" si="36"/>
        <v>0</v>
      </c>
      <c r="CV27" s="85">
        <f t="shared" si="37"/>
        <v>0</v>
      </c>
      <c r="CW27" s="85">
        <f t="shared" si="38"/>
        <v>0</v>
      </c>
      <c r="CX27" s="85">
        <f t="shared" si="39"/>
        <v>0</v>
      </c>
      <c r="CY27" s="86">
        <f t="shared" si="40"/>
        <v>0</v>
      </c>
      <c r="CZ27" s="87">
        <f t="shared" si="41"/>
        <v>0</v>
      </c>
      <c r="DA27" s="87">
        <f t="shared" si="42"/>
        <v>0</v>
      </c>
      <c r="DB27" s="87">
        <f t="shared" si="43"/>
        <v>0</v>
      </c>
      <c r="DC27" s="87">
        <f t="shared" si="44"/>
        <v>0</v>
      </c>
      <c r="DD27" s="87">
        <f t="shared" si="45"/>
        <v>0</v>
      </c>
      <c r="DE27" s="87">
        <f t="shared" si="46"/>
        <v>0</v>
      </c>
      <c r="DF27" s="87">
        <f t="shared" si="47"/>
        <v>3</v>
      </c>
      <c r="DG27" s="87">
        <f t="shared" si="48"/>
        <v>66</v>
      </c>
      <c r="DH27" s="87">
        <f t="shared" si="49"/>
        <v>66</v>
      </c>
      <c r="DI27" s="87">
        <f t="shared" si="50"/>
        <v>49</v>
      </c>
      <c r="DJ27" s="87">
        <f t="shared" si="51"/>
        <v>48</v>
      </c>
      <c r="DK27" s="86">
        <f t="shared" si="52"/>
        <v>32</v>
      </c>
      <c r="DL27" s="87">
        <f t="shared" si="53"/>
        <v>31</v>
      </c>
      <c r="DM27" s="87">
        <f t="shared" si="54"/>
        <v>20</v>
      </c>
      <c r="DN27" s="87">
        <f t="shared" si="55"/>
        <v>18</v>
      </c>
      <c r="DO27" s="87">
        <f t="shared" si="56"/>
        <v>38</v>
      </c>
      <c r="DP27" s="87">
        <f t="shared" si="57"/>
        <v>39</v>
      </c>
      <c r="DQ27" s="87">
        <f t="shared" si="58"/>
        <v>50</v>
      </c>
      <c r="DR27" s="87">
        <f t="shared" si="59"/>
        <v>26</v>
      </c>
      <c r="DS27" s="87">
        <f t="shared" si="60"/>
        <v>24</v>
      </c>
      <c r="DT27" s="87">
        <f t="shared" si="61"/>
        <v>18</v>
      </c>
      <c r="DU27" s="87">
        <f t="shared" si="66"/>
        <v>31.777777777777779</v>
      </c>
      <c r="DV27" s="87">
        <f t="shared" si="62"/>
        <v>0</v>
      </c>
      <c r="DW27" s="87">
        <f t="shared" si="63"/>
        <v>0</v>
      </c>
      <c r="DZ27" s="87"/>
    </row>
    <row r="28" spans="1:130">
      <c r="A28" s="22" t="s">
        <v>679</v>
      </c>
      <c r="B28" s="26">
        <v>4987176311030</v>
      </c>
      <c r="C28" s="22" t="s">
        <v>707</v>
      </c>
      <c r="D28" s="22" t="s">
        <v>8</v>
      </c>
      <c r="E28" s="22">
        <v>263577</v>
      </c>
      <c r="F28" s="80" t="s">
        <v>696</v>
      </c>
      <c r="G28" s="25">
        <v>210.93449999999999</v>
      </c>
      <c r="H28" s="85">
        <f t="shared" si="5"/>
        <v>0</v>
      </c>
      <c r="I28" s="85">
        <f t="shared" si="6"/>
        <v>0</v>
      </c>
      <c r="J28" s="85">
        <f t="shared" si="7"/>
        <v>0</v>
      </c>
      <c r="K28" s="85">
        <f t="shared" si="8"/>
        <v>0</v>
      </c>
      <c r="L28" s="85">
        <f t="shared" si="9"/>
        <v>0</v>
      </c>
      <c r="M28" s="86">
        <f t="shared" si="10"/>
        <v>0</v>
      </c>
      <c r="N28" s="87">
        <f t="shared" si="11"/>
        <v>0</v>
      </c>
      <c r="O28" s="87">
        <f t="shared" si="12"/>
        <v>0</v>
      </c>
      <c r="P28" s="87">
        <f t="shared" si="13"/>
        <v>0</v>
      </c>
      <c r="Q28" s="87">
        <f t="shared" si="14"/>
        <v>0</v>
      </c>
      <c r="R28" s="87">
        <f t="shared" si="15"/>
        <v>0</v>
      </c>
      <c r="S28" s="87">
        <f t="shared" si="16"/>
        <v>0</v>
      </c>
      <c r="T28" s="87">
        <f t="shared" si="17"/>
        <v>0</v>
      </c>
      <c r="U28" s="87">
        <f t="shared" si="18"/>
        <v>0</v>
      </c>
      <c r="V28" s="87">
        <f t="shared" si="19"/>
        <v>0</v>
      </c>
      <c r="W28" s="87">
        <f t="shared" si="20"/>
        <v>35015.127</v>
      </c>
      <c r="X28" s="87">
        <f t="shared" si="21"/>
        <v>82053.520499999999</v>
      </c>
      <c r="Y28" s="86">
        <f t="shared" si="22"/>
        <v>62858.480999999992</v>
      </c>
      <c r="Z28" s="87">
        <f t="shared" si="23"/>
        <v>109475.0055</v>
      </c>
      <c r="AA28" s="87">
        <f t="shared" si="24"/>
        <v>90912.769499999995</v>
      </c>
      <c r="AB28" s="87">
        <f t="shared" si="25"/>
        <v>79733.240999999995</v>
      </c>
      <c r="AC28" s="87">
        <f t="shared" si="26"/>
        <v>128670.045</v>
      </c>
      <c r="AD28" s="87">
        <f t="shared" si="27"/>
        <v>146388.54299999998</v>
      </c>
      <c r="AE28" s="87">
        <f t="shared" si="28"/>
        <v>130357.52099999999</v>
      </c>
      <c r="AF28" s="87">
        <f t="shared" si="29"/>
        <v>110951.54699999999</v>
      </c>
      <c r="AG28" s="87">
        <f t="shared" si="30"/>
        <v>101037.62549999999</v>
      </c>
      <c r="AH28" s="87">
        <f t="shared" si="31"/>
        <v>76991.092499999999</v>
      </c>
      <c r="AI28" s="87">
        <f t="shared" si="32"/>
        <v>95365.831166666656</v>
      </c>
      <c r="AJ28" s="87">
        <f t="shared" si="33"/>
        <v>0</v>
      </c>
      <c r="AK28" s="86">
        <f t="shared" si="34"/>
        <v>0</v>
      </c>
      <c r="BA28" s="21">
        <v>143</v>
      </c>
      <c r="BB28" s="21">
        <v>367</v>
      </c>
      <c r="BC28" s="42">
        <v>268</v>
      </c>
      <c r="BD28" s="21">
        <v>457</v>
      </c>
      <c r="BE28" s="21">
        <v>412</v>
      </c>
      <c r="BF28" s="21">
        <v>354</v>
      </c>
      <c r="BG28" s="21">
        <v>542</v>
      </c>
      <c r="BH28" s="21">
        <v>624</v>
      </c>
      <c r="BI28" s="21">
        <v>595</v>
      </c>
      <c r="BJ28" s="40">
        <v>474</v>
      </c>
      <c r="BK28" s="40">
        <v>462</v>
      </c>
      <c r="BL28" s="40">
        <v>348</v>
      </c>
      <c r="BM28" s="40">
        <v>413</v>
      </c>
      <c r="CA28" s="21">
        <v>0</v>
      </c>
      <c r="CB28" s="21">
        <v>0</v>
      </c>
      <c r="CC28" s="21">
        <v>0</v>
      </c>
      <c r="CD28" s="21">
        <v>0</v>
      </c>
      <c r="CE28" s="21">
        <v>23</v>
      </c>
      <c r="CF28" s="21">
        <v>22</v>
      </c>
      <c r="CG28" s="42">
        <v>30</v>
      </c>
      <c r="CH28" s="21">
        <v>62</v>
      </c>
      <c r="CI28" s="21">
        <v>19</v>
      </c>
      <c r="CJ28" s="21">
        <v>24</v>
      </c>
      <c r="CK28" s="21">
        <v>68</v>
      </c>
      <c r="CL28" s="21">
        <v>70</v>
      </c>
      <c r="CM28" s="21">
        <v>23</v>
      </c>
      <c r="CN28" s="21">
        <v>52</v>
      </c>
      <c r="CO28" s="21">
        <v>17</v>
      </c>
      <c r="CP28" s="21">
        <f t="shared" si="64"/>
        <v>17</v>
      </c>
      <c r="CQ28" s="230">
        <f t="shared" si="65"/>
        <v>39.111111111111114</v>
      </c>
      <c r="CT28" s="85">
        <f t="shared" si="35"/>
        <v>0</v>
      </c>
      <c r="CU28" s="85">
        <f t="shared" si="36"/>
        <v>0</v>
      </c>
      <c r="CV28" s="85">
        <f t="shared" si="37"/>
        <v>0</v>
      </c>
      <c r="CW28" s="85">
        <f t="shared" si="38"/>
        <v>0</v>
      </c>
      <c r="CX28" s="85">
        <f t="shared" si="39"/>
        <v>0</v>
      </c>
      <c r="CY28" s="86">
        <f t="shared" si="40"/>
        <v>0</v>
      </c>
      <c r="CZ28" s="87">
        <f t="shared" si="41"/>
        <v>0</v>
      </c>
      <c r="DA28" s="87">
        <f t="shared" si="42"/>
        <v>0</v>
      </c>
      <c r="DB28" s="87">
        <f t="shared" si="43"/>
        <v>0</v>
      </c>
      <c r="DC28" s="87">
        <f t="shared" si="44"/>
        <v>0</v>
      </c>
      <c r="DD28" s="87">
        <f t="shared" si="45"/>
        <v>0</v>
      </c>
      <c r="DE28" s="87">
        <f t="shared" si="46"/>
        <v>0</v>
      </c>
      <c r="DF28" s="87">
        <f t="shared" si="47"/>
        <v>0</v>
      </c>
      <c r="DG28" s="87">
        <f t="shared" si="48"/>
        <v>0</v>
      </c>
      <c r="DH28" s="87">
        <f t="shared" si="49"/>
        <v>0</v>
      </c>
      <c r="DI28" s="87">
        <f t="shared" si="50"/>
        <v>166</v>
      </c>
      <c r="DJ28" s="87">
        <f t="shared" si="51"/>
        <v>389</v>
      </c>
      <c r="DK28" s="86">
        <f t="shared" si="52"/>
        <v>298</v>
      </c>
      <c r="DL28" s="87">
        <f t="shared" si="53"/>
        <v>519</v>
      </c>
      <c r="DM28" s="87">
        <f t="shared" si="54"/>
        <v>431</v>
      </c>
      <c r="DN28" s="87">
        <f t="shared" si="55"/>
        <v>378</v>
      </c>
      <c r="DO28" s="87">
        <f t="shared" si="56"/>
        <v>610</v>
      </c>
      <c r="DP28" s="87">
        <f t="shared" si="57"/>
        <v>694</v>
      </c>
      <c r="DQ28" s="87">
        <f t="shared" si="58"/>
        <v>618</v>
      </c>
      <c r="DR28" s="87">
        <f t="shared" si="59"/>
        <v>526</v>
      </c>
      <c r="DS28" s="87">
        <f t="shared" si="60"/>
        <v>479</v>
      </c>
      <c r="DT28" s="87">
        <f t="shared" si="61"/>
        <v>365</v>
      </c>
      <c r="DU28" s="87">
        <f t="shared" si="66"/>
        <v>452.11111111111109</v>
      </c>
      <c r="DV28" s="87">
        <f t="shared" si="62"/>
        <v>0</v>
      </c>
      <c r="DW28" s="87">
        <f t="shared" si="63"/>
        <v>0</v>
      </c>
      <c r="DZ28" s="87"/>
    </row>
    <row r="29" spans="1:130">
      <c r="A29" s="22" t="s">
        <v>679</v>
      </c>
      <c r="B29" s="26">
        <v>4987176311122</v>
      </c>
      <c r="C29" s="22" t="s">
        <v>707</v>
      </c>
      <c r="D29" s="22" t="s">
        <v>8</v>
      </c>
      <c r="E29" s="22">
        <v>263712</v>
      </c>
      <c r="F29" s="80" t="s">
        <v>697</v>
      </c>
      <c r="G29" s="25">
        <v>210.93449999999999</v>
      </c>
      <c r="H29" s="85">
        <f t="shared" si="5"/>
        <v>0</v>
      </c>
      <c r="I29" s="85">
        <f t="shared" si="6"/>
        <v>0</v>
      </c>
      <c r="J29" s="85">
        <f t="shared" si="7"/>
        <v>0</v>
      </c>
      <c r="K29" s="85">
        <f t="shared" si="8"/>
        <v>0</v>
      </c>
      <c r="L29" s="85">
        <f t="shared" si="9"/>
        <v>0</v>
      </c>
      <c r="M29" s="86">
        <f t="shared" si="10"/>
        <v>0</v>
      </c>
      <c r="N29" s="87">
        <f t="shared" si="11"/>
        <v>0</v>
      </c>
      <c r="O29" s="87">
        <f t="shared" si="12"/>
        <v>0</v>
      </c>
      <c r="P29" s="87">
        <f t="shared" si="13"/>
        <v>0</v>
      </c>
      <c r="Q29" s="87">
        <f t="shared" si="14"/>
        <v>0</v>
      </c>
      <c r="R29" s="87">
        <f t="shared" si="15"/>
        <v>0</v>
      </c>
      <c r="S29" s="87">
        <f t="shared" si="16"/>
        <v>0</v>
      </c>
      <c r="T29" s="87">
        <f t="shared" si="17"/>
        <v>0</v>
      </c>
      <c r="U29" s="87">
        <f t="shared" si="18"/>
        <v>0</v>
      </c>
      <c r="V29" s="87">
        <f t="shared" si="19"/>
        <v>0</v>
      </c>
      <c r="W29" s="87">
        <f t="shared" si="20"/>
        <v>17085.694499999998</v>
      </c>
      <c r="X29" s="87">
        <f t="shared" si="21"/>
        <v>41975.965499999998</v>
      </c>
      <c r="Y29" s="86">
        <f t="shared" si="22"/>
        <v>29319.895499999999</v>
      </c>
      <c r="Z29" s="87">
        <f t="shared" si="23"/>
        <v>45350.917499999996</v>
      </c>
      <c r="AA29" s="87">
        <f t="shared" si="24"/>
        <v>43241.572499999995</v>
      </c>
      <c r="AB29" s="87">
        <f t="shared" si="25"/>
        <v>32062.043999999998</v>
      </c>
      <c r="AC29" s="87">
        <f t="shared" si="26"/>
        <v>44929.048499999997</v>
      </c>
      <c r="AD29" s="87">
        <f t="shared" si="27"/>
        <v>52944.559499999996</v>
      </c>
      <c r="AE29" s="87">
        <f t="shared" si="28"/>
        <v>39233.816999999995</v>
      </c>
      <c r="AF29" s="87">
        <f t="shared" si="29"/>
        <v>41132.227499999994</v>
      </c>
      <c r="AG29" s="87">
        <f t="shared" si="30"/>
        <v>32483.912999999997</v>
      </c>
      <c r="AH29" s="87">
        <f t="shared" si="31"/>
        <v>25734.008999999998</v>
      </c>
      <c r="AI29" s="87">
        <f t="shared" si="32"/>
        <v>34030.766000000003</v>
      </c>
      <c r="AJ29" s="87">
        <f t="shared" si="33"/>
        <v>0</v>
      </c>
      <c r="AK29" s="86">
        <f t="shared" si="34"/>
        <v>0</v>
      </c>
      <c r="BA29" s="21">
        <v>67</v>
      </c>
      <c r="BB29" s="21">
        <v>189</v>
      </c>
      <c r="BC29" s="42">
        <v>125</v>
      </c>
      <c r="BD29" s="21">
        <v>197</v>
      </c>
      <c r="BE29" s="21">
        <v>191</v>
      </c>
      <c r="BF29" s="21">
        <v>140</v>
      </c>
      <c r="BG29" s="21">
        <v>186</v>
      </c>
      <c r="BH29" s="21">
        <v>227</v>
      </c>
      <c r="BI29" s="21">
        <v>179</v>
      </c>
      <c r="BJ29" s="40">
        <v>176</v>
      </c>
      <c r="BK29" s="40">
        <v>150</v>
      </c>
      <c r="BL29" s="40">
        <v>118</v>
      </c>
      <c r="BM29" s="40">
        <v>147</v>
      </c>
      <c r="CA29" s="21">
        <v>0</v>
      </c>
      <c r="CB29" s="21">
        <v>0</v>
      </c>
      <c r="CC29" s="21">
        <v>0</v>
      </c>
      <c r="CD29" s="21">
        <v>0</v>
      </c>
      <c r="CE29" s="21">
        <v>14</v>
      </c>
      <c r="CF29" s="21">
        <v>10</v>
      </c>
      <c r="CG29" s="42">
        <v>14</v>
      </c>
      <c r="CH29" s="21">
        <v>18</v>
      </c>
      <c r="CI29" s="21">
        <v>14</v>
      </c>
      <c r="CJ29" s="21">
        <v>12</v>
      </c>
      <c r="CK29" s="21">
        <v>27</v>
      </c>
      <c r="CL29" s="21">
        <v>24</v>
      </c>
      <c r="CM29" s="21">
        <v>7</v>
      </c>
      <c r="CN29" s="21">
        <v>19</v>
      </c>
      <c r="CO29" s="21">
        <v>4</v>
      </c>
      <c r="CP29" s="21">
        <f t="shared" si="64"/>
        <v>4</v>
      </c>
      <c r="CQ29" s="230">
        <f t="shared" si="65"/>
        <v>14.333333333333334</v>
      </c>
      <c r="CT29" s="85">
        <f t="shared" si="35"/>
        <v>0</v>
      </c>
      <c r="CU29" s="85">
        <f t="shared" si="36"/>
        <v>0</v>
      </c>
      <c r="CV29" s="85">
        <f t="shared" si="37"/>
        <v>0</v>
      </c>
      <c r="CW29" s="85">
        <f t="shared" si="38"/>
        <v>0</v>
      </c>
      <c r="CX29" s="85">
        <f t="shared" si="39"/>
        <v>0</v>
      </c>
      <c r="CY29" s="86">
        <f t="shared" si="40"/>
        <v>0</v>
      </c>
      <c r="CZ29" s="87">
        <f t="shared" si="41"/>
        <v>0</v>
      </c>
      <c r="DA29" s="87">
        <f t="shared" si="42"/>
        <v>0</v>
      </c>
      <c r="DB29" s="87">
        <f t="shared" si="43"/>
        <v>0</v>
      </c>
      <c r="DC29" s="87">
        <f t="shared" si="44"/>
        <v>0</v>
      </c>
      <c r="DD29" s="87">
        <f t="shared" si="45"/>
        <v>0</v>
      </c>
      <c r="DE29" s="87">
        <f t="shared" si="46"/>
        <v>0</v>
      </c>
      <c r="DF29" s="87">
        <f t="shared" si="47"/>
        <v>0</v>
      </c>
      <c r="DG29" s="87">
        <f t="shared" si="48"/>
        <v>0</v>
      </c>
      <c r="DH29" s="87">
        <f t="shared" si="49"/>
        <v>0</v>
      </c>
      <c r="DI29" s="87">
        <f t="shared" si="50"/>
        <v>81</v>
      </c>
      <c r="DJ29" s="87">
        <f t="shared" si="51"/>
        <v>199</v>
      </c>
      <c r="DK29" s="86">
        <f t="shared" si="52"/>
        <v>139</v>
      </c>
      <c r="DL29" s="87">
        <f t="shared" si="53"/>
        <v>215</v>
      </c>
      <c r="DM29" s="87">
        <f t="shared" si="54"/>
        <v>205</v>
      </c>
      <c r="DN29" s="87">
        <f t="shared" si="55"/>
        <v>152</v>
      </c>
      <c r="DO29" s="87">
        <f t="shared" si="56"/>
        <v>213</v>
      </c>
      <c r="DP29" s="87">
        <f t="shared" si="57"/>
        <v>251</v>
      </c>
      <c r="DQ29" s="87">
        <f t="shared" si="58"/>
        <v>186</v>
      </c>
      <c r="DR29" s="87">
        <f t="shared" si="59"/>
        <v>195</v>
      </c>
      <c r="DS29" s="87">
        <f t="shared" si="60"/>
        <v>154</v>
      </c>
      <c r="DT29" s="87">
        <f t="shared" si="61"/>
        <v>122</v>
      </c>
      <c r="DU29" s="87">
        <f t="shared" si="66"/>
        <v>161.33333333333334</v>
      </c>
      <c r="DV29" s="87">
        <f t="shared" si="62"/>
        <v>0</v>
      </c>
      <c r="DW29" s="87">
        <f t="shared" si="63"/>
        <v>0</v>
      </c>
      <c r="DZ29" s="87"/>
    </row>
    <row r="30" spans="1:130">
      <c r="A30" s="22" t="s">
        <v>679</v>
      </c>
      <c r="B30" s="26">
        <v>4987176311221</v>
      </c>
      <c r="C30" s="22" t="s">
        <v>707</v>
      </c>
      <c r="D30" s="22" t="s">
        <v>8</v>
      </c>
      <c r="E30" s="22">
        <v>263742</v>
      </c>
      <c r="F30" s="80" t="s">
        <v>698</v>
      </c>
      <c r="G30" s="25">
        <v>210.93449999999999</v>
      </c>
      <c r="H30" s="85">
        <f t="shared" si="5"/>
        <v>0</v>
      </c>
      <c r="I30" s="85">
        <f t="shared" si="6"/>
        <v>0</v>
      </c>
      <c r="J30" s="85">
        <f t="shared" si="7"/>
        <v>0</v>
      </c>
      <c r="K30" s="85">
        <f t="shared" si="8"/>
        <v>0</v>
      </c>
      <c r="L30" s="85">
        <f t="shared" si="9"/>
        <v>0</v>
      </c>
      <c r="M30" s="86">
        <f t="shared" si="10"/>
        <v>0</v>
      </c>
      <c r="N30" s="87">
        <f t="shared" si="11"/>
        <v>0</v>
      </c>
      <c r="O30" s="87">
        <f t="shared" si="12"/>
        <v>0</v>
      </c>
      <c r="P30" s="87">
        <f t="shared" si="13"/>
        <v>0</v>
      </c>
      <c r="Q30" s="87">
        <f t="shared" si="14"/>
        <v>0</v>
      </c>
      <c r="R30" s="87">
        <f t="shared" si="15"/>
        <v>0</v>
      </c>
      <c r="S30" s="87">
        <f t="shared" si="16"/>
        <v>0</v>
      </c>
      <c r="T30" s="87">
        <f t="shared" si="17"/>
        <v>0</v>
      </c>
      <c r="U30" s="87">
        <f t="shared" si="18"/>
        <v>0</v>
      </c>
      <c r="V30" s="87">
        <f t="shared" si="19"/>
        <v>0</v>
      </c>
      <c r="W30" s="87">
        <f t="shared" si="20"/>
        <v>11601.397499999999</v>
      </c>
      <c r="X30" s="87">
        <f t="shared" si="21"/>
        <v>34804.192499999997</v>
      </c>
      <c r="Y30" s="86">
        <f t="shared" si="22"/>
        <v>28898.026499999996</v>
      </c>
      <c r="Z30" s="87">
        <f t="shared" si="23"/>
        <v>40921.292999999998</v>
      </c>
      <c r="AA30" s="87">
        <f t="shared" si="24"/>
        <v>56741.380499999999</v>
      </c>
      <c r="AB30" s="87">
        <f t="shared" si="25"/>
        <v>43663.441499999994</v>
      </c>
      <c r="AC30" s="87">
        <f t="shared" si="26"/>
        <v>63702.218999999997</v>
      </c>
      <c r="AD30" s="87">
        <f t="shared" si="27"/>
        <v>97240.804499999998</v>
      </c>
      <c r="AE30" s="87">
        <f t="shared" si="28"/>
        <v>78889.502999999997</v>
      </c>
      <c r="AF30" s="87">
        <f t="shared" si="29"/>
        <v>74248.943999999989</v>
      </c>
      <c r="AG30" s="87">
        <f t="shared" si="30"/>
        <v>75514.550999999992</v>
      </c>
      <c r="AH30" s="87">
        <f t="shared" si="31"/>
        <v>57585.118499999997</v>
      </c>
      <c r="AI30" s="87">
        <f t="shared" si="32"/>
        <v>68483.400999999998</v>
      </c>
      <c r="AJ30" s="87">
        <f t="shared" si="33"/>
        <v>0</v>
      </c>
      <c r="AK30" s="86">
        <f t="shared" si="34"/>
        <v>0</v>
      </c>
      <c r="BA30" s="21">
        <v>47</v>
      </c>
      <c r="BB30" s="21">
        <v>158</v>
      </c>
      <c r="BC30" s="42">
        <v>130</v>
      </c>
      <c r="BD30" s="21">
        <v>184</v>
      </c>
      <c r="BE30" s="21">
        <v>266</v>
      </c>
      <c r="BF30" s="21">
        <v>193</v>
      </c>
      <c r="BG30" s="21">
        <v>282</v>
      </c>
      <c r="BH30" s="21">
        <v>427</v>
      </c>
      <c r="BI30" s="21">
        <v>369</v>
      </c>
      <c r="BJ30" s="40">
        <v>343</v>
      </c>
      <c r="BK30" s="40">
        <v>353</v>
      </c>
      <c r="BL30" s="40">
        <v>268</v>
      </c>
      <c r="BM30" s="40">
        <v>313</v>
      </c>
      <c r="CA30" s="21">
        <v>0</v>
      </c>
      <c r="CB30" s="21">
        <v>0</v>
      </c>
      <c r="CC30" s="21">
        <v>0</v>
      </c>
      <c r="CD30" s="21">
        <v>0</v>
      </c>
      <c r="CE30" s="21">
        <v>8</v>
      </c>
      <c r="CF30" s="21">
        <v>7</v>
      </c>
      <c r="CG30" s="42">
        <v>7</v>
      </c>
      <c r="CH30" s="21">
        <v>10</v>
      </c>
      <c r="CI30" s="21">
        <v>3</v>
      </c>
      <c r="CJ30" s="21">
        <v>14</v>
      </c>
      <c r="CK30" s="21">
        <v>20</v>
      </c>
      <c r="CL30" s="21">
        <v>34</v>
      </c>
      <c r="CM30" s="21">
        <v>5</v>
      </c>
      <c r="CN30" s="21">
        <v>9</v>
      </c>
      <c r="CO30" s="21">
        <v>5</v>
      </c>
      <c r="CP30" s="21">
        <f t="shared" si="64"/>
        <v>5</v>
      </c>
      <c r="CQ30" s="230">
        <f t="shared" si="65"/>
        <v>11.666666666666666</v>
      </c>
      <c r="CT30" s="85">
        <f t="shared" si="35"/>
        <v>0</v>
      </c>
      <c r="CU30" s="85">
        <f t="shared" si="36"/>
        <v>0</v>
      </c>
      <c r="CV30" s="85">
        <f t="shared" si="37"/>
        <v>0</v>
      </c>
      <c r="CW30" s="85">
        <f t="shared" si="38"/>
        <v>0</v>
      </c>
      <c r="CX30" s="85">
        <f t="shared" si="39"/>
        <v>0</v>
      </c>
      <c r="CY30" s="86">
        <f t="shared" si="40"/>
        <v>0</v>
      </c>
      <c r="CZ30" s="87">
        <f t="shared" si="41"/>
        <v>0</v>
      </c>
      <c r="DA30" s="87">
        <f t="shared" si="42"/>
        <v>0</v>
      </c>
      <c r="DB30" s="87">
        <f t="shared" si="43"/>
        <v>0</v>
      </c>
      <c r="DC30" s="87">
        <f t="shared" si="44"/>
        <v>0</v>
      </c>
      <c r="DD30" s="87">
        <f t="shared" si="45"/>
        <v>0</v>
      </c>
      <c r="DE30" s="87">
        <f t="shared" si="46"/>
        <v>0</v>
      </c>
      <c r="DF30" s="87">
        <f t="shared" si="47"/>
        <v>0</v>
      </c>
      <c r="DG30" s="87">
        <f t="shared" si="48"/>
        <v>0</v>
      </c>
      <c r="DH30" s="87">
        <f t="shared" si="49"/>
        <v>0</v>
      </c>
      <c r="DI30" s="87">
        <f t="shared" si="50"/>
        <v>55</v>
      </c>
      <c r="DJ30" s="87">
        <f t="shared" si="51"/>
        <v>165</v>
      </c>
      <c r="DK30" s="86">
        <f t="shared" si="52"/>
        <v>137</v>
      </c>
      <c r="DL30" s="87">
        <f t="shared" si="53"/>
        <v>194</v>
      </c>
      <c r="DM30" s="87">
        <f t="shared" si="54"/>
        <v>269</v>
      </c>
      <c r="DN30" s="87">
        <f t="shared" si="55"/>
        <v>207</v>
      </c>
      <c r="DO30" s="87">
        <f t="shared" si="56"/>
        <v>302</v>
      </c>
      <c r="DP30" s="87">
        <f t="shared" si="57"/>
        <v>461</v>
      </c>
      <c r="DQ30" s="87">
        <f t="shared" si="58"/>
        <v>374</v>
      </c>
      <c r="DR30" s="87">
        <f t="shared" si="59"/>
        <v>352</v>
      </c>
      <c r="DS30" s="87">
        <f t="shared" si="60"/>
        <v>358</v>
      </c>
      <c r="DT30" s="87">
        <f t="shared" si="61"/>
        <v>273</v>
      </c>
      <c r="DU30" s="87">
        <f t="shared" si="66"/>
        <v>324.66666666666669</v>
      </c>
      <c r="DV30" s="87">
        <f t="shared" si="62"/>
        <v>0</v>
      </c>
      <c r="DW30" s="87">
        <f t="shared" si="63"/>
        <v>0</v>
      </c>
    </row>
    <row r="31" spans="1:130">
      <c r="A31" s="22" t="s">
        <v>679</v>
      </c>
      <c r="B31" s="26">
        <v>4987176311016</v>
      </c>
      <c r="C31" s="22" t="s">
        <v>707</v>
      </c>
      <c r="D31" s="22" t="s">
        <v>8</v>
      </c>
      <c r="E31" s="22">
        <v>263755</v>
      </c>
      <c r="F31" s="80" t="s">
        <v>699</v>
      </c>
      <c r="G31" s="25">
        <v>210.93449999999999</v>
      </c>
      <c r="H31" s="85">
        <f t="shared" si="5"/>
        <v>0</v>
      </c>
      <c r="I31" s="85">
        <f t="shared" si="6"/>
        <v>0</v>
      </c>
      <c r="J31" s="85">
        <f t="shared" si="7"/>
        <v>0</v>
      </c>
      <c r="K31" s="85">
        <f t="shared" si="8"/>
        <v>0</v>
      </c>
      <c r="L31" s="85">
        <f t="shared" si="9"/>
        <v>0</v>
      </c>
      <c r="M31" s="86">
        <f t="shared" si="10"/>
        <v>0</v>
      </c>
      <c r="N31" s="87">
        <f t="shared" si="11"/>
        <v>0</v>
      </c>
      <c r="O31" s="87">
        <f t="shared" si="12"/>
        <v>0</v>
      </c>
      <c r="P31" s="87">
        <f t="shared" si="13"/>
        <v>0</v>
      </c>
      <c r="Q31" s="87">
        <f t="shared" si="14"/>
        <v>0</v>
      </c>
      <c r="R31" s="87">
        <f t="shared" si="15"/>
        <v>0</v>
      </c>
      <c r="S31" s="87">
        <f t="shared" si="16"/>
        <v>0</v>
      </c>
      <c r="T31" s="87">
        <f t="shared" si="17"/>
        <v>0</v>
      </c>
      <c r="U31" s="87">
        <f t="shared" si="18"/>
        <v>0</v>
      </c>
      <c r="V31" s="87">
        <f t="shared" si="19"/>
        <v>0</v>
      </c>
      <c r="W31" s="87">
        <f t="shared" si="20"/>
        <v>17296.628999999997</v>
      </c>
      <c r="X31" s="87">
        <f t="shared" si="21"/>
        <v>19827.842999999997</v>
      </c>
      <c r="Y31" s="86">
        <f t="shared" si="22"/>
        <v>18773.1705</v>
      </c>
      <c r="Z31" s="87">
        <f t="shared" si="23"/>
        <v>28898.026499999996</v>
      </c>
      <c r="AA31" s="87">
        <f t="shared" si="24"/>
        <v>39444.751499999998</v>
      </c>
      <c r="AB31" s="87">
        <f t="shared" si="25"/>
        <v>29741.764499999997</v>
      </c>
      <c r="AC31" s="87">
        <f t="shared" si="26"/>
        <v>45772.786499999995</v>
      </c>
      <c r="AD31" s="87">
        <f t="shared" si="27"/>
        <v>56530.445999999996</v>
      </c>
      <c r="AE31" s="87">
        <f t="shared" si="28"/>
        <v>48514.934999999998</v>
      </c>
      <c r="AF31" s="87">
        <f t="shared" si="29"/>
        <v>41343.161999999997</v>
      </c>
      <c r="AG31" s="87">
        <f t="shared" si="30"/>
        <v>39866.620499999997</v>
      </c>
      <c r="AH31" s="87">
        <f t="shared" si="31"/>
        <v>25101.2055</v>
      </c>
      <c r="AI31" s="87">
        <f t="shared" si="32"/>
        <v>35062.001333333334</v>
      </c>
      <c r="AJ31" s="87">
        <f t="shared" si="33"/>
        <v>0</v>
      </c>
      <c r="AK31" s="86">
        <f t="shared" si="34"/>
        <v>0</v>
      </c>
      <c r="BA31" s="21">
        <v>79</v>
      </c>
      <c r="BB31" s="21">
        <v>91</v>
      </c>
      <c r="BC31" s="42">
        <v>81</v>
      </c>
      <c r="BD31" s="21">
        <v>122</v>
      </c>
      <c r="BE31" s="21">
        <v>180</v>
      </c>
      <c r="BF31" s="21">
        <v>129</v>
      </c>
      <c r="BG31" s="21">
        <v>198</v>
      </c>
      <c r="BH31" s="21">
        <v>240</v>
      </c>
      <c r="BI31" s="21">
        <v>225</v>
      </c>
      <c r="BJ31" s="40">
        <v>178</v>
      </c>
      <c r="BK31" s="40">
        <v>186</v>
      </c>
      <c r="BL31" s="40">
        <v>116</v>
      </c>
      <c r="BM31" s="40">
        <v>154</v>
      </c>
      <c r="CA31" s="21">
        <v>0</v>
      </c>
      <c r="CB31" s="21">
        <v>0</v>
      </c>
      <c r="CC31" s="21">
        <v>0</v>
      </c>
      <c r="CD31" s="21">
        <v>0</v>
      </c>
      <c r="CE31" s="21">
        <v>3</v>
      </c>
      <c r="CF31" s="21">
        <v>3</v>
      </c>
      <c r="CG31" s="42">
        <v>8</v>
      </c>
      <c r="CH31" s="21">
        <v>15</v>
      </c>
      <c r="CI31" s="21">
        <v>7</v>
      </c>
      <c r="CJ31" s="21">
        <v>12</v>
      </c>
      <c r="CK31" s="21">
        <v>19</v>
      </c>
      <c r="CL31" s="21">
        <v>28</v>
      </c>
      <c r="CM31" s="21">
        <v>5</v>
      </c>
      <c r="CN31" s="21">
        <v>18</v>
      </c>
      <c r="CO31" s="21">
        <v>3</v>
      </c>
      <c r="CP31" s="21">
        <f t="shared" si="64"/>
        <v>3</v>
      </c>
      <c r="CQ31" s="230">
        <f t="shared" si="65"/>
        <v>12.222222222222221</v>
      </c>
      <c r="CT31" s="85">
        <f t="shared" si="35"/>
        <v>0</v>
      </c>
      <c r="CU31" s="85">
        <f t="shared" si="36"/>
        <v>0</v>
      </c>
      <c r="CV31" s="85">
        <f t="shared" si="37"/>
        <v>0</v>
      </c>
      <c r="CW31" s="85">
        <f t="shared" si="38"/>
        <v>0</v>
      </c>
      <c r="CX31" s="85">
        <f t="shared" si="39"/>
        <v>0</v>
      </c>
      <c r="CY31" s="86">
        <f t="shared" si="40"/>
        <v>0</v>
      </c>
      <c r="CZ31" s="87">
        <f t="shared" si="41"/>
        <v>0</v>
      </c>
      <c r="DA31" s="87">
        <f t="shared" si="42"/>
        <v>0</v>
      </c>
      <c r="DB31" s="87">
        <f t="shared" si="43"/>
        <v>0</v>
      </c>
      <c r="DC31" s="87">
        <f t="shared" si="44"/>
        <v>0</v>
      </c>
      <c r="DD31" s="87">
        <f t="shared" si="45"/>
        <v>0</v>
      </c>
      <c r="DE31" s="87">
        <f t="shared" si="46"/>
        <v>0</v>
      </c>
      <c r="DF31" s="87">
        <f t="shared" si="47"/>
        <v>0</v>
      </c>
      <c r="DG31" s="87">
        <f t="shared" si="48"/>
        <v>0</v>
      </c>
      <c r="DH31" s="87">
        <f t="shared" si="49"/>
        <v>0</v>
      </c>
      <c r="DI31" s="87">
        <f t="shared" si="50"/>
        <v>82</v>
      </c>
      <c r="DJ31" s="87">
        <f t="shared" si="51"/>
        <v>94</v>
      </c>
      <c r="DK31" s="86">
        <f t="shared" si="52"/>
        <v>89</v>
      </c>
      <c r="DL31" s="87">
        <f t="shared" si="53"/>
        <v>137</v>
      </c>
      <c r="DM31" s="87">
        <f t="shared" si="54"/>
        <v>187</v>
      </c>
      <c r="DN31" s="87">
        <f t="shared" si="55"/>
        <v>141</v>
      </c>
      <c r="DO31" s="87">
        <f t="shared" si="56"/>
        <v>217</v>
      </c>
      <c r="DP31" s="87">
        <f t="shared" si="57"/>
        <v>268</v>
      </c>
      <c r="DQ31" s="87">
        <f t="shared" si="58"/>
        <v>230</v>
      </c>
      <c r="DR31" s="87">
        <f t="shared" si="59"/>
        <v>196</v>
      </c>
      <c r="DS31" s="87">
        <f t="shared" si="60"/>
        <v>189</v>
      </c>
      <c r="DT31" s="87">
        <f t="shared" si="61"/>
        <v>119</v>
      </c>
      <c r="DU31" s="87">
        <f t="shared" si="66"/>
        <v>166.22222222222223</v>
      </c>
      <c r="DV31" s="87">
        <f t="shared" si="62"/>
        <v>0</v>
      </c>
      <c r="DW31" s="87">
        <f t="shared" si="63"/>
        <v>0</v>
      </c>
    </row>
    <row r="32" spans="1:130">
      <c r="A32" s="22" t="s">
        <v>679</v>
      </c>
      <c r="B32" s="26">
        <v>4987176311061</v>
      </c>
      <c r="C32" s="22" t="s">
        <v>707</v>
      </c>
      <c r="D32" s="22" t="s">
        <v>8</v>
      </c>
      <c r="E32" s="22">
        <v>263775</v>
      </c>
      <c r="F32" s="80" t="s">
        <v>700</v>
      </c>
      <c r="G32" s="25">
        <v>210.93449999999999</v>
      </c>
      <c r="H32" s="85">
        <f t="shared" si="5"/>
        <v>0</v>
      </c>
      <c r="I32" s="85">
        <f t="shared" si="6"/>
        <v>0</v>
      </c>
      <c r="J32" s="85">
        <f t="shared" si="7"/>
        <v>0</v>
      </c>
      <c r="K32" s="85">
        <f t="shared" si="8"/>
        <v>0</v>
      </c>
      <c r="L32" s="85">
        <f t="shared" si="9"/>
        <v>0</v>
      </c>
      <c r="M32" s="86">
        <f t="shared" si="10"/>
        <v>0</v>
      </c>
      <c r="N32" s="87">
        <f t="shared" si="11"/>
        <v>0</v>
      </c>
      <c r="O32" s="87">
        <f t="shared" si="12"/>
        <v>0</v>
      </c>
      <c r="P32" s="87">
        <f t="shared" si="13"/>
        <v>0</v>
      </c>
      <c r="Q32" s="87">
        <f t="shared" si="14"/>
        <v>0</v>
      </c>
      <c r="R32" s="87">
        <f t="shared" si="15"/>
        <v>0</v>
      </c>
      <c r="S32" s="87">
        <f t="shared" si="16"/>
        <v>0</v>
      </c>
      <c r="T32" s="87">
        <f t="shared" si="17"/>
        <v>0</v>
      </c>
      <c r="U32" s="87">
        <f t="shared" si="18"/>
        <v>0</v>
      </c>
      <c r="V32" s="87">
        <f t="shared" si="19"/>
        <v>0</v>
      </c>
      <c r="W32" s="87">
        <f t="shared" si="20"/>
        <v>30585.502499999999</v>
      </c>
      <c r="X32" s="87">
        <f t="shared" si="21"/>
        <v>72983.337</v>
      </c>
      <c r="Y32" s="86">
        <f t="shared" si="22"/>
        <v>70030.254000000001</v>
      </c>
      <c r="Z32" s="87">
        <f t="shared" si="23"/>
        <v>160099.2855</v>
      </c>
      <c r="AA32" s="87">
        <f t="shared" si="24"/>
        <v>152083.7745</v>
      </c>
      <c r="AB32" s="87">
        <f t="shared" si="25"/>
        <v>115381.1715</v>
      </c>
      <c r="AC32" s="87">
        <f t="shared" si="26"/>
        <v>161575.82699999999</v>
      </c>
      <c r="AD32" s="87">
        <f t="shared" si="27"/>
        <v>159677.41649999999</v>
      </c>
      <c r="AE32" s="87">
        <f t="shared" si="28"/>
        <v>165161.71349999998</v>
      </c>
      <c r="AF32" s="87">
        <f t="shared" si="29"/>
        <v>138583.96649999998</v>
      </c>
      <c r="AG32" s="87">
        <f t="shared" si="30"/>
        <v>155036.85749999998</v>
      </c>
      <c r="AH32" s="87">
        <f t="shared" si="31"/>
        <v>116435.844</v>
      </c>
      <c r="AI32" s="87">
        <f t="shared" si="32"/>
        <v>153864.99916666665</v>
      </c>
      <c r="AJ32" s="87">
        <f t="shared" si="33"/>
        <v>0</v>
      </c>
      <c r="AK32" s="86">
        <f t="shared" si="34"/>
        <v>0</v>
      </c>
      <c r="BA32" s="21">
        <v>137</v>
      </c>
      <c r="BB32" s="21">
        <v>342</v>
      </c>
      <c r="BC32" s="42">
        <v>328</v>
      </c>
      <c r="BD32" s="21">
        <v>744</v>
      </c>
      <c r="BE32" s="21">
        <v>710</v>
      </c>
      <c r="BF32" s="21">
        <v>540</v>
      </c>
      <c r="BG32" s="21">
        <v>746</v>
      </c>
      <c r="BH32" s="21">
        <v>742</v>
      </c>
      <c r="BI32" s="21">
        <v>779</v>
      </c>
      <c r="BJ32" s="40">
        <v>639</v>
      </c>
      <c r="BK32" s="40">
        <v>733</v>
      </c>
      <c r="BL32" s="40">
        <v>550</v>
      </c>
      <c r="BM32" s="40">
        <v>719</v>
      </c>
      <c r="CA32" s="21">
        <v>0</v>
      </c>
      <c r="CB32" s="21">
        <v>0</v>
      </c>
      <c r="CC32" s="21">
        <v>0</v>
      </c>
      <c r="CD32" s="21">
        <v>0</v>
      </c>
      <c r="CE32" s="21">
        <v>8</v>
      </c>
      <c r="CF32" s="21">
        <v>4</v>
      </c>
      <c r="CG32" s="42">
        <v>4</v>
      </c>
      <c r="CH32" s="21">
        <v>15</v>
      </c>
      <c r="CI32" s="21">
        <v>11</v>
      </c>
      <c r="CJ32" s="21">
        <v>7</v>
      </c>
      <c r="CK32" s="21">
        <v>20</v>
      </c>
      <c r="CL32" s="21">
        <v>15</v>
      </c>
      <c r="CM32" s="21">
        <v>4</v>
      </c>
      <c r="CN32" s="21">
        <v>18</v>
      </c>
      <c r="CO32" s="21">
        <v>2</v>
      </c>
      <c r="CP32" s="21">
        <f t="shared" si="64"/>
        <v>2</v>
      </c>
      <c r="CQ32" s="230">
        <f t="shared" si="65"/>
        <v>10.444444444444445</v>
      </c>
      <c r="CT32" s="85">
        <f t="shared" si="35"/>
        <v>0</v>
      </c>
      <c r="CU32" s="85">
        <f t="shared" si="36"/>
        <v>0</v>
      </c>
      <c r="CV32" s="85">
        <f t="shared" si="37"/>
        <v>0</v>
      </c>
      <c r="CW32" s="85">
        <f t="shared" si="38"/>
        <v>0</v>
      </c>
      <c r="CX32" s="85">
        <f t="shared" si="39"/>
        <v>0</v>
      </c>
      <c r="CY32" s="86">
        <f t="shared" si="40"/>
        <v>0</v>
      </c>
      <c r="CZ32" s="87">
        <f t="shared" si="41"/>
        <v>0</v>
      </c>
      <c r="DA32" s="87">
        <f t="shared" si="42"/>
        <v>0</v>
      </c>
      <c r="DB32" s="87">
        <f t="shared" si="43"/>
        <v>0</v>
      </c>
      <c r="DC32" s="87">
        <f t="shared" si="44"/>
        <v>0</v>
      </c>
      <c r="DD32" s="87">
        <f t="shared" si="45"/>
        <v>0</v>
      </c>
      <c r="DE32" s="87">
        <f t="shared" si="46"/>
        <v>0</v>
      </c>
      <c r="DF32" s="87">
        <f t="shared" si="47"/>
        <v>0</v>
      </c>
      <c r="DG32" s="87">
        <f t="shared" si="48"/>
        <v>0</v>
      </c>
      <c r="DH32" s="87">
        <f t="shared" si="49"/>
        <v>0</v>
      </c>
      <c r="DI32" s="87">
        <f t="shared" si="50"/>
        <v>145</v>
      </c>
      <c r="DJ32" s="87">
        <f t="shared" si="51"/>
        <v>346</v>
      </c>
      <c r="DK32" s="86">
        <f t="shared" si="52"/>
        <v>332</v>
      </c>
      <c r="DL32" s="87">
        <f t="shared" si="53"/>
        <v>759</v>
      </c>
      <c r="DM32" s="87">
        <f t="shared" si="54"/>
        <v>721</v>
      </c>
      <c r="DN32" s="87">
        <f t="shared" si="55"/>
        <v>547</v>
      </c>
      <c r="DO32" s="87">
        <f t="shared" si="56"/>
        <v>766</v>
      </c>
      <c r="DP32" s="87">
        <f t="shared" si="57"/>
        <v>757</v>
      </c>
      <c r="DQ32" s="87">
        <f t="shared" si="58"/>
        <v>783</v>
      </c>
      <c r="DR32" s="87">
        <f t="shared" si="59"/>
        <v>657</v>
      </c>
      <c r="DS32" s="87">
        <f t="shared" si="60"/>
        <v>735</v>
      </c>
      <c r="DT32" s="87">
        <f t="shared" si="61"/>
        <v>552</v>
      </c>
      <c r="DU32" s="87">
        <f t="shared" si="66"/>
        <v>729.44444444444446</v>
      </c>
      <c r="DV32" s="87">
        <f t="shared" si="62"/>
        <v>0</v>
      </c>
      <c r="DW32" s="87">
        <f t="shared" si="63"/>
        <v>0</v>
      </c>
    </row>
    <row r="33" spans="1:127">
      <c r="A33" s="22" t="s">
        <v>679</v>
      </c>
      <c r="B33" s="26">
        <v>4987176311085</v>
      </c>
      <c r="C33" s="22" t="s">
        <v>707</v>
      </c>
      <c r="D33" s="22" t="s">
        <v>8</v>
      </c>
      <c r="E33" s="22">
        <v>263810</v>
      </c>
      <c r="F33" s="80" t="s">
        <v>701</v>
      </c>
      <c r="G33" s="25">
        <v>210.93449999999999</v>
      </c>
      <c r="H33" s="85">
        <f t="shared" si="5"/>
        <v>0</v>
      </c>
      <c r="I33" s="85">
        <f t="shared" si="6"/>
        <v>0</v>
      </c>
      <c r="J33" s="85">
        <f t="shared" si="7"/>
        <v>0</v>
      </c>
      <c r="K33" s="85">
        <f t="shared" si="8"/>
        <v>0</v>
      </c>
      <c r="L33" s="85">
        <f t="shared" si="9"/>
        <v>0</v>
      </c>
      <c r="M33" s="86">
        <f t="shared" si="10"/>
        <v>0</v>
      </c>
      <c r="N33" s="87">
        <f t="shared" si="11"/>
        <v>0</v>
      </c>
      <c r="O33" s="87">
        <f t="shared" si="12"/>
        <v>0</v>
      </c>
      <c r="P33" s="87">
        <f t="shared" si="13"/>
        <v>0</v>
      </c>
      <c r="Q33" s="87">
        <f t="shared" si="14"/>
        <v>0</v>
      </c>
      <c r="R33" s="87">
        <f t="shared" si="15"/>
        <v>0</v>
      </c>
      <c r="S33" s="87">
        <f t="shared" si="16"/>
        <v>0</v>
      </c>
      <c r="T33" s="87">
        <f t="shared" si="17"/>
        <v>0</v>
      </c>
      <c r="U33" s="87">
        <f t="shared" si="18"/>
        <v>0</v>
      </c>
      <c r="V33" s="87">
        <f t="shared" si="19"/>
        <v>0</v>
      </c>
      <c r="W33" s="87">
        <f t="shared" si="20"/>
        <v>16874.759999999998</v>
      </c>
      <c r="X33" s="87">
        <f t="shared" si="21"/>
        <v>42608.769</v>
      </c>
      <c r="Y33" s="86">
        <f t="shared" si="22"/>
        <v>28265.222999999998</v>
      </c>
      <c r="Z33" s="87">
        <f t="shared" si="23"/>
        <v>48725.869499999993</v>
      </c>
      <c r="AA33" s="87">
        <f t="shared" si="24"/>
        <v>45139.983</v>
      </c>
      <c r="AB33" s="87">
        <f t="shared" si="25"/>
        <v>41975.965499999998</v>
      </c>
      <c r="AC33" s="87">
        <f t="shared" si="26"/>
        <v>50835.214499999995</v>
      </c>
      <c r="AD33" s="87">
        <f t="shared" si="27"/>
        <v>58217.921999999999</v>
      </c>
      <c r="AE33" s="87">
        <f t="shared" si="28"/>
        <v>51046.148999999998</v>
      </c>
      <c r="AF33" s="87">
        <f t="shared" si="29"/>
        <v>47671.197</v>
      </c>
      <c r="AG33" s="87">
        <f t="shared" si="30"/>
        <v>41343.161999999997</v>
      </c>
      <c r="AH33" s="87">
        <f t="shared" si="31"/>
        <v>31218.305999999997</v>
      </c>
      <c r="AI33" s="87">
        <f t="shared" si="32"/>
        <v>46522.775833333326</v>
      </c>
      <c r="AJ33" s="87">
        <f t="shared" si="33"/>
        <v>0</v>
      </c>
      <c r="AK33" s="86">
        <f t="shared" si="34"/>
        <v>0</v>
      </c>
      <c r="BA33" s="21">
        <v>73</v>
      </c>
      <c r="BB33" s="21">
        <v>184</v>
      </c>
      <c r="BC33" s="42">
        <v>121</v>
      </c>
      <c r="BD33" s="21">
        <v>214</v>
      </c>
      <c r="BE33" s="21">
        <v>200</v>
      </c>
      <c r="BF33" s="21">
        <v>183</v>
      </c>
      <c r="BG33" s="21">
        <v>215</v>
      </c>
      <c r="BH33" s="21">
        <v>237</v>
      </c>
      <c r="BI33" s="21">
        <v>225</v>
      </c>
      <c r="BJ33" s="40">
        <v>192</v>
      </c>
      <c r="BK33" s="40">
        <v>194</v>
      </c>
      <c r="BL33" s="40">
        <v>146</v>
      </c>
      <c r="BM33" s="40">
        <v>202</v>
      </c>
      <c r="CA33" s="21">
        <v>0</v>
      </c>
      <c r="CB33" s="21">
        <v>0</v>
      </c>
      <c r="CC33" s="21">
        <v>0</v>
      </c>
      <c r="CD33" s="21">
        <v>0</v>
      </c>
      <c r="CE33" s="21">
        <v>7</v>
      </c>
      <c r="CF33" s="21">
        <v>18</v>
      </c>
      <c r="CG33" s="42">
        <v>13</v>
      </c>
      <c r="CH33" s="21">
        <v>17</v>
      </c>
      <c r="CI33" s="21">
        <v>14</v>
      </c>
      <c r="CJ33" s="21">
        <v>16</v>
      </c>
      <c r="CK33" s="21">
        <v>26</v>
      </c>
      <c r="CL33" s="21">
        <v>39</v>
      </c>
      <c r="CM33" s="21">
        <v>17</v>
      </c>
      <c r="CN33" s="21">
        <v>34</v>
      </c>
      <c r="CO33" s="21">
        <v>2</v>
      </c>
      <c r="CP33" s="21">
        <f t="shared" si="64"/>
        <v>2</v>
      </c>
      <c r="CQ33" s="230">
        <f t="shared" si="65"/>
        <v>18.555555555555557</v>
      </c>
      <c r="CT33" s="85">
        <f t="shared" si="35"/>
        <v>0</v>
      </c>
      <c r="CU33" s="85">
        <f t="shared" si="36"/>
        <v>0</v>
      </c>
      <c r="CV33" s="85">
        <f t="shared" si="37"/>
        <v>0</v>
      </c>
      <c r="CW33" s="85">
        <f t="shared" si="38"/>
        <v>0</v>
      </c>
      <c r="CX33" s="85">
        <f t="shared" si="39"/>
        <v>0</v>
      </c>
      <c r="CY33" s="86">
        <f t="shared" si="40"/>
        <v>0</v>
      </c>
      <c r="CZ33" s="87">
        <f t="shared" si="41"/>
        <v>0</v>
      </c>
      <c r="DA33" s="87">
        <f t="shared" si="42"/>
        <v>0</v>
      </c>
      <c r="DB33" s="87">
        <f t="shared" si="43"/>
        <v>0</v>
      </c>
      <c r="DC33" s="87">
        <f t="shared" si="44"/>
        <v>0</v>
      </c>
      <c r="DD33" s="87">
        <f t="shared" si="45"/>
        <v>0</v>
      </c>
      <c r="DE33" s="87">
        <f t="shared" si="46"/>
        <v>0</v>
      </c>
      <c r="DF33" s="87">
        <f t="shared" si="47"/>
        <v>0</v>
      </c>
      <c r="DG33" s="87">
        <f t="shared" si="48"/>
        <v>0</v>
      </c>
      <c r="DH33" s="87">
        <f t="shared" si="49"/>
        <v>0</v>
      </c>
      <c r="DI33" s="87">
        <f t="shared" si="50"/>
        <v>80</v>
      </c>
      <c r="DJ33" s="87">
        <f t="shared" si="51"/>
        <v>202</v>
      </c>
      <c r="DK33" s="86">
        <f t="shared" si="52"/>
        <v>134</v>
      </c>
      <c r="DL33" s="87">
        <f t="shared" si="53"/>
        <v>231</v>
      </c>
      <c r="DM33" s="87">
        <f t="shared" si="54"/>
        <v>214</v>
      </c>
      <c r="DN33" s="87">
        <f t="shared" si="55"/>
        <v>199</v>
      </c>
      <c r="DO33" s="87">
        <f t="shared" si="56"/>
        <v>241</v>
      </c>
      <c r="DP33" s="87">
        <f t="shared" si="57"/>
        <v>276</v>
      </c>
      <c r="DQ33" s="87">
        <f t="shared" si="58"/>
        <v>242</v>
      </c>
      <c r="DR33" s="87">
        <f t="shared" si="59"/>
        <v>226</v>
      </c>
      <c r="DS33" s="87">
        <f t="shared" si="60"/>
        <v>196</v>
      </c>
      <c r="DT33" s="87">
        <f t="shared" si="61"/>
        <v>148</v>
      </c>
      <c r="DU33" s="87">
        <f t="shared" si="66"/>
        <v>220.55555555555554</v>
      </c>
      <c r="DV33" s="87">
        <f t="shared" si="62"/>
        <v>0</v>
      </c>
      <c r="DW33" s="87">
        <f t="shared" si="63"/>
        <v>0</v>
      </c>
    </row>
    <row r="34" spans="1:127">
      <c r="A34" s="22" t="s">
        <v>679</v>
      </c>
      <c r="B34" s="26">
        <v>4987176311115</v>
      </c>
      <c r="C34" s="22" t="s">
        <v>707</v>
      </c>
      <c r="D34" s="22" t="s">
        <v>8</v>
      </c>
      <c r="E34" s="22">
        <v>263832</v>
      </c>
      <c r="F34" s="80" t="s">
        <v>702</v>
      </c>
      <c r="G34" s="25">
        <v>210.93449999999999</v>
      </c>
      <c r="H34" s="85">
        <f t="shared" si="5"/>
        <v>0</v>
      </c>
      <c r="I34" s="85">
        <f t="shared" si="6"/>
        <v>0</v>
      </c>
      <c r="J34" s="85">
        <f t="shared" si="7"/>
        <v>0</v>
      </c>
      <c r="K34" s="85">
        <f t="shared" si="8"/>
        <v>0</v>
      </c>
      <c r="L34" s="85">
        <f t="shared" si="9"/>
        <v>0</v>
      </c>
      <c r="M34" s="86">
        <f t="shared" si="10"/>
        <v>0</v>
      </c>
      <c r="N34" s="87">
        <f t="shared" si="11"/>
        <v>0</v>
      </c>
      <c r="O34" s="87">
        <f t="shared" si="12"/>
        <v>0</v>
      </c>
      <c r="P34" s="87">
        <f t="shared" si="13"/>
        <v>0</v>
      </c>
      <c r="Q34" s="87">
        <f t="shared" si="14"/>
        <v>0</v>
      </c>
      <c r="R34" s="87">
        <f t="shared" si="15"/>
        <v>0</v>
      </c>
      <c r="S34" s="87">
        <f t="shared" si="16"/>
        <v>0</v>
      </c>
      <c r="T34" s="87">
        <f t="shared" si="17"/>
        <v>0</v>
      </c>
      <c r="U34" s="87">
        <f t="shared" si="18"/>
        <v>0</v>
      </c>
      <c r="V34" s="87">
        <f t="shared" si="19"/>
        <v>0</v>
      </c>
      <c r="W34" s="87">
        <f t="shared" si="20"/>
        <v>43663.441499999994</v>
      </c>
      <c r="X34" s="87">
        <f t="shared" si="21"/>
        <v>122974.81349999999</v>
      </c>
      <c r="Y34" s="86">
        <f t="shared" si="22"/>
        <v>109685.93999999999</v>
      </c>
      <c r="Z34" s="87">
        <f t="shared" si="23"/>
        <v>236668.50899999999</v>
      </c>
      <c r="AA34" s="87">
        <f t="shared" si="24"/>
        <v>211989.17249999999</v>
      </c>
      <c r="AB34" s="87">
        <f t="shared" si="25"/>
        <v>145122.93599999999</v>
      </c>
      <c r="AC34" s="87">
        <f t="shared" si="26"/>
        <v>218950.011</v>
      </c>
      <c r="AD34" s="87">
        <f t="shared" si="27"/>
        <v>203340.85799999998</v>
      </c>
      <c r="AE34" s="87">
        <f t="shared" si="28"/>
        <v>215364.12449999998</v>
      </c>
      <c r="AF34" s="87">
        <f t="shared" si="29"/>
        <v>170013.20699999999</v>
      </c>
      <c r="AG34" s="87">
        <f t="shared" si="30"/>
        <v>182247.408</v>
      </c>
      <c r="AH34" s="87">
        <f t="shared" si="31"/>
        <v>148076.019</v>
      </c>
      <c r="AI34" s="87">
        <f t="shared" si="32"/>
        <v>230199.85099999997</v>
      </c>
      <c r="AJ34" s="87">
        <f t="shared" si="33"/>
        <v>0</v>
      </c>
      <c r="AK34" s="86">
        <f t="shared" si="34"/>
        <v>0</v>
      </c>
      <c r="BA34" s="21">
        <v>200</v>
      </c>
      <c r="BB34" s="21">
        <v>562</v>
      </c>
      <c r="BC34" s="42">
        <v>512</v>
      </c>
      <c r="BD34" s="21">
        <v>1087</v>
      </c>
      <c r="BE34" s="21">
        <v>976</v>
      </c>
      <c r="BF34" s="21">
        <v>676</v>
      </c>
      <c r="BG34" s="21">
        <v>1011</v>
      </c>
      <c r="BH34" s="21">
        <v>951</v>
      </c>
      <c r="BI34" s="21">
        <v>1017</v>
      </c>
      <c r="BJ34" s="40">
        <v>787</v>
      </c>
      <c r="BK34" s="40">
        <v>860</v>
      </c>
      <c r="BL34" s="40">
        <v>698</v>
      </c>
      <c r="BM34" s="40">
        <v>1075</v>
      </c>
      <c r="CA34" s="21">
        <v>0</v>
      </c>
      <c r="CB34" s="21">
        <v>0</v>
      </c>
      <c r="CC34" s="21">
        <v>0</v>
      </c>
      <c r="CD34" s="21">
        <v>0</v>
      </c>
      <c r="CE34" s="21">
        <v>7</v>
      </c>
      <c r="CF34" s="21">
        <v>21</v>
      </c>
      <c r="CG34" s="42">
        <v>8</v>
      </c>
      <c r="CH34" s="21">
        <v>35</v>
      </c>
      <c r="CI34" s="21">
        <v>29</v>
      </c>
      <c r="CJ34" s="21">
        <v>12</v>
      </c>
      <c r="CK34" s="21">
        <v>27</v>
      </c>
      <c r="CL34" s="21">
        <v>13</v>
      </c>
      <c r="CM34" s="21">
        <v>4</v>
      </c>
      <c r="CN34" s="21">
        <v>19</v>
      </c>
      <c r="CO34" s="21">
        <v>4</v>
      </c>
      <c r="CP34" s="21">
        <f t="shared" si="64"/>
        <v>4</v>
      </c>
      <c r="CQ34" s="230">
        <f t="shared" si="65"/>
        <v>16.333333333333332</v>
      </c>
      <c r="CT34" s="85">
        <f t="shared" si="35"/>
        <v>0</v>
      </c>
      <c r="CU34" s="85">
        <f t="shared" si="36"/>
        <v>0</v>
      </c>
      <c r="CV34" s="85">
        <f t="shared" si="37"/>
        <v>0</v>
      </c>
      <c r="CW34" s="85">
        <f t="shared" si="38"/>
        <v>0</v>
      </c>
      <c r="CX34" s="85">
        <f t="shared" si="39"/>
        <v>0</v>
      </c>
      <c r="CY34" s="86">
        <f t="shared" si="40"/>
        <v>0</v>
      </c>
      <c r="CZ34" s="87">
        <f t="shared" si="41"/>
        <v>0</v>
      </c>
      <c r="DA34" s="87">
        <f t="shared" si="42"/>
        <v>0</v>
      </c>
      <c r="DB34" s="87">
        <f t="shared" si="43"/>
        <v>0</v>
      </c>
      <c r="DC34" s="87">
        <f t="shared" si="44"/>
        <v>0</v>
      </c>
      <c r="DD34" s="87">
        <f t="shared" si="45"/>
        <v>0</v>
      </c>
      <c r="DE34" s="87">
        <f t="shared" si="46"/>
        <v>0</v>
      </c>
      <c r="DF34" s="87">
        <f t="shared" si="47"/>
        <v>0</v>
      </c>
      <c r="DG34" s="87">
        <f t="shared" si="48"/>
        <v>0</v>
      </c>
      <c r="DH34" s="87">
        <f t="shared" si="49"/>
        <v>0</v>
      </c>
      <c r="DI34" s="87">
        <f t="shared" si="50"/>
        <v>207</v>
      </c>
      <c r="DJ34" s="87">
        <f t="shared" si="51"/>
        <v>583</v>
      </c>
      <c r="DK34" s="86">
        <f t="shared" si="52"/>
        <v>520</v>
      </c>
      <c r="DL34" s="87">
        <f t="shared" si="53"/>
        <v>1122</v>
      </c>
      <c r="DM34" s="87">
        <f t="shared" si="54"/>
        <v>1005</v>
      </c>
      <c r="DN34" s="87">
        <f t="shared" si="55"/>
        <v>688</v>
      </c>
      <c r="DO34" s="87">
        <f t="shared" si="56"/>
        <v>1038</v>
      </c>
      <c r="DP34" s="87">
        <f t="shared" si="57"/>
        <v>964</v>
      </c>
      <c r="DQ34" s="87">
        <f t="shared" si="58"/>
        <v>1021</v>
      </c>
      <c r="DR34" s="87">
        <f t="shared" si="59"/>
        <v>806</v>
      </c>
      <c r="DS34" s="87">
        <f t="shared" si="60"/>
        <v>864</v>
      </c>
      <c r="DT34" s="87">
        <f t="shared" si="61"/>
        <v>702</v>
      </c>
      <c r="DU34" s="87">
        <f t="shared" si="66"/>
        <v>1091.3333333333333</v>
      </c>
      <c r="DV34" s="87">
        <f t="shared" si="62"/>
        <v>0</v>
      </c>
      <c r="DW34" s="87">
        <f t="shared" si="63"/>
        <v>0</v>
      </c>
    </row>
    <row r="35" spans="1:127">
      <c r="A35" s="22" t="s">
        <v>679</v>
      </c>
      <c r="B35" s="26">
        <v>4987176311139</v>
      </c>
      <c r="C35" s="22" t="s">
        <v>707</v>
      </c>
      <c r="D35" s="22" t="s">
        <v>8</v>
      </c>
      <c r="E35" s="22">
        <v>263833</v>
      </c>
      <c r="F35" s="80" t="s">
        <v>703</v>
      </c>
      <c r="G35" s="25">
        <v>210.93449999999999</v>
      </c>
      <c r="H35" s="85">
        <f t="shared" si="5"/>
        <v>0</v>
      </c>
      <c r="I35" s="85">
        <f t="shared" si="6"/>
        <v>0</v>
      </c>
      <c r="J35" s="85">
        <f t="shared" si="7"/>
        <v>0</v>
      </c>
      <c r="K35" s="85">
        <f t="shared" si="8"/>
        <v>0</v>
      </c>
      <c r="L35" s="85">
        <f t="shared" si="9"/>
        <v>0</v>
      </c>
      <c r="M35" s="86">
        <f t="shared" si="10"/>
        <v>0</v>
      </c>
      <c r="N35" s="87">
        <f t="shared" si="11"/>
        <v>0</v>
      </c>
      <c r="O35" s="87">
        <f t="shared" si="12"/>
        <v>0</v>
      </c>
      <c r="P35" s="87">
        <f t="shared" si="13"/>
        <v>0</v>
      </c>
      <c r="Q35" s="87">
        <f t="shared" si="14"/>
        <v>0</v>
      </c>
      <c r="R35" s="87">
        <f t="shared" si="15"/>
        <v>0</v>
      </c>
      <c r="S35" s="87">
        <f t="shared" si="16"/>
        <v>0</v>
      </c>
      <c r="T35" s="87">
        <f t="shared" si="17"/>
        <v>0</v>
      </c>
      <c r="U35" s="87">
        <f t="shared" si="18"/>
        <v>0</v>
      </c>
      <c r="V35" s="87">
        <f t="shared" si="19"/>
        <v>0</v>
      </c>
      <c r="W35" s="87">
        <f t="shared" si="20"/>
        <v>27210.550499999998</v>
      </c>
      <c r="X35" s="87">
        <f t="shared" si="21"/>
        <v>81209.782500000001</v>
      </c>
      <c r="Y35" s="86">
        <f t="shared" si="22"/>
        <v>88381.555499999988</v>
      </c>
      <c r="Z35" s="87">
        <f t="shared" si="23"/>
        <v>148919.75699999998</v>
      </c>
      <c r="AA35" s="87">
        <f t="shared" si="24"/>
        <v>124029.48599999999</v>
      </c>
      <c r="AB35" s="87">
        <f t="shared" si="25"/>
        <v>110529.67799999999</v>
      </c>
      <c r="AC35" s="87">
        <f t="shared" si="26"/>
        <v>176341.242</v>
      </c>
      <c r="AD35" s="87">
        <f t="shared" si="27"/>
        <v>178661.52149999997</v>
      </c>
      <c r="AE35" s="87">
        <f t="shared" si="28"/>
        <v>202918.98899999997</v>
      </c>
      <c r="AF35" s="87">
        <f t="shared" si="29"/>
        <v>157779.00599999999</v>
      </c>
      <c r="AG35" s="87">
        <f t="shared" si="30"/>
        <v>168958.53449999998</v>
      </c>
      <c r="AH35" s="87">
        <f t="shared" si="31"/>
        <v>129935.65199999999</v>
      </c>
      <c r="AI35" s="87">
        <f t="shared" si="32"/>
        <v>166919.50099999999</v>
      </c>
      <c r="AJ35" s="87">
        <f t="shared" si="33"/>
        <v>0</v>
      </c>
      <c r="AK35" s="86">
        <f t="shared" si="34"/>
        <v>0</v>
      </c>
      <c r="BA35" s="21">
        <v>117</v>
      </c>
      <c r="BB35" s="21">
        <v>360</v>
      </c>
      <c r="BC35" s="42">
        <v>409</v>
      </c>
      <c r="BD35" s="21">
        <v>679</v>
      </c>
      <c r="BE35" s="21">
        <v>579</v>
      </c>
      <c r="BF35" s="21">
        <v>506</v>
      </c>
      <c r="BG35" s="21">
        <v>799</v>
      </c>
      <c r="BH35" s="21">
        <v>815</v>
      </c>
      <c r="BI35" s="21">
        <v>952</v>
      </c>
      <c r="BJ35" s="40">
        <v>724</v>
      </c>
      <c r="BK35" s="40">
        <v>797</v>
      </c>
      <c r="BL35" s="40">
        <v>612</v>
      </c>
      <c r="BM35" s="40">
        <v>773</v>
      </c>
      <c r="CA35" s="21">
        <v>0</v>
      </c>
      <c r="CB35" s="21">
        <v>0</v>
      </c>
      <c r="CC35" s="21">
        <v>0</v>
      </c>
      <c r="CD35" s="21">
        <v>0</v>
      </c>
      <c r="CE35" s="21">
        <v>12</v>
      </c>
      <c r="CF35" s="21">
        <v>25</v>
      </c>
      <c r="CG35" s="42">
        <v>10</v>
      </c>
      <c r="CH35" s="21">
        <v>27</v>
      </c>
      <c r="CI35" s="21">
        <v>9</v>
      </c>
      <c r="CJ35" s="21">
        <v>18</v>
      </c>
      <c r="CK35" s="21">
        <v>37</v>
      </c>
      <c r="CL35" s="21">
        <v>32</v>
      </c>
      <c r="CM35" s="21">
        <v>10</v>
      </c>
      <c r="CN35" s="21">
        <v>24</v>
      </c>
      <c r="CO35" s="21">
        <v>4</v>
      </c>
      <c r="CP35" s="21">
        <f t="shared" si="64"/>
        <v>4</v>
      </c>
      <c r="CQ35" s="230">
        <f t="shared" si="65"/>
        <v>18.333333333333332</v>
      </c>
      <c r="CT35" s="85">
        <f t="shared" si="35"/>
        <v>0</v>
      </c>
      <c r="CU35" s="85">
        <f t="shared" si="36"/>
        <v>0</v>
      </c>
      <c r="CV35" s="85">
        <f t="shared" si="37"/>
        <v>0</v>
      </c>
      <c r="CW35" s="85">
        <f t="shared" si="38"/>
        <v>0</v>
      </c>
      <c r="CX35" s="85">
        <f t="shared" si="39"/>
        <v>0</v>
      </c>
      <c r="CY35" s="86">
        <f t="shared" si="40"/>
        <v>0</v>
      </c>
      <c r="CZ35" s="87">
        <f t="shared" si="41"/>
        <v>0</v>
      </c>
      <c r="DA35" s="87">
        <f t="shared" si="42"/>
        <v>0</v>
      </c>
      <c r="DB35" s="87">
        <f t="shared" si="43"/>
        <v>0</v>
      </c>
      <c r="DC35" s="87">
        <f t="shared" si="44"/>
        <v>0</v>
      </c>
      <c r="DD35" s="87">
        <f t="shared" si="45"/>
        <v>0</v>
      </c>
      <c r="DE35" s="87">
        <f t="shared" si="46"/>
        <v>0</v>
      </c>
      <c r="DF35" s="87">
        <f t="shared" si="47"/>
        <v>0</v>
      </c>
      <c r="DG35" s="87">
        <f t="shared" si="48"/>
        <v>0</v>
      </c>
      <c r="DH35" s="87">
        <f t="shared" si="49"/>
        <v>0</v>
      </c>
      <c r="DI35" s="87">
        <f t="shared" si="50"/>
        <v>129</v>
      </c>
      <c r="DJ35" s="87">
        <f t="shared" si="51"/>
        <v>385</v>
      </c>
      <c r="DK35" s="86">
        <f t="shared" si="52"/>
        <v>419</v>
      </c>
      <c r="DL35" s="87">
        <f t="shared" si="53"/>
        <v>706</v>
      </c>
      <c r="DM35" s="87">
        <f t="shared" si="54"/>
        <v>588</v>
      </c>
      <c r="DN35" s="87">
        <f t="shared" si="55"/>
        <v>524</v>
      </c>
      <c r="DO35" s="87">
        <f t="shared" si="56"/>
        <v>836</v>
      </c>
      <c r="DP35" s="87">
        <f t="shared" si="57"/>
        <v>847</v>
      </c>
      <c r="DQ35" s="87">
        <f t="shared" si="58"/>
        <v>962</v>
      </c>
      <c r="DR35" s="87">
        <f t="shared" si="59"/>
        <v>748</v>
      </c>
      <c r="DS35" s="87">
        <f t="shared" si="60"/>
        <v>801</v>
      </c>
      <c r="DT35" s="87">
        <f t="shared" si="61"/>
        <v>616</v>
      </c>
      <c r="DU35" s="87">
        <f t="shared" si="66"/>
        <v>791.33333333333337</v>
      </c>
      <c r="DV35" s="87">
        <f t="shared" si="62"/>
        <v>0</v>
      </c>
      <c r="DW35" s="87">
        <f t="shared" si="63"/>
        <v>0</v>
      </c>
    </row>
    <row r="36" spans="1:127">
      <c r="A36" s="22" t="s">
        <v>679</v>
      </c>
      <c r="B36" s="26">
        <v>4987176331823</v>
      </c>
      <c r="C36" s="22" t="s">
        <v>707</v>
      </c>
      <c r="D36" s="22" t="s">
        <v>8</v>
      </c>
      <c r="E36" s="22">
        <v>265703</v>
      </c>
      <c r="F36" s="80" t="s">
        <v>704</v>
      </c>
      <c r="G36" s="25">
        <v>246.93</v>
      </c>
      <c r="H36" s="85">
        <f t="shared" ref="H36:H67" si="67">CT36*$G36</f>
        <v>0</v>
      </c>
      <c r="I36" s="85">
        <f t="shared" ref="I36:I67" si="68">CU36*$G36</f>
        <v>0</v>
      </c>
      <c r="J36" s="85">
        <f t="shared" ref="J36:J67" si="69">CV36*$G36</f>
        <v>0</v>
      </c>
      <c r="K36" s="85">
        <f t="shared" ref="K36:K67" si="70">CW36*$G36</f>
        <v>0</v>
      </c>
      <c r="L36" s="85">
        <f t="shared" ref="L36:L67" si="71">CX36*$G36</f>
        <v>0</v>
      </c>
      <c r="M36" s="86">
        <f t="shared" ref="M36:M67" si="72">CY36*$G36</f>
        <v>0</v>
      </c>
      <c r="N36" s="87">
        <f t="shared" ref="N36:N67" si="73">CZ36*$G36</f>
        <v>0</v>
      </c>
      <c r="O36" s="87">
        <f t="shared" ref="O36:O67" si="74">DA36*$G36</f>
        <v>0</v>
      </c>
      <c r="P36" s="87">
        <f t="shared" ref="P36:P67" si="75">DB36*$G36</f>
        <v>0</v>
      </c>
      <c r="Q36" s="87">
        <f t="shared" ref="Q36:Q67" si="76">DC36*$G36</f>
        <v>0</v>
      </c>
      <c r="R36" s="87">
        <f t="shared" ref="R36:R67" si="77">DD36*$G36</f>
        <v>0</v>
      </c>
      <c r="S36" s="87">
        <f t="shared" ref="S36:S67" si="78">DE36*$G36</f>
        <v>0</v>
      </c>
      <c r="T36" s="87">
        <f t="shared" ref="T36:T67" si="79">DF36*$G36</f>
        <v>0</v>
      </c>
      <c r="U36" s="87">
        <f t="shared" ref="U36:U67" si="80">DG36*$G36</f>
        <v>0</v>
      </c>
      <c r="V36" s="87">
        <f t="shared" ref="V36:V67" si="81">DH36*$G36</f>
        <v>0</v>
      </c>
      <c r="W36" s="87">
        <f t="shared" ref="W36:W67" si="82">DI36*$G36</f>
        <v>246.93</v>
      </c>
      <c r="X36" s="87">
        <f t="shared" ref="X36:X67" si="83">DJ36*$G36</f>
        <v>20495.190000000002</v>
      </c>
      <c r="Y36" s="86">
        <f t="shared" ref="Y36:Y67" si="84">DK36*$G36</f>
        <v>36545.64</v>
      </c>
      <c r="Z36" s="87">
        <f t="shared" ref="Z36:Z67" si="85">DL36*$G36</f>
        <v>74325.930000000008</v>
      </c>
      <c r="AA36" s="87">
        <f t="shared" ref="AA36:AA67" si="86">DM36*$G36</f>
        <v>83462.34</v>
      </c>
      <c r="AB36" s="87">
        <f t="shared" ref="AB36:AB67" si="87">DN36*$G36</f>
        <v>57781.62</v>
      </c>
      <c r="AC36" s="87">
        <f t="shared" ref="AC36:AC67" si="88">DO36*$G36</f>
        <v>113340.87000000001</v>
      </c>
      <c r="AD36" s="87">
        <f t="shared" ref="AD36:AD67" si="89">DP36*$G36</f>
        <v>113093.94</v>
      </c>
      <c r="AE36" s="87">
        <f t="shared" ref="AE36:AE67" si="90">DQ36*$G36</f>
        <v>103216.74</v>
      </c>
      <c r="AF36" s="87">
        <f t="shared" ref="AF36:AF67" si="91">DR36*$G36</f>
        <v>120501.84</v>
      </c>
      <c r="AG36" s="87">
        <f t="shared" ref="AG36:AG67" si="92">DS36*$G36</f>
        <v>114328.59</v>
      </c>
      <c r="AH36" s="87">
        <f t="shared" ref="AH36:AH67" si="93">DT36*$G36</f>
        <v>80499.180000000008</v>
      </c>
      <c r="AI36" s="87">
        <f t="shared" ref="AI36:AI67" si="94">DU36*$G36</f>
        <v>77645.766666666677</v>
      </c>
      <c r="AJ36" s="87">
        <f t="shared" ref="AJ36:AJ67" si="95">DV36*$G36</f>
        <v>0</v>
      </c>
      <c r="AK36" s="86">
        <f t="shared" ref="AK36:AK67" si="96">DW36*$G36</f>
        <v>0</v>
      </c>
      <c r="BB36" s="21">
        <v>82</v>
      </c>
      <c r="BC36" s="42">
        <v>143</v>
      </c>
      <c r="BD36" s="21">
        <v>294</v>
      </c>
      <c r="BE36" s="21">
        <v>335</v>
      </c>
      <c r="BF36" s="21">
        <v>231</v>
      </c>
      <c r="BG36" s="21">
        <v>440</v>
      </c>
      <c r="BH36" s="21">
        <v>444</v>
      </c>
      <c r="BI36" s="21">
        <v>414</v>
      </c>
      <c r="BJ36" s="40">
        <v>483</v>
      </c>
      <c r="BK36" s="40">
        <v>457</v>
      </c>
      <c r="BL36" s="40">
        <v>320</v>
      </c>
      <c r="BM36" s="40">
        <v>307</v>
      </c>
      <c r="CA36" s="21">
        <v>0</v>
      </c>
      <c r="CB36" s="21">
        <v>0</v>
      </c>
      <c r="CC36" s="21">
        <v>0</v>
      </c>
      <c r="CD36" s="21">
        <v>0</v>
      </c>
      <c r="CE36" s="21">
        <v>1</v>
      </c>
      <c r="CF36" s="21">
        <v>1</v>
      </c>
      <c r="CG36" s="42">
        <v>5</v>
      </c>
      <c r="CH36" s="21">
        <v>7</v>
      </c>
      <c r="CI36" s="21">
        <v>3</v>
      </c>
      <c r="CJ36" s="21">
        <v>3</v>
      </c>
      <c r="CK36" s="21">
        <v>19</v>
      </c>
      <c r="CL36" s="21">
        <v>14</v>
      </c>
      <c r="CM36" s="21">
        <v>4</v>
      </c>
      <c r="CN36" s="21">
        <v>5</v>
      </c>
      <c r="CO36" s="21">
        <v>6</v>
      </c>
      <c r="CP36" s="21">
        <f t="shared" si="64"/>
        <v>6</v>
      </c>
      <c r="CQ36" s="230">
        <f t="shared" si="65"/>
        <v>7.4444444444444446</v>
      </c>
      <c r="CT36" s="85">
        <f t="shared" si="35"/>
        <v>0</v>
      </c>
      <c r="CU36" s="85">
        <f t="shared" si="36"/>
        <v>0</v>
      </c>
      <c r="CV36" s="85">
        <f t="shared" si="37"/>
        <v>0</v>
      </c>
      <c r="CW36" s="85">
        <f t="shared" si="38"/>
        <v>0</v>
      </c>
      <c r="CX36" s="85">
        <f t="shared" si="39"/>
        <v>0</v>
      </c>
      <c r="CY36" s="86">
        <f t="shared" si="40"/>
        <v>0</v>
      </c>
      <c r="CZ36" s="87">
        <f t="shared" si="41"/>
        <v>0</v>
      </c>
      <c r="DA36" s="87">
        <f t="shared" si="42"/>
        <v>0</v>
      </c>
      <c r="DB36" s="87">
        <f t="shared" si="43"/>
        <v>0</v>
      </c>
      <c r="DC36" s="87">
        <f t="shared" si="44"/>
        <v>0</v>
      </c>
      <c r="DD36" s="87">
        <f t="shared" si="45"/>
        <v>0</v>
      </c>
      <c r="DE36" s="87">
        <f t="shared" si="46"/>
        <v>0</v>
      </c>
      <c r="DF36" s="87">
        <f t="shared" si="47"/>
        <v>0</v>
      </c>
      <c r="DG36" s="87">
        <f t="shared" si="48"/>
        <v>0</v>
      </c>
      <c r="DH36" s="87">
        <f t="shared" si="49"/>
        <v>0</v>
      </c>
      <c r="DI36" s="87">
        <f t="shared" si="50"/>
        <v>1</v>
      </c>
      <c r="DJ36" s="87">
        <f t="shared" si="51"/>
        <v>83</v>
      </c>
      <c r="DK36" s="86">
        <f t="shared" si="52"/>
        <v>148</v>
      </c>
      <c r="DL36" s="87">
        <f t="shared" si="53"/>
        <v>301</v>
      </c>
      <c r="DM36" s="87">
        <f t="shared" si="54"/>
        <v>338</v>
      </c>
      <c r="DN36" s="87">
        <f t="shared" si="55"/>
        <v>234</v>
      </c>
      <c r="DO36" s="87">
        <f t="shared" si="56"/>
        <v>459</v>
      </c>
      <c r="DP36" s="87">
        <f t="shared" si="57"/>
        <v>458</v>
      </c>
      <c r="DQ36" s="87">
        <f t="shared" si="58"/>
        <v>418</v>
      </c>
      <c r="DR36" s="87">
        <f t="shared" si="59"/>
        <v>488</v>
      </c>
      <c r="DS36" s="87">
        <f t="shared" si="60"/>
        <v>463</v>
      </c>
      <c r="DT36" s="87">
        <f t="shared" si="61"/>
        <v>326</v>
      </c>
      <c r="DU36" s="87">
        <f t="shared" si="66"/>
        <v>314.44444444444446</v>
      </c>
      <c r="DV36" s="87">
        <f t="shared" si="62"/>
        <v>0</v>
      </c>
      <c r="DW36" s="87">
        <f t="shared" si="63"/>
        <v>0</v>
      </c>
    </row>
    <row r="37" spans="1:127">
      <c r="A37" s="22" t="s">
        <v>679</v>
      </c>
      <c r="B37" s="26">
        <v>4987176320285</v>
      </c>
      <c r="C37" s="22" t="s">
        <v>707</v>
      </c>
      <c r="D37" s="22" t="s">
        <v>8</v>
      </c>
      <c r="E37" s="22">
        <v>265795</v>
      </c>
      <c r="F37" s="80" t="s">
        <v>705</v>
      </c>
      <c r="G37" s="25">
        <v>300.52999999999997</v>
      </c>
      <c r="H37" s="85">
        <f t="shared" si="67"/>
        <v>0</v>
      </c>
      <c r="I37" s="85">
        <f t="shared" si="68"/>
        <v>0</v>
      </c>
      <c r="J37" s="85">
        <f t="shared" si="69"/>
        <v>0</v>
      </c>
      <c r="K37" s="85">
        <f t="shared" si="70"/>
        <v>0</v>
      </c>
      <c r="L37" s="85">
        <f t="shared" si="71"/>
        <v>0</v>
      </c>
      <c r="M37" s="86">
        <f t="shared" si="72"/>
        <v>0</v>
      </c>
      <c r="N37" s="87">
        <f t="shared" si="73"/>
        <v>0</v>
      </c>
      <c r="O37" s="87">
        <f t="shared" si="74"/>
        <v>0</v>
      </c>
      <c r="P37" s="87">
        <f t="shared" si="75"/>
        <v>0</v>
      </c>
      <c r="Q37" s="87">
        <f t="shared" si="76"/>
        <v>0</v>
      </c>
      <c r="R37" s="87">
        <f t="shared" si="77"/>
        <v>0</v>
      </c>
      <c r="S37" s="87">
        <f t="shared" si="78"/>
        <v>0</v>
      </c>
      <c r="T37" s="87">
        <f t="shared" si="79"/>
        <v>0</v>
      </c>
      <c r="U37" s="87">
        <f t="shared" si="80"/>
        <v>0</v>
      </c>
      <c r="V37" s="87">
        <f t="shared" si="81"/>
        <v>0</v>
      </c>
      <c r="W37" s="87">
        <f t="shared" si="82"/>
        <v>300.52999999999997</v>
      </c>
      <c r="X37" s="87">
        <f t="shared" si="83"/>
        <v>83847.87</v>
      </c>
      <c r="Y37" s="86">
        <f t="shared" si="84"/>
        <v>144254.39999999999</v>
      </c>
      <c r="Z37" s="87">
        <f t="shared" si="85"/>
        <v>54395.929999999993</v>
      </c>
      <c r="AA37" s="87">
        <f t="shared" si="86"/>
        <v>33659.360000000001</v>
      </c>
      <c r="AB37" s="87">
        <f t="shared" si="87"/>
        <v>59204.409999999996</v>
      </c>
      <c r="AC37" s="87">
        <f t="shared" si="88"/>
        <v>98573.84</v>
      </c>
      <c r="AD37" s="87">
        <f t="shared" si="89"/>
        <v>222993.25999999998</v>
      </c>
      <c r="AE37" s="87">
        <f t="shared" si="90"/>
        <v>86552.639999999985</v>
      </c>
      <c r="AF37" s="87">
        <f t="shared" si="91"/>
        <v>65816.069999999992</v>
      </c>
      <c r="AG37" s="87">
        <f t="shared" si="92"/>
        <v>31555.649999999998</v>
      </c>
      <c r="AH37" s="87">
        <f t="shared" si="93"/>
        <v>30654.059999999998</v>
      </c>
      <c r="AI37" s="87">
        <f t="shared" si="94"/>
        <v>65649.108888888892</v>
      </c>
      <c r="AJ37" s="87">
        <f t="shared" si="95"/>
        <v>0</v>
      </c>
      <c r="AK37" s="86">
        <f t="shared" si="96"/>
        <v>0</v>
      </c>
      <c r="BB37" s="21">
        <v>135</v>
      </c>
      <c r="BC37" s="42">
        <v>162</v>
      </c>
      <c r="BD37" s="21">
        <v>143</v>
      </c>
      <c r="BE37" s="21">
        <v>55</v>
      </c>
      <c r="BF37" s="21">
        <v>35</v>
      </c>
      <c r="BG37" s="21">
        <v>92</v>
      </c>
      <c r="BH37" s="21">
        <v>47</v>
      </c>
      <c r="BI37" s="21">
        <v>66</v>
      </c>
      <c r="BJ37" s="40">
        <v>18</v>
      </c>
      <c r="BK37" s="40">
        <v>22</v>
      </c>
      <c r="BL37" s="40">
        <v>19</v>
      </c>
      <c r="BM37" s="40">
        <v>21</v>
      </c>
      <c r="CA37" s="21">
        <v>0</v>
      </c>
      <c r="CB37" s="21">
        <v>0</v>
      </c>
      <c r="CC37" s="21">
        <v>0</v>
      </c>
      <c r="CD37" s="21">
        <v>0</v>
      </c>
      <c r="CE37" s="21">
        <v>1</v>
      </c>
      <c r="CF37" s="21">
        <v>144</v>
      </c>
      <c r="CG37" s="42">
        <v>318</v>
      </c>
      <c r="CH37" s="21">
        <v>38</v>
      </c>
      <c r="CI37" s="21">
        <v>57</v>
      </c>
      <c r="CJ37" s="21">
        <v>162</v>
      </c>
      <c r="CK37" s="21">
        <v>236</v>
      </c>
      <c r="CL37" s="21">
        <v>695</v>
      </c>
      <c r="CM37" s="21">
        <v>222</v>
      </c>
      <c r="CN37" s="21">
        <v>201</v>
      </c>
      <c r="CO37" s="21">
        <v>83</v>
      </c>
      <c r="CP37" s="21">
        <f t="shared" si="64"/>
        <v>83</v>
      </c>
      <c r="CQ37" s="230">
        <f t="shared" si="65"/>
        <v>197.44444444444446</v>
      </c>
      <c r="CT37" s="85">
        <f t="shared" si="35"/>
        <v>0</v>
      </c>
      <c r="CU37" s="85">
        <f t="shared" si="36"/>
        <v>0</v>
      </c>
      <c r="CV37" s="85">
        <f t="shared" si="37"/>
        <v>0</v>
      </c>
      <c r="CW37" s="85">
        <f t="shared" si="38"/>
        <v>0</v>
      </c>
      <c r="CX37" s="85">
        <f t="shared" si="39"/>
        <v>0</v>
      </c>
      <c r="CY37" s="86">
        <f t="shared" si="40"/>
        <v>0</v>
      </c>
      <c r="CZ37" s="87">
        <f t="shared" si="41"/>
        <v>0</v>
      </c>
      <c r="DA37" s="87">
        <f t="shared" si="42"/>
        <v>0</v>
      </c>
      <c r="DB37" s="87">
        <f t="shared" si="43"/>
        <v>0</v>
      </c>
      <c r="DC37" s="87">
        <f t="shared" si="44"/>
        <v>0</v>
      </c>
      <c r="DD37" s="87">
        <f t="shared" si="45"/>
        <v>0</v>
      </c>
      <c r="DE37" s="87">
        <f t="shared" si="46"/>
        <v>0</v>
      </c>
      <c r="DF37" s="87">
        <f t="shared" si="47"/>
        <v>0</v>
      </c>
      <c r="DG37" s="87">
        <f t="shared" si="48"/>
        <v>0</v>
      </c>
      <c r="DH37" s="87">
        <f t="shared" si="49"/>
        <v>0</v>
      </c>
      <c r="DI37" s="87">
        <f t="shared" si="50"/>
        <v>1</v>
      </c>
      <c r="DJ37" s="87">
        <f t="shared" si="51"/>
        <v>279</v>
      </c>
      <c r="DK37" s="86">
        <f t="shared" si="52"/>
        <v>480</v>
      </c>
      <c r="DL37" s="87">
        <f t="shared" si="53"/>
        <v>181</v>
      </c>
      <c r="DM37" s="87">
        <f t="shared" si="54"/>
        <v>112</v>
      </c>
      <c r="DN37" s="87">
        <f t="shared" si="55"/>
        <v>197</v>
      </c>
      <c r="DO37" s="87">
        <f t="shared" si="56"/>
        <v>328</v>
      </c>
      <c r="DP37" s="87">
        <f t="shared" si="57"/>
        <v>742</v>
      </c>
      <c r="DQ37" s="87">
        <f t="shared" si="58"/>
        <v>288</v>
      </c>
      <c r="DR37" s="87">
        <f t="shared" si="59"/>
        <v>219</v>
      </c>
      <c r="DS37" s="87">
        <f t="shared" si="60"/>
        <v>105</v>
      </c>
      <c r="DT37" s="87">
        <f t="shared" si="61"/>
        <v>102</v>
      </c>
      <c r="DU37" s="87">
        <f t="shared" si="66"/>
        <v>218.44444444444446</v>
      </c>
      <c r="DV37" s="87">
        <f t="shared" si="62"/>
        <v>0</v>
      </c>
      <c r="DW37" s="87">
        <f t="shared" si="63"/>
        <v>0</v>
      </c>
    </row>
    <row r="38" spans="1:127">
      <c r="A38" s="22" t="s">
        <v>679</v>
      </c>
      <c r="B38" s="26">
        <v>4987176320308</v>
      </c>
      <c r="C38" s="22" t="s">
        <v>707</v>
      </c>
      <c r="D38" s="22" t="s">
        <v>8</v>
      </c>
      <c r="E38" s="22">
        <v>265810</v>
      </c>
      <c r="F38" s="80" t="s">
        <v>706</v>
      </c>
      <c r="G38" s="25">
        <v>300.52999999999997</v>
      </c>
      <c r="H38" s="85">
        <f t="shared" si="67"/>
        <v>0</v>
      </c>
      <c r="I38" s="85">
        <f t="shared" si="68"/>
        <v>0</v>
      </c>
      <c r="J38" s="85">
        <f t="shared" si="69"/>
        <v>0</v>
      </c>
      <c r="K38" s="85">
        <f t="shared" si="70"/>
        <v>0</v>
      </c>
      <c r="L38" s="85">
        <f t="shared" si="71"/>
        <v>0</v>
      </c>
      <c r="M38" s="86">
        <f t="shared" si="72"/>
        <v>0</v>
      </c>
      <c r="N38" s="87">
        <f t="shared" si="73"/>
        <v>0</v>
      </c>
      <c r="O38" s="87">
        <f t="shared" si="74"/>
        <v>0</v>
      </c>
      <c r="P38" s="87">
        <f t="shared" si="75"/>
        <v>0</v>
      </c>
      <c r="Q38" s="87">
        <f t="shared" si="76"/>
        <v>0</v>
      </c>
      <c r="R38" s="87">
        <f t="shared" si="77"/>
        <v>0</v>
      </c>
      <c r="S38" s="87">
        <f t="shared" si="78"/>
        <v>0</v>
      </c>
      <c r="T38" s="87">
        <f t="shared" si="79"/>
        <v>0</v>
      </c>
      <c r="U38" s="87">
        <f t="shared" si="80"/>
        <v>0</v>
      </c>
      <c r="V38" s="87">
        <f t="shared" si="81"/>
        <v>0</v>
      </c>
      <c r="W38" s="87">
        <f t="shared" si="82"/>
        <v>601.05999999999995</v>
      </c>
      <c r="X38" s="87">
        <f t="shared" si="83"/>
        <v>39369.429999999993</v>
      </c>
      <c r="Y38" s="86">
        <f t="shared" si="84"/>
        <v>64613.95</v>
      </c>
      <c r="Z38" s="87">
        <f t="shared" si="85"/>
        <v>43576.85</v>
      </c>
      <c r="AA38" s="87">
        <f t="shared" si="86"/>
        <v>18933.39</v>
      </c>
      <c r="AB38" s="87">
        <f t="shared" si="87"/>
        <v>41172.609999999993</v>
      </c>
      <c r="AC38" s="87">
        <f t="shared" si="88"/>
        <v>57701.759999999995</v>
      </c>
      <c r="AD38" s="87">
        <f t="shared" si="89"/>
        <v>116605.63999999998</v>
      </c>
      <c r="AE38" s="87">
        <f t="shared" si="90"/>
        <v>68220.31</v>
      </c>
      <c r="AF38" s="87">
        <f t="shared" si="91"/>
        <v>32457.239999999998</v>
      </c>
      <c r="AG38" s="87">
        <f t="shared" si="92"/>
        <v>15327.029999999999</v>
      </c>
      <c r="AH38" s="87">
        <f t="shared" si="93"/>
        <v>14425.439999999999</v>
      </c>
      <c r="AI38" s="87">
        <f t="shared" si="94"/>
        <v>36898.405555555553</v>
      </c>
      <c r="AJ38" s="87">
        <f t="shared" si="95"/>
        <v>0</v>
      </c>
      <c r="AK38" s="86">
        <f t="shared" si="96"/>
        <v>0</v>
      </c>
      <c r="BB38" s="21">
        <v>90</v>
      </c>
      <c r="BC38" s="42">
        <v>119</v>
      </c>
      <c r="BD38" s="21">
        <v>125</v>
      </c>
      <c r="BE38" s="21">
        <v>42</v>
      </c>
      <c r="BF38" s="21">
        <v>41</v>
      </c>
      <c r="BG38" s="21">
        <v>74</v>
      </c>
      <c r="BH38" s="21">
        <v>76</v>
      </c>
      <c r="BI38" s="21">
        <v>83</v>
      </c>
      <c r="BJ38" s="40">
        <v>27</v>
      </c>
      <c r="BK38" s="40">
        <v>25</v>
      </c>
      <c r="BL38" s="40">
        <v>22</v>
      </c>
      <c r="BM38" s="40">
        <v>29</v>
      </c>
      <c r="CA38" s="21">
        <v>0</v>
      </c>
      <c r="CB38" s="21">
        <v>0</v>
      </c>
      <c r="CC38" s="21">
        <v>0</v>
      </c>
      <c r="CD38" s="21">
        <v>0</v>
      </c>
      <c r="CE38" s="21">
        <v>2</v>
      </c>
      <c r="CF38" s="21">
        <v>41</v>
      </c>
      <c r="CG38" s="42">
        <v>96</v>
      </c>
      <c r="CH38" s="21">
        <v>20</v>
      </c>
      <c r="CI38" s="21">
        <v>21</v>
      </c>
      <c r="CJ38" s="21">
        <v>96</v>
      </c>
      <c r="CK38" s="21">
        <v>118</v>
      </c>
      <c r="CL38" s="21">
        <v>312</v>
      </c>
      <c r="CM38" s="21">
        <v>144</v>
      </c>
      <c r="CN38" s="21">
        <v>81</v>
      </c>
      <c r="CO38" s="21">
        <v>26</v>
      </c>
      <c r="CP38" s="21">
        <f t="shared" si="64"/>
        <v>26</v>
      </c>
      <c r="CQ38" s="230">
        <f t="shared" si="65"/>
        <v>93.777777777777771</v>
      </c>
      <c r="CT38" s="85">
        <f t="shared" si="35"/>
        <v>0</v>
      </c>
      <c r="CU38" s="85">
        <f t="shared" si="36"/>
        <v>0</v>
      </c>
      <c r="CV38" s="85">
        <f t="shared" si="37"/>
        <v>0</v>
      </c>
      <c r="CW38" s="85">
        <f t="shared" si="38"/>
        <v>0</v>
      </c>
      <c r="CX38" s="85">
        <f t="shared" si="39"/>
        <v>0</v>
      </c>
      <c r="CY38" s="86">
        <f t="shared" si="40"/>
        <v>0</v>
      </c>
      <c r="CZ38" s="87">
        <f t="shared" si="41"/>
        <v>0</v>
      </c>
      <c r="DA38" s="87">
        <f t="shared" si="42"/>
        <v>0</v>
      </c>
      <c r="DB38" s="87">
        <f t="shared" si="43"/>
        <v>0</v>
      </c>
      <c r="DC38" s="87">
        <f t="shared" si="44"/>
        <v>0</v>
      </c>
      <c r="DD38" s="87">
        <f t="shared" si="45"/>
        <v>0</v>
      </c>
      <c r="DE38" s="87">
        <f t="shared" si="46"/>
        <v>0</v>
      </c>
      <c r="DF38" s="87">
        <f t="shared" si="47"/>
        <v>0</v>
      </c>
      <c r="DG38" s="87">
        <f t="shared" si="48"/>
        <v>0</v>
      </c>
      <c r="DH38" s="87">
        <f t="shared" si="49"/>
        <v>0</v>
      </c>
      <c r="DI38" s="87">
        <f t="shared" si="50"/>
        <v>2</v>
      </c>
      <c r="DJ38" s="87">
        <f t="shared" si="51"/>
        <v>131</v>
      </c>
      <c r="DK38" s="86">
        <f t="shared" si="52"/>
        <v>215</v>
      </c>
      <c r="DL38" s="87">
        <f t="shared" si="53"/>
        <v>145</v>
      </c>
      <c r="DM38" s="87">
        <f t="shared" si="54"/>
        <v>63</v>
      </c>
      <c r="DN38" s="87">
        <f t="shared" si="55"/>
        <v>137</v>
      </c>
      <c r="DO38" s="87">
        <f t="shared" si="56"/>
        <v>192</v>
      </c>
      <c r="DP38" s="87">
        <f t="shared" si="57"/>
        <v>388</v>
      </c>
      <c r="DQ38" s="87">
        <f t="shared" si="58"/>
        <v>227</v>
      </c>
      <c r="DR38" s="87">
        <f t="shared" si="59"/>
        <v>108</v>
      </c>
      <c r="DS38" s="87">
        <f t="shared" si="60"/>
        <v>51</v>
      </c>
      <c r="DT38" s="87">
        <f t="shared" si="61"/>
        <v>48</v>
      </c>
      <c r="DU38" s="87">
        <f t="shared" si="66"/>
        <v>122.77777777777777</v>
      </c>
      <c r="DV38" s="87">
        <f t="shared" si="62"/>
        <v>0</v>
      </c>
      <c r="DW38" s="87">
        <f t="shared" si="63"/>
        <v>0</v>
      </c>
    </row>
    <row r="39" spans="1:127">
      <c r="A39" s="22" t="s">
        <v>146</v>
      </c>
      <c r="B39" s="26">
        <v>4987176381279</v>
      </c>
      <c r="C39" s="22" t="s">
        <v>707</v>
      </c>
      <c r="D39" s="22" t="s">
        <v>761</v>
      </c>
      <c r="E39" s="22">
        <v>280470</v>
      </c>
      <c r="F39" s="80" t="s">
        <v>758</v>
      </c>
      <c r="G39" s="25">
        <v>296.40000000000003</v>
      </c>
      <c r="H39" s="38">
        <f t="shared" si="67"/>
        <v>0</v>
      </c>
      <c r="I39" s="38">
        <f t="shared" si="68"/>
        <v>0</v>
      </c>
      <c r="J39" s="38">
        <f t="shared" si="69"/>
        <v>0</v>
      </c>
      <c r="K39" s="38">
        <f t="shared" si="70"/>
        <v>0</v>
      </c>
      <c r="L39" s="38">
        <f t="shared" si="71"/>
        <v>0</v>
      </c>
      <c r="M39" s="39">
        <f t="shared" si="72"/>
        <v>0</v>
      </c>
      <c r="N39" s="40">
        <f t="shared" si="73"/>
        <v>0</v>
      </c>
      <c r="O39" s="40">
        <f t="shared" si="74"/>
        <v>0</v>
      </c>
      <c r="P39" s="40">
        <f t="shared" si="75"/>
        <v>0</v>
      </c>
      <c r="Q39" s="40">
        <f t="shared" si="76"/>
        <v>0</v>
      </c>
      <c r="R39" s="40">
        <f t="shared" si="77"/>
        <v>0</v>
      </c>
      <c r="S39" s="40">
        <f t="shared" si="78"/>
        <v>0</v>
      </c>
      <c r="T39" s="40">
        <f t="shared" si="79"/>
        <v>0</v>
      </c>
      <c r="U39" s="40">
        <f t="shared" si="80"/>
        <v>0</v>
      </c>
      <c r="V39" s="40">
        <f t="shared" si="81"/>
        <v>0</v>
      </c>
      <c r="W39" s="40">
        <f t="shared" si="82"/>
        <v>0</v>
      </c>
      <c r="X39" s="40">
        <f t="shared" si="83"/>
        <v>0</v>
      </c>
      <c r="Y39" s="39">
        <f t="shared" si="84"/>
        <v>0</v>
      </c>
      <c r="Z39" s="40">
        <f t="shared" si="85"/>
        <v>0</v>
      </c>
      <c r="AA39" s="40">
        <f t="shared" si="86"/>
        <v>0</v>
      </c>
      <c r="AB39" s="40">
        <f t="shared" si="87"/>
        <v>0</v>
      </c>
      <c r="AC39" s="40">
        <f t="shared" si="88"/>
        <v>0</v>
      </c>
      <c r="AD39" s="40">
        <f t="shared" si="89"/>
        <v>0</v>
      </c>
      <c r="AE39" s="40">
        <f t="shared" si="90"/>
        <v>0</v>
      </c>
      <c r="AF39" s="40">
        <f t="shared" si="91"/>
        <v>1778.4</v>
      </c>
      <c r="AG39" s="40">
        <f t="shared" si="92"/>
        <v>109371.6</v>
      </c>
      <c r="AH39" s="40">
        <f t="shared" si="93"/>
        <v>84770.400000000009</v>
      </c>
      <c r="AI39" s="87">
        <f t="shared" si="94"/>
        <v>58094.400000000009</v>
      </c>
      <c r="AJ39" s="87">
        <f t="shared" si="95"/>
        <v>0</v>
      </c>
      <c r="AK39" s="86">
        <f t="shared" si="96"/>
        <v>0</v>
      </c>
      <c r="AL39" s="38"/>
      <c r="AM39" s="38"/>
      <c r="AN39" s="38"/>
      <c r="AO39" s="38"/>
      <c r="AP39" s="38"/>
      <c r="AQ39" s="39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39"/>
      <c r="BD39" s="40"/>
      <c r="BE39" s="40"/>
      <c r="BF39" s="40"/>
      <c r="BG39" s="40"/>
      <c r="BH39" s="40"/>
      <c r="BI39" s="40"/>
      <c r="BJ39" s="40"/>
      <c r="BK39" s="40">
        <v>300</v>
      </c>
      <c r="BL39" s="40">
        <v>217</v>
      </c>
      <c r="BM39" s="40">
        <v>180</v>
      </c>
      <c r="BN39" s="40"/>
      <c r="BO39" s="39"/>
      <c r="CA39" s="21">
        <v>0</v>
      </c>
      <c r="CB39" s="21">
        <v>0</v>
      </c>
      <c r="CC39" s="21">
        <v>0</v>
      </c>
      <c r="CD39" s="21">
        <v>0</v>
      </c>
      <c r="CE39" s="21">
        <v>0</v>
      </c>
      <c r="CF39" s="21">
        <v>0</v>
      </c>
      <c r="CG39" s="42">
        <v>0</v>
      </c>
      <c r="CH39" s="21">
        <v>0</v>
      </c>
      <c r="CI39" s="21">
        <v>0</v>
      </c>
      <c r="CJ39" s="21">
        <v>0</v>
      </c>
      <c r="CK39" s="21">
        <v>0</v>
      </c>
      <c r="CL39" s="21">
        <v>0</v>
      </c>
      <c r="CM39" s="21">
        <v>0</v>
      </c>
      <c r="CN39" s="21">
        <v>6</v>
      </c>
      <c r="CO39" s="21">
        <v>69</v>
      </c>
      <c r="CP39" s="21">
        <f t="shared" si="64"/>
        <v>69</v>
      </c>
      <c r="CQ39" s="343">
        <f t="shared" si="65"/>
        <v>16</v>
      </c>
      <c r="CR39" s="40"/>
      <c r="CS39" s="39"/>
      <c r="CT39" s="38"/>
      <c r="CU39" s="38"/>
      <c r="CV39" s="38"/>
      <c r="CW39" s="38"/>
      <c r="CX39" s="38"/>
      <c r="CY39" s="39"/>
      <c r="CZ39" s="40"/>
      <c r="DA39" s="40"/>
      <c r="DB39" s="40"/>
      <c r="DC39" s="40"/>
      <c r="DD39" s="40"/>
      <c r="DE39" s="40"/>
      <c r="DF39" s="40"/>
      <c r="DG39" s="40"/>
      <c r="DH39" s="40"/>
      <c r="DI39" s="40"/>
      <c r="DJ39" s="40"/>
      <c r="DK39" s="39"/>
      <c r="DL39" s="40"/>
      <c r="DM39" s="40"/>
      <c r="DN39" s="40"/>
      <c r="DO39" s="40"/>
      <c r="DP39" s="40"/>
      <c r="DQ39" s="40"/>
      <c r="DR39" s="40">
        <f t="shared" ref="DR39:DR102" si="97">BJ39+CN39</f>
        <v>6</v>
      </c>
      <c r="DS39" s="40">
        <f t="shared" ref="DS39:DS105" si="98">BK39+CO39</f>
        <v>369</v>
      </c>
      <c r="DT39" s="40">
        <f t="shared" si="61"/>
        <v>286</v>
      </c>
      <c r="DU39" s="40">
        <f t="shared" si="66"/>
        <v>196</v>
      </c>
      <c r="DV39" s="40">
        <f t="shared" si="62"/>
        <v>0</v>
      </c>
      <c r="DW39" s="40">
        <f t="shared" si="63"/>
        <v>0</v>
      </c>
    </row>
    <row r="40" spans="1:127">
      <c r="A40" s="22" t="s">
        <v>146</v>
      </c>
      <c r="B40" s="26">
        <v>4987176381262</v>
      </c>
      <c r="C40" s="22" t="s">
        <v>707</v>
      </c>
      <c r="D40" s="22" t="s">
        <v>761</v>
      </c>
      <c r="E40" s="22">
        <v>280554</v>
      </c>
      <c r="F40" s="80" t="s">
        <v>760</v>
      </c>
      <c r="G40" s="25">
        <v>296.40000000000003</v>
      </c>
      <c r="H40" s="38">
        <f t="shared" si="67"/>
        <v>0</v>
      </c>
      <c r="I40" s="38">
        <f t="shared" si="68"/>
        <v>0</v>
      </c>
      <c r="J40" s="38">
        <f t="shared" si="69"/>
        <v>0</v>
      </c>
      <c r="K40" s="38">
        <f t="shared" si="70"/>
        <v>0</v>
      </c>
      <c r="L40" s="38">
        <f t="shared" si="71"/>
        <v>0</v>
      </c>
      <c r="M40" s="39">
        <f t="shared" si="72"/>
        <v>0</v>
      </c>
      <c r="N40" s="40">
        <f t="shared" si="73"/>
        <v>0</v>
      </c>
      <c r="O40" s="40">
        <f t="shared" si="74"/>
        <v>0</v>
      </c>
      <c r="P40" s="40">
        <f t="shared" si="75"/>
        <v>0</v>
      </c>
      <c r="Q40" s="40">
        <f t="shared" si="76"/>
        <v>0</v>
      </c>
      <c r="R40" s="40">
        <f t="shared" si="77"/>
        <v>0</v>
      </c>
      <c r="S40" s="40">
        <f t="shared" si="78"/>
        <v>0</v>
      </c>
      <c r="T40" s="40">
        <f t="shared" si="79"/>
        <v>0</v>
      </c>
      <c r="U40" s="40">
        <f t="shared" si="80"/>
        <v>0</v>
      </c>
      <c r="V40" s="40">
        <f t="shared" si="81"/>
        <v>0</v>
      </c>
      <c r="W40" s="40">
        <f t="shared" si="82"/>
        <v>0</v>
      </c>
      <c r="X40" s="40">
        <f t="shared" si="83"/>
        <v>0</v>
      </c>
      <c r="Y40" s="39">
        <f t="shared" si="84"/>
        <v>0</v>
      </c>
      <c r="Z40" s="40">
        <f t="shared" si="85"/>
        <v>0</v>
      </c>
      <c r="AA40" s="40">
        <f t="shared" si="86"/>
        <v>0</v>
      </c>
      <c r="AB40" s="40">
        <f t="shared" si="87"/>
        <v>0</v>
      </c>
      <c r="AC40" s="40">
        <f t="shared" si="88"/>
        <v>0</v>
      </c>
      <c r="AD40" s="40">
        <f t="shared" si="89"/>
        <v>0</v>
      </c>
      <c r="AE40" s="40">
        <f t="shared" si="90"/>
        <v>0</v>
      </c>
      <c r="AF40" s="40">
        <f t="shared" si="91"/>
        <v>1778.4</v>
      </c>
      <c r="AG40" s="40">
        <f t="shared" si="92"/>
        <v>99294.000000000015</v>
      </c>
      <c r="AH40" s="40">
        <f t="shared" si="93"/>
        <v>87141.6</v>
      </c>
      <c r="AI40" s="87">
        <f t="shared" si="94"/>
        <v>83881.200000000012</v>
      </c>
      <c r="AJ40" s="87">
        <f t="shared" si="95"/>
        <v>0</v>
      </c>
      <c r="AK40" s="86">
        <f t="shared" si="96"/>
        <v>0</v>
      </c>
      <c r="AL40" s="38"/>
      <c r="AM40" s="38"/>
      <c r="AN40" s="38"/>
      <c r="AO40" s="38"/>
      <c r="AP40" s="38"/>
      <c r="AQ40" s="39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39"/>
      <c r="BD40" s="40"/>
      <c r="BE40" s="40"/>
      <c r="BF40" s="40"/>
      <c r="BG40" s="40"/>
      <c r="BH40" s="40"/>
      <c r="BI40" s="40"/>
      <c r="BJ40" s="40"/>
      <c r="BK40" s="40">
        <v>266</v>
      </c>
      <c r="BL40" s="40">
        <v>225</v>
      </c>
      <c r="BM40" s="40">
        <v>267</v>
      </c>
      <c r="BN40" s="40"/>
      <c r="BO40" s="39"/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42">
        <v>0</v>
      </c>
      <c r="CH40" s="21">
        <v>0</v>
      </c>
      <c r="CI40" s="21">
        <v>0</v>
      </c>
      <c r="CJ40" s="21">
        <v>0</v>
      </c>
      <c r="CK40" s="21">
        <v>0</v>
      </c>
      <c r="CL40" s="21">
        <v>0</v>
      </c>
      <c r="CM40" s="21">
        <v>0</v>
      </c>
      <c r="CN40" s="21">
        <v>6</v>
      </c>
      <c r="CO40" s="21">
        <v>69</v>
      </c>
      <c r="CP40" s="21">
        <f t="shared" si="64"/>
        <v>69</v>
      </c>
      <c r="CQ40" s="343">
        <f t="shared" si="65"/>
        <v>16</v>
      </c>
      <c r="CR40" s="40"/>
      <c r="CS40" s="39"/>
      <c r="CT40" s="38"/>
      <c r="CU40" s="38"/>
      <c r="CV40" s="38"/>
      <c r="CW40" s="38"/>
      <c r="CX40" s="38"/>
      <c r="CY40" s="39"/>
      <c r="CZ40" s="40"/>
      <c r="DA40" s="40"/>
      <c r="DB40" s="40"/>
      <c r="DC40" s="40"/>
      <c r="DD40" s="40"/>
      <c r="DE40" s="40"/>
      <c r="DF40" s="40"/>
      <c r="DG40" s="40"/>
      <c r="DH40" s="40"/>
      <c r="DI40" s="40"/>
      <c r="DJ40" s="40"/>
      <c r="DK40" s="39"/>
      <c r="DL40" s="40"/>
      <c r="DM40" s="40"/>
      <c r="DN40" s="40"/>
      <c r="DO40" s="40"/>
      <c r="DP40" s="40"/>
      <c r="DQ40" s="40"/>
      <c r="DR40" s="40">
        <f t="shared" si="97"/>
        <v>6</v>
      </c>
      <c r="DS40" s="40">
        <f t="shared" si="98"/>
        <v>335</v>
      </c>
      <c r="DT40" s="40">
        <f t="shared" si="61"/>
        <v>294</v>
      </c>
      <c r="DU40" s="40">
        <f t="shared" si="66"/>
        <v>283</v>
      </c>
      <c r="DV40" s="40">
        <f t="shared" si="62"/>
        <v>0</v>
      </c>
      <c r="DW40" s="40">
        <f t="shared" si="63"/>
        <v>0</v>
      </c>
    </row>
    <row r="41" spans="1:127">
      <c r="A41" s="22" t="s">
        <v>4</v>
      </c>
      <c r="B41" s="26">
        <v>4902430586177</v>
      </c>
      <c r="C41" s="22" t="s">
        <v>5</v>
      </c>
      <c r="D41" s="22" t="s">
        <v>6</v>
      </c>
      <c r="E41" s="22">
        <v>235480</v>
      </c>
      <c r="F41" s="80" t="s">
        <v>150</v>
      </c>
      <c r="G41" s="25">
        <v>272.55222222222221</v>
      </c>
      <c r="H41" s="87">
        <f t="shared" si="67"/>
        <v>262467.78999999998</v>
      </c>
      <c r="I41" s="87">
        <f t="shared" si="68"/>
        <v>444532.67444444442</v>
      </c>
      <c r="J41" s="87">
        <f t="shared" si="69"/>
        <v>361131.69444444444</v>
      </c>
      <c r="K41" s="87">
        <f t="shared" si="70"/>
        <v>284544.52</v>
      </c>
      <c r="L41" s="87">
        <f t="shared" si="71"/>
        <v>386206.49888888886</v>
      </c>
      <c r="M41" s="86">
        <f t="shared" si="72"/>
        <v>402287.07999999996</v>
      </c>
      <c r="N41" s="87">
        <f t="shared" si="73"/>
        <v>286452.38555555552</v>
      </c>
      <c r="O41" s="87">
        <f t="shared" si="74"/>
        <v>358406.1722222222</v>
      </c>
      <c r="P41" s="87">
        <f t="shared" si="75"/>
        <v>343688.35222222219</v>
      </c>
      <c r="Q41" s="87">
        <f t="shared" si="76"/>
        <v>483780.19444444444</v>
      </c>
      <c r="R41" s="87">
        <f t="shared" si="77"/>
        <v>576720.50222222216</v>
      </c>
      <c r="S41" s="87">
        <f t="shared" si="78"/>
        <v>571269.4577777778</v>
      </c>
      <c r="T41" s="87">
        <f t="shared" si="79"/>
        <v>355680.64999999997</v>
      </c>
      <c r="U41" s="87">
        <f t="shared" si="80"/>
        <v>813023.27888888889</v>
      </c>
      <c r="V41" s="87">
        <f t="shared" si="81"/>
        <v>696370.92777777778</v>
      </c>
      <c r="W41" s="87">
        <f t="shared" si="82"/>
        <v>599614.88888888888</v>
      </c>
      <c r="X41" s="87">
        <f t="shared" si="83"/>
        <v>624962.24555555556</v>
      </c>
      <c r="Y41" s="86">
        <f t="shared" si="84"/>
        <v>663392.10888888885</v>
      </c>
      <c r="Z41" s="87">
        <f t="shared" si="85"/>
        <v>816839.01</v>
      </c>
      <c r="AA41" s="87">
        <f t="shared" si="86"/>
        <v>580536.23333333328</v>
      </c>
      <c r="AB41" s="87">
        <f t="shared" si="87"/>
        <v>436628.66</v>
      </c>
      <c r="AC41" s="87">
        <f t="shared" si="88"/>
        <v>653580.22888888884</v>
      </c>
      <c r="AD41" s="87">
        <f t="shared" si="89"/>
        <v>865625.85777777771</v>
      </c>
      <c r="AE41" s="87">
        <f t="shared" si="90"/>
        <v>1207406.3444444444</v>
      </c>
      <c r="AF41" s="87">
        <f t="shared" si="91"/>
        <v>18260.998888888887</v>
      </c>
      <c r="AG41" s="87">
        <f t="shared" si="92"/>
        <v>3815.7311111111112</v>
      </c>
      <c r="AH41" s="87">
        <f t="shared" si="93"/>
        <v>0</v>
      </c>
      <c r="AI41" s="87">
        <f t="shared" si="94"/>
        <v>51421.519259259258</v>
      </c>
      <c r="AJ41" s="87">
        <f t="shared" si="95"/>
        <v>0</v>
      </c>
      <c r="AK41" s="86">
        <f t="shared" si="96"/>
        <v>0</v>
      </c>
      <c r="AL41" s="85">
        <v>872</v>
      </c>
      <c r="AM41" s="85">
        <v>1519</v>
      </c>
      <c r="AN41" s="85">
        <v>1014</v>
      </c>
      <c r="AO41" s="85">
        <v>966</v>
      </c>
      <c r="AP41" s="85">
        <v>1314</v>
      </c>
      <c r="AQ41" s="86">
        <v>1185</v>
      </c>
      <c r="AR41" s="87">
        <v>936</v>
      </c>
      <c r="AS41" s="87">
        <v>1228</v>
      </c>
      <c r="AT41" s="87">
        <v>1146</v>
      </c>
      <c r="AU41" s="87">
        <v>1585</v>
      </c>
      <c r="AV41" s="87">
        <v>1817</v>
      </c>
      <c r="AW41" s="87">
        <v>2059</v>
      </c>
      <c r="AX41" s="87">
        <v>1258</v>
      </c>
      <c r="AY41" s="87">
        <v>2633</v>
      </c>
      <c r="AZ41" s="87">
        <v>2310</v>
      </c>
      <c r="BA41" s="87">
        <v>2113</v>
      </c>
      <c r="BB41" s="87">
        <v>1832</v>
      </c>
      <c r="BC41" s="86">
        <v>1759</v>
      </c>
      <c r="BD41" s="87">
        <v>2464</v>
      </c>
      <c r="BE41" s="87">
        <v>1905</v>
      </c>
      <c r="BF41" s="87">
        <v>1456</v>
      </c>
      <c r="BG41" s="87">
        <v>1963</v>
      </c>
      <c r="BH41" s="87">
        <v>2851</v>
      </c>
      <c r="BI41" s="87">
        <v>4423</v>
      </c>
      <c r="BJ41" s="40">
        <v>67</v>
      </c>
      <c r="BK41" s="40">
        <v>14</v>
      </c>
      <c r="BL41" s="40">
        <v>0</v>
      </c>
      <c r="BM41" s="40">
        <v>3</v>
      </c>
      <c r="BO41" s="86">
        <f>BN41/35*14</f>
        <v>0</v>
      </c>
      <c r="BP41" s="21">
        <v>91</v>
      </c>
      <c r="BQ41" s="21">
        <v>112</v>
      </c>
      <c r="BR41" s="21">
        <v>311</v>
      </c>
      <c r="BS41" s="21">
        <v>78</v>
      </c>
      <c r="BT41" s="21">
        <v>103</v>
      </c>
      <c r="BU41" s="42">
        <v>291</v>
      </c>
      <c r="BV41" s="21">
        <v>115</v>
      </c>
      <c r="BW41" s="21">
        <v>87</v>
      </c>
      <c r="BX41" s="21">
        <v>115</v>
      </c>
      <c r="BY41" s="21">
        <v>190</v>
      </c>
      <c r="BZ41" s="21">
        <v>299</v>
      </c>
      <c r="CA41" s="21">
        <v>37</v>
      </c>
      <c r="CB41" s="21">
        <v>47</v>
      </c>
      <c r="CC41" s="21">
        <v>350</v>
      </c>
      <c r="CD41" s="21">
        <v>245</v>
      </c>
      <c r="CE41" s="21">
        <v>87</v>
      </c>
      <c r="CF41" s="21">
        <v>461</v>
      </c>
      <c r="CG41" s="42">
        <v>675</v>
      </c>
      <c r="CH41" s="21">
        <v>533</v>
      </c>
      <c r="CI41" s="21">
        <v>225</v>
      </c>
      <c r="CJ41" s="21">
        <v>146</v>
      </c>
      <c r="CK41" s="21">
        <v>435</v>
      </c>
      <c r="CL41" s="21">
        <v>325</v>
      </c>
      <c r="CM41" s="21">
        <v>7</v>
      </c>
      <c r="CN41" s="21">
        <v>0</v>
      </c>
      <c r="CO41" s="21">
        <v>0</v>
      </c>
      <c r="CP41" s="21">
        <f t="shared" si="64"/>
        <v>0</v>
      </c>
      <c r="CQ41" s="344">
        <f t="shared" si="65"/>
        <v>185.66666666666666</v>
      </c>
      <c r="CR41" s="87"/>
      <c r="CS41" s="86"/>
      <c r="CT41" s="85">
        <f t="shared" ref="CT41:CT72" si="99">AL41+BP41</f>
        <v>963</v>
      </c>
      <c r="CU41" s="85">
        <f t="shared" ref="CU41:CU72" si="100">AM41+BQ41</f>
        <v>1631</v>
      </c>
      <c r="CV41" s="85">
        <f t="shared" ref="CV41:CV72" si="101">AN41+BR41</f>
        <v>1325</v>
      </c>
      <c r="CW41" s="85">
        <f t="shared" ref="CW41:CW72" si="102">AO41+BS41</f>
        <v>1044</v>
      </c>
      <c r="CX41" s="85">
        <f t="shared" ref="CX41:CX72" si="103">AP41+BT41</f>
        <v>1417</v>
      </c>
      <c r="CY41" s="86">
        <f t="shared" ref="CY41:CY72" si="104">AQ41+BU41</f>
        <v>1476</v>
      </c>
      <c r="CZ41" s="87">
        <f t="shared" ref="CZ41:CZ72" si="105">AR41+BV41</f>
        <v>1051</v>
      </c>
      <c r="DA41" s="87">
        <f t="shared" ref="DA41:DA72" si="106">AS41+BW41</f>
        <v>1315</v>
      </c>
      <c r="DB41" s="87">
        <f t="shared" ref="DB41:DB72" si="107">AT41+BX41</f>
        <v>1261</v>
      </c>
      <c r="DC41" s="87">
        <f t="shared" ref="DC41:DC72" si="108">AU41+BY41</f>
        <v>1775</v>
      </c>
      <c r="DD41" s="87">
        <f t="shared" ref="DD41:DD72" si="109">AV41+BZ41</f>
        <v>2116</v>
      </c>
      <c r="DE41" s="87">
        <f t="shared" ref="DE41:DE72" si="110">AW41+CA41</f>
        <v>2096</v>
      </c>
      <c r="DF41" s="87">
        <f t="shared" ref="DF41:DF72" si="111">AX41+CB41</f>
        <v>1305</v>
      </c>
      <c r="DG41" s="87">
        <f t="shared" ref="DG41:DG72" si="112">AY41+CC41</f>
        <v>2983</v>
      </c>
      <c r="DH41" s="87">
        <f t="shared" ref="DH41:DH72" si="113">AZ41+CD41</f>
        <v>2555</v>
      </c>
      <c r="DI41" s="87">
        <f t="shared" ref="DI41:DI72" si="114">BA41+CE41</f>
        <v>2200</v>
      </c>
      <c r="DJ41" s="87">
        <f t="shared" ref="DJ41:DJ72" si="115">BB41+CF41</f>
        <v>2293</v>
      </c>
      <c r="DK41" s="86">
        <f t="shared" ref="DK41:DK72" si="116">BC41+CG41</f>
        <v>2434</v>
      </c>
      <c r="DL41" s="87">
        <f t="shared" ref="DL41:DL72" si="117">BD41+CH41</f>
        <v>2997</v>
      </c>
      <c r="DM41" s="87">
        <f t="shared" ref="DM41:DM72" si="118">BE41+CI41</f>
        <v>2130</v>
      </c>
      <c r="DN41" s="87">
        <f t="shared" ref="DN41:DN72" si="119">BF41+CJ41</f>
        <v>1602</v>
      </c>
      <c r="DO41" s="87">
        <f t="shared" ref="DO41:DO72" si="120">BG41+CK41</f>
        <v>2398</v>
      </c>
      <c r="DP41" s="87">
        <f t="shared" ref="DP41:DP72" si="121">BH41+CL41</f>
        <v>3176</v>
      </c>
      <c r="DQ41" s="87">
        <f t="shared" ref="DQ41:DQ72" si="122">BI41+CM41</f>
        <v>4430</v>
      </c>
      <c r="DR41" s="87">
        <f t="shared" si="97"/>
        <v>67</v>
      </c>
      <c r="DS41" s="87">
        <f t="shared" si="98"/>
        <v>14</v>
      </c>
      <c r="DT41" s="87">
        <f t="shared" ref="DT41:DT72" si="123">BL41+CP41</f>
        <v>0</v>
      </c>
      <c r="DU41" s="87">
        <f t="shared" ref="DU41:DU72" si="124">BM41+CQ41</f>
        <v>188.66666666666666</v>
      </c>
      <c r="DV41" s="87">
        <f t="shared" ref="DV41:DV72" si="125">BN41+CR41</f>
        <v>0</v>
      </c>
      <c r="DW41" s="87">
        <f t="shared" ref="DW41:DW72" si="126">BO41+CS41</f>
        <v>0</v>
      </c>
    </row>
    <row r="42" spans="1:127">
      <c r="A42" s="22" t="s">
        <v>4</v>
      </c>
      <c r="B42" s="26">
        <v>4902430587983</v>
      </c>
      <c r="C42" s="22" t="s">
        <v>5</v>
      </c>
      <c r="D42" s="22" t="s">
        <v>6</v>
      </c>
      <c r="E42" s="22">
        <v>234997</v>
      </c>
      <c r="F42" s="80" t="s">
        <v>151</v>
      </c>
      <c r="G42" s="25">
        <v>272.55222222222221</v>
      </c>
      <c r="H42" s="87">
        <f t="shared" si="67"/>
        <v>96756.038888888885</v>
      </c>
      <c r="I42" s="87">
        <f t="shared" si="68"/>
        <v>152629.24444444443</v>
      </c>
      <c r="J42" s="87">
        <f t="shared" si="69"/>
        <v>117197.45555555556</v>
      </c>
      <c r="K42" s="87">
        <f t="shared" si="70"/>
        <v>93757.964444444442</v>
      </c>
      <c r="L42" s="87">
        <f t="shared" si="71"/>
        <v>138183.97666666665</v>
      </c>
      <c r="M42" s="86">
        <f t="shared" si="72"/>
        <v>145542.88666666666</v>
      </c>
      <c r="N42" s="87">
        <f t="shared" si="73"/>
        <v>99481.561111111107</v>
      </c>
      <c r="O42" s="87">
        <f t="shared" si="74"/>
        <v>136821.21555555554</v>
      </c>
      <c r="P42" s="87">
        <f t="shared" si="75"/>
        <v>107385.57555555555</v>
      </c>
      <c r="Q42" s="87">
        <f t="shared" si="76"/>
        <v>141454.60333333333</v>
      </c>
      <c r="R42" s="87">
        <f t="shared" si="77"/>
        <v>195147.39111111109</v>
      </c>
      <c r="S42" s="87">
        <f t="shared" si="78"/>
        <v>221584.95666666667</v>
      </c>
      <c r="T42" s="87">
        <f t="shared" si="79"/>
        <v>107658.12777777777</v>
      </c>
      <c r="U42" s="87">
        <f t="shared" si="80"/>
        <v>215043.70333333334</v>
      </c>
      <c r="V42" s="87">
        <f t="shared" si="81"/>
        <v>185608.06333333332</v>
      </c>
      <c r="W42" s="87">
        <f t="shared" si="82"/>
        <v>192421.86888888889</v>
      </c>
      <c r="X42" s="87">
        <f t="shared" si="83"/>
        <v>201416.09222222221</v>
      </c>
      <c r="Y42" s="86">
        <f t="shared" si="84"/>
        <v>233849.80666666667</v>
      </c>
      <c r="Z42" s="87">
        <f t="shared" si="85"/>
        <v>251293.14888888889</v>
      </c>
      <c r="AA42" s="87">
        <f t="shared" si="86"/>
        <v>170890.24333333332</v>
      </c>
      <c r="AB42" s="87">
        <f t="shared" si="87"/>
        <v>129734.85777777777</v>
      </c>
      <c r="AC42" s="87">
        <f t="shared" si="88"/>
        <v>234940.01555555555</v>
      </c>
      <c r="AD42" s="87">
        <f t="shared" si="89"/>
        <v>313980.15999999997</v>
      </c>
      <c r="AE42" s="87">
        <f t="shared" si="90"/>
        <v>303078.07111111109</v>
      </c>
      <c r="AF42" s="87">
        <f t="shared" si="91"/>
        <v>34886.684444444443</v>
      </c>
      <c r="AG42" s="87">
        <f t="shared" si="92"/>
        <v>8994.2233333333334</v>
      </c>
      <c r="AH42" s="87">
        <f t="shared" si="93"/>
        <v>1635.3133333333333</v>
      </c>
      <c r="AI42" s="87">
        <f t="shared" si="94"/>
        <v>17988.446666666667</v>
      </c>
      <c r="AJ42" s="87">
        <f t="shared" si="95"/>
        <v>0</v>
      </c>
      <c r="AK42" s="86">
        <f t="shared" si="96"/>
        <v>0</v>
      </c>
      <c r="AL42" s="85">
        <v>319</v>
      </c>
      <c r="AM42" s="85">
        <v>518</v>
      </c>
      <c r="AN42" s="85">
        <v>348</v>
      </c>
      <c r="AO42" s="85">
        <v>312</v>
      </c>
      <c r="AP42" s="85">
        <v>459</v>
      </c>
      <c r="AQ42" s="86">
        <v>454</v>
      </c>
      <c r="AR42" s="87">
        <v>339</v>
      </c>
      <c r="AS42" s="87">
        <v>465</v>
      </c>
      <c r="AT42" s="87">
        <v>364</v>
      </c>
      <c r="AU42" s="87">
        <v>472</v>
      </c>
      <c r="AV42" s="87">
        <v>633</v>
      </c>
      <c r="AW42" s="87">
        <v>805</v>
      </c>
      <c r="AX42" s="87">
        <v>382</v>
      </c>
      <c r="AY42" s="87">
        <v>692</v>
      </c>
      <c r="AZ42" s="87">
        <v>616</v>
      </c>
      <c r="BA42" s="87">
        <v>668</v>
      </c>
      <c r="BB42" s="87">
        <v>649</v>
      </c>
      <c r="BC42" s="86">
        <v>631</v>
      </c>
      <c r="BD42" s="87">
        <v>788</v>
      </c>
      <c r="BE42" s="87">
        <v>562</v>
      </c>
      <c r="BF42" s="87">
        <v>434</v>
      </c>
      <c r="BG42" s="87">
        <v>735</v>
      </c>
      <c r="BH42" s="87">
        <v>948</v>
      </c>
      <c r="BI42" s="87">
        <v>1099</v>
      </c>
      <c r="BJ42" s="40">
        <v>128</v>
      </c>
      <c r="BK42" s="40">
        <v>33</v>
      </c>
      <c r="BL42" s="40">
        <v>6</v>
      </c>
      <c r="BM42" s="40">
        <v>1</v>
      </c>
      <c r="BO42" s="86">
        <f t="shared" ref="BO42:BO58" si="127">BN42/35*14</f>
        <v>0</v>
      </c>
      <c r="BP42" s="21">
        <v>36</v>
      </c>
      <c r="BQ42" s="21">
        <v>42</v>
      </c>
      <c r="BR42" s="21">
        <v>82</v>
      </c>
      <c r="BS42" s="21">
        <v>32</v>
      </c>
      <c r="BT42" s="21">
        <v>48</v>
      </c>
      <c r="BU42" s="42">
        <v>80</v>
      </c>
      <c r="BV42" s="21">
        <v>26</v>
      </c>
      <c r="BW42" s="21">
        <v>37</v>
      </c>
      <c r="BX42" s="21">
        <v>30</v>
      </c>
      <c r="BY42" s="21">
        <v>47</v>
      </c>
      <c r="BZ42" s="21">
        <v>83</v>
      </c>
      <c r="CA42" s="21">
        <v>8</v>
      </c>
      <c r="CB42" s="21">
        <v>13</v>
      </c>
      <c r="CC42" s="21">
        <v>97</v>
      </c>
      <c r="CD42" s="21">
        <v>65</v>
      </c>
      <c r="CE42" s="21">
        <v>38</v>
      </c>
      <c r="CF42" s="21">
        <v>90</v>
      </c>
      <c r="CG42" s="42">
        <v>227</v>
      </c>
      <c r="CH42" s="21">
        <v>134</v>
      </c>
      <c r="CI42" s="21">
        <v>65</v>
      </c>
      <c r="CJ42" s="21">
        <v>42</v>
      </c>
      <c r="CK42" s="21">
        <v>127</v>
      </c>
      <c r="CL42" s="21">
        <v>204</v>
      </c>
      <c r="CM42" s="21">
        <v>13</v>
      </c>
      <c r="CN42" s="21">
        <v>0</v>
      </c>
      <c r="CO42" s="21">
        <v>0</v>
      </c>
      <c r="CP42" s="21">
        <f t="shared" si="64"/>
        <v>0</v>
      </c>
      <c r="CQ42" s="344">
        <f t="shared" si="65"/>
        <v>65</v>
      </c>
      <c r="CR42" s="87"/>
      <c r="CS42" s="86"/>
      <c r="CT42" s="85">
        <f t="shared" si="99"/>
        <v>355</v>
      </c>
      <c r="CU42" s="85">
        <f t="shared" si="100"/>
        <v>560</v>
      </c>
      <c r="CV42" s="85">
        <f t="shared" si="101"/>
        <v>430</v>
      </c>
      <c r="CW42" s="85">
        <f t="shared" si="102"/>
        <v>344</v>
      </c>
      <c r="CX42" s="85">
        <f t="shared" si="103"/>
        <v>507</v>
      </c>
      <c r="CY42" s="86">
        <f t="shared" si="104"/>
        <v>534</v>
      </c>
      <c r="CZ42" s="87">
        <f t="shared" si="105"/>
        <v>365</v>
      </c>
      <c r="DA42" s="87">
        <f t="shared" si="106"/>
        <v>502</v>
      </c>
      <c r="DB42" s="87">
        <f t="shared" si="107"/>
        <v>394</v>
      </c>
      <c r="DC42" s="87">
        <f t="shared" si="108"/>
        <v>519</v>
      </c>
      <c r="DD42" s="87">
        <f t="shared" si="109"/>
        <v>716</v>
      </c>
      <c r="DE42" s="87">
        <f t="shared" si="110"/>
        <v>813</v>
      </c>
      <c r="DF42" s="87">
        <f t="shared" si="111"/>
        <v>395</v>
      </c>
      <c r="DG42" s="87">
        <f t="shared" si="112"/>
        <v>789</v>
      </c>
      <c r="DH42" s="87">
        <f t="shared" si="113"/>
        <v>681</v>
      </c>
      <c r="DI42" s="87">
        <f t="shared" si="114"/>
        <v>706</v>
      </c>
      <c r="DJ42" s="87">
        <f t="shared" si="115"/>
        <v>739</v>
      </c>
      <c r="DK42" s="86">
        <f t="shared" si="116"/>
        <v>858</v>
      </c>
      <c r="DL42" s="87">
        <f t="shared" si="117"/>
        <v>922</v>
      </c>
      <c r="DM42" s="87">
        <f t="shared" si="118"/>
        <v>627</v>
      </c>
      <c r="DN42" s="87">
        <f t="shared" si="119"/>
        <v>476</v>
      </c>
      <c r="DO42" s="87">
        <f t="shared" si="120"/>
        <v>862</v>
      </c>
      <c r="DP42" s="87">
        <f t="shared" si="121"/>
        <v>1152</v>
      </c>
      <c r="DQ42" s="87">
        <f t="shared" si="122"/>
        <v>1112</v>
      </c>
      <c r="DR42" s="87">
        <f t="shared" si="97"/>
        <v>128</v>
      </c>
      <c r="DS42" s="87">
        <f t="shared" si="98"/>
        <v>33</v>
      </c>
      <c r="DT42" s="87">
        <f t="shared" si="123"/>
        <v>6</v>
      </c>
      <c r="DU42" s="87">
        <f t="shared" si="124"/>
        <v>66</v>
      </c>
      <c r="DV42" s="87">
        <f t="shared" si="125"/>
        <v>0</v>
      </c>
      <c r="DW42" s="87">
        <f t="shared" si="126"/>
        <v>0</v>
      </c>
    </row>
    <row r="43" spans="1:127">
      <c r="A43" s="22" t="s">
        <v>4</v>
      </c>
      <c r="B43" s="26">
        <v>4902430659567</v>
      </c>
      <c r="C43" s="22" t="s">
        <v>5</v>
      </c>
      <c r="D43" s="22" t="s">
        <v>6</v>
      </c>
      <c r="E43" s="22">
        <v>302715</v>
      </c>
      <c r="F43" s="342" t="s">
        <v>152</v>
      </c>
      <c r="G43" s="25">
        <v>272.55222222222221</v>
      </c>
      <c r="H43" s="85">
        <f t="shared" si="67"/>
        <v>127554.44</v>
      </c>
      <c r="I43" s="85">
        <f t="shared" si="68"/>
        <v>201961.19666666666</v>
      </c>
      <c r="J43" s="85">
        <f t="shared" si="69"/>
        <v>173888.31777777776</v>
      </c>
      <c r="K43" s="85">
        <f t="shared" si="70"/>
        <v>129462.30555555555</v>
      </c>
      <c r="L43" s="85">
        <f t="shared" si="71"/>
        <v>197872.91333333333</v>
      </c>
      <c r="M43" s="86">
        <f t="shared" si="72"/>
        <v>157807.73666666666</v>
      </c>
      <c r="N43" s="87">
        <f t="shared" si="73"/>
        <v>144997.78222222222</v>
      </c>
      <c r="O43" s="87">
        <f t="shared" si="74"/>
        <v>196510.15222222221</v>
      </c>
      <c r="P43" s="87">
        <f t="shared" si="75"/>
        <v>167074.51222222223</v>
      </c>
      <c r="Q43" s="87">
        <f t="shared" si="76"/>
        <v>231124.28444444443</v>
      </c>
      <c r="R43" s="87">
        <f t="shared" si="77"/>
        <v>288360.25111111108</v>
      </c>
      <c r="S43" s="87">
        <f t="shared" si="78"/>
        <v>360859.14222222223</v>
      </c>
      <c r="T43" s="87">
        <f t="shared" si="79"/>
        <v>176068.73555555556</v>
      </c>
      <c r="U43" s="87">
        <f t="shared" si="80"/>
        <v>310436.98111111112</v>
      </c>
      <c r="V43" s="87">
        <f t="shared" si="81"/>
        <v>292721.08666666667</v>
      </c>
      <c r="W43" s="87">
        <f t="shared" si="82"/>
        <v>256199.08888888889</v>
      </c>
      <c r="X43" s="87">
        <f t="shared" si="83"/>
        <v>284271.96777777775</v>
      </c>
      <c r="Y43" s="86">
        <f t="shared" si="84"/>
        <v>304713.38444444444</v>
      </c>
      <c r="Z43" s="87">
        <f t="shared" si="85"/>
        <v>387841.81222222222</v>
      </c>
      <c r="AA43" s="87">
        <f t="shared" si="86"/>
        <v>276640.50555555557</v>
      </c>
      <c r="AB43" s="87">
        <f t="shared" si="87"/>
        <v>237120.43333333332</v>
      </c>
      <c r="AC43" s="87">
        <f t="shared" si="88"/>
        <v>355680.64999999997</v>
      </c>
      <c r="AD43" s="87">
        <f t="shared" si="89"/>
        <v>403649.84111111111</v>
      </c>
      <c r="AE43" s="87">
        <f t="shared" si="90"/>
        <v>278003.26666666666</v>
      </c>
      <c r="AF43" s="87">
        <f t="shared" si="91"/>
        <v>19896.312222222223</v>
      </c>
      <c r="AG43" s="87">
        <f t="shared" si="92"/>
        <v>6268.7011111111105</v>
      </c>
      <c r="AH43" s="87">
        <f t="shared" si="93"/>
        <v>1090.2088888888889</v>
      </c>
      <c r="AI43" s="87">
        <f t="shared" si="94"/>
        <v>32887.968148148146</v>
      </c>
      <c r="AJ43" s="87">
        <f t="shared" si="95"/>
        <v>0</v>
      </c>
      <c r="AK43" s="86">
        <f t="shared" si="96"/>
        <v>0</v>
      </c>
      <c r="AL43" s="85">
        <v>422</v>
      </c>
      <c r="AM43" s="85">
        <v>693</v>
      </c>
      <c r="AN43" s="85">
        <v>499</v>
      </c>
      <c r="AO43" s="85">
        <v>441</v>
      </c>
      <c r="AP43" s="85">
        <v>688</v>
      </c>
      <c r="AQ43" s="86">
        <v>496</v>
      </c>
      <c r="AR43" s="87">
        <v>480</v>
      </c>
      <c r="AS43" s="87">
        <v>680</v>
      </c>
      <c r="AT43" s="87">
        <v>547</v>
      </c>
      <c r="AU43" s="87">
        <v>768</v>
      </c>
      <c r="AV43" s="87">
        <v>946</v>
      </c>
      <c r="AW43" s="87">
        <v>1304</v>
      </c>
      <c r="AX43" s="87">
        <v>630</v>
      </c>
      <c r="AY43" s="87">
        <v>987</v>
      </c>
      <c r="AZ43" s="87">
        <v>956</v>
      </c>
      <c r="BA43" s="87">
        <v>876</v>
      </c>
      <c r="BB43" s="87">
        <v>882</v>
      </c>
      <c r="BC43" s="86">
        <v>772</v>
      </c>
      <c r="BD43" s="87">
        <v>1138</v>
      </c>
      <c r="BE43" s="87">
        <v>914</v>
      </c>
      <c r="BF43" s="87">
        <v>779</v>
      </c>
      <c r="BG43" s="87">
        <v>1030</v>
      </c>
      <c r="BH43" s="87">
        <v>1148</v>
      </c>
      <c r="BI43" s="87">
        <v>1019</v>
      </c>
      <c r="BJ43" s="40">
        <v>73</v>
      </c>
      <c r="BK43" s="40">
        <v>23</v>
      </c>
      <c r="BL43" s="40">
        <v>4</v>
      </c>
      <c r="BM43" s="40">
        <v>0</v>
      </c>
      <c r="BO43" s="86">
        <f t="shared" si="127"/>
        <v>0</v>
      </c>
      <c r="BP43" s="21">
        <v>46</v>
      </c>
      <c r="BQ43" s="21">
        <v>48</v>
      </c>
      <c r="BR43" s="21">
        <v>139</v>
      </c>
      <c r="BS43" s="21">
        <v>34</v>
      </c>
      <c r="BT43" s="21">
        <v>38</v>
      </c>
      <c r="BU43" s="42">
        <v>83</v>
      </c>
      <c r="BV43" s="21">
        <v>52</v>
      </c>
      <c r="BW43" s="21">
        <v>41</v>
      </c>
      <c r="BX43" s="21">
        <v>66</v>
      </c>
      <c r="BY43" s="21">
        <v>80</v>
      </c>
      <c r="BZ43" s="21">
        <v>112</v>
      </c>
      <c r="CA43" s="21">
        <v>20</v>
      </c>
      <c r="CB43" s="21">
        <v>16</v>
      </c>
      <c r="CC43" s="21">
        <v>152</v>
      </c>
      <c r="CD43" s="21">
        <v>118</v>
      </c>
      <c r="CE43" s="21">
        <v>64</v>
      </c>
      <c r="CF43" s="21">
        <v>161</v>
      </c>
      <c r="CG43" s="42">
        <v>346</v>
      </c>
      <c r="CH43" s="21">
        <v>285</v>
      </c>
      <c r="CI43" s="21">
        <v>101</v>
      </c>
      <c r="CJ43" s="21">
        <v>91</v>
      </c>
      <c r="CK43" s="21">
        <v>275</v>
      </c>
      <c r="CL43" s="21">
        <v>333</v>
      </c>
      <c r="CM43" s="21">
        <v>1</v>
      </c>
      <c r="CN43" s="21">
        <v>0</v>
      </c>
      <c r="CO43" s="21">
        <v>0</v>
      </c>
      <c r="CP43" s="21">
        <f t="shared" si="64"/>
        <v>0</v>
      </c>
      <c r="CQ43" s="344">
        <f t="shared" si="65"/>
        <v>120.66666666666667</v>
      </c>
      <c r="CR43" s="87"/>
      <c r="CS43" s="86"/>
      <c r="CT43" s="85">
        <f t="shared" si="99"/>
        <v>468</v>
      </c>
      <c r="CU43" s="85">
        <f t="shared" si="100"/>
        <v>741</v>
      </c>
      <c r="CV43" s="85">
        <f t="shared" si="101"/>
        <v>638</v>
      </c>
      <c r="CW43" s="85">
        <f t="shared" si="102"/>
        <v>475</v>
      </c>
      <c r="CX43" s="85">
        <f t="shared" si="103"/>
        <v>726</v>
      </c>
      <c r="CY43" s="86">
        <f t="shared" si="104"/>
        <v>579</v>
      </c>
      <c r="CZ43" s="87">
        <f t="shared" si="105"/>
        <v>532</v>
      </c>
      <c r="DA43" s="87">
        <f t="shared" si="106"/>
        <v>721</v>
      </c>
      <c r="DB43" s="87">
        <f t="shared" si="107"/>
        <v>613</v>
      </c>
      <c r="DC43" s="87">
        <f t="shared" si="108"/>
        <v>848</v>
      </c>
      <c r="DD43" s="87">
        <f t="shared" si="109"/>
        <v>1058</v>
      </c>
      <c r="DE43" s="87">
        <f t="shared" si="110"/>
        <v>1324</v>
      </c>
      <c r="DF43" s="87">
        <f t="shared" si="111"/>
        <v>646</v>
      </c>
      <c r="DG43" s="87">
        <f t="shared" si="112"/>
        <v>1139</v>
      </c>
      <c r="DH43" s="87">
        <f t="shared" si="113"/>
        <v>1074</v>
      </c>
      <c r="DI43" s="87">
        <f t="shared" si="114"/>
        <v>940</v>
      </c>
      <c r="DJ43" s="87">
        <f t="shared" si="115"/>
        <v>1043</v>
      </c>
      <c r="DK43" s="86">
        <f t="shared" si="116"/>
        <v>1118</v>
      </c>
      <c r="DL43" s="87">
        <f t="shared" si="117"/>
        <v>1423</v>
      </c>
      <c r="DM43" s="87">
        <f t="shared" si="118"/>
        <v>1015</v>
      </c>
      <c r="DN43" s="87">
        <f t="shared" si="119"/>
        <v>870</v>
      </c>
      <c r="DO43" s="87">
        <f t="shared" si="120"/>
        <v>1305</v>
      </c>
      <c r="DP43" s="87">
        <f t="shared" si="121"/>
        <v>1481</v>
      </c>
      <c r="DQ43" s="87">
        <f t="shared" si="122"/>
        <v>1020</v>
      </c>
      <c r="DR43" s="87">
        <f t="shared" si="97"/>
        <v>73</v>
      </c>
      <c r="DS43" s="87">
        <f t="shared" si="98"/>
        <v>23</v>
      </c>
      <c r="DT43" s="87">
        <f t="shared" si="123"/>
        <v>4</v>
      </c>
      <c r="DU43" s="87">
        <f t="shared" si="124"/>
        <v>120.66666666666667</v>
      </c>
      <c r="DV43" s="87">
        <f t="shared" si="125"/>
        <v>0</v>
      </c>
      <c r="DW43" s="87">
        <f t="shared" si="126"/>
        <v>0</v>
      </c>
    </row>
    <row r="44" spans="1:127">
      <c r="A44" s="22" t="s">
        <v>4</v>
      </c>
      <c r="B44" s="26">
        <v>4902430661898</v>
      </c>
      <c r="C44" s="22" t="s">
        <v>5</v>
      </c>
      <c r="D44" s="22" t="s">
        <v>6</v>
      </c>
      <c r="E44" s="22">
        <v>302728</v>
      </c>
      <c r="F44" s="342" t="s">
        <v>153</v>
      </c>
      <c r="G44" s="25">
        <v>272.55222222222221</v>
      </c>
      <c r="H44" s="85">
        <f t="shared" si="67"/>
        <v>271462.01333333331</v>
      </c>
      <c r="I44" s="85">
        <f t="shared" si="68"/>
        <v>436901.21222222218</v>
      </c>
      <c r="J44" s="85">
        <f t="shared" si="69"/>
        <v>321066.51777777774</v>
      </c>
      <c r="K44" s="85">
        <f t="shared" si="70"/>
        <v>236302.77666666667</v>
      </c>
      <c r="L44" s="85">
        <f t="shared" si="71"/>
        <v>338509.86</v>
      </c>
      <c r="M44" s="86">
        <f t="shared" si="72"/>
        <v>332786.26333333331</v>
      </c>
      <c r="N44" s="87">
        <f t="shared" si="73"/>
        <v>249657.83555555556</v>
      </c>
      <c r="O44" s="87">
        <f t="shared" si="74"/>
        <v>320521.41333333333</v>
      </c>
      <c r="P44" s="87">
        <f t="shared" si="75"/>
        <v>320248.86111111112</v>
      </c>
      <c r="Q44" s="87">
        <f t="shared" si="76"/>
        <v>441807.15222222218</v>
      </c>
      <c r="R44" s="87">
        <f t="shared" si="77"/>
        <v>549465.28</v>
      </c>
      <c r="S44" s="87">
        <f t="shared" si="78"/>
        <v>392747.75222222222</v>
      </c>
      <c r="T44" s="87">
        <f t="shared" si="79"/>
        <v>319976.30888888886</v>
      </c>
      <c r="U44" s="87">
        <f t="shared" si="80"/>
        <v>753334.34222222224</v>
      </c>
      <c r="V44" s="87">
        <f t="shared" si="81"/>
        <v>636681.99111111113</v>
      </c>
      <c r="W44" s="87">
        <f t="shared" si="82"/>
        <v>468517.26999999996</v>
      </c>
      <c r="X44" s="87">
        <f t="shared" si="83"/>
        <v>453526.89777777775</v>
      </c>
      <c r="Y44" s="86">
        <f t="shared" si="84"/>
        <v>539108.29555555549</v>
      </c>
      <c r="Z44" s="87">
        <f t="shared" si="85"/>
        <v>705637.70333333325</v>
      </c>
      <c r="AA44" s="87">
        <f t="shared" si="86"/>
        <v>506129.47666666663</v>
      </c>
      <c r="AB44" s="87">
        <f t="shared" si="87"/>
        <v>365492.52999999997</v>
      </c>
      <c r="AC44" s="87">
        <f t="shared" si="88"/>
        <v>677292.27222222218</v>
      </c>
      <c r="AD44" s="87">
        <f t="shared" si="89"/>
        <v>954750.43444444437</v>
      </c>
      <c r="AE44" s="87">
        <f t="shared" si="90"/>
        <v>1280995.4444444445</v>
      </c>
      <c r="AF44" s="87">
        <f t="shared" si="91"/>
        <v>89124.57666666666</v>
      </c>
      <c r="AG44" s="87">
        <f t="shared" si="92"/>
        <v>17988.446666666667</v>
      </c>
      <c r="AH44" s="87">
        <f t="shared" si="93"/>
        <v>1362.7611111111109</v>
      </c>
      <c r="AI44" s="87">
        <f t="shared" si="94"/>
        <v>77283.696790123446</v>
      </c>
      <c r="AJ44" s="87">
        <f t="shared" si="95"/>
        <v>0</v>
      </c>
      <c r="AK44" s="86">
        <f t="shared" si="96"/>
        <v>0</v>
      </c>
      <c r="AL44" s="85">
        <v>859</v>
      </c>
      <c r="AM44" s="85">
        <v>1473</v>
      </c>
      <c r="AN44" s="85">
        <v>936</v>
      </c>
      <c r="AO44" s="85">
        <v>795</v>
      </c>
      <c r="AP44" s="85">
        <v>1151</v>
      </c>
      <c r="AQ44" s="86">
        <v>983</v>
      </c>
      <c r="AR44" s="87">
        <v>837</v>
      </c>
      <c r="AS44" s="87">
        <v>1075</v>
      </c>
      <c r="AT44" s="87">
        <v>1026</v>
      </c>
      <c r="AU44" s="87">
        <v>1420</v>
      </c>
      <c r="AV44" s="87">
        <v>1709</v>
      </c>
      <c r="AW44" s="87">
        <v>1399</v>
      </c>
      <c r="AX44" s="87">
        <v>1121</v>
      </c>
      <c r="AY44" s="87">
        <v>2414</v>
      </c>
      <c r="AZ44" s="87">
        <v>2077</v>
      </c>
      <c r="BA44" s="87">
        <v>1623</v>
      </c>
      <c r="BB44" s="87">
        <v>1231</v>
      </c>
      <c r="BC44" s="86">
        <v>1223</v>
      </c>
      <c r="BD44" s="87">
        <v>1947</v>
      </c>
      <c r="BE44" s="87">
        <v>1614</v>
      </c>
      <c r="BF44" s="87">
        <v>1167</v>
      </c>
      <c r="BG44" s="87">
        <v>1816</v>
      </c>
      <c r="BH44" s="87">
        <v>2685</v>
      </c>
      <c r="BI44" s="87">
        <v>4694</v>
      </c>
      <c r="BJ44" s="40">
        <v>327</v>
      </c>
      <c r="BK44" s="40">
        <v>66</v>
      </c>
      <c r="BL44" s="40">
        <v>5</v>
      </c>
      <c r="BM44" s="40">
        <v>0</v>
      </c>
      <c r="BO44" s="86">
        <f t="shared" si="127"/>
        <v>0</v>
      </c>
      <c r="BP44" s="21">
        <v>137</v>
      </c>
      <c r="BQ44" s="21">
        <v>130</v>
      </c>
      <c r="BR44" s="21">
        <v>242</v>
      </c>
      <c r="BS44" s="21">
        <v>72</v>
      </c>
      <c r="BT44" s="21">
        <v>91</v>
      </c>
      <c r="BU44" s="42">
        <v>238</v>
      </c>
      <c r="BV44" s="21">
        <v>79</v>
      </c>
      <c r="BW44" s="21">
        <v>101</v>
      </c>
      <c r="BX44" s="21">
        <v>149</v>
      </c>
      <c r="BY44" s="21">
        <v>201</v>
      </c>
      <c r="BZ44" s="21">
        <v>307</v>
      </c>
      <c r="CA44" s="21">
        <v>42</v>
      </c>
      <c r="CB44" s="21">
        <v>53</v>
      </c>
      <c r="CC44" s="21">
        <v>350</v>
      </c>
      <c r="CD44" s="21">
        <v>259</v>
      </c>
      <c r="CE44" s="21">
        <v>96</v>
      </c>
      <c r="CF44" s="21">
        <v>433</v>
      </c>
      <c r="CG44" s="42">
        <v>755</v>
      </c>
      <c r="CH44" s="21">
        <v>642</v>
      </c>
      <c r="CI44" s="21">
        <v>243</v>
      </c>
      <c r="CJ44" s="21">
        <v>174</v>
      </c>
      <c r="CK44" s="21">
        <v>669</v>
      </c>
      <c r="CL44" s="21">
        <v>818</v>
      </c>
      <c r="CM44" s="21">
        <v>6</v>
      </c>
      <c r="CN44" s="21">
        <v>0</v>
      </c>
      <c r="CO44" s="21">
        <v>0</v>
      </c>
      <c r="CP44" s="21">
        <f t="shared" si="64"/>
        <v>0</v>
      </c>
      <c r="CQ44" s="344">
        <f t="shared" si="65"/>
        <v>283.55555555555554</v>
      </c>
      <c r="CR44" s="87"/>
      <c r="CS44" s="86"/>
      <c r="CT44" s="85">
        <f t="shared" si="99"/>
        <v>996</v>
      </c>
      <c r="CU44" s="85">
        <f t="shared" si="100"/>
        <v>1603</v>
      </c>
      <c r="CV44" s="85">
        <f t="shared" si="101"/>
        <v>1178</v>
      </c>
      <c r="CW44" s="85">
        <f t="shared" si="102"/>
        <v>867</v>
      </c>
      <c r="CX44" s="85">
        <f t="shared" si="103"/>
        <v>1242</v>
      </c>
      <c r="CY44" s="86">
        <f t="shared" si="104"/>
        <v>1221</v>
      </c>
      <c r="CZ44" s="87">
        <f t="shared" si="105"/>
        <v>916</v>
      </c>
      <c r="DA44" s="87">
        <f t="shared" si="106"/>
        <v>1176</v>
      </c>
      <c r="DB44" s="87">
        <f t="shared" si="107"/>
        <v>1175</v>
      </c>
      <c r="DC44" s="87">
        <f t="shared" si="108"/>
        <v>1621</v>
      </c>
      <c r="DD44" s="87">
        <f t="shared" si="109"/>
        <v>2016</v>
      </c>
      <c r="DE44" s="87">
        <f t="shared" si="110"/>
        <v>1441</v>
      </c>
      <c r="DF44" s="87">
        <f t="shared" si="111"/>
        <v>1174</v>
      </c>
      <c r="DG44" s="87">
        <f t="shared" si="112"/>
        <v>2764</v>
      </c>
      <c r="DH44" s="87">
        <f t="shared" si="113"/>
        <v>2336</v>
      </c>
      <c r="DI44" s="87">
        <f t="shared" si="114"/>
        <v>1719</v>
      </c>
      <c r="DJ44" s="87">
        <f t="shared" si="115"/>
        <v>1664</v>
      </c>
      <c r="DK44" s="86">
        <f t="shared" si="116"/>
        <v>1978</v>
      </c>
      <c r="DL44" s="87">
        <f t="shared" si="117"/>
        <v>2589</v>
      </c>
      <c r="DM44" s="87">
        <f t="shared" si="118"/>
        <v>1857</v>
      </c>
      <c r="DN44" s="87">
        <f t="shared" si="119"/>
        <v>1341</v>
      </c>
      <c r="DO44" s="87">
        <f t="shared" si="120"/>
        <v>2485</v>
      </c>
      <c r="DP44" s="87">
        <f t="shared" si="121"/>
        <v>3503</v>
      </c>
      <c r="DQ44" s="87">
        <f t="shared" si="122"/>
        <v>4700</v>
      </c>
      <c r="DR44" s="87">
        <f t="shared" si="97"/>
        <v>327</v>
      </c>
      <c r="DS44" s="87">
        <f t="shared" si="98"/>
        <v>66</v>
      </c>
      <c r="DT44" s="87">
        <f t="shared" si="123"/>
        <v>5</v>
      </c>
      <c r="DU44" s="87">
        <f t="shared" si="124"/>
        <v>283.55555555555554</v>
      </c>
      <c r="DV44" s="87">
        <f t="shared" si="125"/>
        <v>0</v>
      </c>
      <c r="DW44" s="87">
        <f t="shared" si="126"/>
        <v>0</v>
      </c>
    </row>
    <row r="45" spans="1:127">
      <c r="A45" s="22" t="s">
        <v>4</v>
      </c>
      <c r="B45" s="26">
        <v>4987176074003</v>
      </c>
      <c r="C45" s="22" t="s">
        <v>5</v>
      </c>
      <c r="D45" s="22" t="s">
        <v>6</v>
      </c>
      <c r="E45" s="22">
        <v>119354</v>
      </c>
      <c r="F45" s="80" t="s">
        <v>154</v>
      </c>
      <c r="G45" s="25">
        <v>272.55222222222221</v>
      </c>
      <c r="H45" s="87">
        <f t="shared" si="67"/>
        <v>110928.75444444444</v>
      </c>
      <c r="I45" s="87">
        <f t="shared" si="68"/>
        <v>184790.40666666665</v>
      </c>
      <c r="J45" s="87">
        <f t="shared" si="69"/>
        <v>132187.82777777777</v>
      </c>
      <c r="K45" s="87">
        <f t="shared" si="70"/>
        <v>91304.994444444441</v>
      </c>
      <c r="L45" s="87">
        <f t="shared" si="71"/>
        <v>129189.75333333333</v>
      </c>
      <c r="M45" s="86">
        <f t="shared" si="72"/>
        <v>123466.15666666666</v>
      </c>
      <c r="N45" s="87">
        <f t="shared" si="73"/>
        <v>98118.8</v>
      </c>
      <c r="O45" s="87">
        <f t="shared" si="74"/>
        <v>109838.54555555555</v>
      </c>
      <c r="P45" s="87">
        <f t="shared" si="75"/>
        <v>113654.27666666666</v>
      </c>
      <c r="Q45" s="87">
        <f t="shared" si="76"/>
        <v>155082.21444444443</v>
      </c>
      <c r="R45" s="87">
        <f t="shared" si="77"/>
        <v>196237.6</v>
      </c>
      <c r="S45" s="87">
        <f t="shared" si="78"/>
        <v>307166.35444444441</v>
      </c>
      <c r="T45" s="87">
        <f t="shared" si="79"/>
        <v>137093.76777777777</v>
      </c>
      <c r="U45" s="87">
        <f t="shared" si="80"/>
        <v>251020.59666666665</v>
      </c>
      <c r="V45" s="87">
        <f t="shared" si="81"/>
        <v>231124.28444444443</v>
      </c>
      <c r="W45" s="87">
        <f t="shared" si="82"/>
        <v>163531.33333333331</v>
      </c>
      <c r="X45" s="87">
        <f t="shared" si="83"/>
        <v>137366.32</v>
      </c>
      <c r="Y45" s="86">
        <f t="shared" si="84"/>
        <v>150993.9311111111</v>
      </c>
      <c r="Z45" s="87">
        <f t="shared" si="85"/>
        <v>168437.27333333332</v>
      </c>
      <c r="AA45" s="87">
        <f t="shared" si="86"/>
        <v>82038.218888888892</v>
      </c>
      <c r="AB45" s="87">
        <f t="shared" si="87"/>
        <v>57235.966666666667</v>
      </c>
      <c r="AC45" s="87">
        <f t="shared" si="88"/>
        <v>83128.427777777775</v>
      </c>
      <c r="AD45" s="87">
        <f t="shared" si="89"/>
        <v>143907.57333333333</v>
      </c>
      <c r="AE45" s="87">
        <f t="shared" si="90"/>
        <v>169527.48222222223</v>
      </c>
      <c r="AF45" s="87">
        <f t="shared" si="91"/>
        <v>29435.64</v>
      </c>
      <c r="AG45" s="87">
        <f t="shared" si="92"/>
        <v>4633.387777777778</v>
      </c>
      <c r="AH45" s="87">
        <f t="shared" si="93"/>
        <v>1362.7611111111109</v>
      </c>
      <c r="AI45" s="87">
        <f t="shared" si="94"/>
        <v>18806.103333333333</v>
      </c>
      <c r="AJ45" s="87">
        <f t="shared" si="95"/>
        <v>0</v>
      </c>
      <c r="AK45" s="86">
        <f t="shared" si="96"/>
        <v>0</v>
      </c>
      <c r="AL45" s="85">
        <v>388</v>
      </c>
      <c r="AM45" s="85">
        <v>634</v>
      </c>
      <c r="AN45" s="85">
        <v>405</v>
      </c>
      <c r="AO45" s="85">
        <v>318</v>
      </c>
      <c r="AP45" s="85">
        <v>453</v>
      </c>
      <c r="AQ45" s="86">
        <v>413</v>
      </c>
      <c r="AR45" s="87">
        <v>343</v>
      </c>
      <c r="AS45" s="87">
        <v>385</v>
      </c>
      <c r="AT45" s="87">
        <v>395</v>
      </c>
      <c r="AU45" s="87">
        <v>533</v>
      </c>
      <c r="AV45" s="87">
        <v>638</v>
      </c>
      <c r="AW45" s="87">
        <v>1122</v>
      </c>
      <c r="AX45" s="87">
        <v>485</v>
      </c>
      <c r="AY45" s="87">
        <v>840</v>
      </c>
      <c r="AZ45" s="87">
        <v>807</v>
      </c>
      <c r="BA45" s="87">
        <v>574</v>
      </c>
      <c r="BB45" s="87">
        <v>444</v>
      </c>
      <c r="BC45" s="86">
        <v>381</v>
      </c>
      <c r="BD45" s="87">
        <v>512</v>
      </c>
      <c r="BE45" s="87">
        <v>271</v>
      </c>
      <c r="BF45" s="87">
        <v>184</v>
      </c>
      <c r="BG45" s="87">
        <v>199</v>
      </c>
      <c r="BH45" s="87">
        <v>234</v>
      </c>
      <c r="BI45" s="87">
        <v>580</v>
      </c>
      <c r="BJ45" s="40">
        <v>109</v>
      </c>
      <c r="BK45" s="40">
        <v>17</v>
      </c>
      <c r="BL45" s="40">
        <v>5</v>
      </c>
      <c r="BM45" s="40">
        <v>2</v>
      </c>
      <c r="BO45" s="86">
        <f t="shared" si="127"/>
        <v>0</v>
      </c>
      <c r="BP45" s="21">
        <v>19</v>
      </c>
      <c r="BQ45" s="21">
        <v>44</v>
      </c>
      <c r="BR45" s="21">
        <v>80</v>
      </c>
      <c r="BS45" s="21">
        <v>17</v>
      </c>
      <c r="BT45" s="21">
        <v>21</v>
      </c>
      <c r="BU45" s="42">
        <v>40</v>
      </c>
      <c r="BV45" s="21">
        <v>17</v>
      </c>
      <c r="BW45" s="21">
        <v>18</v>
      </c>
      <c r="BX45" s="21">
        <v>22</v>
      </c>
      <c r="BY45" s="21">
        <v>36</v>
      </c>
      <c r="BZ45" s="21">
        <v>82</v>
      </c>
      <c r="CA45" s="21">
        <v>5</v>
      </c>
      <c r="CB45" s="21">
        <v>18</v>
      </c>
      <c r="CC45" s="21">
        <v>81</v>
      </c>
      <c r="CD45" s="21">
        <v>41</v>
      </c>
      <c r="CE45" s="21">
        <v>26</v>
      </c>
      <c r="CF45" s="21">
        <v>60</v>
      </c>
      <c r="CG45" s="42">
        <v>173</v>
      </c>
      <c r="CH45" s="21">
        <v>106</v>
      </c>
      <c r="CI45" s="21">
        <v>30</v>
      </c>
      <c r="CJ45" s="21">
        <v>26</v>
      </c>
      <c r="CK45" s="21">
        <v>106</v>
      </c>
      <c r="CL45" s="21">
        <v>294</v>
      </c>
      <c r="CM45" s="21">
        <v>42</v>
      </c>
      <c r="CN45" s="21">
        <v>-1</v>
      </c>
      <c r="CO45" s="21">
        <v>0</v>
      </c>
      <c r="CP45" s="21">
        <f t="shared" si="64"/>
        <v>0</v>
      </c>
      <c r="CQ45" s="344">
        <f t="shared" si="65"/>
        <v>67</v>
      </c>
      <c r="CR45" s="87"/>
      <c r="CS45" s="86"/>
      <c r="CT45" s="85">
        <f t="shared" si="99"/>
        <v>407</v>
      </c>
      <c r="CU45" s="85">
        <f t="shared" si="100"/>
        <v>678</v>
      </c>
      <c r="CV45" s="85">
        <f t="shared" si="101"/>
        <v>485</v>
      </c>
      <c r="CW45" s="85">
        <f t="shared" si="102"/>
        <v>335</v>
      </c>
      <c r="CX45" s="85">
        <f t="shared" si="103"/>
        <v>474</v>
      </c>
      <c r="CY45" s="86">
        <f t="shared" si="104"/>
        <v>453</v>
      </c>
      <c r="CZ45" s="87">
        <f t="shared" si="105"/>
        <v>360</v>
      </c>
      <c r="DA45" s="87">
        <f t="shared" si="106"/>
        <v>403</v>
      </c>
      <c r="DB45" s="87">
        <f t="shared" si="107"/>
        <v>417</v>
      </c>
      <c r="DC45" s="87">
        <f t="shared" si="108"/>
        <v>569</v>
      </c>
      <c r="DD45" s="87">
        <f t="shared" si="109"/>
        <v>720</v>
      </c>
      <c r="DE45" s="87">
        <f t="shared" si="110"/>
        <v>1127</v>
      </c>
      <c r="DF45" s="87">
        <f t="shared" si="111"/>
        <v>503</v>
      </c>
      <c r="DG45" s="87">
        <f t="shared" si="112"/>
        <v>921</v>
      </c>
      <c r="DH45" s="87">
        <f t="shared" si="113"/>
        <v>848</v>
      </c>
      <c r="DI45" s="87">
        <f t="shared" si="114"/>
        <v>600</v>
      </c>
      <c r="DJ45" s="87">
        <f t="shared" si="115"/>
        <v>504</v>
      </c>
      <c r="DK45" s="86">
        <f t="shared" si="116"/>
        <v>554</v>
      </c>
      <c r="DL45" s="87">
        <f t="shared" si="117"/>
        <v>618</v>
      </c>
      <c r="DM45" s="87">
        <f t="shared" si="118"/>
        <v>301</v>
      </c>
      <c r="DN45" s="87">
        <f t="shared" si="119"/>
        <v>210</v>
      </c>
      <c r="DO45" s="87">
        <f t="shared" si="120"/>
        <v>305</v>
      </c>
      <c r="DP45" s="87">
        <f t="shared" si="121"/>
        <v>528</v>
      </c>
      <c r="DQ45" s="87">
        <f t="shared" si="122"/>
        <v>622</v>
      </c>
      <c r="DR45" s="87">
        <f t="shared" si="97"/>
        <v>108</v>
      </c>
      <c r="DS45" s="87">
        <f t="shared" si="98"/>
        <v>17</v>
      </c>
      <c r="DT45" s="87">
        <f t="shared" si="123"/>
        <v>5</v>
      </c>
      <c r="DU45" s="87">
        <f t="shared" si="124"/>
        <v>69</v>
      </c>
      <c r="DV45" s="87">
        <f t="shared" si="125"/>
        <v>0</v>
      </c>
      <c r="DW45" s="87">
        <f t="shared" si="126"/>
        <v>0</v>
      </c>
    </row>
    <row r="46" spans="1:127">
      <c r="A46" s="22" t="s">
        <v>4</v>
      </c>
      <c r="B46" s="26">
        <v>4987176074010</v>
      </c>
      <c r="C46" s="22" t="s">
        <v>5</v>
      </c>
      <c r="D46" s="22" t="s">
        <v>6</v>
      </c>
      <c r="E46" s="22">
        <v>119319</v>
      </c>
      <c r="F46" s="80" t="s">
        <v>155</v>
      </c>
      <c r="G46" s="25">
        <v>272.55222222222221</v>
      </c>
      <c r="H46" s="87">
        <f t="shared" si="67"/>
        <v>74406.756666666668</v>
      </c>
      <c r="I46" s="87">
        <f t="shared" si="68"/>
        <v>108203.23222222221</v>
      </c>
      <c r="J46" s="87">
        <f t="shared" si="69"/>
        <v>81765.666666666657</v>
      </c>
      <c r="K46" s="87">
        <f t="shared" si="70"/>
        <v>63232.115555555552</v>
      </c>
      <c r="L46" s="87">
        <f t="shared" si="71"/>
        <v>89669.681111111102</v>
      </c>
      <c r="M46" s="86">
        <f t="shared" si="72"/>
        <v>88306.92</v>
      </c>
      <c r="N46" s="87">
        <f t="shared" si="73"/>
        <v>66230.19</v>
      </c>
      <c r="O46" s="87">
        <f t="shared" si="74"/>
        <v>71953.786666666667</v>
      </c>
      <c r="P46" s="87">
        <f t="shared" si="75"/>
        <v>69773.368888888886</v>
      </c>
      <c r="Q46" s="87">
        <f t="shared" si="76"/>
        <v>95120.725555555546</v>
      </c>
      <c r="R46" s="87">
        <f t="shared" si="77"/>
        <v>113654.27666666666</v>
      </c>
      <c r="S46" s="87">
        <f t="shared" si="78"/>
        <v>147995.85666666666</v>
      </c>
      <c r="T46" s="87">
        <f t="shared" si="79"/>
        <v>77949.935555555552</v>
      </c>
      <c r="U46" s="87">
        <f t="shared" si="80"/>
        <v>136821.21555555554</v>
      </c>
      <c r="V46" s="87">
        <f t="shared" si="81"/>
        <v>142272.26</v>
      </c>
      <c r="W46" s="87">
        <f t="shared" si="82"/>
        <v>112836.62</v>
      </c>
      <c r="X46" s="87">
        <f t="shared" si="83"/>
        <v>100026.66555555555</v>
      </c>
      <c r="Y46" s="86">
        <f t="shared" si="84"/>
        <v>101389.42666666667</v>
      </c>
      <c r="Z46" s="87">
        <f t="shared" si="85"/>
        <v>103569.84444444445</v>
      </c>
      <c r="AA46" s="87">
        <f t="shared" si="86"/>
        <v>52057.474444444444</v>
      </c>
      <c r="AB46" s="87">
        <f t="shared" si="87"/>
        <v>28890.535555555554</v>
      </c>
      <c r="AC46" s="87">
        <f t="shared" si="88"/>
        <v>54510.444444444445</v>
      </c>
      <c r="AD46" s="87">
        <f t="shared" si="89"/>
        <v>93485.412222222221</v>
      </c>
      <c r="AE46" s="87">
        <f t="shared" si="90"/>
        <v>76587.174444444448</v>
      </c>
      <c r="AF46" s="87">
        <f t="shared" si="91"/>
        <v>15808.028888888888</v>
      </c>
      <c r="AG46" s="87">
        <f t="shared" si="92"/>
        <v>2452.9699999999998</v>
      </c>
      <c r="AH46" s="87">
        <f t="shared" si="93"/>
        <v>0</v>
      </c>
      <c r="AI46" s="87">
        <f t="shared" si="94"/>
        <v>16534.834814814814</v>
      </c>
      <c r="AJ46" s="87">
        <f t="shared" si="95"/>
        <v>0</v>
      </c>
      <c r="AK46" s="86">
        <f t="shared" si="96"/>
        <v>0</v>
      </c>
      <c r="AL46" s="85">
        <v>253</v>
      </c>
      <c r="AM46" s="85">
        <v>375</v>
      </c>
      <c r="AN46" s="85">
        <v>261</v>
      </c>
      <c r="AO46" s="85">
        <v>221</v>
      </c>
      <c r="AP46" s="85">
        <v>309</v>
      </c>
      <c r="AQ46" s="86">
        <v>305</v>
      </c>
      <c r="AR46" s="87">
        <v>229</v>
      </c>
      <c r="AS46" s="87">
        <v>244</v>
      </c>
      <c r="AT46" s="87">
        <v>236</v>
      </c>
      <c r="AU46" s="87">
        <v>316</v>
      </c>
      <c r="AV46" s="87">
        <v>360</v>
      </c>
      <c r="AW46" s="87">
        <v>532</v>
      </c>
      <c r="AX46" s="87">
        <v>275</v>
      </c>
      <c r="AY46" s="87">
        <v>454</v>
      </c>
      <c r="AZ46" s="87">
        <v>480</v>
      </c>
      <c r="BA46" s="87">
        <v>401</v>
      </c>
      <c r="BB46" s="87">
        <v>302</v>
      </c>
      <c r="BC46" s="86">
        <v>240</v>
      </c>
      <c r="BD46" s="87">
        <v>297</v>
      </c>
      <c r="BE46" s="87">
        <v>154</v>
      </c>
      <c r="BF46" s="87">
        <v>94</v>
      </c>
      <c r="BG46" s="87">
        <v>101</v>
      </c>
      <c r="BH46" s="87">
        <v>102</v>
      </c>
      <c r="BI46" s="87">
        <v>226</v>
      </c>
      <c r="BJ46" s="40">
        <v>39</v>
      </c>
      <c r="BK46" s="40">
        <v>9</v>
      </c>
      <c r="BL46" s="40">
        <v>0</v>
      </c>
      <c r="BM46" s="40">
        <v>0</v>
      </c>
      <c r="BO46" s="86">
        <f t="shared" si="127"/>
        <v>0</v>
      </c>
      <c r="BP46" s="21">
        <v>20</v>
      </c>
      <c r="BQ46" s="21">
        <v>22</v>
      </c>
      <c r="BR46" s="21">
        <v>39</v>
      </c>
      <c r="BS46" s="21">
        <v>11</v>
      </c>
      <c r="BT46" s="21">
        <v>20</v>
      </c>
      <c r="BU46" s="42">
        <v>19</v>
      </c>
      <c r="BV46" s="21">
        <v>14</v>
      </c>
      <c r="BW46" s="21">
        <v>20</v>
      </c>
      <c r="BX46" s="21">
        <v>20</v>
      </c>
      <c r="BY46" s="21">
        <v>33</v>
      </c>
      <c r="BZ46" s="21">
        <v>57</v>
      </c>
      <c r="CA46" s="21">
        <v>11</v>
      </c>
      <c r="CB46" s="21">
        <v>11</v>
      </c>
      <c r="CC46" s="21">
        <v>48</v>
      </c>
      <c r="CD46" s="21">
        <v>42</v>
      </c>
      <c r="CE46" s="21">
        <v>13</v>
      </c>
      <c r="CF46" s="21">
        <v>65</v>
      </c>
      <c r="CG46" s="42">
        <v>132</v>
      </c>
      <c r="CH46" s="21">
        <v>83</v>
      </c>
      <c r="CI46" s="21">
        <v>37</v>
      </c>
      <c r="CJ46" s="21">
        <v>12</v>
      </c>
      <c r="CK46" s="21">
        <v>99</v>
      </c>
      <c r="CL46" s="21">
        <v>241</v>
      </c>
      <c r="CM46" s="21">
        <v>55</v>
      </c>
      <c r="CN46" s="21">
        <v>19</v>
      </c>
      <c r="CO46" s="21">
        <v>0</v>
      </c>
      <c r="CP46" s="21">
        <f t="shared" si="64"/>
        <v>0</v>
      </c>
      <c r="CQ46" s="344">
        <f t="shared" si="65"/>
        <v>60.666666666666664</v>
      </c>
      <c r="CR46" s="87"/>
      <c r="CS46" s="86"/>
      <c r="CT46" s="85">
        <f t="shared" si="99"/>
        <v>273</v>
      </c>
      <c r="CU46" s="85">
        <f t="shared" si="100"/>
        <v>397</v>
      </c>
      <c r="CV46" s="85">
        <f t="shared" si="101"/>
        <v>300</v>
      </c>
      <c r="CW46" s="85">
        <f t="shared" si="102"/>
        <v>232</v>
      </c>
      <c r="CX46" s="85">
        <f t="shared" si="103"/>
        <v>329</v>
      </c>
      <c r="CY46" s="86">
        <f t="shared" si="104"/>
        <v>324</v>
      </c>
      <c r="CZ46" s="87">
        <f t="shared" si="105"/>
        <v>243</v>
      </c>
      <c r="DA46" s="87">
        <f t="shared" si="106"/>
        <v>264</v>
      </c>
      <c r="DB46" s="87">
        <f t="shared" si="107"/>
        <v>256</v>
      </c>
      <c r="DC46" s="87">
        <f t="shared" si="108"/>
        <v>349</v>
      </c>
      <c r="DD46" s="87">
        <f t="shared" si="109"/>
        <v>417</v>
      </c>
      <c r="DE46" s="87">
        <f t="shared" si="110"/>
        <v>543</v>
      </c>
      <c r="DF46" s="87">
        <f t="shared" si="111"/>
        <v>286</v>
      </c>
      <c r="DG46" s="87">
        <f t="shared" si="112"/>
        <v>502</v>
      </c>
      <c r="DH46" s="87">
        <f t="shared" si="113"/>
        <v>522</v>
      </c>
      <c r="DI46" s="87">
        <f t="shared" si="114"/>
        <v>414</v>
      </c>
      <c r="DJ46" s="87">
        <f t="shared" si="115"/>
        <v>367</v>
      </c>
      <c r="DK46" s="86">
        <f t="shared" si="116"/>
        <v>372</v>
      </c>
      <c r="DL46" s="87">
        <f t="shared" si="117"/>
        <v>380</v>
      </c>
      <c r="DM46" s="87">
        <f t="shared" si="118"/>
        <v>191</v>
      </c>
      <c r="DN46" s="87">
        <f t="shared" si="119"/>
        <v>106</v>
      </c>
      <c r="DO46" s="87">
        <f t="shared" si="120"/>
        <v>200</v>
      </c>
      <c r="DP46" s="87">
        <f t="shared" si="121"/>
        <v>343</v>
      </c>
      <c r="DQ46" s="87">
        <f t="shared" si="122"/>
        <v>281</v>
      </c>
      <c r="DR46" s="87">
        <f t="shared" si="97"/>
        <v>58</v>
      </c>
      <c r="DS46" s="87">
        <f t="shared" si="98"/>
        <v>9</v>
      </c>
      <c r="DT46" s="87">
        <f t="shared" si="123"/>
        <v>0</v>
      </c>
      <c r="DU46" s="87">
        <f t="shared" si="124"/>
        <v>60.666666666666664</v>
      </c>
      <c r="DV46" s="87">
        <f t="shared" si="125"/>
        <v>0</v>
      </c>
      <c r="DW46" s="87">
        <f t="shared" si="126"/>
        <v>0</v>
      </c>
    </row>
    <row r="47" spans="1:127">
      <c r="A47" s="22" t="s">
        <v>4</v>
      </c>
      <c r="B47" s="26">
        <v>4987176186317</v>
      </c>
      <c r="C47" s="22" t="s">
        <v>5</v>
      </c>
      <c r="D47" s="22" t="s">
        <v>6</v>
      </c>
      <c r="E47" s="22">
        <v>205006</v>
      </c>
      <c r="F47" s="80" t="s">
        <v>156</v>
      </c>
      <c r="G47" s="25">
        <v>272.55222222222221</v>
      </c>
      <c r="H47" s="87">
        <f t="shared" si="67"/>
        <v>298172.13111111108</v>
      </c>
      <c r="I47" s="87">
        <f t="shared" si="68"/>
        <v>469880.03111111111</v>
      </c>
      <c r="J47" s="87">
        <f t="shared" si="69"/>
        <v>361131.69444444444</v>
      </c>
      <c r="K47" s="87">
        <f t="shared" si="70"/>
        <v>292448.53444444441</v>
      </c>
      <c r="L47" s="87">
        <f t="shared" si="71"/>
        <v>461158.36</v>
      </c>
      <c r="M47" s="86">
        <f t="shared" si="72"/>
        <v>462793.67333333334</v>
      </c>
      <c r="N47" s="87">
        <f t="shared" si="73"/>
        <v>350502.15777777776</v>
      </c>
      <c r="O47" s="87">
        <f t="shared" si="74"/>
        <v>414824.4822222222</v>
      </c>
      <c r="P47" s="87">
        <f t="shared" si="75"/>
        <v>369035.70888888888</v>
      </c>
      <c r="Q47" s="87">
        <f t="shared" si="76"/>
        <v>538290.63888888888</v>
      </c>
      <c r="R47" s="87">
        <f t="shared" si="77"/>
        <v>602340.41111111105</v>
      </c>
      <c r="S47" s="87">
        <f t="shared" si="78"/>
        <v>765326.64</v>
      </c>
      <c r="T47" s="87">
        <f t="shared" si="79"/>
        <v>278548.37111111108</v>
      </c>
      <c r="U47" s="87">
        <f t="shared" si="80"/>
        <v>744067.56666666665</v>
      </c>
      <c r="V47" s="87">
        <f t="shared" si="81"/>
        <v>638862.40888888889</v>
      </c>
      <c r="W47" s="87">
        <f t="shared" si="82"/>
        <v>571269.4577777778</v>
      </c>
      <c r="X47" s="87">
        <f t="shared" si="83"/>
        <v>602067.85888888885</v>
      </c>
      <c r="Y47" s="86">
        <f t="shared" si="84"/>
        <v>682198.21222222224</v>
      </c>
      <c r="Z47" s="87">
        <f t="shared" si="85"/>
        <v>841641.26222222217</v>
      </c>
      <c r="AA47" s="87">
        <f t="shared" si="86"/>
        <v>630685.84222222224</v>
      </c>
      <c r="AB47" s="87">
        <f t="shared" si="87"/>
        <v>429542.30222222221</v>
      </c>
      <c r="AC47" s="87">
        <f t="shared" si="88"/>
        <v>674839.30222222221</v>
      </c>
      <c r="AD47" s="87">
        <f t="shared" si="89"/>
        <v>892608.52777777775</v>
      </c>
      <c r="AE47" s="87">
        <f t="shared" si="90"/>
        <v>1634223.1244444444</v>
      </c>
      <c r="AF47" s="87">
        <f t="shared" si="91"/>
        <v>38157.311111111107</v>
      </c>
      <c r="AG47" s="87">
        <f t="shared" si="92"/>
        <v>10629.536666666667</v>
      </c>
      <c r="AH47" s="87">
        <f t="shared" si="93"/>
        <v>817.65666666666664</v>
      </c>
      <c r="AI47" s="87">
        <f t="shared" si="94"/>
        <v>49483.370123456785</v>
      </c>
      <c r="AJ47" s="87">
        <f t="shared" si="95"/>
        <v>0</v>
      </c>
      <c r="AK47" s="86">
        <f t="shared" si="96"/>
        <v>0</v>
      </c>
      <c r="AL47" s="85">
        <v>996</v>
      </c>
      <c r="AM47" s="85">
        <v>1614</v>
      </c>
      <c r="AN47" s="85">
        <v>1077</v>
      </c>
      <c r="AO47" s="85">
        <v>1000</v>
      </c>
      <c r="AP47" s="85">
        <v>1582</v>
      </c>
      <c r="AQ47" s="86">
        <v>1408</v>
      </c>
      <c r="AR47" s="87">
        <v>1155</v>
      </c>
      <c r="AS47" s="87">
        <v>1408</v>
      </c>
      <c r="AT47" s="87">
        <v>1227</v>
      </c>
      <c r="AU47" s="87">
        <v>1803</v>
      </c>
      <c r="AV47" s="87">
        <v>1899</v>
      </c>
      <c r="AW47" s="87">
        <v>2764</v>
      </c>
      <c r="AX47" s="87">
        <v>980</v>
      </c>
      <c r="AY47" s="87">
        <v>2462</v>
      </c>
      <c r="AZ47" s="87">
        <v>2162</v>
      </c>
      <c r="BA47" s="87">
        <v>2009</v>
      </c>
      <c r="BB47" s="87">
        <v>1872</v>
      </c>
      <c r="BC47" s="86">
        <v>1891</v>
      </c>
      <c r="BD47" s="87">
        <v>2667</v>
      </c>
      <c r="BE47" s="87">
        <v>2142</v>
      </c>
      <c r="BF47" s="87">
        <v>1458</v>
      </c>
      <c r="BG47" s="87">
        <v>2081</v>
      </c>
      <c r="BH47" s="87">
        <v>2800</v>
      </c>
      <c r="BI47" s="87">
        <v>5988</v>
      </c>
      <c r="BJ47" s="40">
        <v>140</v>
      </c>
      <c r="BK47" s="40">
        <v>39</v>
      </c>
      <c r="BL47" s="40">
        <v>3</v>
      </c>
      <c r="BM47" s="40">
        <v>5</v>
      </c>
      <c r="BO47" s="86">
        <f t="shared" si="127"/>
        <v>0</v>
      </c>
      <c r="BP47" s="21">
        <v>98</v>
      </c>
      <c r="BQ47" s="21">
        <v>110</v>
      </c>
      <c r="BR47" s="21">
        <v>248</v>
      </c>
      <c r="BS47" s="21">
        <v>73</v>
      </c>
      <c r="BT47" s="21">
        <v>110</v>
      </c>
      <c r="BU47" s="42">
        <v>290</v>
      </c>
      <c r="BV47" s="21">
        <v>131</v>
      </c>
      <c r="BW47" s="21">
        <v>114</v>
      </c>
      <c r="BX47" s="21">
        <v>127</v>
      </c>
      <c r="BY47" s="21">
        <v>172</v>
      </c>
      <c r="BZ47" s="21">
        <v>311</v>
      </c>
      <c r="CA47" s="21">
        <v>44</v>
      </c>
      <c r="CB47" s="21">
        <v>42</v>
      </c>
      <c r="CC47" s="21">
        <v>268</v>
      </c>
      <c r="CD47" s="21">
        <v>182</v>
      </c>
      <c r="CE47" s="21">
        <v>87</v>
      </c>
      <c r="CF47" s="21">
        <v>337</v>
      </c>
      <c r="CG47" s="42">
        <v>612</v>
      </c>
      <c r="CH47" s="21">
        <v>421</v>
      </c>
      <c r="CI47" s="21">
        <v>172</v>
      </c>
      <c r="CJ47" s="21">
        <v>118</v>
      </c>
      <c r="CK47" s="21">
        <v>395</v>
      </c>
      <c r="CL47" s="21">
        <v>475</v>
      </c>
      <c r="CM47" s="21">
        <v>8</v>
      </c>
      <c r="CN47" s="21">
        <v>0</v>
      </c>
      <c r="CO47" s="21">
        <v>0</v>
      </c>
      <c r="CP47" s="21">
        <f t="shared" si="64"/>
        <v>0</v>
      </c>
      <c r="CQ47" s="344">
        <f t="shared" si="65"/>
        <v>176.55555555555554</v>
      </c>
      <c r="CR47" s="87"/>
      <c r="CS47" s="86"/>
      <c r="CT47" s="85">
        <f t="shared" si="99"/>
        <v>1094</v>
      </c>
      <c r="CU47" s="85">
        <f t="shared" si="100"/>
        <v>1724</v>
      </c>
      <c r="CV47" s="85">
        <f t="shared" si="101"/>
        <v>1325</v>
      </c>
      <c r="CW47" s="85">
        <f t="shared" si="102"/>
        <v>1073</v>
      </c>
      <c r="CX47" s="85">
        <f t="shared" si="103"/>
        <v>1692</v>
      </c>
      <c r="CY47" s="86">
        <f t="shared" si="104"/>
        <v>1698</v>
      </c>
      <c r="CZ47" s="87">
        <f t="shared" si="105"/>
        <v>1286</v>
      </c>
      <c r="DA47" s="87">
        <f t="shared" si="106"/>
        <v>1522</v>
      </c>
      <c r="DB47" s="87">
        <f t="shared" si="107"/>
        <v>1354</v>
      </c>
      <c r="DC47" s="87">
        <f t="shared" si="108"/>
        <v>1975</v>
      </c>
      <c r="DD47" s="87">
        <f t="shared" si="109"/>
        <v>2210</v>
      </c>
      <c r="DE47" s="87">
        <f t="shared" si="110"/>
        <v>2808</v>
      </c>
      <c r="DF47" s="87">
        <f t="shared" si="111"/>
        <v>1022</v>
      </c>
      <c r="DG47" s="87">
        <f t="shared" si="112"/>
        <v>2730</v>
      </c>
      <c r="DH47" s="87">
        <f t="shared" si="113"/>
        <v>2344</v>
      </c>
      <c r="DI47" s="87">
        <f t="shared" si="114"/>
        <v>2096</v>
      </c>
      <c r="DJ47" s="87">
        <f t="shared" si="115"/>
        <v>2209</v>
      </c>
      <c r="DK47" s="86">
        <f t="shared" si="116"/>
        <v>2503</v>
      </c>
      <c r="DL47" s="87">
        <f t="shared" si="117"/>
        <v>3088</v>
      </c>
      <c r="DM47" s="87">
        <f t="shared" si="118"/>
        <v>2314</v>
      </c>
      <c r="DN47" s="87">
        <f t="shared" si="119"/>
        <v>1576</v>
      </c>
      <c r="DO47" s="87">
        <f t="shared" si="120"/>
        <v>2476</v>
      </c>
      <c r="DP47" s="87">
        <f t="shared" si="121"/>
        <v>3275</v>
      </c>
      <c r="DQ47" s="87">
        <f t="shared" si="122"/>
        <v>5996</v>
      </c>
      <c r="DR47" s="87">
        <f t="shared" si="97"/>
        <v>140</v>
      </c>
      <c r="DS47" s="87">
        <f t="shared" si="98"/>
        <v>39</v>
      </c>
      <c r="DT47" s="87">
        <f t="shared" si="123"/>
        <v>3</v>
      </c>
      <c r="DU47" s="87">
        <f t="shared" si="124"/>
        <v>181.55555555555554</v>
      </c>
      <c r="DV47" s="87">
        <f t="shared" si="125"/>
        <v>0</v>
      </c>
      <c r="DW47" s="87">
        <f t="shared" si="126"/>
        <v>0</v>
      </c>
    </row>
    <row r="48" spans="1:127">
      <c r="A48" s="22" t="s">
        <v>4</v>
      </c>
      <c r="B48" s="26">
        <v>4987176186300</v>
      </c>
      <c r="C48" s="22" t="s">
        <v>5</v>
      </c>
      <c r="D48" s="22" t="s">
        <v>6</v>
      </c>
      <c r="E48" s="22">
        <v>204884</v>
      </c>
      <c r="F48" s="80" t="s">
        <v>157</v>
      </c>
      <c r="G48" s="25">
        <v>199.29999999999998</v>
      </c>
      <c r="H48" s="85">
        <f t="shared" si="67"/>
        <v>193918.9</v>
      </c>
      <c r="I48" s="85">
        <f t="shared" si="68"/>
        <v>212852.4</v>
      </c>
      <c r="J48" s="85">
        <f t="shared" si="69"/>
        <v>164621.79999999999</v>
      </c>
      <c r="K48" s="85">
        <f t="shared" si="70"/>
        <v>121772.29999999999</v>
      </c>
      <c r="L48" s="85">
        <f t="shared" si="71"/>
        <v>148079.9</v>
      </c>
      <c r="M48" s="86">
        <f t="shared" si="72"/>
        <v>163824.59999999998</v>
      </c>
      <c r="N48" s="87">
        <f t="shared" si="73"/>
        <v>114597.49999999999</v>
      </c>
      <c r="O48" s="87">
        <f t="shared" si="74"/>
        <v>151667.29999999999</v>
      </c>
      <c r="P48" s="87">
        <f t="shared" si="75"/>
        <v>104433.2</v>
      </c>
      <c r="Q48" s="87">
        <f t="shared" si="76"/>
        <v>129544.99999999999</v>
      </c>
      <c r="R48" s="87">
        <f t="shared" si="77"/>
        <v>210859.4</v>
      </c>
      <c r="S48" s="87">
        <f t="shared" si="78"/>
        <v>236170.49999999997</v>
      </c>
      <c r="T48" s="87">
        <f t="shared" si="79"/>
        <v>131139.4</v>
      </c>
      <c r="U48" s="87">
        <f t="shared" si="80"/>
        <v>149674.29999999999</v>
      </c>
      <c r="V48" s="87">
        <f t="shared" si="81"/>
        <v>140107.9</v>
      </c>
      <c r="W48" s="87">
        <f t="shared" si="82"/>
        <v>132335.19999999998</v>
      </c>
      <c r="X48" s="87">
        <f t="shared" si="83"/>
        <v>160037.9</v>
      </c>
      <c r="Y48" s="86">
        <f t="shared" si="84"/>
        <v>115394.7</v>
      </c>
      <c r="Z48" s="87">
        <f t="shared" si="85"/>
        <v>151268.69999999998</v>
      </c>
      <c r="AA48" s="87">
        <f t="shared" si="86"/>
        <v>114398.2</v>
      </c>
      <c r="AB48" s="87">
        <f t="shared" si="87"/>
        <v>110611.49999999999</v>
      </c>
      <c r="AC48" s="87">
        <f t="shared" si="88"/>
        <v>138712.79999999999</v>
      </c>
      <c r="AD48" s="87">
        <f t="shared" si="89"/>
        <v>181761.59999999998</v>
      </c>
      <c r="AE48" s="87">
        <f t="shared" si="90"/>
        <v>189932.9</v>
      </c>
      <c r="AF48" s="87">
        <f t="shared" si="91"/>
        <v>140307.19999999998</v>
      </c>
      <c r="AG48" s="87">
        <f t="shared" si="92"/>
        <v>96062.599999999991</v>
      </c>
      <c r="AH48" s="87">
        <f t="shared" si="93"/>
        <v>78524.2</v>
      </c>
      <c r="AI48" s="87">
        <f t="shared" si="94"/>
        <v>67186.244444444441</v>
      </c>
      <c r="AJ48" s="87">
        <f t="shared" si="95"/>
        <v>0</v>
      </c>
      <c r="AK48" s="86">
        <f t="shared" si="96"/>
        <v>0</v>
      </c>
      <c r="AL48" s="85">
        <v>852</v>
      </c>
      <c r="AM48" s="85">
        <v>1010</v>
      </c>
      <c r="AN48" s="85">
        <v>624</v>
      </c>
      <c r="AO48" s="85">
        <v>570</v>
      </c>
      <c r="AP48" s="85">
        <v>674</v>
      </c>
      <c r="AQ48" s="86">
        <v>690</v>
      </c>
      <c r="AR48" s="87">
        <v>521</v>
      </c>
      <c r="AS48" s="87">
        <v>701</v>
      </c>
      <c r="AT48" s="87">
        <v>471</v>
      </c>
      <c r="AU48" s="87">
        <v>587</v>
      </c>
      <c r="AV48" s="87">
        <v>962</v>
      </c>
      <c r="AW48" s="87">
        <v>1158</v>
      </c>
      <c r="AX48" s="87">
        <v>628</v>
      </c>
      <c r="AY48" s="87">
        <v>659</v>
      </c>
      <c r="AZ48" s="87">
        <v>636</v>
      </c>
      <c r="BA48" s="87">
        <v>600</v>
      </c>
      <c r="BB48" s="87">
        <v>735</v>
      </c>
      <c r="BC48" s="86">
        <v>526</v>
      </c>
      <c r="BD48" s="87">
        <v>690</v>
      </c>
      <c r="BE48" s="87">
        <v>542</v>
      </c>
      <c r="BF48" s="87">
        <v>519</v>
      </c>
      <c r="BG48" s="87">
        <v>643</v>
      </c>
      <c r="BH48" s="87">
        <v>508</v>
      </c>
      <c r="BI48" s="87">
        <v>646</v>
      </c>
      <c r="BJ48" s="40">
        <v>376</v>
      </c>
      <c r="BK48" s="40">
        <v>313</v>
      </c>
      <c r="BL48" s="40">
        <v>225</v>
      </c>
      <c r="BM48" s="40">
        <v>163</v>
      </c>
      <c r="BO48" s="86">
        <f t="shared" si="127"/>
        <v>0</v>
      </c>
      <c r="BP48" s="21">
        <v>121</v>
      </c>
      <c r="BQ48" s="21">
        <v>58</v>
      </c>
      <c r="BR48" s="21">
        <v>202</v>
      </c>
      <c r="BS48" s="21">
        <v>41</v>
      </c>
      <c r="BT48" s="21">
        <v>69</v>
      </c>
      <c r="BU48" s="42">
        <v>132</v>
      </c>
      <c r="BV48" s="21">
        <v>54</v>
      </c>
      <c r="BW48" s="21">
        <v>60</v>
      </c>
      <c r="BX48" s="21">
        <v>53</v>
      </c>
      <c r="BY48" s="21">
        <v>63</v>
      </c>
      <c r="BZ48" s="21">
        <v>96</v>
      </c>
      <c r="CA48" s="21">
        <v>27</v>
      </c>
      <c r="CB48" s="21">
        <v>30</v>
      </c>
      <c r="CC48" s="21">
        <v>92</v>
      </c>
      <c r="CD48" s="21">
        <v>67</v>
      </c>
      <c r="CE48" s="21">
        <v>64</v>
      </c>
      <c r="CF48" s="21">
        <v>68</v>
      </c>
      <c r="CG48" s="42">
        <v>53</v>
      </c>
      <c r="CH48" s="21">
        <v>69</v>
      </c>
      <c r="CI48" s="21">
        <v>32</v>
      </c>
      <c r="CJ48" s="21">
        <v>36</v>
      </c>
      <c r="CK48" s="21">
        <v>53</v>
      </c>
      <c r="CL48" s="21">
        <v>404</v>
      </c>
      <c r="CM48" s="21">
        <v>307</v>
      </c>
      <c r="CN48" s="21">
        <v>328</v>
      </c>
      <c r="CO48" s="21">
        <v>169</v>
      </c>
      <c r="CP48" s="21">
        <f t="shared" si="64"/>
        <v>169</v>
      </c>
      <c r="CQ48" s="344">
        <f t="shared" si="65"/>
        <v>174.11111111111111</v>
      </c>
      <c r="CR48" s="87"/>
      <c r="CS48" s="86"/>
      <c r="CT48" s="85">
        <f t="shared" si="99"/>
        <v>973</v>
      </c>
      <c r="CU48" s="85">
        <f t="shared" si="100"/>
        <v>1068</v>
      </c>
      <c r="CV48" s="85">
        <f t="shared" si="101"/>
        <v>826</v>
      </c>
      <c r="CW48" s="85">
        <f t="shared" si="102"/>
        <v>611</v>
      </c>
      <c r="CX48" s="85">
        <f t="shared" si="103"/>
        <v>743</v>
      </c>
      <c r="CY48" s="86">
        <f t="shared" si="104"/>
        <v>822</v>
      </c>
      <c r="CZ48" s="87">
        <f t="shared" si="105"/>
        <v>575</v>
      </c>
      <c r="DA48" s="87">
        <f t="shared" si="106"/>
        <v>761</v>
      </c>
      <c r="DB48" s="87">
        <f t="shared" si="107"/>
        <v>524</v>
      </c>
      <c r="DC48" s="87">
        <f t="shared" si="108"/>
        <v>650</v>
      </c>
      <c r="DD48" s="87">
        <f t="shared" si="109"/>
        <v>1058</v>
      </c>
      <c r="DE48" s="87">
        <f t="shared" si="110"/>
        <v>1185</v>
      </c>
      <c r="DF48" s="87">
        <f t="shared" si="111"/>
        <v>658</v>
      </c>
      <c r="DG48" s="87">
        <f t="shared" si="112"/>
        <v>751</v>
      </c>
      <c r="DH48" s="87">
        <f t="shared" si="113"/>
        <v>703</v>
      </c>
      <c r="DI48" s="87">
        <f t="shared" si="114"/>
        <v>664</v>
      </c>
      <c r="DJ48" s="87">
        <f t="shared" si="115"/>
        <v>803</v>
      </c>
      <c r="DK48" s="86">
        <f t="shared" si="116"/>
        <v>579</v>
      </c>
      <c r="DL48" s="87">
        <f t="shared" si="117"/>
        <v>759</v>
      </c>
      <c r="DM48" s="87">
        <f t="shared" si="118"/>
        <v>574</v>
      </c>
      <c r="DN48" s="87">
        <f t="shared" si="119"/>
        <v>555</v>
      </c>
      <c r="DO48" s="87">
        <f t="shared" si="120"/>
        <v>696</v>
      </c>
      <c r="DP48" s="87">
        <f t="shared" si="121"/>
        <v>912</v>
      </c>
      <c r="DQ48" s="87">
        <f t="shared" si="122"/>
        <v>953</v>
      </c>
      <c r="DR48" s="87">
        <f t="shared" si="97"/>
        <v>704</v>
      </c>
      <c r="DS48" s="87">
        <f t="shared" si="98"/>
        <v>482</v>
      </c>
      <c r="DT48" s="87">
        <f t="shared" si="123"/>
        <v>394</v>
      </c>
      <c r="DU48" s="87">
        <f t="shared" si="124"/>
        <v>337.11111111111109</v>
      </c>
      <c r="DV48" s="87">
        <f t="shared" si="125"/>
        <v>0</v>
      </c>
      <c r="DW48" s="87">
        <f t="shared" si="126"/>
        <v>0</v>
      </c>
    </row>
    <row r="49" spans="1:127">
      <c r="A49" s="22" t="s">
        <v>4</v>
      </c>
      <c r="B49" s="26">
        <v>4987176219596</v>
      </c>
      <c r="C49" s="22" t="s">
        <v>5</v>
      </c>
      <c r="D49" s="22" t="s">
        <v>6</v>
      </c>
      <c r="E49" s="22">
        <v>217585</v>
      </c>
      <c r="F49" s="80" t="s">
        <v>158</v>
      </c>
      <c r="G49" s="25">
        <v>63.9</v>
      </c>
      <c r="H49" s="85">
        <f t="shared" si="67"/>
        <v>8243.1</v>
      </c>
      <c r="I49" s="85">
        <f t="shared" si="68"/>
        <v>9393.2999999999993</v>
      </c>
      <c r="J49" s="85">
        <f t="shared" si="69"/>
        <v>4473</v>
      </c>
      <c r="K49" s="85">
        <f t="shared" si="70"/>
        <v>4664.7</v>
      </c>
      <c r="L49" s="85">
        <f t="shared" si="71"/>
        <v>293237.09999999998</v>
      </c>
      <c r="M49" s="86">
        <f t="shared" si="72"/>
        <v>333174.59999999998</v>
      </c>
      <c r="N49" s="87">
        <f t="shared" si="73"/>
        <v>38276.1</v>
      </c>
      <c r="O49" s="87">
        <f t="shared" si="74"/>
        <v>36039.599999999999</v>
      </c>
      <c r="P49" s="87">
        <f t="shared" si="75"/>
        <v>111505.5</v>
      </c>
      <c r="Q49" s="87">
        <f t="shared" si="76"/>
        <v>357328.8</v>
      </c>
      <c r="R49" s="87">
        <f t="shared" si="77"/>
        <v>65944.800000000003</v>
      </c>
      <c r="S49" s="87">
        <f t="shared" si="78"/>
        <v>49905.9</v>
      </c>
      <c r="T49" s="87">
        <f t="shared" si="79"/>
        <v>43324.2</v>
      </c>
      <c r="U49" s="87">
        <f t="shared" si="80"/>
        <v>61727.4</v>
      </c>
      <c r="V49" s="87">
        <f t="shared" si="81"/>
        <v>24282</v>
      </c>
      <c r="W49" s="87">
        <f t="shared" si="82"/>
        <v>59938.2</v>
      </c>
      <c r="X49" s="87">
        <f t="shared" si="83"/>
        <v>100195.2</v>
      </c>
      <c r="Y49" s="86">
        <f t="shared" si="84"/>
        <v>68117.399999999994</v>
      </c>
      <c r="Z49" s="87">
        <f t="shared" si="85"/>
        <v>102942.9</v>
      </c>
      <c r="AA49" s="87">
        <f t="shared" si="86"/>
        <v>62941.5</v>
      </c>
      <c r="AB49" s="87">
        <f t="shared" si="87"/>
        <v>44602.2</v>
      </c>
      <c r="AC49" s="87">
        <f t="shared" si="88"/>
        <v>24345.899999999998</v>
      </c>
      <c r="AD49" s="87">
        <f t="shared" si="89"/>
        <v>8370.9</v>
      </c>
      <c r="AE49" s="87">
        <f t="shared" si="90"/>
        <v>7029</v>
      </c>
      <c r="AF49" s="87">
        <f t="shared" si="91"/>
        <v>3578.4</v>
      </c>
      <c r="AG49" s="87">
        <f t="shared" si="92"/>
        <v>958.5</v>
      </c>
      <c r="AH49" s="87">
        <f t="shared" si="93"/>
        <v>63.9</v>
      </c>
      <c r="AI49" s="87">
        <f t="shared" si="94"/>
        <v>5658.7</v>
      </c>
      <c r="AJ49" s="87">
        <f t="shared" si="95"/>
        <v>0</v>
      </c>
      <c r="AK49" s="86">
        <f t="shared" si="96"/>
        <v>0</v>
      </c>
      <c r="AL49" s="85">
        <v>129</v>
      </c>
      <c r="AM49" s="85">
        <v>147</v>
      </c>
      <c r="AN49" s="85">
        <v>70</v>
      </c>
      <c r="AO49" s="85">
        <v>73</v>
      </c>
      <c r="AP49" s="85">
        <v>4496</v>
      </c>
      <c r="AQ49" s="86">
        <v>4768</v>
      </c>
      <c r="AR49" s="87">
        <v>546</v>
      </c>
      <c r="AS49" s="87">
        <v>508</v>
      </c>
      <c r="AT49" s="87">
        <v>1671</v>
      </c>
      <c r="AU49" s="87">
        <v>5406</v>
      </c>
      <c r="AV49" s="87">
        <v>742</v>
      </c>
      <c r="AW49" s="87">
        <v>775</v>
      </c>
      <c r="AX49" s="87">
        <v>586</v>
      </c>
      <c r="AY49" s="87">
        <v>618</v>
      </c>
      <c r="AZ49" s="87">
        <v>340</v>
      </c>
      <c r="BA49" s="87">
        <v>733</v>
      </c>
      <c r="BB49" s="87">
        <v>1156</v>
      </c>
      <c r="BC49" s="86">
        <v>828</v>
      </c>
      <c r="BD49" s="87">
        <v>1220</v>
      </c>
      <c r="BE49" s="87">
        <v>769</v>
      </c>
      <c r="BF49" s="87">
        <v>554</v>
      </c>
      <c r="BG49" s="87">
        <v>362</v>
      </c>
      <c r="BH49" s="87">
        <v>131</v>
      </c>
      <c r="BI49" s="87">
        <v>110</v>
      </c>
      <c r="BJ49" s="40">
        <v>56</v>
      </c>
      <c r="BK49" s="40">
        <v>15</v>
      </c>
      <c r="BL49" s="40">
        <v>1</v>
      </c>
      <c r="BM49" s="40">
        <v>3</v>
      </c>
      <c r="BO49" s="86">
        <f t="shared" si="127"/>
        <v>0</v>
      </c>
      <c r="BP49" s="21">
        <v>0</v>
      </c>
      <c r="BQ49" s="21">
        <v>0</v>
      </c>
      <c r="BR49" s="21">
        <v>0</v>
      </c>
      <c r="BS49" s="21">
        <v>0</v>
      </c>
      <c r="BT49" s="21">
        <v>93</v>
      </c>
      <c r="BU49" s="42">
        <v>446</v>
      </c>
      <c r="BV49" s="21">
        <v>53</v>
      </c>
      <c r="BW49" s="21">
        <v>56</v>
      </c>
      <c r="BX49" s="21">
        <v>74</v>
      </c>
      <c r="BY49" s="21">
        <v>186</v>
      </c>
      <c r="BZ49" s="21">
        <v>290</v>
      </c>
      <c r="CA49" s="21">
        <v>6</v>
      </c>
      <c r="CB49" s="21">
        <v>92</v>
      </c>
      <c r="CC49" s="21">
        <v>348</v>
      </c>
      <c r="CD49" s="21">
        <v>40</v>
      </c>
      <c r="CE49" s="21">
        <v>205</v>
      </c>
      <c r="CF49" s="21">
        <v>412</v>
      </c>
      <c r="CG49" s="42">
        <v>238</v>
      </c>
      <c r="CH49" s="21">
        <v>391</v>
      </c>
      <c r="CI49" s="21">
        <v>216</v>
      </c>
      <c r="CJ49" s="21">
        <v>144</v>
      </c>
      <c r="CK49" s="21">
        <v>19</v>
      </c>
      <c r="CL49" s="21">
        <v>0</v>
      </c>
      <c r="CM49" s="21">
        <v>0</v>
      </c>
      <c r="CN49" s="21">
        <v>0</v>
      </c>
      <c r="CO49" s="21">
        <v>0</v>
      </c>
      <c r="CP49" s="21">
        <f t="shared" si="64"/>
        <v>0</v>
      </c>
      <c r="CQ49" s="344">
        <f t="shared" si="65"/>
        <v>85.555555555555557</v>
      </c>
      <c r="CR49" s="87"/>
      <c r="CS49" s="86"/>
      <c r="CT49" s="85">
        <f t="shared" si="99"/>
        <v>129</v>
      </c>
      <c r="CU49" s="85">
        <f t="shared" si="100"/>
        <v>147</v>
      </c>
      <c r="CV49" s="85">
        <f t="shared" si="101"/>
        <v>70</v>
      </c>
      <c r="CW49" s="85">
        <f t="shared" si="102"/>
        <v>73</v>
      </c>
      <c r="CX49" s="85">
        <f t="shared" si="103"/>
        <v>4589</v>
      </c>
      <c r="CY49" s="86">
        <f t="shared" si="104"/>
        <v>5214</v>
      </c>
      <c r="CZ49" s="87">
        <f t="shared" si="105"/>
        <v>599</v>
      </c>
      <c r="DA49" s="87">
        <f t="shared" si="106"/>
        <v>564</v>
      </c>
      <c r="DB49" s="87">
        <f t="shared" si="107"/>
        <v>1745</v>
      </c>
      <c r="DC49" s="87">
        <f t="shared" si="108"/>
        <v>5592</v>
      </c>
      <c r="DD49" s="87">
        <f t="shared" si="109"/>
        <v>1032</v>
      </c>
      <c r="DE49" s="87">
        <f t="shared" si="110"/>
        <v>781</v>
      </c>
      <c r="DF49" s="87">
        <f t="shared" si="111"/>
        <v>678</v>
      </c>
      <c r="DG49" s="87">
        <f t="shared" si="112"/>
        <v>966</v>
      </c>
      <c r="DH49" s="87">
        <f t="shared" si="113"/>
        <v>380</v>
      </c>
      <c r="DI49" s="87">
        <f t="shared" si="114"/>
        <v>938</v>
      </c>
      <c r="DJ49" s="87">
        <f t="shared" si="115"/>
        <v>1568</v>
      </c>
      <c r="DK49" s="86">
        <f t="shared" si="116"/>
        <v>1066</v>
      </c>
      <c r="DL49" s="87">
        <f t="shared" si="117"/>
        <v>1611</v>
      </c>
      <c r="DM49" s="87">
        <f t="shared" si="118"/>
        <v>985</v>
      </c>
      <c r="DN49" s="87">
        <f t="shared" si="119"/>
        <v>698</v>
      </c>
      <c r="DO49" s="87">
        <f t="shared" si="120"/>
        <v>381</v>
      </c>
      <c r="DP49" s="87">
        <f t="shared" si="121"/>
        <v>131</v>
      </c>
      <c r="DQ49" s="87">
        <f t="shared" si="122"/>
        <v>110</v>
      </c>
      <c r="DR49" s="87">
        <f t="shared" si="97"/>
        <v>56</v>
      </c>
      <c r="DS49" s="87">
        <f t="shared" si="98"/>
        <v>15</v>
      </c>
      <c r="DT49" s="87">
        <f t="shared" si="123"/>
        <v>1</v>
      </c>
      <c r="DU49" s="87">
        <f t="shared" si="124"/>
        <v>88.555555555555557</v>
      </c>
      <c r="DV49" s="87">
        <f t="shared" si="125"/>
        <v>0</v>
      </c>
      <c r="DW49" s="87">
        <f t="shared" si="126"/>
        <v>0</v>
      </c>
    </row>
    <row r="50" spans="1:127">
      <c r="A50" s="22" t="s">
        <v>4</v>
      </c>
      <c r="B50" s="26">
        <v>4987176097125</v>
      </c>
      <c r="C50" s="22" t="s">
        <v>5</v>
      </c>
      <c r="D50" s="22" t="s">
        <v>6</v>
      </c>
      <c r="E50" s="22">
        <v>119334</v>
      </c>
      <c r="F50" s="80" t="s">
        <v>159</v>
      </c>
      <c r="G50" s="25">
        <v>60.457083333333337</v>
      </c>
      <c r="H50" s="85">
        <f t="shared" si="67"/>
        <v>3627.4250000000002</v>
      </c>
      <c r="I50" s="85">
        <f t="shared" si="68"/>
        <v>4655.1954166666674</v>
      </c>
      <c r="J50" s="85">
        <f t="shared" si="69"/>
        <v>665.02791666666667</v>
      </c>
      <c r="K50" s="85">
        <f t="shared" si="70"/>
        <v>60.457083333333337</v>
      </c>
      <c r="L50" s="85">
        <f t="shared" si="71"/>
        <v>302.28541666666666</v>
      </c>
      <c r="M50" s="86">
        <f t="shared" si="72"/>
        <v>0</v>
      </c>
      <c r="N50" s="87">
        <f t="shared" si="73"/>
        <v>0</v>
      </c>
      <c r="O50" s="87">
        <f t="shared" si="74"/>
        <v>0</v>
      </c>
      <c r="P50" s="87">
        <f t="shared" si="75"/>
        <v>0</v>
      </c>
      <c r="Q50" s="87">
        <f t="shared" si="76"/>
        <v>0</v>
      </c>
      <c r="R50" s="87">
        <f t="shared" si="77"/>
        <v>0</v>
      </c>
      <c r="S50" s="87">
        <f t="shared" si="78"/>
        <v>0</v>
      </c>
      <c r="T50" s="87">
        <f t="shared" si="79"/>
        <v>0</v>
      </c>
      <c r="U50" s="87">
        <f t="shared" si="80"/>
        <v>0</v>
      </c>
      <c r="V50" s="87">
        <f t="shared" si="81"/>
        <v>0</v>
      </c>
      <c r="W50" s="87">
        <f t="shared" si="82"/>
        <v>0</v>
      </c>
      <c r="X50" s="87">
        <f t="shared" si="83"/>
        <v>0</v>
      </c>
      <c r="Y50" s="86">
        <f t="shared" si="84"/>
        <v>0</v>
      </c>
      <c r="Z50" s="87">
        <f t="shared" si="85"/>
        <v>0</v>
      </c>
      <c r="AA50" s="87">
        <f t="shared" si="86"/>
        <v>0</v>
      </c>
      <c r="AB50" s="87">
        <f t="shared" si="87"/>
        <v>0</v>
      </c>
      <c r="AC50" s="87">
        <f t="shared" si="88"/>
        <v>0</v>
      </c>
      <c r="AD50" s="87">
        <f t="shared" si="89"/>
        <v>0</v>
      </c>
      <c r="AE50" s="87">
        <f t="shared" si="90"/>
        <v>0</v>
      </c>
      <c r="AF50" s="87">
        <f t="shared" si="91"/>
        <v>0</v>
      </c>
      <c r="AG50" s="87">
        <f t="shared" si="92"/>
        <v>0</v>
      </c>
      <c r="AH50" s="87">
        <f t="shared" si="93"/>
        <v>0</v>
      </c>
      <c r="AI50" s="87">
        <f t="shared" si="94"/>
        <v>0</v>
      </c>
      <c r="AJ50" s="87">
        <f t="shared" si="95"/>
        <v>0</v>
      </c>
      <c r="AK50" s="86">
        <f t="shared" si="96"/>
        <v>0</v>
      </c>
      <c r="AL50" s="85">
        <v>60</v>
      </c>
      <c r="AM50" s="85">
        <v>77</v>
      </c>
      <c r="AN50" s="85">
        <v>11</v>
      </c>
      <c r="AO50" s="85">
        <v>1</v>
      </c>
      <c r="AP50" s="85">
        <v>5</v>
      </c>
      <c r="AQ50" s="86">
        <v>0</v>
      </c>
      <c r="AR50" s="87">
        <v>0</v>
      </c>
      <c r="AS50" s="87">
        <v>0</v>
      </c>
      <c r="AT50" s="87">
        <v>0</v>
      </c>
      <c r="AU50" s="87">
        <v>0</v>
      </c>
      <c r="AV50" s="87">
        <v>0</v>
      </c>
      <c r="AW50" s="87">
        <v>0</v>
      </c>
      <c r="AX50" s="87">
        <v>0</v>
      </c>
      <c r="AY50" s="87">
        <v>0</v>
      </c>
      <c r="AZ50" s="87">
        <v>0</v>
      </c>
      <c r="BA50" s="87">
        <v>0</v>
      </c>
      <c r="BB50" s="87">
        <v>0</v>
      </c>
      <c r="BC50" s="86">
        <v>0</v>
      </c>
      <c r="BD50" s="87">
        <v>0</v>
      </c>
      <c r="BE50" s="87">
        <v>0</v>
      </c>
      <c r="BF50" s="87">
        <v>0</v>
      </c>
      <c r="BG50" s="87">
        <v>0</v>
      </c>
      <c r="BH50" s="87">
        <v>0</v>
      </c>
      <c r="BI50" s="87">
        <v>0</v>
      </c>
      <c r="BJ50" s="40">
        <v>0</v>
      </c>
      <c r="BK50" s="40">
        <v>0</v>
      </c>
      <c r="BL50" s="40">
        <v>0</v>
      </c>
      <c r="BM50" s="40">
        <v>0</v>
      </c>
      <c r="BO50" s="86">
        <f t="shared" si="127"/>
        <v>0</v>
      </c>
      <c r="BP50" s="21">
        <v>0</v>
      </c>
      <c r="BQ50" s="21">
        <v>0</v>
      </c>
      <c r="BR50" s="21">
        <v>0</v>
      </c>
      <c r="BS50" s="21">
        <v>0</v>
      </c>
      <c r="BT50" s="21">
        <v>0</v>
      </c>
      <c r="BU50" s="42">
        <v>0</v>
      </c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42">
        <v>0</v>
      </c>
      <c r="CH50" s="21">
        <v>0</v>
      </c>
      <c r="CI50" s="21">
        <v>0</v>
      </c>
      <c r="CJ50" s="21">
        <v>0</v>
      </c>
      <c r="CK50" s="21">
        <v>0</v>
      </c>
      <c r="CL50" s="21">
        <v>0</v>
      </c>
      <c r="CM50" s="21">
        <v>0</v>
      </c>
      <c r="CN50" s="21">
        <v>0</v>
      </c>
      <c r="CO50" s="21">
        <v>0</v>
      </c>
      <c r="CP50" s="21">
        <f t="shared" si="64"/>
        <v>0</v>
      </c>
      <c r="CQ50" s="344">
        <f t="shared" si="65"/>
        <v>0</v>
      </c>
      <c r="CR50" s="87"/>
      <c r="CS50" s="86"/>
      <c r="CT50" s="85">
        <f t="shared" si="99"/>
        <v>60</v>
      </c>
      <c r="CU50" s="85">
        <f t="shared" si="100"/>
        <v>77</v>
      </c>
      <c r="CV50" s="85">
        <f t="shared" si="101"/>
        <v>11</v>
      </c>
      <c r="CW50" s="85">
        <f t="shared" si="102"/>
        <v>1</v>
      </c>
      <c r="CX50" s="85">
        <f t="shared" si="103"/>
        <v>5</v>
      </c>
      <c r="CY50" s="86">
        <f t="shared" si="104"/>
        <v>0</v>
      </c>
      <c r="CZ50" s="87">
        <f t="shared" si="105"/>
        <v>0</v>
      </c>
      <c r="DA50" s="87">
        <f t="shared" si="106"/>
        <v>0</v>
      </c>
      <c r="DB50" s="87">
        <f t="shared" si="107"/>
        <v>0</v>
      </c>
      <c r="DC50" s="87">
        <f t="shared" si="108"/>
        <v>0</v>
      </c>
      <c r="DD50" s="87">
        <f t="shared" si="109"/>
        <v>0</v>
      </c>
      <c r="DE50" s="87">
        <f t="shared" si="110"/>
        <v>0</v>
      </c>
      <c r="DF50" s="87">
        <f t="shared" si="111"/>
        <v>0</v>
      </c>
      <c r="DG50" s="87">
        <f t="shared" si="112"/>
        <v>0</v>
      </c>
      <c r="DH50" s="87">
        <f t="shared" si="113"/>
        <v>0</v>
      </c>
      <c r="DI50" s="87">
        <f t="shared" si="114"/>
        <v>0</v>
      </c>
      <c r="DJ50" s="87">
        <f t="shared" si="115"/>
        <v>0</v>
      </c>
      <c r="DK50" s="86">
        <f t="shared" si="116"/>
        <v>0</v>
      </c>
      <c r="DL50" s="87">
        <f t="shared" si="117"/>
        <v>0</v>
      </c>
      <c r="DM50" s="87">
        <f t="shared" si="118"/>
        <v>0</v>
      </c>
      <c r="DN50" s="87">
        <f t="shared" si="119"/>
        <v>0</v>
      </c>
      <c r="DO50" s="87">
        <f t="shared" si="120"/>
        <v>0</v>
      </c>
      <c r="DP50" s="87">
        <f t="shared" si="121"/>
        <v>0</v>
      </c>
      <c r="DQ50" s="87">
        <f t="shared" si="122"/>
        <v>0</v>
      </c>
      <c r="DR50" s="87">
        <f t="shared" si="97"/>
        <v>0</v>
      </c>
      <c r="DS50" s="87">
        <f t="shared" si="98"/>
        <v>0</v>
      </c>
      <c r="DT50" s="87">
        <f t="shared" si="123"/>
        <v>0</v>
      </c>
      <c r="DU50" s="87">
        <f t="shared" si="124"/>
        <v>0</v>
      </c>
      <c r="DV50" s="87">
        <f t="shared" si="125"/>
        <v>0</v>
      </c>
      <c r="DW50" s="87">
        <f t="shared" si="126"/>
        <v>0</v>
      </c>
    </row>
    <row r="51" spans="1:127">
      <c r="A51" s="22" t="s">
        <v>4</v>
      </c>
      <c r="B51" s="26">
        <v>4987176063953</v>
      </c>
      <c r="C51" s="22" t="s">
        <v>5</v>
      </c>
      <c r="D51" s="22" t="s">
        <v>7</v>
      </c>
      <c r="E51" s="22">
        <v>101089</v>
      </c>
      <c r="F51" s="80" t="s">
        <v>160</v>
      </c>
      <c r="G51" s="25">
        <v>456.40000000000003</v>
      </c>
      <c r="H51" s="85">
        <f t="shared" si="67"/>
        <v>201728.80000000002</v>
      </c>
      <c r="I51" s="85">
        <f t="shared" si="68"/>
        <v>392960.4</v>
      </c>
      <c r="J51" s="85">
        <f t="shared" si="69"/>
        <v>223179.6</v>
      </c>
      <c r="K51" s="85">
        <f t="shared" si="70"/>
        <v>194882.80000000002</v>
      </c>
      <c r="L51" s="85">
        <f t="shared" si="71"/>
        <v>249650.80000000002</v>
      </c>
      <c r="M51" s="86">
        <f t="shared" si="72"/>
        <v>216790.00000000003</v>
      </c>
      <c r="N51" s="87">
        <f t="shared" si="73"/>
        <v>198990.40000000002</v>
      </c>
      <c r="O51" s="87">
        <f t="shared" si="74"/>
        <v>229569.2</v>
      </c>
      <c r="P51" s="87">
        <f t="shared" si="75"/>
        <v>162478.40000000002</v>
      </c>
      <c r="Q51" s="87">
        <f t="shared" si="76"/>
        <v>142853.20000000001</v>
      </c>
      <c r="R51" s="87">
        <f t="shared" si="77"/>
        <v>219984.80000000002</v>
      </c>
      <c r="S51" s="87">
        <f t="shared" si="78"/>
        <v>178452.40000000002</v>
      </c>
      <c r="T51" s="87">
        <f t="shared" si="79"/>
        <v>182103.6</v>
      </c>
      <c r="U51" s="87">
        <f t="shared" si="80"/>
        <v>239610.00000000003</v>
      </c>
      <c r="V51" s="87">
        <f t="shared" si="81"/>
        <v>147873.60000000001</v>
      </c>
      <c r="W51" s="87">
        <f t="shared" si="82"/>
        <v>119120.40000000001</v>
      </c>
      <c r="X51" s="87">
        <f t="shared" si="83"/>
        <v>203554.40000000002</v>
      </c>
      <c r="Y51" s="86">
        <f t="shared" si="84"/>
        <v>143309.6</v>
      </c>
      <c r="Z51" s="87">
        <f t="shared" si="85"/>
        <v>166586</v>
      </c>
      <c r="AA51" s="87">
        <f t="shared" si="86"/>
        <v>153350.40000000002</v>
      </c>
      <c r="AB51" s="87">
        <f t="shared" si="87"/>
        <v>128248.40000000001</v>
      </c>
      <c r="AC51" s="87">
        <f t="shared" si="88"/>
        <v>162022</v>
      </c>
      <c r="AD51" s="87">
        <f t="shared" si="89"/>
        <v>178908.80000000002</v>
      </c>
      <c r="AE51" s="87">
        <f t="shared" si="90"/>
        <v>241435.6</v>
      </c>
      <c r="AF51" s="87">
        <f t="shared" si="91"/>
        <v>141027.6</v>
      </c>
      <c r="AG51" s="87">
        <f t="shared" si="92"/>
        <v>125966.40000000001</v>
      </c>
      <c r="AH51" s="87">
        <f t="shared" si="93"/>
        <v>80326.400000000009</v>
      </c>
      <c r="AI51" s="87">
        <f t="shared" si="94"/>
        <v>129364.04444444446</v>
      </c>
      <c r="AJ51" s="87">
        <f t="shared" si="95"/>
        <v>0</v>
      </c>
      <c r="AK51" s="86">
        <f t="shared" si="96"/>
        <v>0</v>
      </c>
      <c r="AL51" s="85">
        <v>424</v>
      </c>
      <c r="AM51" s="85">
        <v>842</v>
      </c>
      <c r="AN51" s="85">
        <v>434</v>
      </c>
      <c r="AO51" s="85">
        <v>405</v>
      </c>
      <c r="AP51" s="85">
        <v>526</v>
      </c>
      <c r="AQ51" s="86">
        <v>438</v>
      </c>
      <c r="AR51" s="87">
        <v>391</v>
      </c>
      <c r="AS51" s="87">
        <v>471</v>
      </c>
      <c r="AT51" s="87">
        <v>314</v>
      </c>
      <c r="AU51" s="87">
        <v>299</v>
      </c>
      <c r="AV51" s="87">
        <v>428</v>
      </c>
      <c r="AW51" s="87">
        <v>373</v>
      </c>
      <c r="AX51" s="87">
        <v>383</v>
      </c>
      <c r="AY51" s="87">
        <v>467</v>
      </c>
      <c r="AZ51" s="87">
        <v>314</v>
      </c>
      <c r="BA51" s="87">
        <v>251</v>
      </c>
      <c r="BB51" s="87">
        <v>404</v>
      </c>
      <c r="BC51" s="86">
        <v>307</v>
      </c>
      <c r="BD51" s="87">
        <v>347</v>
      </c>
      <c r="BE51" s="87">
        <v>305</v>
      </c>
      <c r="BF51" s="87">
        <v>248</v>
      </c>
      <c r="BG51" s="87">
        <v>332</v>
      </c>
      <c r="BH51" s="87">
        <v>326</v>
      </c>
      <c r="BI51" s="87">
        <v>513</v>
      </c>
      <c r="BJ51" s="40">
        <v>273</v>
      </c>
      <c r="BK51" s="40">
        <v>273</v>
      </c>
      <c r="BL51" s="40">
        <v>173</v>
      </c>
      <c r="BM51" s="40">
        <v>258</v>
      </c>
      <c r="BO51" s="86">
        <f t="shared" si="127"/>
        <v>0</v>
      </c>
      <c r="BP51" s="21">
        <v>18</v>
      </c>
      <c r="BQ51" s="21">
        <v>19</v>
      </c>
      <c r="BR51" s="21">
        <v>55</v>
      </c>
      <c r="BS51" s="21">
        <v>22</v>
      </c>
      <c r="BT51" s="21">
        <v>21</v>
      </c>
      <c r="BU51" s="42">
        <v>37</v>
      </c>
      <c r="BV51" s="21">
        <v>45</v>
      </c>
      <c r="BW51" s="21">
        <v>32</v>
      </c>
      <c r="BX51" s="21">
        <v>42</v>
      </c>
      <c r="BY51" s="21">
        <v>14</v>
      </c>
      <c r="BZ51" s="21">
        <v>54</v>
      </c>
      <c r="CA51" s="21">
        <v>18</v>
      </c>
      <c r="CB51" s="21">
        <v>16</v>
      </c>
      <c r="CC51" s="21">
        <v>58</v>
      </c>
      <c r="CD51" s="21">
        <v>10</v>
      </c>
      <c r="CE51" s="21">
        <v>10</v>
      </c>
      <c r="CF51" s="21">
        <v>42</v>
      </c>
      <c r="CG51" s="42">
        <v>7</v>
      </c>
      <c r="CH51" s="21">
        <v>18</v>
      </c>
      <c r="CI51" s="21">
        <v>31</v>
      </c>
      <c r="CJ51" s="21">
        <v>33</v>
      </c>
      <c r="CK51" s="21">
        <v>23</v>
      </c>
      <c r="CL51" s="21">
        <v>66</v>
      </c>
      <c r="CM51" s="21">
        <v>16</v>
      </c>
      <c r="CN51" s="21">
        <v>36</v>
      </c>
      <c r="CO51" s="21">
        <v>3</v>
      </c>
      <c r="CP51" s="21">
        <f t="shared" si="64"/>
        <v>3</v>
      </c>
      <c r="CQ51" s="344">
        <f t="shared" si="65"/>
        <v>25.444444444444443</v>
      </c>
      <c r="CR51" s="87"/>
      <c r="CS51" s="86"/>
      <c r="CT51" s="85">
        <f t="shared" si="99"/>
        <v>442</v>
      </c>
      <c r="CU51" s="85">
        <f t="shared" si="100"/>
        <v>861</v>
      </c>
      <c r="CV51" s="85">
        <f t="shared" si="101"/>
        <v>489</v>
      </c>
      <c r="CW51" s="85">
        <f t="shared" si="102"/>
        <v>427</v>
      </c>
      <c r="CX51" s="85">
        <f t="shared" si="103"/>
        <v>547</v>
      </c>
      <c r="CY51" s="86">
        <f t="shared" si="104"/>
        <v>475</v>
      </c>
      <c r="CZ51" s="87">
        <f t="shared" si="105"/>
        <v>436</v>
      </c>
      <c r="DA51" s="87">
        <f t="shared" si="106"/>
        <v>503</v>
      </c>
      <c r="DB51" s="87">
        <f t="shared" si="107"/>
        <v>356</v>
      </c>
      <c r="DC51" s="87">
        <f t="shared" si="108"/>
        <v>313</v>
      </c>
      <c r="DD51" s="87">
        <f t="shared" si="109"/>
        <v>482</v>
      </c>
      <c r="DE51" s="87">
        <f t="shared" si="110"/>
        <v>391</v>
      </c>
      <c r="DF51" s="87">
        <f t="shared" si="111"/>
        <v>399</v>
      </c>
      <c r="DG51" s="87">
        <f t="shared" si="112"/>
        <v>525</v>
      </c>
      <c r="DH51" s="87">
        <f t="shared" si="113"/>
        <v>324</v>
      </c>
      <c r="DI51" s="87">
        <f t="shared" si="114"/>
        <v>261</v>
      </c>
      <c r="DJ51" s="87">
        <f t="shared" si="115"/>
        <v>446</v>
      </c>
      <c r="DK51" s="86">
        <f t="shared" si="116"/>
        <v>314</v>
      </c>
      <c r="DL51" s="87">
        <f t="shared" si="117"/>
        <v>365</v>
      </c>
      <c r="DM51" s="87">
        <f t="shared" si="118"/>
        <v>336</v>
      </c>
      <c r="DN51" s="87">
        <f t="shared" si="119"/>
        <v>281</v>
      </c>
      <c r="DO51" s="87">
        <f t="shared" si="120"/>
        <v>355</v>
      </c>
      <c r="DP51" s="87">
        <f t="shared" si="121"/>
        <v>392</v>
      </c>
      <c r="DQ51" s="87">
        <f t="shared" si="122"/>
        <v>529</v>
      </c>
      <c r="DR51" s="87">
        <f t="shared" si="97"/>
        <v>309</v>
      </c>
      <c r="DS51" s="87">
        <f t="shared" si="98"/>
        <v>276</v>
      </c>
      <c r="DT51" s="87">
        <f t="shared" si="123"/>
        <v>176</v>
      </c>
      <c r="DU51" s="87">
        <f t="shared" si="124"/>
        <v>283.44444444444446</v>
      </c>
      <c r="DV51" s="87">
        <f t="shared" si="125"/>
        <v>0</v>
      </c>
      <c r="DW51" s="87">
        <f t="shared" si="126"/>
        <v>0</v>
      </c>
    </row>
    <row r="52" spans="1:127">
      <c r="A52" s="22" t="s">
        <v>4</v>
      </c>
      <c r="B52" s="26">
        <v>4987176064004</v>
      </c>
      <c r="C52" s="22" t="s">
        <v>5</v>
      </c>
      <c r="D52" s="22" t="s">
        <v>7</v>
      </c>
      <c r="E52" s="22">
        <v>101087</v>
      </c>
      <c r="F52" s="80" t="s">
        <v>161</v>
      </c>
      <c r="G52" s="25">
        <v>456.40000000000003</v>
      </c>
      <c r="H52" s="85">
        <f t="shared" si="67"/>
        <v>230938.40000000002</v>
      </c>
      <c r="I52" s="85">
        <f t="shared" si="68"/>
        <v>439056.80000000005</v>
      </c>
      <c r="J52" s="85">
        <f t="shared" si="69"/>
        <v>271558</v>
      </c>
      <c r="K52" s="85">
        <f t="shared" si="70"/>
        <v>235046.00000000003</v>
      </c>
      <c r="L52" s="85">
        <f t="shared" si="71"/>
        <v>281142.40000000002</v>
      </c>
      <c r="M52" s="86">
        <f t="shared" si="72"/>
        <v>268363.2</v>
      </c>
      <c r="N52" s="87">
        <f t="shared" si="73"/>
        <v>218159.2</v>
      </c>
      <c r="O52" s="87">
        <f t="shared" si="74"/>
        <v>264712</v>
      </c>
      <c r="P52" s="87">
        <f t="shared" si="75"/>
        <v>232307.6</v>
      </c>
      <c r="Q52" s="87">
        <f t="shared" si="76"/>
        <v>259691.6</v>
      </c>
      <c r="R52" s="87">
        <f t="shared" si="77"/>
        <v>298485.60000000003</v>
      </c>
      <c r="S52" s="87">
        <f t="shared" si="78"/>
        <v>251476.40000000002</v>
      </c>
      <c r="T52" s="87">
        <f t="shared" si="79"/>
        <v>240522.80000000002</v>
      </c>
      <c r="U52" s="87">
        <f t="shared" si="80"/>
        <v>414411.2</v>
      </c>
      <c r="V52" s="87">
        <f t="shared" si="81"/>
        <v>223636.00000000003</v>
      </c>
      <c r="W52" s="87">
        <f t="shared" si="82"/>
        <v>202185.2</v>
      </c>
      <c r="X52" s="87">
        <f t="shared" si="83"/>
        <v>311721.2</v>
      </c>
      <c r="Y52" s="86">
        <f t="shared" si="84"/>
        <v>222266.80000000002</v>
      </c>
      <c r="Z52" s="87">
        <f t="shared" si="85"/>
        <v>254214.80000000002</v>
      </c>
      <c r="AA52" s="87">
        <f t="shared" si="86"/>
        <v>229112.80000000002</v>
      </c>
      <c r="AB52" s="87">
        <f t="shared" si="87"/>
        <v>166129.60000000001</v>
      </c>
      <c r="AC52" s="87">
        <f t="shared" si="88"/>
        <v>218615.6</v>
      </c>
      <c r="AD52" s="87">
        <f t="shared" si="89"/>
        <v>276122</v>
      </c>
      <c r="AE52" s="87">
        <f t="shared" si="90"/>
        <v>300767.60000000003</v>
      </c>
      <c r="AF52" s="87">
        <f t="shared" si="91"/>
        <v>185298.40000000002</v>
      </c>
      <c r="AG52" s="87">
        <f t="shared" si="92"/>
        <v>147873.60000000001</v>
      </c>
      <c r="AH52" s="87">
        <f t="shared" si="93"/>
        <v>115469.20000000001</v>
      </c>
      <c r="AI52" s="87">
        <f t="shared" si="94"/>
        <v>201069.55555555556</v>
      </c>
      <c r="AJ52" s="87">
        <f t="shared" si="95"/>
        <v>0</v>
      </c>
      <c r="AK52" s="86">
        <f t="shared" si="96"/>
        <v>0</v>
      </c>
      <c r="AL52" s="85">
        <v>453</v>
      </c>
      <c r="AM52" s="85">
        <v>925</v>
      </c>
      <c r="AN52" s="85">
        <v>507</v>
      </c>
      <c r="AO52" s="85">
        <v>481</v>
      </c>
      <c r="AP52" s="85">
        <v>564</v>
      </c>
      <c r="AQ52" s="86">
        <v>531</v>
      </c>
      <c r="AR52" s="87">
        <v>466</v>
      </c>
      <c r="AS52" s="87">
        <v>540</v>
      </c>
      <c r="AT52" s="87">
        <v>464</v>
      </c>
      <c r="AU52" s="87">
        <v>528</v>
      </c>
      <c r="AV52" s="87">
        <v>547</v>
      </c>
      <c r="AW52" s="87">
        <v>540</v>
      </c>
      <c r="AX52" s="87">
        <v>504</v>
      </c>
      <c r="AY52" s="87">
        <v>785</v>
      </c>
      <c r="AZ52" s="87">
        <v>471</v>
      </c>
      <c r="BA52" s="87">
        <v>406</v>
      </c>
      <c r="BB52" s="87">
        <v>602</v>
      </c>
      <c r="BC52" s="86">
        <v>464</v>
      </c>
      <c r="BD52" s="87">
        <v>517</v>
      </c>
      <c r="BE52" s="87">
        <v>467</v>
      </c>
      <c r="BF52" s="87">
        <v>327</v>
      </c>
      <c r="BG52" s="87">
        <v>439</v>
      </c>
      <c r="BH52" s="87">
        <v>439</v>
      </c>
      <c r="BI52" s="87">
        <v>638</v>
      </c>
      <c r="BJ52" s="40">
        <v>338</v>
      </c>
      <c r="BK52" s="40">
        <v>318</v>
      </c>
      <c r="BL52" s="40">
        <v>247</v>
      </c>
      <c r="BM52" s="40">
        <v>394</v>
      </c>
      <c r="BO52" s="86">
        <f t="shared" si="127"/>
        <v>0</v>
      </c>
      <c r="BP52" s="21">
        <v>53</v>
      </c>
      <c r="BQ52" s="21">
        <v>37</v>
      </c>
      <c r="BR52" s="21">
        <v>88</v>
      </c>
      <c r="BS52" s="21">
        <v>34</v>
      </c>
      <c r="BT52" s="21">
        <v>52</v>
      </c>
      <c r="BU52" s="42">
        <v>57</v>
      </c>
      <c r="BV52" s="21">
        <v>12</v>
      </c>
      <c r="BW52" s="21">
        <v>40</v>
      </c>
      <c r="BX52" s="21">
        <v>45</v>
      </c>
      <c r="BY52" s="21">
        <v>41</v>
      </c>
      <c r="BZ52" s="21">
        <v>107</v>
      </c>
      <c r="CA52" s="21">
        <v>11</v>
      </c>
      <c r="CB52" s="21">
        <v>23</v>
      </c>
      <c r="CC52" s="21">
        <v>123</v>
      </c>
      <c r="CD52" s="21">
        <v>19</v>
      </c>
      <c r="CE52" s="21">
        <v>37</v>
      </c>
      <c r="CF52" s="21">
        <v>81</v>
      </c>
      <c r="CG52" s="42">
        <v>23</v>
      </c>
      <c r="CH52" s="21">
        <v>40</v>
      </c>
      <c r="CI52" s="21">
        <v>35</v>
      </c>
      <c r="CJ52" s="21">
        <v>37</v>
      </c>
      <c r="CK52" s="21">
        <v>40</v>
      </c>
      <c r="CL52" s="21">
        <v>166</v>
      </c>
      <c r="CM52" s="21">
        <v>21</v>
      </c>
      <c r="CN52" s="21">
        <v>68</v>
      </c>
      <c r="CO52" s="21">
        <v>6</v>
      </c>
      <c r="CP52" s="21">
        <f t="shared" si="64"/>
        <v>6</v>
      </c>
      <c r="CQ52" s="344">
        <f t="shared" si="65"/>
        <v>46.555555555555557</v>
      </c>
      <c r="CR52" s="87"/>
      <c r="CS52" s="86"/>
      <c r="CT52" s="85">
        <f t="shared" si="99"/>
        <v>506</v>
      </c>
      <c r="CU52" s="85">
        <f t="shared" si="100"/>
        <v>962</v>
      </c>
      <c r="CV52" s="85">
        <f t="shared" si="101"/>
        <v>595</v>
      </c>
      <c r="CW52" s="85">
        <f t="shared" si="102"/>
        <v>515</v>
      </c>
      <c r="CX52" s="85">
        <f t="shared" si="103"/>
        <v>616</v>
      </c>
      <c r="CY52" s="86">
        <f t="shared" si="104"/>
        <v>588</v>
      </c>
      <c r="CZ52" s="87">
        <f t="shared" si="105"/>
        <v>478</v>
      </c>
      <c r="DA52" s="87">
        <f t="shared" si="106"/>
        <v>580</v>
      </c>
      <c r="DB52" s="87">
        <f t="shared" si="107"/>
        <v>509</v>
      </c>
      <c r="DC52" s="87">
        <f t="shared" si="108"/>
        <v>569</v>
      </c>
      <c r="DD52" s="87">
        <f t="shared" si="109"/>
        <v>654</v>
      </c>
      <c r="DE52" s="87">
        <f t="shared" si="110"/>
        <v>551</v>
      </c>
      <c r="DF52" s="87">
        <f t="shared" si="111"/>
        <v>527</v>
      </c>
      <c r="DG52" s="87">
        <f t="shared" si="112"/>
        <v>908</v>
      </c>
      <c r="DH52" s="87">
        <f t="shared" si="113"/>
        <v>490</v>
      </c>
      <c r="DI52" s="87">
        <f t="shared" si="114"/>
        <v>443</v>
      </c>
      <c r="DJ52" s="87">
        <f t="shared" si="115"/>
        <v>683</v>
      </c>
      <c r="DK52" s="86">
        <f t="shared" si="116"/>
        <v>487</v>
      </c>
      <c r="DL52" s="87">
        <f t="shared" si="117"/>
        <v>557</v>
      </c>
      <c r="DM52" s="87">
        <f t="shared" si="118"/>
        <v>502</v>
      </c>
      <c r="DN52" s="87">
        <f t="shared" si="119"/>
        <v>364</v>
      </c>
      <c r="DO52" s="87">
        <f t="shared" si="120"/>
        <v>479</v>
      </c>
      <c r="DP52" s="87">
        <f t="shared" si="121"/>
        <v>605</v>
      </c>
      <c r="DQ52" s="87">
        <f t="shared" si="122"/>
        <v>659</v>
      </c>
      <c r="DR52" s="87">
        <f t="shared" si="97"/>
        <v>406</v>
      </c>
      <c r="DS52" s="87">
        <f t="shared" si="98"/>
        <v>324</v>
      </c>
      <c r="DT52" s="87">
        <f t="shared" si="123"/>
        <v>253</v>
      </c>
      <c r="DU52" s="87">
        <f t="shared" si="124"/>
        <v>440.55555555555554</v>
      </c>
      <c r="DV52" s="87">
        <f t="shared" si="125"/>
        <v>0</v>
      </c>
      <c r="DW52" s="87">
        <f t="shared" si="126"/>
        <v>0</v>
      </c>
    </row>
    <row r="53" spans="1:127">
      <c r="A53" s="22" t="s">
        <v>4</v>
      </c>
      <c r="B53" s="26">
        <v>4987176063960</v>
      </c>
      <c r="C53" s="22" t="s">
        <v>5</v>
      </c>
      <c r="D53" s="22" t="s">
        <v>7</v>
      </c>
      <c r="E53" s="22">
        <v>101088</v>
      </c>
      <c r="F53" s="80" t="s">
        <v>162</v>
      </c>
      <c r="G53" s="25">
        <v>456.40000000000003</v>
      </c>
      <c r="H53" s="85">
        <f t="shared" si="67"/>
        <v>114100.00000000001</v>
      </c>
      <c r="I53" s="85">
        <f t="shared" si="68"/>
        <v>213595.2</v>
      </c>
      <c r="J53" s="85">
        <f t="shared" si="69"/>
        <v>116838.40000000001</v>
      </c>
      <c r="K53" s="85">
        <f t="shared" si="70"/>
        <v>109079.6</v>
      </c>
      <c r="L53" s="85">
        <f t="shared" si="71"/>
        <v>151068.40000000002</v>
      </c>
      <c r="M53" s="86">
        <f t="shared" si="72"/>
        <v>115012.8</v>
      </c>
      <c r="N53" s="87">
        <f t="shared" si="73"/>
        <v>98582.400000000009</v>
      </c>
      <c r="O53" s="87">
        <f t="shared" si="74"/>
        <v>120946.00000000001</v>
      </c>
      <c r="P53" s="87">
        <f t="shared" si="75"/>
        <v>97213.200000000012</v>
      </c>
      <c r="Q53" s="87">
        <f t="shared" si="76"/>
        <v>83977.600000000006</v>
      </c>
      <c r="R53" s="87">
        <f t="shared" si="77"/>
        <v>73480.400000000009</v>
      </c>
      <c r="S53" s="87">
        <f t="shared" si="78"/>
        <v>74849.600000000006</v>
      </c>
      <c r="T53" s="87">
        <f t="shared" si="79"/>
        <v>87172.400000000009</v>
      </c>
      <c r="U53" s="87">
        <f t="shared" si="80"/>
        <v>130074.00000000001</v>
      </c>
      <c r="V53" s="87">
        <f t="shared" si="81"/>
        <v>76218.8</v>
      </c>
      <c r="W53" s="87">
        <f t="shared" si="82"/>
        <v>72111.200000000012</v>
      </c>
      <c r="X53" s="87">
        <f t="shared" si="83"/>
        <v>124597.20000000001</v>
      </c>
      <c r="Y53" s="86">
        <f t="shared" si="84"/>
        <v>83977.600000000006</v>
      </c>
      <c r="Z53" s="87">
        <f t="shared" si="85"/>
        <v>85346.8</v>
      </c>
      <c r="AA53" s="87">
        <f t="shared" si="86"/>
        <v>88541.6</v>
      </c>
      <c r="AB53" s="87">
        <f t="shared" si="87"/>
        <v>62983.200000000004</v>
      </c>
      <c r="AC53" s="87">
        <f t="shared" si="88"/>
        <v>95844</v>
      </c>
      <c r="AD53" s="87">
        <f t="shared" si="89"/>
        <v>102690.00000000001</v>
      </c>
      <c r="AE53" s="87">
        <f t="shared" si="90"/>
        <v>119576.8</v>
      </c>
      <c r="AF53" s="87">
        <f t="shared" si="91"/>
        <v>57962.8</v>
      </c>
      <c r="AG53" s="87">
        <f t="shared" si="92"/>
        <v>61614.000000000007</v>
      </c>
      <c r="AH53" s="87">
        <f t="shared" si="93"/>
        <v>46096.4</v>
      </c>
      <c r="AI53" s="87">
        <f t="shared" si="94"/>
        <v>63591.733333333344</v>
      </c>
      <c r="AJ53" s="87">
        <f t="shared" si="95"/>
        <v>0</v>
      </c>
      <c r="AK53" s="86">
        <f t="shared" si="96"/>
        <v>0</v>
      </c>
      <c r="AL53" s="85">
        <v>237</v>
      </c>
      <c r="AM53" s="85">
        <v>455</v>
      </c>
      <c r="AN53" s="85">
        <v>239</v>
      </c>
      <c r="AO53" s="85">
        <v>228</v>
      </c>
      <c r="AP53" s="85">
        <v>322</v>
      </c>
      <c r="AQ53" s="86">
        <v>230</v>
      </c>
      <c r="AR53" s="87">
        <v>205</v>
      </c>
      <c r="AS53" s="87">
        <v>255</v>
      </c>
      <c r="AT53" s="87">
        <v>205</v>
      </c>
      <c r="AU53" s="87">
        <v>174</v>
      </c>
      <c r="AV53" s="87">
        <v>147</v>
      </c>
      <c r="AW53" s="87">
        <v>159</v>
      </c>
      <c r="AX53" s="87">
        <v>186</v>
      </c>
      <c r="AY53" s="87">
        <v>259</v>
      </c>
      <c r="AZ53" s="87">
        <v>161</v>
      </c>
      <c r="BA53" s="87">
        <v>152</v>
      </c>
      <c r="BB53" s="87">
        <v>252</v>
      </c>
      <c r="BC53" s="86">
        <v>174</v>
      </c>
      <c r="BD53" s="87">
        <v>174</v>
      </c>
      <c r="BE53" s="87">
        <v>178</v>
      </c>
      <c r="BF53" s="87">
        <v>122</v>
      </c>
      <c r="BG53" s="87">
        <v>203</v>
      </c>
      <c r="BH53" s="87">
        <v>180</v>
      </c>
      <c r="BI53" s="87">
        <v>259</v>
      </c>
      <c r="BJ53" s="40">
        <v>120</v>
      </c>
      <c r="BK53" s="40">
        <v>133</v>
      </c>
      <c r="BL53" s="40">
        <v>99</v>
      </c>
      <c r="BM53" s="40">
        <v>127</v>
      </c>
      <c r="BO53" s="86">
        <f t="shared" si="127"/>
        <v>0</v>
      </c>
      <c r="BP53" s="21">
        <v>13</v>
      </c>
      <c r="BQ53" s="21">
        <v>13</v>
      </c>
      <c r="BR53" s="21">
        <v>17</v>
      </c>
      <c r="BS53" s="21">
        <v>11</v>
      </c>
      <c r="BT53" s="21">
        <v>9</v>
      </c>
      <c r="BU53" s="42">
        <v>22</v>
      </c>
      <c r="BV53" s="21">
        <v>11</v>
      </c>
      <c r="BW53" s="21">
        <v>10</v>
      </c>
      <c r="BX53" s="21">
        <v>8</v>
      </c>
      <c r="BY53" s="21">
        <v>10</v>
      </c>
      <c r="BZ53" s="21">
        <v>14</v>
      </c>
      <c r="CA53" s="21">
        <v>5</v>
      </c>
      <c r="CB53" s="21">
        <v>5</v>
      </c>
      <c r="CC53" s="21">
        <v>26</v>
      </c>
      <c r="CD53" s="21">
        <v>6</v>
      </c>
      <c r="CE53" s="21">
        <v>6</v>
      </c>
      <c r="CF53" s="21">
        <v>21</v>
      </c>
      <c r="CG53" s="42">
        <v>10</v>
      </c>
      <c r="CH53" s="21">
        <v>13</v>
      </c>
      <c r="CI53" s="21">
        <v>16</v>
      </c>
      <c r="CJ53" s="21">
        <v>16</v>
      </c>
      <c r="CK53" s="21">
        <v>7</v>
      </c>
      <c r="CL53" s="21">
        <v>45</v>
      </c>
      <c r="CM53" s="21">
        <v>3</v>
      </c>
      <c r="CN53" s="21">
        <v>7</v>
      </c>
      <c r="CO53" s="21">
        <v>2</v>
      </c>
      <c r="CP53" s="21">
        <f t="shared" si="64"/>
        <v>2</v>
      </c>
      <c r="CQ53" s="344">
        <f t="shared" si="65"/>
        <v>12.333333333333334</v>
      </c>
      <c r="CR53" s="87"/>
      <c r="CS53" s="86"/>
      <c r="CT53" s="85">
        <f t="shared" si="99"/>
        <v>250</v>
      </c>
      <c r="CU53" s="85">
        <f t="shared" si="100"/>
        <v>468</v>
      </c>
      <c r="CV53" s="85">
        <f t="shared" si="101"/>
        <v>256</v>
      </c>
      <c r="CW53" s="85">
        <f t="shared" si="102"/>
        <v>239</v>
      </c>
      <c r="CX53" s="85">
        <f t="shared" si="103"/>
        <v>331</v>
      </c>
      <c r="CY53" s="86">
        <f t="shared" si="104"/>
        <v>252</v>
      </c>
      <c r="CZ53" s="87">
        <f t="shared" si="105"/>
        <v>216</v>
      </c>
      <c r="DA53" s="87">
        <f t="shared" si="106"/>
        <v>265</v>
      </c>
      <c r="DB53" s="87">
        <f t="shared" si="107"/>
        <v>213</v>
      </c>
      <c r="DC53" s="87">
        <f t="shared" si="108"/>
        <v>184</v>
      </c>
      <c r="DD53" s="87">
        <f t="shared" si="109"/>
        <v>161</v>
      </c>
      <c r="DE53" s="87">
        <f t="shared" si="110"/>
        <v>164</v>
      </c>
      <c r="DF53" s="87">
        <f t="shared" si="111"/>
        <v>191</v>
      </c>
      <c r="DG53" s="87">
        <f t="shared" si="112"/>
        <v>285</v>
      </c>
      <c r="DH53" s="87">
        <f t="shared" si="113"/>
        <v>167</v>
      </c>
      <c r="DI53" s="87">
        <f t="shared" si="114"/>
        <v>158</v>
      </c>
      <c r="DJ53" s="87">
        <f t="shared" si="115"/>
        <v>273</v>
      </c>
      <c r="DK53" s="86">
        <f t="shared" si="116"/>
        <v>184</v>
      </c>
      <c r="DL53" s="87">
        <f t="shared" si="117"/>
        <v>187</v>
      </c>
      <c r="DM53" s="87">
        <f t="shared" si="118"/>
        <v>194</v>
      </c>
      <c r="DN53" s="87">
        <f t="shared" si="119"/>
        <v>138</v>
      </c>
      <c r="DO53" s="87">
        <f t="shared" si="120"/>
        <v>210</v>
      </c>
      <c r="DP53" s="87">
        <f t="shared" si="121"/>
        <v>225</v>
      </c>
      <c r="DQ53" s="87">
        <f t="shared" si="122"/>
        <v>262</v>
      </c>
      <c r="DR53" s="87">
        <f t="shared" si="97"/>
        <v>127</v>
      </c>
      <c r="DS53" s="87">
        <f t="shared" si="98"/>
        <v>135</v>
      </c>
      <c r="DT53" s="87">
        <f t="shared" si="123"/>
        <v>101</v>
      </c>
      <c r="DU53" s="87">
        <f t="shared" si="124"/>
        <v>139.33333333333334</v>
      </c>
      <c r="DV53" s="87">
        <f t="shared" si="125"/>
        <v>0</v>
      </c>
      <c r="DW53" s="87">
        <f t="shared" si="126"/>
        <v>0</v>
      </c>
    </row>
    <row r="54" spans="1:127">
      <c r="A54" s="22" t="s">
        <v>4</v>
      </c>
      <c r="B54" s="26">
        <v>4987176064028</v>
      </c>
      <c r="C54" s="22" t="s">
        <v>5</v>
      </c>
      <c r="D54" s="22" t="s">
        <v>7</v>
      </c>
      <c r="E54" s="22">
        <v>101086</v>
      </c>
      <c r="F54" s="80" t="s">
        <v>163</v>
      </c>
      <c r="G54" s="25">
        <v>456.40000000000003</v>
      </c>
      <c r="H54" s="85">
        <f t="shared" si="67"/>
        <v>93105.600000000006</v>
      </c>
      <c r="I54" s="85">
        <f t="shared" si="68"/>
        <v>178908.80000000002</v>
      </c>
      <c r="J54" s="85">
        <f t="shared" si="69"/>
        <v>91280</v>
      </c>
      <c r="K54" s="85">
        <f t="shared" si="70"/>
        <v>96756.800000000003</v>
      </c>
      <c r="L54" s="85">
        <f t="shared" si="71"/>
        <v>114556.40000000001</v>
      </c>
      <c r="M54" s="86">
        <f t="shared" si="72"/>
        <v>105428.40000000001</v>
      </c>
      <c r="N54" s="87">
        <f t="shared" si="73"/>
        <v>77588</v>
      </c>
      <c r="O54" s="87">
        <f t="shared" si="74"/>
        <v>99038.8</v>
      </c>
      <c r="P54" s="87">
        <f t="shared" si="75"/>
        <v>80326.400000000009</v>
      </c>
      <c r="Q54" s="87">
        <f t="shared" si="76"/>
        <v>104059.20000000001</v>
      </c>
      <c r="R54" s="87">
        <f t="shared" si="77"/>
        <v>115012.8</v>
      </c>
      <c r="S54" s="87">
        <f t="shared" si="78"/>
        <v>106341.20000000001</v>
      </c>
      <c r="T54" s="87">
        <f t="shared" si="79"/>
        <v>76218.8</v>
      </c>
      <c r="U54" s="87">
        <f t="shared" si="80"/>
        <v>156088.80000000002</v>
      </c>
      <c r="V54" s="87">
        <f t="shared" si="81"/>
        <v>87172.400000000009</v>
      </c>
      <c r="W54" s="87">
        <f t="shared" si="82"/>
        <v>78044.400000000009</v>
      </c>
      <c r="X54" s="87">
        <f t="shared" si="83"/>
        <v>137376.40000000002</v>
      </c>
      <c r="Y54" s="86">
        <f t="shared" si="84"/>
        <v>95387.6</v>
      </c>
      <c r="Z54" s="87">
        <f t="shared" si="85"/>
        <v>103146.40000000001</v>
      </c>
      <c r="AA54" s="87">
        <f t="shared" si="86"/>
        <v>106341.20000000001</v>
      </c>
      <c r="AB54" s="87">
        <f t="shared" si="87"/>
        <v>79413.600000000006</v>
      </c>
      <c r="AC54" s="87">
        <f t="shared" si="88"/>
        <v>97669.6</v>
      </c>
      <c r="AD54" s="87">
        <f t="shared" si="89"/>
        <v>102690.00000000001</v>
      </c>
      <c r="AE54" s="87">
        <f t="shared" si="90"/>
        <v>129161.20000000001</v>
      </c>
      <c r="AF54" s="87">
        <f t="shared" si="91"/>
        <v>75762.400000000009</v>
      </c>
      <c r="AG54" s="87">
        <f t="shared" si="92"/>
        <v>72111.200000000012</v>
      </c>
      <c r="AH54" s="87">
        <f t="shared" si="93"/>
        <v>47009.200000000004</v>
      </c>
      <c r="AI54" s="87">
        <f t="shared" si="94"/>
        <v>79362.888888888891</v>
      </c>
      <c r="AJ54" s="87">
        <f t="shared" si="95"/>
        <v>0</v>
      </c>
      <c r="AK54" s="86">
        <f t="shared" si="96"/>
        <v>0</v>
      </c>
      <c r="AL54" s="85">
        <v>193</v>
      </c>
      <c r="AM54" s="85">
        <v>378</v>
      </c>
      <c r="AN54" s="85">
        <v>178</v>
      </c>
      <c r="AO54" s="85">
        <v>201</v>
      </c>
      <c r="AP54" s="85">
        <v>234</v>
      </c>
      <c r="AQ54" s="86">
        <v>214</v>
      </c>
      <c r="AR54" s="87">
        <v>160</v>
      </c>
      <c r="AS54" s="87">
        <v>203</v>
      </c>
      <c r="AT54" s="87">
        <v>161</v>
      </c>
      <c r="AU54" s="87">
        <v>209</v>
      </c>
      <c r="AV54" s="87">
        <v>233</v>
      </c>
      <c r="AW54" s="87">
        <v>221</v>
      </c>
      <c r="AX54" s="87">
        <v>164</v>
      </c>
      <c r="AY54" s="87">
        <v>308</v>
      </c>
      <c r="AZ54" s="87">
        <v>180</v>
      </c>
      <c r="BA54" s="87">
        <v>154</v>
      </c>
      <c r="BB54" s="87">
        <v>274</v>
      </c>
      <c r="BC54" s="86">
        <v>198</v>
      </c>
      <c r="BD54" s="87">
        <v>208</v>
      </c>
      <c r="BE54" s="87">
        <v>217</v>
      </c>
      <c r="BF54" s="87">
        <v>153</v>
      </c>
      <c r="BG54" s="87">
        <v>202</v>
      </c>
      <c r="BH54" s="87">
        <v>189</v>
      </c>
      <c r="BI54" s="87">
        <v>273</v>
      </c>
      <c r="BJ54" s="40">
        <v>149</v>
      </c>
      <c r="BK54" s="40">
        <v>156</v>
      </c>
      <c r="BL54" s="40">
        <v>101</v>
      </c>
      <c r="BM54" s="40">
        <v>159</v>
      </c>
      <c r="BO54" s="86">
        <f t="shared" si="127"/>
        <v>0</v>
      </c>
      <c r="BP54" s="21">
        <v>11</v>
      </c>
      <c r="BQ54" s="21">
        <v>14</v>
      </c>
      <c r="BR54" s="21">
        <v>22</v>
      </c>
      <c r="BS54" s="21">
        <v>11</v>
      </c>
      <c r="BT54" s="21">
        <v>17</v>
      </c>
      <c r="BU54" s="42">
        <v>17</v>
      </c>
      <c r="BV54" s="21">
        <v>10</v>
      </c>
      <c r="BW54" s="21">
        <v>14</v>
      </c>
      <c r="BX54" s="21">
        <v>15</v>
      </c>
      <c r="BY54" s="21">
        <v>19</v>
      </c>
      <c r="BZ54" s="21">
        <v>19</v>
      </c>
      <c r="CA54" s="21">
        <v>12</v>
      </c>
      <c r="CB54" s="21">
        <v>3</v>
      </c>
      <c r="CC54" s="21">
        <v>34</v>
      </c>
      <c r="CD54" s="21">
        <v>11</v>
      </c>
      <c r="CE54" s="21">
        <v>17</v>
      </c>
      <c r="CF54" s="21">
        <v>27</v>
      </c>
      <c r="CG54" s="42">
        <v>11</v>
      </c>
      <c r="CH54" s="21">
        <v>18</v>
      </c>
      <c r="CI54" s="21">
        <v>16</v>
      </c>
      <c r="CJ54" s="21">
        <v>21</v>
      </c>
      <c r="CK54" s="21">
        <v>12</v>
      </c>
      <c r="CL54" s="21">
        <v>36</v>
      </c>
      <c r="CM54" s="21">
        <v>10</v>
      </c>
      <c r="CN54" s="21">
        <v>17</v>
      </c>
      <c r="CO54" s="21">
        <v>2</v>
      </c>
      <c r="CP54" s="21">
        <f t="shared" si="64"/>
        <v>2</v>
      </c>
      <c r="CQ54" s="344">
        <f t="shared" si="65"/>
        <v>14.888888888888889</v>
      </c>
      <c r="CR54" s="87"/>
      <c r="CS54" s="86"/>
      <c r="CT54" s="85">
        <f t="shared" si="99"/>
        <v>204</v>
      </c>
      <c r="CU54" s="85">
        <f t="shared" si="100"/>
        <v>392</v>
      </c>
      <c r="CV54" s="85">
        <f t="shared" si="101"/>
        <v>200</v>
      </c>
      <c r="CW54" s="85">
        <f t="shared" si="102"/>
        <v>212</v>
      </c>
      <c r="CX54" s="85">
        <f t="shared" si="103"/>
        <v>251</v>
      </c>
      <c r="CY54" s="86">
        <f t="shared" si="104"/>
        <v>231</v>
      </c>
      <c r="CZ54" s="87">
        <f t="shared" si="105"/>
        <v>170</v>
      </c>
      <c r="DA54" s="87">
        <f t="shared" si="106"/>
        <v>217</v>
      </c>
      <c r="DB54" s="87">
        <f t="shared" si="107"/>
        <v>176</v>
      </c>
      <c r="DC54" s="87">
        <f t="shared" si="108"/>
        <v>228</v>
      </c>
      <c r="DD54" s="87">
        <f t="shared" si="109"/>
        <v>252</v>
      </c>
      <c r="DE54" s="87">
        <f t="shared" si="110"/>
        <v>233</v>
      </c>
      <c r="DF54" s="87">
        <f t="shared" si="111"/>
        <v>167</v>
      </c>
      <c r="DG54" s="87">
        <f t="shared" si="112"/>
        <v>342</v>
      </c>
      <c r="DH54" s="87">
        <f t="shared" si="113"/>
        <v>191</v>
      </c>
      <c r="DI54" s="87">
        <f t="shared" si="114"/>
        <v>171</v>
      </c>
      <c r="DJ54" s="87">
        <f t="shared" si="115"/>
        <v>301</v>
      </c>
      <c r="DK54" s="86">
        <f t="shared" si="116"/>
        <v>209</v>
      </c>
      <c r="DL54" s="87">
        <f t="shared" si="117"/>
        <v>226</v>
      </c>
      <c r="DM54" s="87">
        <f t="shared" si="118"/>
        <v>233</v>
      </c>
      <c r="DN54" s="87">
        <f t="shared" si="119"/>
        <v>174</v>
      </c>
      <c r="DO54" s="87">
        <f t="shared" si="120"/>
        <v>214</v>
      </c>
      <c r="DP54" s="87">
        <f t="shared" si="121"/>
        <v>225</v>
      </c>
      <c r="DQ54" s="87">
        <f t="shared" si="122"/>
        <v>283</v>
      </c>
      <c r="DR54" s="87">
        <f t="shared" si="97"/>
        <v>166</v>
      </c>
      <c r="DS54" s="87">
        <f t="shared" si="98"/>
        <v>158</v>
      </c>
      <c r="DT54" s="87">
        <f t="shared" si="123"/>
        <v>103</v>
      </c>
      <c r="DU54" s="87">
        <f t="shared" si="124"/>
        <v>173.88888888888889</v>
      </c>
      <c r="DV54" s="87">
        <f t="shared" si="125"/>
        <v>0</v>
      </c>
      <c r="DW54" s="87">
        <f t="shared" si="126"/>
        <v>0</v>
      </c>
    </row>
    <row r="55" spans="1:127">
      <c r="A55" s="22" t="s">
        <v>4</v>
      </c>
      <c r="B55" s="26">
        <v>4987176064042</v>
      </c>
      <c r="C55" s="22" t="s">
        <v>5</v>
      </c>
      <c r="D55" s="22" t="s">
        <v>7</v>
      </c>
      <c r="E55" s="22">
        <v>101085</v>
      </c>
      <c r="F55" s="80" t="s">
        <v>164</v>
      </c>
      <c r="G55" s="25">
        <v>606.4</v>
      </c>
      <c r="H55" s="85">
        <f t="shared" si="67"/>
        <v>37596.799999999996</v>
      </c>
      <c r="I55" s="85">
        <f t="shared" si="68"/>
        <v>63672</v>
      </c>
      <c r="J55" s="85">
        <f t="shared" si="69"/>
        <v>36990.400000000001</v>
      </c>
      <c r="K55" s="85">
        <f t="shared" si="70"/>
        <v>36990.400000000001</v>
      </c>
      <c r="L55" s="85">
        <f t="shared" si="71"/>
        <v>48512</v>
      </c>
      <c r="M55" s="86">
        <f t="shared" si="72"/>
        <v>42448</v>
      </c>
      <c r="N55" s="87">
        <f t="shared" si="73"/>
        <v>29713.599999999999</v>
      </c>
      <c r="O55" s="87">
        <f t="shared" si="74"/>
        <v>40628.799999999996</v>
      </c>
      <c r="P55" s="87">
        <f t="shared" si="75"/>
        <v>35171.199999999997</v>
      </c>
      <c r="Q55" s="87">
        <f t="shared" si="76"/>
        <v>43054.400000000001</v>
      </c>
      <c r="R55" s="87">
        <f t="shared" si="77"/>
        <v>41235.199999999997</v>
      </c>
      <c r="S55" s="87">
        <f t="shared" si="78"/>
        <v>21830.399999999998</v>
      </c>
      <c r="T55" s="87">
        <f t="shared" si="79"/>
        <v>32139.199999999997</v>
      </c>
      <c r="U55" s="87">
        <f t="shared" si="80"/>
        <v>53363.199999999997</v>
      </c>
      <c r="V55" s="87">
        <f t="shared" si="81"/>
        <v>36990.400000000001</v>
      </c>
      <c r="W55" s="87">
        <f t="shared" si="82"/>
        <v>35171.199999999997</v>
      </c>
      <c r="X55" s="87">
        <f t="shared" si="83"/>
        <v>42448</v>
      </c>
      <c r="Y55" s="86">
        <f t="shared" si="84"/>
        <v>21830.399999999998</v>
      </c>
      <c r="Z55" s="87">
        <f t="shared" si="85"/>
        <v>24256</v>
      </c>
      <c r="AA55" s="87">
        <f t="shared" si="86"/>
        <v>12734.4</v>
      </c>
      <c r="AB55" s="87">
        <f t="shared" si="87"/>
        <v>8489.6</v>
      </c>
      <c r="AC55" s="87">
        <f t="shared" si="88"/>
        <v>10308.799999999999</v>
      </c>
      <c r="AD55" s="87">
        <f t="shared" si="89"/>
        <v>2425.6</v>
      </c>
      <c r="AE55" s="87">
        <f t="shared" si="90"/>
        <v>0</v>
      </c>
      <c r="AF55" s="87">
        <f t="shared" si="91"/>
        <v>0</v>
      </c>
      <c r="AG55" s="87">
        <f t="shared" si="92"/>
        <v>0</v>
      </c>
      <c r="AH55" s="87">
        <f t="shared" si="93"/>
        <v>0</v>
      </c>
      <c r="AI55" s="87">
        <f t="shared" si="94"/>
        <v>0</v>
      </c>
      <c r="AJ55" s="87">
        <f t="shared" si="95"/>
        <v>0</v>
      </c>
      <c r="AK55" s="86">
        <f t="shared" si="96"/>
        <v>0</v>
      </c>
      <c r="AL55" s="85">
        <v>56</v>
      </c>
      <c r="AM55" s="85">
        <v>102</v>
      </c>
      <c r="AN55" s="85">
        <v>56</v>
      </c>
      <c r="AO55" s="85">
        <v>58</v>
      </c>
      <c r="AP55" s="85">
        <v>77</v>
      </c>
      <c r="AQ55" s="86">
        <v>63</v>
      </c>
      <c r="AR55" s="87">
        <v>48</v>
      </c>
      <c r="AS55" s="87">
        <v>60</v>
      </c>
      <c r="AT55" s="87">
        <v>54</v>
      </c>
      <c r="AU55" s="87">
        <v>64</v>
      </c>
      <c r="AV55" s="87">
        <v>61</v>
      </c>
      <c r="AW55" s="87">
        <v>36</v>
      </c>
      <c r="AX55" s="87">
        <v>53</v>
      </c>
      <c r="AY55" s="87">
        <v>88</v>
      </c>
      <c r="AZ55" s="87">
        <v>61</v>
      </c>
      <c r="BA55" s="87">
        <v>58</v>
      </c>
      <c r="BB55" s="87">
        <v>70</v>
      </c>
      <c r="BC55" s="86">
        <v>36</v>
      </c>
      <c r="BD55" s="87">
        <v>40</v>
      </c>
      <c r="BE55" s="87">
        <v>21</v>
      </c>
      <c r="BF55" s="87">
        <v>14</v>
      </c>
      <c r="BG55" s="87">
        <v>17</v>
      </c>
      <c r="BH55" s="87">
        <v>4</v>
      </c>
      <c r="BI55" s="87">
        <v>0</v>
      </c>
      <c r="BJ55" s="40">
        <v>0</v>
      </c>
      <c r="BK55" s="40">
        <v>0</v>
      </c>
      <c r="BL55" s="40">
        <v>0</v>
      </c>
      <c r="BM55" s="40">
        <v>0</v>
      </c>
      <c r="BO55" s="86">
        <f t="shared" si="127"/>
        <v>0</v>
      </c>
      <c r="BP55" s="21">
        <v>6</v>
      </c>
      <c r="BQ55" s="21">
        <v>3</v>
      </c>
      <c r="BR55" s="21">
        <v>5</v>
      </c>
      <c r="BS55" s="21">
        <v>3</v>
      </c>
      <c r="BT55" s="21">
        <v>3</v>
      </c>
      <c r="BU55" s="42">
        <v>7</v>
      </c>
      <c r="BV55" s="21">
        <v>1</v>
      </c>
      <c r="BW55" s="21">
        <v>7</v>
      </c>
      <c r="BX55" s="21">
        <v>4</v>
      </c>
      <c r="BY55" s="21">
        <v>7</v>
      </c>
      <c r="BZ55" s="21">
        <v>7</v>
      </c>
      <c r="CA55" s="21">
        <v>0</v>
      </c>
      <c r="CB55" s="21">
        <v>0</v>
      </c>
      <c r="CC55" s="21">
        <v>0</v>
      </c>
      <c r="CD55" s="21">
        <v>0</v>
      </c>
      <c r="CE55" s="21">
        <v>0</v>
      </c>
      <c r="CF55" s="21">
        <v>0</v>
      </c>
      <c r="CG55" s="42">
        <v>0</v>
      </c>
      <c r="CH55" s="21">
        <v>0</v>
      </c>
      <c r="CI55" s="21">
        <v>0</v>
      </c>
      <c r="CJ55" s="21">
        <v>0</v>
      </c>
      <c r="CK55" s="21">
        <v>0</v>
      </c>
      <c r="CL55" s="21">
        <v>0</v>
      </c>
      <c r="CM55" s="21">
        <v>0</v>
      </c>
      <c r="CN55" s="21">
        <v>0</v>
      </c>
      <c r="CO55" s="21">
        <v>0</v>
      </c>
      <c r="CP55" s="21">
        <f t="shared" si="64"/>
        <v>0</v>
      </c>
      <c r="CQ55" s="344">
        <f t="shared" si="65"/>
        <v>0</v>
      </c>
      <c r="CR55" s="87"/>
      <c r="CS55" s="86"/>
      <c r="CT55" s="85">
        <f t="shared" si="99"/>
        <v>62</v>
      </c>
      <c r="CU55" s="85">
        <f t="shared" si="100"/>
        <v>105</v>
      </c>
      <c r="CV55" s="85">
        <f t="shared" si="101"/>
        <v>61</v>
      </c>
      <c r="CW55" s="85">
        <f t="shared" si="102"/>
        <v>61</v>
      </c>
      <c r="CX55" s="85">
        <f t="shared" si="103"/>
        <v>80</v>
      </c>
      <c r="CY55" s="86">
        <f t="shared" si="104"/>
        <v>70</v>
      </c>
      <c r="CZ55" s="87">
        <f t="shared" si="105"/>
        <v>49</v>
      </c>
      <c r="DA55" s="87">
        <f t="shared" si="106"/>
        <v>67</v>
      </c>
      <c r="DB55" s="87">
        <f t="shared" si="107"/>
        <v>58</v>
      </c>
      <c r="DC55" s="87">
        <f t="shared" si="108"/>
        <v>71</v>
      </c>
      <c r="DD55" s="87">
        <f t="shared" si="109"/>
        <v>68</v>
      </c>
      <c r="DE55" s="87">
        <f t="shared" si="110"/>
        <v>36</v>
      </c>
      <c r="DF55" s="87">
        <f t="shared" si="111"/>
        <v>53</v>
      </c>
      <c r="DG55" s="87">
        <f t="shared" si="112"/>
        <v>88</v>
      </c>
      <c r="DH55" s="87">
        <f t="shared" si="113"/>
        <v>61</v>
      </c>
      <c r="DI55" s="87">
        <f t="shared" si="114"/>
        <v>58</v>
      </c>
      <c r="DJ55" s="87">
        <f t="shared" si="115"/>
        <v>70</v>
      </c>
      <c r="DK55" s="86">
        <f t="shared" si="116"/>
        <v>36</v>
      </c>
      <c r="DL55" s="87">
        <f t="shared" si="117"/>
        <v>40</v>
      </c>
      <c r="DM55" s="87">
        <f t="shared" si="118"/>
        <v>21</v>
      </c>
      <c r="DN55" s="87">
        <f t="shared" si="119"/>
        <v>14</v>
      </c>
      <c r="DO55" s="87">
        <f t="shared" si="120"/>
        <v>17</v>
      </c>
      <c r="DP55" s="87">
        <f t="shared" si="121"/>
        <v>4</v>
      </c>
      <c r="DQ55" s="87">
        <f t="shared" si="122"/>
        <v>0</v>
      </c>
      <c r="DR55" s="87">
        <f t="shared" si="97"/>
        <v>0</v>
      </c>
      <c r="DS55" s="87">
        <f t="shared" si="98"/>
        <v>0</v>
      </c>
      <c r="DT55" s="87">
        <f t="shared" si="123"/>
        <v>0</v>
      </c>
      <c r="DU55" s="87">
        <f t="shared" si="124"/>
        <v>0</v>
      </c>
      <c r="DV55" s="87">
        <f t="shared" si="125"/>
        <v>0</v>
      </c>
      <c r="DW55" s="87">
        <f t="shared" si="126"/>
        <v>0</v>
      </c>
    </row>
    <row r="56" spans="1:127">
      <c r="A56" s="22" t="s">
        <v>4</v>
      </c>
      <c r="B56" s="26">
        <v>4987176307507</v>
      </c>
      <c r="C56" s="22" t="s">
        <v>5</v>
      </c>
      <c r="D56" s="22" t="s">
        <v>6</v>
      </c>
      <c r="E56" s="22">
        <v>259466</v>
      </c>
      <c r="F56" s="80" t="s">
        <v>165</v>
      </c>
      <c r="G56" s="25">
        <v>275.80350000000004</v>
      </c>
      <c r="H56" s="85">
        <f t="shared" si="67"/>
        <v>0</v>
      </c>
      <c r="I56" s="85">
        <f t="shared" si="68"/>
        <v>0</v>
      </c>
      <c r="J56" s="85">
        <f t="shared" si="69"/>
        <v>0</v>
      </c>
      <c r="K56" s="85">
        <f t="shared" si="70"/>
        <v>0</v>
      </c>
      <c r="L56" s="85">
        <f t="shared" si="71"/>
        <v>0</v>
      </c>
      <c r="M56" s="86">
        <f t="shared" si="72"/>
        <v>0</v>
      </c>
      <c r="N56" s="87">
        <f t="shared" si="73"/>
        <v>0</v>
      </c>
      <c r="O56" s="87">
        <f t="shared" si="74"/>
        <v>0</v>
      </c>
      <c r="P56" s="87">
        <f t="shared" si="75"/>
        <v>0</v>
      </c>
      <c r="Q56" s="87">
        <f t="shared" si="76"/>
        <v>0</v>
      </c>
      <c r="R56" s="87">
        <f t="shared" si="77"/>
        <v>0</v>
      </c>
      <c r="S56" s="87">
        <f t="shared" si="78"/>
        <v>0</v>
      </c>
      <c r="T56" s="87">
        <f t="shared" si="79"/>
        <v>3585.4455000000007</v>
      </c>
      <c r="U56" s="87">
        <f t="shared" si="80"/>
        <v>31441.599000000006</v>
      </c>
      <c r="V56" s="87">
        <f t="shared" si="81"/>
        <v>29786.778000000006</v>
      </c>
      <c r="W56" s="87">
        <f t="shared" si="82"/>
        <v>34475.437500000007</v>
      </c>
      <c r="X56" s="87">
        <f t="shared" si="83"/>
        <v>41094.721500000007</v>
      </c>
      <c r="Y56" s="86">
        <f t="shared" si="84"/>
        <v>31717.402500000004</v>
      </c>
      <c r="Z56" s="87">
        <f t="shared" si="85"/>
        <v>20685.262500000004</v>
      </c>
      <c r="AA56" s="87">
        <f t="shared" si="86"/>
        <v>10204.729500000001</v>
      </c>
      <c r="AB56" s="87">
        <f t="shared" si="87"/>
        <v>17375.620500000001</v>
      </c>
      <c r="AC56" s="87">
        <f t="shared" si="88"/>
        <v>22340.083500000004</v>
      </c>
      <c r="AD56" s="87">
        <f t="shared" si="89"/>
        <v>9653.1225000000013</v>
      </c>
      <c r="AE56" s="87">
        <f t="shared" si="90"/>
        <v>16548.210000000003</v>
      </c>
      <c r="AF56" s="87">
        <f t="shared" si="91"/>
        <v>2206.4280000000003</v>
      </c>
      <c r="AG56" s="87">
        <f t="shared" si="92"/>
        <v>551.60700000000008</v>
      </c>
      <c r="AH56" s="87">
        <f t="shared" si="93"/>
        <v>0</v>
      </c>
      <c r="AI56" s="87">
        <f t="shared" si="94"/>
        <v>1225.7933333333335</v>
      </c>
      <c r="AJ56" s="87">
        <f t="shared" si="95"/>
        <v>0</v>
      </c>
      <c r="AK56" s="86">
        <f t="shared" si="96"/>
        <v>0</v>
      </c>
      <c r="AL56" s="85">
        <v>0</v>
      </c>
      <c r="AM56" s="85">
        <v>0</v>
      </c>
      <c r="AN56" s="85">
        <v>0</v>
      </c>
      <c r="AO56" s="85">
        <v>0</v>
      </c>
      <c r="AP56" s="85">
        <v>0</v>
      </c>
      <c r="AQ56" s="86">
        <v>0</v>
      </c>
      <c r="AR56" s="87">
        <v>0</v>
      </c>
      <c r="AS56" s="87">
        <v>0</v>
      </c>
      <c r="AT56" s="87">
        <v>0</v>
      </c>
      <c r="AU56" s="87">
        <v>0</v>
      </c>
      <c r="AV56" s="87">
        <v>0</v>
      </c>
      <c r="AW56" s="87">
        <v>0</v>
      </c>
      <c r="AX56" s="87">
        <v>0</v>
      </c>
      <c r="AY56" s="87">
        <v>86</v>
      </c>
      <c r="AZ56" s="87">
        <v>85</v>
      </c>
      <c r="BA56" s="87">
        <v>98</v>
      </c>
      <c r="BB56" s="87">
        <v>100</v>
      </c>
      <c r="BC56" s="86">
        <v>68</v>
      </c>
      <c r="BD56" s="87">
        <v>60</v>
      </c>
      <c r="BE56" s="87">
        <v>25</v>
      </c>
      <c r="BF56" s="87">
        <v>50</v>
      </c>
      <c r="BG56" s="87">
        <v>81</v>
      </c>
      <c r="BH56" s="87">
        <v>35</v>
      </c>
      <c r="BI56" s="87">
        <v>60</v>
      </c>
      <c r="BJ56" s="40">
        <v>8</v>
      </c>
      <c r="BK56" s="40">
        <v>2</v>
      </c>
      <c r="BL56" s="40">
        <v>0</v>
      </c>
      <c r="BM56" s="40">
        <v>0</v>
      </c>
      <c r="BO56" s="86">
        <f t="shared" si="127"/>
        <v>0</v>
      </c>
      <c r="BP56" s="21">
        <v>0</v>
      </c>
      <c r="BQ56" s="21">
        <v>0</v>
      </c>
      <c r="BR56" s="21">
        <v>0</v>
      </c>
      <c r="BS56" s="21">
        <v>0</v>
      </c>
      <c r="BT56" s="21">
        <v>0</v>
      </c>
      <c r="BU56" s="42">
        <v>0</v>
      </c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13</v>
      </c>
      <c r="CC56" s="21">
        <v>28</v>
      </c>
      <c r="CD56" s="21">
        <v>23</v>
      </c>
      <c r="CE56" s="21">
        <v>27</v>
      </c>
      <c r="CF56" s="21">
        <v>49</v>
      </c>
      <c r="CG56" s="42">
        <v>47</v>
      </c>
      <c r="CH56" s="21">
        <v>15</v>
      </c>
      <c r="CI56" s="21">
        <v>12</v>
      </c>
      <c r="CJ56" s="21">
        <v>13</v>
      </c>
      <c r="CK56" s="21">
        <v>0</v>
      </c>
      <c r="CL56" s="21">
        <v>0</v>
      </c>
      <c r="CM56" s="21">
        <v>0</v>
      </c>
      <c r="CN56" s="21">
        <v>0</v>
      </c>
      <c r="CO56" s="21">
        <v>0</v>
      </c>
      <c r="CP56" s="21">
        <f t="shared" si="64"/>
        <v>0</v>
      </c>
      <c r="CQ56" s="344">
        <f t="shared" si="65"/>
        <v>4.4444444444444446</v>
      </c>
      <c r="CR56" s="87"/>
      <c r="CS56" s="86"/>
      <c r="CT56" s="85">
        <f t="shared" si="99"/>
        <v>0</v>
      </c>
      <c r="CU56" s="85">
        <f t="shared" si="100"/>
        <v>0</v>
      </c>
      <c r="CV56" s="85">
        <f t="shared" si="101"/>
        <v>0</v>
      </c>
      <c r="CW56" s="85">
        <f t="shared" si="102"/>
        <v>0</v>
      </c>
      <c r="CX56" s="85">
        <f t="shared" si="103"/>
        <v>0</v>
      </c>
      <c r="CY56" s="86">
        <f t="shared" si="104"/>
        <v>0</v>
      </c>
      <c r="CZ56" s="87">
        <f t="shared" si="105"/>
        <v>0</v>
      </c>
      <c r="DA56" s="87">
        <f t="shared" si="106"/>
        <v>0</v>
      </c>
      <c r="DB56" s="87">
        <f t="shared" si="107"/>
        <v>0</v>
      </c>
      <c r="DC56" s="87">
        <f t="shared" si="108"/>
        <v>0</v>
      </c>
      <c r="DD56" s="87">
        <f t="shared" si="109"/>
        <v>0</v>
      </c>
      <c r="DE56" s="87">
        <f t="shared" si="110"/>
        <v>0</v>
      </c>
      <c r="DF56" s="87">
        <f t="shared" si="111"/>
        <v>13</v>
      </c>
      <c r="DG56" s="87">
        <f t="shared" si="112"/>
        <v>114</v>
      </c>
      <c r="DH56" s="87">
        <f t="shared" si="113"/>
        <v>108</v>
      </c>
      <c r="DI56" s="87">
        <f t="shared" si="114"/>
        <v>125</v>
      </c>
      <c r="DJ56" s="87">
        <f t="shared" si="115"/>
        <v>149</v>
      </c>
      <c r="DK56" s="86">
        <f t="shared" si="116"/>
        <v>115</v>
      </c>
      <c r="DL56" s="87">
        <f t="shared" si="117"/>
        <v>75</v>
      </c>
      <c r="DM56" s="87">
        <f t="shared" si="118"/>
        <v>37</v>
      </c>
      <c r="DN56" s="87">
        <f t="shared" si="119"/>
        <v>63</v>
      </c>
      <c r="DO56" s="87">
        <f t="shared" si="120"/>
        <v>81</v>
      </c>
      <c r="DP56" s="87">
        <f t="shared" si="121"/>
        <v>35</v>
      </c>
      <c r="DQ56" s="87">
        <f t="shared" si="122"/>
        <v>60</v>
      </c>
      <c r="DR56" s="87">
        <f t="shared" si="97"/>
        <v>8</v>
      </c>
      <c r="DS56" s="87">
        <f t="shared" si="98"/>
        <v>2</v>
      </c>
      <c r="DT56" s="87">
        <f t="shared" si="123"/>
        <v>0</v>
      </c>
      <c r="DU56" s="87">
        <f t="shared" si="124"/>
        <v>4.4444444444444446</v>
      </c>
      <c r="DV56" s="87">
        <f t="shared" si="125"/>
        <v>0</v>
      </c>
      <c r="DW56" s="87">
        <f t="shared" si="126"/>
        <v>0</v>
      </c>
    </row>
    <row r="57" spans="1:127">
      <c r="A57" s="22" t="s">
        <v>4</v>
      </c>
      <c r="B57" s="26">
        <v>4987176309655</v>
      </c>
      <c r="C57" s="22" t="s">
        <v>5</v>
      </c>
      <c r="D57" s="22" t="s">
        <v>6</v>
      </c>
      <c r="E57" s="22">
        <v>259470</v>
      </c>
      <c r="F57" s="80" t="s">
        <v>166</v>
      </c>
      <c r="G57" s="25">
        <v>135.17700000000002</v>
      </c>
      <c r="H57" s="85">
        <f t="shared" si="67"/>
        <v>0</v>
      </c>
      <c r="I57" s="85">
        <f t="shared" si="68"/>
        <v>0</v>
      </c>
      <c r="J57" s="85">
        <f t="shared" si="69"/>
        <v>0</v>
      </c>
      <c r="K57" s="85">
        <f t="shared" si="70"/>
        <v>0</v>
      </c>
      <c r="L57" s="85">
        <f t="shared" si="71"/>
        <v>0</v>
      </c>
      <c r="M57" s="86">
        <f t="shared" si="72"/>
        <v>0</v>
      </c>
      <c r="N57" s="87">
        <f t="shared" si="73"/>
        <v>0</v>
      </c>
      <c r="O57" s="87">
        <f t="shared" si="74"/>
        <v>0</v>
      </c>
      <c r="P57" s="87">
        <f t="shared" si="75"/>
        <v>0</v>
      </c>
      <c r="Q57" s="87">
        <f t="shared" si="76"/>
        <v>0</v>
      </c>
      <c r="R57" s="87">
        <f t="shared" si="77"/>
        <v>0</v>
      </c>
      <c r="S57" s="87">
        <f t="shared" si="78"/>
        <v>0</v>
      </c>
      <c r="T57" s="87">
        <f t="shared" si="79"/>
        <v>2162.8320000000003</v>
      </c>
      <c r="U57" s="87">
        <f t="shared" si="80"/>
        <v>19195.134000000002</v>
      </c>
      <c r="V57" s="87">
        <f t="shared" si="81"/>
        <v>19059.957000000002</v>
      </c>
      <c r="W57" s="87">
        <f t="shared" si="82"/>
        <v>277383.20400000003</v>
      </c>
      <c r="X57" s="87">
        <f t="shared" si="83"/>
        <v>168700.89600000004</v>
      </c>
      <c r="Y57" s="86">
        <f t="shared" si="84"/>
        <v>70156.863000000012</v>
      </c>
      <c r="Z57" s="87">
        <f t="shared" si="85"/>
        <v>55287.393000000011</v>
      </c>
      <c r="AA57" s="87">
        <f t="shared" si="86"/>
        <v>23520.798000000003</v>
      </c>
      <c r="AB57" s="87">
        <f t="shared" si="87"/>
        <v>23520.798000000003</v>
      </c>
      <c r="AC57" s="87">
        <f t="shared" si="88"/>
        <v>28522.347000000005</v>
      </c>
      <c r="AD57" s="87">
        <f t="shared" si="89"/>
        <v>17573.010000000002</v>
      </c>
      <c r="AE57" s="87">
        <f t="shared" si="90"/>
        <v>7569.9120000000012</v>
      </c>
      <c r="AF57" s="87">
        <f t="shared" si="91"/>
        <v>405.53100000000006</v>
      </c>
      <c r="AG57" s="87">
        <f t="shared" si="92"/>
        <v>0</v>
      </c>
      <c r="AH57" s="87">
        <f t="shared" si="93"/>
        <v>0</v>
      </c>
      <c r="AI57" s="87">
        <f t="shared" si="94"/>
        <v>3349.3856666666675</v>
      </c>
      <c r="AJ57" s="87">
        <f t="shared" si="95"/>
        <v>0</v>
      </c>
      <c r="AK57" s="86">
        <f t="shared" si="96"/>
        <v>0</v>
      </c>
      <c r="AL57" s="85">
        <v>0</v>
      </c>
      <c r="AM57" s="85">
        <v>0</v>
      </c>
      <c r="AN57" s="85">
        <v>0</v>
      </c>
      <c r="AO57" s="85">
        <v>0</v>
      </c>
      <c r="AP57" s="85">
        <v>0</v>
      </c>
      <c r="AQ57" s="86">
        <v>0</v>
      </c>
      <c r="AR57" s="87">
        <v>0</v>
      </c>
      <c r="AS57" s="87">
        <v>0</v>
      </c>
      <c r="AT57" s="87">
        <v>0</v>
      </c>
      <c r="AU57" s="87">
        <v>0</v>
      </c>
      <c r="AV57" s="87">
        <v>0</v>
      </c>
      <c r="AW57" s="87">
        <v>0</v>
      </c>
      <c r="AX57" s="87">
        <v>0</v>
      </c>
      <c r="AY57" s="87">
        <v>95</v>
      </c>
      <c r="AZ57" s="87">
        <v>124</v>
      </c>
      <c r="BA57" s="87">
        <v>1893</v>
      </c>
      <c r="BB57" s="87">
        <v>1163</v>
      </c>
      <c r="BC57" s="86">
        <v>418</v>
      </c>
      <c r="BD57" s="87">
        <v>389</v>
      </c>
      <c r="BE57" s="87">
        <v>157</v>
      </c>
      <c r="BF57" s="87">
        <v>139</v>
      </c>
      <c r="BG57" s="87">
        <v>136</v>
      </c>
      <c r="BH57" s="87">
        <v>54</v>
      </c>
      <c r="BI57" s="87">
        <v>56</v>
      </c>
      <c r="BJ57" s="40">
        <v>3</v>
      </c>
      <c r="BK57" s="40">
        <v>0</v>
      </c>
      <c r="BL57" s="40">
        <v>0</v>
      </c>
      <c r="BM57" s="40">
        <v>0</v>
      </c>
      <c r="BO57" s="86">
        <f t="shared" si="127"/>
        <v>0</v>
      </c>
      <c r="BP57" s="21">
        <v>0</v>
      </c>
      <c r="BQ57" s="21">
        <v>0</v>
      </c>
      <c r="BR57" s="21">
        <v>0</v>
      </c>
      <c r="BS57" s="21">
        <v>0</v>
      </c>
      <c r="BT57" s="21">
        <v>0</v>
      </c>
      <c r="BU57" s="42">
        <v>0</v>
      </c>
      <c r="BV57" s="21">
        <v>0</v>
      </c>
      <c r="BW57" s="21">
        <v>0</v>
      </c>
      <c r="BX57" s="21">
        <v>0</v>
      </c>
      <c r="BY57" s="21">
        <v>0</v>
      </c>
      <c r="BZ57" s="21">
        <v>0</v>
      </c>
      <c r="CA57" s="21">
        <v>0</v>
      </c>
      <c r="CB57" s="21">
        <v>16</v>
      </c>
      <c r="CC57" s="21">
        <v>47</v>
      </c>
      <c r="CD57" s="21">
        <v>17</v>
      </c>
      <c r="CE57" s="21">
        <v>159</v>
      </c>
      <c r="CF57" s="21">
        <v>85</v>
      </c>
      <c r="CG57" s="42">
        <v>101</v>
      </c>
      <c r="CH57" s="21">
        <v>20</v>
      </c>
      <c r="CI57" s="21">
        <v>17</v>
      </c>
      <c r="CJ57" s="21">
        <v>35</v>
      </c>
      <c r="CK57" s="21">
        <v>75</v>
      </c>
      <c r="CL57" s="21">
        <v>76</v>
      </c>
      <c r="CM57" s="21">
        <v>0</v>
      </c>
      <c r="CN57" s="21">
        <v>0</v>
      </c>
      <c r="CO57" s="21">
        <v>0</v>
      </c>
      <c r="CP57" s="21">
        <f t="shared" si="64"/>
        <v>0</v>
      </c>
      <c r="CQ57" s="344">
        <f t="shared" si="65"/>
        <v>24.777777777777779</v>
      </c>
      <c r="CR57" s="87"/>
      <c r="CS57" s="86"/>
      <c r="CT57" s="85">
        <f t="shared" si="99"/>
        <v>0</v>
      </c>
      <c r="CU57" s="85">
        <f t="shared" si="100"/>
        <v>0</v>
      </c>
      <c r="CV57" s="85">
        <f t="shared" si="101"/>
        <v>0</v>
      </c>
      <c r="CW57" s="85">
        <f t="shared" si="102"/>
        <v>0</v>
      </c>
      <c r="CX57" s="85">
        <f t="shared" si="103"/>
        <v>0</v>
      </c>
      <c r="CY57" s="86">
        <f t="shared" si="104"/>
        <v>0</v>
      </c>
      <c r="CZ57" s="87">
        <f t="shared" si="105"/>
        <v>0</v>
      </c>
      <c r="DA57" s="87">
        <f t="shared" si="106"/>
        <v>0</v>
      </c>
      <c r="DB57" s="87">
        <f t="shared" si="107"/>
        <v>0</v>
      </c>
      <c r="DC57" s="87">
        <f t="shared" si="108"/>
        <v>0</v>
      </c>
      <c r="DD57" s="87">
        <f t="shared" si="109"/>
        <v>0</v>
      </c>
      <c r="DE57" s="87">
        <f t="shared" si="110"/>
        <v>0</v>
      </c>
      <c r="DF57" s="87">
        <f t="shared" si="111"/>
        <v>16</v>
      </c>
      <c r="DG57" s="87">
        <f t="shared" si="112"/>
        <v>142</v>
      </c>
      <c r="DH57" s="87">
        <f t="shared" si="113"/>
        <v>141</v>
      </c>
      <c r="DI57" s="87">
        <f t="shared" si="114"/>
        <v>2052</v>
      </c>
      <c r="DJ57" s="87">
        <f t="shared" si="115"/>
        <v>1248</v>
      </c>
      <c r="DK57" s="86">
        <f t="shared" si="116"/>
        <v>519</v>
      </c>
      <c r="DL57" s="87">
        <f t="shared" si="117"/>
        <v>409</v>
      </c>
      <c r="DM57" s="87">
        <f t="shared" si="118"/>
        <v>174</v>
      </c>
      <c r="DN57" s="87">
        <f t="shared" si="119"/>
        <v>174</v>
      </c>
      <c r="DO57" s="87">
        <f t="shared" si="120"/>
        <v>211</v>
      </c>
      <c r="DP57" s="87">
        <f t="shared" si="121"/>
        <v>130</v>
      </c>
      <c r="DQ57" s="87">
        <f t="shared" si="122"/>
        <v>56</v>
      </c>
      <c r="DR57" s="87">
        <f t="shared" si="97"/>
        <v>3</v>
      </c>
      <c r="DS57" s="87">
        <f t="shared" si="98"/>
        <v>0</v>
      </c>
      <c r="DT57" s="87">
        <f t="shared" si="123"/>
        <v>0</v>
      </c>
      <c r="DU57" s="87">
        <f t="shared" si="124"/>
        <v>24.777777777777779</v>
      </c>
      <c r="DV57" s="87">
        <f t="shared" si="125"/>
        <v>0</v>
      </c>
      <c r="DW57" s="87">
        <f t="shared" si="126"/>
        <v>0</v>
      </c>
    </row>
    <row r="58" spans="1:127">
      <c r="A58" s="22" t="s">
        <v>4</v>
      </c>
      <c r="B58" s="26">
        <v>4987176276605</v>
      </c>
      <c r="C58" s="22" t="s">
        <v>5</v>
      </c>
      <c r="D58" s="22" t="s">
        <v>6</v>
      </c>
      <c r="E58" s="22">
        <v>259640</v>
      </c>
      <c r="F58" s="80" t="s">
        <v>167</v>
      </c>
      <c r="G58" s="25">
        <v>278.38650000000001</v>
      </c>
      <c r="H58" s="85">
        <f t="shared" si="67"/>
        <v>0</v>
      </c>
      <c r="I58" s="85">
        <f t="shared" si="68"/>
        <v>0</v>
      </c>
      <c r="J58" s="85">
        <f t="shared" si="69"/>
        <v>0</v>
      </c>
      <c r="K58" s="85">
        <f t="shared" si="70"/>
        <v>0</v>
      </c>
      <c r="L58" s="85">
        <f t="shared" si="71"/>
        <v>0</v>
      </c>
      <c r="M58" s="86">
        <f t="shared" si="72"/>
        <v>0</v>
      </c>
      <c r="N58" s="87">
        <f t="shared" si="73"/>
        <v>0</v>
      </c>
      <c r="O58" s="87">
        <f t="shared" si="74"/>
        <v>0</v>
      </c>
      <c r="P58" s="87">
        <f t="shared" si="75"/>
        <v>0</v>
      </c>
      <c r="Q58" s="87">
        <f t="shared" si="76"/>
        <v>0</v>
      </c>
      <c r="R58" s="87">
        <f t="shared" si="77"/>
        <v>0</v>
      </c>
      <c r="S58" s="87">
        <f t="shared" si="78"/>
        <v>0</v>
      </c>
      <c r="T58" s="87">
        <f t="shared" si="79"/>
        <v>0</v>
      </c>
      <c r="U58" s="87">
        <f t="shared" si="80"/>
        <v>402268.49249999999</v>
      </c>
      <c r="V58" s="87">
        <f t="shared" si="81"/>
        <v>856038.48750000005</v>
      </c>
      <c r="W58" s="87">
        <f t="shared" si="82"/>
        <v>650310.86400000006</v>
      </c>
      <c r="X58" s="87">
        <f t="shared" si="83"/>
        <v>440407.44300000003</v>
      </c>
      <c r="Y58" s="86">
        <f t="shared" si="84"/>
        <v>454605.1545</v>
      </c>
      <c r="Z58" s="87">
        <f t="shared" si="85"/>
        <v>597139.04249999998</v>
      </c>
      <c r="AA58" s="87">
        <f t="shared" si="86"/>
        <v>376378.54800000001</v>
      </c>
      <c r="AB58" s="87">
        <f t="shared" si="87"/>
        <v>271983.61050000001</v>
      </c>
      <c r="AC58" s="87">
        <f t="shared" si="88"/>
        <v>503044.40549999999</v>
      </c>
      <c r="AD58" s="87">
        <f t="shared" si="89"/>
        <v>723248.12699999998</v>
      </c>
      <c r="AE58" s="87">
        <f t="shared" si="90"/>
        <v>1228519.6245000002</v>
      </c>
      <c r="AF58" s="87">
        <f t="shared" si="91"/>
        <v>41479.588500000005</v>
      </c>
      <c r="AG58" s="87">
        <f t="shared" si="92"/>
        <v>11413.8465</v>
      </c>
      <c r="AH58" s="87">
        <f t="shared" si="93"/>
        <v>2227.0920000000001</v>
      </c>
      <c r="AI58" s="87">
        <f t="shared" si="94"/>
        <v>38324.541499999999</v>
      </c>
      <c r="AJ58" s="87">
        <f t="shared" si="95"/>
        <v>0</v>
      </c>
      <c r="AK58" s="86">
        <f t="shared" si="96"/>
        <v>0</v>
      </c>
      <c r="AL58" s="85">
        <v>0</v>
      </c>
      <c r="AM58" s="85">
        <v>0</v>
      </c>
      <c r="AN58" s="85">
        <v>0</v>
      </c>
      <c r="AO58" s="85">
        <v>0</v>
      </c>
      <c r="AP58" s="85">
        <v>0</v>
      </c>
      <c r="AQ58" s="86">
        <v>0</v>
      </c>
      <c r="AR58" s="87">
        <v>0</v>
      </c>
      <c r="AS58" s="87">
        <v>0</v>
      </c>
      <c r="AT58" s="87">
        <v>0</v>
      </c>
      <c r="AU58" s="87">
        <v>0</v>
      </c>
      <c r="AV58" s="87">
        <v>0</v>
      </c>
      <c r="AW58" s="87">
        <v>0</v>
      </c>
      <c r="AX58" s="87">
        <v>0</v>
      </c>
      <c r="AY58" s="87">
        <v>1004</v>
      </c>
      <c r="AZ58" s="87">
        <v>2749</v>
      </c>
      <c r="BA58" s="87">
        <v>2252</v>
      </c>
      <c r="BB58" s="87">
        <v>1274</v>
      </c>
      <c r="BC58" s="86">
        <v>1196</v>
      </c>
      <c r="BD58" s="87">
        <v>1862</v>
      </c>
      <c r="BE58" s="87">
        <v>1275</v>
      </c>
      <c r="BF58" s="87">
        <v>894</v>
      </c>
      <c r="BG58" s="87">
        <v>1498</v>
      </c>
      <c r="BH58" s="87">
        <v>2201</v>
      </c>
      <c r="BI58" s="87">
        <v>4334</v>
      </c>
      <c r="BJ58" s="40">
        <v>147</v>
      </c>
      <c r="BK58" s="40">
        <v>41</v>
      </c>
      <c r="BL58" s="40">
        <v>8</v>
      </c>
      <c r="BM58" s="40">
        <v>1</v>
      </c>
      <c r="BO58" s="86">
        <f t="shared" si="127"/>
        <v>0</v>
      </c>
      <c r="BP58" s="21">
        <v>0</v>
      </c>
      <c r="BQ58" s="21">
        <v>0</v>
      </c>
      <c r="BR58" s="21">
        <v>0</v>
      </c>
      <c r="BS58" s="21">
        <v>0</v>
      </c>
      <c r="BT58" s="21">
        <v>0</v>
      </c>
      <c r="BU58" s="42">
        <v>0</v>
      </c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441</v>
      </c>
      <c r="CD58" s="21">
        <v>326</v>
      </c>
      <c r="CE58" s="21">
        <v>84</v>
      </c>
      <c r="CF58" s="21">
        <v>308</v>
      </c>
      <c r="CG58" s="42">
        <v>437</v>
      </c>
      <c r="CH58" s="21">
        <v>283</v>
      </c>
      <c r="CI58" s="21">
        <v>77</v>
      </c>
      <c r="CJ58" s="21">
        <v>83</v>
      </c>
      <c r="CK58" s="21">
        <v>309</v>
      </c>
      <c r="CL58" s="21">
        <v>397</v>
      </c>
      <c r="CM58" s="21">
        <v>79</v>
      </c>
      <c r="CN58" s="21">
        <v>2</v>
      </c>
      <c r="CO58" s="21">
        <v>0</v>
      </c>
      <c r="CP58" s="21">
        <f t="shared" si="64"/>
        <v>0</v>
      </c>
      <c r="CQ58" s="344">
        <f t="shared" si="65"/>
        <v>136.66666666666666</v>
      </c>
      <c r="CR58" s="87"/>
      <c r="CS58" s="86"/>
      <c r="CT58" s="85">
        <f t="shared" si="99"/>
        <v>0</v>
      </c>
      <c r="CU58" s="85">
        <f t="shared" si="100"/>
        <v>0</v>
      </c>
      <c r="CV58" s="85">
        <f t="shared" si="101"/>
        <v>0</v>
      </c>
      <c r="CW58" s="85">
        <f t="shared" si="102"/>
        <v>0</v>
      </c>
      <c r="CX58" s="85">
        <f t="shared" si="103"/>
        <v>0</v>
      </c>
      <c r="CY58" s="86">
        <f t="shared" si="104"/>
        <v>0</v>
      </c>
      <c r="CZ58" s="87">
        <f t="shared" si="105"/>
        <v>0</v>
      </c>
      <c r="DA58" s="87">
        <f t="shared" si="106"/>
        <v>0</v>
      </c>
      <c r="DB58" s="87">
        <f t="shared" si="107"/>
        <v>0</v>
      </c>
      <c r="DC58" s="87">
        <f t="shared" si="108"/>
        <v>0</v>
      </c>
      <c r="DD58" s="87">
        <f t="shared" si="109"/>
        <v>0</v>
      </c>
      <c r="DE58" s="87">
        <f t="shared" si="110"/>
        <v>0</v>
      </c>
      <c r="DF58" s="87">
        <f t="shared" si="111"/>
        <v>0</v>
      </c>
      <c r="DG58" s="87">
        <f t="shared" si="112"/>
        <v>1445</v>
      </c>
      <c r="DH58" s="87">
        <f t="shared" si="113"/>
        <v>3075</v>
      </c>
      <c r="DI58" s="87">
        <f t="shared" si="114"/>
        <v>2336</v>
      </c>
      <c r="DJ58" s="87">
        <f t="shared" si="115"/>
        <v>1582</v>
      </c>
      <c r="DK58" s="86">
        <f t="shared" si="116"/>
        <v>1633</v>
      </c>
      <c r="DL58" s="87">
        <f t="shared" si="117"/>
        <v>2145</v>
      </c>
      <c r="DM58" s="87">
        <f t="shared" si="118"/>
        <v>1352</v>
      </c>
      <c r="DN58" s="87">
        <f t="shared" si="119"/>
        <v>977</v>
      </c>
      <c r="DO58" s="87">
        <f t="shared" si="120"/>
        <v>1807</v>
      </c>
      <c r="DP58" s="87">
        <f t="shared" si="121"/>
        <v>2598</v>
      </c>
      <c r="DQ58" s="87">
        <f t="shared" si="122"/>
        <v>4413</v>
      </c>
      <c r="DR58" s="87">
        <f t="shared" si="97"/>
        <v>149</v>
      </c>
      <c r="DS58" s="87">
        <f t="shared" si="98"/>
        <v>41</v>
      </c>
      <c r="DT58" s="87">
        <f t="shared" si="123"/>
        <v>8</v>
      </c>
      <c r="DU58" s="87">
        <f t="shared" si="124"/>
        <v>137.66666666666666</v>
      </c>
      <c r="DV58" s="87">
        <f t="shared" si="125"/>
        <v>0</v>
      </c>
      <c r="DW58" s="87">
        <f t="shared" si="126"/>
        <v>0</v>
      </c>
    </row>
    <row r="59" spans="1:127">
      <c r="A59" s="22" t="s">
        <v>146</v>
      </c>
      <c r="B59" s="26">
        <v>4987176365651</v>
      </c>
      <c r="C59" s="22" t="s">
        <v>5</v>
      </c>
      <c r="D59" s="22" t="s">
        <v>143</v>
      </c>
      <c r="E59" s="22">
        <v>277901</v>
      </c>
      <c r="F59" s="80" t="s">
        <v>168</v>
      </c>
      <c r="G59" s="25">
        <v>52.670833333333327</v>
      </c>
      <c r="H59" s="85">
        <f t="shared" si="67"/>
        <v>0</v>
      </c>
      <c r="I59" s="85">
        <f t="shared" si="68"/>
        <v>0</v>
      </c>
      <c r="J59" s="85">
        <f t="shared" si="69"/>
        <v>0</v>
      </c>
      <c r="K59" s="85">
        <f t="shared" si="70"/>
        <v>0</v>
      </c>
      <c r="L59" s="85">
        <f t="shared" si="71"/>
        <v>0</v>
      </c>
      <c r="M59" s="86">
        <f t="shared" si="72"/>
        <v>0</v>
      </c>
      <c r="N59" s="87">
        <f t="shared" si="73"/>
        <v>0</v>
      </c>
      <c r="O59" s="87">
        <f t="shared" si="74"/>
        <v>0</v>
      </c>
      <c r="P59" s="87">
        <f t="shared" si="75"/>
        <v>0</v>
      </c>
      <c r="Q59" s="87">
        <f t="shared" si="76"/>
        <v>0</v>
      </c>
      <c r="R59" s="87">
        <f t="shared" si="77"/>
        <v>0</v>
      </c>
      <c r="S59" s="87">
        <f t="shared" si="78"/>
        <v>0</v>
      </c>
      <c r="T59" s="87">
        <f t="shared" si="79"/>
        <v>0</v>
      </c>
      <c r="U59" s="87">
        <f t="shared" si="80"/>
        <v>0</v>
      </c>
      <c r="V59" s="87">
        <f t="shared" si="81"/>
        <v>0</v>
      </c>
      <c r="W59" s="87">
        <f t="shared" si="82"/>
        <v>0</v>
      </c>
      <c r="X59" s="87">
        <f t="shared" si="83"/>
        <v>0</v>
      </c>
      <c r="Y59" s="86">
        <f t="shared" si="84"/>
        <v>0</v>
      </c>
      <c r="Z59" s="87">
        <f t="shared" si="85"/>
        <v>0</v>
      </c>
      <c r="AA59" s="87">
        <f t="shared" si="86"/>
        <v>0</v>
      </c>
      <c r="AB59" s="87">
        <f t="shared" si="87"/>
        <v>0</v>
      </c>
      <c r="AC59" s="87">
        <f t="shared" si="88"/>
        <v>0</v>
      </c>
      <c r="AD59" s="87">
        <f t="shared" si="89"/>
        <v>368.69583333333327</v>
      </c>
      <c r="AE59" s="87">
        <f t="shared" si="90"/>
        <v>47719.774999999994</v>
      </c>
      <c r="AF59" s="87">
        <f t="shared" si="91"/>
        <v>47456.42083333333</v>
      </c>
      <c r="AG59" s="87">
        <f t="shared" si="92"/>
        <v>31286.474999999995</v>
      </c>
      <c r="AH59" s="87">
        <f t="shared" si="93"/>
        <v>19962.245833333331</v>
      </c>
      <c r="AI59" s="87">
        <f t="shared" si="94"/>
        <v>23994.490740740737</v>
      </c>
      <c r="AJ59" s="87">
        <f t="shared" si="95"/>
        <v>0</v>
      </c>
      <c r="AK59" s="86">
        <f t="shared" si="96"/>
        <v>0</v>
      </c>
      <c r="AL59" s="85">
        <v>0</v>
      </c>
      <c r="AM59" s="85">
        <v>0</v>
      </c>
      <c r="AN59" s="85">
        <v>0</v>
      </c>
      <c r="AO59" s="85">
        <v>0</v>
      </c>
      <c r="AP59" s="85">
        <v>0</v>
      </c>
      <c r="AQ59" s="86">
        <v>0</v>
      </c>
      <c r="AR59" s="87">
        <v>0</v>
      </c>
      <c r="AS59" s="87">
        <v>0</v>
      </c>
      <c r="AT59" s="87">
        <v>0</v>
      </c>
      <c r="AU59" s="87">
        <v>0</v>
      </c>
      <c r="AV59" s="87">
        <v>0</v>
      </c>
      <c r="AW59" s="87">
        <v>0</v>
      </c>
      <c r="AX59" s="87">
        <v>0</v>
      </c>
      <c r="AY59" s="87">
        <v>0</v>
      </c>
      <c r="AZ59" s="87">
        <v>0</v>
      </c>
      <c r="BA59" s="87">
        <v>0</v>
      </c>
      <c r="BB59" s="87">
        <v>0</v>
      </c>
      <c r="BC59" s="86">
        <v>0</v>
      </c>
      <c r="BD59" s="87">
        <v>0</v>
      </c>
      <c r="BE59" s="87">
        <v>0</v>
      </c>
      <c r="BF59" s="87">
        <v>0</v>
      </c>
      <c r="BG59" s="87">
        <v>0</v>
      </c>
      <c r="BH59" s="87">
        <v>0</v>
      </c>
      <c r="BI59" s="87">
        <v>865</v>
      </c>
      <c r="BJ59" s="40">
        <v>901</v>
      </c>
      <c r="BK59" s="40">
        <v>593</v>
      </c>
      <c r="BL59" s="40">
        <v>378</v>
      </c>
      <c r="BM59" s="40">
        <v>450</v>
      </c>
      <c r="BO59" s="86"/>
      <c r="CA59" s="21">
        <v>0</v>
      </c>
      <c r="CB59" s="21">
        <v>0</v>
      </c>
      <c r="CC59" s="21">
        <v>0</v>
      </c>
      <c r="CD59" s="21">
        <v>0</v>
      </c>
      <c r="CE59" s="21">
        <v>0</v>
      </c>
      <c r="CF59" s="21">
        <v>0</v>
      </c>
      <c r="CG59" s="42">
        <v>0</v>
      </c>
      <c r="CH59" s="21">
        <v>0</v>
      </c>
      <c r="CI59" s="21">
        <v>0</v>
      </c>
      <c r="CJ59" s="21">
        <v>0</v>
      </c>
      <c r="CK59" s="21">
        <v>0</v>
      </c>
      <c r="CL59" s="21">
        <v>7</v>
      </c>
      <c r="CM59" s="21">
        <v>41</v>
      </c>
      <c r="CN59" s="21">
        <v>0</v>
      </c>
      <c r="CO59" s="21">
        <v>1</v>
      </c>
      <c r="CP59" s="21">
        <f t="shared" si="64"/>
        <v>1</v>
      </c>
      <c r="CQ59" s="344">
        <f t="shared" si="65"/>
        <v>5.5555555555555554</v>
      </c>
      <c r="CR59" s="87"/>
      <c r="CS59" s="86"/>
      <c r="CT59" s="85">
        <f t="shared" si="99"/>
        <v>0</v>
      </c>
      <c r="CU59" s="85">
        <f t="shared" si="100"/>
        <v>0</v>
      </c>
      <c r="CV59" s="85">
        <f t="shared" si="101"/>
        <v>0</v>
      </c>
      <c r="CW59" s="85">
        <f t="shared" si="102"/>
        <v>0</v>
      </c>
      <c r="CX59" s="85">
        <f t="shared" si="103"/>
        <v>0</v>
      </c>
      <c r="CY59" s="86">
        <f t="shared" si="104"/>
        <v>0</v>
      </c>
      <c r="CZ59" s="87">
        <f t="shared" si="105"/>
        <v>0</v>
      </c>
      <c r="DA59" s="87">
        <f t="shared" si="106"/>
        <v>0</v>
      </c>
      <c r="DB59" s="87">
        <f t="shared" si="107"/>
        <v>0</v>
      </c>
      <c r="DC59" s="87">
        <f t="shared" si="108"/>
        <v>0</v>
      </c>
      <c r="DD59" s="87">
        <f t="shared" si="109"/>
        <v>0</v>
      </c>
      <c r="DE59" s="87">
        <f t="shared" si="110"/>
        <v>0</v>
      </c>
      <c r="DF59" s="87">
        <f t="shared" si="111"/>
        <v>0</v>
      </c>
      <c r="DG59" s="87">
        <f t="shared" si="112"/>
        <v>0</v>
      </c>
      <c r="DH59" s="87">
        <f t="shared" si="113"/>
        <v>0</v>
      </c>
      <c r="DI59" s="87">
        <f t="shared" si="114"/>
        <v>0</v>
      </c>
      <c r="DJ59" s="87">
        <f t="shared" si="115"/>
        <v>0</v>
      </c>
      <c r="DK59" s="86">
        <f t="shared" si="116"/>
        <v>0</v>
      </c>
      <c r="DL59" s="87">
        <f t="shared" si="117"/>
        <v>0</v>
      </c>
      <c r="DM59" s="87">
        <f t="shared" si="118"/>
        <v>0</v>
      </c>
      <c r="DN59" s="87">
        <f t="shared" si="119"/>
        <v>0</v>
      </c>
      <c r="DO59" s="87">
        <f t="shared" si="120"/>
        <v>0</v>
      </c>
      <c r="DP59" s="87">
        <f t="shared" si="121"/>
        <v>7</v>
      </c>
      <c r="DQ59" s="87">
        <f t="shared" si="122"/>
        <v>906</v>
      </c>
      <c r="DR59" s="87">
        <f t="shared" si="97"/>
        <v>901</v>
      </c>
      <c r="DS59" s="87">
        <f t="shared" si="98"/>
        <v>594</v>
      </c>
      <c r="DT59" s="87">
        <f t="shared" si="123"/>
        <v>379</v>
      </c>
      <c r="DU59" s="87">
        <f t="shared" si="124"/>
        <v>455.55555555555554</v>
      </c>
      <c r="DV59" s="87">
        <f t="shared" si="125"/>
        <v>0</v>
      </c>
      <c r="DW59" s="87">
        <f t="shared" si="126"/>
        <v>0</v>
      </c>
    </row>
    <row r="60" spans="1:127">
      <c r="A60" s="22" t="s">
        <v>4</v>
      </c>
      <c r="B60" s="26">
        <v>4987176365644</v>
      </c>
      <c r="C60" s="22" t="s">
        <v>5</v>
      </c>
      <c r="D60" s="22" t="s">
        <v>143</v>
      </c>
      <c r="E60" s="22">
        <v>278106</v>
      </c>
      <c r="F60" s="80" t="s">
        <v>169</v>
      </c>
      <c r="G60" s="25">
        <v>281.11111111111109</v>
      </c>
      <c r="H60" s="85">
        <f t="shared" si="67"/>
        <v>0</v>
      </c>
      <c r="I60" s="85">
        <f t="shared" si="68"/>
        <v>0</v>
      </c>
      <c r="J60" s="85">
        <f t="shared" si="69"/>
        <v>0</v>
      </c>
      <c r="K60" s="85">
        <f t="shared" si="70"/>
        <v>0</v>
      </c>
      <c r="L60" s="85">
        <f t="shared" si="71"/>
        <v>0</v>
      </c>
      <c r="M60" s="86">
        <f t="shared" si="72"/>
        <v>0</v>
      </c>
      <c r="N60" s="87">
        <f t="shared" si="73"/>
        <v>0</v>
      </c>
      <c r="O60" s="87">
        <f t="shared" si="74"/>
        <v>0</v>
      </c>
      <c r="P60" s="87">
        <f t="shared" si="75"/>
        <v>0</v>
      </c>
      <c r="Q60" s="87">
        <f t="shared" si="76"/>
        <v>0</v>
      </c>
      <c r="R60" s="87">
        <f t="shared" si="77"/>
        <v>0</v>
      </c>
      <c r="S60" s="87">
        <f t="shared" si="78"/>
        <v>0</v>
      </c>
      <c r="T60" s="87">
        <f t="shared" si="79"/>
        <v>0</v>
      </c>
      <c r="U60" s="87">
        <f t="shared" si="80"/>
        <v>0</v>
      </c>
      <c r="V60" s="87">
        <f t="shared" si="81"/>
        <v>0</v>
      </c>
      <c r="W60" s="87">
        <f t="shared" si="82"/>
        <v>0</v>
      </c>
      <c r="X60" s="87">
        <f t="shared" si="83"/>
        <v>0</v>
      </c>
      <c r="Y60" s="86">
        <f t="shared" si="84"/>
        <v>0</v>
      </c>
      <c r="Z60" s="87">
        <f t="shared" si="85"/>
        <v>0</v>
      </c>
      <c r="AA60" s="87">
        <f t="shared" si="86"/>
        <v>0</v>
      </c>
      <c r="AB60" s="87">
        <f t="shared" si="87"/>
        <v>0</v>
      </c>
      <c r="AC60" s="87">
        <f t="shared" si="88"/>
        <v>0</v>
      </c>
      <c r="AD60" s="87">
        <f t="shared" si="89"/>
        <v>1967.7777777777776</v>
      </c>
      <c r="AE60" s="87">
        <f t="shared" si="90"/>
        <v>393836.66666666663</v>
      </c>
      <c r="AF60" s="87">
        <f t="shared" si="91"/>
        <v>737354.44444444438</v>
      </c>
      <c r="AG60" s="87">
        <f t="shared" si="92"/>
        <v>597642.22222222213</v>
      </c>
      <c r="AH60" s="87">
        <f t="shared" si="93"/>
        <v>487727.77777777775</v>
      </c>
      <c r="AI60" s="87">
        <f t="shared" si="94"/>
        <v>623941.72839506168</v>
      </c>
      <c r="AJ60" s="87">
        <f t="shared" si="95"/>
        <v>0</v>
      </c>
      <c r="AK60" s="86">
        <f t="shared" si="96"/>
        <v>0</v>
      </c>
      <c r="AL60" s="85">
        <v>0</v>
      </c>
      <c r="AM60" s="85">
        <v>0</v>
      </c>
      <c r="AN60" s="85">
        <v>0</v>
      </c>
      <c r="AO60" s="85">
        <v>0</v>
      </c>
      <c r="AP60" s="85">
        <v>0</v>
      </c>
      <c r="AQ60" s="86">
        <v>0</v>
      </c>
      <c r="AR60" s="87">
        <v>0</v>
      </c>
      <c r="AS60" s="87">
        <v>0</v>
      </c>
      <c r="AT60" s="87">
        <v>0</v>
      </c>
      <c r="AU60" s="87">
        <v>0</v>
      </c>
      <c r="AV60" s="87">
        <v>0</v>
      </c>
      <c r="AW60" s="87">
        <v>0</v>
      </c>
      <c r="AX60" s="87">
        <v>0</v>
      </c>
      <c r="AY60" s="87">
        <v>0</v>
      </c>
      <c r="AZ60" s="87">
        <v>0</v>
      </c>
      <c r="BA60" s="87">
        <v>0</v>
      </c>
      <c r="BB60" s="87">
        <v>0</v>
      </c>
      <c r="BC60" s="86">
        <v>0</v>
      </c>
      <c r="BD60" s="87">
        <v>0</v>
      </c>
      <c r="BE60" s="87">
        <v>0</v>
      </c>
      <c r="BF60" s="87">
        <v>0</v>
      </c>
      <c r="BG60" s="87">
        <v>0</v>
      </c>
      <c r="BH60" s="87">
        <v>0</v>
      </c>
      <c r="BI60" s="87">
        <v>1285</v>
      </c>
      <c r="BJ60" s="40">
        <v>2369</v>
      </c>
      <c r="BK60" s="40">
        <v>2096</v>
      </c>
      <c r="BL60" s="40">
        <v>1705</v>
      </c>
      <c r="BM60" s="40">
        <v>2171</v>
      </c>
      <c r="BO60" s="86"/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42">
        <v>0</v>
      </c>
      <c r="CH60" s="21">
        <v>0</v>
      </c>
      <c r="CI60" s="21">
        <v>0</v>
      </c>
      <c r="CJ60" s="21">
        <v>0</v>
      </c>
      <c r="CK60" s="21">
        <v>0</v>
      </c>
      <c r="CL60" s="21">
        <v>7</v>
      </c>
      <c r="CM60" s="21">
        <v>116</v>
      </c>
      <c r="CN60" s="21">
        <v>254</v>
      </c>
      <c r="CO60" s="21">
        <v>30</v>
      </c>
      <c r="CP60" s="21">
        <f t="shared" si="64"/>
        <v>30</v>
      </c>
      <c r="CQ60" s="344">
        <f t="shared" si="65"/>
        <v>48.555555555555557</v>
      </c>
      <c r="CR60" s="87"/>
      <c r="CS60" s="86"/>
      <c r="CT60" s="85">
        <f t="shared" si="99"/>
        <v>0</v>
      </c>
      <c r="CU60" s="85">
        <f t="shared" si="100"/>
        <v>0</v>
      </c>
      <c r="CV60" s="85">
        <f t="shared" si="101"/>
        <v>0</v>
      </c>
      <c r="CW60" s="85">
        <f t="shared" si="102"/>
        <v>0</v>
      </c>
      <c r="CX60" s="85">
        <f t="shared" si="103"/>
        <v>0</v>
      </c>
      <c r="CY60" s="86">
        <f t="shared" si="104"/>
        <v>0</v>
      </c>
      <c r="CZ60" s="87">
        <f t="shared" si="105"/>
        <v>0</v>
      </c>
      <c r="DA60" s="87">
        <f t="shared" si="106"/>
        <v>0</v>
      </c>
      <c r="DB60" s="87">
        <f t="shared" si="107"/>
        <v>0</v>
      </c>
      <c r="DC60" s="87">
        <f t="shared" si="108"/>
        <v>0</v>
      </c>
      <c r="DD60" s="87">
        <f t="shared" si="109"/>
        <v>0</v>
      </c>
      <c r="DE60" s="87">
        <f t="shared" si="110"/>
        <v>0</v>
      </c>
      <c r="DF60" s="87">
        <f t="shared" si="111"/>
        <v>0</v>
      </c>
      <c r="DG60" s="87">
        <f t="shared" si="112"/>
        <v>0</v>
      </c>
      <c r="DH60" s="87">
        <f t="shared" si="113"/>
        <v>0</v>
      </c>
      <c r="DI60" s="87">
        <f t="shared" si="114"/>
        <v>0</v>
      </c>
      <c r="DJ60" s="87">
        <f t="shared" si="115"/>
        <v>0</v>
      </c>
      <c r="DK60" s="86">
        <f t="shared" si="116"/>
        <v>0</v>
      </c>
      <c r="DL60" s="87">
        <f t="shared" si="117"/>
        <v>0</v>
      </c>
      <c r="DM60" s="87">
        <f t="shared" si="118"/>
        <v>0</v>
      </c>
      <c r="DN60" s="87">
        <f t="shared" si="119"/>
        <v>0</v>
      </c>
      <c r="DO60" s="87">
        <f t="shared" si="120"/>
        <v>0</v>
      </c>
      <c r="DP60" s="87">
        <f t="shared" si="121"/>
        <v>7</v>
      </c>
      <c r="DQ60" s="87">
        <f t="shared" si="122"/>
        <v>1401</v>
      </c>
      <c r="DR60" s="87">
        <f t="shared" si="97"/>
        <v>2623</v>
      </c>
      <c r="DS60" s="87">
        <f t="shared" si="98"/>
        <v>2126</v>
      </c>
      <c r="DT60" s="87">
        <f t="shared" si="123"/>
        <v>1735</v>
      </c>
      <c r="DU60" s="87">
        <f t="shared" si="124"/>
        <v>2219.5555555555557</v>
      </c>
      <c r="DV60" s="87">
        <f t="shared" si="125"/>
        <v>0</v>
      </c>
      <c r="DW60" s="87">
        <f t="shared" si="126"/>
        <v>0</v>
      </c>
    </row>
    <row r="61" spans="1:127">
      <c r="A61" s="22" t="s">
        <v>4</v>
      </c>
      <c r="B61" s="26">
        <v>4987176365613</v>
      </c>
      <c r="C61" s="22" t="s">
        <v>5</v>
      </c>
      <c r="D61" s="22" t="s">
        <v>143</v>
      </c>
      <c r="E61" s="22">
        <v>278110</v>
      </c>
      <c r="F61" s="80" t="s">
        <v>170</v>
      </c>
      <c r="G61" s="25">
        <v>281.11111111111109</v>
      </c>
      <c r="H61" s="85">
        <f t="shared" si="67"/>
        <v>0</v>
      </c>
      <c r="I61" s="85">
        <f t="shared" si="68"/>
        <v>0</v>
      </c>
      <c r="J61" s="85">
        <f t="shared" si="69"/>
        <v>0</v>
      </c>
      <c r="K61" s="85">
        <f t="shared" si="70"/>
        <v>0</v>
      </c>
      <c r="L61" s="85">
        <f t="shared" si="71"/>
        <v>0</v>
      </c>
      <c r="M61" s="86">
        <f t="shared" si="72"/>
        <v>0</v>
      </c>
      <c r="N61" s="87">
        <f t="shared" si="73"/>
        <v>0</v>
      </c>
      <c r="O61" s="87">
        <f t="shared" si="74"/>
        <v>0</v>
      </c>
      <c r="P61" s="87">
        <f t="shared" si="75"/>
        <v>0</v>
      </c>
      <c r="Q61" s="87">
        <f t="shared" si="76"/>
        <v>0</v>
      </c>
      <c r="R61" s="87">
        <f t="shared" si="77"/>
        <v>0</v>
      </c>
      <c r="S61" s="87">
        <f t="shared" si="78"/>
        <v>0</v>
      </c>
      <c r="T61" s="87">
        <f t="shared" si="79"/>
        <v>0</v>
      </c>
      <c r="U61" s="87">
        <f t="shared" si="80"/>
        <v>0</v>
      </c>
      <c r="V61" s="87">
        <f t="shared" si="81"/>
        <v>0</v>
      </c>
      <c r="W61" s="87">
        <f t="shared" si="82"/>
        <v>0</v>
      </c>
      <c r="X61" s="87">
        <f t="shared" si="83"/>
        <v>0</v>
      </c>
      <c r="Y61" s="86">
        <f t="shared" si="84"/>
        <v>0</v>
      </c>
      <c r="Z61" s="87">
        <f t="shared" si="85"/>
        <v>0</v>
      </c>
      <c r="AA61" s="87">
        <f t="shared" si="86"/>
        <v>0</v>
      </c>
      <c r="AB61" s="87">
        <f t="shared" si="87"/>
        <v>0</v>
      </c>
      <c r="AC61" s="87">
        <f t="shared" si="88"/>
        <v>0</v>
      </c>
      <c r="AD61" s="87">
        <f t="shared" si="89"/>
        <v>843.33333333333326</v>
      </c>
      <c r="AE61" s="87">
        <f t="shared" si="90"/>
        <v>125656.66666666666</v>
      </c>
      <c r="AF61" s="87">
        <f t="shared" si="91"/>
        <v>251594.44444444441</v>
      </c>
      <c r="AG61" s="87">
        <f t="shared" si="92"/>
        <v>198183.33333333331</v>
      </c>
      <c r="AH61" s="87">
        <f t="shared" si="93"/>
        <v>161357.77777777775</v>
      </c>
      <c r="AI61" s="87">
        <f t="shared" si="94"/>
        <v>198932.96296296295</v>
      </c>
      <c r="AJ61" s="87">
        <f t="shared" si="95"/>
        <v>0</v>
      </c>
      <c r="AK61" s="86">
        <f t="shared" si="96"/>
        <v>0</v>
      </c>
      <c r="AL61" s="85">
        <v>0</v>
      </c>
      <c r="AM61" s="85">
        <v>0</v>
      </c>
      <c r="AN61" s="85">
        <v>0</v>
      </c>
      <c r="AO61" s="85">
        <v>0</v>
      </c>
      <c r="AP61" s="85">
        <v>0</v>
      </c>
      <c r="AQ61" s="86">
        <v>0</v>
      </c>
      <c r="AR61" s="87">
        <v>0</v>
      </c>
      <c r="AS61" s="87">
        <v>0</v>
      </c>
      <c r="AT61" s="87">
        <v>0</v>
      </c>
      <c r="AU61" s="87">
        <v>0</v>
      </c>
      <c r="AV61" s="87">
        <v>0</v>
      </c>
      <c r="AW61" s="87">
        <v>0</v>
      </c>
      <c r="AX61" s="87">
        <v>0</v>
      </c>
      <c r="AY61" s="87">
        <v>0</v>
      </c>
      <c r="AZ61" s="87">
        <v>0</v>
      </c>
      <c r="BA61" s="87">
        <v>0</v>
      </c>
      <c r="BB61" s="87">
        <v>0</v>
      </c>
      <c r="BC61" s="86">
        <v>0</v>
      </c>
      <c r="BD61" s="87">
        <v>0</v>
      </c>
      <c r="BE61" s="87">
        <v>0</v>
      </c>
      <c r="BF61" s="87">
        <v>0</v>
      </c>
      <c r="BG61" s="87">
        <v>0</v>
      </c>
      <c r="BH61" s="87">
        <v>0</v>
      </c>
      <c r="BI61" s="87">
        <v>404</v>
      </c>
      <c r="BJ61" s="40">
        <v>831</v>
      </c>
      <c r="BK61" s="40">
        <v>703</v>
      </c>
      <c r="BL61" s="40">
        <v>572</v>
      </c>
      <c r="BM61" s="40">
        <v>695</v>
      </c>
      <c r="BO61" s="86"/>
      <c r="CA61" s="21">
        <v>0</v>
      </c>
      <c r="CB61" s="21">
        <v>0</v>
      </c>
      <c r="CC61" s="21">
        <v>0</v>
      </c>
      <c r="CD61" s="21">
        <v>0</v>
      </c>
      <c r="CE61" s="21">
        <v>0</v>
      </c>
      <c r="CF61" s="21">
        <v>0</v>
      </c>
      <c r="CG61" s="42">
        <v>0</v>
      </c>
      <c r="CH61" s="21">
        <v>0</v>
      </c>
      <c r="CI61" s="21">
        <v>0</v>
      </c>
      <c r="CJ61" s="21">
        <v>0</v>
      </c>
      <c r="CK61" s="21">
        <v>0</v>
      </c>
      <c r="CL61" s="21">
        <v>3</v>
      </c>
      <c r="CM61" s="21">
        <v>43</v>
      </c>
      <c r="CN61" s="21">
        <v>64</v>
      </c>
      <c r="CO61" s="21">
        <v>2</v>
      </c>
      <c r="CP61" s="21">
        <f t="shared" si="64"/>
        <v>2</v>
      </c>
      <c r="CQ61" s="344">
        <f t="shared" si="65"/>
        <v>12.666666666666666</v>
      </c>
      <c r="CR61" s="87"/>
      <c r="CS61" s="86"/>
      <c r="CT61" s="85">
        <f t="shared" si="99"/>
        <v>0</v>
      </c>
      <c r="CU61" s="85">
        <f t="shared" si="100"/>
        <v>0</v>
      </c>
      <c r="CV61" s="85">
        <f t="shared" si="101"/>
        <v>0</v>
      </c>
      <c r="CW61" s="85">
        <f t="shared" si="102"/>
        <v>0</v>
      </c>
      <c r="CX61" s="85">
        <f t="shared" si="103"/>
        <v>0</v>
      </c>
      <c r="CY61" s="86">
        <f t="shared" si="104"/>
        <v>0</v>
      </c>
      <c r="CZ61" s="87">
        <f t="shared" si="105"/>
        <v>0</v>
      </c>
      <c r="DA61" s="87">
        <f t="shared" si="106"/>
        <v>0</v>
      </c>
      <c r="DB61" s="87">
        <f t="shared" si="107"/>
        <v>0</v>
      </c>
      <c r="DC61" s="87">
        <f t="shared" si="108"/>
        <v>0</v>
      </c>
      <c r="DD61" s="87">
        <f t="shared" si="109"/>
        <v>0</v>
      </c>
      <c r="DE61" s="87">
        <f t="shared" si="110"/>
        <v>0</v>
      </c>
      <c r="DF61" s="87">
        <f t="shared" si="111"/>
        <v>0</v>
      </c>
      <c r="DG61" s="87">
        <f t="shared" si="112"/>
        <v>0</v>
      </c>
      <c r="DH61" s="87">
        <f t="shared" si="113"/>
        <v>0</v>
      </c>
      <c r="DI61" s="87">
        <f t="shared" si="114"/>
        <v>0</v>
      </c>
      <c r="DJ61" s="87">
        <f t="shared" si="115"/>
        <v>0</v>
      </c>
      <c r="DK61" s="86">
        <f t="shared" si="116"/>
        <v>0</v>
      </c>
      <c r="DL61" s="87">
        <f t="shared" si="117"/>
        <v>0</v>
      </c>
      <c r="DM61" s="87">
        <f t="shared" si="118"/>
        <v>0</v>
      </c>
      <c r="DN61" s="87">
        <f t="shared" si="119"/>
        <v>0</v>
      </c>
      <c r="DO61" s="87">
        <f t="shared" si="120"/>
        <v>0</v>
      </c>
      <c r="DP61" s="87">
        <f t="shared" si="121"/>
        <v>3</v>
      </c>
      <c r="DQ61" s="87">
        <f t="shared" si="122"/>
        <v>447</v>
      </c>
      <c r="DR61" s="87">
        <f t="shared" si="97"/>
        <v>895</v>
      </c>
      <c r="DS61" s="87">
        <f t="shared" si="98"/>
        <v>705</v>
      </c>
      <c r="DT61" s="87">
        <f t="shared" si="123"/>
        <v>574</v>
      </c>
      <c r="DU61" s="87">
        <f t="shared" si="124"/>
        <v>707.66666666666663</v>
      </c>
      <c r="DV61" s="87">
        <f t="shared" si="125"/>
        <v>0</v>
      </c>
      <c r="DW61" s="87">
        <f t="shared" si="126"/>
        <v>0</v>
      </c>
    </row>
    <row r="62" spans="1:127">
      <c r="A62" s="22" t="s">
        <v>4</v>
      </c>
      <c r="B62" s="26">
        <v>4987176365637</v>
      </c>
      <c r="C62" s="22" t="s">
        <v>5</v>
      </c>
      <c r="D62" s="22" t="s">
        <v>143</v>
      </c>
      <c r="E62" s="22">
        <v>277987</v>
      </c>
      <c r="F62" s="80" t="s">
        <v>171</v>
      </c>
      <c r="G62" s="25">
        <v>281.11111111111109</v>
      </c>
      <c r="H62" s="85">
        <f t="shared" si="67"/>
        <v>0</v>
      </c>
      <c r="I62" s="85">
        <f t="shared" si="68"/>
        <v>0</v>
      </c>
      <c r="J62" s="85">
        <f t="shared" si="69"/>
        <v>0</v>
      </c>
      <c r="K62" s="85">
        <f t="shared" si="70"/>
        <v>0</v>
      </c>
      <c r="L62" s="85">
        <f t="shared" si="71"/>
        <v>0</v>
      </c>
      <c r="M62" s="86">
        <f t="shared" si="72"/>
        <v>0</v>
      </c>
      <c r="N62" s="87">
        <f t="shared" si="73"/>
        <v>0</v>
      </c>
      <c r="O62" s="87">
        <f t="shared" si="74"/>
        <v>0</v>
      </c>
      <c r="P62" s="87">
        <f t="shared" si="75"/>
        <v>0</v>
      </c>
      <c r="Q62" s="87">
        <f t="shared" si="76"/>
        <v>0</v>
      </c>
      <c r="R62" s="87">
        <f t="shared" si="77"/>
        <v>0</v>
      </c>
      <c r="S62" s="87">
        <f t="shared" si="78"/>
        <v>0</v>
      </c>
      <c r="T62" s="87">
        <f t="shared" si="79"/>
        <v>0</v>
      </c>
      <c r="U62" s="87">
        <f t="shared" si="80"/>
        <v>0</v>
      </c>
      <c r="V62" s="87">
        <f t="shared" si="81"/>
        <v>0</v>
      </c>
      <c r="W62" s="87">
        <f t="shared" si="82"/>
        <v>0</v>
      </c>
      <c r="X62" s="87">
        <f t="shared" si="83"/>
        <v>0</v>
      </c>
      <c r="Y62" s="86">
        <f t="shared" si="84"/>
        <v>0</v>
      </c>
      <c r="Z62" s="87">
        <f t="shared" si="85"/>
        <v>0</v>
      </c>
      <c r="AA62" s="87">
        <f t="shared" si="86"/>
        <v>0</v>
      </c>
      <c r="AB62" s="87">
        <f t="shared" si="87"/>
        <v>0</v>
      </c>
      <c r="AC62" s="87">
        <f t="shared" si="88"/>
        <v>0</v>
      </c>
      <c r="AD62" s="87">
        <f t="shared" si="89"/>
        <v>3373.333333333333</v>
      </c>
      <c r="AE62" s="87">
        <f t="shared" si="90"/>
        <v>408173.33333333331</v>
      </c>
      <c r="AF62" s="87">
        <f t="shared" si="91"/>
        <v>662016.66666666663</v>
      </c>
      <c r="AG62" s="87">
        <f t="shared" si="92"/>
        <v>434878.88888888888</v>
      </c>
      <c r="AH62" s="87">
        <f t="shared" si="93"/>
        <v>330024.44444444444</v>
      </c>
      <c r="AI62" s="87">
        <f t="shared" si="94"/>
        <v>414232.83950617281</v>
      </c>
      <c r="AJ62" s="87">
        <f t="shared" si="95"/>
        <v>0</v>
      </c>
      <c r="AK62" s="86">
        <f t="shared" si="96"/>
        <v>0</v>
      </c>
      <c r="AL62" s="85">
        <v>0</v>
      </c>
      <c r="AM62" s="85">
        <v>0</v>
      </c>
      <c r="AN62" s="85">
        <v>0</v>
      </c>
      <c r="AO62" s="85">
        <v>0</v>
      </c>
      <c r="AP62" s="85">
        <v>0</v>
      </c>
      <c r="AQ62" s="86">
        <v>0</v>
      </c>
      <c r="AR62" s="87">
        <v>0</v>
      </c>
      <c r="AS62" s="87">
        <v>0</v>
      </c>
      <c r="AT62" s="87">
        <v>0</v>
      </c>
      <c r="AU62" s="87">
        <v>0</v>
      </c>
      <c r="AV62" s="87">
        <v>0</v>
      </c>
      <c r="AW62" s="87">
        <v>0</v>
      </c>
      <c r="AX62" s="87">
        <v>0</v>
      </c>
      <c r="AY62" s="87">
        <v>0</v>
      </c>
      <c r="AZ62" s="87">
        <v>0</v>
      </c>
      <c r="BA62" s="87">
        <v>0</v>
      </c>
      <c r="BB62" s="87">
        <v>0</v>
      </c>
      <c r="BC62" s="86">
        <v>0</v>
      </c>
      <c r="BD62" s="87">
        <v>0</v>
      </c>
      <c r="BE62" s="87">
        <v>0</v>
      </c>
      <c r="BF62" s="87">
        <v>0</v>
      </c>
      <c r="BG62" s="87">
        <v>0</v>
      </c>
      <c r="BH62" s="87">
        <v>0</v>
      </c>
      <c r="BI62" s="87">
        <v>1169</v>
      </c>
      <c r="BJ62" s="40">
        <v>2043</v>
      </c>
      <c r="BK62" s="40">
        <v>1506</v>
      </c>
      <c r="BL62" s="40">
        <v>1133</v>
      </c>
      <c r="BM62" s="40">
        <v>1397</v>
      </c>
      <c r="BO62" s="86"/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42">
        <v>0</v>
      </c>
      <c r="CH62" s="21">
        <v>0</v>
      </c>
      <c r="CI62" s="21">
        <v>0</v>
      </c>
      <c r="CJ62" s="21">
        <v>0</v>
      </c>
      <c r="CK62" s="21">
        <v>0</v>
      </c>
      <c r="CL62" s="21">
        <v>12</v>
      </c>
      <c r="CM62" s="21">
        <v>283</v>
      </c>
      <c r="CN62" s="21">
        <v>312</v>
      </c>
      <c r="CO62" s="21">
        <v>41</v>
      </c>
      <c r="CP62" s="21">
        <f t="shared" si="64"/>
        <v>41</v>
      </c>
      <c r="CQ62" s="344">
        <f t="shared" si="65"/>
        <v>76.555555555555557</v>
      </c>
      <c r="CR62" s="87"/>
      <c r="CS62" s="86"/>
      <c r="CT62" s="85">
        <f t="shared" si="99"/>
        <v>0</v>
      </c>
      <c r="CU62" s="85">
        <f t="shared" si="100"/>
        <v>0</v>
      </c>
      <c r="CV62" s="85">
        <f t="shared" si="101"/>
        <v>0</v>
      </c>
      <c r="CW62" s="85">
        <f t="shared" si="102"/>
        <v>0</v>
      </c>
      <c r="CX62" s="85">
        <f t="shared" si="103"/>
        <v>0</v>
      </c>
      <c r="CY62" s="86">
        <f t="shared" si="104"/>
        <v>0</v>
      </c>
      <c r="CZ62" s="87">
        <f t="shared" si="105"/>
        <v>0</v>
      </c>
      <c r="DA62" s="87">
        <f t="shared" si="106"/>
        <v>0</v>
      </c>
      <c r="DB62" s="87">
        <f t="shared" si="107"/>
        <v>0</v>
      </c>
      <c r="DC62" s="87">
        <f t="shared" si="108"/>
        <v>0</v>
      </c>
      <c r="DD62" s="87">
        <f t="shared" si="109"/>
        <v>0</v>
      </c>
      <c r="DE62" s="87">
        <f t="shared" si="110"/>
        <v>0</v>
      </c>
      <c r="DF62" s="87">
        <f t="shared" si="111"/>
        <v>0</v>
      </c>
      <c r="DG62" s="87">
        <f t="shared" si="112"/>
        <v>0</v>
      </c>
      <c r="DH62" s="87">
        <f t="shared" si="113"/>
        <v>0</v>
      </c>
      <c r="DI62" s="87">
        <f t="shared" si="114"/>
        <v>0</v>
      </c>
      <c r="DJ62" s="87">
        <f t="shared" si="115"/>
        <v>0</v>
      </c>
      <c r="DK62" s="86">
        <f t="shared" si="116"/>
        <v>0</v>
      </c>
      <c r="DL62" s="87">
        <f t="shared" si="117"/>
        <v>0</v>
      </c>
      <c r="DM62" s="87">
        <f t="shared" si="118"/>
        <v>0</v>
      </c>
      <c r="DN62" s="87">
        <f t="shared" si="119"/>
        <v>0</v>
      </c>
      <c r="DO62" s="87">
        <f t="shared" si="120"/>
        <v>0</v>
      </c>
      <c r="DP62" s="87">
        <f t="shared" si="121"/>
        <v>12</v>
      </c>
      <c r="DQ62" s="87">
        <f t="shared" si="122"/>
        <v>1452</v>
      </c>
      <c r="DR62" s="87">
        <f t="shared" si="97"/>
        <v>2355</v>
      </c>
      <c r="DS62" s="87">
        <f t="shared" si="98"/>
        <v>1547</v>
      </c>
      <c r="DT62" s="87">
        <f t="shared" si="123"/>
        <v>1174</v>
      </c>
      <c r="DU62" s="87">
        <f t="shared" si="124"/>
        <v>1473.5555555555557</v>
      </c>
      <c r="DV62" s="87">
        <f t="shared" si="125"/>
        <v>0</v>
      </c>
      <c r="DW62" s="87">
        <f t="shared" si="126"/>
        <v>0</v>
      </c>
    </row>
    <row r="63" spans="1:127">
      <c r="A63" s="22" t="s">
        <v>4</v>
      </c>
      <c r="B63" s="26">
        <v>4987176365545</v>
      </c>
      <c r="C63" s="22" t="s">
        <v>5</v>
      </c>
      <c r="D63" s="22" t="s">
        <v>143</v>
      </c>
      <c r="E63" s="22">
        <v>277955</v>
      </c>
      <c r="F63" s="80" t="s">
        <v>172</v>
      </c>
      <c r="G63" s="25">
        <v>281.11111111111109</v>
      </c>
      <c r="H63" s="85">
        <f t="shared" si="67"/>
        <v>0</v>
      </c>
      <c r="I63" s="85">
        <f t="shared" si="68"/>
        <v>0</v>
      </c>
      <c r="J63" s="85">
        <f t="shared" si="69"/>
        <v>0</v>
      </c>
      <c r="K63" s="85">
        <f t="shared" si="70"/>
        <v>0</v>
      </c>
      <c r="L63" s="85">
        <f t="shared" si="71"/>
        <v>0</v>
      </c>
      <c r="M63" s="86">
        <f t="shared" si="72"/>
        <v>0</v>
      </c>
      <c r="N63" s="87">
        <f t="shared" si="73"/>
        <v>0</v>
      </c>
      <c r="O63" s="87">
        <f t="shared" si="74"/>
        <v>0</v>
      </c>
      <c r="P63" s="87">
        <f t="shared" si="75"/>
        <v>0</v>
      </c>
      <c r="Q63" s="87">
        <f t="shared" si="76"/>
        <v>0</v>
      </c>
      <c r="R63" s="87">
        <f t="shared" si="77"/>
        <v>0</v>
      </c>
      <c r="S63" s="87">
        <f t="shared" si="78"/>
        <v>0</v>
      </c>
      <c r="T63" s="87">
        <f t="shared" si="79"/>
        <v>0</v>
      </c>
      <c r="U63" s="87">
        <f t="shared" si="80"/>
        <v>0</v>
      </c>
      <c r="V63" s="87">
        <f t="shared" si="81"/>
        <v>0</v>
      </c>
      <c r="W63" s="87">
        <f t="shared" si="82"/>
        <v>0</v>
      </c>
      <c r="X63" s="87">
        <f t="shared" si="83"/>
        <v>0</v>
      </c>
      <c r="Y63" s="86">
        <f t="shared" si="84"/>
        <v>0</v>
      </c>
      <c r="Z63" s="87">
        <f t="shared" si="85"/>
        <v>0</v>
      </c>
      <c r="AA63" s="87">
        <f t="shared" si="86"/>
        <v>0</v>
      </c>
      <c r="AB63" s="87">
        <f t="shared" si="87"/>
        <v>0</v>
      </c>
      <c r="AC63" s="87">
        <f t="shared" si="88"/>
        <v>0</v>
      </c>
      <c r="AD63" s="87">
        <f t="shared" si="89"/>
        <v>3373.333333333333</v>
      </c>
      <c r="AE63" s="87">
        <f t="shared" si="90"/>
        <v>229386.66666666666</v>
      </c>
      <c r="AF63" s="87">
        <f t="shared" si="91"/>
        <v>394398.88888888888</v>
      </c>
      <c r="AG63" s="87">
        <f t="shared" si="92"/>
        <v>269585.5555555555</v>
      </c>
      <c r="AH63" s="87">
        <f t="shared" si="93"/>
        <v>206054.44444444444</v>
      </c>
      <c r="AI63" s="87">
        <f t="shared" si="94"/>
        <v>279143.33333333331</v>
      </c>
      <c r="AJ63" s="87">
        <f t="shared" si="95"/>
        <v>0</v>
      </c>
      <c r="AK63" s="86">
        <f t="shared" si="96"/>
        <v>0</v>
      </c>
      <c r="AL63" s="85">
        <v>0</v>
      </c>
      <c r="AM63" s="85">
        <v>0</v>
      </c>
      <c r="AN63" s="85">
        <v>0</v>
      </c>
      <c r="AO63" s="85">
        <v>0</v>
      </c>
      <c r="AP63" s="85">
        <v>0</v>
      </c>
      <c r="AQ63" s="86">
        <v>0</v>
      </c>
      <c r="AR63" s="87">
        <v>0</v>
      </c>
      <c r="AS63" s="87">
        <v>0</v>
      </c>
      <c r="AT63" s="87">
        <v>0</v>
      </c>
      <c r="AU63" s="87">
        <v>0</v>
      </c>
      <c r="AV63" s="87">
        <v>0</v>
      </c>
      <c r="AW63" s="87">
        <v>0</v>
      </c>
      <c r="AX63" s="87">
        <v>0</v>
      </c>
      <c r="AY63" s="87">
        <v>0</v>
      </c>
      <c r="AZ63" s="87">
        <v>0</v>
      </c>
      <c r="BA63" s="87">
        <v>0</v>
      </c>
      <c r="BB63" s="87">
        <v>0</v>
      </c>
      <c r="BC63" s="86">
        <v>0</v>
      </c>
      <c r="BD63" s="87">
        <v>0</v>
      </c>
      <c r="BE63" s="87">
        <v>0</v>
      </c>
      <c r="BF63" s="87">
        <v>0</v>
      </c>
      <c r="BG63" s="87">
        <v>0</v>
      </c>
      <c r="BH63" s="87">
        <v>0</v>
      </c>
      <c r="BI63" s="87">
        <v>650</v>
      </c>
      <c r="BJ63" s="40">
        <v>1236</v>
      </c>
      <c r="BK63" s="40">
        <v>938</v>
      </c>
      <c r="BL63" s="40">
        <v>712</v>
      </c>
      <c r="BM63" s="40">
        <v>950</v>
      </c>
      <c r="BO63" s="86"/>
      <c r="CA63" s="21">
        <v>0</v>
      </c>
      <c r="CB63" s="21">
        <v>0</v>
      </c>
      <c r="CC63" s="21">
        <v>0</v>
      </c>
      <c r="CD63" s="21">
        <v>0</v>
      </c>
      <c r="CE63" s="21">
        <v>0</v>
      </c>
      <c r="CF63" s="21">
        <v>0</v>
      </c>
      <c r="CG63" s="42">
        <v>0</v>
      </c>
      <c r="CH63" s="21">
        <v>0</v>
      </c>
      <c r="CI63" s="21">
        <v>0</v>
      </c>
      <c r="CJ63" s="21">
        <v>0</v>
      </c>
      <c r="CK63" s="21">
        <v>0</v>
      </c>
      <c r="CL63" s="21">
        <v>12</v>
      </c>
      <c r="CM63" s="21">
        <v>166</v>
      </c>
      <c r="CN63" s="21">
        <v>167</v>
      </c>
      <c r="CO63" s="21">
        <v>21</v>
      </c>
      <c r="CP63" s="21">
        <f t="shared" si="64"/>
        <v>21</v>
      </c>
      <c r="CQ63" s="344">
        <f t="shared" si="65"/>
        <v>43</v>
      </c>
      <c r="CR63" s="87"/>
      <c r="CS63" s="86"/>
      <c r="CT63" s="85">
        <f t="shared" si="99"/>
        <v>0</v>
      </c>
      <c r="CU63" s="85">
        <f t="shared" si="100"/>
        <v>0</v>
      </c>
      <c r="CV63" s="85">
        <f t="shared" si="101"/>
        <v>0</v>
      </c>
      <c r="CW63" s="85">
        <f t="shared" si="102"/>
        <v>0</v>
      </c>
      <c r="CX63" s="85">
        <f t="shared" si="103"/>
        <v>0</v>
      </c>
      <c r="CY63" s="86">
        <f t="shared" si="104"/>
        <v>0</v>
      </c>
      <c r="CZ63" s="87">
        <f t="shared" si="105"/>
        <v>0</v>
      </c>
      <c r="DA63" s="87">
        <f t="shared" si="106"/>
        <v>0</v>
      </c>
      <c r="DB63" s="87">
        <f t="shared" si="107"/>
        <v>0</v>
      </c>
      <c r="DC63" s="87">
        <f t="shared" si="108"/>
        <v>0</v>
      </c>
      <c r="DD63" s="87">
        <f t="shared" si="109"/>
        <v>0</v>
      </c>
      <c r="DE63" s="87">
        <f t="shared" si="110"/>
        <v>0</v>
      </c>
      <c r="DF63" s="87">
        <f t="shared" si="111"/>
        <v>0</v>
      </c>
      <c r="DG63" s="87">
        <f t="shared" si="112"/>
        <v>0</v>
      </c>
      <c r="DH63" s="87">
        <f t="shared" si="113"/>
        <v>0</v>
      </c>
      <c r="DI63" s="87">
        <f t="shared" si="114"/>
        <v>0</v>
      </c>
      <c r="DJ63" s="87">
        <f t="shared" si="115"/>
        <v>0</v>
      </c>
      <c r="DK63" s="86">
        <f t="shared" si="116"/>
        <v>0</v>
      </c>
      <c r="DL63" s="87">
        <f t="shared" si="117"/>
        <v>0</v>
      </c>
      <c r="DM63" s="87">
        <f t="shared" si="118"/>
        <v>0</v>
      </c>
      <c r="DN63" s="87">
        <f t="shared" si="119"/>
        <v>0</v>
      </c>
      <c r="DO63" s="87">
        <f t="shared" si="120"/>
        <v>0</v>
      </c>
      <c r="DP63" s="87">
        <f t="shared" si="121"/>
        <v>12</v>
      </c>
      <c r="DQ63" s="87">
        <f t="shared" si="122"/>
        <v>816</v>
      </c>
      <c r="DR63" s="87">
        <f t="shared" si="97"/>
        <v>1403</v>
      </c>
      <c r="DS63" s="87">
        <f t="shared" si="98"/>
        <v>959</v>
      </c>
      <c r="DT63" s="87">
        <f t="shared" si="123"/>
        <v>733</v>
      </c>
      <c r="DU63" s="87">
        <f t="shared" si="124"/>
        <v>993</v>
      </c>
      <c r="DV63" s="87">
        <f t="shared" si="125"/>
        <v>0</v>
      </c>
      <c r="DW63" s="87">
        <f t="shared" si="126"/>
        <v>0</v>
      </c>
    </row>
    <row r="64" spans="1:127">
      <c r="A64" s="22" t="s">
        <v>4</v>
      </c>
      <c r="B64" s="26">
        <v>4987176365590</v>
      </c>
      <c r="C64" s="22" t="s">
        <v>5</v>
      </c>
      <c r="D64" s="22" t="s">
        <v>143</v>
      </c>
      <c r="E64" s="22">
        <v>278059</v>
      </c>
      <c r="F64" s="80" t="s">
        <v>173</v>
      </c>
      <c r="G64" s="25">
        <v>281.11111111111109</v>
      </c>
      <c r="H64" s="85">
        <f t="shared" si="67"/>
        <v>0</v>
      </c>
      <c r="I64" s="85">
        <f t="shared" si="68"/>
        <v>0</v>
      </c>
      <c r="J64" s="85">
        <f t="shared" si="69"/>
        <v>0</v>
      </c>
      <c r="K64" s="85">
        <f t="shared" si="70"/>
        <v>0</v>
      </c>
      <c r="L64" s="85">
        <f t="shared" si="71"/>
        <v>0</v>
      </c>
      <c r="M64" s="86">
        <f t="shared" si="72"/>
        <v>0</v>
      </c>
      <c r="N64" s="87">
        <f t="shared" si="73"/>
        <v>0</v>
      </c>
      <c r="O64" s="87">
        <f t="shared" si="74"/>
        <v>0</v>
      </c>
      <c r="P64" s="87">
        <f t="shared" si="75"/>
        <v>0</v>
      </c>
      <c r="Q64" s="87">
        <f t="shared" si="76"/>
        <v>0</v>
      </c>
      <c r="R64" s="87">
        <f t="shared" si="77"/>
        <v>0</v>
      </c>
      <c r="S64" s="87">
        <f t="shared" si="78"/>
        <v>0</v>
      </c>
      <c r="T64" s="87">
        <f t="shared" si="79"/>
        <v>0</v>
      </c>
      <c r="U64" s="87">
        <f t="shared" si="80"/>
        <v>0</v>
      </c>
      <c r="V64" s="87">
        <f t="shared" si="81"/>
        <v>0</v>
      </c>
      <c r="W64" s="87">
        <f t="shared" si="82"/>
        <v>0</v>
      </c>
      <c r="X64" s="87">
        <f t="shared" si="83"/>
        <v>0</v>
      </c>
      <c r="Y64" s="86">
        <f t="shared" si="84"/>
        <v>0</v>
      </c>
      <c r="Z64" s="87">
        <f t="shared" si="85"/>
        <v>0</v>
      </c>
      <c r="AA64" s="87">
        <f t="shared" si="86"/>
        <v>0</v>
      </c>
      <c r="AB64" s="87">
        <f t="shared" si="87"/>
        <v>0</v>
      </c>
      <c r="AC64" s="87">
        <f t="shared" si="88"/>
        <v>0</v>
      </c>
      <c r="AD64" s="87">
        <f t="shared" si="89"/>
        <v>1405.5555555555554</v>
      </c>
      <c r="AE64" s="87">
        <f t="shared" si="90"/>
        <v>343517.77777777775</v>
      </c>
      <c r="AF64" s="87">
        <f t="shared" si="91"/>
        <v>619850</v>
      </c>
      <c r="AG64" s="87">
        <f t="shared" si="92"/>
        <v>506562.22222222219</v>
      </c>
      <c r="AH64" s="87">
        <f t="shared" si="93"/>
        <v>485478.88888888882</v>
      </c>
      <c r="AI64" s="87">
        <f t="shared" si="94"/>
        <v>562190.9876543209</v>
      </c>
      <c r="AJ64" s="87">
        <f t="shared" si="95"/>
        <v>0</v>
      </c>
      <c r="AK64" s="86">
        <f t="shared" si="96"/>
        <v>0</v>
      </c>
      <c r="AL64" s="85">
        <v>0</v>
      </c>
      <c r="AM64" s="85">
        <v>0</v>
      </c>
      <c r="AN64" s="85">
        <v>0</v>
      </c>
      <c r="AO64" s="85">
        <v>0</v>
      </c>
      <c r="AP64" s="85">
        <v>0</v>
      </c>
      <c r="AQ64" s="86">
        <v>0</v>
      </c>
      <c r="AR64" s="87">
        <v>0</v>
      </c>
      <c r="AS64" s="87">
        <v>0</v>
      </c>
      <c r="AT64" s="87">
        <v>0</v>
      </c>
      <c r="AU64" s="87">
        <v>0</v>
      </c>
      <c r="AV64" s="87">
        <v>0</v>
      </c>
      <c r="AW64" s="87">
        <v>0</v>
      </c>
      <c r="AX64" s="87">
        <v>0</v>
      </c>
      <c r="AY64" s="87">
        <v>0</v>
      </c>
      <c r="AZ64" s="87">
        <v>0</v>
      </c>
      <c r="BA64" s="87">
        <v>0</v>
      </c>
      <c r="BB64" s="87">
        <v>0</v>
      </c>
      <c r="BC64" s="86">
        <v>0</v>
      </c>
      <c r="BD64" s="87">
        <v>0</v>
      </c>
      <c r="BE64" s="87">
        <v>0</v>
      </c>
      <c r="BF64" s="87">
        <v>0</v>
      </c>
      <c r="BG64" s="87">
        <v>0</v>
      </c>
      <c r="BH64" s="87">
        <v>0</v>
      </c>
      <c r="BI64" s="87">
        <v>1111</v>
      </c>
      <c r="BJ64" s="40">
        <v>2037</v>
      </c>
      <c r="BK64" s="40">
        <v>1778</v>
      </c>
      <c r="BL64" s="40">
        <v>1703</v>
      </c>
      <c r="BM64" s="40">
        <v>1963</v>
      </c>
      <c r="BO64" s="86"/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42">
        <v>0</v>
      </c>
      <c r="CH64" s="21">
        <v>0</v>
      </c>
      <c r="CI64" s="21">
        <v>0</v>
      </c>
      <c r="CJ64" s="21">
        <v>0</v>
      </c>
      <c r="CK64" s="21">
        <v>0</v>
      </c>
      <c r="CL64" s="21">
        <v>5</v>
      </c>
      <c r="CM64" s="21">
        <v>111</v>
      </c>
      <c r="CN64" s="21">
        <v>168</v>
      </c>
      <c r="CO64" s="21">
        <v>24</v>
      </c>
      <c r="CP64" s="21">
        <f t="shared" si="64"/>
        <v>24</v>
      </c>
      <c r="CQ64" s="344">
        <f t="shared" si="65"/>
        <v>36.888888888888886</v>
      </c>
      <c r="CR64" s="87"/>
      <c r="CS64" s="86"/>
      <c r="CT64" s="85">
        <f t="shared" si="99"/>
        <v>0</v>
      </c>
      <c r="CU64" s="85">
        <f t="shared" si="100"/>
        <v>0</v>
      </c>
      <c r="CV64" s="85">
        <f t="shared" si="101"/>
        <v>0</v>
      </c>
      <c r="CW64" s="85">
        <f t="shared" si="102"/>
        <v>0</v>
      </c>
      <c r="CX64" s="85">
        <f t="shared" si="103"/>
        <v>0</v>
      </c>
      <c r="CY64" s="86">
        <f t="shared" si="104"/>
        <v>0</v>
      </c>
      <c r="CZ64" s="87">
        <f t="shared" si="105"/>
        <v>0</v>
      </c>
      <c r="DA64" s="87">
        <f t="shared" si="106"/>
        <v>0</v>
      </c>
      <c r="DB64" s="87">
        <f t="shared" si="107"/>
        <v>0</v>
      </c>
      <c r="DC64" s="87">
        <f t="shared" si="108"/>
        <v>0</v>
      </c>
      <c r="DD64" s="87">
        <f t="shared" si="109"/>
        <v>0</v>
      </c>
      <c r="DE64" s="87">
        <f t="shared" si="110"/>
        <v>0</v>
      </c>
      <c r="DF64" s="87">
        <f t="shared" si="111"/>
        <v>0</v>
      </c>
      <c r="DG64" s="87">
        <f t="shared" si="112"/>
        <v>0</v>
      </c>
      <c r="DH64" s="87">
        <f t="shared" si="113"/>
        <v>0</v>
      </c>
      <c r="DI64" s="87">
        <f t="shared" si="114"/>
        <v>0</v>
      </c>
      <c r="DJ64" s="87">
        <f t="shared" si="115"/>
        <v>0</v>
      </c>
      <c r="DK64" s="86">
        <f t="shared" si="116"/>
        <v>0</v>
      </c>
      <c r="DL64" s="87">
        <f t="shared" si="117"/>
        <v>0</v>
      </c>
      <c r="DM64" s="87">
        <f t="shared" si="118"/>
        <v>0</v>
      </c>
      <c r="DN64" s="87">
        <f t="shared" si="119"/>
        <v>0</v>
      </c>
      <c r="DO64" s="87">
        <f t="shared" si="120"/>
        <v>0</v>
      </c>
      <c r="DP64" s="87">
        <f t="shared" si="121"/>
        <v>5</v>
      </c>
      <c r="DQ64" s="87">
        <f t="shared" si="122"/>
        <v>1222</v>
      </c>
      <c r="DR64" s="87">
        <f t="shared" si="97"/>
        <v>2205</v>
      </c>
      <c r="DS64" s="87">
        <f t="shared" si="98"/>
        <v>1802</v>
      </c>
      <c r="DT64" s="87">
        <f t="shared" si="123"/>
        <v>1727</v>
      </c>
      <c r="DU64" s="87">
        <f t="shared" si="124"/>
        <v>1999.8888888888889</v>
      </c>
      <c r="DV64" s="87">
        <f t="shared" si="125"/>
        <v>0</v>
      </c>
      <c r="DW64" s="87">
        <f t="shared" si="126"/>
        <v>0</v>
      </c>
    </row>
    <row r="65" spans="1:127">
      <c r="A65" s="22" t="s">
        <v>4</v>
      </c>
      <c r="B65" s="26">
        <v>4987176365538</v>
      </c>
      <c r="C65" s="22" t="s">
        <v>5</v>
      </c>
      <c r="D65" s="22" t="s">
        <v>143</v>
      </c>
      <c r="E65" s="22">
        <v>278037</v>
      </c>
      <c r="F65" s="80" t="s">
        <v>174</v>
      </c>
      <c r="G65" s="25">
        <v>281.11111111111109</v>
      </c>
      <c r="H65" s="85">
        <f t="shared" si="67"/>
        <v>0</v>
      </c>
      <c r="I65" s="85">
        <f t="shared" si="68"/>
        <v>0</v>
      </c>
      <c r="J65" s="85">
        <f t="shared" si="69"/>
        <v>0</v>
      </c>
      <c r="K65" s="85">
        <f t="shared" si="70"/>
        <v>0</v>
      </c>
      <c r="L65" s="85">
        <f t="shared" si="71"/>
        <v>0</v>
      </c>
      <c r="M65" s="86">
        <f t="shared" si="72"/>
        <v>0</v>
      </c>
      <c r="N65" s="87">
        <f t="shared" si="73"/>
        <v>0</v>
      </c>
      <c r="O65" s="87">
        <f t="shared" si="74"/>
        <v>0</v>
      </c>
      <c r="P65" s="87">
        <f t="shared" si="75"/>
        <v>0</v>
      </c>
      <c r="Q65" s="87">
        <f t="shared" si="76"/>
        <v>0</v>
      </c>
      <c r="R65" s="87">
        <f t="shared" si="77"/>
        <v>0</v>
      </c>
      <c r="S65" s="87">
        <f t="shared" si="78"/>
        <v>0</v>
      </c>
      <c r="T65" s="87">
        <f t="shared" si="79"/>
        <v>0</v>
      </c>
      <c r="U65" s="87">
        <f t="shared" si="80"/>
        <v>0</v>
      </c>
      <c r="V65" s="87">
        <f t="shared" si="81"/>
        <v>0</v>
      </c>
      <c r="W65" s="87">
        <f t="shared" si="82"/>
        <v>0</v>
      </c>
      <c r="X65" s="87">
        <f t="shared" si="83"/>
        <v>0</v>
      </c>
      <c r="Y65" s="86">
        <f t="shared" si="84"/>
        <v>0</v>
      </c>
      <c r="Z65" s="87">
        <f t="shared" si="85"/>
        <v>0</v>
      </c>
      <c r="AA65" s="87">
        <f t="shared" si="86"/>
        <v>0</v>
      </c>
      <c r="AB65" s="87">
        <f t="shared" si="87"/>
        <v>0</v>
      </c>
      <c r="AC65" s="87">
        <f t="shared" si="88"/>
        <v>0</v>
      </c>
      <c r="AD65" s="87">
        <f t="shared" si="89"/>
        <v>1686.6666666666665</v>
      </c>
      <c r="AE65" s="87">
        <f t="shared" si="90"/>
        <v>117504.44444444444</v>
      </c>
      <c r="AF65" s="87">
        <f t="shared" si="91"/>
        <v>228543.33333333331</v>
      </c>
      <c r="AG65" s="87">
        <f t="shared" si="92"/>
        <v>201275.55555555553</v>
      </c>
      <c r="AH65" s="87">
        <f t="shared" si="93"/>
        <v>183003.33333333331</v>
      </c>
      <c r="AI65" s="87">
        <f t="shared" si="94"/>
        <v>220453.58024691354</v>
      </c>
      <c r="AJ65" s="87">
        <f t="shared" si="95"/>
        <v>0</v>
      </c>
      <c r="AK65" s="86">
        <f t="shared" si="96"/>
        <v>0</v>
      </c>
      <c r="AL65" s="85">
        <v>0</v>
      </c>
      <c r="AM65" s="85">
        <v>0</v>
      </c>
      <c r="AN65" s="85">
        <v>0</v>
      </c>
      <c r="AO65" s="85">
        <v>0</v>
      </c>
      <c r="AP65" s="85">
        <v>0</v>
      </c>
      <c r="AQ65" s="86">
        <v>0</v>
      </c>
      <c r="AR65" s="87">
        <v>0</v>
      </c>
      <c r="AS65" s="87">
        <v>0</v>
      </c>
      <c r="AT65" s="87">
        <v>0</v>
      </c>
      <c r="AU65" s="87">
        <v>0</v>
      </c>
      <c r="AV65" s="87">
        <v>0</v>
      </c>
      <c r="AW65" s="87">
        <v>0</v>
      </c>
      <c r="AX65" s="87">
        <v>0</v>
      </c>
      <c r="AY65" s="87">
        <v>0</v>
      </c>
      <c r="AZ65" s="87">
        <v>0</v>
      </c>
      <c r="BA65" s="87">
        <v>0</v>
      </c>
      <c r="BB65" s="87">
        <v>0</v>
      </c>
      <c r="BC65" s="86">
        <v>0</v>
      </c>
      <c r="BD65" s="87">
        <v>0</v>
      </c>
      <c r="BE65" s="87">
        <v>0</v>
      </c>
      <c r="BF65" s="87">
        <v>0</v>
      </c>
      <c r="BG65" s="87">
        <v>0</v>
      </c>
      <c r="BH65" s="87">
        <v>0</v>
      </c>
      <c r="BI65" s="87">
        <v>348</v>
      </c>
      <c r="BJ65" s="40">
        <v>759</v>
      </c>
      <c r="BK65" s="40">
        <v>708</v>
      </c>
      <c r="BL65" s="40">
        <v>643</v>
      </c>
      <c r="BM65" s="40">
        <v>768</v>
      </c>
      <c r="BO65" s="86"/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42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6</v>
      </c>
      <c r="CM65" s="21">
        <v>70</v>
      </c>
      <c r="CN65" s="21">
        <v>54</v>
      </c>
      <c r="CO65" s="21">
        <v>8</v>
      </c>
      <c r="CP65" s="21">
        <f t="shared" si="64"/>
        <v>8</v>
      </c>
      <c r="CQ65" s="344">
        <f t="shared" si="65"/>
        <v>16.222222222222221</v>
      </c>
      <c r="CR65" s="87"/>
      <c r="CS65" s="86"/>
      <c r="CT65" s="85">
        <f t="shared" si="99"/>
        <v>0</v>
      </c>
      <c r="CU65" s="85">
        <f t="shared" si="100"/>
        <v>0</v>
      </c>
      <c r="CV65" s="85">
        <f t="shared" si="101"/>
        <v>0</v>
      </c>
      <c r="CW65" s="85">
        <f t="shared" si="102"/>
        <v>0</v>
      </c>
      <c r="CX65" s="85">
        <f t="shared" si="103"/>
        <v>0</v>
      </c>
      <c r="CY65" s="86">
        <f t="shared" si="104"/>
        <v>0</v>
      </c>
      <c r="CZ65" s="87">
        <f t="shared" si="105"/>
        <v>0</v>
      </c>
      <c r="DA65" s="87">
        <f t="shared" si="106"/>
        <v>0</v>
      </c>
      <c r="DB65" s="87">
        <f t="shared" si="107"/>
        <v>0</v>
      </c>
      <c r="DC65" s="87">
        <f t="shared" si="108"/>
        <v>0</v>
      </c>
      <c r="DD65" s="87">
        <f t="shared" si="109"/>
        <v>0</v>
      </c>
      <c r="DE65" s="87">
        <f t="shared" si="110"/>
        <v>0</v>
      </c>
      <c r="DF65" s="87">
        <f t="shared" si="111"/>
        <v>0</v>
      </c>
      <c r="DG65" s="87">
        <f t="shared" si="112"/>
        <v>0</v>
      </c>
      <c r="DH65" s="87">
        <f t="shared" si="113"/>
        <v>0</v>
      </c>
      <c r="DI65" s="87">
        <f t="shared" si="114"/>
        <v>0</v>
      </c>
      <c r="DJ65" s="87">
        <f t="shared" si="115"/>
        <v>0</v>
      </c>
      <c r="DK65" s="86">
        <f t="shared" si="116"/>
        <v>0</v>
      </c>
      <c r="DL65" s="87">
        <f t="shared" si="117"/>
        <v>0</v>
      </c>
      <c r="DM65" s="87">
        <f t="shared" si="118"/>
        <v>0</v>
      </c>
      <c r="DN65" s="87">
        <f t="shared" si="119"/>
        <v>0</v>
      </c>
      <c r="DO65" s="87">
        <f t="shared" si="120"/>
        <v>0</v>
      </c>
      <c r="DP65" s="87">
        <f t="shared" si="121"/>
        <v>6</v>
      </c>
      <c r="DQ65" s="87">
        <f t="shared" si="122"/>
        <v>418</v>
      </c>
      <c r="DR65" s="87">
        <f t="shared" si="97"/>
        <v>813</v>
      </c>
      <c r="DS65" s="87">
        <f t="shared" si="98"/>
        <v>716</v>
      </c>
      <c r="DT65" s="87">
        <f t="shared" si="123"/>
        <v>651</v>
      </c>
      <c r="DU65" s="87">
        <f t="shared" si="124"/>
        <v>784.22222222222217</v>
      </c>
      <c r="DV65" s="87">
        <f t="shared" si="125"/>
        <v>0</v>
      </c>
      <c r="DW65" s="87">
        <f t="shared" si="126"/>
        <v>0</v>
      </c>
    </row>
    <row r="66" spans="1:127">
      <c r="A66" s="22" t="s">
        <v>4</v>
      </c>
      <c r="B66" s="26">
        <v>4987176365576</v>
      </c>
      <c r="C66" s="22" t="s">
        <v>5</v>
      </c>
      <c r="D66" s="22" t="s">
        <v>143</v>
      </c>
      <c r="E66" s="22">
        <v>278111</v>
      </c>
      <c r="F66" s="80" t="s">
        <v>175</v>
      </c>
      <c r="G66" s="25">
        <v>281.11111111111109</v>
      </c>
      <c r="H66" s="85">
        <f t="shared" si="67"/>
        <v>0</v>
      </c>
      <c r="I66" s="85">
        <f t="shared" si="68"/>
        <v>0</v>
      </c>
      <c r="J66" s="85">
        <f t="shared" si="69"/>
        <v>0</v>
      </c>
      <c r="K66" s="85">
        <f t="shared" si="70"/>
        <v>0</v>
      </c>
      <c r="L66" s="85">
        <f t="shared" si="71"/>
        <v>0</v>
      </c>
      <c r="M66" s="86">
        <f t="shared" si="72"/>
        <v>0</v>
      </c>
      <c r="N66" s="87">
        <f t="shared" si="73"/>
        <v>0</v>
      </c>
      <c r="O66" s="87">
        <f t="shared" si="74"/>
        <v>0</v>
      </c>
      <c r="P66" s="87">
        <f t="shared" si="75"/>
        <v>0</v>
      </c>
      <c r="Q66" s="87">
        <f t="shared" si="76"/>
        <v>0</v>
      </c>
      <c r="R66" s="87">
        <f t="shared" si="77"/>
        <v>0</v>
      </c>
      <c r="S66" s="87">
        <f t="shared" si="78"/>
        <v>0</v>
      </c>
      <c r="T66" s="87">
        <f t="shared" si="79"/>
        <v>0</v>
      </c>
      <c r="U66" s="87">
        <f t="shared" si="80"/>
        <v>0</v>
      </c>
      <c r="V66" s="87">
        <f t="shared" si="81"/>
        <v>0</v>
      </c>
      <c r="W66" s="87">
        <f t="shared" si="82"/>
        <v>0</v>
      </c>
      <c r="X66" s="87">
        <f t="shared" si="83"/>
        <v>0</v>
      </c>
      <c r="Y66" s="86">
        <f t="shared" si="84"/>
        <v>0</v>
      </c>
      <c r="Z66" s="87">
        <f t="shared" si="85"/>
        <v>0</v>
      </c>
      <c r="AA66" s="87">
        <f t="shared" si="86"/>
        <v>0</v>
      </c>
      <c r="AB66" s="87">
        <f t="shared" si="87"/>
        <v>0</v>
      </c>
      <c r="AC66" s="87">
        <f t="shared" si="88"/>
        <v>0</v>
      </c>
      <c r="AD66" s="87">
        <f t="shared" si="89"/>
        <v>1124.4444444444443</v>
      </c>
      <c r="AE66" s="87">
        <f t="shared" si="90"/>
        <v>293761.11111111107</v>
      </c>
      <c r="AF66" s="87">
        <f t="shared" si="91"/>
        <v>527364.44444444438</v>
      </c>
      <c r="AG66" s="87">
        <f t="shared" si="92"/>
        <v>382029.99999999994</v>
      </c>
      <c r="AH66" s="87">
        <f t="shared" si="93"/>
        <v>280548.88888888888</v>
      </c>
      <c r="AI66" s="87">
        <f t="shared" si="94"/>
        <v>332054.69135802466</v>
      </c>
      <c r="AJ66" s="87">
        <f t="shared" si="95"/>
        <v>0</v>
      </c>
      <c r="AK66" s="86">
        <f t="shared" si="96"/>
        <v>0</v>
      </c>
      <c r="AL66" s="85">
        <v>0</v>
      </c>
      <c r="AM66" s="85">
        <v>0</v>
      </c>
      <c r="AN66" s="85">
        <v>0</v>
      </c>
      <c r="AO66" s="85">
        <v>0</v>
      </c>
      <c r="AP66" s="85">
        <v>0</v>
      </c>
      <c r="AQ66" s="86">
        <v>0</v>
      </c>
      <c r="AR66" s="87">
        <v>0</v>
      </c>
      <c r="AS66" s="87">
        <v>0</v>
      </c>
      <c r="AT66" s="87">
        <v>0</v>
      </c>
      <c r="AU66" s="87">
        <v>0</v>
      </c>
      <c r="AV66" s="87">
        <v>0</v>
      </c>
      <c r="AW66" s="87">
        <v>0</v>
      </c>
      <c r="AX66" s="87">
        <v>0</v>
      </c>
      <c r="AY66" s="87">
        <v>0</v>
      </c>
      <c r="AZ66" s="87">
        <v>0</v>
      </c>
      <c r="BA66" s="87">
        <v>0</v>
      </c>
      <c r="BB66" s="87">
        <v>0</v>
      </c>
      <c r="BC66" s="86">
        <v>0</v>
      </c>
      <c r="BD66" s="87">
        <v>0</v>
      </c>
      <c r="BE66" s="87">
        <v>0</v>
      </c>
      <c r="BF66" s="87">
        <v>0</v>
      </c>
      <c r="BG66" s="87">
        <v>0</v>
      </c>
      <c r="BH66" s="87">
        <v>0</v>
      </c>
      <c r="BI66" s="87">
        <v>990</v>
      </c>
      <c r="BJ66" s="40">
        <v>1754</v>
      </c>
      <c r="BK66" s="40">
        <v>1345</v>
      </c>
      <c r="BL66" s="40">
        <v>984</v>
      </c>
      <c r="BM66" s="40">
        <v>1158</v>
      </c>
      <c r="BO66" s="86"/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42">
        <v>0</v>
      </c>
      <c r="CH66" s="21">
        <v>0</v>
      </c>
      <c r="CI66" s="21">
        <v>0</v>
      </c>
      <c r="CJ66" s="21">
        <v>0</v>
      </c>
      <c r="CK66" s="21">
        <v>0</v>
      </c>
      <c r="CL66" s="21">
        <v>4</v>
      </c>
      <c r="CM66" s="21">
        <v>55</v>
      </c>
      <c r="CN66" s="21">
        <v>122</v>
      </c>
      <c r="CO66" s="21">
        <v>14</v>
      </c>
      <c r="CP66" s="21">
        <f t="shared" si="64"/>
        <v>14</v>
      </c>
      <c r="CQ66" s="344">
        <f t="shared" si="65"/>
        <v>23.222222222222221</v>
      </c>
      <c r="CR66" s="87"/>
      <c r="CS66" s="86"/>
      <c r="CT66" s="85">
        <f t="shared" si="99"/>
        <v>0</v>
      </c>
      <c r="CU66" s="85">
        <f t="shared" si="100"/>
        <v>0</v>
      </c>
      <c r="CV66" s="85">
        <f t="shared" si="101"/>
        <v>0</v>
      </c>
      <c r="CW66" s="85">
        <f t="shared" si="102"/>
        <v>0</v>
      </c>
      <c r="CX66" s="85">
        <f t="shared" si="103"/>
        <v>0</v>
      </c>
      <c r="CY66" s="86">
        <f t="shared" si="104"/>
        <v>0</v>
      </c>
      <c r="CZ66" s="87">
        <f t="shared" si="105"/>
        <v>0</v>
      </c>
      <c r="DA66" s="87">
        <f t="shared" si="106"/>
        <v>0</v>
      </c>
      <c r="DB66" s="87">
        <f t="shared" si="107"/>
        <v>0</v>
      </c>
      <c r="DC66" s="87">
        <f t="shared" si="108"/>
        <v>0</v>
      </c>
      <c r="DD66" s="87">
        <f t="shared" si="109"/>
        <v>0</v>
      </c>
      <c r="DE66" s="87">
        <f t="shared" si="110"/>
        <v>0</v>
      </c>
      <c r="DF66" s="87">
        <f t="shared" si="111"/>
        <v>0</v>
      </c>
      <c r="DG66" s="87">
        <f t="shared" si="112"/>
        <v>0</v>
      </c>
      <c r="DH66" s="87">
        <f t="shared" si="113"/>
        <v>0</v>
      </c>
      <c r="DI66" s="87">
        <f t="shared" si="114"/>
        <v>0</v>
      </c>
      <c r="DJ66" s="87">
        <f t="shared" si="115"/>
        <v>0</v>
      </c>
      <c r="DK66" s="86">
        <f t="shared" si="116"/>
        <v>0</v>
      </c>
      <c r="DL66" s="87">
        <f t="shared" si="117"/>
        <v>0</v>
      </c>
      <c r="DM66" s="87">
        <f t="shared" si="118"/>
        <v>0</v>
      </c>
      <c r="DN66" s="87">
        <f t="shared" si="119"/>
        <v>0</v>
      </c>
      <c r="DO66" s="87">
        <f t="shared" si="120"/>
        <v>0</v>
      </c>
      <c r="DP66" s="87">
        <f t="shared" si="121"/>
        <v>4</v>
      </c>
      <c r="DQ66" s="87">
        <f t="shared" si="122"/>
        <v>1045</v>
      </c>
      <c r="DR66" s="87">
        <f t="shared" si="97"/>
        <v>1876</v>
      </c>
      <c r="DS66" s="87">
        <f t="shared" si="98"/>
        <v>1359</v>
      </c>
      <c r="DT66" s="87">
        <f t="shared" si="123"/>
        <v>998</v>
      </c>
      <c r="DU66" s="87">
        <f t="shared" si="124"/>
        <v>1181.2222222222222</v>
      </c>
      <c r="DV66" s="87">
        <f t="shared" si="125"/>
        <v>0</v>
      </c>
      <c r="DW66" s="87">
        <f t="shared" si="126"/>
        <v>0</v>
      </c>
    </row>
    <row r="67" spans="1:127">
      <c r="A67" s="22" t="s">
        <v>4</v>
      </c>
      <c r="B67" s="26">
        <v>4987176365606</v>
      </c>
      <c r="C67" s="22" t="s">
        <v>5</v>
      </c>
      <c r="D67" s="22" t="s">
        <v>145</v>
      </c>
      <c r="E67" s="22">
        <v>278116</v>
      </c>
      <c r="F67" s="80" t="s">
        <v>176</v>
      </c>
      <c r="G67" s="25">
        <v>285</v>
      </c>
      <c r="H67" s="85">
        <f t="shared" si="67"/>
        <v>0</v>
      </c>
      <c r="I67" s="85">
        <f t="shared" si="68"/>
        <v>0</v>
      </c>
      <c r="J67" s="85">
        <f t="shared" si="69"/>
        <v>0</v>
      </c>
      <c r="K67" s="85">
        <f t="shared" si="70"/>
        <v>0</v>
      </c>
      <c r="L67" s="85">
        <f t="shared" si="71"/>
        <v>0</v>
      </c>
      <c r="M67" s="86">
        <f t="shared" si="72"/>
        <v>0</v>
      </c>
      <c r="N67" s="87">
        <f t="shared" si="73"/>
        <v>0</v>
      </c>
      <c r="O67" s="87">
        <f t="shared" si="74"/>
        <v>0</v>
      </c>
      <c r="P67" s="87">
        <f t="shared" si="75"/>
        <v>0</v>
      </c>
      <c r="Q67" s="87">
        <f t="shared" si="76"/>
        <v>0</v>
      </c>
      <c r="R67" s="87">
        <f t="shared" si="77"/>
        <v>0</v>
      </c>
      <c r="S67" s="87">
        <f t="shared" si="78"/>
        <v>0</v>
      </c>
      <c r="T67" s="87">
        <f t="shared" si="79"/>
        <v>0</v>
      </c>
      <c r="U67" s="87">
        <f t="shared" si="80"/>
        <v>0</v>
      </c>
      <c r="V67" s="87">
        <f t="shared" si="81"/>
        <v>0</v>
      </c>
      <c r="W67" s="87">
        <f t="shared" si="82"/>
        <v>0</v>
      </c>
      <c r="X67" s="87">
        <f t="shared" si="83"/>
        <v>0</v>
      </c>
      <c r="Y67" s="86">
        <f t="shared" si="84"/>
        <v>0</v>
      </c>
      <c r="Z67" s="87">
        <f t="shared" si="85"/>
        <v>0</v>
      </c>
      <c r="AA67" s="87">
        <f t="shared" si="86"/>
        <v>0</v>
      </c>
      <c r="AB67" s="87">
        <f t="shared" si="87"/>
        <v>0</v>
      </c>
      <c r="AC67" s="87">
        <f t="shared" si="88"/>
        <v>0</v>
      </c>
      <c r="AD67" s="87">
        <f t="shared" si="89"/>
        <v>0</v>
      </c>
      <c r="AE67" s="87">
        <f t="shared" si="90"/>
        <v>158745</v>
      </c>
      <c r="AF67" s="87">
        <f t="shared" si="91"/>
        <v>298680</v>
      </c>
      <c r="AG67" s="87">
        <f t="shared" si="92"/>
        <v>252510</v>
      </c>
      <c r="AH67" s="87">
        <f t="shared" si="93"/>
        <v>168150</v>
      </c>
      <c r="AI67" s="87">
        <f t="shared" si="94"/>
        <v>240350</v>
      </c>
      <c r="AJ67" s="87">
        <f t="shared" si="95"/>
        <v>0</v>
      </c>
      <c r="AK67" s="86">
        <f t="shared" si="96"/>
        <v>0</v>
      </c>
      <c r="AL67" s="85">
        <v>0</v>
      </c>
      <c r="AM67" s="85">
        <v>0</v>
      </c>
      <c r="AN67" s="85">
        <v>0</v>
      </c>
      <c r="AO67" s="85">
        <v>0</v>
      </c>
      <c r="AP67" s="85">
        <v>0</v>
      </c>
      <c r="AQ67" s="86">
        <v>0</v>
      </c>
      <c r="AR67" s="87">
        <v>0</v>
      </c>
      <c r="AS67" s="87">
        <v>0</v>
      </c>
      <c r="AT67" s="87">
        <v>0</v>
      </c>
      <c r="AU67" s="87">
        <v>0</v>
      </c>
      <c r="AV67" s="87">
        <v>0</v>
      </c>
      <c r="AW67" s="87">
        <v>0</v>
      </c>
      <c r="AX67" s="87">
        <v>0</v>
      </c>
      <c r="AY67" s="87">
        <v>0</v>
      </c>
      <c r="AZ67" s="87">
        <v>0</v>
      </c>
      <c r="BA67" s="87">
        <v>0</v>
      </c>
      <c r="BB67" s="87">
        <v>0</v>
      </c>
      <c r="BC67" s="86">
        <v>0</v>
      </c>
      <c r="BD67" s="87">
        <v>0</v>
      </c>
      <c r="BE67" s="87">
        <v>0</v>
      </c>
      <c r="BF67" s="87">
        <v>0</v>
      </c>
      <c r="BG67" s="87">
        <v>0</v>
      </c>
      <c r="BH67" s="87">
        <v>0</v>
      </c>
      <c r="BI67" s="87">
        <v>505</v>
      </c>
      <c r="BJ67" s="40">
        <v>1022</v>
      </c>
      <c r="BK67" s="40">
        <v>874</v>
      </c>
      <c r="BL67" s="40">
        <v>578</v>
      </c>
      <c r="BM67" s="40">
        <v>832</v>
      </c>
      <c r="BO67" s="86"/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42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52</v>
      </c>
      <c r="CN67" s="21">
        <v>26</v>
      </c>
      <c r="CO67" s="21">
        <v>12</v>
      </c>
      <c r="CP67" s="21">
        <f t="shared" si="64"/>
        <v>12</v>
      </c>
      <c r="CQ67" s="344">
        <f t="shared" si="65"/>
        <v>11.333333333333334</v>
      </c>
      <c r="CR67" s="87"/>
      <c r="CS67" s="86"/>
      <c r="CT67" s="85">
        <f t="shared" si="99"/>
        <v>0</v>
      </c>
      <c r="CU67" s="85">
        <f t="shared" si="100"/>
        <v>0</v>
      </c>
      <c r="CV67" s="85">
        <f t="shared" si="101"/>
        <v>0</v>
      </c>
      <c r="CW67" s="85">
        <f t="shared" si="102"/>
        <v>0</v>
      </c>
      <c r="CX67" s="85">
        <f t="shared" si="103"/>
        <v>0</v>
      </c>
      <c r="CY67" s="86">
        <f t="shared" si="104"/>
        <v>0</v>
      </c>
      <c r="CZ67" s="87">
        <f t="shared" si="105"/>
        <v>0</v>
      </c>
      <c r="DA67" s="87">
        <f t="shared" si="106"/>
        <v>0</v>
      </c>
      <c r="DB67" s="87">
        <f t="shared" si="107"/>
        <v>0</v>
      </c>
      <c r="DC67" s="87">
        <f t="shared" si="108"/>
        <v>0</v>
      </c>
      <c r="DD67" s="87">
        <f t="shared" si="109"/>
        <v>0</v>
      </c>
      <c r="DE67" s="87">
        <f t="shared" si="110"/>
        <v>0</v>
      </c>
      <c r="DF67" s="87">
        <f t="shared" si="111"/>
        <v>0</v>
      </c>
      <c r="DG67" s="87">
        <f t="shared" si="112"/>
        <v>0</v>
      </c>
      <c r="DH67" s="87">
        <f t="shared" si="113"/>
        <v>0</v>
      </c>
      <c r="DI67" s="87">
        <f t="shared" si="114"/>
        <v>0</v>
      </c>
      <c r="DJ67" s="87">
        <f t="shared" si="115"/>
        <v>0</v>
      </c>
      <c r="DK67" s="86">
        <f t="shared" si="116"/>
        <v>0</v>
      </c>
      <c r="DL67" s="87">
        <f t="shared" si="117"/>
        <v>0</v>
      </c>
      <c r="DM67" s="87">
        <f t="shared" si="118"/>
        <v>0</v>
      </c>
      <c r="DN67" s="87">
        <f t="shared" si="119"/>
        <v>0</v>
      </c>
      <c r="DO67" s="87">
        <f t="shared" si="120"/>
        <v>0</v>
      </c>
      <c r="DP67" s="87">
        <f t="shared" si="121"/>
        <v>0</v>
      </c>
      <c r="DQ67" s="87">
        <f t="shared" si="122"/>
        <v>557</v>
      </c>
      <c r="DR67" s="87">
        <f t="shared" si="97"/>
        <v>1048</v>
      </c>
      <c r="DS67" s="87">
        <f t="shared" si="98"/>
        <v>886</v>
      </c>
      <c r="DT67" s="87">
        <f t="shared" si="123"/>
        <v>590</v>
      </c>
      <c r="DU67" s="87">
        <f t="shared" si="124"/>
        <v>843.33333333333337</v>
      </c>
      <c r="DV67" s="87">
        <f t="shared" si="125"/>
        <v>0</v>
      </c>
      <c r="DW67" s="87">
        <f t="shared" si="126"/>
        <v>0</v>
      </c>
    </row>
    <row r="68" spans="1:127">
      <c r="A68" s="22" t="s">
        <v>4</v>
      </c>
      <c r="B68" s="26">
        <v>4987176365620</v>
      </c>
      <c r="C68" s="22" t="s">
        <v>5</v>
      </c>
      <c r="D68" s="22" t="s">
        <v>88</v>
      </c>
      <c r="E68" s="22">
        <v>278050</v>
      </c>
      <c r="F68" s="80" t="s">
        <v>177</v>
      </c>
      <c r="G68" s="25">
        <v>285</v>
      </c>
      <c r="H68" s="85">
        <f t="shared" ref="H68:H99" si="128">CT68*$G68</f>
        <v>0</v>
      </c>
      <c r="I68" s="85">
        <f t="shared" ref="I68:I99" si="129">CU68*$G68</f>
        <v>0</v>
      </c>
      <c r="J68" s="85">
        <f t="shared" ref="J68:J99" si="130">CV68*$G68</f>
        <v>0</v>
      </c>
      <c r="K68" s="85">
        <f t="shared" ref="K68:K99" si="131">CW68*$G68</f>
        <v>0</v>
      </c>
      <c r="L68" s="85">
        <f t="shared" ref="L68:L99" si="132">CX68*$G68</f>
        <v>0</v>
      </c>
      <c r="M68" s="86">
        <f t="shared" ref="M68:M99" si="133">CY68*$G68</f>
        <v>0</v>
      </c>
      <c r="N68" s="87">
        <f t="shared" ref="N68:N99" si="134">CZ68*$G68</f>
        <v>0</v>
      </c>
      <c r="O68" s="87">
        <f t="shared" ref="O68:O99" si="135">DA68*$G68</f>
        <v>0</v>
      </c>
      <c r="P68" s="87">
        <f t="shared" ref="P68:P99" si="136">DB68*$G68</f>
        <v>0</v>
      </c>
      <c r="Q68" s="87">
        <f t="shared" ref="Q68:Q99" si="137">DC68*$G68</f>
        <v>0</v>
      </c>
      <c r="R68" s="87">
        <f t="shared" ref="R68:R99" si="138">DD68*$G68</f>
        <v>0</v>
      </c>
      <c r="S68" s="87">
        <f t="shared" ref="S68:S99" si="139">DE68*$G68</f>
        <v>0</v>
      </c>
      <c r="T68" s="87">
        <f t="shared" ref="T68:T99" si="140">DF68*$G68</f>
        <v>0</v>
      </c>
      <c r="U68" s="87">
        <f t="shared" ref="U68:U99" si="141">DG68*$G68</f>
        <v>0</v>
      </c>
      <c r="V68" s="87">
        <f t="shared" ref="V68:V99" si="142">DH68*$G68</f>
        <v>0</v>
      </c>
      <c r="W68" s="87">
        <f t="shared" ref="W68:W99" si="143">DI68*$G68</f>
        <v>0</v>
      </c>
      <c r="X68" s="87">
        <f t="shared" ref="X68:X99" si="144">DJ68*$G68</f>
        <v>0</v>
      </c>
      <c r="Y68" s="86">
        <f t="shared" ref="Y68:Y99" si="145">DK68*$G68</f>
        <v>0</v>
      </c>
      <c r="Z68" s="87">
        <f t="shared" ref="Z68:Z99" si="146">DL68*$G68</f>
        <v>0</v>
      </c>
      <c r="AA68" s="87">
        <f t="shared" ref="AA68:AA99" si="147">DM68*$G68</f>
        <v>0</v>
      </c>
      <c r="AB68" s="87">
        <f t="shared" ref="AB68:AB99" si="148">DN68*$G68</f>
        <v>0</v>
      </c>
      <c r="AC68" s="87">
        <f t="shared" ref="AC68:AC99" si="149">DO68*$G68</f>
        <v>0</v>
      </c>
      <c r="AD68" s="87">
        <f t="shared" ref="AD68:AD99" si="150">DP68*$G68</f>
        <v>285</v>
      </c>
      <c r="AE68" s="87">
        <f t="shared" ref="AE68:AE99" si="151">DQ68*$G68</f>
        <v>168150</v>
      </c>
      <c r="AF68" s="87">
        <f t="shared" ref="AF68:AF99" si="152">DR68*$G68</f>
        <v>247665</v>
      </c>
      <c r="AG68" s="87">
        <f t="shared" ref="AG68:AG99" si="153">DS68*$G68</f>
        <v>149055</v>
      </c>
      <c r="AH68" s="87">
        <f t="shared" ref="AH68:AH99" si="154">DT68*$G68</f>
        <v>122835</v>
      </c>
      <c r="AI68" s="87">
        <f t="shared" ref="AI68:AI99" si="155">DU68*$G68</f>
        <v>176415</v>
      </c>
      <c r="AJ68" s="87">
        <f t="shared" ref="AJ68:AJ99" si="156">DV68*$G68</f>
        <v>0</v>
      </c>
      <c r="AK68" s="86">
        <f t="shared" ref="AK68:AK99" si="157">DW68*$G68</f>
        <v>0</v>
      </c>
      <c r="AL68" s="85">
        <v>0</v>
      </c>
      <c r="AM68" s="85">
        <v>0</v>
      </c>
      <c r="AN68" s="85">
        <v>0</v>
      </c>
      <c r="AO68" s="85">
        <v>0</v>
      </c>
      <c r="AP68" s="85">
        <v>0</v>
      </c>
      <c r="AQ68" s="86">
        <v>0</v>
      </c>
      <c r="AR68" s="87">
        <v>0</v>
      </c>
      <c r="AS68" s="87">
        <v>0</v>
      </c>
      <c r="AT68" s="87">
        <v>0</v>
      </c>
      <c r="AU68" s="87">
        <v>0</v>
      </c>
      <c r="AV68" s="87">
        <v>0</v>
      </c>
      <c r="AW68" s="87">
        <v>0</v>
      </c>
      <c r="AX68" s="87">
        <v>0</v>
      </c>
      <c r="AY68" s="87">
        <v>0</v>
      </c>
      <c r="AZ68" s="87">
        <v>0</v>
      </c>
      <c r="BA68" s="87">
        <v>0</v>
      </c>
      <c r="BB68" s="87">
        <v>0</v>
      </c>
      <c r="BC68" s="86">
        <v>0</v>
      </c>
      <c r="BD68" s="87">
        <v>0</v>
      </c>
      <c r="BE68" s="87">
        <v>0</v>
      </c>
      <c r="BF68" s="87">
        <v>0</v>
      </c>
      <c r="BG68" s="87">
        <v>0</v>
      </c>
      <c r="BH68" s="87">
        <v>0</v>
      </c>
      <c r="BI68" s="87">
        <v>529</v>
      </c>
      <c r="BJ68" s="40">
        <v>859</v>
      </c>
      <c r="BK68" s="40">
        <v>523</v>
      </c>
      <c r="BL68" s="40">
        <v>431</v>
      </c>
      <c r="BM68" s="40">
        <v>611</v>
      </c>
      <c r="BO68" s="86"/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42">
        <v>0</v>
      </c>
      <c r="CH68" s="21">
        <v>0</v>
      </c>
      <c r="CI68" s="21">
        <v>0</v>
      </c>
      <c r="CJ68" s="21">
        <v>0</v>
      </c>
      <c r="CK68" s="21">
        <v>0</v>
      </c>
      <c r="CL68" s="21">
        <v>1</v>
      </c>
      <c r="CM68" s="21">
        <v>61</v>
      </c>
      <c r="CN68" s="21">
        <v>10</v>
      </c>
      <c r="CO68" s="21">
        <v>0</v>
      </c>
      <c r="CP68" s="21">
        <f t="shared" si="64"/>
        <v>0</v>
      </c>
      <c r="CQ68" s="344">
        <f t="shared" si="65"/>
        <v>8</v>
      </c>
      <c r="CR68" s="87"/>
      <c r="CS68" s="86"/>
      <c r="CT68" s="85">
        <f t="shared" si="99"/>
        <v>0</v>
      </c>
      <c r="CU68" s="85">
        <f t="shared" si="100"/>
        <v>0</v>
      </c>
      <c r="CV68" s="85">
        <f t="shared" si="101"/>
        <v>0</v>
      </c>
      <c r="CW68" s="85">
        <f t="shared" si="102"/>
        <v>0</v>
      </c>
      <c r="CX68" s="85">
        <f t="shared" si="103"/>
        <v>0</v>
      </c>
      <c r="CY68" s="86">
        <f t="shared" si="104"/>
        <v>0</v>
      </c>
      <c r="CZ68" s="87">
        <f t="shared" si="105"/>
        <v>0</v>
      </c>
      <c r="DA68" s="87">
        <f t="shared" si="106"/>
        <v>0</v>
      </c>
      <c r="DB68" s="87">
        <f t="shared" si="107"/>
        <v>0</v>
      </c>
      <c r="DC68" s="87">
        <f t="shared" si="108"/>
        <v>0</v>
      </c>
      <c r="DD68" s="87">
        <f t="shared" si="109"/>
        <v>0</v>
      </c>
      <c r="DE68" s="87">
        <f t="shared" si="110"/>
        <v>0</v>
      </c>
      <c r="DF68" s="87">
        <f t="shared" si="111"/>
        <v>0</v>
      </c>
      <c r="DG68" s="87">
        <f t="shared" si="112"/>
        <v>0</v>
      </c>
      <c r="DH68" s="87">
        <f t="shared" si="113"/>
        <v>0</v>
      </c>
      <c r="DI68" s="87">
        <f t="shared" si="114"/>
        <v>0</v>
      </c>
      <c r="DJ68" s="87">
        <f t="shared" si="115"/>
        <v>0</v>
      </c>
      <c r="DK68" s="86">
        <f t="shared" si="116"/>
        <v>0</v>
      </c>
      <c r="DL68" s="87">
        <f t="shared" si="117"/>
        <v>0</v>
      </c>
      <c r="DM68" s="87">
        <f t="shared" si="118"/>
        <v>0</v>
      </c>
      <c r="DN68" s="87">
        <f t="shared" si="119"/>
        <v>0</v>
      </c>
      <c r="DO68" s="87">
        <f t="shared" si="120"/>
        <v>0</v>
      </c>
      <c r="DP68" s="87">
        <f t="shared" si="121"/>
        <v>1</v>
      </c>
      <c r="DQ68" s="87">
        <f t="shared" si="122"/>
        <v>590</v>
      </c>
      <c r="DR68" s="87">
        <f t="shared" si="97"/>
        <v>869</v>
      </c>
      <c r="DS68" s="87">
        <f t="shared" si="98"/>
        <v>523</v>
      </c>
      <c r="DT68" s="87">
        <f t="shared" si="123"/>
        <v>431</v>
      </c>
      <c r="DU68" s="87">
        <f t="shared" si="124"/>
        <v>619</v>
      </c>
      <c r="DV68" s="87">
        <f t="shared" si="125"/>
        <v>0</v>
      </c>
      <c r="DW68" s="87">
        <f t="shared" si="126"/>
        <v>0</v>
      </c>
    </row>
    <row r="69" spans="1:127">
      <c r="A69" s="22" t="s">
        <v>4</v>
      </c>
      <c r="B69" s="26">
        <v>4987176324733</v>
      </c>
      <c r="C69" s="22" t="s">
        <v>5</v>
      </c>
      <c r="D69" s="22" t="s">
        <v>144</v>
      </c>
      <c r="E69" s="22">
        <v>278140</v>
      </c>
      <c r="F69" s="80" t="s">
        <v>178</v>
      </c>
      <c r="G69" s="25">
        <v>456.40000000000003</v>
      </c>
      <c r="H69" s="85">
        <f t="shared" si="128"/>
        <v>0</v>
      </c>
      <c r="I69" s="85">
        <f t="shared" si="129"/>
        <v>0</v>
      </c>
      <c r="J69" s="85">
        <f t="shared" si="130"/>
        <v>0</v>
      </c>
      <c r="K69" s="85">
        <f t="shared" si="131"/>
        <v>0</v>
      </c>
      <c r="L69" s="85">
        <f t="shared" si="132"/>
        <v>0</v>
      </c>
      <c r="M69" s="86">
        <f t="shared" si="133"/>
        <v>0</v>
      </c>
      <c r="N69" s="87">
        <f t="shared" si="134"/>
        <v>0</v>
      </c>
      <c r="O69" s="87">
        <f t="shared" si="135"/>
        <v>0</v>
      </c>
      <c r="P69" s="87">
        <f t="shared" si="136"/>
        <v>0</v>
      </c>
      <c r="Q69" s="87">
        <f t="shared" si="137"/>
        <v>0</v>
      </c>
      <c r="R69" s="87">
        <f t="shared" si="138"/>
        <v>0</v>
      </c>
      <c r="S69" s="87">
        <f t="shared" si="139"/>
        <v>0</v>
      </c>
      <c r="T69" s="87">
        <f t="shared" si="140"/>
        <v>0</v>
      </c>
      <c r="U69" s="87">
        <f t="shared" si="141"/>
        <v>0</v>
      </c>
      <c r="V69" s="87">
        <f t="shared" si="142"/>
        <v>0</v>
      </c>
      <c r="W69" s="87">
        <f t="shared" si="143"/>
        <v>0</v>
      </c>
      <c r="X69" s="87">
        <f t="shared" si="144"/>
        <v>0</v>
      </c>
      <c r="Y69" s="86">
        <f t="shared" si="145"/>
        <v>0</v>
      </c>
      <c r="Z69" s="87">
        <f t="shared" si="146"/>
        <v>0</v>
      </c>
      <c r="AA69" s="87">
        <f t="shared" si="147"/>
        <v>0</v>
      </c>
      <c r="AB69" s="87">
        <f t="shared" si="148"/>
        <v>0</v>
      </c>
      <c r="AC69" s="87">
        <f t="shared" si="149"/>
        <v>0</v>
      </c>
      <c r="AD69" s="87">
        <f t="shared" si="150"/>
        <v>912.80000000000007</v>
      </c>
      <c r="AE69" s="87">
        <f t="shared" si="151"/>
        <v>225005.2</v>
      </c>
      <c r="AF69" s="87">
        <f t="shared" si="152"/>
        <v>407565.2</v>
      </c>
      <c r="AG69" s="87">
        <f t="shared" si="153"/>
        <v>341843.60000000003</v>
      </c>
      <c r="AH69" s="87">
        <f t="shared" si="154"/>
        <v>224548.80000000002</v>
      </c>
      <c r="AI69" s="87">
        <f t="shared" si="155"/>
        <v>257612.44444444447</v>
      </c>
      <c r="AJ69" s="87">
        <f t="shared" si="156"/>
        <v>0</v>
      </c>
      <c r="AK69" s="86">
        <f t="shared" si="157"/>
        <v>0</v>
      </c>
      <c r="AL69" s="85">
        <v>0</v>
      </c>
      <c r="AM69" s="85">
        <v>0</v>
      </c>
      <c r="AN69" s="85">
        <v>0</v>
      </c>
      <c r="AO69" s="85">
        <v>0</v>
      </c>
      <c r="AP69" s="85">
        <v>0</v>
      </c>
      <c r="AQ69" s="86">
        <v>0</v>
      </c>
      <c r="AR69" s="87">
        <v>0</v>
      </c>
      <c r="AS69" s="87">
        <v>0</v>
      </c>
      <c r="AT69" s="87">
        <v>0</v>
      </c>
      <c r="AU69" s="87">
        <v>0</v>
      </c>
      <c r="AV69" s="87">
        <v>0</v>
      </c>
      <c r="AW69" s="87">
        <v>0</v>
      </c>
      <c r="AX69" s="87">
        <v>0</v>
      </c>
      <c r="AY69" s="87">
        <v>0</v>
      </c>
      <c r="AZ69" s="87">
        <v>0</v>
      </c>
      <c r="BA69" s="87">
        <v>0</v>
      </c>
      <c r="BB69" s="87">
        <v>0</v>
      </c>
      <c r="BC69" s="86">
        <v>0</v>
      </c>
      <c r="BD69" s="87">
        <v>0</v>
      </c>
      <c r="BE69" s="87">
        <v>0</v>
      </c>
      <c r="BF69" s="87">
        <v>0</v>
      </c>
      <c r="BG69" s="87">
        <v>0</v>
      </c>
      <c r="BH69" s="87">
        <v>0</v>
      </c>
      <c r="BI69" s="87">
        <v>468</v>
      </c>
      <c r="BJ69" s="40">
        <v>884</v>
      </c>
      <c r="BK69" s="40">
        <v>738</v>
      </c>
      <c r="BL69" s="40">
        <v>481</v>
      </c>
      <c r="BM69" s="40">
        <v>558</v>
      </c>
      <c r="BO69" s="86"/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42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2</v>
      </c>
      <c r="CM69" s="21">
        <v>25</v>
      </c>
      <c r="CN69" s="21">
        <v>9</v>
      </c>
      <c r="CO69" s="21">
        <v>11</v>
      </c>
      <c r="CP69" s="21">
        <f t="shared" ref="CP69:CP132" si="158">CO69</f>
        <v>11</v>
      </c>
      <c r="CQ69" s="344">
        <f t="shared" ref="CQ69:CQ132" si="159">AVERAGE(CH69:CP69)</f>
        <v>6.4444444444444446</v>
      </c>
      <c r="CR69" s="87"/>
      <c r="CS69" s="86"/>
      <c r="CT69" s="85">
        <f t="shared" si="99"/>
        <v>0</v>
      </c>
      <c r="CU69" s="85">
        <f t="shared" si="100"/>
        <v>0</v>
      </c>
      <c r="CV69" s="85">
        <f t="shared" si="101"/>
        <v>0</v>
      </c>
      <c r="CW69" s="85">
        <f t="shared" si="102"/>
        <v>0</v>
      </c>
      <c r="CX69" s="85">
        <f t="shared" si="103"/>
        <v>0</v>
      </c>
      <c r="CY69" s="86">
        <f t="shared" si="104"/>
        <v>0</v>
      </c>
      <c r="CZ69" s="87">
        <f t="shared" si="105"/>
        <v>0</v>
      </c>
      <c r="DA69" s="87">
        <f t="shared" si="106"/>
        <v>0</v>
      </c>
      <c r="DB69" s="87">
        <f t="shared" si="107"/>
        <v>0</v>
      </c>
      <c r="DC69" s="87">
        <f t="shared" si="108"/>
        <v>0</v>
      </c>
      <c r="DD69" s="87">
        <f t="shared" si="109"/>
        <v>0</v>
      </c>
      <c r="DE69" s="87">
        <f t="shared" si="110"/>
        <v>0</v>
      </c>
      <c r="DF69" s="87">
        <f t="shared" si="111"/>
        <v>0</v>
      </c>
      <c r="DG69" s="87">
        <f t="shared" si="112"/>
        <v>0</v>
      </c>
      <c r="DH69" s="87">
        <f t="shared" si="113"/>
        <v>0</v>
      </c>
      <c r="DI69" s="87">
        <f t="shared" si="114"/>
        <v>0</v>
      </c>
      <c r="DJ69" s="87">
        <f t="shared" si="115"/>
        <v>0</v>
      </c>
      <c r="DK69" s="86">
        <f t="shared" si="116"/>
        <v>0</v>
      </c>
      <c r="DL69" s="87">
        <f t="shared" si="117"/>
        <v>0</v>
      </c>
      <c r="DM69" s="87">
        <f t="shared" si="118"/>
        <v>0</v>
      </c>
      <c r="DN69" s="87">
        <f t="shared" si="119"/>
        <v>0</v>
      </c>
      <c r="DO69" s="87">
        <f t="shared" si="120"/>
        <v>0</v>
      </c>
      <c r="DP69" s="87">
        <f t="shared" si="121"/>
        <v>2</v>
      </c>
      <c r="DQ69" s="87">
        <f t="shared" si="122"/>
        <v>493</v>
      </c>
      <c r="DR69" s="87">
        <f t="shared" si="97"/>
        <v>893</v>
      </c>
      <c r="DS69" s="87">
        <f t="shared" si="98"/>
        <v>749</v>
      </c>
      <c r="DT69" s="87">
        <f t="shared" si="123"/>
        <v>492</v>
      </c>
      <c r="DU69" s="87">
        <f t="shared" si="124"/>
        <v>564.44444444444446</v>
      </c>
      <c r="DV69" s="87">
        <f t="shared" si="125"/>
        <v>0</v>
      </c>
      <c r="DW69" s="87">
        <f t="shared" si="126"/>
        <v>0</v>
      </c>
    </row>
    <row r="70" spans="1:127">
      <c r="A70" s="22" t="s">
        <v>4</v>
      </c>
      <c r="B70" s="26">
        <v>4987176324726</v>
      </c>
      <c r="C70" s="22" t="s">
        <v>5</v>
      </c>
      <c r="D70" s="22" t="s">
        <v>144</v>
      </c>
      <c r="E70" s="22">
        <v>278065</v>
      </c>
      <c r="F70" s="80" t="s">
        <v>179</v>
      </c>
      <c r="G70" s="25">
        <v>456.40000000000003</v>
      </c>
      <c r="H70" s="85">
        <f t="shared" si="128"/>
        <v>0</v>
      </c>
      <c r="I70" s="85">
        <f t="shared" si="129"/>
        <v>0</v>
      </c>
      <c r="J70" s="85">
        <f t="shared" si="130"/>
        <v>0</v>
      </c>
      <c r="K70" s="85">
        <f t="shared" si="131"/>
        <v>0</v>
      </c>
      <c r="L70" s="85">
        <f t="shared" si="132"/>
        <v>0</v>
      </c>
      <c r="M70" s="86">
        <f t="shared" si="133"/>
        <v>0</v>
      </c>
      <c r="N70" s="87">
        <f t="shared" si="134"/>
        <v>0</v>
      </c>
      <c r="O70" s="87">
        <f t="shared" si="135"/>
        <v>0</v>
      </c>
      <c r="P70" s="87">
        <f t="shared" si="136"/>
        <v>0</v>
      </c>
      <c r="Q70" s="87">
        <f t="shared" si="137"/>
        <v>0</v>
      </c>
      <c r="R70" s="87">
        <f t="shared" si="138"/>
        <v>0</v>
      </c>
      <c r="S70" s="87">
        <f t="shared" si="139"/>
        <v>0</v>
      </c>
      <c r="T70" s="87">
        <f t="shared" si="140"/>
        <v>0</v>
      </c>
      <c r="U70" s="87">
        <f t="shared" si="141"/>
        <v>0</v>
      </c>
      <c r="V70" s="87">
        <f t="shared" si="142"/>
        <v>0</v>
      </c>
      <c r="W70" s="87">
        <f t="shared" si="143"/>
        <v>0</v>
      </c>
      <c r="X70" s="87">
        <f t="shared" si="144"/>
        <v>0</v>
      </c>
      <c r="Y70" s="86">
        <f t="shared" si="145"/>
        <v>0</v>
      </c>
      <c r="Z70" s="87">
        <f t="shared" si="146"/>
        <v>0</v>
      </c>
      <c r="AA70" s="87">
        <f t="shared" si="147"/>
        <v>0</v>
      </c>
      <c r="AB70" s="87">
        <f t="shared" si="148"/>
        <v>0</v>
      </c>
      <c r="AC70" s="87">
        <f t="shared" si="149"/>
        <v>0</v>
      </c>
      <c r="AD70" s="87">
        <f t="shared" si="150"/>
        <v>0</v>
      </c>
      <c r="AE70" s="87">
        <f t="shared" si="151"/>
        <v>66178</v>
      </c>
      <c r="AF70" s="87">
        <f t="shared" si="152"/>
        <v>150155.6</v>
      </c>
      <c r="AG70" s="87">
        <f t="shared" si="153"/>
        <v>122771.6</v>
      </c>
      <c r="AH70" s="87">
        <f t="shared" si="154"/>
        <v>99951.6</v>
      </c>
      <c r="AI70" s="87">
        <f t="shared" si="155"/>
        <v>133573.06666666668</v>
      </c>
      <c r="AJ70" s="87">
        <f t="shared" si="156"/>
        <v>0</v>
      </c>
      <c r="AK70" s="86">
        <f t="shared" si="157"/>
        <v>0</v>
      </c>
      <c r="AL70" s="85">
        <v>0</v>
      </c>
      <c r="AM70" s="85">
        <v>0</v>
      </c>
      <c r="AN70" s="85">
        <v>0</v>
      </c>
      <c r="AO70" s="85">
        <v>0</v>
      </c>
      <c r="AP70" s="85">
        <v>0</v>
      </c>
      <c r="AQ70" s="86">
        <v>0</v>
      </c>
      <c r="AR70" s="87">
        <v>0</v>
      </c>
      <c r="AS70" s="87">
        <v>0</v>
      </c>
      <c r="AT70" s="87">
        <v>0</v>
      </c>
      <c r="AU70" s="87">
        <v>0</v>
      </c>
      <c r="AV70" s="87">
        <v>0</v>
      </c>
      <c r="AW70" s="87">
        <v>0</v>
      </c>
      <c r="AX70" s="87">
        <v>0</v>
      </c>
      <c r="AY70" s="87">
        <v>0</v>
      </c>
      <c r="AZ70" s="87">
        <v>0</v>
      </c>
      <c r="BA70" s="87">
        <v>0</v>
      </c>
      <c r="BB70" s="87">
        <v>0</v>
      </c>
      <c r="BC70" s="86">
        <v>0</v>
      </c>
      <c r="BD70" s="87">
        <v>0</v>
      </c>
      <c r="BE70" s="87">
        <v>0</v>
      </c>
      <c r="BF70" s="87">
        <v>0</v>
      </c>
      <c r="BG70" s="87">
        <v>0</v>
      </c>
      <c r="BH70" s="87">
        <v>0</v>
      </c>
      <c r="BI70" s="87">
        <v>133</v>
      </c>
      <c r="BJ70" s="40">
        <v>305</v>
      </c>
      <c r="BK70" s="40">
        <v>266</v>
      </c>
      <c r="BL70" s="40">
        <v>216</v>
      </c>
      <c r="BM70" s="40">
        <v>288</v>
      </c>
      <c r="BO70" s="86"/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42">
        <v>0</v>
      </c>
      <c r="CH70" s="21">
        <v>0</v>
      </c>
      <c r="CI70" s="21">
        <v>0</v>
      </c>
      <c r="CJ70" s="21">
        <v>0</v>
      </c>
      <c r="CK70" s="21">
        <v>0</v>
      </c>
      <c r="CL70" s="21">
        <v>0</v>
      </c>
      <c r="CM70" s="21">
        <v>12</v>
      </c>
      <c r="CN70" s="21">
        <v>24</v>
      </c>
      <c r="CO70" s="21">
        <v>3</v>
      </c>
      <c r="CP70" s="21">
        <f t="shared" si="158"/>
        <v>3</v>
      </c>
      <c r="CQ70" s="344">
        <f t="shared" si="159"/>
        <v>4.666666666666667</v>
      </c>
      <c r="CR70" s="87"/>
      <c r="CS70" s="86"/>
      <c r="CT70" s="85">
        <f t="shared" si="99"/>
        <v>0</v>
      </c>
      <c r="CU70" s="85">
        <f t="shared" si="100"/>
        <v>0</v>
      </c>
      <c r="CV70" s="85">
        <f t="shared" si="101"/>
        <v>0</v>
      </c>
      <c r="CW70" s="85">
        <f t="shared" si="102"/>
        <v>0</v>
      </c>
      <c r="CX70" s="85">
        <f t="shared" si="103"/>
        <v>0</v>
      </c>
      <c r="CY70" s="86">
        <f t="shared" si="104"/>
        <v>0</v>
      </c>
      <c r="CZ70" s="87">
        <f t="shared" si="105"/>
        <v>0</v>
      </c>
      <c r="DA70" s="87">
        <f t="shared" si="106"/>
        <v>0</v>
      </c>
      <c r="DB70" s="87">
        <f t="shared" si="107"/>
        <v>0</v>
      </c>
      <c r="DC70" s="87">
        <f t="shared" si="108"/>
        <v>0</v>
      </c>
      <c r="DD70" s="87">
        <f t="shared" si="109"/>
        <v>0</v>
      </c>
      <c r="DE70" s="87">
        <f t="shared" si="110"/>
        <v>0</v>
      </c>
      <c r="DF70" s="87">
        <f t="shared" si="111"/>
        <v>0</v>
      </c>
      <c r="DG70" s="87">
        <f t="shared" si="112"/>
        <v>0</v>
      </c>
      <c r="DH70" s="87">
        <f t="shared" si="113"/>
        <v>0</v>
      </c>
      <c r="DI70" s="87">
        <f t="shared" si="114"/>
        <v>0</v>
      </c>
      <c r="DJ70" s="87">
        <f t="shared" si="115"/>
        <v>0</v>
      </c>
      <c r="DK70" s="86">
        <f t="shared" si="116"/>
        <v>0</v>
      </c>
      <c r="DL70" s="87">
        <f t="shared" si="117"/>
        <v>0</v>
      </c>
      <c r="DM70" s="87">
        <f t="shared" si="118"/>
        <v>0</v>
      </c>
      <c r="DN70" s="87">
        <f t="shared" si="119"/>
        <v>0</v>
      </c>
      <c r="DO70" s="87">
        <f t="shared" si="120"/>
        <v>0</v>
      </c>
      <c r="DP70" s="87">
        <f t="shared" si="121"/>
        <v>0</v>
      </c>
      <c r="DQ70" s="87">
        <f t="shared" si="122"/>
        <v>145</v>
      </c>
      <c r="DR70" s="87">
        <f t="shared" si="97"/>
        <v>329</v>
      </c>
      <c r="DS70" s="87">
        <f t="shared" si="98"/>
        <v>269</v>
      </c>
      <c r="DT70" s="87">
        <f t="shared" si="123"/>
        <v>219</v>
      </c>
      <c r="DU70" s="87">
        <f t="shared" si="124"/>
        <v>292.66666666666669</v>
      </c>
      <c r="DV70" s="87">
        <f t="shared" si="125"/>
        <v>0</v>
      </c>
      <c r="DW70" s="87">
        <f t="shared" si="126"/>
        <v>0</v>
      </c>
    </row>
    <row r="71" spans="1:127">
      <c r="A71" s="22" t="s">
        <v>4</v>
      </c>
      <c r="B71" s="26">
        <v>4987176040589</v>
      </c>
      <c r="C71" s="22" t="s">
        <v>10</v>
      </c>
      <c r="D71" s="22" t="s">
        <v>14</v>
      </c>
      <c r="E71" s="22">
        <v>410674</v>
      </c>
      <c r="F71" s="80" t="s">
        <v>180</v>
      </c>
      <c r="G71" s="25">
        <v>193.5</v>
      </c>
      <c r="H71" s="85">
        <f t="shared" si="128"/>
        <v>162540</v>
      </c>
      <c r="I71" s="85">
        <f t="shared" si="129"/>
        <v>250582.5</v>
      </c>
      <c r="J71" s="85">
        <f t="shared" si="130"/>
        <v>165442.5</v>
      </c>
      <c r="K71" s="85">
        <f t="shared" si="131"/>
        <v>173569.5</v>
      </c>
      <c r="L71" s="85">
        <f t="shared" si="132"/>
        <v>226395</v>
      </c>
      <c r="M71" s="86">
        <f t="shared" si="133"/>
        <v>139707</v>
      </c>
      <c r="N71" s="87">
        <f t="shared" si="134"/>
        <v>234909</v>
      </c>
      <c r="O71" s="87">
        <f t="shared" si="135"/>
        <v>282897</v>
      </c>
      <c r="P71" s="87">
        <f t="shared" si="136"/>
        <v>372874.5</v>
      </c>
      <c r="Q71" s="87">
        <f t="shared" si="137"/>
        <v>132934.5</v>
      </c>
      <c r="R71" s="87">
        <f t="shared" si="138"/>
        <v>261805.5</v>
      </c>
      <c r="S71" s="87">
        <f t="shared" si="139"/>
        <v>422991</v>
      </c>
      <c r="T71" s="87">
        <f t="shared" si="140"/>
        <v>432085.5</v>
      </c>
      <c r="U71" s="87">
        <f t="shared" si="141"/>
        <v>235489.5</v>
      </c>
      <c r="V71" s="87">
        <f t="shared" si="142"/>
        <v>130806</v>
      </c>
      <c r="W71" s="87">
        <f t="shared" si="143"/>
        <v>164668.5</v>
      </c>
      <c r="X71" s="87">
        <f t="shared" si="144"/>
        <v>208593</v>
      </c>
      <c r="Y71" s="86">
        <f t="shared" si="145"/>
        <v>145512</v>
      </c>
      <c r="Z71" s="87">
        <f t="shared" si="146"/>
        <v>244197</v>
      </c>
      <c r="AA71" s="87">
        <f t="shared" si="147"/>
        <v>263547</v>
      </c>
      <c r="AB71" s="87">
        <f t="shared" si="148"/>
        <v>396868.5</v>
      </c>
      <c r="AC71" s="87">
        <f t="shared" si="149"/>
        <v>147060</v>
      </c>
      <c r="AD71" s="87">
        <f t="shared" si="150"/>
        <v>147253.5</v>
      </c>
      <c r="AE71" s="87">
        <f t="shared" si="151"/>
        <v>279607.5</v>
      </c>
      <c r="AF71" s="87">
        <f t="shared" si="152"/>
        <v>188275.5</v>
      </c>
      <c r="AG71" s="87">
        <f t="shared" si="153"/>
        <v>138352.5</v>
      </c>
      <c r="AH71" s="87">
        <f t="shared" si="154"/>
        <v>100233</v>
      </c>
      <c r="AI71" s="87">
        <f t="shared" si="155"/>
        <v>143620</v>
      </c>
      <c r="AJ71" s="87">
        <f t="shared" si="156"/>
        <v>0</v>
      </c>
      <c r="AK71" s="86">
        <f t="shared" si="157"/>
        <v>0</v>
      </c>
      <c r="AL71" s="85">
        <v>776</v>
      </c>
      <c r="AM71" s="85">
        <v>1216</v>
      </c>
      <c r="AN71" s="85">
        <v>702</v>
      </c>
      <c r="AO71" s="85">
        <v>784</v>
      </c>
      <c r="AP71" s="85">
        <v>992</v>
      </c>
      <c r="AQ71" s="86">
        <v>612</v>
      </c>
      <c r="AR71" s="87">
        <v>1075</v>
      </c>
      <c r="AS71" s="87">
        <v>1375</v>
      </c>
      <c r="AT71" s="87">
        <v>1744</v>
      </c>
      <c r="AU71" s="87">
        <v>613</v>
      </c>
      <c r="AV71" s="87">
        <v>1065</v>
      </c>
      <c r="AW71" s="87">
        <v>2028</v>
      </c>
      <c r="AX71" s="87">
        <v>2191</v>
      </c>
      <c r="AY71" s="87">
        <v>872</v>
      </c>
      <c r="AZ71" s="87">
        <v>614</v>
      </c>
      <c r="BA71" s="87">
        <v>654</v>
      </c>
      <c r="BB71" s="87">
        <v>877</v>
      </c>
      <c r="BC71" s="86">
        <v>622</v>
      </c>
      <c r="BD71" s="87">
        <v>1234</v>
      </c>
      <c r="BE71" s="87">
        <v>1202</v>
      </c>
      <c r="BF71" s="87">
        <v>2001</v>
      </c>
      <c r="BG71" s="87">
        <v>684</v>
      </c>
      <c r="BH71" s="87">
        <v>583</v>
      </c>
      <c r="BI71" s="87">
        <v>1296</v>
      </c>
      <c r="BJ71" s="40">
        <v>906</v>
      </c>
      <c r="BK71" s="40">
        <v>690</v>
      </c>
      <c r="BL71" s="40">
        <v>493</v>
      </c>
      <c r="BM71" s="40">
        <v>658</v>
      </c>
      <c r="BO71" s="86"/>
      <c r="BP71" s="21">
        <v>64</v>
      </c>
      <c r="BQ71" s="21">
        <v>79</v>
      </c>
      <c r="BR71" s="21">
        <v>153</v>
      </c>
      <c r="BS71" s="21">
        <v>113</v>
      </c>
      <c r="BT71" s="21">
        <v>178</v>
      </c>
      <c r="BU71" s="42">
        <v>110</v>
      </c>
      <c r="BV71" s="21">
        <v>139</v>
      </c>
      <c r="BW71" s="21">
        <v>87</v>
      </c>
      <c r="BX71" s="21">
        <v>183</v>
      </c>
      <c r="BY71" s="21">
        <v>74</v>
      </c>
      <c r="BZ71" s="21">
        <v>288</v>
      </c>
      <c r="CA71" s="21">
        <v>158</v>
      </c>
      <c r="CB71" s="21">
        <v>42</v>
      </c>
      <c r="CC71" s="21">
        <v>345</v>
      </c>
      <c r="CD71" s="21">
        <v>62</v>
      </c>
      <c r="CE71" s="21">
        <v>197</v>
      </c>
      <c r="CF71" s="21">
        <v>201</v>
      </c>
      <c r="CG71" s="42">
        <v>130</v>
      </c>
      <c r="CH71" s="21">
        <v>28</v>
      </c>
      <c r="CI71" s="21">
        <v>160</v>
      </c>
      <c r="CJ71" s="21">
        <v>50</v>
      </c>
      <c r="CK71" s="21">
        <v>76</v>
      </c>
      <c r="CL71" s="21">
        <v>178</v>
      </c>
      <c r="CM71" s="21">
        <v>149</v>
      </c>
      <c r="CN71" s="21">
        <v>67</v>
      </c>
      <c r="CO71" s="21">
        <v>25</v>
      </c>
      <c r="CP71" s="21">
        <f t="shared" si="158"/>
        <v>25</v>
      </c>
      <c r="CQ71" s="344">
        <f t="shared" si="159"/>
        <v>84.222222222222229</v>
      </c>
      <c r="CR71" s="87"/>
      <c r="CS71" s="86"/>
      <c r="CT71" s="85">
        <f t="shared" si="99"/>
        <v>840</v>
      </c>
      <c r="CU71" s="85">
        <f t="shared" si="100"/>
        <v>1295</v>
      </c>
      <c r="CV71" s="85">
        <f t="shared" si="101"/>
        <v>855</v>
      </c>
      <c r="CW71" s="85">
        <f t="shared" si="102"/>
        <v>897</v>
      </c>
      <c r="CX71" s="85">
        <f t="shared" si="103"/>
        <v>1170</v>
      </c>
      <c r="CY71" s="86">
        <f t="shared" si="104"/>
        <v>722</v>
      </c>
      <c r="CZ71" s="87">
        <f t="shared" si="105"/>
        <v>1214</v>
      </c>
      <c r="DA71" s="87">
        <f t="shared" si="106"/>
        <v>1462</v>
      </c>
      <c r="DB71" s="87">
        <f t="shared" si="107"/>
        <v>1927</v>
      </c>
      <c r="DC71" s="87">
        <f t="shared" si="108"/>
        <v>687</v>
      </c>
      <c r="DD71" s="87">
        <f t="shared" si="109"/>
        <v>1353</v>
      </c>
      <c r="DE71" s="87">
        <f t="shared" si="110"/>
        <v>2186</v>
      </c>
      <c r="DF71" s="87">
        <f t="shared" si="111"/>
        <v>2233</v>
      </c>
      <c r="DG71" s="87">
        <f t="shared" si="112"/>
        <v>1217</v>
      </c>
      <c r="DH71" s="87">
        <f t="shared" si="113"/>
        <v>676</v>
      </c>
      <c r="DI71" s="87">
        <f t="shared" si="114"/>
        <v>851</v>
      </c>
      <c r="DJ71" s="87">
        <f t="shared" si="115"/>
        <v>1078</v>
      </c>
      <c r="DK71" s="86">
        <f t="shared" si="116"/>
        <v>752</v>
      </c>
      <c r="DL71" s="87">
        <f t="shared" si="117"/>
        <v>1262</v>
      </c>
      <c r="DM71" s="87">
        <f t="shared" si="118"/>
        <v>1362</v>
      </c>
      <c r="DN71" s="87">
        <f t="shared" si="119"/>
        <v>2051</v>
      </c>
      <c r="DO71" s="87">
        <f t="shared" si="120"/>
        <v>760</v>
      </c>
      <c r="DP71" s="87">
        <f t="shared" si="121"/>
        <v>761</v>
      </c>
      <c r="DQ71" s="87">
        <f t="shared" si="122"/>
        <v>1445</v>
      </c>
      <c r="DR71" s="87">
        <f t="shared" si="97"/>
        <v>973</v>
      </c>
      <c r="DS71" s="87">
        <f t="shared" si="98"/>
        <v>715</v>
      </c>
      <c r="DT71" s="87">
        <f t="shared" si="123"/>
        <v>518</v>
      </c>
      <c r="DU71" s="87">
        <f t="shared" si="124"/>
        <v>742.22222222222217</v>
      </c>
      <c r="DV71" s="87">
        <f t="shared" si="125"/>
        <v>0</v>
      </c>
      <c r="DW71" s="87">
        <f t="shared" si="126"/>
        <v>0</v>
      </c>
    </row>
    <row r="72" spans="1:127">
      <c r="A72" s="22" t="s">
        <v>4</v>
      </c>
      <c r="B72" s="26">
        <v>4987176151322</v>
      </c>
      <c r="C72" s="22" t="s">
        <v>10</v>
      </c>
      <c r="D72" s="22" t="s">
        <v>14</v>
      </c>
      <c r="E72" s="22">
        <v>172934</v>
      </c>
      <c r="F72" s="80" t="s">
        <v>181</v>
      </c>
      <c r="G72" s="25">
        <v>193.5</v>
      </c>
      <c r="H72" s="85">
        <f t="shared" si="128"/>
        <v>61146</v>
      </c>
      <c r="I72" s="85">
        <f t="shared" si="129"/>
        <v>110295</v>
      </c>
      <c r="J72" s="85">
        <f t="shared" si="130"/>
        <v>65790</v>
      </c>
      <c r="K72" s="85">
        <f t="shared" si="131"/>
        <v>74691</v>
      </c>
      <c r="L72" s="85">
        <f t="shared" si="132"/>
        <v>96363</v>
      </c>
      <c r="M72" s="86">
        <f t="shared" si="133"/>
        <v>60759</v>
      </c>
      <c r="N72" s="87">
        <f t="shared" si="134"/>
        <v>105264</v>
      </c>
      <c r="O72" s="87">
        <f t="shared" si="135"/>
        <v>137578.5</v>
      </c>
      <c r="P72" s="87">
        <f t="shared" si="136"/>
        <v>190597.5</v>
      </c>
      <c r="Q72" s="87">
        <f t="shared" si="137"/>
        <v>38119.5</v>
      </c>
      <c r="R72" s="87">
        <f t="shared" si="138"/>
        <v>90945</v>
      </c>
      <c r="S72" s="87">
        <f t="shared" si="139"/>
        <v>138933</v>
      </c>
      <c r="T72" s="87">
        <f t="shared" si="140"/>
        <v>150736.5</v>
      </c>
      <c r="U72" s="87">
        <f t="shared" si="141"/>
        <v>70434</v>
      </c>
      <c r="V72" s="87">
        <f t="shared" si="142"/>
        <v>42763.5</v>
      </c>
      <c r="W72" s="87">
        <f t="shared" si="143"/>
        <v>52825.5</v>
      </c>
      <c r="X72" s="87">
        <f t="shared" si="144"/>
        <v>82044</v>
      </c>
      <c r="Y72" s="86">
        <f t="shared" si="145"/>
        <v>54373.5</v>
      </c>
      <c r="Z72" s="87">
        <f t="shared" si="146"/>
        <v>103522.5</v>
      </c>
      <c r="AA72" s="87">
        <f t="shared" si="147"/>
        <v>93073.5</v>
      </c>
      <c r="AB72" s="87">
        <f t="shared" si="148"/>
        <v>156928.5</v>
      </c>
      <c r="AC72" s="87">
        <f t="shared" si="149"/>
        <v>56889</v>
      </c>
      <c r="AD72" s="87">
        <f t="shared" si="150"/>
        <v>45859.5</v>
      </c>
      <c r="AE72" s="87">
        <f t="shared" si="151"/>
        <v>98491.5</v>
      </c>
      <c r="AF72" s="87">
        <f t="shared" si="152"/>
        <v>74304</v>
      </c>
      <c r="AG72" s="87">
        <f t="shared" si="153"/>
        <v>51084</v>
      </c>
      <c r="AH72" s="87">
        <f t="shared" si="154"/>
        <v>42763.5</v>
      </c>
      <c r="AI72" s="87">
        <f t="shared" si="155"/>
        <v>52589</v>
      </c>
      <c r="AJ72" s="87">
        <f t="shared" si="156"/>
        <v>0</v>
      </c>
      <c r="AK72" s="86">
        <f t="shared" si="157"/>
        <v>0</v>
      </c>
      <c r="AL72" s="85">
        <v>287</v>
      </c>
      <c r="AM72" s="85">
        <v>536</v>
      </c>
      <c r="AN72" s="85">
        <v>288</v>
      </c>
      <c r="AO72" s="85">
        <v>344</v>
      </c>
      <c r="AP72" s="85">
        <v>413</v>
      </c>
      <c r="AQ72" s="86">
        <v>273</v>
      </c>
      <c r="AR72" s="87">
        <v>492</v>
      </c>
      <c r="AS72" s="87">
        <v>674</v>
      </c>
      <c r="AT72" s="87">
        <v>899</v>
      </c>
      <c r="AU72" s="87">
        <v>182</v>
      </c>
      <c r="AV72" s="87">
        <v>402</v>
      </c>
      <c r="AW72" s="87">
        <v>687</v>
      </c>
      <c r="AX72" s="87">
        <v>763</v>
      </c>
      <c r="AY72" s="87">
        <v>294</v>
      </c>
      <c r="AZ72" s="87">
        <v>199</v>
      </c>
      <c r="BA72" s="87">
        <v>235</v>
      </c>
      <c r="BB72" s="87">
        <v>346</v>
      </c>
      <c r="BC72" s="86">
        <v>244</v>
      </c>
      <c r="BD72" s="87">
        <v>531</v>
      </c>
      <c r="BE72" s="87">
        <v>432</v>
      </c>
      <c r="BF72" s="87">
        <v>795</v>
      </c>
      <c r="BG72" s="87">
        <v>276</v>
      </c>
      <c r="BH72" s="87">
        <v>220</v>
      </c>
      <c r="BI72" s="87">
        <v>457</v>
      </c>
      <c r="BJ72" s="40">
        <v>367</v>
      </c>
      <c r="BK72" s="40">
        <v>257</v>
      </c>
      <c r="BL72" s="40">
        <v>214</v>
      </c>
      <c r="BM72" s="40">
        <v>251</v>
      </c>
      <c r="BO72" s="86"/>
      <c r="BP72" s="21">
        <v>29</v>
      </c>
      <c r="BQ72" s="21">
        <v>34</v>
      </c>
      <c r="BR72" s="21">
        <v>52</v>
      </c>
      <c r="BS72" s="21">
        <v>42</v>
      </c>
      <c r="BT72" s="21">
        <v>85</v>
      </c>
      <c r="BU72" s="42">
        <v>41</v>
      </c>
      <c r="BV72" s="21">
        <v>52</v>
      </c>
      <c r="BW72" s="21">
        <v>37</v>
      </c>
      <c r="BX72" s="21">
        <v>86</v>
      </c>
      <c r="BY72" s="21">
        <v>15</v>
      </c>
      <c r="BZ72" s="21">
        <v>68</v>
      </c>
      <c r="CA72" s="21">
        <v>31</v>
      </c>
      <c r="CB72" s="21">
        <v>16</v>
      </c>
      <c r="CC72" s="21">
        <v>70</v>
      </c>
      <c r="CD72" s="21">
        <v>22</v>
      </c>
      <c r="CE72" s="21">
        <v>38</v>
      </c>
      <c r="CF72" s="21">
        <v>78</v>
      </c>
      <c r="CG72" s="42">
        <v>37</v>
      </c>
      <c r="CH72" s="21">
        <v>4</v>
      </c>
      <c r="CI72" s="21">
        <v>49</v>
      </c>
      <c r="CJ72" s="21">
        <v>16</v>
      </c>
      <c r="CK72" s="21">
        <v>18</v>
      </c>
      <c r="CL72" s="21">
        <v>17</v>
      </c>
      <c r="CM72" s="21">
        <v>52</v>
      </c>
      <c r="CN72" s="21">
        <v>17</v>
      </c>
      <c r="CO72" s="21">
        <v>7</v>
      </c>
      <c r="CP72" s="21">
        <f t="shared" si="158"/>
        <v>7</v>
      </c>
      <c r="CQ72" s="344">
        <f t="shared" si="159"/>
        <v>20.777777777777779</v>
      </c>
      <c r="CR72" s="87"/>
      <c r="CS72" s="86"/>
      <c r="CT72" s="85">
        <f t="shared" si="99"/>
        <v>316</v>
      </c>
      <c r="CU72" s="85">
        <f t="shared" si="100"/>
        <v>570</v>
      </c>
      <c r="CV72" s="85">
        <f t="shared" si="101"/>
        <v>340</v>
      </c>
      <c r="CW72" s="85">
        <f t="shared" si="102"/>
        <v>386</v>
      </c>
      <c r="CX72" s="85">
        <f t="shared" si="103"/>
        <v>498</v>
      </c>
      <c r="CY72" s="86">
        <f t="shared" si="104"/>
        <v>314</v>
      </c>
      <c r="CZ72" s="87">
        <f t="shared" si="105"/>
        <v>544</v>
      </c>
      <c r="DA72" s="87">
        <f t="shared" si="106"/>
        <v>711</v>
      </c>
      <c r="DB72" s="87">
        <f t="shared" si="107"/>
        <v>985</v>
      </c>
      <c r="DC72" s="87">
        <f t="shared" si="108"/>
        <v>197</v>
      </c>
      <c r="DD72" s="87">
        <f t="shared" si="109"/>
        <v>470</v>
      </c>
      <c r="DE72" s="87">
        <f t="shared" si="110"/>
        <v>718</v>
      </c>
      <c r="DF72" s="87">
        <f t="shared" si="111"/>
        <v>779</v>
      </c>
      <c r="DG72" s="87">
        <f t="shared" si="112"/>
        <v>364</v>
      </c>
      <c r="DH72" s="87">
        <f t="shared" si="113"/>
        <v>221</v>
      </c>
      <c r="DI72" s="87">
        <f t="shared" si="114"/>
        <v>273</v>
      </c>
      <c r="DJ72" s="87">
        <f t="shared" si="115"/>
        <v>424</v>
      </c>
      <c r="DK72" s="86">
        <f t="shared" si="116"/>
        <v>281</v>
      </c>
      <c r="DL72" s="87">
        <f t="shared" si="117"/>
        <v>535</v>
      </c>
      <c r="DM72" s="87">
        <f t="shared" si="118"/>
        <v>481</v>
      </c>
      <c r="DN72" s="87">
        <f t="shared" si="119"/>
        <v>811</v>
      </c>
      <c r="DO72" s="87">
        <f t="shared" si="120"/>
        <v>294</v>
      </c>
      <c r="DP72" s="87">
        <f t="shared" si="121"/>
        <v>237</v>
      </c>
      <c r="DQ72" s="87">
        <f t="shared" si="122"/>
        <v>509</v>
      </c>
      <c r="DR72" s="87">
        <f t="shared" si="97"/>
        <v>384</v>
      </c>
      <c r="DS72" s="87">
        <f t="shared" si="98"/>
        <v>264</v>
      </c>
      <c r="DT72" s="87">
        <f t="shared" si="123"/>
        <v>221</v>
      </c>
      <c r="DU72" s="87">
        <f t="shared" si="124"/>
        <v>271.77777777777777</v>
      </c>
      <c r="DV72" s="87">
        <f t="shared" si="125"/>
        <v>0</v>
      </c>
      <c r="DW72" s="87">
        <f t="shared" si="126"/>
        <v>0</v>
      </c>
    </row>
    <row r="73" spans="1:127">
      <c r="A73" s="22" t="s">
        <v>4</v>
      </c>
      <c r="B73" s="26">
        <v>4987176103185</v>
      </c>
      <c r="C73" s="22" t="s">
        <v>10</v>
      </c>
      <c r="D73" s="22" t="s">
        <v>14</v>
      </c>
      <c r="E73" s="22">
        <v>127695</v>
      </c>
      <c r="F73" s="80" t="s">
        <v>182</v>
      </c>
      <c r="G73" s="25">
        <v>37.300000000000004</v>
      </c>
      <c r="H73" s="85">
        <f t="shared" si="128"/>
        <v>74.600000000000009</v>
      </c>
      <c r="I73" s="85">
        <f t="shared" si="129"/>
        <v>149.20000000000002</v>
      </c>
      <c r="J73" s="85">
        <f t="shared" si="130"/>
        <v>0</v>
      </c>
      <c r="K73" s="85">
        <f t="shared" si="131"/>
        <v>37.300000000000004</v>
      </c>
      <c r="L73" s="85">
        <f t="shared" si="132"/>
        <v>0</v>
      </c>
      <c r="M73" s="86">
        <f t="shared" si="133"/>
        <v>0</v>
      </c>
      <c r="N73" s="87">
        <f t="shared" si="134"/>
        <v>0</v>
      </c>
      <c r="O73" s="87">
        <f t="shared" si="135"/>
        <v>0</v>
      </c>
      <c r="P73" s="87">
        <f t="shared" si="136"/>
        <v>0</v>
      </c>
      <c r="Q73" s="87">
        <f t="shared" si="137"/>
        <v>0</v>
      </c>
      <c r="R73" s="87">
        <f t="shared" si="138"/>
        <v>37.300000000000004</v>
      </c>
      <c r="S73" s="87">
        <f t="shared" si="139"/>
        <v>0</v>
      </c>
      <c r="T73" s="87">
        <f t="shared" si="140"/>
        <v>0</v>
      </c>
      <c r="U73" s="87">
        <f t="shared" si="141"/>
        <v>0</v>
      </c>
      <c r="V73" s="87">
        <f t="shared" si="142"/>
        <v>0</v>
      </c>
      <c r="W73" s="87">
        <f t="shared" si="143"/>
        <v>0</v>
      </c>
      <c r="X73" s="87">
        <f t="shared" si="144"/>
        <v>37.300000000000004</v>
      </c>
      <c r="Y73" s="86">
        <f t="shared" si="145"/>
        <v>0</v>
      </c>
      <c r="Z73" s="87">
        <f t="shared" si="146"/>
        <v>0</v>
      </c>
      <c r="AA73" s="87">
        <f t="shared" si="147"/>
        <v>0</v>
      </c>
      <c r="AB73" s="87">
        <f t="shared" si="148"/>
        <v>0</v>
      </c>
      <c r="AC73" s="87">
        <f t="shared" si="149"/>
        <v>0</v>
      </c>
      <c r="AD73" s="87">
        <f t="shared" si="150"/>
        <v>0</v>
      </c>
      <c r="AE73" s="87">
        <f t="shared" si="151"/>
        <v>0</v>
      </c>
      <c r="AF73" s="87">
        <f t="shared" si="152"/>
        <v>0</v>
      </c>
      <c r="AG73" s="87">
        <f t="shared" si="153"/>
        <v>0</v>
      </c>
      <c r="AH73" s="87">
        <f t="shared" si="154"/>
        <v>0</v>
      </c>
      <c r="AI73" s="87">
        <f t="shared" si="155"/>
        <v>0</v>
      </c>
      <c r="AJ73" s="87">
        <f t="shared" si="156"/>
        <v>0</v>
      </c>
      <c r="AK73" s="86">
        <f t="shared" si="157"/>
        <v>0</v>
      </c>
      <c r="AL73" s="85">
        <v>2</v>
      </c>
      <c r="AM73" s="85">
        <v>4</v>
      </c>
      <c r="AN73" s="85">
        <v>0</v>
      </c>
      <c r="AO73" s="85">
        <v>1</v>
      </c>
      <c r="AP73" s="85">
        <v>0</v>
      </c>
      <c r="AQ73" s="86">
        <v>0</v>
      </c>
      <c r="AR73" s="87">
        <v>0</v>
      </c>
      <c r="AS73" s="87">
        <v>0</v>
      </c>
      <c r="AT73" s="87">
        <v>0</v>
      </c>
      <c r="AU73" s="87">
        <v>0</v>
      </c>
      <c r="AV73" s="87">
        <v>1</v>
      </c>
      <c r="AW73" s="87">
        <v>0</v>
      </c>
      <c r="AX73" s="87">
        <v>0</v>
      </c>
      <c r="AY73" s="87">
        <v>0</v>
      </c>
      <c r="AZ73" s="87">
        <v>0</v>
      </c>
      <c r="BA73" s="87">
        <v>0</v>
      </c>
      <c r="BB73" s="87">
        <v>1</v>
      </c>
      <c r="BC73" s="86">
        <v>0</v>
      </c>
      <c r="BD73" s="87">
        <v>0</v>
      </c>
      <c r="BE73" s="87">
        <v>0</v>
      </c>
      <c r="BF73" s="87">
        <v>0</v>
      </c>
      <c r="BG73" s="87">
        <v>0</v>
      </c>
      <c r="BH73" s="87">
        <v>0</v>
      </c>
      <c r="BI73" s="87">
        <v>0</v>
      </c>
      <c r="BJ73" s="40">
        <v>0</v>
      </c>
      <c r="BK73" s="40">
        <v>0</v>
      </c>
      <c r="BL73" s="40">
        <v>0</v>
      </c>
      <c r="BM73" s="40">
        <v>0</v>
      </c>
      <c r="BO73" s="86"/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42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42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f t="shared" si="158"/>
        <v>0</v>
      </c>
      <c r="CQ73" s="344">
        <f t="shared" si="159"/>
        <v>0</v>
      </c>
      <c r="CR73" s="87"/>
      <c r="CS73" s="86"/>
      <c r="CT73" s="85">
        <f t="shared" ref="CT73:CT104" si="160">AL73+BP73</f>
        <v>2</v>
      </c>
      <c r="CU73" s="85">
        <f t="shared" ref="CU73:CU104" si="161">AM73+BQ73</f>
        <v>4</v>
      </c>
      <c r="CV73" s="85">
        <f t="shared" ref="CV73:CV104" si="162">AN73+BR73</f>
        <v>0</v>
      </c>
      <c r="CW73" s="85">
        <f t="shared" ref="CW73:CW104" si="163">AO73+BS73</f>
        <v>1</v>
      </c>
      <c r="CX73" s="85">
        <f t="shared" ref="CX73:CX104" si="164">AP73+BT73</f>
        <v>0</v>
      </c>
      <c r="CY73" s="86">
        <f t="shared" ref="CY73:CY104" si="165">AQ73+BU73</f>
        <v>0</v>
      </c>
      <c r="CZ73" s="87">
        <f t="shared" ref="CZ73:CZ104" si="166">AR73+BV73</f>
        <v>0</v>
      </c>
      <c r="DA73" s="87">
        <f t="shared" ref="DA73:DA104" si="167">AS73+BW73</f>
        <v>0</v>
      </c>
      <c r="DB73" s="87">
        <f t="shared" ref="DB73:DB104" si="168">AT73+BX73</f>
        <v>0</v>
      </c>
      <c r="DC73" s="87">
        <f t="shared" ref="DC73:DC104" si="169">AU73+BY73</f>
        <v>0</v>
      </c>
      <c r="DD73" s="87">
        <f t="shared" ref="DD73:DD104" si="170">AV73+BZ73</f>
        <v>1</v>
      </c>
      <c r="DE73" s="87">
        <f t="shared" ref="DE73:DE104" si="171">AW73+CA73</f>
        <v>0</v>
      </c>
      <c r="DF73" s="87">
        <f t="shared" ref="DF73:DF104" si="172">AX73+CB73</f>
        <v>0</v>
      </c>
      <c r="DG73" s="87">
        <f t="shared" ref="DG73:DG104" si="173">AY73+CC73</f>
        <v>0</v>
      </c>
      <c r="DH73" s="87">
        <f t="shared" ref="DH73:DH104" si="174">AZ73+CD73</f>
        <v>0</v>
      </c>
      <c r="DI73" s="87">
        <f t="shared" ref="DI73:DI104" si="175">BA73+CE73</f>
        <v>0</v>
      </c>
      <c r="DJ73" s="87">
        <f t="shared" ref="DJ73:DJ104" si="176">BB73+CF73</f>
        <v>1</v>
      </c>
      <c r="DK73" s="86">
        <f t="shared" ref="DK73:DK104" si="177">BC73+CG73</f>
        <v>0</v>
      </c>
      <c r="DL73" s="87">
        <f t="shared" ref="DL73:DL104" si="178">BD73+CH73</f>
        <v>0</v>
      </c>
      <c r="DM73" s="87">
        <f t="shared" ref="DM73:DM104" si="179">BE73+CI73</f>
        <v>0</v>
      </c>
      <c r="DN73" s="87">
        <f t="shared" ref="DN73:DN104" si="180">BF73+CJ73</f>
        <v>0</v>
      </c>
      <c r="DO73" s="87">
        <f t="shared" ref="DO73:DO104" si="181">BG73+CK73</f>
        <v>0</v>
      </c>
      <c r="DP73" s="87">
        <f t="shared" ref="DP73:DP104" si="182">BH73+CL73</f>
        <v>0</v>
      </c>
      <c r="DQ73" s="87">
        <f t="shared" ref="DQ73:DQ104" si="183">BI73+CM73</f>
        <v>0</v>
      </c>
      <c r="DR73" s="87">
        <f t="shared" si="97"/>
        <v>0</v>
      </c>
      <c r="DS73" s="87">
        <f t="shared" si="98"/>
        <v>0</v>
      </c>
      <c r="DT73" s="87">
        <f t="shared" ref="DT73:DT107" si="184">BL73+CP73</f>
        <v>0</v>
      </c>
      <c r="DU73" s="87">
        <f t="shared" ref="DU73:DU107" si="185">BM73+CQ73</f>
        <v>0</v>
      </c>
      <c r="DV73" s="87">
        <f t="shared" ref="DV73:DV107" si="186">BN73+CR73</f>
        <v>0</v>
      </c>
      <c r="DW73" s="87">
        <f t="shared" ref="DW73:DW107" si="187">BO73+CS73</f>
        <v>0</v>
      </c>
    </row>
    <row r="74" spans="1:127">
      <c r="A74" s="22" t="s">
        <v>4</v>
      </c>
      <c r="B74" s="26">
        <v>4987176226860</v>
      </c>
      <c r="C74" s="22" t="s">
        <v>10</v>
      </c>
      <c r="D74" s="22" t="s">
        <v>14</v>
      </c>
      <c r="E74" s="22">
        <v>235597</v>
      </c>
      <c r="F74" s="80" t="s">
        <v>183</v>
      </c>
      <c r="G74" s="25">
        <v>68</v>
      </c>
      <c r="H74" s="85">
        <f t="shared" si="128"/>
        <v>0</v>
      </c>
      <c r="I74" s="85">
        <f t="shared" si="129"/>
        <v>0</v>
      </c>
      <c r="J74" s="85">
        <f t="shared" si="130"/>
        <v>153816</v>
      </c>
      <c r="K74" s="85">
        <f t="shared" si="131"/>
        <v>161228</v>
      </c>
      <c r="L74" s="85">
        <f t="shared" si="132"/>
        <v>38216</v>
      </c>
      <c r="M74" s="86">
        <f t="shared" si="133"/>
        <v>27744</v>
      </c>
      <c r="N74" s="87">
        <f t="shared" si="134"/>
        <v>19992</v>
      </c>
      <c r="O74" s="87">
        <f t="shared" si="135"/>
        <v>19108</v>
      </c>
      <c r="P74" s="87">
        <f t="shared" si="136"/>
        <v>60588</v>
      </c>
      <c r="Q74" s="87">
        <f t="shared" si="137"/>
        <v>129812</v>
      </c>
      <c r="R74" s="87">
        <f t="shared" si="138"/>
        <v>29036</v>
      </c>
      <c r="S74" s="87">
        <f t="shared" si="139"/>
        <v>19924</v>
      </c>
      <c r="T74" s="87">
        <f t="shared" si="140"/>
        <v>16660</v>
      </c>
      <c r="U74" s="87">
        <f t="shared" si="141"/>
        <v>14076</v>
      </c>
      <c r="V74" s="87">
        <f t="shared" si="142"/>
        <v>10472</v>
      </c>
      <c r="W74" s="87">
        <f t="shared" si="143"/>
        <v>9996</v>
      </c>
      <c r="X74" s="87">
        <f t="shared" si="144"/>
        <v>15708</v>
      </c>
      <c r="Y74" s="86">
        <f t="shared" si="145"/>
        <v>8840</v>
      </c>
      <c r="Z74" s="87">
        <f t="shared" si="146"/>
        <v>6324</v>
      </c>
      <c r="AA74" s="87">
        <f t="shared" si="147"/>
        <v>3196</v>
      </c>
      <c r="AB74" s="87">
        <f t="shared" si="148"/>
        <v>8364</v>
      </c>
      <c r="AC74" s="87">
        <f t="shared" si="149"/>
        <v>11764</v>
      </c>
      <c r="AD74" s="87">
        <f t="shared" si="150"/>
        <v>8704</v>
      </c>
      <c r="AE74" s="87">
        <f t="shared" si="151"/>
        <v>3060</v>
      </c>
      <c r="AF74" s="87">
        <f t="shared" si="152"/>
        <v>1428</v>
      </c>
      <c r="AG74" s="87">
        <f t="shared" si="153"/>
        <v>1156</v>
      </c>
      <c r="AH74" s="87">
        <f t="shared" si="154"/>
        <v>408</v>
      </c>
      <c r="AI74" s="87">
        <f t="shared" si="155"/>
        <v>2969.333333333333</v>
      </c>
      <c r="AJ74" s="87">
        <f t="shared" si="156"/>
        <v>0</v>
      </c>
      <c r="AK74" s="86">
        <f t="shared" si="157"/>
        <v>0</v>
      </c>
      <c r="AL74" s="85">
        <v>0</v>
      </c>
      <c r="AM74" s="85">
        <v>0</v>
      </c>
      <c r="AN74" s="85">
        <v>2146</v>
      </c>
      <c r="AO74" s="85">
        <v>2198</v>
      </c>
      <c r="AP74" s="85">
        <v>525</v>
      </c>
      <c r="AQ74" s="86">
        <v>345</v>
      </c>
      <c r="AR74" s="87">
        <v>260</v>
      </c>
      <c r="AS74" s="87">
        <v>224</v>
      </c>
      <c r="AT74" s="87">
        <v>805</v>
      </c>
      <c r="AU74" s="87">
        <v>1774</v>
      </c>
      <c r="AV74" s="87">
        <v>314</v>
      </c>
      <c r="AW74" s="87">
        <v>258</v>
      </c>
      <c r="AX74" s="87">
        <v>214</v>
      </c>
      <c r="AY74" s="87">
        <v>138</v>
      </c>
      <c r="AZ74" s="87">
        <v>100</v>
      </c>
      <c r="BA74" s="87">
        <v>88</v>
      </c>
      <c r="BB74" s="87">
        <v>103</v>
      </c>
      <c r="BC74" s="86">
        <v>56</v>
      </c>
      <c r="BD74" s="87">
        <v>69</v>
      </c>
      <c r="BE74" s="87">
        <v>23</v>
      </c>
      <c r="BF74" s="87">
        <v>26</v>
      </c>
      <c r="BG74" s="87">
        <v>48</v>
      </c>
      <c r="BH74" s="87">
        <v>69</v>
      </c>
      <c r="BI74" s="87">
        <v>44</v>
      </c>
      <c r="BJ74" s="40">
        <v>21</v>
      </c>
      <c r="BK74" s="40">
        <v>17</v>
      </c>
      <c r="BL74" s="40">
        <v>6</v>
      </c>
      <c r="BM74" s="40">
        <v>7</v>
      </c>
      <c r="BO74" s="86"/>
      <c r="BP74" s="21">
        <v>0</v>
      </c>
      <c r="BQ74" s="21">
        <v>0</v>
      </c>
      <c r="BR74" s="21">
        <v>116</v>
      </c>
      <c r="BS74" s="21">
        <v>173</v>
      </c>
      <c r="BT74" s="21">
        <v>37</v>
      </c>
      <c r="BU74" s="42">
        <v>63</v>
      </c>
      <c r="BV74" s="21">
        <v>34</v>
      </c>
      <c r="BW74" s="21">
        <v>57</v>
      </c>
      <c r="BX74" s="21">
        <v>86</v>
      </c>
      <c r="BY74" s="21">
        <v>135</v>
      </c>
      <c r="BZ74" s="21">
        <v>113</v>
      </c>
      <c r="CA74" s="21">
        <v>35</v>
      </c>
      <c r="CB74" s="21">
        <v>31</v>
      </c>
      <c r="CC74" s="21">
        <v>69</v>
      </c>
      <c r="CD74" s="21">
        <v>54</v>
      </c>
      <c r="CE74" s="21">
        <v>59</v>
      </c>
      <c r="CF74" s="21">
        <v>128</v>
      </c>
      <c r="CG74" s="42">
        <v>74</v>
      </c>
      <c r="CH74" s="21">
        <v>24</v>
      </c>
      <c r="CI74" s="21">
        <v>24</v>
      </c>
      <c r="CJ74" s="21">
        <v>97</v>
      </c>
      <c r="CK74" s="21">
        <v>125</v>
      </c>
      <c r="CL74" s="21">
        <v>59</v>
      </c>
      <c r="CM74" s="21">
        <v>1</v>
      </c>
      <c r="CN74" s="21">
        <v>0</v>
      </c>
      <c r="CO74" s="21">
        <v>0</v>
      </c>
      <c r="CP74" s="21">
        <f t="shared" si="158"/>
        <v>0</v>
      </c>
      <c r="CQ74" s="344">
        <f t="shared" si="159"/>
        <v>36.666666666666664</v>
      </c>
      <c r="CR74" s="87"/>
      <c r="CS74" s="86"/>
      <c r="CT74" s="85">
        <f t="shared" si="160"/>
        <v>0</v>
      </c>
      <c r="CU74" s="85">
        <f t="shared" si="161"/>
        <v>0</v>
      </c>
      <c r="CV74" s="85">
        <f t="shared" si="162"/>
        <v>2262</v>
      </c>
      <c r="CW74" s="85">
        <f t="shared" si="163"/>
        <v>2371</v>
      </c>
      <c r="CX74" s="85">
        <f t="shared" si="164"/>
        <v>562</v>
      </c>
      <c r="CY74" s="86">
        <f t="shared" si="165"/>
        <v>408</v>
      </c>
      <c r="CZ74" s="87">
        <f t="shared" si="166"/>
        <v>294</v>
      </c>
      <c r="DA74" s="87">
        <f t="shared" si="167"/>
        <v>281</v>
      </c>
      <c r="DB74" s="87">
        <f t="shared" si="168"/>
        <v>891</v>
      </c>
      <c r="DC74" s="87">
        <f t="shared" si="169"/>
        <v>1909</v>
      </c>
      <c r="DD74" s="87">
        <f t="shared" si="170"/>
        <v>427</v>
      </c>
      <c r="DE74" s="87">
        <f t="shared" si="171"/>
        <v>293</v>
      </c>
      <c r="DF74" s="87">
        <f t="shared" si="172"/>
        <v>245</v>
      </c>
      <c r="DG74" s="87">
        <f t="shared" si="173"/>
        <v>207</v>
      </c>
      <c r="DH74" s="87">
        <f t="shared" si="174"/>
        <v>154</v>
      </c>
      <c r="DI74" s="87">
        <f t="shared" si="175"/>
        <v>147</v>
      </c>
      <c r="DJ74" s="87">
        <f t="shared" si="176"/>
        <v>231</v>
      </c>
      <c r="DK74" s="86">
        <f t="shared" si="177"/>
        <v>130</v>
      </c>
      <c r="DL74" s="87">
        <f t="shared" si="178"/>
        <v>93</v>
      </c>
      <c r="DM74" s="87">
        <f t="shared" si="179"/>
        <v>47</v>
      </c>
      <c r="DN74" s="87">
        <f t="shared" si="180"/>
        <v>123</v>
      </c>
      <c r="DO74" s="87">
        <f t="shared" si="181"/>
        <v>173</v>
      </c>
      <c r="DP74" s="87">
        <f t="shared" si="182"/>
        <v>128</v>
      </c>
      <c r="DQ74" s="87">
        <f t="shared" si="183"/>
        <v>45</v>
      </c>
      <c r="DR74" s="87">
        <f t="shared" si="97"/>
        <v>21</v>
      </c>
      <c r="DS74" s="87">
        <f t="shared" si="98"/>
        <v>17</v>
      </c>
      <c r="DT74" s="87">
        <f t="shared" si="184"/>
        <v>6</v>
      </c>
      <c r="DU74" s="87">
        <f t="shared" si="185"/>
        <v>43.666666666666664</v>
      </c>
      <c r="DV74" s="87">
        <f t="shared" si="186"/>
        <v>0</v>
      </c>
      <c r="DW74" s="87">
        <f t="shared" si="187"/>
        <v>0</v>
      </c>
    </row>
    <row r="75" spans="1:127">
      <c r="A75" s="22" t="s">
        <v>4</v>
      </c>
      <c r="B75" s="26">
        <v>4987176149978</v>
      </c>
      <c r="C75" s="22" t="s">
        <v>10</v>
      </c>
      <c r="D75" s="22" t="s">
        <v>84</v>
      </c>
      <c r="E75" s="22">
        <v>173220</v>
      </c>
      <c r="F75" s="80" t="s">
        <v>184</v>
      </c>
      <c r="G75" s="25">
        <v>130.4</v>
      </c>
      <c r="H75" s="85">
        <f t="shared" si="128"/>
        <v>12388</v>
      </c>
      <c r="I75" s="85">
        <f t="shared" si="129"/>
        <v>14213.6</v>
      </c>
      <c r="J75" s="85">
        <f t="shared" si="130"/>
        <v>11344.800000000001</v>
      </c>
      <c r="K75" s="85">
        <f t="shared" si="131"/>
        <v>11344.800000000001</v>
      </c>
      <c r="L75" s="85">
        <f t="shared" si="132"/>
        <v>16821.600000000002</v>
      </c>
      <c r="M75" s="86">
        <f t="shared" si="133"/>
        <v>13952.800000000001</v>
      </c>
      <c r="N75" s="87">
        <f t="shared" si="134"/>
        <v>12779.2</v>
      </c>
      <c r="O75" s="87">
        <f t="shared" si="135"/>
        <v>16300</v>
      </c>
      <c r="P75" s="87">
        <f t="shared" si="136"/>
        <v>8736.8000000000011</v>
      </c>
      <c r="Q75" s="87">
        <f t="shared" si="137"/>
        <v>11866.4</v>
      </c>
      <c r="R75" s="87">
        <f t="shared" si="138"/>
        <v>20994.400000000001</v>
      </c>
      <c r="S75" s="87">
        <f t="shared" si="139"/>
        <v>13561.6</v>
      </c>
      <c r="T75" s="87">
        <f t="shared" si="140"/>
        <v>13561.6</v>
      </c>
      <c r="U75" s="87">
        <f t="shared" si="141"/>
        <v>16952</v>
      </c>
      <c r="V75" s="87">
        <f t="shared" si="142"/>
        <v>20733.600000000002</v>
      </c>
      <c r="W75" s="87">
        <f t="shared" si="143"/>
        <v>24384.799999999999</v>
      </c>
      <c r="X75" s="87">
        <f t="shared" si="144"/>
        <v>12648.800000000001</v>
      </c>
      <c r="Y75" s="86">
        <f t="shared" si="145"/>
        <v>7172</v>
      </c>
      <c r="Z75" s="87">
        <f t="shared" si="146"/>
        <v>9649.6</v>
      </c>
      <c r="AA75" s="87">
        <f t="shared" si="147"/>
        <v>6911.2000000000007</v>
      </c>
      <c r="AB75" s="87">
        <f t="shared" si="148"/>
        <v>6911.2000000000007</v>
      </c>
      <c r="AC75" s="87">
        <f t="shared" si="149"/>
        <v>15778.400000000001</v>
      </c>
      <c r="AD75" s="87">
        <f t="shared" si="150"/>
        <v>19560</v>
      </c>
      <c r="AE75" s="87">
        <f t="shared" si="151"/>
        <v>18516.8</v>
      </c>
      <c r="AF75" s="87">
        <f t="shared" si="152"/>
        <v>15126.400000000001</v>
      </c>
      <c r="AG75" s="87">
        <f t="shared" si="153"/>
        <v>14865.6</v>
      </c>
      <c r="AH75" s="87">
        <f t="shared" si="154"/>
        <v>8997.6</v>
      </c>
      <c r="AI75" s="87">
        <f t="shared" si="155"/>
        <v>12982.044444444446</v>
      </c>
      <c r="AJ75" s="87">
        <f t="shared" si="156"/>
        <v>0</v>
      </c>
      <c r="AK75" s="86">
        <f t="shared" si="157"/>
        <v>0</v>
      </c>
      <c r="AL75" s="85">
        <v>62</v>
      </c>
      <c r="AM75" s="85">
        <v>84</v>
      </c>
      <c r="AN75" s="85">
        <v>53</v>
      </c>
      <c r="AO75" s="85">
        <v>51</v>
      </c>
      <c r="AP75" s="85">
        <v>89</v>
      </c>
      <c r="AQ75" s="86">
        <v>81</v>
      </c>
      <c r="AR75" s="87">
        <v>70</v>
      </c>
      <c r="AS75" s="87">
        <v>93</v>
      </c>
      <c r="AT75" s="87">
        <v>48</v>
      </c>
      <c r="AU75" s="87">
        <v>79</v>
      </c>
      <c r="AV75" s="87">
        <v>109</v>
      </c>
      <c r="AW75" s="87">
        <v>82</v>
      </c>
      <c r="AX75" s="87">
        <v>96</v>
      </c>
      <c r="AY75" s="87">
        <v>105</v>
      </c>
      <c r="AZ75" s="87">
        <v>126</v>
      </c>
      <c r="BA75" s="87">
        <v>84</v>
      </c>
      <c r="BB75" s="87">
        <v>84</v>
      </c>
      <c r="BC75" s="86">
        <v>55</v>
      </c>
      <c r="BD75" s="87">
        <v>74</v>
      </c>
      <c r="BE75" s="87">
        <v>10</v>
      </c>
      <c r="BF75" s="87">
        <v>22</v>
      </c>
      <c r="BG75" s="87">
        <v>77</v>
      </c>
      <c r="BH75" s="87">
        <v>120</v>
      </c>
      <c r="BI75" s="87">
        <v>120</v>
      </c>
      <c r="BJ75" s="40">
        <v>85</v>
      </c>
      <c r="BK75" s="40">
        <v>104</v>
      </c>
      <c r="BL75" s="40">
        <v>59</v>
      </c>
      <c r="BM75" s="40">
        <v>75</v>
      </c>
      <c r="BO75" s="86"/>
      <c r="BP75" s="21">
        <v>33</v>
      </c>
      <c r="BQ75" s="21">
        <v>25</v>
      </c>
      <c r="BR75" s="21">
        <v>34</v>
      </c>
      <c r="BS75" s="21">
        <v>36</v>
      </c>
      <c r="BT75" s="21">
        <v>40</v>
      </c>
      <c r="BU75" s="42">
        <v>26</v>
      </c>
      <c r="BV75" s="21">
        <v>28</v>
      </c>
      <c r="BW75" s="21">
        <v>32</v>
      </c>
      <c r="BX75" s="21">
        <v>19</v>
      </c>
      <c r="BY75" s="21">
        <v>12</v>
      </c>
      <c r="BZ75" s="21">
        <v>52</v>
      </c>
      <c r="CA75" s="21">
        <v>22</v>
      </c>
      <c r="CB75" s="21">
        <v>8</v>
      </c>
      <c r="CC75" s="21">
        <v>25</v>
      </c>
      <c r="CD75" s="21">
        <v>33</v>
      </c>
      <c r="CE75" s="21">
        <v>103</v>
      </c>
      <c r="CF75" s="21">
        <v>13</v>
      </c>
      <c r="CG75" s="42">
        <v>0</v>
      </c>
      <c r="CH75" s="21">
        <v>0</v>
      </c>
      <c r="CI75" s="21">
        <v>43</v>
      </c>
      <c r="CJ75" s="21">
        <v>31</v>
      </c>
      <c r="CK75" s="21">
        <v>44</v>
      </c>
      <c r="CL75" s="21">
        <v>30</v>
      </c>
      <c r="CM75" s="21">
        <v>22</v>
      </c>
      <c r="CN75" s="21">
        <v>31</v>
      </c>
      <c r="CO75" s="21">
        <v>10</v>
      </c>
      <c r="CP75" s="21">
        <f t="shared" si="158"/>
        <v>10</v>
      </c>
      <c r="CQ75" s="344">
        <f t="shared" si="159"/>
        <v>24.555555555555557</v>
      </c>
      <c r="CR75" s="87"/>
      <c r="CS75" s="86"/>
      <c r="CT75" s="85">
        <f t="shared" si="160"/>
        <v>95</v>
      </c>
      <c r="CU75" s="85">
        <f t="shared" si="161"/>
        <v>109</v>
      </c>
      <c r="CV75" s="85">
        <f t="shared" si="162"/>
        <v>87</v>
      </c>
      <c r="CW75" s="85">
        <f t="shared" si="163"/>
        <v>87</v>
      </c>
      <c r="CX75" s="85">
        <f t="shared" si="164"/>
        <v>129</v>
      </c>
      <c r="CY75" s="86">
        <f t="shared" si="165"/>
        <v>107</v>
      </c>
      <c r="CZ75" s="87">
        <f t="shared" si="166"/>
        <v>98</v>
      </c>
      <c r="DA75" s="87">
        <f t="shared" si="167"/>
        <v>125</v>
      </c>
      <c r="DB75" s="87">
        <f t="shared" si="168"/>
        <v>67</v>
      </c>
      <c r="DC75" s="87">
        <f t="shared" si="169"/>
        <v>91</v>
      </c>
      <c r="DD75" s="87">
        <f t="shared" si="170"/>
        <v>161</v>
      </c>
      <c r="DE75" s="87">
        <f t="shared" si="171"/>
        <v>104</v>
      </c>
      <c r="DF75" s="87">
        <f t="shared" si="172"/>
        <v>104</v>
      </c>
      <c r="DG75" s="87">
        <f t="shared" si="173"/>
        <v>130</v>
      </c>
      <c r="DH75" s="87">
        <f t="shared" si="174"/>
        <v>159</v>
      </c>
      <c r="DI75" s="87">
        <f t="shared" si="175"/>
        <v>187</v>
      </c>
      <c r="DJ75" s="87">
        <f t="shared" si="176"/>
        <v>97</v>
      </c>
      <c r="DK75" s="86">
        <f t="shared" si="177"/>
        <v>55</v>
      </c>
      <c r="DL75" s="87">
        <f t="shared" si="178"/>
        <v>74</v>
      </c>
      <c r="DM75" s="87">
        <f t="shared" si="179"/>
        <v>53</v>
      </c>
      <c r="DN75" s="87">
        <f t="shared" si="180"/>
        <v>53</v>
      </c>
      <c r="DO75" s="87">
        <f t="shared" si="181"/>
        <v>121</v>
      </c>
      <c r="DP75" s="87">
        <f t="shared" si="182"/>
        <v>150</v>
      </c>
      <c r="DQ75" s="87">
        <f t="shared" si="183"/>
        <v>142</v>
      </c>
      <c r="DR75" s="87">
        <f t="shared" si="97"/>
        <v>116</v>
      </c>
      <c r="DS75" s="87">
        <f t="shared" si="98"/>
        <v>114</v>
      </c>
      <c r="DT75" s="87">
        <f t="shared" si="184"/>
        <v>69</v>
      </c>
      <c r="DU75" s="87">
        <f t="shared" si="185"/>
        <v>99.555555555555557</v>
      </c>
      <c r="DV75" s="87">
        <f t="shared" si="186"/>
        <v>0</v>
      </c>
      <c r="DW75" s="87">
        <f t="shared" si="187"/>
        <v>0</v>
      </c>
    </row>
    <row r="76" spans="1:127">
      <c r="A76" s="22" t="s">
        <v>4</v>
      </c>
      <c r="B76" s="26">
        <v>4987176149916</v>
      </c>
      <c r="C76" s="22" t="s">
        <v>10</v>
      </c>
      <c r="D76" s="22" t="s">
        <v>84</v>
      </c>
      <c r="E76" s="22">
        <v>173249</v>
      </c>
      <c r="F76" s="80" t="s">
        <v>185</v>
      </c>
      <c r="G76" s="25">
        <v>130.4</v>
      </c>
      <c r="H76" s="85">
        <f t="shared" si="128"/>
        <v>51247.200000000004</v>
      </c>
      <c r="I76" s="85">
        <f t="shared" si="129"/>
        <v>76805.600000000006</v>
      </c>
      <c r="J76" s="85">
        <f t="shared" si="130"/>
        <v>54376.800000000003</v>
      </c>
      <c r="K76" s="85">
        <f t="shared" si="131"/>
        <v>74588.800000000003</v>
      </c>
      <c r="L76" s="85">
        <f t="shared" si="132"/>
        <v>101972.8</v>
      </c>
      <c r="M76" s="86">
        <f t="shared" si="133"/>
        <v>70807.199999999997</v>
      </c>
      <c r="N76" s="87">
        <f t="shared" si="134"/>
        <v>68851.199999999997</v>
      </c>
      <c r="O76" s="87">
        <f t="shared" si="135"/>
        <v>91280</v>
      </c>
      <c r="P76" s="87">
        <f t="shared" si="136"/>
        <v>65330.400000000001</v>
      </c>
      <c r="Q76" s="87">
        <f t="shared" si="137"/>
        <v>55550.400000000001</v>
      </c>
      <c r="R76" s="87">
        <f t="shared" si="138"/>
        <v>123228</v>
      </c>
      <c r="S76" s="87">
        <f t="shared" si="139"/>
        <v>102755.20000000001</v>
      </c>
      <c r="T76" s="87">
        <f t="shared" si="140"/>
        <v>63244</v>
      </c>
      <c r="U76" s="87">
        <f t="shared" si="141"/>
        <v>60114.400000000001</v>
      </c>
      <c r="V76" s="87">
        <f t="shared" si="142"/>
        <v>100147.20000000001</v>
      </c>
      <c r="W76" s="87">
        <f t="shared" si="143"/>
        <v>84629.6</v>
      </c>
      <c r="X76" s="87">
        <f t="shared" si="144"/>
        <v>46813.599999999999</v>
      </c>
      <c r="Y76" s="86">
        <f t="shared" si="145"/>
        <v>14344</v>
      </c>
      <c r="Z76" s="87">
        <f t="shared" si="146"/>
        <v>6650.4000000000005</v>
      </c>
      <c r="AA76" s="87">
        <f t="shared" si="147"/>
        <v>260.8</v>
      </c>
      <c r="AB76" s="87">
        <f t="shared" si="148"/>
        <v>0</v>
      </c>
      <c r="AC76" s="87">
        <f t="shared" si="149"/>
        <v>0</v>
      </c>
      <c r="AD76" s="87">
        <f t="shared" si="150"/>
        <v>0</v>
      </c>
      <c r="AE76" s="87">
        <f t="shared" si="151"/>
        <v>0</v>
      </c>
      <c r="AF76" s="87">
        <f t="shared" si="152"/>
        <v>0</v>
      </c>
      <c r="AG76" s="87">
        <f t="shared" si="153"/>
        <v>0</v>
      </c>
      <c r="AH76" s="87">
        <f t="shared" si="154"/>
        <v>0</v>
      </c>
      <c r="AI76" s="87">
        <f t="shared" si="155"/>
        <v>0</v>
      </c>
      <c r="AJ76" s="87">
        <f t="shared" si="156"/>
        <v>0</v>
      </c>
      <c r="AK76" s="86">
        <f t="shared" si="157"/>
        <v>0</v>
      </c>
      <c r="AL76" s="85">
        <v>318</v>
      </c>
      <c r="AM76" s="85">
        <v>520</v>
      </c>
      <c r="AN76" s="85">
        <v>315</v>
      </c>
      <c r="AO76" s="85">
        <v>447</v>
      </c>
      <c r="AP76" s="85">
        <v>672</v>
      </c>
      <c r="AQ76" s="86">
        <v>451</v>
      </c>
      <c r="AR76" s="87">
        <v>461</v>
      </c>
      <c r="AS76" s="87">
        <v>581</v>
      </c>
      <c r="AT76" s="87">
        <v>425</v>
      </c>
      <c r="AU76" s="87">
        <v>389</v>
      </c>
      <c r="AV76" s="87">
        <v>788</v>
      </c>
      <c r="AW76" s="87">
        <v>757</v>
      </c>
      <c r="AX76" s="87">
        <v>456</v>
      </c>
      <c r="AY76" s="87">
        <v>391</v>
      </c>
      <c r="AZ76" s="87">
        <v>620</v>
      </c>
      <c r="BA76" s="87">
        <v>564</v>
      </c>
      <c r="BB76" s="87">
        <v>357</v>
      </c>
      <c r="BC76" s="86">
        <v>110</v>
      </c>
      <c r="BD76" s="87">
        <v>51</v>
      </c>
      <c r="BE76" s="87">
        <v>2</v>
      </c>
      <c r="BF76" s="87">
        <v>0</v>
      </c>
      <c r="BG76" s="87">
        <v>0</v>
      </c>
      <c r="BH76" s="87">
        <v>0</v>
      </c>
      <c r="BI76" s="87">
        <v>0</v>
      </c>
      <c r="BJ76" s="40">
        <v>0</v>
      </c>
      <c r="BK76" s="40">
        <v>0</v>
      </c>
      <c r="BL76" s="40">
        <v>0</v>
      </c>
      <c r="BM76" s="40">
        <v>0</v>
      </c>
      <c r="BO76" s="86"/>
      <c r="BP76" s="21">
        <v>75</v>
      </c>
      <c r="BQ76" s="21">
        <v>69</v>
      </c>
      <c r="BR76" s="21">
        <v>102</v>
      </c>
      <c r="BS76" s="21">
        <v>125</v>
      </c>
      <c r="BT76" s="21">
        <v>110</v>
      </c>
      <c r="BU76" s="42">
        <v>92</v>
      </c>
      <c r="BV76" s="21">
        <v>67</v>
      </c>
      <c r="BW76" s="21">
        <v>119</v>
      </c>
      <c r="BX76" s="21">
        <v>76</v>
      </c>
      <c r="BY76" s="21">
        <v>37</v>
      </c>
      <c r="BZ76" s="21">
        <v>157</v>
      </c>
      <c r="CA76" s="21">
        <v>31</v>
      </c>
      <c r="CB76" s="21">
        <v>29</v>
      </c>
      <c r="CC76" s="21">
        <v>70</v>
      </c>
      <c r="CD76" s="21">
        <v>148</v>
      </c>
      <c r="CE76" s="21">
        <v>85</v>
      </c>
      <c r="CF76" s="21">
        <v>2</v>
      </c>
      <c r="CG76" s="42">
        <v>0</v>
      </c>
      <c r="CH76" s="21">
        <v>0</v>
      </c>
      <c r="CI76" s="21">
        <v>0</v>
      </c>
      <c r="CJ76" s="21">
        <v>0</v>
      </c>
      <c r="CK76" s="21">
        <v>0</v>
      </c>
      <c r="CL76" s="21">
        <v>0</v>
      </c>
      <c r="CM76" s="21">
        <v>0</v>
      </c>
      <c r="CN76" s="21">
        <v>0</v>
      </c>
      <c r="CO76" s="21">
        <v>0</v>
      </c>
      <c r="CP76" s="21">
        <f t="shared" si="158"/>
        <v>0</v>
      </c>
      <c r="CQ76" s="344">
        <f t="shared" si="159"/>
        <v>0</v>
      </c>
      <c r="CR76" s="87"/>
      <c r="CS76" s="86"/>
      <c r="CT76" s="85">
        <f t="shared" si="160"/>
        <v>393</v>
      </c>
      <c r="CU76" s="85">
        <f t="shared" si="161"/>
        <v>589</v>
      </c>
      <c r="CV76" s="85">
        <f t="shared" si="162"/>
        <v>417</v>
      </c>
      <c r="CW76" s="85">
        <f t="shared" si="163"/>
        <v>572</v>
      </c>
      <c r="CX76" s="85">
        <f t="shared" si="164"/>
        <v>782</v>
      </c>
      <c r="CY76" s="86">
        <f t="shared" si="165"/>
        <v>543</v>
      </c>
      <c r="CZ76" s="87">
        <f t="shared" si="166"/>
        <v>528</v>
      </c>
      <c r="DA76" s="87">
        <f t="shared" si="167"/>
        <v>700</v>
      </c>
      <c r="DB76" s="87">
        <f t="shared" si="168"/>
        <v>501</v>
      </c>
      <c r="DC76" s="87">
        <f t="shared" si="169"/>
        <v>426</v>
      </c>
      <c r="DD76" s="87">
        <f t="shared" si="170"/>
        <v>945</v>
      </c>
      <c r="DE76" s="87">
        <f t="shared" si="171"/>
        <v>788</v>
      </c>
      <c r="DF76" s="87">
        <f t="shared" si="172"/>
        <v>485</v>
      </c>
      <c r="DG76" s="87">
        <f t="shared" si="173"/>
        <v>461</v>
      </c>
      <c r="DH76" s="87">
        <f t="shared" si="174"/>
        <v>768</v>
      </c>
      <c r="DI76" s="87">
        <f t="shared" si="175"/>
        <v>649</v>
      </c>
      <c r="DJ76" s="87">
        <f t="shared" si="176"/>
        <v>359</v>
      </c>
      <c r="DK76" s="86">
        <f t="shared" si="177"/>
        <v>110</v>
      </c>
      <c r="DL76" s="87">
        <f t="shared" si="178"/>
        <v>51</v>
      </c>
      <c r="DM76" s="87">
        <f t="shared" si="179"/>
        <v>2</v>
      </c>
      <c r="DN76" s="87">
        <f t="shared" si="180"/>
        <v>0</v>
      </c>
      <c r="DO76" s="87">
        <f t="shared" si="181"/>
        <v>0</v>
      </c>
      <c r="DP76" s="87">
        <f t="shared" si="182"/>
        <v>0</v>
      </c>
      <c r="DQ76" s="87">
        <f t="shared" si="183"/>
        <v>0</v>
      </c>
      <c r="DR76" s="87">
        <f t="shared" si="97"/>
        <v>0</v>
      </c>
      <c r="DS76" s="87">
        <f t="shared" si="98"/>
        <v>0</v>
      </c>
      <c r="DT76" s="87">
        <f t="shared" si="184"/>
        <v>0</v>
      </c>
      <c r="DU76" s="87">
        <f t="shared" si="185"/>
        <v>0</v>
      </c>
      <c r="DV76" s="87">
        <f t="shared" si="186"/>
        <v>0</v>
      </c>
      <c r="DW76" s="87">
        <f t="shared" si="187"/>
        <v>0</v>
      </c>
    </row>
    <row r="77" spans="1:127">
      <c r="A77" s="22" t="s">
        <v>4</v>
      </c>
      <c r="B77" s="26">
        <v>4987176149930</v>
      </c>
      <c r="C77" s="22" t="s">
        <v>10</v>
      </c>
      <c r="D77" s="22" t="s">
        <v>84</v>
      </c>
      <c r="E77" s="22">
        <v>173256</v>
      </c>
      <c r="F77" s="80" t="s">
        <v>186</v>
      </c>
      <c r="G77" s="25">
        <v>130.4</v>
      </c>
      <c r="H77" s="85">
        <f t="shared" si="128"/>
        <v>44336</v>
      </c>
      <c r="I77" s="85">
        <f t="shared" si="129"/>
        <v>67156</v>
      </c>
      <c r="J77" s="85">
        <f t="shared" si="130"/>
        <v>39511.200000000004</v>
      </c>
      <c r="K77" s="85">
        <f t="shared" si="131"/>
        <v>47856.800000000003</v>
      </c>
      <c r="L77" s="85">
        <f t="shared" si="132"/>
        <v>76805.600000000006</v>
      </c>
      <c r="M77" s="86">
        <f t="shared" si="133"/>
        <v>38989.599999999999</v>
      </c>
      <c r="N77" s="87">
        <f t="shared" si="134"/>
        <v>43032</v>
      </c>
      <c r="O77" s="87">
        <f t="shared" si="135"/>
        <v>57376</v>
      </c>
      <c r="P77" s="87">
        <f t="shared" si="136"/>
        <v>40945.599999999999</v>
      </c>
      <c r="Q77" s="87">
        <f t="shared" si="137"/>
        <v>36512</v>
      </c>
      <c r="R77" s="87">
        <f t="shared" si="138"/>
        <v>91410.400000000009</v>
      </c>
      <c r="S77" s="87">
        <f t="shared" si="139"/>
        <v>112013.6</v>
      </c>
      <c r="T77" s="87">
        <f t="shared" si="140"/>
        <v>54768</v>
      </c>
      <c r="U77" s="87">
        <f t="shared" si="141"/>
        <v>49552</v>
      </c>
      <c r="V77" s="87">
        <f t="shared" si="142"/>
        <v>71980.800000000003</v>
      </c>
      <c r="W77" s="87">
        <f t="shared" si="143"/>
        <v>78500.800000000003</v>
      </c>
      <c r="X77" s="87">
        <f t="shared" si="144"/>
        <v>62461.600000000006</v>
      </c>
      <c r="Y77" s="86">
        <f t="shared" si="145"/>
        <v>19299.2</v>
      </c>
      <c r="Z77" s="87">
        <f t="shared" si="146"/>
        <v>17343.2</v>
      </c>
      <c r="AA77" s="87">
        <f t="shared" si="147"/>
        <v>130.4</v>
      </c>
      <c r="AB77" s="87">
        <f t="shared" si="148"/>
        <v>130.4</v>
      </c>
      <c r="AC77" s="87">
        <f t="shared" si="149"/>
        <v>0</v>
      </c>
      <c r="AD77" s="87">
        <f t="shared" si="150"/>
        <v>0</v>
      </c>
      <c r="AE77" s="87">
        <f t="shared" si="151"/>
        <v>0</v>
      </c>
      <c r="AF77" s="87">
        <f t="shared" si="152"/>
        <v>130.4</v>
      </c>
      <c r="AG77" s="87">
        <f t="shared" si="153"/>
        <v>130.4</v>
      </c>
      <c r="AH77" s="87">
        <f t="shared" si="154"/>
        <v>0</v>
      </c>
      <c r="AI77" s="87">
        <f t="shared" si="155"/>
        <v>0</v>
      </c>
      <c r="AJ77" s="87">
        <f t="shared" si="156"/>
        <v>0</v>
      </c>
      <c r="AK77" s="86">
        <f t="shared" si="157"/>
        <v>0</v>
      </c>
      <c r="AL77" s="85">
        <v>305</v>
      </c>
      <c r="AM77" s="85">
        <v>481</v>
      </c>
      <c r="AN77" s="85">
        <v>263</v>
      </c>
      <c r="AO77" s="85">
        <v>329</v>
      </c>
      <c r="AP77" s="85">
        <v>528</v>
      </c>
      <c r="AQ77" s="86">
        <v>259</v>
      </c>
      <c r="AR77" s="87">
        <v>313</v>
      </c>
      <c r="AS77" s="87">
        <v>410</v>
      </c>
      <c r="AT77" s="87">
        <v>272</v>
      </c>
      <c r="AU77" s="87">
        <v>266</v>
      </c>
      <c r="AV77" s="87">
        <v>594</v>
      </c>
      <c r="AW77" s="87">
        <v>832</v>
      </c>
      <c r="AX77" s="87">
        <v>406</v>
      </c>
      <c r="AY77" s="87">
        <v>325</v>
      </c>
      <c r="AZ77" s="87">
        <v>475</v>
      </c>
      <c r="BA77" s="87">
        <v>542</v>
      </c>
      <c r="BB77" s="87">
        <v>479</v>
      </c>
      <c r="BC77" s="86">
        <v>148</v>
      </c>
      <c r="BD77" s="87">
        <v>133</v>
      </c>
      <c r="BE77" s="87">
        <v>1</v>
      </c>
      <c r="BF77" s="87">
        <v>1</v>
      </c>
      <c r="BG77" s="87">
        <v>0</v>
      </c>
      <c r="BH77" s="87">
        <v>0</v>
      </c>
      <c r="BI77" s="87">
        <v>0</v>
      </c>
      <c r="BJ77" s="40">
        <v>1</v>
      </c>
      <c r="BK77" s="40">
        <v>1</v>
      </c>
      <c r="BL77" s="40">
        <v>0</v>
      </c>
      <c r="BM77" s="40">
        <v>0</v>
      </c>
      <c r="BO77" s="86"/>
      <c r="BP77" s="21">
        <v>35</v>
      </c>
      <c r="BQ77" s="21">
        <v>34</v>
      </c>
      <c r="BR77" s="21">
        <v>40</v>
      </c>
      <c r="BS77" s="21">
        <v>38</v>
      </c>
      <c r="BT77" s="21">
        <v>61</v>
      </c>
      <c r="BU77" s="42">
        <v>40</v>
      </c>
      <c r="BV77" s="21">
        <v>17</v>
      </c>
      <c r="BW77" s="21">
        <v>30</v>
      </c>
      <c r="BX77" s="21">
        <v>42</v>
      </c>
      <c r="BY77" s="21">
        <v>14</v>
      </c>
      <c r="BZ77" s="21">
        <v>107</v>
      </c>
      <c r="CA77" s="21">
        <v>27</v>
      </c>
      <c r="CB77" s="21">
        <v>14</v>
      </c>
      <c r="CC77" s="21">
        <v>55</v>
      </c>
      <c r="CD77" s="21">
        <v>77</v>
      </c>
      <c r="CE77" s="21">
        <v>60</v>
      </c>
      <c r="CF77" s="21">
        <v>0</v>
      </c>
      <c r="CG77" s="42">
        <v>0</v>
      </c>
      <c r="CH77" s="21">
        <v>0</v>
      </c>
      <c r="CI77" s="21">
        <v>0</v>
      </c>
      <c r="CJ77" s="21">
        <v>0</v>
      </c>
      <c r="CK77" s="21">
        <v>0</v>
      </c>
      <c r="CL77" s="21">
        <v>0</v>
      </c>
      <c r="CM77" s="21">
        <v>0</v>
      </c>
      <c r="CN77" s="21">
        <v>0</v>
      </c>
      <c r="CO77" s="21">
        <v>0</v>
      </c>
      <c r="CP77" s="21">
        <f t="shared" si="158"/>
        <v>0</v>
      </c>
      <c r="CQ77" s="344">
        <f t="shared" si="159"/>
        <v>0</v>
      </c>
      <c r="CR77" s="87"/>
      <c r="CS77" s="86"/>
      <c r="CT77" s="85">
        <f t="shared" si="160"/>
        <v>340</v>
      </c>
      <c r="CU77" s="85">
        <f t="shared" si="161"/>
        <v>515</v>
      </c>
      <c r="CV77" s="85">
        <f t="shared" si="162"/>
        <v>303</v>
      </c>
      <c r="CW77" s="85">
        <f t="shared" si="163"/>
        <v>367</v>
      </c>
      <c r="CX77" s="85">
        <f t="shared" si="164"/>
        <v>589</v>
      </c>
      <c r="CY77" s="86">
        <f t="shared" si="165"/>
        <v>299</v>
      </c>
      <c r="CZ77" s="87">
        <f t="shared" si="166"/>
        <v>330</v>
      </c>
      <c r="DA77" s="87">
        <f t="shared" si="167"/>
        <v>440</v>
      </c>
      <c r="DB77" s="87">
        <f t="shared" si="168"/>
        <v>314</v>
      </c>
      <c r="DC77" s="87">
        <f t="shared" si="169"/>
        <v>280</v>
      </c>
      <c r="DD77" s="87">
        <f t="shared" si="170"/>
        <v>701</v>
      </c>
      <c r="DE77" s="87">
        <f t="shared" si="171"/>
        <v>859</v>
      </c>
      <c r="DF77" s="87">
        <f t="shared" si="172"/>
        <v>420</v>
      </c>
      <c r="DG77" s="87">
        <f t="shared" si="173"/>
        <v>380</v>
      </c>
      <c r="DH77" s="87">
        <f t="shared" si="174"/>
        <v>552</v>
      </c>
      <c r="DI77" s="87">
        <f t="shared" si="175"/>
        <v>602</v>
      </c>
      <c r="DJ77" s="87">
        <f t="shared" si="176"/>
        <v>479</v>
      </c>
      <c r="DK77" s="86">
        <f t="shared" si="177"/>
        <v>148</v>
      </c>
      <c r="DL77" s="87">
        <f t="shared" si="178"/>
        <v>133</v>
      </c>
      <c r="DM77" s="87">
        <f t="shared" si="179"/>
        <v>1</v>
      </c>
      <c r="DN77" s="87">
        <f t="shared" si="180"/>
        <v>1</v>
      </c>
      <c r="DO77" s="87">
        <f t="shared" si="181"/>
        <v>0</v>
      </c>
      <c r="DP77" s="87">
        <f t="shared" si="182"/>
        <v>0</v>
      </c>
      <c r="DQ77" s="87">
        <f t="shared" si="183"/>
        <v>0</v>
      </c>
      <c r="DR77" s="87">
        <f t="shared" si="97"/>
        <v>1</v>
      </c>
      <c r="DS77" s="87">
        <f t="shared" si="98"/>
        <v>1</v>
      </c>
      <c r="DT77" s="87">
        <f t="shared" si="184"/>
        <v>0</v>
      </c>
      <c r="DU77" s="87">
        <f t="shared" si="185"/>
        <v>0</v>
      </c>
      <c r="DV77" s="87">
        <f t="shared" si="186"/>
        <v>0</v>
      </c>
      <c r="DW77" s="87">
        <f t="shared" si="187"/>
        <v>0</v>
      </c>
    </row>
    <row r="78" spans="1:127">
      <c r="A78" s="22" t="s">
        <v>4</v>
      </c>
      <c r="B78" s="26">
        <v>4987176150011</v>
      </c>
      <c r="C78" s="22" t="s">
        <v>10</v>
      </c>
      <c r="D78" s="22" t="s">
        <v>84</v>
      </c>
      <c r="E78" s="22">
        <v>173269</v>
      </c>
      <c r="F78" s="80" t="s">
        <v>187</v>
      </c>
      <c r="G78" s="25">
        <v>130.4</v>
      </c>
      <c r="H78" s="85">
        <f t="shared" si="128"/>
        <v>10432</v>
      </c>
      <c r="I78" s="85">
        <f t="shared" si="129"/>
        <v>17082.400000000001</v>
      </c>
      <c r="J78" s="85">
        <f t="shared" si="130"/>
        <v>10953.6</v>
      </c>
      <c r="K78" s="85">
        <f t="shared" si="131"/>
        <v>14996</v>
      </c>
      <c r="L78" s="85">
        <f t="shared" si="132"/>
        <v>16169.6</v>
      </c>
      <c r="M78" s="86">
        <f t="shared" si="133"/>
        <v>13040</v>
      </c>
      <c r="N78" s="87">
        <f t="shared" si="134"/>
        <v>15517.6</v>
      </c>
      <c r="O78" s="87">
        <f t="shared" si="135"/>
        <v>18908</v>
      </c>
      <c r="P78" s="87">
        <f t="shared" si="136"/>
        <v>6259.2000000000007</v>
      </c>
      <c r="Q78" s="87">
        <f t="shared" si="137"/>
        <v>10171.200000000001</v>
      </c>
      <c r="R78" s="87">
        <f t="shared" si="138"/>
        <v>17343.2</v>
      </c>
      <c r="S78" s="87">
        <f t="shared" si="139"/>
        <v>12388</v>
      </c>
      <c r="T78" s="87">
        <f t="shared" si="140"/>
        <v>12518.400000000001</v>
      </c>
      <c r="U78" s="87">
        <f t="shared" si="141"/>
        <v>7041.6</v>
      </c>
      <c r="V78" s="87">
        <f t="shared" si="142"/>
        <v>17864.8</v>
      </c>
      <c r="W78" s="87">
        <f t="shared" si="143"/>
        <v>24254.400000000001</v>
      </c>
      <c r="X78" s="87">
        <f t="shared" si="144"/>
        <v>23211.200000000001</v>
      </c>
      <c r="Y78" s="86">
        <f t="shared" si="145"/>
        <v>12388</v>
      </c>
      <c r="Z78" s="87">
        <f t="shared" si="146"/>
        <v>7954.4000000000005</v>
      </c>
      <c r="AA78" s="87">
        <f t="shared" si="147"/>
        <v>260.8</v>
      </c>
      <c r="AB78" s="87">
        <f t="shared" si="148"/>
        <v>130.4</v>
      </c>
      <c r="AC78" s="87">
        <f t="shared" si="149"/>
        <v>0</v>
      </c>
      <c r="AD78" s="87">
        <f t="shared" si="150"/>
        <v>130.4</v>
      </c>
      <c r="AE78" s="87">
        <f t="shared" si="151"/>
        <v>0</v>
      </c>
      <c r="AF78" s="87">
        <f t="shared" si="152"/>
        <v>0</v>
      </c>
      <c r="AG78" s="87">
        <f t="shared" si="153"/>
        <v>0</v>
      </c>
      <c r="AH78" s="87">
        <f t="shared" si="154"/>
        <v>0</v>
      </c>
      <c r="AI78" s="87">
        <f t="shared" si="155"/>
        <v>0</v>
      </c>
      <c r="AJ78" s="87">
        <f t="shared" si="156"/>
        <v>0</v>
      </c>
      <c r="AK78" s="86">
        <f t="shared" si="157"/>
        <v>0</v>
      </c>
      <c r="AL78" s="85">
        <v>57</v>
      </c>
      <c r="AM78" s="85">
        <v>98</v>
      </c>
      <c r="AN78" s="85">
        <v>46</v>
      </c>
      <c r="AO78" s="85">
        <v>77</v>
      </c>
      <c r="AP78" s="85">
        <v>85</v>
      </c>
      <c r="AQ78" s="86">
        <v>75</v>
      </c>
      <c r="AR78" s="87">
        <v>106</v>
      </c>
      <c r="AS78" s="87">
        <v>115</v>
      </c>
      <c r="AT78" s="87">
        <v>41</v>
      </c>
      <c r="AU78" s="87">
        <v>66</v>
      </c>
      <c r="AV78" s="87">
        <v>100</v>
      </c>
      <c r="AW78" s="87">
        <v>77</v>
      </c>
      <c r="AX78" s="87">
        <v>90</v>
      </c>
      <c r="AY78" s="87">
        <v>41</v>
      </c>
      <c r="AZ78" s="87">
        <v>91</v>
      </c>
      <c r="BA78" s="87">
        <v>180</v>
      </c>
      <c r="BB78" s="87">
        <v>178</v>
      </c>
      <c r="BC78" s="86">
        <v>95</v>
      </c>
      <c r="BD78" s="87">
        <v>61</v>
      </c>
      <c r="BE78" s="87">
        <v>2</v>
      </c>
      <c r="BF78" s="87">
        <v>1</v>
      </c>
      <c r="BG78" s="87">
        <v>0</v>
      </c>
      <c r="BH78" s="87">
        <v>1</v>
      </c>
      <c r="BI78" s="87">
        <v>0</v>
      </c>
      <c r="BJ78" s="40">
        <v>0</v>
      </c>
      <c r="BK78" s="40">
        <v>0</v>
      </c>
      <c r="BL78" s="40">
        <v>0</v>
      </c>
      <c r="BM78" s="40">
        <v>0</v>
      </c>
      <c r="BO78" s="86"/>
      <c r="BP78" s="21">
        <v>23</v>
      </c>
      <c r="BQ78" s="21">
        <v>33</v>
      </c>
      <c r="BR78" s="21">
        <v>38</v>
      </c>
      <c r="BS78" s="21">
        <v>38</v>
      </c>
      <c r="BT78" s="21">
        <v>39</v>
      </c>
      <c r="BU78" s="42">
        <v>25</v>
      </c>
      <c r="BV78" s="21">
        <v>13</v>
      </c>
      <c r="BW78" s="21">
        <v>30</v>
      </c>
      <c r="BX78" s="21">
        <v>7</v>
      </c>
      <c r="BY78" s="21">
        <v>12</v>
      </c>
      <c r="BZ78" s="21">
        <v>33</v>
      </c>
      <c r="CA78" s="21">
        <v>18</v>
      </c>
      <c r="CB78" s="21">
        <v>6</v>
      </c>
      <c r="CC78" s="21">
        <v>13</v>
      </c>
      <c r="CD78" s="21">
        <v>46</v>
      </c>
      <c r="CE78" s="21">
        <v>6</v>
      </c>
      <c r="CF78" s="21">
        <v>0</v>
      </c>
      <c r="CG78" s="42">
        <v>0</v>
      </c>
      <c r="CH78" s="21">
        <v>0</v>
      </c>
      <c r="CI78" s="21">
        <v>0</v>
      </c>
      <c r="CJ78" s="21">
        <v>0</v>
      </c>
      <c r="CK78" s="21">
        <v>0</v>
      </c>
      <c r="CL78" s="21">
        <v>0</v>
      </c>
      <c r="CM78" s="21">
        <v>0</v>
      </c>
      <c r="CN78" s="21">
        <v>0</v>
      </c>
      <c r="CO78" s="21">
        <v>0</v>
      </c>
      <c r="CP78" s="21">
        <f t="shared" si="158"/>
        <v>0</v>
      </c>
      <c r="CQ78" s="344">
        <f t="shared" si="159"/>
        <v>0</v>
      </c>
      <c r="CR78" s="87"/>
      <c r="CS78" s="86"/>
      <c r="CT78" s="85">
        <f t="shared" si="160"/>
        <v>80</v>
      </c>
      <c r="CU78" s="85">
        <f t="shared" si="161"/>
        <v>131</v>
      </c>
      <c r="CV78" s="85">
        <f t="shared" si="162"/>
        <v>84</v>
      </c>
      <c r="CW78" s="85">
        <f t="shared" si="163"/>
        <v>115</v>
      </c>
      <c r="CX78" s="85">
        <f t="shared" si="164"/>
        <v>124</v>
      </c>
      <c r="CY78" s="86">
        <f t="shared" si="165"/>
        <v>100</v>
      </c>
      <c r="CZ78" s="87">
        <f t="shared" si="166"/>
        <v>119</v>
      </c>
      <c r="DA78" s="87">
        <f t="shared" si="167"/>
        <v>145</v>
      </c>
      <c r="DB78" s="87">
        <f t="shared" si="168"/>
        <v>48</v>
      </c>
      <c r="DC78" s="87">
        <f t="shared" si="169"/>
        <v>78</v>
      </c>
      <c r="DD78" s="87">
        <f t="shared" si="170"/>
        <v>133</v>
      </c>
      <c r="DE78" s="87">
        <f t="shared" si="171"/>
        <v>95</v>
      </c>
      <c r="DF78" s="87">
        <f t="shared" si="172"/>
        <v>96</v>
      </c>
      <c r="DG78" s="87">
        <f t="shared" si="173"/>
        <v>54</v>
      </c>
      <c r="DH78" s="87">
        <f t="shared" si="174"/>
        <v>137</v>
      </c>
      <c r="DI78" s="87">
        <f t="shared" si="175"/>
        <v>186</v>
      </c>
      <c r="DJ78" s="87">
        <f t="shared" si="176"/>
        <v>178</v>
      </c>
      <c r="DK78" s="86">
        <f t="shared" si="177"/>
        <v>95</v>
      </c>
      <c r="DL78" s="87">
        <f t="shared" si="178"/>
        <v>61</v>
      </c>
      <c r="DM78" s="87">
        <f t="shared" si="179"/>
        <v>2</v>
      </c>
      <c r="DN78" s="87">
        <f t="shared" si="180"/>
        <v>1</v>
      </c>
      <c r="DO78" s="87">
        <f t="shared" si="181"/>
        <v>0</v>
      </c>
      <c r="DP78" s="87">
        <f t="shared" si="182"/>
        <v>1</v>
      </c>
      <c r="DQ78" s="87">
        <f t="shared" si="183"/>
        <v>0</v>
      </c>
      <c r="DR78" s="87">
        <f t="shared" si="97"/>
        <v>0</v>
      </c>
      <c r="DS78" s="87">
        <f t="shared" si="98"/>
        <v>0</v>
      </c>
      <c r="DT78" s="87">
        <f t="shared" si="184"/>
        <v>0</v>
      </c>
      <c r="DU78" s="87">
        <f t="shared" si="185"/>
        <v>0</v>
      </c>
      <c r="DV78" s="87">
        <f t="shared" si="186"/>
        <v>0</v>
      </c>
      <c r="DW78" s="87">
        <f t="shared" si="187"/>
        <v>0</v>
      </c>
    </row>
    <row r="79" spans="1:127">
      <c r="A79" s="22" t="s">
        <v>4</v>
      </c>
      <c r="B79" s="26">
        <v>4987176149954</v>
      </c>
      <c r="C79" s="22" t="s">
        <v>10</v>
      </c>
      <c r="D79" s="22" t="s">
        <v>84</v>
      </c>
      <c r="E79" s="22">
        <v>173272</v>
      </c>
      <c r="F79" s="80" t="s">
        <v>188</v>
      </c>
      <c r="G79" s="25">
        <v>130.4</v>
      </c>
      <c r="H79" s="85">
        <f t="shared" si="128"/>
        <v>35990.400000000001</v>
      </c>
      <c r="I79" s="85">
        <f t="shared" si="129"/>
        <v>45248.800000000003</v>
      </c>
      <c r="J79" s="85">
        <f t="shared" si="130"/>
        <v>23341.600000000002</v>
      </c>
      <c r="K79" s="85">
        <f t="shared" si="131"/>
        <v>21516</v>
      </c>
      <c r="L79" s="85">
        <f t="shared" si="132"/>
        <v>30122.400000000001</v>
      </c>
      <c r="M79" s="86">
        <f t="shared" si="133"/>
        <v>21646.400000000001</v>
      </c>
      <c r="N79" s="87">
        <f t="shared" si="134"/>
        <v>24906.400000000001</v>
      </c>
      <c r="O79" s="87">
        <f t="shared" si="135"/>
        <v>24906.400000000001</v>
      </c>
      <c r="P79" s="87">
        <f t="shared" si="136"/>
        <v>13561.6</v>
      </c>
      <c r="Q79" s="87">
        <f t="shared" si="137"/>
        <v>15517.6</v>
      </c>
      <c r="R79" s="87">
        <f t="shared" si="138"/>
        <v>38728.800000000003</v>
      </c>
      <c r="S79" s="87">
        <f t="shared" si="139"/>
        <v>29861.600000000002</v>
      </c>
      <c r="T79" s="87">
        <f t="shared" si="140"/>
        <v>24515.200000000001</v>
      </c>
      <c r="U79" s="87">
        <f t="shared" si="141"/>
        <v>23080.799999999999</v>
      </c>
      <c r="V79" s="87">
        <f t="shared" si="142"/>
        <v>31687.200000000001</v>
      </c>
      <c r="W79" s="87">
        <f t="shared" si="143"/>
        <v>23080.799999999999</v>
      </c>
      <c r="X79" s="87">
        <f t="shared" si="144"/>
        <v>32991.200000000004</v>
      </c>
      <c r="Y79" s="86">
        <f t="shared" si="145"/>
        <v>17343.2</v>
      </c>
      <c r="Z79" s="87">
        <f t="shared" si="146"/>
        <v>22037.600000000002</v>
      </c>
      <c r="AA79" s="87">
        <f t="shared" si="147"/>
        <v>38207.200000000004</v>
      </c>
      <c r="AB79" s="87">
        <f t="shared" si="148"/>
        <v>44205.599999999999</v>
      </c>
      <c r="AC79" s="87">
        <f t="shared" si="149"/>
        <v>56854.400000000001</v>
      </c>
      <c r="AD79" s="87">
        <f t="shared" si="150"/>
        <v>46944</v>
      </c>
      <c r="AE79" s="87">
        <f t="shared" si="151"/>
        <v>40945.599999999999</v>
      </c>
      <c r="AF79" s="87">
        <f t="shared" si="152"/>
        <v>34295.200000000004</v>
      </c>
      <c r="AG79" s="87">
        <f t="shared" si="153"/>
        <v>42119.200000000004</v>
      </c>
      <c r="AH79" s="87">
        <f t="shared" si="154"/>
        <v>39120</v>
      </c>
      <c r="AI79" s="87">
        <f t="shared" si="155"/>
        <v>42495.91111111112</v>
      </c>
      <c r="AJ79" s="87">
        <f t="shared" si="156"/>
        <v>0</v>
      </c>
      <c r="AK79" s="86">
        <f t="shared" si="157"/>
        <v>0</v>
      </c>
      <c r="AL79" s="85">
        <v>244</v>
      </c>
      <c r="AM79" s="85">
        <v>333</v>
      </c>
      <c r="AN79" s="85">
        <v>152</v>
      </c>
      <c r="AO79" s="85">
        <v>141</v>
      </c>
      <c r="AP79" s="85">
        <v>195</v>
      </c>
      <c r="AQ79" s="86">
        <v>145</v>
      </c>
      <c r="AR79" s="87">
        <v>165</v>
      </c>
      <c r="AS79" s="87">
        <v>151</v>
      </c>
      <c r="AT79" s="87">
        <v>96</v>
      </c>
      <c r="AU79" s="87">
        <v>114</v>
      </c>
      <c r="AV79" s="87">
        <v>247</v>
      </c>
      <c r="AW79" s="87">
        <v>213</v>
      </c>
      <c r="AX79" s="87">
        <v>182</v>
      </c>
      <c r="AY79" s="87">
        <v>153</v>
      </c>
      <c r="AZ79" s="87">
        <v>203</v>
      </c>
      <c r="BA79" s="87">
        <v>155</v>
      </c>
      <c r="BB79" s="87">
        <v>220</v>
      </c>
      <c r="BC79" s="86">
        <v>124</v>
      </c>
      <c r="BD79" s="87">
        <v>159</v>
      </c>
      <c r="BE79" s="87">
        <v>210</v>
      </c>
      <c r="BF79" s="87">
        <v>309</v>
      </c>
      <c r="BG79" s="87">
        <v>368</v>
      </c>
      <c r="BH79" s="87">
        <v>313</v>
      </c>
      <c r="BI79" s="87">
        <v>297</v>
      </c>
      <c r="BJ79" s="40">
        <v>240</v>
      </c>
      <c r="BK79" s="40">
        <v>296</v>
      </c>
      <c r="BL79" s="40">
        <v>273</v>
      </c>
      <c r="BM79" s="40">
        <v>289</v>
      </c>
      <c r="BO79" s="86"/>
      <c r="BP79" s="21">
        <v>32</v>
      </c>
      <c r="BQ79" s="21">
        <v>14</v>
      </c>
      <c r="BR79" s="21">
        <v>27</v>
      </c>
      <c r="BS79" s="21">
        <v>24</v>
      </c>
      <c r="BT79" s="21">
        <v>36</v>
      </c>
      <c r="BU79" s="42">
        <v>21</v>
      </c>
      <c r="BV79" s="21">
        <v>26</v>
      </c>
      <c r="BW79" s="21">
        <v>40</v>
      </c>
      <c r="BX79" s="21">
        <v>8</v>
      </c>
      <c r="BY79" s="21">
        <v>5</v>
      </c>
      <c r="BZ79" s="21">
        <v>50</v>
      </c>
      <c r="CA79" s="21">
        <v>16</v>
      </c>
      <c r="CB79" s="21">
        <v>6</v>
      </c>
      <c r="CC79" s="21">
        <v>24</v>
      </c>
      <c r="CD79" s="21">
        <v>40</v>
      </c>
      <c r="CE79" s="21">
        <v>22</v>
      </c>
      <c r="CF79" s="21">
        <v>33</v>
      </c>
      <c r="CG79" s="42">
        <v>9</v>
      </c>
      <c r="CH79" s="21">
        <v>10</v>
      </c>
      <c r="CI79" s="21">
        <v>83</v>
      </c>
      <c r="CJ79" s="21">
        <v>30</v>
      </c>
      <c r="CK79" s="21">
        <v>68</v>
      </c>
      <c r="CL79" s="21">
        <v>47</v>
      </c>
      <c r="CM79" s="21">
        <v>17</v>
      </c>
      <c r="CN79" s="21">
        <v>23</v>
      </c>
      <c r="CO79" s="21">
        <v>27</v>
      </c>
      <c r="CP79" s="21">
        <f t="shared" si="158"/>
        <v>27</v>
      </c>
      <c r="CQ79" s="344">
        <f t="shared" si="159"/>
        <v>36.888888888888886</v>
      </c>
      <c r="CR79" s="87"/>
      <c r="CS79" s="86"/>
      <c r="CT79" s="85">
        <f t="shared" si="160"/>
        <v>276</v>
      </c>
      <c r="CU79" s="85">
        <f t="shared" si="161"/>
        <v>347</v>
      </c>
      <c r="CV79" s="85">
        <f t="shared" si="162"/>
        <v>179</v>
      </c>
      <c r="CW79" s="85">
        <f t="shared" si="163"/>
        <v>165</v>
      </c>
      <c r="CX79" s="85">
        <f t="shared" si="164"/>
        <v>231</v>
      </c>
      <c r="CY79" s="86">
        <f t="shared" si="165"/>
        <v>166</v>
      </c>
      <c r="CZ79" s="87">
        <f t="shared" si="166"/>
        <v>191</v>
      </c>
      <c r="DA79" s="87">
        <f t="shared" si="167"/>
        <v>191</v>
      </c>
      <c r="DB79" s="87">
        <f t="shared" si="168"/>
        <v>104</v>
      </c>
      <c r="DC79" s="87">
        <f t="shared" si="169"/>
        <v>119</v>
      </c>
      <c r="DD79" s="87">
        <f t="shared" si="170"/>
        <v>297</v>
      </c>
      <c r="DE79" s="87">
        <f t="shared" si="171"/>
        <v>229</v>
      </c>
      <c r="DF79" s="87">
        <f t="shared" si="172"/>
        <v>188</v>
      </c>
      <c r="DG79" s="87">
        <f t="shared" si="173"/>
        <v>177</v>
      </c>
      <c r="DH79" s="87">
        <f t="shared" si="174"/>
        <v>243</v>
      </c>
      <c r="DI79" s="87">
        <f t="shared" si="175"/>
        <v>177</v>
      </c>
      <c r="DJ79" s="87">
        <f t="shared" si="176"/>
        <v>253</v>
      </c>
      <c r="DK79" s="86">
        <f t="shared" si="177"/>
        <v>133</v>
      </c>
      <c r="DL79" s="87">
        <f t="shared" si="178"/>
        <v>169</v>
      </c>
      <c r="DM79" s="87">
        <f t="shared" si="179"/>
        <v>293</v>
      </c>
      <c r="DN79" s="87">
        <f t="shared" si="180"/>
        <v>339</v>
      </c>
      <c r="DO79" s="87">
        <f t="shared" si="181"/>
        <v>436</v>
      </c>
      <c r="DP79" s="87">
        <f t="shared" si="182"/>
        <v>360</v>
      </c>
      <c r="DQ79" s="87">
        <f t="shared" si="183"/>
        <v>314</v>
      </c>
      <c r="DR79" s="87">
        <f t="shared" si="97"/>
        <v>263</v>
      </c>
      <c r="DS79" s="87">
        <f t="shared" si="98"/>
        <v>323</v>
      </c>
      <c r="DT79" s="87">
        <f t="shared" si="184"/>
        <v>300</v>
      </c>
      <c r="DU79" s="87">
        <f t="shared" si="185"/>
        <v>325.88888888888891</v>
      </c>
      <c r="DV79" s="87">
        <f t="shared" si="186"/>
        <v>0</v>
      </c>
      <c r="DW79" s="87">
        <f t="shared" si="187"/>
        <v>0</v>
      </c>
    </row>
    <row r="80" spans="1:127">
      <c r="A80" s="22" t="s">
        <v>4</v>
      </c>
      <c r="B80" s="26">
        <v>4987176150004</v>
      </c>
      <c r="C80" s="22" t="s">
        <v>10</v>
      </c>
      <c r="D80" s="22" t="s">
        <v>84</v>
      </c>
      <c r="E80" s="22">
        <v>173273</v>
      </c>
      <c r="F80" s="80" t="s">
        <v>189</v>
      </c>
      <c r="G80" s="25">
        <v>130.4</v>
      </c>
      <c r="H80" s="85">
        <f t="shared" si="128"/>
        <v>8736.8000000000011</v>
      </c>
      <c r="I80" s="85">
        <f t="shared" si="129"/>
        <v>11605.6</v>
      </c>
      <c r="J80" s="85">
        <f t="shared" si="130"/>
        <v>8084.8</v>
      </c>
      <c r="K80" s="85">
        <f t="shared" si="131"/>
        <v>8215.2000000000007</v>
      </c>
      <c r="L80" s="85">
        <f t="shared" si="132"/>
        <v>11214.4</v>
      </c>
      <c r="M80" s="86">
        <f t="shared" si="133"/>
        <v>9780</v>
      </c>
      <c r="N80" s="87">
        <f t="shared" si="134"/>
        <v>9258.4</v>
      </c>
      <c r="O80" s="87">
        <f t="shared" si="135"/>
        <v>11996.800000000001</v>
      </c>
      <c r="P80" s="87">
        <f t="shared" si="136"/>
        <v>5607.2</v>
      </c>
      <c r="Q80" s="87">
        <f t="shared" si="137"/>
        <v>8476</v>
      </c>
      <c r="R80" s="87">
        <f t="shared" si="138"/>
        <v>12648.800000000001</v>
      </c>
      <c r="S80" s="87">
        <f t="shared" si="139"/>
        <v>12518.400000000001</v>
      </c>
      <c r="T80" s="87">
        <f t="shared" si="140"/>
        <v>10562.4</v>
      </c>
      <c r="U80" s="87">
        <f t="shared" si="141"/>
        <v>6128.8</v>
      </c>
      <c r="V80" s="87">
        <f t="shared" si="142"/>
        <v>10953.6</v>
      </c>
      <c r="W80" s="87">
        <f t="shared" si="143"/>
        <v>22559.200000000001</v>
      </c>
      <c r="X80" s="87">
        <f t="shared" si="144"/>
        <v>14083.2</v>
      </c>
      <c r="Y80" s="86">
        <f t="shared" si="145"/>
        <v>9128</v>
      </c>
      <c r="Z80" s="87">
        <f t="shared" si="146"/>
        <v>10823.2</v>
      </c>
      <c r="AA80" s="87">
        <f t="shared" si="147"/>
        <v>3129.6000000000004</v>
      </c>
      <c r="AB80" s="87">
        <f t="shared" si="148"/>
        <v>3520.8</v>
      </c>
      <c r="AC80" s="87">
        <f t="shared" si="149"/>
        <v>12648.800000000001</v>
      </c>
      <c r="AD80" s="87">
        <f t="shared" si="150"/>
        <v>13952.800000000001</v>
      </c>
      <c r="AE80" s="87">
        <f t="shared" si="151"/>
        <v>13822.400000000001</v>
      </c>
      <c r="AF80" s="87">
        <f t="shared" si="152"/>
        <v>9388.8000000000011</v>
      </c>
      <c r="AG80" s="87">
        <f t="shared" si="153"/>
        <v>11084</v>
      </c>
      <c r="AH80" s="87">
        <f t="shared" si="154"/>
        <v>4172.8</v>
      </c>
      <c r="AI80" s="87">
        <f t="shared" si="155"/>
        <v>1666.2222222222224</v>
      </c>
      <c r="AJ80" s="87">
        <f t="shared" si="156"/>
        <v>0</v>
      </c>
      <c r="AK80" s="86">
        <f t="shared" si="157"/>
        <v>0</v>
      </c>
      <c r="AL80" s="85">
        <v>48</v>
      </c>
      <c r="AM80" s="85">
        <v>76</v>
      </c>
      <c r="AN80" s="85">
        <v>50</v>
      </c>
      <c r="AO80" s="85">
        <v>49</v>
      </c>
      <c r="AP80" s="85">
        <v>76</v>
      </c>
      <c r="AQ80" s="86">
        <v>52</v>
      </c>
      <c r="AR80" s="87">
        <v>64</v>
      </c>
      <c r="AS80" s="87">
        <v>79</v>
      </c>
      <c r="AT80" s="87">
        <v>38</v>
      </c>
      <c r="AU80" s="87">
        <v>61</v>
      </c>
      <c r="AV80" s="87">
        <v>64</v>
      </c>
      <c r="AW80" s="87">
        <v>79</v>
      </c>
      <c r="AX80" s="87">
        <v>76</v>
      </c>
      <c r="AY80" s="87">
        <v>37</v>
      </c>
      <c r="AZ80" s="87">
        <v>66</v>
      </c>
      <c r="BA80" s="87">
        <v>62</v>
      </c>
      <c r="BB80" s="87">
        <v>77</v>
      </c>
      <c r="BC80" s="86">
        <v>68</v>
      </c>
      <c r="BD80" s="87">
        <v>83</v>
      </c>
      <c r="BE80" s="87">
        <v>13</v>
      </c>
      <c r="BF80" s="87">
        <v>13</v>
      </c>
      <c r="BG80" s="87">
        <v>81</v>
      </c>
      <c r="BH80" s="87">
        <v>94</v>
      </c>
      <c r="BI80" s="87">
        <v>99</v>
      </c>
      <c r="BJ80" s="40">
        <v>64</v>
      </c>
      <c r="BK80" s="40">
        <v>80</v>
      </c>
      <c r="BL80" s="40">
        <v>27</v>
      </c>
      <c r="BM80" s="40">
        <v>4</v>
      </c>
      <c r="BO80" s="86"/>
      <c r="BP80" s="21">
        <v>19</v>
      </c>
      <c r="BQ80" s="21">
        <v>13</v>
      </c>
      <c r="BR80" s="21">
        <v>12</v>
      </c>
      <c r="BS80" s="21">
        <v>14</v>
      </c>
      <c r="BT80" s="21">
        <v>10</v>
      </c>
      <c r="BU80" s="42">
        <v>23</v>
      </c>
      <c r="BV80" s="21">
        <v>7</v>
      </c>
      <c r="BW80" s="21">
        <v>13</v>
      </c>
      <c r="BX80" s="21">
        <v>5</v>
      </c>
      <c r="BY80" s="21">
        <v>4</v>
      </c>
      <c r="BZ80" s="21">
        <v>33</v>
      </c>
      <c r="CA80" s="21">
        <v>17</v>
      </c>
      <c r="CB80" s="21">
        <v>5</v>
      </c>
      <c r="CC80" s="21">
        <v>10</v>
      </c>
      <c r="CD80" s="21">
        <v>18</v>
      </c>
      <c r="CE80" s="21">
        <v>111</v>
      </c>
      <c r="CF80" s="21">
        <v>31</v>
      </c>
      <c r="CG80" s="42">
        <v>2</v>
      </c>
      <c r="CH80" s="21">
        <v>0</v>
      </c>
      <c r="CI80" s="21">
        <v>11</v>
      </c>
      <c r="CJ80" s="21">
        <v>14</v>
      </c>
      <c r="CK80" s="21">
        <v>16</v>
      </c>
      <c r="CL80" s="21">
        <v>13</v>
      </c>
      <c r="CM80" s="21">
        <v>7</v>
      </c>
      <c r="CN80" s="21">
        <v>8</v>
      </c>
      <c r="CO80" s="21">
        <v>5</v>
      </c>
      <c r="CP80" s="21">
        <f t="shared" si="158"/>
        <v>5</v>
      </c>
      <c r="CQ80" s="344">
        <f t="shared" si="159"/>
        <v>8.7777777777777786</v>
      </c>
      <c r="CR80" s="87"/>
      <c r="CS80" s="86"/>
      <c r="CT80" s="85">
        <f t="shared" si="160"/>
        <v>67</v>
      </c>
      <c r="CU80" s="85">
        <f t="shared" si="161"/>
        <v>89</v>
      </c>
      <c r="CV80" s="85">
        <f t="shared" si="162"/>
        <v>62</v>
      </c>
      <c r="CW80" s="85">
        <f t="shared" si="163"/>
        <v>63</v>
      </c>
      <c r="CX80" s="85">
        <f t="shared" si="164"/>
        <v>86</v>
      </c>
      <c r="CY80" s="86">
        <f t="shared" si="165"/>
        <v>75</v>
      </c>
      <c r="CZ80" s="87">
        <f t="shared" si="166"/>
        <v>71</v>
      </c>
      <c r="DA80" s="87">
        <f t="shared" si="167"/>
        <v>92</v>
      </c>
      <c r="DB80" s="87">
        <f t="shared" si="168"/>
        <v>43</v>
      </c>
      <c r="DC80" s="87">
        <f t="shared" si="169"/>
        <v>65</v>
      </c>
      <c r="DD80" s="87">
        <f t="shared" si="170"/>
        <v>97</v>
      </c>
      <c r="DE80" s="87">
        <f t="shared" si="171"/>
        <v>96</v>
      </c>
      <c r="DF80" s="87">
        <f t="shared" si="172"/>
        <v>81</v>
      </c>
      <c r="DG80" s="87">
        <f t="shared" si="173"/>
        <v>47</v>
      </c>
      <c r="DH80" s="87">
        <f t="shared" si="174"/>
        <v>84</v>
      </c>
      <c r="DI80" s="87">
        <f t="shared" si="175"/>
        <v>173</v>
      </c>
      <c r="DJ80" s="87">
        <f t="shared" si="176"/>
        <v>108</v>
      </c>
      <c r="DK80" s="86">
        <f t="shared" si="177"/>
        <v>70</v>
      </c>
      <c r="DL80" s="87">
        <f t="shared" si="178"/>
        <v>83</v>
      </c>
      <c r="DM80" s="87">
        <f t="shared" si="179"/>
        <v>24</v>
      </c>
      <c r="DN80" s="87">
        <f t="shared" si="180"/>
        <v>27</v>
      </c>
      <c r="DO80" s="87">
        <f t="shared" si="181"/>
        <v>97</v>
      </c>
      <c r="DP80" s="87">
        <f t="shared" si="182"/>
        <v>107</v>
      </c>
      <c r="DQ80" s="87">
        <f t="shared" si="183"/>
        <v>106</v>
      </c>
      <c r="DR80" s="87">
        <f t="shared" si="97"/>
        <v>72</v>
      </c>
      <c r="DS80" s="87">
        <f t="shared" si="98"/>
        <v>85</v>
      </c>
      <c r="DT80" s="87">
        <f t="shared" si="184"/>
        <v>32</v>
      </c>
      <c r="DU80" s="87">
        <f t="shared" si="185"/>
        <v>12.777777777777779</v>
      </c>
      <c r="DV80" s="87">
        <f t="shared" si="186"/>
        <v>0</v>
      </c>
      <c r="DW80" s="87">
        <f t="shared" si="187"/>
        <v>0</v>
      </c>
    </row>
    <row r="81" spans="1:127">
      <c r="A81" s="22" t="s">
        <v>4</v>
      </c>
      <c r="B81" s="26">
        <v>4987176297464</v>
      </c>
      <c r="C81" s="22" t="s">
        <v>10</v>
      </c>
      <c r="D81" s="22" t="s">
        <v>84</v>
      </c>
      <c r="E81" s="22">
        <v>265155</v>
      </c>
      <c r="F81" s="80" t="s">
        <v>190</v>
      </c>
      <c r="G81" s="25">
        <v>139.85</v>
      </c>
      <c r="H81" s="85">
        <f t="shared" si="128"/>
        <v>0</v>
      </c>
      <c r="I81" s="85">
        <f t="shared" si="129"/>
        <v>0</v>
      </c>
      <c r="J81" s="85">
        <f t="shared" si="130"/>
        <v>0</v>
      </c>
      <c r="K81" s="85">
        <f t="shared" si="131"/>
        <v>0</v>
      </c>
      <c r="L81" s="85">
        <f t="shared" si="132"/>
        <v>0</v>
      </c>
      <c r="M81" s="86">
        <f t="shared" si="133"/>
        <v>0</v>
      </c>
      <c r="N81" s="87">
        <f t="shared" si="134"/>
        <v>0</v>
      </c>
      <c r="O81" s="87">
        <f t="shared" si="135"/>
        <v>0</v>
      </c>
      <c r="P81" s="87">
        <f t="shared" si="136"/>
        <v>0</v>
      </c>
      <c r="Q81" s="87">
        <f t="shared" si="137"/>
        <v>0</v>
      </c>
      <c r="R81" s="87">
        <f t="shared" si="138"/>
        <v>0</v>
      </c>
      <c r="S81" s="87">
        <f t="shared" si="139"/>
        <v>0</v>
      </c>
      <c r="T81" s="87">
        <f t="shared" si="140"/>
        <v>0</v>
      </c>
      <c r="U81" s="87">
        <f t="shared" si="141"/>
        <v>0</v>
      </c>
      <c r="V81" s="87">
        <f t="shared" si="142"/>
        <v>0</v>
      </c>
      <c r="W81" s="87">
        <f t="shared" si="143"/>
        <v>0</v>
      </c>
      <c r="X81" s="87">
        <f t="shared" si="144"/>
        <v>16362.449999999999</v>
      </c>
      <c r="Y81" s="86">
        <f t="shared" si="145"/>
        <v>23354.95</v>
      </c>
      <c r="Z81" s="87">
        <f t="shared" si="146"/>
        <v>32585.05</v>
      </c>
      <c r="AA81" s="87">
        <f t="shared" si="147"/>
        <v>36081.299999999996</v>
      </c>
      <c r="AB81" s="87">
        <f t="shared" si="148"/>
        <v>35941.449999999997</v>
      </c>
      <c r="AC81" s="87">
        <f t="shared" si="149"/>
        <v>59296.399999999994</v>
      </c>
      <c r="AD81" s="87">
        <f t="shared" si="150"/>
        <v>51185.1</v>
      </c>
      <c r="AE81" s="87">
        <f t="shared" si="151"/>
        <v>48388.1</v>
      </c>
      <c r="AF81" s="87">
        <f t="shared" si="152"/>
        <v>44891.85</v>
      </c>
      <c r="AG81" s="87">
        <f t="shared" si="153"/>
        <v>45870.799999999996</v>
      </c>
      <c r="AH81" s="87">
        <f t="shared" si="154"/>
        <v>41395.599999999999</v>
      </c>
      <c r="AI81" s="87">
        <f t="shared" si="155"/>
        <v>49848.755555555552</v>
      </c>
      <c r="AJ81" s="87">
        <f t="shared" si="156"/>
        <v>0</v>
      </c>
      <c r="AK81" s="86">
        <f t="shared" si="157"/>
        <v>0</v>
      </c>
      <c r="AL81" s="85">
        <v>0</v>
      </c>
      <c r="AM81" s="85">
        <v>0</v>
      </c>
      <c r="AN81" s="85">
        <v>0</v>
      </c>
      <c r="AO81" s="85">
        <v>0</v>
      </c>
      <c r="AP81" s="85">
        <v>0</v>
      </c>
      <c r="AQ81" s="86">
        <v>0</v>
      </c>
      <c r="AR81" s="87">
        <v>0</v>
      </c>
      <c r="AS81" s="87">
        <v>0</v>
      </c>
      <c r="AT81" s="87">
        <v>0</v>
      </c>
      <c r="AU81" s="87">
        <v>0</v>
      </c>
      <c r="AV81" s="87">
        <v>0</v>
      </c>
      <c r="AW81" s="87">
        <v>0</v>
      </c>
      <c r="AX81" s="87">
        <v>0</v>
      </c>
      <c r="AY81" s="87">
        <v>0</v>
      </c>
      <c r="AZ81" s="87">
        <v>0</v>
      </c>
      <c r="BA81" s="87">
        <v>0</v>
      </c>
      <c r="BB81" s="87">
        <v>106</v>
      </c>
      <c r="BC81" s="86">
        <v>158</v>
      </c>
      <c r="BD81" s="87">
        <v>229</v>
      </c>
      <c r="BE81" s="87">
        <v>236</v>
      </c>
      <c r="BF81" s="87">
        <v>256</v>
      </c>
      <c r="BG81" s="87">
        <v>382</v>
      </c>
      <c r="BH81" s="87">
        <v>333</v>
      </c>
      <c r="BI81" s="87">
        <v>340</v>
      </c>
      <c r="BJ81" s="40">
        <v>306</v>
      </c>
      <c r="BK81" s="40">
        <v>320</v>
      </c>
      <c r="BL81" s="40">
        <v>288</v>
      </c>
      <c r="BM81" s="40">
        <v>341</v>
      </c>
      <c r="BO81" s="86"/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42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11</v>
      </c>
      <c r="CG81" s="42">
        <v>9</v>
      </c>
      <c r="CH81" s="21">
        <v>4</v>
      </c>
      <c r="CI81" s="21">
        <v>22</v>
      </c>
      <c r="CJ81" s="21">
        <v>1</v>
      </c>
      <c r="CK81" s="21">
        <v>42</v>
      </c>
      <c r="CL81" s="21">
        <v>33</v>
      </c>
      <c r="CM81" s="21">
        <v>6</v>
      </c>
      <c r="CN81" s="21">
        <v>15</v>
      </c>
      <c r="CO81" s="21">
        <v>8</v>
      </c>
      <c r="CP81" s="21">
        <f t="shared" si="158"/>
        <v>8</v>
      </c>
      <c r="CQ81" s="344">
        <f t="shared" si="159"/>
        <v>15.444444444444445</v>
      </c>
      <c r="CR81" s="87"/>
      <c r="CS81" s="86"/>
      <c r="CT81" s="85">
        <f t="shared" si="160"/>
        <v>0</v>
      </c>
      <c r="CU81" s="85">
        <f t="shared" si="161"/>
        <v>0</v>
      </c>
      <c r="CV81" s="85">
        <f t="shared" si="162"/>
        <v>0</v>
      </c>
      <c r="CW81" s="85">
        <f t="shared" si="163"/>
        <v>0</v>
      </c>
      <c r="CX81" s="85">
        <f t="shared" si="164"/>
        <v>0</v>
      </c>
      <c r="CY81" s="86">
        <f t="shared" si="165"/>
        <v>0</v>
      </c>
      <c r="CZ81" s="87">
        <f t="shared" si="166"/>
        <v>0</v>
      </c>
      <c r="DA81" s="87">
        <f t="shared" si="167"/>
        <v>0</v>
      </c>
      <c r="DB81" s="87">
        <f t="shared" si="168"/>
        <v>0</v>
      </c>
      <c r="DC81" s="87">
        <f t="shared" si="169"/>
        <v>0</v>
      </c>
      <c r="DD81" s="87">
        <f t="shared" si="170"/>
        <v>0</v>
      </c>
      <c r="DE81" s="87">
        <f t="shared" si="171"/>
        <v>0</v>
      </c>
      <c r="DF81" s="87">
        <f t="shared" si="172"/>
        <v>0</v>
      </c>
      <c r="DG81" s="87">
        <f t="shared" si="173"/>
        <v>0</v>
      </c>
      <c r="DH81" s="87">
        <f t="shared" si="174"/>
        <v>0</v>
      </c>
      <c r="DI81" s="87">
        <f t="shared" si="175"/>
        <v>0</v>
      </c>
      <c r="DJ81" s="87">
        <f t="shared" si="176"/>
        <v>117</v>
      </c>
      <c r="DK81" s="86">
        <f t="shared" si="177"/>
        <v>167</v>
      </c>
      <c r="DL81" s="87">
        <f t="shared" si="178"/>
        <v>233</v>
      </c>
      <c r="DM81" s="87">
        <f t="shared" si="179"/>
        <v>258</v>
      </c>
      <c r="DN81" s="87">
        <f t="shared" si="180"/>
        <v>257</v>
      </c>
      <c r="DO81" s="87">
        <f t="shared" si="181"/>
        <v>424</v>
      </c>
      <c r="DP81" s="87">
        <f t="shared" si="182"/>
        <v>366</v>
      </c>
      <c r="DQ81" s="87">
        <f t="shared" si="183"/>
        <v>346</v>
      </c>
      <c r="DR81" s="87">
        <f t="shared" si="97"/>
        <v>321</v>
      </c>
      <c r="DS81" s="87">
        <f t="shared" si="98"/>
        <v>328</v>
      </c>
      <c r="DT81" s="87">
        <f t="shared" si="184"/>
        <v>296</v>
      </c>
      <c r="DU81" s="87">
        <f t="shared" si="185"/>
        <v>356.44444444444446</v>
      </c>
      <c r="DV81" s="87">
        <f t="shared" si="186"/>
        <v>0</v>
      </c>
      <c r="DW81" s="87">
        <f t="shared" si="187"/>
        <v>0</v>
      </c>
    </row>
    <row r="82" spans="1:127">
      <c r="A82" s="22" t="s">
        <v>4</v>
      </c>
      <c r="B82" s="26">
        <v>4987176297495</v>
      </c>
      <c r="C82" s="22" t="s">
        <v>10</v>
      </c>
      <c r="D82" s="22" t="s">
        <v>84</v>
      </c>
      <c r="E82" s="22">
        <v>265256</v>
      </c>
      <c r="F82" s="80" t="s">
        <v>191</v>
      </c>
      <c r="G82" s="25">
        <v>139.85</v>
      </c>
      <c r="H82" s="85">
        <f t="shared" si="128"/>
        <v>0</v>
      </c>
      <c r="I82" s="85">
        <f t="shared" si="129"/>
        <v>0</v>
      </c>
      <c r="J82" s="85">
        <f t="shared" si="130"/>
        <v>0</v>
      </c>
      <c r="K82" s="85">
        <f t="shared" si="131"/>
        <v>0</v>
      </c>
      <c r="L82" s="85">
        <f t="shared" si="132"/>
        <v>0</v>
      </c>
      <c r="M82" s="86">
        <f t="shared" si="133"/>
        <v>0</v>
      </c>
      <c r="N82" s="87">
        <f t="shared" si="134"/>
        <v>0</v>
      </c>
      <c r="O82" s="87">
        <f t="shared" si="135"/>
        <v>0</v>
      </c>
      <c r="P82" s="87">
        <f t="shared" si="136"/>
        <v>0</v>
      </c>
      <c r="Q82" s="87">
        <f t="shared" si="137"/>
        <v>0</v>
      </c>
      <c r="R82" s="87">
        <f t="shared" si="138"/>
        <v>0</v>
      </c>
      <c r="S82" s="87">
        <f t="shared" si="139"/>
        <v>0</v>
      </c>
      <c r="T82" s="87">
        <f t="shared" si="140"/>
        <v>0</v>
      </c>
      <c r="U82" s="87">
        <f t="shared" si="141"/>
        <v>0</v>
      </c>
      <c r="V82" s="87">
        <f t="shared" si="142"/>
        <v>0</v>
      </c>
      <c r="W82" s="87">
        <f t="shared" si="143"/>
        <v>978.94999999999993</v>
      </c>
      <c r="X82" s="87">
        <f t="shared" si="144"/>
        <v>25173</v>
      </c>
      <c r="Y82" s="86">
        <f t="shared" si="145"/>
        <v>45031.7</v>
      </c>
      <c r="Z82" s="87">
        <f t="shared" si="146"/>
        <v>69085.899999999994</v>
      </c>
      <c r="AA82" s="87">
        <f t="shared" si="147"/>
        <v>73421.25</v>
      </c>
      <c r="AB82" s="87">
        <f t="shared" si="148"/>
        <v>92021.3</v>
      </c>
      <c r="AC82" s="87">
        <f t="shared" si="149"/>
        <v>88804.75</v>
      </c>
      <c r="AD82" s="87">
        <f t="shared" si="150"/>
        <v>67687.399999999994</v>
      </c>
      <c r="AE82" s="87">
        <f t="shared" si="151"/>
        <v>64610.7</v>
      </c>
      <c r="AF82" s="87">
        <f t="shared" si="152"/>
        <v>47688.85</v>
      </c>
      <c r="AG82" s="87">
        <f t="shared" si="153"/>
        <v>64750.549999999996</v>
      </c>
      <c r="AH82" s="87">
        <f t="shared" si="154"/>
        <v>56219.7</v>
      </c>
      <c r="AI82" s="87">
        <f t="shared" si="155"/>
        <v>80149.588888888888</v>
      </c>
      <c r="AJ82" s="87">
        <f t="shared" si="156"/>
        <v>0</v>
      </c>
      <c r="AK82" s="86">
        <f t="shared" si="157"/>
        <v>0</v>
      </c>
      <c r="AL82" s="85">
        <v>0</v>
      </c>
      <c r="AM82" s="85">
        <v>0</v>
      </c>
      <c r="AN82" s="85">
        <v>0</v>
      </c>
      <c r="AO82" s="85">
        <v>0</v>
      </c>
      <c r="AP82" s="85">
        <v>0</v>
      </c>
      <c r="AQ82" s="86">
        <v>0</v>
      </c>
      <c r="AR82" s="87">
        <v>0</v>
      </c>
      <c r="AS82" s="87">
        <v>0</v>
      </c>
      <c r="AT82" s="87">
        <v>0</v>
      </c>
      <c r="AU82" s="87">
        <v>0</v>
      </c>
      <c r="AV82" s="87">
        <v>0</v>
      </c>
      <c r="AW82" s="87">
        <v>0</v>
      </c>
      <c r="AX82" s="87">
        <v>0</v>
      </c>
      <c r="AY82" s="87">
        <v>0</v>
      </c>
      <c r="AZ82" s="87">
        <v>0</v>
      </c>
      <c r="BA82" s="87">
        <v>0</v>
      </c>
      <c r="BB82" s="87">
        <v>151</v>
      </c>
      <c r="BC82" s="86">
        <v>301</v>
      </c>
      <c r="BD82" s="87">
        <v>471</v>
      </c>
      <c r="BE82" s="87">
        <v>461</v>
      </c>
      <c r="BF82" s="87">
        <v>632</v>
      </c>
      <c r="BG82" s="87">
        <v>558</v>
      </c>
      <c r="BH82" s="87">
        <v>447</v>
      </c>
      <c r="BI82" s="87">
        <v>441</v>
      </c>
      <c r="BJ82" s="40">
        <v>320</v>
      </c>
      <c r="BK82" s="40">
        <v>444</v>
      </c>
      <c r="BL82" s="40">
        <v>383</v>
      </c>
      <c r="BM82" s="40">
        <v>539</v>
      </c>
      <c r="BO82" s="86"/>
      <c r="BP82" s="21">
        <v>0</v>
      </c>
      <c r="BQ82" s="21">
        <v>0</v>
      </c>
      <c r="BR82" s="21">
        <v>0</v>
      </c>
      <c r="BS82" s="21">
        <v>0</v>
      </c>
      <c r="BT82" s="21">
        <v>0</v>
      </c>
      <c r="BU82" s="42">
        <v>0</v>
      </c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7</v>
      </c>
      <c r="CF82" s="21">
        <v>29</v>
      </c>
      <c r="CG82" s="42">
        <v>21</v>
      </c>
      <c r="CH82" s="21">
        <v>23</v>
      </c>
      <c r="CI82" s="21">
        <v>64</v>
      </c>
      <c r="CJ82" s="21">
        <v>26</v>
      </c>
      <c r="CK82" s="21">
        <v>77</v>
      </c>
      <c r="CL82" s="21">
        <v>37</v>
      </c>
      <c r="CM82" s="21">
        <v>21</v>
      </c>
      <c r="CN82" s="21">
        <v>21</v>
      </c>
      <c r="CO82" s="21">
        <v>19</v>
      </c>
      <c r="CP82" s="21">
        <f t="shared" si="158"/>
        <v>19</v>
      </c>
      <c r="CQ82" s="344">
        <f t="shared" si="159"/>
        <v>34.111111111111114</v>
      </c>
      <c r="CR82" s="87"/>
      <c r="CS82" s="86"/>
      <c r="CT82" s="85">
        <f t="shared" si="160"/>
        <v>0</v>
      </c>
      <c r="CU82" s="85">
        <f t="shared" si="161"/>
        <v>0</v>
      </c>
      <c r="CV82" s="85">
        <f t="shared" si="162"/>
        <v>0</v>
      </c>
      <c r="CW82" s="85">
        <f t="shared" si="163"/>
        <v>0</v>
      </c>
      <c r="CX82" s="85">
        <f t="shared" si="164"/>
        <v>0</v>
      </c>
      <c r="CY82" s="86">
        <f t="shared" si="165"/>
        <v>0</v>
      </c>
      <c r="CZ82" s="87">
        <f t="shared" si="166"/>
        <v>0</v>
      </c>
      <c r="DA82" s="87">
        <f t="shared" si="167"/>
        <v>0</v>
      </c>
      <c r="DB82" s="87">
        <f t="shared" si="168"/>
        <v>0</v>
      </c>
      <c r="DC82" s="87">
        <f t="shared" si="169"/>
        <v>0</v>
      </c>
      <c r="DD82" s="87">
        <f t="shared" si="170"/>
        <v>0</v>
      </c>
      <c r="DE82" s="87">
        <f t="shared" si="171"/>
        <v>0</v>
      </c>
      <c r="DF82" s="87">
        <f t="shared" si="172"/>
        <v>0</v>
      </c>
      <c r="DG82" s="87">
        <f t="shared" si="173"/>
        <v>0</v>
      </c>
      <c r="DH82" s="87">
        <f t="shared" si="174"/>
        <v>0</v>
      </c>
      <c r="DI82" s="87">
        <f t="shared" si="175"/>
        <v>7</v>
      </c>
      <c r="DJ82" s="87">
        <f t="shared" si="176"/>
        <v>180</v>
      </c>
      <c r="DK82" s="86">
        <f t="shared" si="177"/>
        <v>322</v>
      </c>
      <c r="DL82" s="87">
        <f t="shared" si="178"/>
        <v>494</v>
      </c>
      <c r="DM82" s="87">
        <f t="shared" si="179"/>
        <v>525</v>
      </c>
      <c r="DN82" s="87">
        <f t="shared" si="180"/>
        <v>658</v>
      </c>
      <c r="DO82" s="87">
        <f t="shared" si="181"/>
        <v>635</v>
      </c>
      <c r="DP82" s="87">
        <f t="shared" si="182"/>
        <v>484</v>
      </c>
      <c r="DQ82" s="87">
        <f t="shared" si="183"/>
        <v>462</v>
      </c>
      <c r="DR82" s="87">
        <f t="shared" si="97"/>
        <v>341</v>
      </c>
      <c r="DS82" s="87">
        <f t="shared" si="98"/>
        <v>463</v>
      </c>
      <c r="DT82" s="87">
        <f t="shared" si="184"/>
        <v>402</v>
      </c>
      <c r="DU82" s="87">
        <f t="shared" si="185"/>
        <v>573.11111111111109</v>
      </c>
      <c r="DV82" s="87">
        <f t="shared" si="186"/>
        <v>0</v>
      </c>
      <c r="DW82" s="87">
        <f t="shared" si="187"/>
        <v>0</v>
      </c>
    </row>
    <row r="83" spans="1:127">
      <c r="A83" s="22" t="s">
        <v>4</v>
      </c>
      <c r="B83" s="26">
        <v>4902430720038</v>
      </c>
      <c r="C83" s="22" t="s">
        <v>85</v>
      </c>
      <c r="D83" s="22" t="s">
        <v>11</v>
      </c>
      <c r="E83" s="22">
        <v>894573</v>
      </c>
      <c r="F83" s="80" t="s">
        <v>192</v>
      </c>
      <c r="G83" s="25">
        <v>147.28583333333333</v>
      </c>
      <c r="H83" s="85">
        <f t="shared" si="128"/>
        <v>71875.486666666664</v>
      </c>
      <c r="I83" s="85">
        <f t="shared" si="129"/>
        <v>59208.904999999999</v>
      </c>
      <c r="J83" s="85">
        <f t="shared" si="130"/>
        <v>42712.891666666663</v>
      </c>
      <c r="K83" s="85">
        <f t="shared" si="131"/>
        <v>51991.899166666662</v>
      </c>
      <c r="L83" s="85">
        <f t="shared" si="132"/>
        <v>61565.478333333333</v>
      </c>
      <c r="M83" s="86">
        <f t="shared" si="133"/>
        <v>41681.890833333331</v>
      </c>
      <c r="N83" s="87">
        <f t="shared" si="134"/>
        <v>38441.602500000001</v>
      </c>
      <c r="O83" s="87">
        <f t="shared" si="135"/>
        <v>48751.610833333332</v>
      </c>
      <c r="P83" s="87">
        <f t="shared" si="136"/>
        <v>58472.47583333333</v>
      </c>
      <c r="Q83" s="87">
        <f t="shared" si="137"/>
        <v>79534.349999999991</v>
      </c>
      <c r="R83" s="87">
        <f t="shared" si="138"/>
        <v>78208.777499999997</v>
      </c>
      <c r="S83" s="87">
        <f t="shared" si="139"/>
        <v>74379.345833333326</v>
      </c>
      <c r="T83" s="87">
        <f t="shared" si="140"/>
        <v>54201.186666666668</v>
      </c>
      <c r="U83" s="87">
        <f t="shared" si="141"/>
        <v>47867.895833333328</v>
      </c>
      <c r="V83" s="87">
        <f t="shared" si="142"/>
        <v>36379.60083333333</v>
      </c>
      <c r="W83" s="87">
        <f t="shared" si="143"/>
        <v>42418.32</v>
      </c>
      <c r="X83" s="87">
        <f t="shared" si="144"/>
        <v>52875.614166666666</v>
      </c>
      <c r="Y83" s="86">
        <f t="shared" si="145"/>
        <v>54937.61583333333</v>
      </c>
      <c r="Z83" s="87">
        <f t="shared" si="146"/>
        <v>86751.355833333335</v>
      </c>
      <c r="AA83" s="87">
        <f t="shared" si="147"/>
        <v>64805.766666666663</v>
      </c>
      <c r="AB83" s="87">
        <f t="shared" si="148"/>
        <v>60534.477500000001</v>
      </c>
      <c r="AC83" s="87">
        <f t="shared" si="149"/>
        <v>76294.061666666661</v>
      </c>
      <c r="AD83" s="87">
        <f t="shared" si="150"/>
        <v>70991.771666666667</v>
      </c>
      <c r="AE83" s="87">
        <f t="shared" si="151"/>
        <v>83952.925000000003</v>
      </c>
      <c r="AF83" s="87">
        <f t="shared" si="152"/>
        <v>59061.619166666664</v>
      </c>
      <c r="AG83" s="87">
        <f t="shared" si="153"/>
        <v>61565.478333333333</v>
      </c>
      <c r="AH83" s="87">
        <f t="shared" si="154"/>
        <v>47278.752499999995</v>
      </c>
      <c r="AI83" s="87">
        <f t="shared" si="155"/>
        <v>75050.314629629633</v>
      </c>
      <c r="AJ83" s="87">
        <f t="shared" si="156"/>
        <v>0</v>
      </c>
      <c r="AK83" s="86">
        <f t="shared" si="157"/>
        <v>0</v>
      </c>
      <c r="AL83" s="85">
        <v>461</v>
      </c>
      <c r="AM83" s="85">
        <v>387</v>
      </c>
      <c r="AN83" s="85">
        <v>257</v>
      </c>
      <c r="AO83" s="85">
        <v>333</v>
      </c>
      <c r="AP83" s="85">
        <v>390</v>
      </c>
      <c r="AQ83" s="86">
        <v>268</v>
      </c>
      <c r="AR83" s="87">
        <v>251</v>
      </c>
      <c r="AS83" s="87">
        <v>309</v>
      </c>
      <c r="AT83" s="87">
        <v>372</v>
      </c>
      <c r="AU83" s="87">
        <v>518</v>
      </c>
      <c r="AV83" s="87">
        <v>496</v>
      </c>
      <c r="AW83" s="87">
        <v>504</v>
      </c>
      <c r="AX83" s="87">
        <v>350</v>
      </c>
      <c r="AY83" s="87">
        <v>293</v>
      </c>
      <c r="AZ83" s="87">
        <v>243</v>
      </c>
      <c r="BA83" s="87">
        <v>282</v>
      </c>
      <c r="BB83" s="87">
        <v>338</v>
      </c>
      <c r="BC83" s="86">
        <v>342</v>
      </c>
      <c r="BD83" s="87">
        <v>572</v>
      </c>
      <c r="BE83" s="87">
        <v>420</v>
      </c>
      <c r="BF83" s="87">
        <v>402</v>
      </c>
      <c r="BG83" s="87">
        <v>496</v>
      </c>
      <c r="BH83" s="87">
        <v>444</v>
      </c>
      <c r="BI83" s="87">
        <v>558</v>
      </c>
      <c r="BJ83" s="40">
        <v>391</v>
      </c>
      <c r="BK83" s="40">
        <v>412</v>
      </c>
      <c r="BL83" s="40">
        <v>315</v>
      </c>
      <c r="BM83" s="40">
        <v>494</v>
      </c>
      <c r="BO83" s="86"/>
      <c r="BP83" s="21">
        <v>27</v>
      </c>
      <c r="BQ83" s="21">
        <v>15</v>
      </c>
      <c r="BR83" s="21">
        <v>33</v>
      </c>
      <c r="BS83" s="21">
        <v>20</v>
      </c>
      <c r="BT83" s="21">
        <v>28</v>
      </c>
      <c r="BU83" s="42">
        <v>15</v>
      </c>
      <c r="BV83" s="21">
        <v>10</v>
      </c>
      <c r="BW83" s="21">
        <v>22</v>
      </c>
      <c r="BX83" s="21">
        <v>25</v>
      </c>
      <c r="BY83" s="21">
        <v>22</v>
      </c>
      <c r="BZ83" s="21">
        <v>35</v>
      </c>
      <c r="CA83" s="21">
        <v>1</v>
      </c>
      <c r="CB83" s="21">
        <v>18</v>
      </c>
      <c r="CC83" s="21">
        <v>32</v>
      </c>
      <c r="CD83" s="21">
        <v>4</v>
      </c>
      <c r="CE83" s="21">
        <v>6</v>
      </c>
      <c r="CF83" s="21">
        <v>21</v>
      </c>
      <c r="CG83" s="42">
        <v>31</v>
      </c>
      <c r="CH83" s="21">
        <v>17</v>
      </c>
      <c r="CI83" s="21">
        <v>20</v>
      </c>
      <c r="CJ83" s="21">
        <v>9</v>
      </c>
      <c r="CK83" s="21">
        <v>22</v>
      </c>
      <c r="CL83" s="21">
        <v>38</v>
      </c>
      <c r="CM83" s="21">
        <v>12</v>
      </c>
      <c r="CN83" s="21">
        <v>10</v>
      </c>
      <c r="CO83" s="21">
        <v>6</v>
      </c>
      <c r="CP83" s="21">
        <f t="shared" si="158"/>
        <v>6</v>
      </c>
      <c r="CQ83" s="344">
        <f t="shared" si="159"/>
        <v>15.555555555555555</v>
      </c>
      <c r="CR83" s="87"/>
      <c r="CS83" s="86"/>
      <c r="CT83" s="85">
        <f t="shared" si="160"/>
        <v>488</v>
      </c>
      <c r="CU83" s="85">
        <f t="shared" si="161"/>
        <v>402</v>
      </c>
      <c r="CV83" s="85">
        <f t="shared" si="162"/>
        <v>290</v>
      </c>
      <c r="CW83" s="85">
        <f t="shared" si="163"/>
        <v>353</v>
      </c>
      <c r="CX83" s="85">
        <f t="shared" si="164"/>
        <v>418</v>
      </c>
      <c r="CY83" s="86">
        <f t="shared" si="165"/>
        <v>283</v>
      </c>
      <c r="CZ83" s="87">
        <f t="shared" si="166"/>
        <v>261</v>
      </c>
      <c r="DA83" s="87">
        <f t="shared" si="167"/>
        <v>331</v>
      </c>
      <c r="DB83" s="87">
        <f t="shared" si="168"/>
        <v>397</v>
      </c>
      <c r="DC83" s="87">
        <f t="shared" si="169"/>
        <v>540</v>
      </c>
      <c r="DD83" s="87">
        <f t="shared" si="170"/>
        <v>531</v>
      </c>
      <c r="DE83" s="87">
        <f t="shared" si="171"/>
        <v>505</v>
      </c>
      <c r="DF83" s="87">
        <f t="shared" si="172"/>
        <v>368</v>
      </c>
      <c r="DG83" s="87">
        <f t="shared" si="173"/>
        <v>325</v>
      </c>
      <c r="DH83" s="87">
        <f t="shared" si="174"/>
        <v>247</v>
      </c>
      <c r="DI83" s="87">
        <f t="shared" si="175"/>
        <v>288</v>
      </c>
      <c r="DJ83" s="87">
        <f t="shared" si="176"/>
        <v>359</v>
      </c>
      <c r="DK83" s="86">
        <f t="shared" si="177"/>
        <v>373</v>
      </c>
      <c r="DL83" s="87">
        <f t="shared" si="178"/>
        <v>589</v>
      </c>
      <c r="DM83" s="87">
        <f t="shared" si="179"/>
        <v>440</v>
      </c>
      <c r="DN83" s="87">
        <f t="shared" si="180"/>
        <v>411</v>
      </c>
      <c r="DO83" s="87">
        <f t="shared" si="181"/>
        <v>518</v>
      </c>
      <c r="DP83" s="87">
        <f t="shared" si="182"/>
        <v>482</v>
      </c>
      <c r="DQ83" s="87">
        <f t="shared" si="183"/>
        <v>570</v>
      </c>
      <c r="DR83" s="87">
        <f t="shared" si="97"/>
        <v>401</v>
      </c>
      <c r="DS83" s="87">
        <f t="shared" si="98"/>
        <v>418</v>
      </c>
      <c r="DT83" s="87">
        <f t="shared" si="184"/>
        <v>321</v>
      </c>
      <c r="DU83" s="87">
        <f t="shared" si="185"/>
        <v>509.55555555555554</v>
      </c>
      <c r="DV83" s="87">
        <f t="shared" si="186"/>
        <v>0</v>
      </c>
      <c r="DW83" s="87">
        <f t="shared" si="187"/>
        <v>0</v>
      </c>
    </row>
    <row r="84" spans="1:127">
      <c r="A84" s="22" t="s">
        <v>4</v>
      </c>
      <c r="B84" s="26">
        <v>4902430716505</v>
      </c>
      <c r="C84" s="22" t="s">
        <v>85</v>
      </c>
      <c r="D84" s="22" t="s">
        <v>11</v>
      </c>
      <c r="E84" s="22">
        <v>894120</v>
      </c>
      <c r="F84" s="80" t="s">
        <v>193</v>
      </c>
      <c r="G84" s="25">
        <v>147.28583333333333</v>
      </c>
      <c r="H84" s="85">
        <f t="shared" si="128"/>
        <v>189704.15333333332</v>
      </c>
      <c r="I84" s="85">
        <f t="shared" si="129"/>
        <v>189115.00999999998</v>
      </c>
      <c r="J84" s="85">
        <f t="shared" si="130"/>
        <v>139037.82666666666</v>
      </c>
      <c r="K84" s="85">
        <f t="shared" si="131"/>
        <v>149495.12083333332</v>
      </c>
      <c r="L84" s="85">
        <f t="shared" si="132"/>
        <v>153766.41</v>
      </c>
      <c r="M84" s="86">
        <f t="shared" si="133"/>
        <v>108696.94499999999</v>
      </c>
      <c r="N84" s="87">
        <f t="shared" si="134"/>
        <v>98681.508333333331</v>
      </c>
      <c r="O84" s="87">
        <f t="shared" si="135"/>
        <v>138890.54083333333</v>
      </c>
      <c r="P84" s="87">
        <f t="shared" si="136"/>
        <v>153324.55249999999</v>
      </c>
      <c r="Q84" s="87">
        <f t="shared" si="137"/>
        <v>161867.13083333333</v>
      </c>
      <c r="R84" s="87">
        <f t="shared" si="138"/>
        <v>188525.86666666667</v>
      </c>
      <c r="S84" s="87">
        <f t="shared" si="139"/>
        <v>159215.98583333334</v>
      </c>
      <c r="T84" s="87">
        <f t="shared" si="140"/>
        <v>125045.6725</v>
      </c>
      <c r="U84" s="87">
        <f t="shared" si="141"/>
        <v>113410.09166666666</v>
      </c>
      <c r="V84" s="87">
        <f t="shared" si="142"/>
        <v>90138.93</v>
      </c>
      <c r="W84" s="87">
        <f t="shared" si="143"/>
        <v>293835.23749999999</v>
      </c>
      <c r="X84" s="87">
        <f t="shared" si="144"/>
        <v>383974.16749999998</v>
      </c>
      <c r="Y84" s="86">
        <f t="shared" si="145"/>
        <v>155533.84</v>
      </c>
      <c r="Z84" s="87">
        <f t="shared" si="146"/>
        <v>231827.90166666667</v>
      </c>
      <c r="AA84" s="87">
        <f t="shared" si="147"/>
        <v>192208.01249999998</v>
      </c>
      <c r="AB84" s="87">
        <f t="shared" si="148"/>
        <v>164812.8475</v>
      </c>
      <c r="AC84" s="87">
        <f t="shared" si="149"/>
        <v>187936.72333333333</v>
      </c>
      <c r="AD84" s="87">
        <f t="shared" si="150"/>
        <v>417113.48</v>
      </c>
      <c r="AE84" s="87">
        <f t="shared" si="151"/>
        <v>706530.14249999996</v>
      </c>
      <c r="AF84" s="87">
        <f t="shared" si="152"/>
        <v>139774.25583333333</v>
      </c>
      <c r="AG84" s="87">
        <f t="shared" si="153"/>
        <v>580158.89749999996</v>
      </c>
      <c r="AH84" s="87">
        <f t="shared" si="154"/>
        <v>305912.67583333334</v>
      </c>
      <c r="AI84" s="87">
        <f t="shared" si="155"/>
        <v>183550.8785185185</v>
      </c>
      <c r="AJ84" s="87">
        <f t="shared" si="156"/>
        <v>0</v>
      </c>
      <c r="AK84" s="86">
        <f t="shared" si="157"/>
        <v>0</v>
      </c>
      <c r="AL84" s="85">
        <v>1107</v>
      </c>
      <c r="AM84" s="85">
        <v>1208</v>
      </c>
      <c r="AN84" s="85">
        <v>789</v>
      </c>
      <c r="AO84" s="85">
        <v>891</v>
      </c>
      <c r="AP84" s="85">
        <v>946</v>
      </c>
      <c r="AQ84" s="86">
        <v>651</v>
      </c>
      <c r="AR84" s="87">
        <v>610</v>
      </c>
      <c r="AS84" s="87">
        <v>865</v>
      </c>
      <c r="AT84" s="87">
        <v>915</v>
      </c>
      <c r="AU84" s="87">
        <v>1034</v>
      </c>
      <c r="AV84" s="87">
        <v>1052</v>
      </c>
      <c r="AW84" s="87">
        <v>1044</v>
      </c>
      <c r="AX84" s="87">
        <v>801</v>
      </c>
      <c r="AY84" s="87">
        <v>672</v>
      </c>
      <c r="AZ84" s="87">
        <v>562</v>
      </c>
      <c r="BA84" s="87">
        <v>1868</v>
      </c>
      <c r="BB84" s="87">
        <v>2511</v>
      </c>
      <c r="BC84" s="86">
        <v>882</v>
      </c>
      <c r="BD84" s="87">
        <v>1434</v>
      </c>
      <c r="BE84" s="87">
        <v>1174</v>
      </c>
      <c r="BF84" s="87">
        <v>1060</v>
      </c>
      <c r="BG84" s="87">
        <v>1138</v>
      </c>
      <c r="BH84" s="87">
        <v>2695</v>
      </c>
      <c r="BI84" s="87">
        <v>4744</v>
      </c>
      <c r="BJ84" s="87">
        <v>889</v>
      </c>
      <c r="BK84" s="87">
        <v>3901</v>
      </c>
      <c r="BL84" s="40">
        <v>2039</v>
      </c>
      <c r="BM84" s="40">
        <v>1158</v>
      </c>
      <c r="BO84" s="86"/>
      <c r="BP84" s="21">
        <v>181</v>
      </c>
      <c r="BQ84" s="21">
        <v>76</v>
      </c>
      <c r="BR84" s="21">
        <v>155</v>
      </c>
      <c r="BS84" s="21">
        <v>124</v>
      </c>
      <c r="BT84" s="21">
        <v>98</v>
      </c>
      <c r="BU84" s="42">
        <v>87</v>
      </c>
      <c r="BV84" s="21">
        <v>60</v>
      </c>
      <c r="BW84" s="21">
        <v>78</v>
      </c>
      <c r="BX84" s="21">
        <v>126</v>
      </c>
      <c r="BY84" s="21">
        <v>65</v>
      </c>
      <c r="BZ84" s="21">
        <v>228</v>
      </c>
      <c r="CA84" s="21">
        <v>37</v>
      </c>
      <c r="CB84" s="21">
        <v>48</v>
      </c>
      <c r="CC84" s="21">
        <v>98</v>
      </c>
      <c r="CD84" s="21">
        <v>50</v>
      </c>
      <c r="CE84" s="21">
        <v>127</v>
      </c>
      <c r="CF84" s="21">
        <v>96</v>
      </c>
      <c r="CG84" s="42">
        <v>174</v>
      </c>
      <c r="CH84" s="21">
        <v>140</v>
      </c>
      <c r="CI84" s="21">
        <v>131</v>
      </c>
      <c r="CJ84" s="21">
        <v>59</v>
      </c>
      <c r="CK84" s="21">
        <v>138</v>
      </c>
      <c r="CL84" s="21">
        <v>137</v>
      </c>
      <c r="CM84" s="21">
        <v>53</v>
      </c>
      <c r="CN84" s="21">
        <v>60</v>
      </c>
      <c r="CO84" s="21">
        <v>38</v>
      </c>
      <c r="CP84" s="21">
        <f t="shared" si="158"/>
        <v>38</v>
      </c>
      <c r="CQ84" s="344">
        <f t="shared" si="159"/>
        <v>88.222222222222229</v>
      </c>
      <c r="CR84" s="87"/>
      <c r="CS84" s="86"/>
      <c r="CT84" s="85">
        <f t="shared" si="160"/>
        <v>1288</v>
      </c>
      <c r="CU84" s="85">
        <f t="shared" si="161"/>
        <v>1284</v>
      </c>
      <c r="CV84" s="85">
        <f t="shared" si="162"/>
        <v>944</v>
      </c>
      <c r="CW84" s="85">
        <f t="shared" si="163"/>
        <v>1015</v>
      </c>
      <c r="CX84" s="85">
        <f t="shared" si="164"/>
        <v>1044</v>
      </c>
      <c r="CY84" s="86">
        <f t="shared" si="165"/>
        <v>738</v>
      </c>
      <c r="CZ84" s="87">
        <f t="shared" si="166"/>
        <v>670</v>
      </c>
      <c r="DA84" s="87">
        <f t="shared" si="167"/>
        <v>943</v>
      </c>
      <c r="DB84" s="87">
        <f t="shared" si="168"/>
        <v>1041</v>
      </c>
      <c r="DC84" s="87">
        <f t="shared" si="169"/>
        <v>1099</v>
      </c>
      <c r="DD84" s="87">
        <f t="shared" si="170"/>
        <v>1280</v>
      </c>
      <c r="DE84" s="87">
        <f t="shared" si="171"/>
        <v>1081</v>
      </c>
      <c r="DF84" s="87">
        <f t="shared" si="172"/>
        <v>849</v>
      </c>
      <c r="DG84" s="87">
        <f t="shared" si="173"/>
        <v>770</v>
      </c>
      <c r="DH84" s="87">
        <f t="shared" si="174"/>
        <v>612</v>
      </c>
      <c r="DI84" s="87">
        <f t="shared" si="175"/>
        <v>1995</v>
      </c>
      <c r="DJ84" s="87">
        <f t="shared" si="176"/>
        <v>2607</v>
      </c>
      <c r="DK84" s="86">
        <f t="shared" si="177"/>
        <v>1056</v>
      </c>
      <c r="DL84" s="87">
        <f t="shared" si="178"/>
        <v>1574</v>
      </c>
      <c r="DM84" s="87">
        <f t="shared" si="179"/>
        <v>1305</v>
      </c>
      <c r="DN84" s="87">
        <f t="shared" si="180"/>
        <v>1119</v>
      </c>
      <c r="DO84" s="87">
        <f t="shared" si="181"/>
        <v>1276</v>
      </c>
      <c r="DP84" s="87">
        <f t="shared" si="182"/>
        <v>2832</v>
      </c>
      <c r="DQ84" s="87">
        <f t="shared" si="183"/>
        <v>4797</v>
      </c>
      <c r="DR84" s="87">
        <f t="shared" si="97"/>
        <v>949</v>
      </c>
      <c r="DS84" s="87">
        <f t="shared" si="98"/>
        <v>3939</v>
      </c>
      <c r="DT84" s="87">
        <f t="shared" si="184"/>
        <v>2077</v>
      </c>
      <c r="DU84" s="87">
        <f t="shared" si="185"/>
        <v>1246.2222222222222</v>
      </c>
      <c r="DV84" s="87">
        <f t="shared" si="186"/>
        <v>0</v>
      </c>
      <c r="DW84" s="87">
        <f t="shared" si="187"/>
        <v>0</v>
      </c>
    </row>
    <row r="85" spans="1:127">
      <c r="A85" s="22" t="s">
        <v>4</v>
      </c>
      <c r="B85" s="26">
        <v>4902430732949</v>
      </c>
      <c r="C85" s="22" t="s">
        <v>85</v>
      </c>
      <c r="D85" s="22" t="s">
        <v>11</v>
      </c>
      <c r="E85" s="22">
        <v>126377</v>
      </c>
      <c r="F85" s="80" t="s">
        <v>194</v>
      </c>
      <c r="G85" s="25">
        <v>147.28583333333333</v>
      </c>
      <c r="H85" s="85">
        <f t="shared" si="128"/>
        <v>143014.54416666666</v>
      </c>
      <c r="I85" s="85">
        <f t="shared" si="129"/>
        <v>138448.68333333332</v>
      </c>
      <c r="J85" s="85">
        <f t="shared" si="130"/>
        <v>109138.80249999999</v>
      </c>
      <c r="K85" s="85">
        <f t="shared" si="131"/>
        <v>113262.80583333333</v>
      </c>
      <c r="L85" s="85">
        <f t="shared" si="132"/>
        <v>120921.66916666666</v>
      </c>
      <c r="M85" s="86">
        <f t="shared" si="133"/>
        <v>85131.21166666667</v>
      </c>
      <c r="N85" s="87">
        <f t="shared" si="134"/>
        <v>86751.355833333335</v>
      </c>
      <c r="O85" s="87">
        <f t="shared" si="135"/>
        <v>115324.8075</v>
      </c>
      <c r="P85" s="87">
        <f t="shared" si="136"/>
        <v>107224.08666666667</v>
      </c>
      <c r="Q85" s="87">
        <f t="shared" si="137"/>
        <v>123572.81416666666</v>
      </c>
      <c r="R85" s="87">
        <f t="shared" si="138"/>
        <v>142278.11499999999</v>
      </c>
      <c r="S85" s="87">
        <f t="shared" si="139"/>
        <v>141688.97166666665</v>
      </c>
      <c r="T85" s="87">
        <f t="shared" si="140"/>
        <v>100890.79583333334</v>
      </c>
      <c r="U85" s="87">
        <f t="shared" si="141"/>
        <v>95441.22</v>
      </c>
      <c r="V85" s="87">
        <f t="shared" si="142"/>
        <v>78650.634999999995</v>
      </c>
      <c r="W85" s="87">
        <f t="shared" si="143"/>
        <v>276602.79499999998</v>
      </c>
      <c r="X85" s="87">
        <f t="shared" si="144"/>
        <v>348625.5675</v>
      </c>
      <c r="Y85" s="86">
        <f t="shared" si="145"/>
        <v>123572.81416666666</v>
      </c>
      <c r="Z85" s="87">
        <f t="shared" si="146"/>
        <v>211207.88499999998</v>
      </c>
      <c r="AA85" s="87">
        <f t="shared" si="147"/>
        <v>165549.27666666667</v>
      </c>
      <c r="AB85" s="87">
        <f t="shared" si="148"/>
        <v>132409.96416666667</v>
      </c>
      <c r="AC85" s="87">
        <f t="shared" si="149"/>
        <v>144781.97416666665</v>
      </c>
      <c r="AD85" s="87">
        <f t="shared" si="150"/>
        <v>305028.96083333332</v>
      </c>
      <c r="AE85" s="87">
        <f t="shared" si="151"/>
        <v>545988.58416666661</v>
      </c>
      <c r="AF85" s="87">
        <f t="shared" si="152"/>
        <v>110317.08916666666</v>
      </c>
      <c r="AG85" s="87">
        <f t="shared" si="153"/>
        <v>143456.40166666667</v>
      </c>
      <c r="AH85" s="87">
        <f t="shared" si="154"/>
        <v>103100.08333333333</v>
      </c>
      <c r="AI85" s="87">
        <f t="shared" si="155"/>
        <v>133408.23481481482</v>
      </c>
      <c r="AJ85" s="87">
        <f t="shared" si="156"/>
        <v>0</v>
      </c>
      <c r="AK85" s="86">
        <f t="shared" si="157"/>
        <v>0</v>
      </c>
      <c r="AL85" s="85">
        <v>869</v>
      </c>
      <c r="AM85" s="85">
        <v>881</v>
      </c>
      <c r="AN85" s="85">
        <v>666</v>
      </c>
      <c r="AO85" s="85">
        <v>692</v>
      </c>
      <c r="AP85" s="85">
        <v>780</v>
      </c>
      <c r="AQ85" s="86">
        <v>522</v>
      </c>
      <c r="AR85" s="87">
        <v>539</v>
      </c>
      <c r="AS85" s="87">
        <v>742</v>
      </c>
      <c r="AT85" s="87">
        <v>665</v>
      </c>
      <c r="AU85" s="87">
        <v>790</v>
      </c>
      <c r="AV85" s="87">
        <v>846</v>
      </c>
      <c r="AW85" s="87">
        <v>948</v>
      </c>
      <c r="AX85" s="87">
        <v>656</v>
      </c>
      <c r="AY85" s="87">
        <v>576</v>
      </c>
      <c r="AZ85" s="87">
        <v>505</v>
      </c>
      <c r="BA85" s="87">
        <v>1801</v>
      </c>
      <c r="BB85" s="87">
        <v>2303</v>
      </c>
      <c r="BC85" s="86">
        <v>759</v>
      </c>
      <c r="BD85" s="87">
        <v>1364</v>
      </c>
      <c r="BE85" s="87">
        <v>1044</v>
      </c>
      <c r="BF85" s="87">
        <v>857</v>
      </c>
      <c r="BG85" s="87">
        <v>919</v>
      </c>
      <c r="BH85" s="87">
        <v>1926</v>
      </c>
      <c r="BI85" s="87">
        <v>3665</v>
      </c>
      <c r="BJ85" s="87">
        <v>702</v>
      </c>
      <c r="BK85" s="87">
        <v>950</v>
      </c>
      <c r="BL85" s="40">
        <v>676</v>
      </c>
      <c r="BM85" s="40">
        <v>846</v>
      </c>
      <c r="BO85" s="86"/>
      <c r="BP85" s="21">
        <v>102</v>
      </c>
      <c r="BQ85" s="21">
        <v>59</v>
      </c>
      <c r="BR85" s="21">
        <v>75</v>
      </c>
      <c r="BS85" s="21">
        <v>77</v>
      </c>
      <c r="BT85" s="21">
        <v>41</v>
      </c>
      <c r="BU85" s="42">
        <v>56</v>
      </c>
      <c r="BV85" s="21">
        <v>50</v>
      </c>
      <c r="BW85" s="21">
        <v>41</v>
      </c>
      <c r="BX85" s="21">
        <v>63</v>
      </c>
      <c r="BY85" s="21">
        <v>49</v>
      </c>
      <c r="BZ85" s="21">
        <v>120</v>
      </c>
      <c r="CA85" s="21">
        <v>14</v>
      </c>
      <c r="CB85" s="21">
        <v>29</v>
      </c>
      <c r="CC85" s="21">
        <v>72</v>
      </c>
      <c r="CD85" s="21">
        <v>29</v>
      </c>
      <c r="CE85" s="21">
        <v>77</v>
      </c>
      <c r="CF85" s="21">
        <v>64</v>
      </c>
      <c r="CG85" s="42">
        <v>80</v>
      </c>
      <c r="CH85" s="21">
        <v>70</v>
      </c>
      <c r="CI85" s="21">
        <v>80</v>
      </c>
      <c r="CJ85" s="21">
        <v>42</v>
      </c>
      <c r="CK85" s="21">
        <v>64</v>
      </c>
      <c r="CL85" s="21">
        <v>145</v>
      </c>
      <c r="CM85" s="21">
        <v>42</v>
      </c>
      <c r="CN85" s="21">
        <v>47</v>
      </c>
      <c r="CO85" s="21">
        <v>24</v>
      </c>
      <c r="CP85" s="21">
        <f t="shared" si="158"/>
        <v>24</v>
      </c>
      <c r="CQ85" s="344">
        <f t="shared" si="159"/>
        <v>59.777777777777779</v>
      </c>
      <c r="CR85" s="87"/>
      <c r="CS85" s="86"/>
      <c r="CT85" s="85">
        <f t="shared" si="160"/>
        <v>971</v>
      </c>
      <c r="CU85" s="85">
        <f t="shared" si="161"/>
        <v>940</v>
      </c>
      <c r="CV85" s="85">
        <f t="shared" si="162"/>
        <v>741</v>
      </c>
      <c r="CW85" s="85">
        <f t="shared" si="163"/>
        <v>769</v>
      </c>
      <c r="CX85" s="85">
        <f t="shared" si="164"/>
        <v>821</v>
      </c>
      <c r="CY85" s="86">
        <f t="shared" si="165"/>
        <v>578</v>
      </c>
      <c r="CZ85" s="87">
        <f t="shared" si="166"/>
        <v>589</v>
      </c>
      <c r="DA85" s="87">
        <f t="shared" si="167"/>
        <v>783</v>
      </c>
      <c r="DB85" s="87">
        <f t="shared" si="168"/>
        <v>728</v>
      </c>
      <c r="DC85" s="87">
        <f t="shared" si="169"/>
        <v>839</v>
      </c>
      <c r="DD85" s="87">
        <f t="shared" si="170"/>
        <v>966</v>
      </c>
      <c r="DE85" s="87">
        <f t="shared" si="171"/>
        <v>962</v>
      </c>
      <c r="DF85" s="87">
        <f t="shared" si="172"/>
        <v>685</v>
      </c>
      <c r="DG85" s="87">
        <f t="shared" si="173"/>
        <v>648</v>
      </c>
      <c r="DH85" s="87">
        <f t="shared" si="174"/>
        <v>534</v>
      </c>
      <c r="DI85" s="87">
        <f t="shared" si="175"/>
        <v>1878</v>
      </c>
      <c r="DJ85" s="87">
        <f t="shared" si="176"/>
        <v>2367</v>
      </c>
      <c r="DK85" s="86">
        <f t="shared" si="177"/>
        <v>839</v>
      </c>
      <c r="DL85" s="87">
        <f t="shared" si="178"/>
        <v>1434</v>
      </c>
      <c r="DM85" s="87">
        <f t="shared" si="179"/>
        <v>1124</v>
      </c>
      <c r="DN85" s="87">
        <f t="shared" si="180"/>
        <v>899</v>
      </c>
      <c r="DO85" s="87">
        <f t="shared" si="181"/>
        <v>983</v>
      </c>
      <c r="DP85" s="87">
        <f t="shared" si="182"/>
        <v>2071</v>
      </c>
      <c r="DQ85" s="87">
        <f t="shared" si="183"/>
        <v>3707</v>
      </c>
      <c r="DR85" s="87">
        <f t="shared" si="97"/>
        <v>749</v>
      </c>
      <c r="DS85" s="87">
        <f t="shared" si="98"/>
        <v>974</v>
      </c>
      <c r="DT85" s="87">
        <f t="shared" si="184"/>
        <v>700</v>
      </c>
      <c r="DU85" s="87">
        <f t="shared" si="185"/>
        <v>905.77777777777783</v>
      </c>
      <c r="DV85" s="87">
        <f t="shared" si="186"/>
        <v>0</v>
      </c>
      <c r="DW85" s="87">
        <f t="shared" si="187"/>
        <v>0</v>
      </c>
    </row>
    <row r="86" spans="1:127">
      <c r="A86" s="22" t="s">
        <v>4</v>
      </c>
      <c r="B86" s="26">
        <v>4902430732932</v>
      </c>
      <c r="C86" s="22" t="s">
        <v>85</v>
      </c>
      <c r="D86" s="22" t="s">
        <v>11</v>
      </c>
      <c r="E86" s="22">
        <v>229431</v>
      </c>
      <c r="F86" s="80" t="s">
        <v>195</v>
      </c>
      <c r="G86" s="25">
        <v>147.28583333333333</v>
      </c>
      <c r="H86" s="85">
        <f t="shared" si="128"/>
        <v>47131.466666666667</v>
      </c>
      <c r="I86" s="85">
        <f t="shared" si="129"/>
        <v>64069.337500000001</v>
      </c>
      <c r="J86" s="85">
        <f t="shared" si="130"/>
        <v>81596.351666666669</v>
      </c>
      <c r="K86" s="85">
        <f t="shared" si="131"/>
        <v>85720.354999999996</v>
      </c>
      <c r="L86" s="85">
        <f t="shared" si="132"/>
        <v>72022.772499999992</v>
      </c>
      <c r="M86" s="86">
        <f t="shared" si="133"/>
        <v>46836.894999999997</v>
      </c>
      <c r="N86" s="87">
        <f t="shared" si="134"/>
        <v>45658.60833333333</v>
      </c>
      <c r="O86" s="87">
        <f t="shared" si="135"/>
        <v>67162.34</v>
      </c>
      <c r="P86" s="87">
        <f t="shared" si="136"/>
        <v>73495.630833333329</v>
      </c>
      <c r="Q86" s="87">
        <f t="shared" si="137"/>
        <v>78945.206666666665</v>
      </c>
      <c r="R86" s="87">
        <f t="shared" si="138"/>
        <v>93968.361666666664</v>
      </c>
      <c r="S86" s="87">
        <f t="shared" si="139"/>
        <v>87782.356666666659</v>
      </c>
      <c r="T86" s="87">
        <f t="shared" si="140"/>
        <v>53464.7575</v>
      </c>
      <c r="U86" s="87">
        <f t="shared" si="141"/>
        <v>45805.894166666665</v>
      </c>
      <c r="V86" s="87">
        <f t="shared" si="142"/>
        <v>45658.60833333333</v>
      </c>
      <c r="W86" s="87">
        <f t="shared" si="143"/>
        <v>50666.326666666668</v>
      </c>
      <c r="X86" s="87">
        <f t="shared" si="144"/>
        <v>55084.901666666665</v>
      </c>
      <c r="Y86" s="86">
        <f t="shared" si="145"/>
        <v>60829.049166666664</v>
      </c>
      <c r="Z86" s="87">
        <f t="shared" si="146"/>
        <v>107813.23</v>
      </c>
      <c r="AA86" s="87">
        <f t="shared" si="147"/>
        <v>86014.926666666666</v>
      </c>
      <c r="AB86" s="87">
        <f t="shared" si="148"/>
        <v>77472.348333333328</v>
      </c>
      <c r="AC86" s="87">
        <f t="shared" si="149"/>
        <v>105309.37083333333</v>
      </c>
      <c r="AD86" s="87">
        <f t="shared" si="150"/>
        <v>128580.5325</v>
      </c>
      <c r="AE86" s="87">
        <f t="shared" si="151"/>
        <v>162308.98833333334</v>
      </c>
      <c r="AF86" s="87">
        <f t="shared" si="152"/>
        <v>83952.925000000003</v>
      </c>
      <c r="AG86" s="87">
        <f t="shared" si="153"/>
        <v>81596.351666666669</v>
      </c>
      <c r="AH86" s="87">
        <f t="shared" si="154"/>
        <v>69960.770833333328</v>
      </c>
      <c r="AI86" s="87">
        <f t="shared" si="155"/>
        <v>104654.76712962962</v>
      </c>
      <c r="AJ86" s="87">
        <f t="shared" si="156"/>
        <v>0</v>
      </c>
      <c r="AK86" s="86">
        <f t="shared" si="157"/>
        <v>0</v>
      </c>
      <c r="AL86" s="85">
        <v>298</v>
      </c>
      <c r="AM86" s="85">
        <v>406</v>
      </c>
      <c r="AN86" s="85">
        <v>521</v>
      </c>
      <c r="AO86" s="85">
        <v>548</v>
      </c>
      <c r="AP86" s="85">
        <v>459</v>
      </c>
      <c r="AQ86" s="86">
        <v>283</v>
      </c>
      <c r="AR86" s="87">
        <v>286</v>
      </c>
      <c r="AS86" s="87">
        <v>423</v>
      </c>
      <c r="AT86" s="87">
        <v>457</v>
      </c>
      <c r="AU86" s="87">
        <v>514</v>
      </c>
      <c r="AV86" s="87">
        <v>593</v>
      </c>
      <c r="AW86" s="87">
        <v>586</v>
      </c>
      <c r="AX86" s="87">
        <v>349</v>
      </c>
      <c r="AY86" s="87">
        <v>287</v>
      </c>
      <c r="AZ86" s="87">
        <v>302</v>
      </c>
      <c r="BA86" s="87">
        <v>329</v>
      </c>
      <c r="BB86" s="87">
        <v>344</v>
      </c>
      <c r="BC86" s="86">
        <v>364</v>
      </c>
      <c r="BD86" s="87">
        <v>683</v>
      </c>
      <c r="BE86" s="87">
        <v>547</v>
      </c>
      <c r="BF86" s="87">
        <v>485</v>
      </c>
      <c r="BG86" s="87">
        <v>677</v>
      </c>
      <c r="BH86" s="87">
        <v>821</v>
      </c>
      <c r="BI86" s="87">
        <v>1084</v>
      </c>
      <c r="BJ86" s="40">
        <v>554</v>
      </c>
      <c r="BK86" s="40">
        <v>551</v>
      </c>
      <c r="BL86" s="40">
        <v>472</v>
      </c>
      <c r="BM86" s="40">
        <v>682</v>
      </c>
      <c r="BO86" s="86"/>
      <c r="BP86" s="21">
        <v>22</v>
      </c>
      <c r="BQ86" s="21">
        <v>29</v>
      </c>
      <c r="BR86" s="21">
        <v>33</v>
      </c>
      <c r="BS86" s="21">
        <v>34</v>
      </c>
      <c r="BT86" s="21">
        <v>30</v>
      </c>
      <c r="BU86" s="42">
        <v>35</v>
      </c>
      <c r="BV86" s="21">
        <v>24</v>
      </c>
      <c r="BW86" s="21">
        <v>33</v>
      </c>
      <c r="BX86" s="21">
        <v>42</v>
      </c>
      <c r="BY86" s="21">
        <v>22</v>
      </c>
      <c r="BZ86" s="21">
        <v>45</v>
      </c>
      <c r="CA86" s="21">
        <v>10</v>
      </c>
      <c r="CB86" s="21">
        <v>14</v>
      </c>
      <c r="CC86" s="21">
        <v>24</v>
      </c>
      <c r="CD86" s="21">
        <v>8</v>
      </c>
      <c r="CE86" s="21">
        <v>15</v>
      </c>
      <c r="CF86" s="21">
        <v>30</v>
      </c>
      <c r="CG86" s="42">
        <v>49</v>
      </c>
      <c r="CH86" s="21">
        <v>49</v>
      </c>
      <c r="CI86" s="21">
        <v>37</v>
      </c>
      <c r="CJ86" s="21">
        <v>41</v>
      </c>
      <c r="CK86" s="21">
        <v>38</v>
      </c>
      <c r="CL86" s="21">
        <v>52</v>
      </c>
      <c r="CM86" s="21">
        <v>18</v>
      </c>
      <c r="CN86" s="21">
        <v>16</v>
      </c>
      <c r="CO86" s="21">
        <v>3</v>
      </c>
      <c r="CP86" s="21">
        <f t="shared" si="158"/>
        <v>3</v>
      </c>
      <c r="CQ86" s="344">
        <f t="shared" si="159"/>
        <v>28.555555555555557</v>
      </c>
      <c r="CR86" s="87"/>
      <c r="CS86" s="86"/>
      <c r="CT86" s="85">
        <f t="shared" si="160"/>
        <v>320</v>
      </c>
      <c r="CU86" s="85">
        <f t="shared" si="161"/>
        <v>435</v>
      </c>
      <c r="CV86" s="85">
        <f t="shared" si="162"/>
        <v>554</v>
      </c>
      <c r="CW86" s="85">
        <f t="shared" si="163"/>
        <v>582</v>
      </c>
      <c r="CX86" s="85">
        <f t="shared" si="164"/>
        <v>489</v>
      </c>
      <c r="CY86" s="86">
        <f t="shared" si="165"/>
        <v>318</v>
      </c>
      <c r="CZ86" s="87">
        <f t="shared" si="166"/>
        <v>310</v>
      </c>
      <c r="DA86" s="87">
        <f t="shared" si="167"/>
        <v>456</v>
      </c>
      <c r="DB86" s="87">
        <f t="shared" si="168"/>
        <v>499</v>
      </c>
      <c r="DC86" s="87">
        <f t="shared" si="169"/>
        <v>536</v>
      </c>
      <c r="DD86" s="87">
        <f t="shared" si="170"/>
        <v>638</v>
      </c>
      <c r="DE86" s="87">
        <f t="shared" si="171"/>
        <v>596</v>
      </c>
      <c r="DF86" s="87">
        <f t="shared" si="172"/>
        <v>363</v>
      </c>
      <c r="DG86" s="87">
        <f t="shared" si="173"/>
        <v>311</v>
      </c>
      <c r="DH86" s="87">
        <f t="shared" si="174"/>
        <v>310</v>
      </c>
      <c r="DI86" s="87">
        <f t="shared" si="175"/>
        <v>344</v>
      </c>
      <c r="DJ86" s="87">
        <f t="shared" si="176"/>
        <v>374</v>
      </c>
      <c r="DK86" s="86">
        <f t="shared" si="177"/>
        <v>413</v>
      </c>
      <c r="DL86" s="87">
        <f t="shared" si="178"/>
        <v>732</v>
      </c>
      <c r="DM86" s="87">
        <f t="shared" si="179"/>
        <v>584</v>
      </c>
      <c r="DN86" s="87">
        <f t="shared" si="180"/>
        <v>526</v>
      </c>
      <c r="DO86" s="87">
        <f t="shared" si="181"/>
        <v>715</v>
      </c>
      <c r="DP86" s="87">
        <f t="shared" si="182"/>
        <v>873</v>
      </c>
      <c r="DQ86" s="87">
        <f t="shared" si="183"/>
        <v>1102</v>
      </c>
      <c r="DR86" s="87">
        <f t="shared" si="97"/>
        <v>570</v>
      </c>
      <c r="DS86" s="87">
        <f t="shared" si="98"/>
        <v>554</v>
      </c>
      <c r="DT86" s="87">
        <f t="shared" si="184"/>
        <v>475</v>
      </c>
      <c r="DU86" s="87">
        <f t="shared" si="185"/>
        <v>710.55555555555554</v>
      </c>
      <c r="DV86" s="87">
        <f t="shared" si="186"/>
        <v>0</v>
      </c>
      <c r="DW86" s="87">
        <f t="shared" si="187"/>
        <v>0</v>
      </c>
    </row>
    <row r="87" spans="1:127">
      <c r="A87" s="22" t="s">
        <v>4</v>
      </c>
      <c r="B87" s="26">
        <v>4902430694995</v>
      </c>
      <c r="C87" s="22" t="s">
        <v>85</v>
      </c>
      <c r="D87" s="22" t="s">
        <v>11</v>
      </c>
      <c r="E87" s="22">
        <v>887298</v>
      </c>
      <c r="F87" s="80" t="s">
        <v>196</v>
      </c>
      <c r="G87" s="25">
        <v>51.905000000000001</v>
      </c>
      <c r="H87" s="85">
        <f t="shared" si="128"/>
        <v>56732.165000000001</v>
      </c>
      <c r="I87" s="85">
        <f t="shared" si="129"/>
        <v>75002.725000000006</v>
      </c>
      <c r="J87" s="85">
        <f t="shared" si="130"/>
        <v>412385.22500000003</v>
      </c>
      <c r="K87" s="85">
        <f t="shared" si="131"/>
        <v>321032.42499999999</v>
      </c>
      <c r="L87" s="85">
        <f t="shared" si="132"/>
        <v>67320.785000000003</v>
      </c>
      <c r="M87" s="86">
        <f t="shared" si="133"/>
        <v>56524.544999999998</v>
      </c>
      <c r="N87" s="87">
        <f t="shared" si="134"/>
        <v>48375.46</v>
      </c>
      <c r="O87" s="87">
        <f t="shared" si="135"/>
        <v>53358.340000000004</v>
      </c>
      <c r="P87" s="87">
        <f t="shared" si="136"/>
        <v>46714.5</v>
      </c>
      <c r="Q87" s="87">
        <f t="shared" si="137"/>
        <v>29274.420000000002</v>
      </c>
      <c r="R87" s="87">
        <f t="shared" si="138"/>
        <v>214575.27000000002</v>
      </c>
      <c r="S87" s="87">
        <f t="shared" si="139"/>
        <v>435171.52</v>
      </c>
      <c r="T87" s="87">
        <f t="shared" si="140"/>
        <v>41679.715000000004</v>
      </c>
      <c r="U87" s="87">
        <f t="shared" si="141"/>
        <v>21748.195</v>
      </c>
      <c r="V87" s="87">
        <f t="shared" si="142"/>
        <v>15571.5</v>
      </c>
      <c r="W87" s="87">
        <f t="shared" si="143"/>
        <v>16817.22</v>
      </c>
      <c r="X87" s="87">
        <f t="shared" si="144"/>
        <v>21488.670000000002</v>
      </c>
      <c r="Y87" s="86">
        <f t="shared" si="145"/>
        <v>332295.81</v>
      </c>
      <c r="Z87" s="87">
        <f t="shared" si="146"/>
        <v>537943.42000000004</v>
      </c>
      <c r="AA87" s="87">
        <f t="shared" si="147"/>
        <v>44015.44</v>
      </c>
      <c r="AB87" s="87">
        <f t="shared" si="148"/>
        <v>32700.15</v>
      </c>
      <c r="AC87" s="87">
        <f t="shared" si="149"/>
        <v>39863.040000000001</v>
      </c>
      <c r="AD87" s="87">
        <f t="shared" si="150"/>
        <v>64466.01</v>
      </c>
      <c r="AE87" s="87">
        <f t="shared" si="151"/>
        <v>105886.2</v>
      </c>
      <c r="AF87" s="87">
        <f t="shared" si="152"/>
        <v>48167.840000000004</v>
      </c>
      <c r="AG87" s="87">
        <f t="shared" si="153"/>
        <v>43081.15</v>
      </c>
      <c r="AH87" s="87">
        <f t="shared" si="154"/>
        <v>30208.71</v>
      </c>
      <c r="AI87" s="87">
        <f t="shared" si="155"/>
        <v>404005.45111111115</v>
      </c>
      <c r="AJ87" s="87">
        <f t="shared" si="156"/>
        <v>0</v>
      </c>
      <c r="AK87" s="86">
        <f t="shared" si="157"/>
        <v>0</v>
      </c>
      <c r="AL87" s="85">
        <v>728</v>
      </c>
      <c r="AM87" s="85">
        <v>1023</v>
      </c>
      <c r="AN87" s="85">
        <v>7348</v>
      </c>
      <c r="AO87" s="85">
        <v>5664</v>
      </c>
      <c r="AP87" s="85">
        <v>1039</v>
      </c>
      <c r="AQ87" s="86">
        <v>697</v>
      </c>
      <c r="AR87" s="87">
        <v>625</v>
      </c>
      <c r="AS87" s="87">
        <v>689</v>
      </c>
      <c r="AT87" s="87">
        <v>459</v>
      </c>
      <c r="AU87" s="87">
        <v>321</v>
      </c>
      <c r="AV87" s="87">
        <v>3823</v>
      </c>
      <c r="AW87" s="87">
        <v>8319</v>
      </c>
      <c r="AX87" s="87">
        <v>697</v>
      </c>
      <c r="AY87" s="87">
        <v>293</v>
      </c>
      <c r="AZ87" s="87">
        <v>225</v>
      </c>
      <c r="BA87" s="87">
        <v>230</v>
      </c>
      <c r="BB87" s="87">
        <v>253</v>
      </c>
      <c r="BC87" s="86">
        <v>5677</v>
      </c>
      <c r="BD87" s="87">
        <v>10280</v>
      </c>
      <c r="BE87" s="87">
        <v>740</v>
      </c>
      <c r="BF87" s="87">
        <v>528</v>
      </c>
      <c r="BG87" s="87">
        <v>601</v>
      </c>
      <c r="BH87" s="87">
        <v>999</v>
      </c>
      <c r="BI87" s="87">
        <v>1898</v>
      </c>
      <c r="BJ87" s="87">
        <v>730</v>
      </c>
      <c r="BK87" s="87">
        <v>742</v>
      </c>
      <c r="BL87" s="40">
        <v>494</v>
      </c>
      <c r="BM87" s="40">
        <v>7648</v>
      </c>
      <c r="BO87" s="86"/>
      <c r="BP87" s="21">
        <v>365</v>
      </c>
      <c r="BQ87" s="21">
        <v>422</v>
      </c>
      <c r="BR87" s="21">
        <v>597</v>
      </c>
      <c r="BS87" s="21">
        <v>521</v>
      </c>
      <c r="BT87" s="21">
        <v>258</v>
      </c>
      <c r="BU87" s="42">
        <v>392</v>
      </c>
      <c r="BV87" s="21">
        <v>307</v>
      </c>
      <c r="BW87" s="21">
        <v>339</v>
      </c>
      <c r="BX87" s="21">
        <v>441</v>
      </c>
      <c r="BY87" s="21">
        <v>243</v>
      </c>
      <c r="BZ87" s="21">
        <v>311</v>
      </c>
      <c r="CA87" s="21">
        <v>65</v>
      </c>
      <c r="CB87" s="21">
        <v>106</v>
      </c>
      <c r="CC87" s="21">
        <v>126</v>
      </c>
      <c r="CD87" s="21">
        <v>75</v>
      </c>
      <c r="CE87" s="21">
        <v>94</v>
      </c>
      <c r="CF87" s="21">
        <v>161</v>
      </c>
      <c r="CG87" s="42">
        <v>725</v>
      </c>
      <c r="CH87" s="21">
        <v>84</v>
      </c>
      <c r="CI87" s="21">
        <v>108</v>
      </c>
      <c r="CJ87" s="21">
        <v>102</v>
      </c>
      <c r="CK87" s="21">
        <v>167</v>
      </c>
      <c r="CL87" s="21">
        <v>243</v>
      </c>
      <c r="CM87" s="21">
        <v>142</v>
      </c>
      <c r="CN87" s="21">
        <v>198</v>
      </c>
      <c r="CO87" s="21">
        <v>88</v>
      </c>
      <c r="CP87" s="21">
        <f t="shared" si="158"/>
        <v>88</v>
      </c>
      <c r="CQ87" s="344">
        <f t="shared" si="159"/>
        <v>135.55555555555554</v>
      </c>
      <c r="CR87" s="87"/>
      <c r="CS87" s="86"/>
      <c r="CT87" s="85">
        <f t="shared" si="160"/>
        <v>1093</v>
      </c>
      <c r="CU87" s="85">
        <f t="shared" si="161"/>
        <v>1445</v>
      </c>
      <c r="CV87" s="85">
        <f t="shared" si="162"/>
        <v>7945</v>
      </c>
      <c r="CW87" s="85">
        <f t="shared" si="163"/>
        <v>6185</v>
      </c>
      <c r="CX87" s="85">
        <f t="shared" si="164"/>
        <v>1297</v>
      </c>
      <c r="CY87" s="86">
        <f t="shared" si="165"/>
        <v>1089</v>
      </c>
      <c r="CZ87" s="87">
        <f t="shared" si="166"/>
        <v>932</v>
      </c>
      <c r="DA87" s="87">
        <f t="shared" si="167"/>
        <v>1028</v>
      </c>
      <c r="DB87" s="87">
        <f t="shared" si="168"/>
        <v>900</v>
      </c>
      <c r="DC87" s="87">
        <f t="shared" si="169"/>
        <v>564</v>
      </c>
      <c r="DD87" s="87">
        <f t="shared" si="170"/>
        <v>4134</v>
      </c>
      <c r="DE87" s="87">
        <f t="shared" si="171"/>
        <v>8384</v>
      </c>
      <c r="DF87" s="87">
        <f t="shared" si="172"/>
        <v>803</v>
      </c>
      <c r="DG87" s="87">
        <f t="shared" si="173"/>
        <v>419</v>
      </c>
      <c r="DH87" s="87">
        <f t="shared" si="174"/>
        <v>300</v>
      </c>
      <c r="DI87" s="87">
        <f t="shared" si="175"/>
        <v>324</v>
      </c>
      <c r="DJ87" s="87">
        <f t="shared" si="176"/>
        <v>414</v>
      </c>
      <c r="DK87" s="86">
        <f t="shared" si="177"/>
        <v>6402</v>
      </c>
      <c r="DL87" s="87">
        <f t="shared" si="178"/>
        <v>10364</v>
      </c>
      <c r="DM87" s="87">
        <f t="shared" si="179"/>
        <v>848</v>
      </c>
      <c r="DN87" s="87">
        <f t="shared" si="180"/>
        <v>630</v>
      </c>
      <c r="DO87" s="87">
        <f t="shared" si="181"/>
        <v>768</v>
      </c>
      <c r="DP87" s="87">
        <f t="shared" si="182"/>
        <v>1242</v>
      </c>
      <c r="DQ87" s="87">
        <f t="shared" si="183"/>
        <v>2040</v>
      </c>
      <c r="DR87" s="87">
        <f t="shared" si="97"/>
        <v>928</v>
      </c>
      <c r="DS87" s="87">
        <f t="shared" si="98"/>
        <v>830</v>
      </c>
      <c r="DT87" s="87">
        <f t="shared" si="184"/>
        <v>582</v>
      </c>
      <c r="DU87" s="87">
        <f t="shared" si="185"/>
        <v>7783.5555555555557</v>
      </c>
      <c r="DV87" s="87">
        <f t="shared" si="186"/>
        <v>0</v>
      </c>
      <c r="DW87" s="87">
        <f t="shared" si="187"/>
        <v>0</v>
      </c>
    </row>
    <row r="88" spans="1:127">
      <c r="A88" s="22" t="s">
        <v>4</v>
      </c>
      <c r="B88" s="26">
        <v>4987176356109</v>
      </c>
      <c r="C88" s="22" t="s">
        <v>85</v>
      </c>
      <c r="D88" s="22" t="s">
        <v>12</v>
      </c>
      <c r="E88" s="22">
        <v>281851</v>
      </c>
      <c r="F88" s="80" t="s">
        <v>762</v>
      </c>
      <c r="G88" s="25">
        <v>55.05</v>
      </c>
      <c r="H88" s="38">
        <f t="shared" si="128"/>
        <v>0</v>
      </c>
      <c r="I88" s="38">
        <f t="shared" si="129"/>
        <v>0</v>
      </c>
      <c r="J88" s="38">
        <f t="shared" si="130"/>
        <v>0</v>
      </c>
      <c r="K88" s="38">
        <f t="shared" si="131"/>
        <v>0</v>
      </c>
      <c r="L88" s="38">
        <f t="shared" si="132"/>
        <v>0</v>
      </c>
      <c r="M88" s="39">
        <f t="shared" si="133"/>
        <v>0</v>
      </c>
      <c r="N88" s="40">
        <f t="shared" si="134"/>
        <v>0</v>
      </c>
      <c r="O88" s="40">
        <f t="shared" si="135"/>
        <v>0</v>
      </c>
      <c r="P88" s="40">
        <f t="shared" si="136"/>
        <v>0</v>
      </c>
      <c r="Q88" s="40">
        <f t="shared" si="137"/>
        <v>0</v>
      </c>
      <c r="R88" s="40">
        <f t="shared" si="138"/>
        <v>0</v>
      </c>
      <c r="S88" s="40">
        <f t="shared" si="139"/>
        <v>0</v>
      </c>
      <c r="T88" s="40">
        <f t="shared" si="140"/>
        <v>0</v>
      </c>
      <c r="U88" s="40">
        <f t="shared" si="141"/>
        <v>0</v>
      </c>
      <c r="V88" s="40">
        <f t="shared" si="142"/>
        <v>0</v>
      </c>
      <c r="W88" s="40">
        <f t="shared" si="143"/>
        <v>0</v>
      </c>
      <c r="X88" s="40">
        <f t="shared" si="144"/>
        <v>0</v>
      </c>
      <c r="Y88" s="39">
        <f t="shared" si="145"/>
        <v>0</v>
      </c>
      <c r="Z88" s="40">
        <f t="shared" si="146"/>
        <v>0</v>
      </c>
      <c r="AA88" s="40">
        <f t="shared" si="147"/>
        <v>0</v>
      </c>
      <c r="AB88" s="40">
        <f t="shared" si="148"/>
        <v>0</v>
      </c>
      <c r="AC88" s="40">
        <f t="shared" si="149"/>
        <v>0</v>
      </c>
      <c r="AD88" s="40">
        <f t="shared" si="150"/>
        <v>0</v>
      </c>
      <c r="AE88" s="40">
        <f t="shared" si="151"/>
        <v>0</v>
      </c>
      <c r="AF88" s="40">
        <f t="shared" si="152"/>
        <v>0</v>
      </c>
      <c r="AG88" s="40">
        <f t="shared" si="153"/>
        <v>0</v>
      </c>
      <c r="AH88" s="40">
        <f t="shared" si="154"/>
        <v>0</v>
      </c>
      <c r="AI88" s="40">
        <f t="shared" si="155"/>
        <v>111696.45</v>
      </c>
      <c r="AJ88" s="40">
        <f t="shared" si="156"/>
        <v>0</v>
      </c>
      <c r="AK88" s="39">
        <f t="shared" si="157"/>
        <v>0</v>
      </c>
      <c r="AL88" s="38">
        <v>0</v>
      </c>
      <c r="AM88" s="38">
        <v>0</v>
      </c>
      <c r="AN88" s="38">
        <v>0</v>
      </c>
      <c r="AO88" s="38">
        <v>0</v>
      </c>
      <c r="AP88" s="38">
        <v>0</v>
      </c>
      <c r="AQ88" s="39">
        <v>0</v>
      </c>
      <c r="AR88" s="40">
        <v>0</v>
      </c>
      <c r="AS88" s="40">
        <v>0</v>
      </c>
      <c r="AT88" s="40">
        <v>0</v>
      </c>
      <c r="AU88" s="40">
        <v>0</v>
      </c>
      <c r="AV88" s="40">
        <v>0</v>
      </c>
      <c r="AW88" s="40">
        <v>0</v>
      </c>
      <c r="AX88" s="40">
        <v>0</v>
      </c>
      <c r="AY88" s="40">
        <v>0</v>
      </c>
      <c r="AZ88" s="40">
        <v>0</v>
      </c>
      <c r="BA88" s="40">
        <v>0</v>
      </c>
      <c r="BB88" s="40">
        <v>0</v>
      </c>
      <c r="BC88" s="39">
        <v>0</v>
      </c>
      <c r="BD88" s="40">
        <v>0</v>
      </c>
      <c r="BE88" s="40">
        <v>0</v>
      </c>
      <c r="BF88" s="40">
        <v>0</v>
      </c>
      <c r="BG88" s="40">
        <v>0</v>
      </c>
      <c r="BH88" s="40">
        <v>0</v>
      </c>
      <c r="BI88" s="40">
        <v>0</v>
      </c>
      <c r="BJ88" s="40">
        <v>0</v>
      </c>
      <c r="BK88" s="40">
        <v>0</v>
      </c>
      <c r="BL88" s="40">
        <v>0</v>
      </c>
      <c r="BM88" s="40">
        <v>2029</v>
      </c>
      <c r="BN88" s="40"/>
      <c r="BO88" s="39"/>
      <c r="BP88" s="21">
        <v>0</v>
      </c>
      <c r="BQ88" s="21">
        <v>0</v>
      </c>
      <c r="BR88" s="21">
        <v>0</v>
      </c>
      <c r="BS88" s="21">
        <v>0</v>
      </c>
      <c r="BT88" s="21">
        <v>0</v>
      </c>
      <c r="BU88" s="42">
        <v>0</v>
      </c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42">
        <v>0</v>
      </c>
      <c r="CH88" s="21">
        <v>0</v>
      </c>
      <c r="CI88" s="21">
        <v>0</v>
      </c>
      <c r="CJ88" s="21">
        <v>0</v>
      </c>
      <c r="CK88" s="21">
        <v>0</v>
      </c>
      <c r="CL88" s="21">
        <v>0</v>
      </c>
      <c r="CM88" s="21">
        <v>0</v>
      </c>
      <c r="CN88" s="21">
        <v>0</v>
      </c>
      <c r="CO88" s="21">
        <v>0</v>
      </c>
      <c r="CP88" s="21">
        <f t="shared" si="158"/>
        <v>0</v>
      </c>
      <c r="CQ88" s="343">
        <f t="shared" si="159"/>
        <v>0</v>
      </c>
      <c r="CR88" s="40"/>
      <c r="CS88" s="39"/>
      <c r="CT88" s="38">
        <f t="shared" si="160"/>
        <v>0</v>
      </c>
      <c r="CU88" s="38">
        <f t="shared" si="161"/>
        <v>0</v>
      </c>
      <c r="CV88" s="38">
        <f t="shared" si="162"/>
        <v>0</v>
      </c>
      <c r="CW88" s="38">
        <f t="shared" si="163"/>
        <v>0</v>
      </c>
      <c r="CX88" s="38">
        <f t="shared" si="164"/>
        <v>0</v>
      </c>
      <c r="CY88" s="39">
        <f t="shared" si="165"/>
        <v>0</v>
      </c>
      <c r="CZ88" s="40">
        <f t="shared" si="166"/>
        <v>0</v>
      </c>
      <c r="DA88" s="40">
        <f t="shared" si="167"/>
        <v>0</v>
      </c>
      <c r="DB88" s="40">
        <f t="shared" si="168"/>
        <v>0</v>
      </c>
      <c r="DC88" s="40">
        <f t="shared" si="169"/>
        <v>0</v>
      </c>
      <c r="DD88" s="40">
        <f t="shared" si="170"/>
        <v>0</v>
      </c>
      <c r="DE88" s="40">
        <f t="shared" si="171"/>
        <v>0</v>
      </c>
      <c r="DF88" s="40">
        <f t="shared" si="172"/>
        <v>0</v>
      </c>
      <c r="DG88" s="40">
        <f t="shared" si="173"/>
        <v>0</v>
      </c>
      <c r="DH88" s="40">
        <f t="shared" si="174"/>
        <v>0</v>
      </c>
      <c r="DI88" s="40">
        <f t="shared" si="175"/>
        <v>0</v>
      </c>
      <c r="DJ88" s="40">
        <f t="shared" si="176"/>
        <v>0</v>
      </c>
      <c r="DK88" s="39">
        <f t="shared" si="177"/>
        <v>0</v>
      </c>
      <c r="DL88" s="40">
        <f t="shared" si="178"/>
        <v>0</v>
      </c>
      <c r="DM88" s="40">
        <f t="shared" si="179"/>
        <v>0</v>
      </c>
      <c r="DN88" s="40">
        <f t="shared" si="180"/>
        <v>0</v>
      </c>
      <c r="DO88" s="40">
        <f t="shared" si="181"/>
        <v>0</v>
      </c>
      <c r="DP88" s="40">
        <f t="shared" si="182"/>
        <v>0</v>
      </c>
      <c r="DQ88" s="40">
        <f t="shared" si="183"/>
        <v>0</v>
      </c>
      <c r="DR88" s="40">
        <f t="shared" si="97"/>
        <v>0</v>
      </c>
      <c r="DS88" s="40">
        <f t="shared" si="98"/>
        <v>0</v>
      </c>
      <c r="DT88" s="40">
        <f t="shared" si="184"/>
        <v>0</v>
      </c>
      <c r="DU88" s="40">
        <f t="shared" si="185"/>
        <v>2029</v>
      </c>
      <c r="DV88" s="40">
        <f t="shared" si="186"/>
        <v>0</v>
      </c>
      <c r="DW88" s="40">
        <f t="shared" si="187"/>
        <v>0</v>
      </c>
    </row>
    <row r="89" spans="1:127">
      <c r="A89" s="22" t="s">
        <v>4</v>
      </c>
      <c r="B89" s="26">
        <v>4987176393838</v>
      </c>
      <c r="C89" s="22" t="s">
        <v>85</v>
      </c>
      <c r="D89" s="22" t="s">
        <v>11</v>
      </c>
      <c r="E89" s="22">
        <v>281856</v>
      </c>
      <c r="F89" s="80" t="s">
        <v>763</v>
      </c>
      <c r="G89" s="25">
        <v>63.571458333333332</v>
      </c>
      <c r="H89" s="38">
        <f t="shared" si="128"/>
        <v>0</v>
      </c>
      <c r="I89" s="38">
        <f t="shared" si="129"/>
        <v>0</v>
      </c>
      <c r="J89" s="38">
        <f t="shared" si="130"/>
        <v>0</v>
      </c>
      <c r="K89" s="38">
        <f t="shared" si="131"/>
        <v>0</v>
      </c>
      <c r="L89" s="38">
        <f t="shared" si="132"/>
        <v>0</v>
      </c>
      <c r="M89" s="39">
        <f t="shared" si="133"/>
        <v>0</v>
      </c>
      <c r="N89" s="40">
        <f t="shared" si="134"/>
        <v>0</v>
      </c>
      <c r="O89" s="40">
        <f t="shared" si="135"/>
        <v>0</v>
      </c>
      <c r="P89" s="40">
        <f t="shared" si="136"/>
        <v>0</v>
      </c>
      <c r="Q89" s="40">
        <f t="shared" si="137"/>
        <v>0</v>
      </c>
      <c r="R89" s="40">
        <f t="shared" si="138"/>
        <v>0</v>
      </c>
      <c r="S89" s="40">
        <f t="shared" si="139"/>
        <v>0</v>
      </c>
      <c r="T89" s="40">
        <f t="shared" si="140"/>
        <v>0</v>
      </c>
      <c r="U89" s="40">
        <f t="shared" si="141"/>
        <v>0</v>
      </c>
      <c r="V89" s="40">
        <f t="shared" si="142"/>
        <v>0</v>
      </c>
      <c r="W89" s="40">
        <f t="shared" si="143"/>
        <v>0</v>
      </c>
      <c r="X89" s="40">
        <f t="shared" si="144"/>
        <v>0</v>
      </c>
      <c r="Y89" s="39">
        <f t="shared" si="145"/>
        <v>0</v>
      </c>
      <c r="Z89" s="40">
        <f t="shared" si="146"/>
        <v>0</v>
      </c>
      <c r="AA89" s="40">
        <f t="shared" si="147"/>
        <v>0</v>
      </c>
      <c r="AB89" s="40">
        <f t="shared" si="148"/>
        <v>0</v>
      </c>
      <c r="AC89" s="40">
        <f t="shared" si="149"/>
        <v>0</v>
      </c>
      <c r="AD89" s="40">
        <f t="shared" si="150"/>
        <v>0</v>
      </c>
      <c r="AE89" s="40">
        <f t="shared" si="151"/>
        <v>0</v>
      </c>
      <c r="AF89" s="40">
        <f t="shared" si="152"/>
        <v>0</v>
      </c>
      <c r="AG89" s="40">
        <f t="shared" si="153"/>
        <v>0</v>
      </c>
      <c r="AH89" s="40">
        <f t="shared" si="154"/>
        <v>1780.0008333333333</v>
      </c>
      <c r="AI89" s="40">
        <f t="shared" si="155"/>
        <v>7565.0035416666669</v>
      </c>
      <c r="AJ89" s="40">
        <f t="shared" si="156"/>
        <v>0</v>
      </c>
      <c r="AK89" s="39">
        <f t="shared" si="157"/>
        <v>0</v>
      </c>
      <c r="AL89" s="38">
        <v>0</v>
      </c>
      <c r="AM89" s="38">
        <v>0</v>
      </c>
      <c r="AN89" s="38">
        <v>0</v>
      </c>
      <c r="AO89" s="38">
        <v>0</v>
      </c>
      <c r="AP89" s="38">
        <v>0</v>
      </c>
      <c r="AQ89" s="39">
        <v>0</v>
      </c>
      <c r="AR89" s="40">
        <v>0</v>
      </c>
      <c r="AS89" s="40">
        <v>0</v>
      </c>
      <c r="AT89" s="40">
        <v>0</v>
      </c>
      <c r="AU89" s="40">
        <v>0</v>
      </c>
      <c r="AV89" s="40">
        <v>0</v>
      </c>
      <c r="AW89" s="40">
        <v>0</v>
      </c>
      <c r="AX89" s="40">
        <v>0</v>
      </c>
      <c r="AY89" s="40">
        <v>0</v>
      </c>
      <c r="AZ89" s="40">
        <v>0</v>
      </c>
      <c r="BA89" s="40">
        <v>0</v>
      </c>
      <c r="BB89" s="40">
        <v>0</v>
      </c>
      <c r="BC89" s="39">
        <v>0</v>
      </c>
      <c r="BD89" s="40">
        <v>0</v>
      </c>
      <c r="BE89" s="40">
        <v>0</v>
      </c>
      <c r="BF89" s="40">
        <v>0</v>
      </c>
      <c r="BG89" s="40">
        <v>0</v>
      </c>
      <c r="BH89" s="40">
        <v>0</v>
      </c>
      <c r="BI89" s="40">
        <v>0</v>
      </c>
      <c r="BJ89" s="40">
        <v>0</v>
      </c>
      <c r="BK89" s="40">
        <v>0</v>
      </c>
      <c r="BL89" s="40">
        <v>28</v>
      </c>
      <c r="BM89" s="40">
        <v>119</v>
      </c>
      <c r="BN89" s="40"/>
      <c r="BO89" s="39"/>
      <c r="BP89" s="21">
        <v>0</v>
      </c>
      <c r="BQ89" s="21">
        <v>0</v>
      </c>
      <c r="BR89" s="21">
        <v>0</v>
      </c>
      <c r="BS89" s="21">
        <v>0</v>
      </c>
      <c r="BT89" s="21">
        <v>0</v>
      </c>
      <c r="BU89" s="42">
        <v>0</v>
      </c>
      <c r="BV89" s="21">
        <v>0</v>
      </c>
      <c r="BW89" s="21">
        <v>0</v>
      </c>
      <c r="BX89" s="21">
        <v>0</v>
      </c>
      <c r="BY89" s="21">
        <v>0</v>
      </c>
      <c r="BZ89" s="21">
        <v>0</v>
      </c>
      <c r="CA89" s="21">
        <v>0</v>
      </c>
      <c r="CB89" s="21">
        <v>0</v>
      </c>
      <c r="CC89" s="21">
        <v>0</v>
      </c>
      <c r="CD89" s="21">
        <v>0</v>
      </c>
      <c r="CE89" s="21">
        <v>0</v>
      </c>
      <c r="CF89" s="21">
        <v>0</v>
      </c>
      <c r="CG89" s="42">
        <v>0</v>
      </c>
      <c r="CH89" s="21">
        <v>0</v>
      </c>
      <c r="CI89" s="21">
        <v>0</v>
      </c>
      <c r="CJ89" s="21">
        <v>0</v>
      </c>
      <c r="CK89" s="21">
        <v>0</v>
      </c>
      <c r="CL89" s="21">
        <v>0</v>
      </c>
      <c r="CM89" s="21">
        <v>0</v>
      </c>
      <c r="CN89" s="21">
        <v>0</v>
      </c>
      <c r="CO89" s="21">
        <v>0</v>
      </c>
      <c r="CP89" s="21">
        <f t="shared" si="158"/>
        <v>0</v>
      </c>
      <c r="CQ89" s="343">
        <f t="shared" si="159"/>
        <v>0</v>
      </c>
      <c r="CR89" s="40"/>
      <c r="CS89" s="39"/>
      <c r="CT89" s="38">
        <f t="shared" si="160"/>
        <v>0</v>
      </c>
      <c r="CU89" s="38">
        <f t="shared" si="161"/>
        <v>0</v>
      </c>
      <c r="CV89" s="38">
        <f t="shared" si="162"/>
        <v>0</v>
      </c>
      <c r="CW89" s="38">
        <f t="shared" si="163"/>
        <v>0</v>
      </c>
      <c r="CX89" s="38">
        <f t="shared" si="164"/>
        <v>0</v>
      </c>
      <c r="CY89" s="39">
        <f t="shared" si="165"/>
        <v>0</v>
      </c>
      <c r="CZ89" s="40">
        <f t="shared" si="166"/>
        <v>0</v>
      </c>
      <c r="DA89" s="40">
        <f t="shared" si="167"/>
        <v>0</v>
      </c>
      <c r="DB89" s="40">
        <f t="shared" si="168"/>
        <v>0</v>
      </c>
      <c r="DC89" s="40">
        <f t="shared" si="169"/>
        <v>0</v>
      </c>
      <c r="DD89" s="40">
        <f t="shared" si="170"/>
        <v>0</v>
      </c>
      <c r="DE89" s="40">
        <f t="shared" si="171"/>
        <v>0</v>
      </c>
      <c r="DF89" s="40">
        <f t="shared" si="172"/>
        <v>0</v>
      </c>
      <c r="DG89" s="40">
        <f t="shared" si="173"/>
        <v>0</v>
      </c>
      <c r="DH89" s="40">
        <f t="shared" si="174"/>
        <v>0</v>
      </c>
      <c r="DI89" s="40">
        <f t="shared" si="175"/>
        <v>0</v>
      </c>
      <c r="DJ89" s="40">
        <f t="shared" si="176"/>
        <v>0</v>
      </c>
      <c r="DK89" s="39">
        <f t="shared" si="177"/>
        <v>0</v>
      </c>
      <c r="DL89" s="40">
        <f t="shared" si="178"/>
        <v>0</v>
      </c>
      <c r="DM89" s="40">
        <f t="shared" si="179"/>
        <v>0</v>
      </c>
      <c r="DN89" s="40">
        <f t="shared" si="180"/>
        <v>0</v>
      </c>
      <c r="DO89" s="40">
        <f t="shared" si="181"/>
        <v>0</v>
      </c>
      <c r="DP89" s="40">
        <f t="shared" si="182"/>
        <v>0</v>
      </c>
      <c r="DQ89" s="40">
        <f t="shared" si="183"/>
        <v>0</v>
      </c>
      <c r="DR89" s="40">
        <f t="shared" si="97"/>
        <v>0</v>
      </c>
      <c r="DS89" s="40">
        <f t="shared" si="98"/>
        <v>0</v>
      </c>
      <c r="DT89" s="40">
        <f t="shared" si="184"/>
        <v>28</v>
      </c>
      <c r="DU89" s="40">
        <f t="shared" si="185"/>
        <v>119</v>
      </c>
      <c r="DV89" s="40">
        <f t="shared" si="186"/>
        <v>0</v>
      </c>
      <c r="DW89" s="40">
        <f t="shared" si="187"/>
        <v>0</v>
      </c>
    </row>
    <row r="90" spans="1:127">
      <c r="A90" s="22" t="s">
        <v>4</v>
      </c>
      <c r="B90" s="26">
        <v>4987176393821</v>
      </c>
      <c r="C90" s="22" t="s">
        <v>85</v>
      </c>
      <c r="D90" s="22" t="s">
        <v>11</v>
      </c>
      <c r="E90" s="22">
        <v>281939</v>
      </c>
      <c r="F90" s="80" t="s">
        <v>764</v>
      </c>
      <c r="G90" s="25">
        <v>63.571458333333332</v>
      </c>
      <c r="H90" s="38">
        <f t="shared" si="128"/>
        <v>0</v>
      </c>
      <c r="I90" s="38">
        <f t="shared" si="129"/>
        <v>0</v>
      </c>
      <c r="J90" s="38">
        <f t="shared" si="130"/>
        <v>0</v>
      </c>
      <c r="K90" s="38">
        <f t="shared" si="131"/>
        <v>0</v>
      </c>
      <c r="L90" s="38">
        <f t="shared" si="132"/>
        <v>0</v>
      </c>
      <c r="M90" s="39">
        <f t="shared" si="133"/>
        <v>0</v>
      </c>
      <c r="N90" s="40">
        <f t="shared" si="134"/>
        <v>0</v>
      </c>
      <c r="O90" s="40">
        <f t="shared" si="135"/>
        <v>0</v>
      </c>
      <c r="P90" s="40">
        <f t="shared" si="136"/>
        <v>0</v>
      </c>
      <c r="Q90" s="40">
        <f t="shared" si="137"/>
        <v>0</v>
      </c>
      <c r="R90" s="40">
        <f t="shared" si="138"/>
        <v>0</v>
      </c>
      <c r="S90" s="40">
        <f t="shared" si="139"/>
        <v>0</v>
      </c>
      <c r="T90" s="40">
        <f t="shared" si="140"/>
        <v>0</v>
      </c>
      <c r="U90" s="40">
        <f t="shared" si="141"/>
        <v>0</v>
      </c>
      <c r="V90" s="40">
        <f t="shared" si="142"/>
        <v>0</v>
      </c>
      <c r="W90" s="40">
        <f t="shared" si="143"/>
        <v>0</v>
      </c>
      <c r="X90" s="40">
        <f t="shared" si="144"/>
        <v>0</v>
      </c>
      <c r="Y90" s="39">
        <f t="shared" si="145"/>
        <v>0</v>
      </c>
      <c r="Z90" s="40">
        <f t="shared" si="146"/>
        <v>0</v>
      </c>
      <c r="AA90" s="40">
        <f t="shared" si="147"/>
        <v>0</v>
      </c>
      <c r="AB90" s="40">
        <f t="shared" si="148"/>
        <v>0</v>
      </c>
      <c r="AC90" s="40">
        <f t="shared" si="149"/>
        <v>0</v>
      </c>
      <c r="AD90" s="40">
        <f t="shared" si="150"/>
        <v>0</v>
      </c>
      <c r="AE90" s="40">
        <f t="shared" si="151"/>
        <v>0</v>
      </c>
      <c r="AF90" s="40">
        <f t="shared" si="152"/>
        <v>0</v>
      </c>
      <c r="AG90" s="40">
        <f t="shared" si="153"/>
        <v>0</v>
      </c>
      <c r="AH90" s="40">
        <f t="shared" si="154"/>
        <v>1080.7147916666665</v>
      </c>
      <c r="AI90" s="40">
        <f t="shared" si="155"/>
        <v>6802.1460416666669</v>
      </c>
      <c r="AJ90" s="40">
        <f t="shared" si="156"/>
        <v>0</v>
      </c>
      <c r="AK90" s="39">
        <f t="shared" si="157"/>
        <v>0</v>
      </c>
      <c r="AL90" s="38">
        <v>0</v>
      </c>
      <c r="AM90" s="38">
        <v>0</v>
      </c>
      <c r="AN90" s="38">
        <v>0</v>
      </c>
      <c r="AO90" s="38">
        <v>0</v>
      </c>
      <c r="AP90" s="38">
        <v>0</v>
      </c>
      <c r="AQ90" s="39">
        <v>0</v>
      </c>
      <c r="AR90" s="40">
        <v>0</v>
      </c>
      <c r="AS90" s="40">
        <v>0</v>
      </c>
      <c r="AT90" s="40">
        <v>0</v>
      </c>
      <c r="AU90" s="40">
        <v>0</v>
      </c>
      <c r="AV90" s="40">
        <v>0</v>
      </c>
      <c r="AW90" s="40">
        <v>0</v>
      </c>
      <c r="AX90" s="40">
        <v>0</v>
      </c>
      <c r="AY90" s="40">
        <v>0</v>
      </c>
      <c r="AZ90" s="40">
        <v>0</v>
      </c>
      <c r="BA90" s="40">
        <v>0</v>
      </c>
      <c r="BB90" s="40">
        <v>0</v>
      </c>
      <c r="BC90" s="39">
        <v>0</v>
      </c>
      <c r="BD90" s="40">
        <v>0</v>
      </c>
      <c r="BE90" s="40">
        <v>0</v>
      </c>
      <c r="BF90" s="40">
        <v>0</v>
      </c>
      <c r="BG90" s="40">
        <v>0</v>
      </c>
      <c r="BH90" s="40">
        <v>0</v>
      </c>
      <c r="BI90" s="40">
        <v>0</v>
      </c>
      <c r="BJ90" s="40">
        <v>0</v>
      </c>
      <c r="BK90" s="40">
        <v>0</v>
      </c>
      <c r="BL90" s="40">
        <v>17</v>
      </c>
      <c r="BM90" s="40">
        <v>107</v>
      </c>
      <c r="BN90" s="40"/>
      <c r="BO90" s="39"/>
      <c r="BP90" s="21">
        <v>0</v>
      </c>
      <c r="BQ90" s="21">
        <v>0</v>
      </c>
      <c r="BR90" s="21">
        <v>0</v>
      </c>
      <c r="BS90" s="21">
        <v>0</v>
      </c>
      <c r="BT90" s="21">
        <v>0</v>
      </c>
      <c r="BU90" s="42">
        <v>0</v>
      </c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42">
        <v>0</v>
      </c>
      <c r="CH90" s="21">
        <v>0</v>
      </c>
      <c r="CI90" s="21">
        <v>0</v>
      </c>
      <c r="CJ90" s="21">
        <v>0</v>
      </c>
      <c r="CK90" s="21">
        <v>0</v>
      </c>
      <c r="CL90" s="21">
        <v>0</v>
      </c>
      <c r="CM90" s="21">
        <v>0</v>
      </c>
      <c r="CN90" s="21">
        <v>0</v>
      </c>
      <c r="CO90" s="21">
        <v>0</v>
      </c>
      <c r="CP90" s="21">
        <f t="shared" si="158"/>
        <v>0</v>
      </c>
      <c r="CQ90" s="343">
        <f t="shared" si="159"/>
        <v>0</v>
      </c>
      <c r="CR90" s="40"/>
      <c r="CS90" s="39"/>
      <c r="CT90" s="38">
        <f t="shared" si="160"/>
        <v>0</v>
      </c>
      <c r="CU90" s="38">
        <f t="shared" si="161"/>
        <v>0</v>
      </c>
      <c r="CV90" s="38">
        <f t="shared" si="162"/>
        <v>0</v>
      </c>
      <c r="CW90" s="38">
        <f t="shared" si="163"/>
        <v>0</v>
      </c>
      <c r="CX90" s="38">
        <f t="shared" si="164"/>
        <v>0</v>
      </c>
      <c r="CY90" s="39">
        <f t="shared" si="165"/>
        <v>0</v>
      </c>
      <c r="CZ90" s="40">
        <f t="shared" si="166"/>
        <v>0</v>
      </c>
      <c r="DA90" s="40">
        <f t="shared" si="167"/>
        <v>0</v>
      </c>
      <c r="DB90" s="40">
        <f t="shared" si="168"/>
        <v>0</v>
      </c>
      <c r="DC90" s="40">
        <f t="shared" si="169"/>
        <v>0</v>
      </c>
      <c r="DD90" s="40">
        <f t="shared" si="170"/>
        <v>0</v>
      </c>
      <c r="DE90" s="40">
        <f t="shared" si="171"/>
        <v>0</v>
      </c>
      <c r="DF90" s="40">
        <f t="shared" si="172"/>
        <v>0</v>
      </c>
      <c r="DG90" s="40">
        <f t="shared" si="173"/>
        <v>0</v>
      </c>
      <c r="DH90" s="40">
        <f t="shared" si="174"/>
        <v>0</v>
      </c>
      <c r="DI90" s="40">
        <f t="shared" si="175"/>
        <v>0</v>
      </c>
      <c r="DJ90" s="40">
        <f t="shared" si="176"/>
        <v>0</v>
      </c>
      <c r="DK90" s="39">
        <f t="shared" si="177"/>
        <v>0</v>
      </c>
      <c r="DL90" s="40">
        <f t="shared" si="178"/>
        <v>0</v>
      </c>
      <c r="DM90" s="40">
        <f t="shared" si="179"/>
        <v>0</v>
      </c>
      <c r="DN90" s="40">
        <f t="shared" si="180"/>
        <v>0</v>
      </c>
      <c r="DO90" s="40">
        <f t="shared" si="181"/>
        <v>0</v>
      </c>
      <c r="DP90" s="40">
        <f t="shared" si="182"/>
        <v>0</v>
      </c>
      <c r="DQ90" s="40">
        <f t="shared" si="183"/>
        <v>0</v>
      </c>
      <c r="DR90" s="40">
        <f t="shared" si="97"/>
        <v>0</v>
      </c>
      <c r="DS90" s="40">
        <f t="shared" si="98"/>
        <v>0</v>
      </c>
      <c r="DT90" s="40">
        <f t="shared" si="184"/>
        <v>17</v>
      </c>
      <c r="DU90" s="40">
        <f t="shared" si="185"/>
        <v>107</v>
      </c>
      <c r="DV90" s="40">
        <f t="shared" si="186"/>
        <v>0</v>
      </c>
      <c r="DW90" s="40">
        <f t="shared" si="187"/>
        <v>0</v>
      </c>
    </row>
    <row r="91" spans="1:127">
      <c r="A91" s="22" t="s">
        <v>4</v>
      </c>
      <c r="B91" s="26">
        <v>4902430558051</v>
      </c>
      <c r="C91" s="22" t="s">
        <v>85</v>
      </c>
      <c r="D91" s="22" t="s">
        <v>8</v>
      </c>
      <c r="E91" s="22">
        <v>186984</v>
      </c>
      <c r="F91" s="80" t="s">
        <v>197</v>
      </c>
      <c r="G91" s="25">
        <v>180.5</v>
      </c>
      <c r="H91" s="85">
        <f t="shared" si="128"/>
        <v>78517.5</v>
      </c>
      <c r="I91" s="85">
        <f t="shared" si="129"/>
        <v>97470</v>
      </c>
      <c r="J91" s="85">
        <f t="shared" si="130"/>
        <v>60648</v>
      </c>
      <c r="K91" s="85">
        <f t="shared" si="131"/>
        <v>64258</v>
      </c>
      <c r="L91" s="85">
        <f t="shared" si="132"/>
        <v>81405.5</v>
      </c>
      <c r="M91" s="86">
        <f t="shared" si="133"/>
        <v>62092</v>
      </c>
      <c r="N91" s="87">
        <f t="shared" si="134"/>
        <v>65882.5</v>
      </c>
      <c r="O91" s="87">
        <f t="shared" si="135"/>
        <v>78156.5</v>
      </c>
      <c r="P91" s="87">
        <f t="shared" si="136"/>
        <v>67687.5</v>
      </c>
      <c r="Q91" s="87">
        <f t="shared" si="137"/>
        <v>71658.5</v>
      </c>
      <c r="R91" s="87">
        <f t="shared" si="138"/>
        <v>86820.5</v>
      </c>
      <c r="S91" s="87">
        <f t="shared" si="139"/>
        <v>64980</v>
      </c>
      <c r="T91" s="87">
        <f t="shared" si="140"/>
        <v>79420</v>
      </c>
      <c r="U91" s="87">
        <f t="shared" si="141"/>
        <v>81225</v>
      </c>
      <c r="V91" s="87">
        <f t="shared" si="142"/>
        <v>64438.5</v>
      </c>
      <c r="W91" s="87">
        <f t="shared" si="143"/>
        <v>80503</v>
      </c>
      <c r="X91" s="87">
        <f t="shared" si="144"/>
        <v>90069.5</v>
      </c>
      <c r="Y91" s="86">
        <f t="shared" si="145"/>
        <v>63716.5</v>
      </c>
      <c r="Z91" s="87">
        <f t="shared" si="146"/>
        <v>96387</v>
      </c>
      <c r="AA91" s="87">
        <f t="shared" si="147"/>
        <v>87723</v>
      </c>
      <c r="AB91" s="87">
        <f t="shared" si="148"/>
        <v>55594</v>
      </c>
      <c r="AC91" s="87">
        <f t="shared" si="149"/>
        <v>26353</v>
      </c>
      <c r="AD91" s="87">
        <f t="shared" si="150"/>
        <v>3790.5</v>
      </c>
      <c r="AE91" s="87">
        <f t="shared" si="151"/>
        <v>180.5</v>
      </c>
      <c r="AF91" s="87">
        <f t="shared" si="152"/>
        <v>0</v>
      </c>
      <c r="AG91" s="87">
        <f t="shared" si="153"/>
        <v>0</v>
      </c>
      <c r="AH91" s="87">
        <f t="shared" si="154"/>
        <v>0</v>
      </c>
      <c r="AI91" s="87">
        <f t="shared" si="155"/>
        <v>1183.2777777777778</v>
      </c>
      <c r="AJ91" s="87">
        <f t="shared" si="156"/>
        <v>0</v>
      </c>
      <c r="AK91" s="86">
        <f t="shared" si="157"/>
        <v>0</v>
      </c>
      <c r="AL91" s="85">
        <v>398</v>
      </c>
      <c r="AM91" s="85">
        <v>517</v>
      </c>
      <c r="AN91" s="85">
        <v>306</v>
      </c>
      <c r="AO91" s="85">
        <v>348</v>
      </c>
      <c r="AP91" s="85">
        <v>422</v>
      </c>
      <c r="AQ91" s="86">
        <v>324</v>
      </c>
      <c r="AR91" s="87">
        <v>341</v>
      </c>
      <c r="AS91" s="87">
        <v>412</v>
      </c>
      <c r="AT91" s="87">
        <v>351</v>
      </c>
      <c r="AU91" s="87">
        <v>365</v>
      </c>
      <c r="AV91" s="87">
        <v>424</v>
      </c>
      <c r="AW91" s="87">
        <v>353</v>
      </c>
      <c r="AX91" s="87">
        <v>429</v>
      </c>
      <c r="AY91" s="87">
        <v>425</v>
      </c>
      <c r="AZ91" s="87">
        <v>343</v>
      </c>
      <c r="BA91" s="87">
        <v>384</v>
      </c>
      <c r="BB91" s="87">
        <v>469</v>
      </c>
      <c r="BC91" s="86">
        <v>332</v>
      </c>
      <c r="BD91" s="87">
        <v>492</v>
      </c>
      <c r="BE91" s="87">
        <v>469</v>
      </c>
      <c r="BF91" s="87">
        <v>308</v>
      </c>
      <c r="BG91" s="87">
        <v>146</v>
      </c>
      <c r="BH91" s="87">
        <v>21</v>
      </c>
      <c r="BI91" s="87">
        <v>1</v>
      </c>
      <c r="BJ91" s="40">
        <v>0</v>
      </c>
      <c r="BK91" s="40">
        <v>0</v>
      </c>
      <c r="BL91" s="40">
        <v>0</v>
      </c>
      <c r="BM91" s="40">
        <v>0</v>
      </c>
      <c r="BO91" s="86"/>
      <c r="BP91" s="21">
        <v>37</v>
      </c>
      <c r="BQ91" s="21">
        <v>23</v>
      </c>
      <c r="BR91" s="21">
        <v>30</v>
      </c>
      <c r="BS91" s="21">
        <v>8</v>
      </c>
      <c r="BT91" s="21">
        <v>29</v>
      </c>
      <c r="BU91" s="42">
        <v>20</v>
      </c>
      <c r="BV91" s="21">
        <v>24</v>
      </c>
      <c r="BW91" s="21">
        <v>21</v>
      </c>
      <c r="BX91" s="21">
        <v>24</v>
      </c>
      <c r="BY91" s="21">
        <v>32</v>
      </c>
      <c r="BZ91" s="21">
        <v>57</v>
      </c>
      <c r="CA91" s="21">
        <v>7</v>
      </c>
      <c r="CB91" s="21">
        <v>11</v>
      </c>
      <c r="CC91" s="21">
        <v>25</v>
      </c>
      <c r="CD91" s="21">
        <v>14</v>
      </c>
      <c r="CE91" s="21">
        <v>62</v>
      </c>
      <c r="CF91" s="21">
        <v>30</v>
      </c>
      <c r="CG91" s="42">
        <v>21</v>
      </c>
      <c r="CH91" s="21">
        <v>42</v>
      </c>
      <c r="CI91" s="21">
        <v>17</v>
      </c>
      <c r="CJ91" s="21">
        <v>0</v>
      </c>
      <c r="CK91" s="21">
        <v>0</v>
      </c>
      <c r="CL91" s="21">
        <v>0</v>
      </c>
      <c r="CM91" s="21">
        <v>0</v>
      </c>
      <c r="CN91" s="21">
        <v>0</v>
      </c>
      <c r="CO91" s="21">
        <v>0</v>
      </c>
      <c r="CP91" s="21">
        <f t="shared" si="158"/>
        <v>0</v>
      </c>
      <c r="CQ91" s="344">
        <f t="shared" si="159"/>
        <v>6.5555555555555554</v>
      </c>
      <c r="CR91" s="87"/>
      <c r="CS91" s="86"/>
      <c r="CT91" s="85">
        <f t="shared" si="160"/>
        <v>435</v>
      </c>
      <c r="CU91" s="85">
        <f t="shared" si="161"/>
        <v>540</v>
      </c>
      <c r="CV91" s="85">
        <f t="shared" si="162"/>
        <v>336</v>
      </c>
      <c r="CW91" s="85">
        <f t="shared" si="163"/>
        <v>356</v>
      </c>
      <c r="CX91" s="85">
        <f t="shared" si="164"/>
        <v>451</v>
      </c>
      <c r="CY91" s="86">
        <f t="shared" si="165"/>
        <v>344</v>
      </c>
      <c r="CZ91" s="87">
        <f t="shared" si="166"/>
        <v>365</v>
      </c>
      <c r="DA91" s="87">
        <f t="shared" si="167"/>
        <v>433</v>
      </c>
      <c r="DB91" s="87">
        <f t="shared" si="168"/>
        <v>375</v>
      </c>
      <c r="DC91" s="87">
        <f t="shared" si="169"/>
        <v>397</v>
      </c>
      <c r="DD91" s="87">
        <f t="shared" si="170"/>
        <v>481</v>
      </c>
      <c r="DE91" s="87">
        <f t="shared" si="171"/>
        <v>360</v>
      </c>
      <c r="DF91" s="87">
        <f t="shared" si="172"/>
        <v>440</v>
      </c>
      <c r="DG91" s="87">
        <f t="shared" si="173"/>
        <v>450</v>
      </c>
      <c r="DH91" s="87">
        <f t="shared" si="174"/>
        <v>357</v>
      </c>
      <c r="DI91" s="87">
        <f t="shared" si="175"/>
        <v>446</v>
      </c>
      <c r="DJ91" s="87">
        <f t="shared" si="176"/>
        <v>499</v>
      </c>
      <c r="DK91" s="86">
        <f t="shared" si="177"/>
        <v>353</v>
      </c>
      <c r="DL91" s="87">
        <f t="shared" si="178"/>
        <v>534</v>
      </c>
      <c r="DM91" s="87">
        <f t="shared" si="179"/>
        <v>486</v>
      </c>
      <c r="DN91" s="87">
        <f t="shared" si="180"/>
        <v>308</v>
      </c>
      <c r="DO91" s="87">
        <f t="shared" si="181"/>
        <v>146</v>
      </c>
      <c r="DP91" s="87">
        <f t="shared" si="182"/>
        <v>21</v>
      </c>
      <c r="DQ91" s="87">
        <f t="shared" si="183"/>
        <v>1</v>
      </c>
      <c r="DR91" s="87">
        <f t="shared" si="97"/>
        <v>0</v>
      </c>
      <c r="DS91" s="87">
        <f t="shared" si="98"/>
        <v>0</v>
      </c>
      <c r="DT91" s="87">
        <f t="shared" si="184"/>
        <v>0</v>
      </c>
      <c r="DU91" s="87">
        <f t="shared" si="185"/>
        <v>6.5555555555555554</v>
      </c>
      <c r="DV91" s="87">
        <f t="shared" si="186"/>
        <v>0</v>
      </c>
      <c r="DW91" s="87">
        <f t="shared" si="187"/>
        <v>0</v>
      </c>
    </row>
    <row r="92" spans="1:127">
      <c r="A92" s="22" t="s">
        <v>4</v>
      </c>
      <c r="B92" s="26">
        <v>4902430558143</v>
      </c>
      <c r="C92" s="22" t="s">
        <v>85</v>
      </c>
      <c r="D92" s="22" t="s">
        <v>8</v>
      </c>
      <c r="E92" s="22">
        <v>186968</v>
      </c>
      <c r="F92" s="80" t="s">
        <v>198</v>
      </c>
      <c r="G92" s="25">
        <v>180.5</v>
      </c>
      <c r="H92" s="85">
        <f t="shared" si="128"/>
        <v>124725.5</v>
      </c>
      <c r="I92" s="85">
        <f t="shared" si="129"/>
        <v>179236.5</v>
      </c>
      <c r="J92" s="85">
        <f t="shared" si="130"/>
        <v>119852</v>
      </c>
      <c r="K92" s="85">
        <f t="shared" si="131"/>
        <v>123101</v>
      </c>
      <c r="L92" s="85">
        <f t="shared" si="132"/>
        <v>157937.5</v>
      </c>
      <c r="M92" s="86">
        <f t="shared" si="133"/>
        <v>119130</v>
      </c>
      <c r="N92" s="87">
        <f t="shared" si="134"/>
        <v>119491</v>
      </c>
      <c r="O92" s="87">
        <f t="shared" si="135"/>
        <v>136638.5</v>
      </c>
      <c r="P92" s="87">
        <f t="shared" si="136"/>
        <v>125267</v>
      </c>
      <c r="Q92" s="87">
        <f t="shared" si="137"/>
        <v>143317</v>
      </c>
      <c r="R92" s="87">
        <f t="shared" si="138"/>
        <v>158118</v>
      </c>
      <c r="S92" s="87">
        <f t="shared" si="139"/>
        <v>136097</v>
      </c>
      <c r="T92" s="87">
        <f t="shared" si="140"/>
        <v>158479</v>
      </c>
      <c r="U92" s="87">
        <f t="shared" si="141"/>
        <v>145483</v>
      </c>
      <c r="V92" s="87">
        <f t="shared" si="142"/>
        <v>116061.5</v>
      </c>
      <c r="W92" s="87">
        <f t="shared" si="143"/>
        <v>131223.5</v>
      </c>
      <c r="X92" s="87">
        <f t="shared" si="144"/>
        <v>161728</v>
      </c>
      <c r="Y92" s="86">
        <f t="shared" si="145"/>
        <v>116603</v>
      </c>
      <c r="Z92" s="87">
        <f t="shared" si="146"/>
        <v>158118</v>
      </c>
      <c r="AA92" s="87">
        <f t="shared" si="147"/>
        <v>79600.5</v>
      </c>
      <c r="AB92" s="87">
        <f t="shared" si="148"/>
        <v>40612.5</v>
      </c>
      <c r="AC92" s="87">
        <f t="shared" si="149"/>
        <v>13718</v>
      </c>
      <c r="AD92" s="87">
        <f t="shared" si="150"/>
        <v>3068.5</v>
      </c>
      <c r="AE92" s="87">
        <f t="shared" si="151"/>
        <v>0</v>
      </c>
      <c r="AF92" s="87">
        <f t="shared" si="152"/>
        <v>0</v>
      </c>
      <c r="AG92" s="87">
        <f t="shared" si="153"/>
        <v>0</v>
      </c>
      <c r="AH92" s="87">
        <f t="shared" si="154"/>
        <v>0</v>
      </c>
      <c r="AI92" s="87">
        <f t="shared" si="155"/>
        <v>1383.8333333333335</v>
      </c>
      <c r="AJ92" s="87">
        <f t="shared" si="156"/>
        <v>0</v>
      </c>
      <c r="AK92" s="86">
        <f t="shared" si="157"/>
        <v>0</v>
      </c>
      <c r="AL92" s="85">
        <v>649</v>
      </c>
      <c r="AM92" s="85">
        <v>947</v>
      </c>
      <c r="AN92" s="85">
        <v>617</v>
      </c>
      <c r="AO92" s="85">
        <v>648</v>
      </c>
      <c r="AP92" s="85">
        <v>821</v>
      </c>
      <c r="AQ92" s="86">
        <v>602</v>
      </c>
      <c r="AR92" s="87">
        <v>624</v>
      </c>
      <c r="AS92" s="87">
        <v>728</v>
      </c>
      <c r="AT92" s="87">
        <v>646</v>
      </c>
      <c r="AU92" s="87">
        <v>742</v>
      </c>
      <c r="AV92" s="87">
        <v>809</v>
      </c>
      <c r="AW92" s="87">
        <v>735</v>
      </c>
      <c r="AX92" s="87">
        <v>853</v>
      </c>
      <c r="AY92" s="87">
        <v>768</v>
      </c>
      <c r="AZ92" s="87">
        <v>616</v>
      </c>
      <c r="BA92" s="87">
        <v>650</v>
      </c>
      <c r="BB92" s="87">
        <v>857</v>
      </c>
      <c r="BC92" s="86">
        <v>590</v>
      </c>
      <c r="BD92" s="87">
        <v>826</v>
      </c>
      <c r="BE92" s="87">
        <v>422</v>
      </c>
      <c r="BF92" s="87">
        <v>225</v>
      </c>
      <c r="BG92" s="87">
        <v>76</v>
      </c>
      <c r="BH92" s="87">
        <v>17</v>
      </c>
      <c r="BI92" s="87">
        <v>0</v>
      </c>
      <c r="BJ92" s="40">
        <v>0</v>
      </c>
      <c r="BK92" s="40">
        <v>0</v>
      </c>
      <c r="BL92" s="40">
        <v>0</v>
      </c>
      <c r="BM92" s="40">
        <v>0</v>
      </c>
      <c r="BO92" s="86"/>
      <c r="BP92" s="21">
        <v>42</v>
      </c>
      <c r="BQ92" s="21">
        <v>46</v>
      </c>
      <c r="BR92" s="21">
        <v>47</v>
      </c>
      <c r="BS92" s="21">
        <v>34</v>
      </c>
      <c r="BT92" s="21">
        <v>54</v>
      </c>
      <c r="BU92" s="42">
        <v>58</v>
      </c>
      <c r="BV92" s="21">
        <v>38</v>
      </c>
      <c r="BW92" s="21">
        <v>29</v>
      </c>
      <c r="BX92" s="21">
        <v>48</v>
      </c>
      <c r="BY92" s="21">
        <v>52</v>
      </c>
      <c r="BZ92" s="21">
        <v>67</v>
      </c>
      <c r="CA92" s="21">
        <v>19</v>
      </c>
      <c r="CB92" s="21">
        <v>25</v>
      </c>
      <c r="CC92" s="21">
        <v>38</v>
      </c>
      <c r="CD92" s="21">
        <v>27</v>
      </c>
      <c r="CE92" s="21">
        <v>77</v>
      </c>
      <c r="CF92" s="21">
        <v>39</v>
      </c>
      <c r="CG92" s="42">
        <v>56</v>
      </c>
      <c r="CH92" s="21">
        <v>50</v>
      </c>
      <c r="CI92" s="21">
        <v>19</v>
      </c>
      <c r="CJ92" s="21">
        <v>0</v>
      </c>
      <c r="CK92" s="21">
        <v>0</v>
      </c>
      <c r="CL92" s="21">
        <v>0</v>
      </c>
      <c r="CM92" s="21">
        <v>0</v>
      </c>
      <c r="CN92" s="21">
        <v>0</v>
      </c>
      <c r="CO92" s="21">
        <v>0</v>
      </c>
      <c r="CP92" s="21">
        <f t="shared" si="158"/>
        <v>0</v>
      </c>
      <c r="CQ92" s="344">
        <f t="shared" si="159"/>
        <v>7.666666666666667</v>
      </c>
      <c r="CR92" s="87"/>
      <c r="CS92" s="86"/>
      <c r="CT92" s="85">
        <f t="shared" si="160"/>
        <v>691</v>
      </c>
      <c r="CU92" s="85">
        <f t="shared" si="161"/>
        <v>993</v>
      </c>
      <c r="CV92" s="85">
        <f t="shared" si="162"/>
        <v>664</v>
      </c>
      <c r="CW92" s="85">
        <f t="shared" si="163"/>
        <v>682</v>
      </c>
      <c r="CX92" s="85">
        <f t="shared" si="164"/>
        <v>875</v>
      </c>
      <c r="CY92" s="86">
        <f t="shared" si="165"/>
        <v>660</v>
      </c>
      <c r="CZ92" s="87">
        <f t="shared" si="166"/>
        <v>662</v>
      </c>
      <c r="DA92" s="87">
        <f t="shared" si="167"/>
        <v>757</v>
      </c>
      <c r="DB92" s="87">
        <f t="shared" si="168"/>
        <v>694</v>
      </c>
      <c r="DC92" s="87">
        <f t="shared" si="169"/>
        <v>794</v>
      </c>
      <c r="DD92" s="87">
        <f t="shared" si="170"/>
        <v>876</v>
      </c>
      <c r="DE92" s="87">
        <f t="shared" si="171"/>
        <v>754</v>
      </c>
      <c r="DF92" s="87">
        <f t="shared" si="172"/>
        <v>878</v>
      </c>
      <c r="DG92" s="87">
        <f t="shared" si="173"/>
        <v>806</v>
      </c>
      <c r="DH92" s="87">
        <f t="shared" si="174"/>
        <v>643</v>
      </c>
      <c r="DI92" s="87">
        <f t="shared" si="175"/>
        <v>727</v>
      </c>
      <c r="DJ92" s="87">
        <f t="shared" si="176"/>
        <v>896</v>
      </c>
      <c r="DK92" s="86">
        <f t="shared" si="177"/>
        <v>646</v>
      </c>
      <c r="DL92" s="87">
        <f t="shared" si="178"/>
        <v>876</v>
      </c>
      <c r="DM92" s="87">
        <f t="shared" si="179"/>
        <v>441</v>
      </c>
      <c r="DN92" s="87">
        <f t="shared" si="180"/>
        <v>225</v>
      </c>
      <c r="DO92" s="87">
        <f t="shared" si="181"/>
        <v>76</v>
      </c>
      <c r="DP92" s="87">
        <f t="shared" si="182"/>
        <v>17</v>
      </c>
      <c r="DQ92" s="87">
        <f t="shared" si="183"/>
        <v>0</v>
      </c>
      <c r="DR92" s="87">
        <f t="shared" si="97"/>
        <v>0</v>
      </c>
      <c r="DS92" s="87">
        <f t="shared" si="98"/>
        <v>0</v>
      </c>
      <c r="DT92" s="87">
        <f t="shared" si="184"/>
        <v>0</v>
      </c>
      <c r="DU92" s="87">
        <f t="shared" si="185"/>
        <v>7.666666666666667</v>
      </c>
      <c r="DV92" s="87">
        <f t="shared" si="186"/>
        <v>0</v>
      </c>
      <c r="DW92" s="87">
        <f t="shared" si="187"/>
        <v>0</v>
      </c>
    </row>
    <row r="93" spans="1:127">
      <c r="A93" s="22" t="s">
        <v>4</v>
      </c>
      <c r="B93" s="26">
        <v>4902430558150</v>
      </c>
      <c r="C93" s="22" t="s">
        <v>85</v>
      </c>
      <c r="D93" s="22" t="s">
        <v>8</v>
      </c>
      <c r="E93" s="22">
        <v>150696</v>
      </c>
      <c r="F93" s="80" t="s">
        <v>199</v>
      </c>
      <c r="G93" s="25">
        <v>180.5</v>
      </c>
      <c r="H93" s="85">
        <f t="shared" si="128"/>
        <v>36461</v>
      </c>
      <c r="I93" s="85">
        <f t="shared" si="129"/>
        <v>42417.5</v>
      </c>
      <c r="J93" s="85">
        <f t="shared" si="130"/>
        <v>30143.5</v>
      </c>
      <c r="K93" s="85">
        <f t="shared" si="131"/>
        <v>31587.5</v>
      </c>
      <c r="L93" s="85">
        <f t="shared" si="132"/>
        <v>42056.5</v>
      </c>
      <c r="M93" s="86">
        <f t="shared" si="133"/>
        <v>34656</v>
      </c>
      <c r="N93" s="87">
        <f t="shared" si="134"/>
        <v>34114.5</v>
      </c>
      <c r="O93" s="87">
        <f t="shared" si="135"/>
        <v>39168.5</v>
      </c>
      <c r="P93" s="87">
        <f t="shared" si="136"/>
        <v>37905</v>
      </c>
      <c r="Q93" s="87">
        <f t="shared" si="137"/>
        <v>51442.5</v>
      </c>
      <c r="R93" s="87">
        <f t="shared" si="138"/>
        <v>46388.5</v>
      </c>
      <c r="S93" s="87">
        <f t="shared" si="139"/>
        <v>38988</v>
      </c>
      <c r="T93" s="87">
        <f t="shared" si="140"/>
        <v>45125</v>
      </c>
      <c r="U93" s="87">
        <f t="shared" si="141"/>
        <v>49998.5</v>
      </c>
      <c r="V93" s="87">
        <f t="shared" si="142"/>
        <v>36822</v>
      </c>
      <c r="W93" s="87">
        <f t="shared" si="143"/>
        <v>59565</v>
      </c>
      <c r="X93" s="87">
        <f t="shared" si="144"/>
        <v>65882.5</v>
      </c>
      <c r="Y93" s="86">
        <f t="shared" si="145"/>
        <v>52706</v>
      </c>
      <c r="Z93" s="87">
        <f t="shared" si="146"/>
        <v>74907.5</v>
      </c>
      <c r="AA93" s="87">
        <f t="shared" si="147"/>
        <v>57940.5</v>
      </c>
      <c r="AB93" s="87">
        <f t="shared" si="148"/>
        <v>40793</v>
      </c>
      <c r="AC93" s="87">
        <f t="shared" si="149"/>
        <v>13537.5</v>
      </c>
      <c r="AD93" s="87">
        <f t="shared" si="150"/>
        <v>4332</v>
      </c>
      <c r="AE93" s="87">
        <f t="shared" si="151"/>
        <v>0</v>
      </c>
      <c r="AF93" s="87">
        <f t="shared" si="152"/>
        <v>180.5</v>
      </c>
      <c r="AG93" s="87">
        <f t="shared" si="153"/>
        <v>0</v>
      </c>
      <c r="AH93" s="87">
        <f t="shared" si="154"/>
        <v>0</v>
      </c>
      <c r="AI93" s="87">
        <f t="shared" si="155"/>
        <v>1203.3333333333335</v>
      </c>
      <c r="AJ93" s="87">
        <f t="shared" si="156"/>
        <v>0</v>
      </c>
      <c r="AK93" s="86">
        <f t="shared" si="157"/>
        <v>0</v>
      </c>
      <c r="AL93" s="85">
        <v>168</v>
      </c>
      <c r="AM93" s="85">
        <v>214</v>
      </c>
      <c r="AN93" s="85">
        <v>133</v>
      </c>
      <c r="AO93" s="85">
        <v>147</v>
      </c>
      <c r="AP93" s="85">
        <v>203</v>
      </c>
      <c r="AQ93" s="86">
        <v>161</v>
      </c>
      <c r="AR93" s="87">
        <v>161</v>
      </c>
      <c r="AS93" s="87">
        <v>196</v>
      </c>
      <c r="AT93" s="87">
        <v>176</v>
      </c>
      <c r="AU93" s="87">
        <v>247</v>
      </c>
      <c r="AV93" s="87">
        <v>206</v>
      </c>
      <c r="AW93" s="87">
        <v>202</v>
      </c>
      <c r="AX93" s="87">
        <v>224</v>
      </c>
      <c r="AY93" s="87">
        <v>251</v>
      </c>
      <c r="AZ93" s="87">
        <v>181</v>
      </c>
      <c r="BA93" s="87">
        <v>269</v>
      </c>
      <c r="BB93" s="87">
        <v>334</v>
      </c>
      <c r="BC93" s="86">
        <v>264</v>
      </c>
      <c r="BD93" s="87">
        <v>387</v>
      </c>
      <c r="BE93" s="87">
        <v>289</v>
      </c>
      <c r="BF93" s="87">
        <v>226</v>
      </c>
      <c r="BG93" s="87">
        <v>75</v>
      </c>
      <c r="BH93" s="87">
        <v>24</v>
      </c>
      <c r="BI93" s="87">
        <v>0</v>
      </c>
      <c r="BJ93" s="40">
        <v>1</v>
      </c>
      <c r="BK93" s="40">
        <v>0</v>
      </c>
      <c r="BL93" s="40">
        <v>0</v>
      </c>
      <c r="BM93" s="40">
        <v>0</v>
      </c>
      <c r="BO93" s="86"/>
      <c r="BP93" s="21">
        <v>34</v>
      </c>
      <c r="BQ93" s="21">
        <v>21</v>
      </c>
      <c r="BR93" s="21">
        <v>34</v>
      </c>
      <c r="BS93" s="21">
        <v>28</v>
      </c>
      <c r="BT93" s="21">
        <v>30</v>
      </c>
      <c r="BU93" s="42">
        <v>31</v>
      </c>
      <c r="BV93" s="21">
        <v>28</v>
      </c>
      <c r="BW93" s="21">
        <v>21</v>
      </c>
      <c r="BX93" s="21">
        <v>34</v>
      </c>
      <c r="BY93" s="21">
        <v>38</v>
      </c>
      <c r="BZ93" s="21">
        <v>51</v>
      </c>
      <c r="CA93" s="21">
        <v>14</v>
      </c>
      <c r="CB93" s="21">
        <v>26</v>
      </c>
      <c r="CC93" s="21">
        <v>26</v>
      </c>
      <c r="CD93" s="21">
        <v>23</v>
      </c>
      <c r="CE93" s="21">
        <v>61</v>
      </c>
      <c r="CF93" s="21">
        <v>31</v>
      </c>
      <c r="CG93" s="42">
        <v>28</v>
      </c>
      <c r="CH93" s="21">
        <v>28</v>
      </c>
      <c r="CI93" s="21">
        <v>32</v>
      </c>
      <c r="CJ93" s="21">
        <v>0</v>
      </c>
      <c r="CK93" s="21">
        <v>0</v>
      </c>
      <c r="CL93" s="21">
        <v>0</v>
      </c>
      <c r="CM93" s="21">
        <v>0</v>
      </c>
      <c r="CN93" s="21">
        <v>0</v>
      </c>
      <c r="CO93" s="21">
        <v>0</v>
      </c>
      <c r="CP93" s="21">
        <f t="shared" si="158"/>
        <v>0</v>
      </c>
      <c r="CQ93" s="344">
        <f t="shared" si="159"/>
        <v>6.666666666666667</v>
      </c>
      <c r="CR93" s="87"/>
      <c r="CS93" s="86"/>
      <c r="CT93" s="85">
        <f t="shared" si="160"/>
        <v>202</v>
      </c>
      <c r="CU93" s="85">
        <f t="shared" si="161"/>
        <v>235</v>
      </c>
      <c r="CV93" s="85">
        <f t="shared" si="162"/>
        <v>167</v>
      </c>
      <c r="CW93" s="85">
        <f t="shared" si="163"/>
        <v>175</v>
      </c>
      <c r="CX93" s="85">
        <f t="shared" si="164"/>
        <v>233</v>
      </c>
      <c r="CY93" s="86">
        <f t="shared" si="165"/>
        <v>192</v>
      </c>
      <c r="CZ93" s="87">
        <f t="shared" si="166"/>
        <v>189</v>
      </c>
      <c r="DA93" s="87">
        <f t="shared" si="167"/>
        <v>217</v>
      </c>
      <c r="DB93" s="87">
        <f t="shared" si="168"/>
        <v>210</v>
      </c>
      <c r="DC93" s="87">
        <f t="shared" si="169"/>
        <v>285</v>
      </c>
      <c r="DD93" s="87">
        <f t="shared" si="170"/>
        <v>257</v>
      </c>
      <c r="DE93" s="87">
        <f t="shared" si="171"/>
        <v>216</v>
      </c>
      <c r="DF93" s="87">
        <f t="shared" si="172"/>
        <v>250</v>
      </c>
      <c r="DG93" s="87">
        <f t="shared" si="173"/>
        <v>277</v>
      </c>
      <c r="DH93" s="87">
        <f t="shared" si="174"/>
        <v>204</v>
      </c>
      <c r="DI93" s="87">
        <f t="shared" si="175"/>
        <v>330</v>
      </c>
      <c r="DJ93" s="87">
        <f t="shared" si="176"/>
        <v>365</v>
      </c>
      <c r="DK93" s="86">
        <f t="shared" si="177"/>
        <v>292</v>
      </c>
      <c r="DL93" s="87">
        <f t="shared" si="178"/>
        <v>415</v>
      </c>
      <c r="DM93" s="87">
        <f t="shared" si="179"/>
        <v>321</v>
      </c>
      <c r="DN93" s="87">
        <f t="shared" si="180"/>
        <v>226</v>
      </c>
      <c r="DO93" s="87">
        <f t="shared" si="181"/>
        <v>75</v>
      </c>
      <c r="DP93" s="87">
        <f t="shared" si="182"/>
        <v>24</v>
      </c>
      <c r="DQ93" s="87">
        <f t="shared" si="183"/>
        <v>0</v>
      </c>
      <c r="DR93" s="87">
        <f t="shared" si="97"/>
        <v>1</v>
      </c>
      <c r="DS93" s="87">
        <f t="shared" si="98"/>
        <v>0</v>
      </c>
      <c r="DT93" s="87">
        <f t="shared" si="184"/>
        <v>0</v>
      </c>
      <c r="DU93" s="87">
        <f t="shared" si="185"/>
        <v>6.666666666666667</v>
      </c>
      <c r="DV93" s="87">
        <f t="shared" si="186"/>
        <v>0</v>
      </c>
      <c r="DW93" s="87">
        <f t="shared" si="187"/>
        <v>0</v>
      </c>
    </row>
    <row r="94" spans="1:127">
      <c r="A94" s="22" t="s">
        <v>4</v>
      </c>
      <c r="B94" s="26">
        <v>4902430558112</v>
      </c>
      <c r="C94" s="22" t="s">
        <v>85</v>
      </c>
      <c r="D94" s="22" t="s">
        <v>8</v>
      </c>
      <c r="E94" s="22">
        <v>150592</v>
      </c>
      <c r="F94" s="80" t="s">
        <v>200</v>
      </c>
      <c r="G94" s="25">
        <v>180.5</v>
      </c>
      <c r="H94" s="85">
        <f t="shared" si="128"/>
        <v>45125</v>
      </c>
      <c r="I94" s="85">
        <f t="shared" si="129"/>
        <v>65160.5</v>
      </c>
      <c r="J94" s="85">
        <f t="shared" si="130"/>
        <v>42959</v>
      </c>
      <c r="K94" s="85">
        <f t="shared" si="131"/>
        <v>50179</v>
      </c>
      <c r="L94" s="85">
        <f t="shared" si="132"/>
        <v>56677</v>
      </c>
      <c r="M94" s="86">
        <f t="shared" si="133"/>
        <v>40251.5</v>
      </c>
      <c r="N94" s="87">
        <f t="shared" si="134"/>
        <v>38807.5</v>
      </c>
      <c r="O94" s="87">
        <f t="shared" si="135"/>
        <v>45305.5</v>
      </c>
      <c r="P94" s="87">
        <f t="shared" si="136"/>
        <v>46569</v>
      </c>
      <c r="Q94" s="87">
        <f t="shared" si="137"/>
        <v>49818</v>
      </c>
      <c r="R94" s="87">
        <f t="shared" si="138"/>
        <v>47110.5</v>
      </c>
      <c r="S94" s="87">
        <f t="shared" si="139"/>
        <v>38085.5</v>
      </c>
      <c r="T94" s="87">
        <f t="shared" si="140"/>
        <v>50540</v>
      </c>
      <c r="U94" s="87">
        <f t="shared" si="141"/>
        <v>25089.5</v>
      </c>
      <c r="V94" s="87">
        <f t="shared" si="142"/>
        <v>25631</v>
      </c>
      <c r="W94" s="87">
        <f t="shared" si="143"/>
        <v>56677</v>
      </c>
      <c r="X94" s="87">
        <f t="shared" si="144"/>
        <v>63897</v>
      </c>
      <c r="Y94" s="86">
        <f t="shared" si="145"/>
        <v>47291</v>
      </c>
      <c r="Z94" s="87">
        <f t="shared" si="146"/>
        <v>65341</v>
      </c>
      <c r="AA94" s="87">
        <f t="shared" si="147"/>
        <v>56316</v>
      </c>
      <c r="AB94" s="87">
        <f t="shared" si="148"/>
        <v>49818</v>
      </c>
      <c r="AC94" s="87">
        <f t="shared" si="149"/>
        <v>19313.5</v>
      </c>
      <c r="AD94" s="87">
        <f t="shared" si="150"/>
        <v>4693</v>
      </c>
      <c r="AE94" s="87">
        <f t="shared" si="151"/>
        <v>0</v>
      </c>
      <c r="AF94" s="87">
        <f t="shared" si="152"/>
        <v>0</v>
      </c>
      <c r="AG94" s="87">
        <f t="shared" si="153"/>
        <v>0</v>
      </c>
      <c r="AH94" s="87">
        <f t="shared" si="154"/>
        <v>0</v>
      </c>
      <c r="AI94" s="87">
        <f t="shared" si="155"/>
        <v>1303.6111111111111</v>
      </c>
      <c r="AJ94" s="87">
        <f t="shared" si="156"/>
        <v>0</v>
      </c>
      <c r="AK94" s="86">
        <f t="shared" si="157"/>
        <v>0</v>
      </c>
      <c r="AL94" s="85">
        <v>240</v>
      </c>
      <c r="AM94" s="85">
        <v>339</v>
      </c>
      <c r="AN94" s="85">
        <v>206</v>
      </c>
      <c r="AO94" s="85">
        <v>263</v>
      </c>
      <c r="AP94" s="85">
        <v>290</v>
      </c>
      <c r="AQ94" s="86">
        <v>193</v>
      </c>
      <c r="AR94" s="87">
        <v>200</v>
      </c>
      <c r="AS94" s="87">
        <v>235</v>
      </c>
      <c r="AT94" s="87">
        <v>239</v>
      </c>
      <c r="AU94" s="87">
        <v>244</v>
      </c>
      <c r="AV94" s="87">
        <v>230</v>
      </c>
      <c r="AW94" s="87">
        <v>203</v>
      </c>
      <c r="AX94" s="87">
        <v>264</v>
      </c>
      <c r="AY94" s="87">
        <v>134</v>
      </c>
      <c r="AZ94" s="87">
        <v>133</v>
      </c>
      <c r="BA94" s="87">
        <v>261</v>
      </c>
      <c r="BB94" s="87">
        <v>313</v>
      </c>
      <c r="BC94" s="86">
        <v>227</v>
      </c>
      <c r="BD94" s="87">
        <v>337</v>
      </c>
      <c r="BE94" s="87">
        <v>272</v>
      </c>
      <c r="BF94" s="87">
        <v>276</v>
      </c>
      <c r="BG94" s="87">
        <v>107</v>
      </c>
      <c r="BH94" s="87">
        <v>26</v>
      </c>
      <c r="BI94" s="87">
        <v>0</v>
      </c>
      <c r="BJ94" s="40">
        <v>0</v>
      </c>
      <c r="BK94" s="40">
        <v>0</v>
      </c>
      <c r="BL94" s="40">
        <v>0</v>
      </c>
      <c r="BM94" s="40">
        <v>0</v>
      </c>
      <c r="BO94" s="86"/>
      <c r="BP94" s="21">
        <v>10</v>
      </c>
      <c r="BQ94" s="21">
        <v>22</v>
      </c>
      <c r="BR94" s="21">
        <v>32</v>
      </c>
      <c r="BS94" s="21">
        <v>15</v>
      </c>
      <c r="BT94" s="21">
        <v>24</v>
      </c>
      <c r="BU94" s="42">
        <v>30</v>
      </c>
      <c r="BV94" s="21">
        <v>15</v>
      </c>
      <c r="BW94" s="21">
        <v>16</v>
      </c>
      <c r="BX94" s="21">
        <v>19</v>
      </c>
      <c r="BY94" s="21">
        <v>32</v>
      </c>
      <c r="BZ94" s="21">
        <v>31</v>
      </c>
      <c r="CA94" s="21">
        <v>8</v>
      </c>
      <c r="CB94" s="21">
        <v>16</v>
      </c>
      <c r="CC94" s="21">
        <v>5</v>
      </c>
      <c r="CD94" s="21">
        <v>9</v>
      </c>
      <c r="CE94" s="21">
        <v>53</v>
      </c>
      <c r="CF94" s="21">
        <v>41</v>
      </c>
      <c r="CG94" s="42">
        <v>35</v>
      </c>
      <c r="CH94" s="21">
        <v>25</v>
      </c>
      <c r="CI94" s="21">
        <v>40</v>
      </c>
      <c r="CJ94" s="21">
        <v>0</v>
      </c>
      <c r="CK94" s="21">
        <v>0</v>
      </c>
      <c r="CL94" s="21">
        <v>0</v>
      </c>
      <c r="CM94" s="21">
        <v>0</v>
      </c>
      <c r="CN94" s="21">
        <v>0</v>
      </c>
      <c r="CO94" s="21">
        <v>0</v>
      </c>
      <c r="CP94" s="21">
        <f t="shared" si="158"/>
        <v>0</v>
      </c>
      <c r="CQ94" s="344">
        <f t="shared" si="159"/>
        <v>7.2222222222222223</v>
      </c>
      <c r="CR94" s="87"/>
      <c r="CS94" s="86"/>
      <c r="CT94" s="85">
        <f t="shared" si="160"/>
        <v>250</v>
      </c>
      <c r="CU94" s="85">
        <f t="shared" si="161"/>
        <v>361</v>
      </c>
      <c r="CV94" s="85">
        <f t="shared" si="162"/>
        <v>238</v>
      </c>
      <c r="CW94" s="85">
        <f t="shared" si="163"/>
        <v>278</v>
      </c>
      <c r="CX94" s="85">
        <f t="shared" si="164"/>
        <v>314</v>
      </c>
      <c r="CY94" s="86">
        <f t="shared" si="165"/>
        <v>223</v>
      </c>
      <c r="CZ94" s="87">
        <f t="shared" si="166"/>
        <v>215</v>
      </c>
      <c r="DA94" s="87">
        <f t="shared" si="167"/>
        <v>251</v>
      </c>
      <c r="DB94" s="87">
        <f t="shared" si="168"/>
        <v>258</v>
      </c>
      <c r="DC94" s="87">
        <f t="shared" si="169"/>
        <v>276</v>
      </c>
      <c r="DD94" s="87">
        <f t="shared" si="170"/>
        <v>261</v>
      </c>
      <c r="DE94" s="87">
        <f t="shared" si="171"/>
        <v>211</v>
      </c>
      <c r="DF94" s="87">
        <f t="shared" si="172"/>
        <v>280</v>
      </c>
      <c r="DG94" s="87">
        <f t="shared" si="173"/>
        <v>139</v>
      </c>
      <c r="DH94" s="87">
        <f t="shared" si="174"/>
        <v>142</v>
      </c>
      <c r="DI94" s="87">
        <f t="shared" si="175"/>
        <v>314</v>
      </c>
      <c r="DJ94" s="87">
        <f t="shared" si="176"/>
        <v>354</v>
      </c>
      <c r="DK94" s="86">
        <f t="shared" si="177"/>
        <v>262</v>
      </c>
      <c r="DL94" s="87">
        <f t="shared" si="178"/>
        <v>362</v>
      </c>
      <c r="DM94" s="87">
        <f t="shared" si="179"/>
        <v>312</v>
      </c>
      <c r="DN94" s="87">
        <f t="shared" si="180"/>
        <v>276</v>
      </c>
      <c r="DO94" s="87">
        <f t="shared" si="181"/>
        <v>107</v>
      </c>
      <c r="DP94" s="87">
        <f t="shared" si="182"/>
        <v>26</v>
      </c>
      <c r="DQ94" s="87">
        <f t="shared" si="183"/>
        <v>0</v>
      </c>
      <c r="DR94" s="87">
        <f t="shared" si="97"/>
        <v>0</v>
      </c>
      <c r="DS94" s="87">
        <f t="shared" si="98"/>
        <v>0</v>
      </c>
      <c r="DT94" s="87">
        <f t="shared" si="184"/>
        <v>0</v>
      </c>
      <c r="DU94" s="87">
        <f t="shared" si="185"/>
        <v>7.2222222222222223</v>
      </c>
      <c r="DV94" s="87">
        <f t="shared" si="186"/>
        <v>0</v>
      </c>
      <c r="DW94" s="87">
        <f t="shared" si="187"/>
        <v>0</v>
      </c>
    </row>
    <row r="95" spans="1:127">
      <c r="A95" s="22" t="s">
        <v>4</v>
      </c>
      <c r="B95" s="26">
        <v>4902430558181</v>
      </c>
      <c r="C95" s="22" t="s">
        <v>85</v>
      </c>
      <c r="D95" s="22" t="s">
        <v>8</v>
      </c>
      <c r="E95" s="22">
        <v>150485</v>
      </c>
      <c r="F95" s="80" t="s">
        <v>201</v>
      </c>
      <c r="G95" s="25">
        <v>180.5</v>
      </c>
      <c r="H95" s="85">
        <f t="shared" si="128"/>
        <v>31948.5</v>
      </c>
      <c r="I95" s="85">
        <f t="shared" si="129"/>
        <v>48374</v>
      </c>
      <c r="J95" s="85">
        <f t="shared" si="130"/>
        <v>32309.5</v>
      </c>
      <c r="K95" s="85">
        <f t="shared" si="131"/>
        <v>37363.5</v>
      </c>
      <c r="L95" s="85">
        <f t="shared" si="132"/>
        <v>43500.5</v>
      </c>
      <c r="M95" s="86">
        <f t="shared" si="133"/>
        <v>38446.5</v>
      </c>
      <c r="N95" s="87">
        <f t="shared" si="134"/>
        <v>31768</v>
      </c>
      <c r="O95" s="87">
        <f t="shared" si="135"/>
        <v>38807.5</v>
      </c>
      <c r="P95" s="87">
        <f t="shared" si="136"/>
        <v>36100</v>
      </c>
      <c r="Q95" s="87">
        <f t="shared" si="137"/>
        <v>42778.5</v>
      </c>
      <c r="R95" s="87">
        <f t="shared" si="138"/>
        <v>47291</v>
      </c>
      <c r="S95" s="87">
        <f t="shared" si="139"/>
        <v>34295</v>
      </c>
      <c r="T95" s="87">
        <f t="shared" si="140"/>
        <v>57940.5</v>
      </c>
      <c r="U95" s="87">
        <f t="shared" si="141"/>
        <v>28699.5</v>
      </c>
      <c r="V95" s="87">
        <f t="shared" si="142"/>
        <v>28880</v>
      </c>
      <c r="W95" s="87">
        <f t="shared" si="143"/>
        <v>57760</v>
      </c>
      <c r="X95" s="87">
        <f t="shared" si="144"/>
        <v>70214.5</v>
      </c>
      <c r="Y95" s="86">
        <f t="shared" si="145"/>
        <v>58301.5</v>
      </c>
      <c r="Z95" s="87">
        <f t="shared" si="146"/>
        <v>74366</v>
      </c>
      <c r="AA95" s="87">
        <f t="shared" si="147"/>
        <v>54511</v>
      </c>
      <c r="AB95" s="87">
        <f t="shared" si="148"/>
        <v>32129</v>
      </c>
      <c r="AC95" s="87">
        <f t="shared" si="149"/>
        <v>14079</v>
      </c>
      <c r="AD95" s="87">
        <f t="shared" si="150"/>
        <v>3249</v>
      </c>
      <c r="AE95" s="87">
        <f t="shared" si="151"/>
        <v>0</v>
      </c>
      <c r="AF95" s="87">
        <f t="shared" si="152"/>
        <v>0</v>
      </c>
      <c r="AG95" s="87">
        <f t="shared" si="153"/>
        <v>0</v>
      </c>
      <c r="AH95" s="87">
        <f t="shared" si="154"/>
        <v>0</v>
      </c>
      <c r="AI95" s="87">
        <f t="shared" si="155"/>
        <v>1664.6111111111109</v>
      </c>
      <c r="AJ95" s="87">
        <f t="shared" si="156"/>
        <v>0</v>
      </c>
      <c r="AK95" s="86">
        <f t="shared" si="157"/>
        <v>0</v>
      </c>
      <c r="AL95" s="85">
        <v>142</v>
      </c>
      <c r="AM95" s="85">
        <v>231</v>
      </c>
      <c r="AN95" s="85">
        <v>127</v>
      </c>
      <c r="AO95" s="85">
        <v>168</v>
      </c>
      <c r="AP95" s="85">
        <v>192</v>
      </c>
      <c r="AQ95" s="86">
        <v>161</v>
      </c>
      <c r="AR95" s="87">
        <v>144</v>
      </c>
      <c r="AS95" s="87">
        <v>186</v>
      </c>
      <c r="AT95" s="87">
        <v>168</v>
      </c>
      <c r="AU95" s="87">
        <v>185</v>
      </c>
      <c r="AV95" s="87">
        <v>189</v>
      </c>
      <c r="AW95" s="87">
        <v>166</v>
      </c>
      <c r="AX95" s="87">
        <v>275</v>
      </c>
      <c r="AY95" s="87">
        <v>138</v>
      </c>
      <c r="AZ95" s="87">
        <v>137</v>
      </c>
      <c r="BA95" s="87">
        <v>228</v>
      </c>
      <c r="BB95" s="87">
        <v>342</v>
      </c>
      <c r="BC95" s="86">
        <v>268</v>
      </c>
      <c r="BD95" s="87">
        <v>374</v>
      </c>
      <c r="BE95" s="87">
        <v>257</v>
      </c>
      <c r="BF95" s="87">
        <v>178</v>
      </c>
      <c r="BG95" s="87">
        <v>78</v>
      </c>
      <c r="BH95" s="87">
        <v>18</v>
      </c>
      <c r="BI95" s="87">
        <v>0</v>
      </c>
      <c r="BJ95" s="40">
        <v>0</v>
      </c>
      <c r="BK95" s="40">
        <v>0</v>
      </c>
      <c r="BL95" s="40">
        <v>0</v>
      </c>
      <c r="BM95" s="40">
        <v>0</v>
      </c>
      <c r="BO95" s="86"/>
      <c r="BP95" s="21">
        <v>35</v>
      </c>
      <c r="BQ95" s="21">
        <v>37</v>
      </c>
      <c r="BR95" s="21">
        <v>52</v>
      </c>
      <c r="BS95" s="21">
        <v>39</v>
      </c>
      <c r="BT95" s="21">
        <v>49</v>
      </c>
      <c r="BU95" s="42">
        <v>52</v>
      </c>
      <c r="BV95" s="21">
        <v>32</v>
      </c>
      <c r="BW95" s="21">
        <v>29</v>
      </c>
      <c r="BX95" s="21">
        <v>32</v>
      </c>
      <c r="BY95" s="21">
        <v>52</v>
      </c>
      <c r="BZ95" s="21">
        <v>73</v>
      </c>
      <c r="CA95" s="21">
        <v>24</v>
      </c>
      <c r="CB95" s="21">
        <v>46</v>
      </c>
      <c r="CC95" s="21">
        <v>21</v>
      </c>
      <c r="CD95" s="21">
        <v>23</v>
      </c>
      <c r="CE95" s="21">
        <v>92</v>
      </c>
      <c r="CF95" s="21">
        <v>47</v>
      </c>
      <c r="CG95" s="42">
        <v>55</v>
      </c>
      <c r="CH95" s="21">
        <v>38</v>
      </c>
      <c r="CI95" s="21">
        <v>45</v>
      </c>
      <c r="CJ95" s="21">
        <v>0</v>
      </c>
      <c r="CK95" s="21">
        <v>0</v>
      </c>
      <c r="CL95" s="21">
        <v>0</v>
      </c>
      <c r="CM95" s="21">
        <v>0</v>
      </c>
      <c r="CN95" s="21">
        <v>0</v>
      </c>
      <c r="CO95" s="21">
        <v>0</v>
      </c>
      <c r="CP95" s="21">
        <f t="shared" si="158"/>
        <v>0</v>
      </c>
      <c r="CQ95" s="344">
        <f t="shared" si="159"/>
        <v>9.2222222222222214</v>
      </c>
      <c r="CR95" s="87"/>
      <c r="CS95" s="86"/>
      <c r="CT95" s="85">
        <f t="shared" si="160"/>
        <v>177</v>
      </c>
      <c r="CU95" s="85">
        <f t="shared" si="161"/>
        <v>268</v>
      </c>
      <c r="CV95" s="85">
        <f t="shared" si="162"/>
        <v>179</v>
      </c>
      <c r="CW95" s="85">
        <f t="shared" si="163"/>
        <v>207</v>
      </c>
      <c r="CX95" s="85">
        <f t="shared" si="164"/>
        <v>241</v>
      </c>
      <c r="CY95" s="86">
        <f t="shared" si="165"/>
        <v>213</v>
      </c>
      <c r="CZ95" s="87">
        <f t="shared" si="166"/>
        <v>176</v>
      </c>
      <c r="DA95" s="87">
        <f t="shared" si="167"/>
        <v>215</v>
      </c>
      <c r="DB95" s="87">
        <f t="shared" si="168"/>
        <v>200</v>
      </c>
      <c r="DC95" s="87">
        <f t="shared" si="169"/>
        <v>237</v>
      </c>
      <c r="DD95" s="87">
        <f t="shared" si="170"/>
        <v>262</v>
      </c>
      <c r="DE95" s="87">
        <f t="shared" si="171"/>
        <v>190</v>
      </c>
      <c r="DF95" s="87">
        <f t="shared" si="172"/>
        <v>321</v>
      </c>
      <c r="DG95" s="87">
        <f t="shared" si="173"/>
        <v>159</v>
      </c>
      <c r="DH95" s="87">
        <f t="shared" si="174"/>
        <v>160</v>
      </c>
      <c r="DI95" s="87">
        <f t="shared" si="175"/>
        <v>320</v>
      </c>
      <c r="DJ95" s="87">
        <f t="shared" si="176"/>
        <v>389</v>
      </c>
      <c r="DK95" s="86">
        <f t="shared" si="177"/>
        <v>323</v>
      </c>
      <c r="DL95" s="87">
        <f t="shared" si="178"/>
        <v>412</v>
      </c>
      <c r="DM95" s="87">
        <f t="shared" si="179"/>
        <v>302</v>
      </c>
      <c r="DN95" s="87">
        <f t="shared" si="180"/>
        <v>178</v>
      </c>
      <c r="DO95" s="87">
        <f t="shared" si="181"/>
        <v>78</v>
      </c>
      <c r="DP95" s="87">
        <f t="shared" si="182"/>
        <v>18</v>
      </c>
      <c r="DQ95" s="87">
        <f t="shared" si="183"/>
        <v>0</v>
      </c>
      <c r="DR95" s="87">
        <f t="shared" si="97"/>
        <v>0</v>
      </c>
      <c r="DS95" s="87">
        <f t="shared" si="98"/>
        <v>0</v>
      </c>
      <c r="DT95" s="87">
        <f t="shared" si="184"/>
        <v>0</v>
      </c>
      <c r="DU95" s="87">
        <f t="shared" si="185"/>
        <v>9.2222222222222214</v>
      </c>
      <c r="DV95" s="87">
        <f t="shared" si="186"/>
        <v>0</v>
      </c>
      <c r="DW95" s="87">
        <f t="shared" si="187"/>
        <v>0</v>
      </c>
    </row>
    <row r="96" spans="1:127">
      <c r="A96" s="22" t="s">
        <v>4</v>
      </c>
      <c r="B96" s="26">
        <v>4902430558129</v>
      </c>
      <c r="C96" s="22" t="s">
        <v>85</v>
      </c>
      <c r="D96" s="22" t="s">
        <v>8</v>
      </c>
      <c r="E96" s="22">
        <v>150530</v>
      </c>
      <c r="F96" s="80" t="s">
        <v>202</v>
      </c>
      <c r="G96" s="25">
        <v>180.5</v>
      </c>
      <c r="H96" s="85">
        <f t="shared" si="128"/>
        <v>9205.5</v>
      </c>
      <c r="I96" s="85">
        <f t="shared" si="129"/>
        <v>8844.5</v>
      </c>
      <c r="J96" s="85">
        <f t="shared" si="130"/>
        <v>7942</v>
      </c>
      <c r="K96" s="85">
        <f t="shared" si="131"/>
        <v>8122.5</v>
      </c>
      <c r="L96" s="85">
        <f t="shared" si="132"/>
        <v>10649.5</v>
      </c>
      <c r="M96" s="86">
        <f t="shared" si="133"/>
        <v>9205.5</v>
      </c>
      <c r="N96" s="87">
        <f t="shared" si="134"/>
        <v>10469</v>
      </c>
      <c r="O96" s="87">
        <f t="shared" si="135"/>
        <v>11552</v>
      </c>
      <c r="P96" s="87">
        <f t="shared" si="136"/>
        <v>10649.5</v>
      </c>
      <c r="Q96" s="87">
        <f t="shared" si="137"/>
        <v>7581</v>
      </c>
      <c r="R96" s="87">
        <f t="shared" si="138"/>
        <v>11913</v>
      </c>
      <c r="S96" s="87">
        <f t="shared" si="139"/>
        <v>9386</v>
      </c>
      <c r="T96" s="87">
        <f t="shared" si="140"/>
        <v>12996</v>
      </c>
      <c r="U96" s="87">
        <f t="shared" si="141"/>
        <v>5054</v>
      </c>
      <c r="V96" s="87">
        <f t="shared" si="142"/>
        <v>4693</v>
      </c>
      <c r="W96" s="87">
        <f t="shared" si="143"/>
        <v>46388.5</v>
      </c>
      <c r="X96" s="87">
        <f t="shared" si="144"/>
        <v>27616.5</v>
      </c>
      <c r="Y96" s="86">
        <f t="shared" si="145"/>
        <v>22562.5</v>
      </c>
      <c r="Z96" s="87">
        <f t="shared" si="146"/>
        <v>29421.5</v>
      </c>
      <c r="AA96" s="87">
        <f t="shared" si="147"/>
        <v>40432</v>
      </c>
      <c r="AB96" s="87">
        <f t="shared" si="148"/>
        <v>29241</v>
      </c>
      <c r="AC96" s="87">
        <f t="shared" si="149"/>
        <v>13537.5</v>
      </c>
      <c r="AD96" s="87">
        <f t="shared" si="150"/>
        <v>4873.5</v>
      </c>
      <c r="AE96" s="87">
        <f t="shared" si="151"/>
        <v>0</v>
      </c>
      <c r="AF96" s="87">
        <f t="shared" si="152"/>
        <v>0</v>
      </c>
      <c r="AG96" s="87">
        <f t="shared" si="153"/>
        <v>0</v>
      </c>
      <c r="AH96" s="87">
        <f t="shared" si="154"/>
        <v>0</v>
      </c>
      <c r="AI96" s="87">
        <f t="shared" si="155"/>
        <v>2446.7777777777778</v>
      </c>
      <c r="AJ96" s="87">
        <f t="shared" si="156"/>
        <v>0</v>
      </c>
      <c r="AK96" s="86">
        <f t="shared" si="157"/>
        <v>0</v>
      </c>
      <c r="AL96" s="85">
        <v>35</v>
      </c>
      <c r="AM96" s="85">
        <v>43</v>
      </c>
      <c r="AN96" s="85">
        <v>31</v>
      </c>
      <c r="AO96" s="85">
        <v>38</v>
      </c>
      <c r="AP96" s="85">
        <v>42</v>
      </c>
      <c r="AQ96" s="86">
        <v>40</v>
      </c>
      <c r="AR96" s="87">
        <v>51</v>
      </c>
      <c r="AS96" s="87">
        <v>58</v>
      </c>
      <c r="AT96" s="87">
        <v>45</v>
      </c>
      <c r="AU96" s="87">
        <v>39</v>
      </c>
      <c r="AV96" s="87">
        <v>45</v>
      </c>
      <c r="AW96" s="87">
        <v>48</v>
      </c>
      <c r="AX96" s="87">
        <v>58</v>
      </c>
      <c r="AY96" s="87">
        <v>24</v>
      </c>
      <c r="AZ96" s="87">
        <v>25</v>
      </c>
      <c r="BA96" s="87">
        <v>74</v>
      </c>
      <c r="BB96" s="87">
        <v>129</v>
      </c>
      <c r="BC96" s="86">
        <v>113</v>
      </c>
      <c r="BD96" s="87">
        <v>127</v>
      </c>
      <c r="BE96" s="87">
        <v>138</v>
      </c>
      <c r="BF96" s="87">
        <v>163</v>
      </c>
      <c r="BG96" s="87">
        <v>74</v>
      </c>
      <c r="BH96" s="87">
        <v>27</v>
      </c>
      <c r="BI96" s="87">
        <v>0</v>
      </c>
      <c r="BJ96" s="40">
        <v>0</v>
      </c>
      <c r="BK96" s="40">
        <v>0</v>
      </c>
      <c r="BL96" s="40">
        <v>0</v>
      </c>
      <c r="BM96" s="40">
        <v>0</v>
      </c>
      <c r="BO96" s="86"/>
      <c r="BP96" s="21">
        <v>16</v>
      </c>
      <c r="BQ96" s="21">
        <v>6</v>
      </c>
      <c r="BR96" s="21">
        <v>13</v>
      </c>
      <c r="BS96" s="21">
        <v>7</v>
      </c>
      <c r="BT96" s="21">
        <v>17</v>
      </c>
      <c r="BU96" s="42">
        <v>11</v>
      </c>
      <c r="BV96" s="21">
        <v>7</v>
      </c>
      <c r="BW96" s="21">
        <v>6</v>
      </c>
      <c r="BX96" s="21">
        <v>14</v>
      </c>
      <c r="BY96" s="21">
        <v>3</v>
      </c>
      <c r="BZ96" s="21">
        <v>21</v>
      </c>
      <c r="CA96" s="21">
        <v>4</v>
      </c>
      <c r="CB96" s="21">
        <v>14</v>
      </c>
      <c r="CC96" s="21">
        <v>4</v>
      </c>
      <c r="CD96" s="21">
        <v>1</v>
      </c>
      <c r="CE96" s="21">
        <v>183</v>
      </c>
      <c r="CF96" s="21">
        <v>24</v>
      </c>
      <c r="CG96" s="42">
        <v>12</v>
      </c>
      <c r="CH96" s="21">
        <v>36</v>
      </c>
      <c r="CI96" s="21">
        <v>86</v>
      </c>
      <c r="CJ96" s="21">
        <v>-1</v>
      </c>
      <c r="CK96" s="21">
        <v>1</v>
      </c>
      <c r="CL96" s="21">
        <v>0</v>
      </c>
      <c r="CM96" s="21">
        <v>0</v>
      </c>
      <c r="CN96" s="21">
        <v>0</v>
      </c>
      <c r="CO96" s="21">
        <v>0</v>
      </c>
      <c r="CP96" s="21">
        <f t="shared" si="158"/>
        <v>0</v>
      </c>
      <c r="CQ96" s="344">
        <f t="shared" si="159"/>
        <v>13.555555555555555</v>
      </c>
      <c r="CR96" s="87"/>
      <c r="CS96" s="86"/>
      <c r="CT96" s="85">
        <f t="shared" si="160"/>
        <v>51</v>
      </c>
      <c r="CU96" s="85">
        <f t="shared" si="161"/>
        <v>49</v>
      </c>
      <c r="CV96" s="85">
        <f t="shared" si="162"/>
        <v>44</v>
      </c>
      <c r="CW96" s="85">
        <f t="shared" si="163"/>
        <v>45</v>
      </c>
      <c r="CX96" s="85">
        <f t="shared" si="164"/>
        <v>59</v>
      </c>
      <c r="CY96" s="86">
        <f t="shared" si="165"/>
        <v>51</v>
      </c>
      <c r="CZ96" s="87">
        <f t="shared" si="166"/>
        <v>58</v>
      </c>
      <c r="DA96" s="87">
        <f t="shared" si="167"/>
        <v>64</v>
      </c>
      <c r="DB96" s="87">
        <f t="shared" si="168"/>
        <v>59</v>
      </c>
      <c r="DC96" s="87">
        <f t="shared" si="169"/>
        <v>42</v>
      </c>
      <c r="DD96" s="87">
        <f t="shared" si="170"/>
        <v>66</v>
      </c>
      <c r="DE96" s="87">
        <f t="shared" si="171"/>
        <v>52</v>
      </c>
      <c r="DF96" s="87">
        <f t="shared" si="172"/>
        <v>72</v>
      </c>
      <c r="DG96" s="87">
        <f t="shared" si="173"/>
        <v>28</v>
      </c>
      <c r="DH96" s="87">
        <f t="shared" si="174"/>
        <v>26</v>
      </c>
      <c r="DI96" s="87">
        <f t="shared" si="175"/>
        <v>257</v>
      </c>
      <c r="DJ96" s="87">
        <f t="shared" si="176"/>
        <v>153</v>
      </c>
      <c r="DK96" s="86">
        <f t="shared" si="177"/>
        <v>125</v>
      </c>
      <c r="DL96" s="87">
        <f t="shared" si="178"/>
        <v>163</v>
      </c>
      <c r="DM96" s="87">
        <f t="shared" si="179"/>
        <v>224</v>
      </c>
      <c r="DN96" s="87">
        <f t="shared" si="180"/>
        <v>162</v>
      </c>
      <c r="DO96" s="87">
        <f t="shared" si="181"/>
        <v>75</v>
      </c>
      <c r="DP96" s="87">
        <f t="shared" si="182"/>
        <v>27</v>
      </c>
      <c r="DQ96" s="87">
        <f t="shared" si="183"/>
        <v>0</v>
      </c>
      <c r="DR96" s="87">
        <f t="shared" si="97"/>
        <v>0</v>
      </c>
      <c r="DS96" s="87">
        <f t="shared" si="98"/>
        <v>0</v>
      </c>
      <c r="DT96" s="87">
        <f t="shared" si="184"/>
        <v>0</v>
      </c>
      <c r="DU96" s="87">
        <f t="shared" si="185"/>
        <v>13.555555555555555</v>
      </c>
      <c r="DV96" s="87">
        <f t="shared" si="186"/>
        <v>0</v>
      </c>
      <c r="DW96" s="87">
        <f t="shared" si="187"/>
        <v>0</v>
      </c>
    </row>
    <row r="97" spans="1:127">
      <c r="A97" s="22" t="s">
        <v>4</v>
      </c>
      <c r="B97" s="26">
        <v>4902430768566</v>
      </c>
      <c r="C97" s="22" t="s">
        <v>85</v>
      </c>
      <c r="D97" s="22" t="s">
        <v>8</v>
      </c>
      <c r="E97" s="22">
        <v>150544</v>
      </c>
      <c r="F97" s="80" t="s">
        <v>203</v>
      </c>
      <c r="G97" s="25">
        <v>180.5</v>
      </c>
      <c r="H97" s="85">
        <f t="shared" si="128"/>
        <v>36100</v>
      </c>
      <c r="I97" s="85">
        <f t="shared" si="129"/>
        <v>56857.5</v>
      </c>
      <c r="J97" s="85">
        <f t="shared" si="130"/>
        <v>30324</v>
      </c>
      <c r="K97" s="85">
        <f t="shared" si="131"/>
        <v>38627</v>
      </c>
      <c r="L97" s="85">
        <f t="shared" si="132"/>
        <v>46027.5</v>
      </c>
      <c r="M97" s="86">
        <f t="shared" si="133"/>
        <v>35378</v>
      </c>
      <c r="N97" s="87">
        <f t="shared" si="134"/>
        <v>36822</v>
      </c>
      <c r="O97" s="87">
        <f t="shared" si="135"/>
        <v>45486</v>
      </c>
      <c r="P97" s="87">
        <f t="shared" si="136"/>
        <v>41515</v>
      </c>
      <c r="Q97" s="87">
        <f t="shared" si="137"/>
        <v>47471.5</v>
      </c>
      <c r="R97" s="87">
        <f t="shared" si="138"/>
        <v>52706</v>
      </c>
      <c r="S97" s="87">
        <f t="shared" si="139"/>
        <v>40071</v>
      </c>
      <c r="T97" s="87">
        <f t="shared" si="140"/>
        <v>52164.5</v>
      </c>
      <c r="U97" s="87">
        <f t="shared" si="141"/>
        <v>52706</v>
      </c>
      <c r="V97" s="87">
        <f t="shared" si="142"/>
        <v>40251.5</v>
      </c>
      <c r="W97" s="87">
        <f t="shared" si="143"/>
        <v>57579.5</v>
      </c>
      <c r="X97" s="87">
        <f t="shared" si="144"/>
        <v>57760</v>
      </c>
      <c r="Y97" s="86">
        <f t="shared" si="145"/>
        <v>48554.5</v>
      </c>
      <c r="Z97" s="87">
        <f t="shared" si="146"/>
        <v>70395</v>
      </c>
      <c r="AA97" s="87">
        <f t="shared" si="147"/>
        <v>60648</v>
      </c>
      <c r="AB97" s="87">
        <f t="shared" si="148"/>
        <v>45305.5</v>
      </c>
      <c r="AC97" s="87">
        <f t="shared" si="149"/>
        <v>16967</v>
      </c>
      <c r="AD97" s="87">
        <f t="shared" si="150"/>
        <v>5234.5</v>
      </c>
      <c r="AE97" s="87">
        <f t="shared" si="151"/>
        <v>180.5</v>
      </c>
      <c r="AF97" s="87">
        <f t="shared" si="152"/>
        <v>0</v>
      </c>
      <c r="AG97" s="87">
        <f t="shared" si="153"/>
        <v>0</v>
      </c>
      <c r="AH97" s="87">
        <f t="shared" si="154"/>
        <v>0</v>
      </c>
      <c r="AI97" s="87">
        <f t="shared" si="155"/>
        <v>742.05555555555543</v>
      </c>
      <c r="AJ97" s="87">
        <f t="shared" si="156"/>
        <v>0</v>
      </c>
      <c r="AK97" s="86">
        <f t="shared" si="157"/>
        <v>0</v>
      </c>
      <c r="AL97" s="85">
        <v>192</v>
      </c>
      <c r="AM97" s="85">
        <v>303</v>
      </c>
      <c r="AN97" s="85">
        <v>156</v>
      </c>
      <c r="AO97" s="85">
        <v>194</v>
      </c>
      <c r="AP97" s="85">
        <v>228</v>
      </c>
      <c r="AQ97" s="86">
        <v>177</v>
      </c>
      <c r="AR97" s="87">
        <v>191</v>
      </c>
      <c r="AS97" s="87">
        <v>246</v>
      </c>
      <c r="AT97" s="87">
        <v>211</v>
      </c>
      <c r="AU97" s="87">
        <v>246</v>
      </c>
      <c r="AV97" s="87">
        <v>272</v>
      </c>
      <c r="AW97" s="87">
        <v>212</v>
      </c>
      <c r="AX97" s="87">
        <v>277</v>
      </c>
      <c r="AY97" s="87">
        <v>283</v>
      </c>
      <c r="AZ97" s="87">
        <v>210</v>
      </c>
      <c r="BA97" s="87">
        <v>287</v>
      </c>
      <c r="BB97" s="87">
        <v>307</v>
      </c>
      <c r="BC97" s="86">
        <v>252</v>
      </c>
      <c r="BD97" s="87">
        <v>361</v>
      </c>
      <c r="BE97" s="87">
        <v>328</v>
      </c>
      <c r="BF97" s="87">
        <v>251</v>
      </c>
      <c r="BG97" s="87">
        <v>94</v>
      </c>
      <c r="BH97" s="87">
        <v>29</v>
      </c>
      <c r="BI97" s="87">
        <v>1</v>
      </c>
      <c r="BJ97" s="40">
        <v>0</v>
      </c>
      <c r="BK97" s="40">
        <v>0</v>
      </c>
      <c r="BL97" s="40">
        <v>0</v>
      </c>
      <c r="BM97" s="40">
        <v>0</v>
      </c>
      <c r="BO97" s="86"/>
      <c r="BP97" s="21">
        <v>8</v>
      </c>
      <c r="BQ97" s="21">
        <v>12</v>
      </c>
      <c r="BR97" s="21">
        <v>12</v>
      </c>
      <c r="BS97" s="21">
        <v>20</v>
      </c>
      <c r="BT97" s="21">
        <v>27</v>
      </c>
      <c r="BU97" s="42">
        <v>19</v>
      </c>
      <c r="BV97" s="21">
        <v>13</v>
      </c>
      <c r="BW97" s="21">
        <v>6</v>
      </c>
      <c r="BX97" s="21">
        <v>19</v>
      </c>
      <c r="BY97" s="21">
        <v>17</v>
      </c>
      <c r="BZ97" s="21">
        <v>20</v>
      </c>
      <c r="CA97" s="21">
        <v>10</v>
      </c>
      <c r="CB97" s="21">
        <v>12</v>
      </c>
      <c r="CC97" s="21">
        <v>9</v>
      </c>
      <c r="CD97" s="21">
        <v>13</v>
      </c>
      <c r="CE97" s="21">
        <v>32</v>
      </c>
      <c r="CF97" s="21">
        <v>13</v>
      </c>
      <c r="CG97" s="42">
        <v>17</v>
      </c>
      <c r="CH97" s="21">
        <v>29</v>
      </c>
      <c r="CI97" s="21">
        <v>8</v>
      </c>
      <c r="CJ97" s="21">
        <v>0</v>
      </c>
      <c r="CK97" s="21">
        <v>0</v>
      </c>
      <c r="CL97" s="21">
        <v>0</v>
      </c>
      <c r="CM97" s="21">
        <v>0</v>
      </c>
      <c r="CN97" s="21">
        <v>0</v>
      </c>
      <c r="CO97" s="21">
        <v>0</v>
      </c>
      <c r="CP97" s="21">
        <f t="shared" si="158"/>
        <v>0</v>
      </c>
      <c r="CQ97" s="344">
        <f t="shared" si="159"/>
        <v>4.1111111111111107</v>
      </c>
      <c r="CR97" s="87"/>
      <c r="CS97" s="86"/>
      <c r="CT97" s="85">
        <f t="shared" si="160"/>
        <v>200</v>
      </c>
      <c r="CU97" s="85">
        <f t="shared" si="161"/>
        <v>315</v>
      </c>
      <c r="CV97" s="85">
        <f t="shared" si="162"/>
        <v>168</v>
      </c>
      <c r="CW97" s="85">
        <f t="shared" si="163"/>
        <v>214</v>
      </c>
      <c r="CX97" s="85">
        <f t="shared" si="164"/>
        <v>255</v>
      </c>
      <c r="CY97" s="86">
        <f t="shared" si="165"/>
        <v>196</v>
      </c>
      <c r="CZ97" s="87">
        <f t="shared" si="166"/>
        <v>204</v>
      </c>
      <c r="DA97" s="87">
        <f t="shared" si="167"/>
        <v>252</v>
      </c>
      <c r="DB97" s="87">
        <f t="shared" si="168"/>
        <v>230</v>
      </c>
      <c r="DC97" s="87">
        <f t="shared" si="169"/>
        <v>263</v>
      </c>
      <c r="DD97" s="87">
        <f t="shared" si="170"/>
        <v>292</v>
      </c>
      <c r="DE97" s="87">
        <f t="shared" si="171"/>
        <v>222</v>
      </c>
      <c r="DF97" s="87">
        <f t="shared" si="172"/>
        <v>289</v>
      </c>
      <c r="DG97" s="87">
        <f t="shared" si="173"/>
        <v>292</v>
      </c>
      <c r="DH97" s="87">
        <f t="shared" si="174"/>
        <v>223</v>
      </c>
      <c r="DI97" s="87">
        <f t="shared" si="175"/>
        <v>319</v>
      </c>
      <c r="DJ97" s="87">
        <f t="shared" si="176"/>
        <v>320</v>
      </c>
      <c r="DK97" s="86">
        <f t="shared" si="177"/>
        <v>269</v>
      </c>
      <c r="DL97" s="87">
        <f t="shared" si="178"/>
        <v>390</v>
      </c>
      <c r="DM97" s="87">
        <f t="shared" si="179"/>
        <v>336</v>
      </c>
      <c r="DN97" s="87">
        <f t="shared" si="180"/>
        <v>251</v>
      </c>
      <c r="DO97" s="87">
        <f t="shared" si="181"/>
        <v>94</v>
      </c>
      <c r="DP97" s="87">
        <f t="shared" si="182"/>
        <v>29</v>
      </c>
      <c r="DQ97" s="87">
        <f t="shared" si="183"/>
        <v>1</v>
      </c>
      <c r="DR97" s="87">
        <f t="shared" si="97"/>
        <v>0</v>
      </c>
      <c r="DS97" s="87">
        <f t="shared" si="98"/>
        <v>0</v>
      </c>
      <c r="DT97" s="87">
        <f t="shared" si="184"/>
        <v>0</v>
      </c>
      <c r="DU97" s="87">
        <f t="shared" si="185"/>
        <v>4.1111111111111107</v>
      </c>
      <c r="DV97" s="87">
        <f t="shared" si="186"/>
        <v>0</v>
      </c>
      <c r="DW97" s="87">
        <f t="shared" si="187"/>
        <v>0</v>
      </c>
    </row>
    <row r="98" spans="1:127">
      <c r="A98" s="22" t="s">
        <v>4</v>
      </c>
      <c r="B98" s="26">
        <v>4902430768573</v>
      </c>
      <c r="C98" s="22" t="s">
        <v>85</v>
      </c>
      <c r="D98" s="22" t="s">
        <v>8</v>
      </c>
      <c r="E98" s="22">
        <v>150628</v>
      </c>
      <c r="F98" s="80" t="s">
        <v>204</v>
      </c>
      <c r="G98" s="25">
        <v>180.5</v>
      </c>
      <c r="H98" s="85">
        <f t="shared" si="128"/>
        <v>25270</v>
      </c>
      <c r="I98" s="85">
        <f t="shared" si="129"/>
        <v>31046</v>
      </c>
      <c r="J98" s="85">
        <f t="shared" si="130"/>
        <v>21118.5</v>
      </c>
      <c r="K98" s="85">
        <f t="shared" si="131"/>
        <v>18411</v>
      </c>
      <c r="L98" s="85">
        <f t="shared" si="132"/>
        <v>30504.5</v>
      </c>
      <c r="M98" s="86">
        <f t="shared" si="133"/>
        <v>21660</v>
      </c>
      <c r="N98" s="87">
        <f t="shared" si="134"/>
        <v>26894.5</v>
      </c>
      <c r="O98" s="87">
        <f t="shared" si="135"/>
        <v>27797</v>
      </c>
      <c r="P98" s="87">
        <f t="shared" si="136"/>
        <v>20757.5</v>
      </c>
      <c r="Q98" s="87">
        <f t="shared" si="137"/>
        <v>18772</v>
      </c>
      <c r="R98" s="87">
        <f t="shared" si="138"/>
        <v>23465</v>
      </c>
      <c r="S98" s="87">
        <f t="shared" si="139"/>
        <v>25992</v>
      </c>
      <c r="T98" s="87">
        <f t="shared" si="140"/>
        <v>30324</v>
      </c>
      <c r="U98" s="87">
        <f t="shared" si="141"/>
        <v>19494</v>
      </c>
      <c r="V98" s="87">
        <f t="shared" si="142"/>
        <v>20577</v>
      </c>
      <c r="W98" s="87">
        <f t="shared" si="143"/>
        <v>63355.5</v>
      </c>
      <c r="X98" s="87">
        <f t="shared" si="144"/>
        <v>43320</v>
      </c>
      <c r="Y98" s="86">
        <f t="shared" si="145"/>
        <v>36461</v>
      </c>
      <c r="Z98" s="87">
        <f t="shared" si="146"/>
        <v>56316</v>
      </c>
      <c r="AA98" s="87">
        <f t="shared" si="147"/>
        <v>60648</v>
      </c>
      <c r="AB98" s="87">
        <f t="shared" si="148"/>
        <v>48554.5</v>
      </c>
      <c r="AC98" s="87">
        <f t="shared" si="149"/>
        <v>17328</v>
      </c>
      <c r="AD98" s="87">
        <f t="shared" si="150"/>
        <v>4332</v>
      </c>
      <c r="AE98" s="87">
        <f t="shared" si="151"/>
        <v>0</v>
      </c>
      <c r="AF98" s="87">
        <f t="shared" si="152"/>
        <v>0</v>
      </c>
      <c r="AG98" s="87">
        <f t="shared" si="153"/>
        <v>0</v>
      </c>
      <c r="AH98" s="87">
        <f t="shared" si="154"/>
        <v>0</v>
      </c>
      <c r="AI98" s="87">
        <f t="shared" si="155"/>
        <v>2286.333333333333</v>
      </c>
      <c r="AJ98" s="87">
        <f t="shared" si="156"/>
        <v>0</v>
      </c>
      <c r="AK98" s="86">
        <f t="shared" si="157"/>
        <v>0</v>
      </c>
      <c r="AL98" s="85">
        <v>108</v>
      </c>
      <c r="AM98" s="85">
        <v>143</v>
      </c>
      <c r="AN98" s="85">
        <v>84</v>
      </c>
      <c r="AO98" s="85">
        <v>91</v>
      </c>
      <c r="AP98" s="85">
        <v>143</v>
      </c>
      <c r="AQ98" s="86">
        <v>96</v>
      </c>
      <c r="AR98" s="87">
        <v>129</v>
      </c>
      <c r="AS98" s="87">
        <v>147</v>
      </c>
      <c r="AT98" s="87">
        <v>102</v>
      </c>
      <c r="AU98" s="87">
        <v>94</v>
      </c>
      <c r="AV98" s="87">
        <v>100</v>
      </c>
      <c r="AW98" s="87">
        <v>131</v>
      </c>
      <c r="AX98" s="87">
        <v>152</v>
      </c>
      <c r="AY98" s="87">
        <v>100</v>
      </c>
      <c r="AZ98" s="87">
        <v>102</v>
      </c>
      <c r="BA98" s="87">
        <v>167</v>
      </c>
      <c r="BB98" s="87">
        <v>204</v>
      </c>
      <c r="BC98" s="86">
        <v>159</v>
      </c>
      <c r="BD98" s="87">
        <v>266</v>
      </c>
      <c r="BE98" s="87">
        <v>268</v>
      </c>
      <c r="BF98" s="87">
        <v>269</v>
      </c>
      <c r="BG98" s="87">
        <v>96</v>
      </c>
      <c r="BH98" s="87">
        <v>24</v>
      </c>
      <c r="BI98" s="87">
        <v>0</v>
      </c>
      <c r="BJ98" s="40">
        <v>0</v>
      </c>
      <c r="BK98" s="40">
        <v>0</v>
      </c>
      <c r="BL98" s="40">
        <v>0</v>
      </c>
      <c r="BM98" s="40">
        <v>0</v>
      </c>
      <c r="BO98" s="86"/>
      <c r="BP98" s="21">
        <v>32</v>
      </c>
      <c r="BQ98" s="21">
        <v>29</v>
      </c>
      <c r="BR98" s="21">
        <v>33</v>
      </c>
      <c r="BS98" s="21">
        <v>11</v>
      </c>
      <c r="BT98" s="21">
        <v>26</v>
      </c>
      <c r="BU98" s="42">
        <v>24</v>
      </c>
      <c r="BV98" s="21">
        <v>20</v>
      </c>
      <c r="BW98" s="21">
        <v>7</v>
      </c>
      <c r="BX98" s="21">
        <v>13</v>
      </c>
      <c r="BY98" s="21">
        <v>10</v>
      </c>
      <c r="BZ98" s="21">
        <v>30</v>
      </c>
      <c r="CA98" s="21">
        <v>13</v>
      </c>
      <c r="CB98" s="21">
        <v>16</v>
      </c>
      <c r="CC98" s="21">
        <v>8</v>
      </c>
      <c r="CD98" s="21">
        <v>12</v>
      </c>
      <c r="CE98" s="21">
        <v>184</v>
      </c>
      <c r="CF98" s="21">
        <v>36</v>
      </c>
      <c r="CG98" s="42">
        <v>43</v>
      </c>
      <c r="CH98" s="21">
        <v>46</v>
      </c>
      <c r="CI98" s="21">
        <v>68</v>
      </c>
      <c r="CJ98" s="21">
        <v>0</v>
      </c>
      <c r="CK98" s="21">
        <v>0</v>
      </c>
      <c r="CL98" s="21">
        <v>0</v>
      </c>
      <c r="CM98" s="21">
        <v>0</v>
      </c>
      <c r="CN98" s="21">
        <v>0</v>
      </c>
      <c r="CO98" s="21">
        <v>0</v>
      </c>
      <c r="CP98" s="21">
        <f t="shared" si="158"/>
        <v>0</v>
      </c>
      <c r="CQ98" s="344">
        <f t="shared" si="159"/>
        <v>12.666666666666666</v>
      </c>
      <c r="CR98" s="87"/>
      <c r="CS98" s="86"/>
      <c r="CT98" s="85">
        <f t="shared" si="160"/>
        <v>140</v>
      </c>
      <c r="CU98" s="85">
        <f t="shared" si="161"/>
        <v>172</v>
      </c>
      <c r="CV98" s="85">
        <f t="shared" si="162"/>
        <v>117</v>
      </c>
      <c r="CW98" s="85">
        <f t="shared" si="163"/>
        <v>102</v>
      </c>
      <c r="CX98" s="85">
        <f t="shared" si="164"/>
        <v>169</v>
      </c>
      <c r="CY98" s="86">
        <f t="shared" si="165"/>
        <v>120</v>
      </c>
      <c r="CZ98" s="87">
        <f t="shared" si="166"/>
        <v>149</v>
      </c>
      <c r="DA98" s="87">
        <f t="shared" si="167"/>
        <v>154</v>
      </c>
      <c r="DB98" s="87">
        <f t="shared" si="168"/>
        <v>115</v>
      </c>
      <c r="DC98" s="87">
        <f t="shared" si="169"/>
        <v>104</v>
      </c>
      <c r="DD98" s="87">
        <f t="shared" si="170"/>
        <v>130</v>
      </c>
      <c r="DE98" s="87">
        <f t="shared" si="171"/>
        <v>144</v>
      </c>
      <c r="DF98" s="87">
        <f t="shared" si="172"/>
        <v>168</v>
      </c>
      <c r="DG98" s="87">
        <f t="shared" si="173"/>
        <v>108</v>
      </c>
      <c r="DH98" s="87">
        <f t="shared" si="174"/>
        <v>114</v>
      </c>
      <c r="DI98" s="87">
        <f t="shared" si="175"/>
        <v>351</v>
      </c>
      <c r="DJ98" s="87">
        <f t="shared" si="176"/>
        <v>240</v>
      </c>
      <c r="DK98" s="86">
        <f t="shared" si="177"/>
        <v>202</v>
      </c>
      <c r="DL98" s="87">
        <f t="shared" si="178"/>
        <v>312</v>
      </c>
      <c r="DM98" s="87">
        <f t="shared" si="179"/>
        <v>336</v>
      </c>
      <c r="DN98" s="87">
        <f t="shared" si="180"/>
        <v>269</v>
      </c>
      <c r="DO98" s="87">
        <f t="shared" si="181"/>
        <v>96</v>
      </c>
      <c r="DP98" s="87">
        <f t="shared" si="182"/>
        <v>24</v>
      </c>
      <c r="DQ98" s="87">
        <f t="shared" si="183"/>
        <v>0</v>
      </c>
      <c r="DR98" s="87">
        <f t="shared" si="97"/>
        <v>0</v>
      </c>
      <c r="DS98" s="87">
        <f t="shared" si="98"/>
        <v>0</v>
      </c>
      <c r="DT98" s="87">
        <f t="shared" si="184"/>
        <v>0</v>
      </c>
      <c r="DU98" s="87">
        <f t="shared" si="185"/>
        <v>12.666666666666666</v>
      </c>
      <c r="DV98" s="87">
        <f t="shared" si="186"/>
        <v>0</v>
      </c>
      <c r="DW98" s="87">
        <f t="shared" si="187"/>
        <v>0</v>
      </c>
    </row>
    <row r="99" spans="1:127">
      <c r="A99" s="22" t="s">
        <v>4</v>
      </c>
      <c r="B99" s="26">
        <v>4902430558075</v>
      </c>
      <c r="C99" s="22" t="s">
        <v>85</v>
      </c>
      <c r="D99" s="22" t="s">
        <v>8</v>
      </c>
      <c r="E99" s="22">
        <v>150576</v>
      </c>
      <c r="F99" s="80" t="s">
        <v>205</v>
      </c>
      <c r="G99" s="25">
        <v>180.5</v>
      </c>
      <c r="H99" s="85">
        <f t="shared" si="128"/>
        <v>14440</v>
      </c>
      <c r="I99" s="85">
        <f t="shared" si="129"/>
        <v>20577</v>
      </c>
      <c r="J99" s="85">
        <f t="shared" si="130"/>
        <v>9205.5</v>
      </c>
      <c r="K99" s="85">
        <f t="shared" si="131"/>
        <v>11552</v>
      </c>
      <c r="L99" s="85">
        <f t="shared" si="132"/>
        <v>15703.5</v>
      </c>
      <c r="M99" s="86">
        <f t="shared" si="133"/>
        <v>12274</v>
      </c>
      <c r="N99" s="87">
        <f t="shared" si="134"/>
        <v>10649.5</v>
      </c>
      <c r="O99" s="87">
        <f t="shared" si="135"/>
        <v>12635</v>
      </c>
      <c r="P99" s="87">
        <f t="shared" si="136"/>
        <v>9927.5</v>
      </c>
      <c r="Q99" s="87">
        <f t="shared" si="137"/>
        <v>6317.5</v>
      </c>
      <c r="R99" s="87">
        <f t="shared" si="138"/>
        <v>13537.5</v>
      </c>
      <c r="S99" s="87">
        <f t="shared" si="139"/>
        <v>15162</v>
      </c>
      <c r="T99" s="87">
        <f t="shared" si="140"/>
        <v>19674.5</v>
      </c>
      <c r="U99" s="87">
        <f t="shared" si="141"/>
        <v>11191</v>
      </c>
      <c r="V99" s="87">
        <f t="shared" si="142"/>
        <v>7220</v>
      </c>
      <c r="W99" s="87">
        <f t="shared" si="143"/>
        <v>40251.5</v>
      </c>
      <c r="X99" s="87">
        <f t="shared" si="144"/>
        <v>26533.5</v>
      </c>
      <c r="Y99" s="86">
        <f t="shared" si="145"/>
        <v>18230.5</v>
      </c>
      <c r="Z99" s="87">
        <f t="shared" si="146"/>
        <v>25450.5</v>
      </c>
      <c r="AA99" s="87">
        <f t="shared" si="147"/>
        <v>35378</v>
      </c>
      <c r="AB99" s="87">
        <f t="shared" si="148"/>
        <v>25089.5</v>
      </c>
      <c r="AC99" s="87">
        <f t="shared" si="149"/>
        <v>15703.5</v>
      </c>
      <c r="AD99" s="87">
        <f t="shared" si="150"/>
        <v>3971</v>
      </c>
      <c r="AE99" s="87">
        <f t="shared" si="151"/>
        <v>0</v>
      </c>
      <c r="AF99" s="87">
        <f t="shared" si="152"/>
        <v>0</v>
      </c>
      <c r="AG99" s="87">
        <f t="shared" si="153"/>
        <v>0</v>
      </c>
      <c r="AH99" s="87">
        <f t="shared" si="154"/>
        <v>0</v>
      </c>
      <c r="AI99" s="87">
        <f t="shared" si="155"/>
        <v>2567.1111111111109</v>
      </c>
      <c r="AJ99" s="87">
        <f t="shared" si="156"/>
        <v>0</v>
      </c>
      <c r="AK99" s="86">
        <f t="shared" si="157"/>
        <v>0</v>
      </c>
      <c r="AL99" s="85">
        <v>69</v>
      </c>
      <c r="AM99" s="85">
        <v>101</v>
      </c>
      <c r="AN99" s="85">
        <v>41</v>
      </c>
      <c r="AO99" s="85">
        <v>54</v>
      </c>
      <c r="AP99" s="85">
        <v>77</v>
      </c>
      <c r="AQ99" s="86">
        <v>56</v>
      </c>
      <c r="AR99" s="87">
        <v>53</v>
      </c>
      <c r="AS99" s="87">
        <v>63</v>
      </c>
      <c r="AT99" s="87">
        <v>49</v>
      </c>
      <c r="AU99" s="87">
        <v>33</v>
      </c>
      <c r="AV99" s="87">
        <v>54</v>
      </c>
      <c r="AW99" s="87">
        <v>83</v>
      </c>
      <c r="AX99" s="87">
        <v>96</v>
      </c>
      <c r="AY99" s="87">
        <v>61</v>
      </c>
      <c r="AZ99" s="87">
        <v>38</v>
      </c>
      <c r="BA99" s="87">
        <v>87</v>
      </c>
      <c r="BB99" s="87">
        <v>123</v>
      </c>
      <c r="BC99" s="86">
        <v>79</v>
      </c>
      <c r="BD99" s="87">
        <v>105</v>
      </c>
      <c r="BE99" s="87">
        <v>113</v>
      </c>
      <c r="BF99" s="87">
        <v>139</v>
      </c>
      <c r="BG99" s="87">
        <v>87</v>
      </c>
      <c r="BH99" s="87">
        <v>22</v>
      </c>
      <c r="BI99" s="87">
        <v>0</v>
      </c>
      <c r="BJ99" s="40">
        <v>0</v>
      </c>
      <c r="BK99" s="40">
        <v>0</v>
      </c>
      <c r="BL99" s="40">
        <v>0</v>
      </c>
      <c r="BM99" s="40">
        <v>1</v>
      </c>
      <c r="BO99" s="86"/>
      <c r="BP99" s="21">
        <v>11</v>
      </c>
      <c r="BQ99" s="21">
        <v>13</v>
      </c>
      <c r="BR99" s="21">
        <v>10</v>
      </c>
      <c r="BS99" s="21">
        <v>10</v>
      </c>
      <c r="BT99" s="21">
        <v>10</v>
      </c>
      <c r="BU99" s="42">
        <v>12</v>
      </c>
      <c r="BV99" s="21">
        <v>6</v>
      </c>
      <c r="BW99" s="21">
        <v>7</v>
      </c>
      <c r="BX99" s="21">
        <v>6</v>
      </c>
      <c r="BY99" s="21">
        <v>2</v>
      </c>
      <c r="BZ99" s="21">
        <v>21</v>
      </c>
      <c r="CA99" s="21">
        <v>1</v>
      </c>
      <c r="CB99" s="21">
        <v>13</v>
      </c>
      <c r="CC99" s="21">
        <v>1</v>
      </c>
      <c r="CD99" s="21">
        <v>2</v>
      </c>
      <c r="CE99" s="21">
        <v>136</v>
      </c>
      <c r="CF99" s="21">
        <v>24</v>
      </c>
      <c r="CG99" s="42">
        <v>22</v>
      </c>
      <c r="CH99" s="21">
        <v>36</v>
      </c>
      <c r="CI99" s="21">
        <v>83</v>
      </c>
      <c r="CJ99" s="21">
        <v>0</v>
      </c>
      <c r="CK99" s="21">
        <v>0</v>
      </c>
      <c r="CL99" s="21">
        <v>0</v>
      </c>
      <c r="CM99" s="21">
        <v>0</v>
      </c>
      <c r="CN99" s="21">
        <v>0</v>
      </c>
      <c r="CO99" s="21">
        <v>0</v>
      </c>
      <c r="CP99" s="21">
        <f t="shared" si="158"/>
        <v>0</v>
      </c>
      <c r="CQ99" s="344">
        <f t="shared" si="159"/>
        <v>13.222222222222221</v>
      </c>
      <c r="CR99" s="87"/>
      <c r="CS99" s="86"/>
      <c r="CT99" s="85">
        <f t="shared" si="160"/>
        <v>80</v>
      </c>
      <c r="CU99" s="85">
        <f t="shared" si="161"/>
        <v>114</v>
      </c>
      <c r="CV99" s="85">
        <f t="shared" si="162"/>
        <v>51</v>
      </c>
      <c r="CW99" s="85">
        <f t="shared" si="163"/>
        <v>64</v>
      </c>
      <c r="CX99" s="85">
        <f t="shared" si="164"/>
        <v>87</v>
      </c>
      <c r="CY99" s="86">
        <f t="shared" si="165"/>
        <v>68</v>
      </c>
      <c r="CZ99" s="87">
        <f t="shared" si="166"/>
        <v>59</v>
      </c>
      <c r="DA99" s="87">
        <f t="shared" si="167"/>
        <v>70</v>
      </c>
      <c r="DB99" s="87">
        <f t="shared" si="168"/>
        <v>55</v>
      </c>
      <c r="DC99" s="87">
        <f t="shared" si="169"/>
        <v>35</v>
      </c>
      <c r="DD99" s="87">
        <f t="shared" si="170"/>
        <v>75</v>
      </c>
      <c r="DE99" s="87">
        <f t="shared" si="171"/>
        <v>84</v>
      </c>
      <c r="DF99" s="87">
        <f t="shared" si="172"/>
        <v>109</v>
      </c>
      <c r="DG99" s="87">
        <f t="shared" si="173"/>
        <v>62</v>
      </c>
      <c r="DH99" s="87">
        <f t="shared" si="174"/>
        <v>40</v>
      </c>
      <c r="DI99" s="87">
        <f t="shared" si="175"/>
        <v>223</v>
      </c>
      <c r="DJ99" s="87">
        <f t="shared" si="176"/>
        <v>147</v>
      </c>
      <c r="DK99" s="86">
        <f t="shared" si="177"/>
        <v>101</v>
      </c>
      <c r="DL99" s="87">
        <f t="shared" si="178"/>
        <v>141</v>
      </c>
      <c r="DM99" s="87">
        <f t="shared" si="179"/>
        <v>196</v>
      </c>
      <c r="DN99" s="87">
        <f t="shared" si="180"/>
        <v>139</v>
      </c>
      <c r="DO99" s="87">
        <f t="shared" si="181"/>
        <v>87</v>
      </c>
      <c r="DP99" s="87">
        <f t="shared" si="182"/>
        <v>22</v>
      </c>
      <c r="DQ99" s="87">
        <f t="shared" si="183"/>
        <v>0</v>
      </c>
      <c r="DR99" s="87">
        <f t="shared" si="97"/>
        <v>0</v>
      </c>
      <c r="DS99" s="87">
        <f t="shared" si="98"/>
        <v>0</v>
      </c>
      <c r="DT99" s="87">
        <f t="shared" si="184"/>
        <v>0</v>
      </c>
      <c r="DU99" s="87">
        <f t="shared" si="185"/>
        <v>14.222222222222221</v>
      </c>
      <c r="DV99" s="87">
        <f t="shared" si="186"/>
        <v>0</v>
      </c>
      <c r="DW99" s="87">
        <f t="shared" si="187"/>
        <v>0</v>
      </c>
    </row>
    <row r="100" spans="1:127">
      <c r="A100" s="22" t="s">
        <v>4</v>
      </c>
      <c r="B100" s="26">
        <v>4902430558105</v>
      </c>
      <c r="C100" s="22" t="s">
        <v>85</v>
      </c>
      <c r="D100" s="22" t="s">
        <v>8</v>
      </c>
      <c r="E100" s="22">
        <v>150741</v>
      </c>
      <c r="F100" s="80" t="s">
        <v>206</v>
      </c>
      <c r="G100" s="25">
        <v>180.5</v>
      </c>
      <c r="H100" s="85">
        <f t="shared" ref="H100:H130" si="188">CT100*$G100</f>
        <v>25811.5</v>
      </c>
      <c r="I100" s="85">
        <f t="shared" ref="I100:I130" si="189">CU100*$G100</f>
        <v>32851</v>
      </c>
      <c r="J100" s="85">
        <f t="shared" ref="J100:J130" si="190">CV100*$G100</f>
        <v>20757.5</v>
      </c>
      <c r="K100" s="85">
        <f t="shared" ref="K100:K130" si="191">CW100*$G100</f>
        <v>21660</v>
      </c>
      <c r="L100" s="85">
        <f t="shared" ref="L100:L130" si="192">CX100*$G100</f>
        <v>26894.5</v>
      </c>
      <c r="M100" s="86">
        <f t="shared" ref="M100:M130" si="193">CY100*$G100</f>
        <v>25631</v>
      </c>
      <c r="N100" s="87">
        <f t="shared" ref="N100:N130" si="194">CZ100*$G100</f>
        <v>20757.5</v>
      </c>
      <c r="O100" s="87">
        <f t="shared" ref="O100:O130" si="195">DA100*$G100</f>
        <v>25450.5</v>
      </c>
      <c r="P100" s="87">
        <f t="shared" ref="P100:P130" si="196">DB100*$G100</f>
        <v>21840.5</v>
      </c>
      <c r="Q100" s="87">
        <f t="shared" ref="Q100:Q130" si="197">DC100*$G100</f>
        <v>29241</v>
      </c>
      <c r="R100" s="87">
        <f t="shared" ref="R100:R130" si="198">DD100*$G100</f>
        <v>18952.5</v>
      </c>
      <c r="S100" s="87">
        <f t="shared" ref="S100:S130" si="199">DE100*$G100</f>
        <v>20938</v>
      </c>
      <c r="T100" s="87">
        <f t="shared" ref="T100:T130" si="200">DF100*$G100</f>
        <v>30324</v>
      </c>
      <c r="U100" s="87">
        <f t="shared" ref="U100:U130" si="201">DG100*$G100</f>
        <v>16967</v>
      </c>
      <c r="V100" s="87">
        <f t="shared" ref="V100:V130" si="202">DH100*$G100</f>
        <v>15342.5</v>
      </c>
      <c r="W100" s="87">
        <f t="shared" ref="W100:W130" si="203">DI100*$G100</f>
        <v>28880</v>
      </c>
      <c r="X100" s="87">
        <f t="shared" ref="X100:X130" si="204">DJ100*$G100</f>
        <v>34114.5</v>
      </c>
      <c r="Y100" s="86">
        <f t="shared" ref="Y100:Y130" si="205">DK100*$G100</f>
        <v>26172.5</v>
      </c>
      <c r="Z100" s="87">
        <f t="shared" ref="Z100:Z130" si="206">DL100*$G100</f>
        <v>39890.5</v>
      </c>
      <c r="AA100" s="87">
        <f t="shared" ref="AA100:AA130" si="207">DM100*$G100</f>
        <v>40071</v>
      </c>
      <c r="AB100" s="87">
        <f t="shared" ref="AB100:AB130" si="208">DN100*$G100</f>
        <v>38266</v>
      </c>
      <c r="AC100" s="87">
        <f t="shared" ref="AC100:AC130" si="209">DO100*$G100</f>
        <v>21299</v>
      </c>
      <c r="AD100" s="87">
        <f t="shared" ref="AD100:AD130" si="210">DP100*$G100</f>
        <v>4512.5</v>
      </c>
      <c r="AE100" s="87">
        <f t="shared" ref="AE100:AE130" si="211">DQ100*$G100</f>
        <v>180.5</v>
      </c>
      <c r="AF100" s="87">
        <f t="shared" ref="AF100:AF130" si="212">DR100*$G100</f>
        <v>0</v>
      </c>
      <c r="AG100" s="87">
        <f t="shared" ref="AG100:AG130" si="213">DS100*$G100</f>
        <v>0</v>
      </c>
      <c r="AH100" s="87">
        <f t="shared" ref="AH100:AH130" si="214">DT100*$G100</f>
        <v>0</v>
      </c>
      <c r="AI100" s="87">
        <f t="shared" ref="AI100:AI130" si="215">DU100*$G100</f>
        <v>581.61111111111109</v>
      </c>
      <c r="AJ100" s="87">
        <f t="shared" ref="AJ100:AJ130" si="216">DV100*$G100</f>
        <v>0</v>
      </c>
      <c r="AK100" s="86">
        <f t="shared" ref="AK100:AK130" si="217">DW100*$G100</f>
        <v>0</v>
      </c>
      <c r="AL100" s="85">
        <v>135</v>
      </c>
      <c r="AM100" s="85">
        <v>168</v>
      </c>
      <c r="AN100" s="85">
        <v>96</v>
      </c>
      <c r="AO100" s="85">
        <v>111</v>
      </c>
      <c r="AP100" s="85">
        <v>135</v>
      </c>
      <c r="AQ100" s="86">
        <v>116</v>
      </c>
      <c r="AR100" s="87">
        <v>108</v>
      </c>
      <c r="AS100" s="87">
        <v>130</v>
      </c>
      <c r="AT100" s="87">
        <v>107</v>
      </c>
      <c r="AU100" s="87">
        <v>152</v>
      </c>
      <c r="AV100" s="87">
        <v>82</v>
      </c>
      <c r="AW100" s="87">
        <v>112</v>
      </c>
      <c r="AX100" s="87">
        <v>148</v>
      </c>
      <c r="AY100" s="87">
        <v>88</v>
      </c>
      <c r="AZ100" s="87">
        <v>77</v>
      </c>
      <c r="BA100" s="87">
        <v>131</v>
      </c>
      <c r="BB100" s="87">
        <v>178</v>
      </c>
      <c r="BC100" s="86">
        <v>126</v>
      </c>
      <c r="BD100" s="87">
        <v>210</v>
      </c>
      <c r="BE100" s="87">
        <v>204</v>
      </c>
      <c r="BF100" s="87">
        <v>212</v>
      </c>
      <c r="BG100" s="87">
        <v>118</v>
      </c>
      <c r="BH100" s="87">
        <v>25</v>
      </c>
      <c r="BI100" s="87">
        <v>1</v>
      </c>
      <c r="BJ100" s="40">
        <v>0</v>
      </c>
      <c r="BK100" s="40">
        <v>0</v>
      </c>
      <c r="BL100" s="40">
        <v>0</v>
      </c>
      <c r="BM100" s="40">
        <v>0</v>
      </c>
      <c r="BO100" s="86"/>
      <c r="BP100" s="21">
        <v>8</v>
      </c>
      <c r="BQ100" s="21">
        <v>14</v>
      </c>
      <c r="BR100" s="21">
        <v>19</v>
      </c>
      <c r="BS100" s="21">
        <v>9</v>
      </c>
      <c r="BT100" s="21">
        <v>14</v>
      </c>
      <c r="BU100" s="42">
        <v>26</v>
      </c>
      <c r="BV100" s="21">
        <v>7</v>
      </c>
      <c r="BW100" s="21">
        <v>11</v>
      </c>
      <c r="BX100" s="21">
        <v>14</v>
      </c>
      <c r="BY100" s="21">
        <v>10</v>
      </c>
      <c r="BZ100" s="21">
        <v>23</v>
      </c>
      <c r="CA100" s="21">
        <v>4</v>
      </c>
      <c r="CB100" s="21">
        <v>20</v>
      </c>
      <c r="CC100" s="21">
        <v>6</v>
      </c>
      <c r="CD100" s="21">
        <v>8</v>
      </c>
      <c r="CE100" s="21">
        <v>29</v>
      </c>
      <c r="CF100" s="21">
        <v>11</v>
      </c>
      <c r="CG100" s="42">
        <v>19</v>
      </c>
      <c r="CH100" s="21">
        <v>11</v>
      </c>
      <c r="CI100" s="21">
        <v>18</v>
      </c>
      <c r="CJ100" s="21">
        <v>0</v>
      </c>
      <c r="CK100" s="21">
        <v>0</v>
      </c>
      <c r="CL100" s="21">
        <v>0</v>
      </c>
      <c r="CM100" s="21">
        <v>0</v>
      </c>
      <c r="CN100" s="21">
        <v>0</v>
      </c>
      <c r="CO100" s="21">
        <v>0</v>
      </c>
      <c r="CP100" s="21">
        <f t="shared" si="158"/>
        <v>0</v>
      </c>
      <c r="CQ100" s="344">
        <f t="shared" si="159"/>
        <v>3.2222222222222223</v>
      </c>
      <c r="CR100" s="87"/>
      <c r="CS100" s="86"/>
      <c r="CT100" s="85">
        <f t="shared" si="160"/>
        <v>143</v>
      </c>
      <c r="CU100" s="85">
        <f t="shared" si="161"/>
        <v>182</v>
      </c>
      <c r="CV100" s="85">
        <f t="shared" si="162"/>
        <v>115</v>
      </c>
      <c r="CW100" s="85">
        <f t="shared" si="163"/>
        <v>120</v>
      </c>
      <c r="CX100" s="85">
        <f t="shared" si="164"/>
        <v>149</v>
      </c>
      <c r="CY100" s="86">
        <f t="shared" si="165"/>
        <v>142</v>
      </c>
      <c r="CZ100" s="87">
        <f t="shared" si="166"/>
        <v>115</v>
      </c>
      <c r="DA100" s="87">
        <f t="shared" si="167"/>
        <v>141</v>
      </c>
      <c r="DB100" s="87">
        <f t="shared" si="168"/>
        <v>121</v>
      </c>
      <c r="DC100" s="87">
        <f t="shared" si="169"/>
        <v>162</v>
      </c>
      <c r="DD100" s="87">
        <f t="shared" si="170"/>
        <v>105</v>
      </c>
      <c r="DE100" s="87">
        <f t="shared" si="171"/>
        <v>116</v>
      </c>
      <c r="DF100" s="87">
        <f t="shared" si="172"/>
        <v>168</v>
      </c>
      <c r="DG100" s="87">
        <f t="shared" si="173"/>
        <v>94</v>
      </c>
      <c r="DH100" s="87">
        <f t="shared" si="174"/>
        <v>85</v>
      </c>
      <c r="DI100" s="87">
        <f t="shared" si="175"/>
        <v>160</v>
      </c>
      <c r="DJ100" s="87">
        <f t="shared" si="176"/>
        <v>189</v>
      </c>
      <c r="DK100" s="86">
        <f t="shared" si="177"/>
        <v>145</v>
      </c>
      <c r="DL100" s="87">
        <f t="shared" si="178"/>
        <v>221</v>
      </c>
      <c r="DM100" s="87">
        <f t="shared" si="179"/>
        <v>222</v>
      </c>
      <c r="DN100" s="87">
        <f t="shared" si="180"/>
        <v>212</v>
      </c>
      <c r="DO100" s="87">
        <f t="shared" si="181"/>
        <v>118</v>
      </c>
      <c r="DP100" s="87">
        <f t="shared" si="182"/>
        <v>25</v>
      </c>
      <c r="DQ100" s="87">
        <f t="shared" si="183"/>
        <v>1</v>
      </c>
      <c r="DR100" s="87">
        <f t="shared" si="97"/>
        <v>0</v>
      </c>
      <c r="DS100" s="87">
        <f t="shared" si="98"/>
        <v>0</v>
      </c>
      <c r="DT100" s="87">
        <f t="shared" si="184"/>
        <v>0</v>
      </c>
      <c r="DU100" s="87">
        <f t="shared" si="185"/>
        <v>3.2222222222222223</v>
      </c>
      <c r="DV100" s="87">
        <f t="shared" si="186"/>
        <v>0</v>
      </c>
      <c r="DW100" s="87">
        <f t="shared" si="187"/>
        <v>0</v>
      </c>
    </row>
    <row r="101" spans="1:127">
      <c r="A101" s="22" t="s">
        <v>4</v>
      </c>
      <c r="B101" s="26">
        <v>4902430558174</v>
      </c>
      <c r="C101" s="22" t="s">
        <v>85</v>
      </c>
      <c r="D101" s="22" t="s">
        <v>8</v>
      </c>
      <c r="E101" s="22">
        <v>150645</v>
      </c>
      <c r="F101" s="80" t="s">
        <v>207</v>
      </c>
      <c r="G101" s="25">
        <v>180.5</v>
      </c>
      <c r="H101" s="85">
        <f t="shared" si="188"/>
        <v>18230.5</v>
      </c>
      <c r="I101" s="85">
        <f t="shared" si="189"/>
        <v>25992</v>
      </c>
      <c r="J101" s="85">
        <f t="shared" si="190"/>
        <v>17869.5</v>
      </c>
      <c r="K101" s="85">
        <f t="shared" si="191"/>
        <v>17869.5</v>
      </c>
      <c r="L101" s="85">
        <f t="shared" si="192"/>
        <v>23284.5</v>
      </c>
      <c r="M101" s="86">
        <f t="shared" si="193"/>
        <v>22562.5</v>
      </c>
      <c r="N101" s="87">
        <f t="shared" si="194"/>
        <v>20216</v>
      </c>
      <c r="O101" s="87">
        <f t="shared" si="195"/>
        <v>24367.5</v>
      </c>
      <c r="P101" s="87">
        <f t="shared" si="196"/>
        <v>21479.5</v>
      </c>
      <c r="Q101" s="87">
        <f t="shared" si="197"/>
        <v>14079</v>
      </c>
      <c r="R101" s="87">
        <f t="shared" si="198"/>
        <v>20757.5</v>
      </c>
      <c r="S101" s="87">
        <f t="shared" si="199"/>
        <v>25811.5</v>
      </c>
      <c r="T101" s="87">
        <f t="shared" si="200"/>
        <v>32490</v>
      </c>
      <c r="U101" s="87">
        <f t="shared" si="201"/>
        <v>16245</v>
      </c>
      <c r="V101" s="87">
        <f t="shared" si="202"/>
        <v>17508.5</v>
      </c>
      <c r="W101" s="87">
        <f t="shared" si="203"/>
        <v>25089.5</v>
      </c>
      <c r="X101" s="87">
        <f t="shared" si="204"/>
        <v>33573</v>
      </c>
      <c r="Y101" s="86">
        <f t="shared" si="205"/>
        <v>29421.5</v>
      </c>
      <c r="Z101" s="87">
        <f t="shared" si="206"/>
        <v>42056.5</v>
      </c>
      <c r="AA101" s="87">
        <f t="shared" si="207"/>
        <v>35017</v>
      </c>
      <c r="AB101" s="87">
        <f t="shared" si="208"/>
        <v>33212</v>
      </c>
      <c r="AC101" s="87">
        <f t="shared" si="209"/>
        <v>13718</v>
      </c>
      <c r="AD101" s="87">
        <f t="shared" si="210"/>
        <v>2707.5</v>
      </c>
      <c r="AE101" s="87">
        <f t="shared" si="211"/>
        <v>0</v>
      </c>
      <c r="AF101" s="87">
        <f t="shared" si="212"/>
        <v>0</v>
      </c>
      <c r="AG101" s="87">
        <f t="shared" si="213"/>
        <v>0</v>
      </c>
      <c r="AH101" s="87">
        <f t="shared" si="214"/>
        <v>0</v>
      </c>
      <c r="AI101" s="87">
        <f t="shared" si="215"/>
        <v>220.61111111111114</v>
      </c>
      <c r="AJ101" s="87">
        <f t="shared" si="216"/>
        <v>0</v>
      </c>
      <c r="AK101" s="86">
        <f t="shared" si="217"/>
        <v>0</v>
      </c>
      <c r="AL101" s="85">
        <v>88</v>
      </c>
      <c r="AM101" s="85">
        <v>123</v>
      </c>
      <c r="AN101" s="85">
        <v>79</v>
      </c>
      <c r="AO101" s="85">
        <v>80</v>
      </c>
      <c r="AP101" s="85">
        <v>117</v>
      </c>
      <c r="AQ101" s="86">
        <v>89</v>
      </c>
      <c r="AR101" s="87">
        <v>90</v>
      </c>
      <c r="AS101" s="87">
        <v>115</v>
      </c>
      <c r="AT101" s="87">
        <v>95</v>
      </c>
      <c r="AU101" s="87">
        <v>70</v>
      </c>
      <c r="AV101" s="87">
        <v>100</v>
      </c>
      <c r="AW101" s="87">
        <v>134</v>
      </c>
      <c r="AX101" s="87">
        <v>161</v>
      </c>
      <c r="AY101" s="87">
        <v>85</v>
      </c>
      <c r="AZ101" s="87">
        <v>83</v>
      </c>
      <c r="BA101" s="87">
        <v>113</v>
      </c>
      <c r="BB101" s="87">
        <v>176</v>
      </c>
      <c r="BC101" s="86">
        <v>132</v>
      </c>
      <c r="BD101" s="87">
        <v>222</v>
      </c>
      <c r="BE101" s="87">
        <v>194</v>
      </c>
      <c r="BF101" s="87">
        <v>184</v>
      </c>
      <c r="BG101" s="87">
        <v>76</v>
      </c>
      <c r="BH101" s="87">
        <v>15</v>
      </c>
      <c r="BI101" s="87">
        <v>0</v>
      </c>
      <c r="BJ101" s="40">
        <v>0</v>
      </c>
      <c r="BK101" s="40">
        <v>0</v>
      </c>
      <c r="BL101" s="40">
        <v>0</v>
      </c>
      <c r="BM101" s="40">
        <v>0</v>
      </c>
      <c r="BO101" s="86"/>
      <c r="BP101" s="21">
        <v>13</v>
      </c>
      <c r="BQ101" s="21">
        <v>21</v>
      </c>
      <c r="BR101" s="21">
        <v>20</v>
      </c>
      <c r="BS101" s="21">
        <v>19</v>
      </c>
      <c r="BT101" s="21">
        <v>12</v>
      </c>
      <c r="BU101" s="42">
        <v>36</v>
      </c>
      <c r="BV101" s="21">
        <v>22</v>
      </c>
      <c r="BW101" s="21">
        <v>20</v>
      </c>
      <c r="BX101" s="21">
        <v>24</v>
      </c>
      <c r="BY101" s="21">
        <v>8</v>
      </c>
      <c r="BZ101" s="21">
        <v>15</v>
      </c>
      <c r="CA101" s="21">
        <v>9</v>
      </c>
      <c r="CB101" s="21">
        <v>19</v>
      </c>
      <c r="CC101" s="21">
        <v>5</v>
      </c>
      <c r="CD101" s="21">
        <v>14</v>
      </c>
      <c r="CE101" s="21">
        <v>26</v>
      </c>
      <c r="CF101" s="21">
        <v>10</v>
      </c>
      <c r="CG101" s="42">
        <v>31</v>
      </c>
      <c r="CH101" s="21">
        <v>11</v>
      </c>
      <c r="CI101" s="21">
        <v>0</v>
      </c>
      <c r="CJ101" s="21">
        <v>0</v>
      </c>
      <c r="CK101" s="21">
        <v>0</v>
      </c>
      <c r="CL101" s="21">
        <v>0</v>
      </c>
      <c r="CM101" s="21">
        <v>0</v>
      </c>
      <c r="CN101" s="21">
        <v>0</v>
      </c>
      <c r="CO101" s="21">
        <v>0</v>
      </c>
      <c r="CP101" s="21">
        <f t="shared" si="158"/>
        <v>0</v>
      </c>
      <c r="CQ101" s="344">
        <f t="shared" si="159"/>
        <v>1.2222222222222223</v>
      </c>
      <c r="CR101" s="87"/>
      <c r="CS101" s="86"/>
      <c r="CT101" s="85">
        <f t="shared" si="160"/>
        <v>101</v>
      </c>
      <c r="CU101" s="85">
        <f t="shared" si="161"/>
        <v>144</v>
      </c>
      <c r="CV101" s="85">
        <f t="shared" si="162"/>
        <v>99</v>
      </c>
      <c r="CW101" s="85">
        <f t="shared" si="163"/>
        <v>99</v>
      </c>
      <c r="CX101" s="85">
        <f t="shared" si="164"/>
        <v>129</v>
      </c>
      <c r="CY101" s="86">
        <f t="shared" si="165"/>
        <v>125</v>
      </c>
      <c r="CZ101" s="87">
        <f t="shared" si="166"/>
        <v>112</v>
      </c>
      <c r="DA101" s="87">
        <f t="shared" si="167"/>
        <v>135</v>
      </c>
      <c r="DB101" s="87">
        <f t="shared" si="168"/>
        <v>119</v>
      </c>
      <c r="DC101" s="87">
        <f t="shared" si="169"/>
        <v>78</v>
      </c>
      <c r="DD101" s="87">
        <f t="shared" si="170"/>
        <v>115</v>
      </c>
      <c r="DE101" s="87">
        <f t="shared" si="171"/>
        <v>143</v>
      </c>
      <c r="DF101" s="87">
        <f t="shared" si="172"/>
        <v>180</v>
      </c>
      <c r="DG101" s="87">
        <f t="shared" si="173"/>
        <v>90</v>
      </c>
      <c r="DH101" s="87">
        <f t="shared" si="174"/>
        <v>97</v>
      </c>
      <c r="DI101" s="87">
        <f t="shared" si="175"/>
        <v>139</v>
      </c>
      <c r="DJ101" s="87">
        <f t="shared" si="176"/>
        <v>186</v>
      </c>
      <c r="DK101" s="86">
        <f t="shared" si="177"/>
        <v>163</v>
      </c>
      <c r="DL101" s="87">
        <f t="shared" si="178"/>
        <v>233</v>
      </c>
      <c r="DM101" s="87">
        <f t="shared" si="179"/>
        <v>194</v>
      </c>
      <c r="DN101" s="87">
        <f t="shared" si="180"/>
        <v>184</v>
      </c>
      <c r="DO101" s="87">
        <f t="shared" si="181"/>
        <v>76</v>
      </c>
      <c r="DP101" s="87">
        <f t="shared" si="182"/>
        <v>15</v>
      </c>
      <c r="DQ101" s="87">
        <f t="shared" si="183"/>
        <v>0</v>
      </c>
      <c r="DR101" s="87">
        <f t="shared" si="97"/>
        <v>0</v>
      </c>
      <c r="DS101" s="87">
        <f t="shared" si="98"/>
        <v>0</v>
      </c>
      <c r="DT101" s="87">
        <f t="shared" si="184"/>
        <v>0</v>
      </c>
      <c r="DU101" s="87">
        <f t="shared" si="185"/>
        <v>1.2222222222222223</v>
      </c>
      <c r="DV101" s="87">
        <f t="shared" si="186"/>
        <v>0</v>
      </c>
      <c r="DW101" s="87">
        <f t="shared" si="187"/>
        <v>0</v>
      </c>
    </row>
    <row r="102" spans="1:127">
      <c r="A102" s="22" t="s">
        <v>4</v>
      </c>
      <c r="B102" s="26">
        <v>4987176106346</v>
      </c>
      <c r="C102" s="22" t="s">
        <v>85</v>
      </c>
      <c r="D102" s="22" t="s">
        <v>8</v>
      </c>
      <c r="E102" s="22">
        <v>150509</v>
      </c>
      <c r="F102" s="80" t="s">
        <v>208</v>
      </c>
      <c r="G102" s="25">
        <v>180.5</v>
      </c>
      <c r="H102" s="85">
        <f t="shared" si="188"/>
        <v>6678.5</v>
      </c>
      <c r="I102" s="85">
        <f t="shared" si="189"/>
        <v>10108</v>
      </c>
      <c r="J102" s="85">
        <f t="shared" si="190"/>
        <v>5595.5</v>
      </c>
      <c r="K102" s="85">
        <f t="shared" si="191"/>
        <v>6498</v>
      </c>
      <c r="L102" s="85">
        <f t="shared" si="192"/>
        <v>11191</v>
      </c>
      <c r="M102" s="86">
        <f t="shared" si="193"/>
        <v>7761.5</v>
      </c>
      <c r="N102" s="87">
        <f t="shared" si="194"/>
        <v>5776</v>
      </c>
      <c r="O102" s="87">
        <f t="shared" si="195"/>
        <v>6137</v>
      </c>
      <c r="P102" s="87">
        <f t="shared" si="196"/>
        <v>6678.5</v>
      </c>
      <c r="Q102" s="87">
        <f t="shared" si="197"/>
        <v>3429.5</v>
      </c>
      <c r="R102" s="87">
        <f t="shared" si="198"/>
        <v>5956.5</v>
      </c>
      <c r="S102" s="87">
        <f t="shared" si="199"/>
        <v>6317.5</v>
      </c>
      <c r="T102" s="87">
        <f t="shared" si="200"/>
        <v>7761.5</v>
      </c>
      <c r="U102" s="87">
        <f t="shared" si="201"/>
        <v>6498</v>
      </c>
      <c r="V102" s="87">
        <f t="shared" si="202"/>
        <v>3790.5</v>
      </c>
      <c r="W102" s="87">
        <f t="shared" si="203"/>
        <v>6137</v>
      </c>
      <c r="X102" s="87">
        <f t="shared" si="204"/>
        <v>10108</v>
      </c>
      <c r="Y102" s="86">
        <f t="shared" si="205"/>
        <v>10830</v>
      </c>
      <c r="Z102" s="87">
        <f t="shared" si="206"/>
        <v>10469</v>
      </c>
      <c r="AA102" s="87">
        <f t="shared" si="207"/>
        <v>13537.5</v>
      </c>
      <c r="AB102" s="87">
        <f t="shared" si="208"/>
        <v>17869.5</v>
      </c>
      <c r="AC102" s="87">
        <f t="shared" si="209"/>
        <v>6859</v>
      </c>
      <c r="AD102" s="87">
        <f t="shared" si="210"/>
        <v>0</v>
      </c>
      <c r="AE102" s="87">
        <f t="shared" si="211"/>
        <v>0</v>
      </c>
      <c r="AF102" s="87">
        <f t="shared" si="212"/>
        <v>0</v>
      </c>
      <c r="AG102" s="87">
        <f t="shared" si="213"/>
        <v>180.5</v>
      </c>
      <c r="AH102" s="87">
        <f t="shared" si="214"/>
        <v>0</v>
      </c>
      <c r="AI102" s="87">
        <f t="shared" si="215"/>
        <v>220.61111111111114</v>
      </c>
      <c r="AJ102" s="87">
        <f t="shared" si="216"/>
        <v>0</v>
      </c>
      <c r="AK102" s="86">
        <f t="shared" si="217"/>
        <v>0</v>
      </c>
      <c r="AL102" s="85">
        <v>33</v>
      </c>
      <c r="AM102" s="85">
        <v>52</v>
      </c>
      <c r="AN102" s="85">
        <v>29</v>
      </c>
      <c r="AO102" s="85">
        <v>28</v>
      </c>
      <c r="AP102" s="85">
        <v>51</v>
      </c>
      <c r="AQ102" s="86">
        <v>37</v>
      </c>
      <c r="AR102" s="87">
        <v>30</v>
      </c>
      <c r="AS102" s="87">
        <v>30</v>
      </c>
      <c r="AT102" s="87">
        <v>32</v>
      </c>
      <c r="AU102" s="87">
        <v>18</v>
      </c>
      <c r="AV102" s="87">
        <v>26</v>
      </c>
      <c r="AW102" s="87">
        <v>35</v>
      </c>
      <c r="AX102" s="87">
        <v>41</v>
      </c>
      <c r="AY102" s="87">
        <v>31</v>
      </c>
      <c r="AZ102" s="87">
        <v>20</v>
      </c>
      <c r="BA102" s="87">
        <v>29</v>
      </c>
      <c r="BB102" s="87">
        <v>51</v>
      </c>
      <c r="BC102" s="86">
        <v>47</v>
      </c>
      <c r="BD102" s="87">
        <v>54</v>
      </c>
      <c r="BE102" s="87">
        <v>68</v>
      </c>
      <c r="BF102" s="87">
        <v>99</v>
      </c>
      <c r="BG102" s="87">
        <v>38</v>
      </c>
      <c r="BH102" s="87">
        <v>0</v>
      </c>
      <c r="BI102" s="87">
        <v>0</v>
      </c>
      <c r="BJ102" s="40">
        <v>0</v>
      </c>
      <c r="BK102" s="40">
        <v>1</v>
      </c>
      <c r="BL102" s="40">
        <v>0</v>
      </c>
      <c r="BM102" s="40">
        <v>0</v>
      </c>
      <c r="BO102" s="86"/>
      <c r="BP102" s="21">
        <v>4</v>
      </c>
      <c r="BQ102" s="21">
        <v>4</v>
      </c>
      <c r="BR102" s="21">
        <v>2</v>
      </c>
      <c r="BS102" s="21">
        <v>8</v>
      </c>
      <c r="BT102" s="21">
        <v>11</v>
      </c>
      <c r="BU102" s="42">
        <v>6</v>
      </c>
      <c r="BV102" s="21">
        <v>2</v>
      </c>
      <c r="BW102" s="21">
        <v>4</v>
      </c>
      <c r="BX102" s="21">
        <v>5</v>
      </c>
      <c r="BY102" s="21">
        <v>1</v>
      </c>
      <c r="BZ102" s="21">
        <v>7</v>
      </c>
      <c r="CA102" s="21">
        <v>0</v>
      </c>
      <c r="CB102" s="21">
        <v>2</v>
      </c>
      <c r="CC102" s="21">
        <v>5</v>
      </c>
      <c r="CD102" s="21">
        <v>1</v>
      </c>
      <c r="CE102" s="21">
        <v>5</v>
      </c>
      <c r="CF102" s="21">
        <v>5</v>
      </c>
      <c r="CG102" s="42">
        <v>13</v>
      </c>
      <c r="CH102" s="21">
        <v>4</v>
      </c>
      <c r="CI102" s="21">
        <v>7</v>
      </c>
      <c r="CJ102" s="21">
        <v>0</v>
      </c>
      <c r="CK102" s="21">
        <v>0</v>
      </c>
      <c r="CL102" s="21">
        <v>0</v>
      </c>
      <c r="CM102" s="21">
        <v>0</v>
      </c>
      <c r="CN102" s="21">
        <v>0</v>
      </c>
      <c r="CO102" s="21">
        <v>0</v>
      </c>
      <c r="CP102" s="21">
        <f t="shared" si="158"/>
        <v>0</v>
      </c>
      <c r="CQ102" s="344">
        <f t="shared" si="159"/>
        <v>1.2222222222222223</v>
      </c>
      <c r="CR102" s="87"/>
      <c r="CS102" s="86"/>
      <c r="CT102" s="85">
        <f t="shared" si="160"/>
        <v>37</v>
      </c>
      <c r="CU102" s="85">
        <f t="shared" si="161"/>
        <v>56</v>
      </c>
      <c r="CV102" s="85">
        <f t="shared" si="162"/>
        <v>31</v>
      </c>
      <c r="CW102" s="85">
        <f t="shared" si="163"/>
        <v>36</v>
      </c>
      <c r="CX102" s="85">
        <f t="shared" si="164"/>
        <v>62</v>
      </c>
      <c r="CY102" s="86">
        <f t="shared" si="165"/>
        <v>43</v>
      </c>
      <c r="CZ102" s="87">
        <f t="shared" si="166"/>
        <v>32</v>
      </c>
      <c r="DA102" s="87">
        <f t="shared" si="167"/>
        <v>34</v>
      </c>
      <c r="DB102" s="87">
        <f t="shared" si="168"/>
        <v>37</v>
      </c>
      <c r="DC102" s="87">
        <f t="shared" si="169"/>
        <v>19</v>
      </c>
      <c r="DD102" s="87">
        <f t="shared" si="170"/>
        <v>33</v>
      </c>
      <c r="DE102" s="87">
        <f t="shared" si="171"/>
        <v>35</v>
      </c>
      <c r="DF102" s="87">
        <f t="shared" si="172"/>
        <v>43</v>
      </c>
      <c r="DG102" s="87">
        <f t="shared" si="173"/>
        <v>36</v>
      </c>
      <c r="DH102" s="87">
        <f t="shared" si="174"/>
        <v>21</v>
      </c>
      <c r="DI102" s="87">
        <f t="shared" si="175"/>
        <v>34</v>
      </c>
      <c r="DJ102" s="87">
        <f t="shared" si="176"/>
        <v>56</v>
      </c>
      <c r="DK102" s="86">
        <f t="shared" si="177"/>
        <v>60</v>
      </c>
      <c r="DL102" s="87">
        <f t="shared" si="178"/>
        <v>58</v>
      </c>
      <c r="DM102" s="87">
        <f t="shared" si="179"/>
        <v>75</v>
      </c>
      <c r="DN102" s="87">
        <f t="shared" si="180"/>
        <v>99</v>
      </c>
      <c r="DO102" s="87">
        <f t="shared" si="181"/>
        <v>38</v>
      </c>
      <c r="DP102" s="87">
        <f t="shared" si="182"/>
        <v>0</v>
      </c>
      <c r="DQ102" s="87">
        <f t="shared" si="183"/>
        <v>0</v>
      </c>
      <c r="DR102" s="87">
        <f t="shared" si="97"/>
        <v>0</v>
      </c>
      <c r="DS102" s="87">
        <f t="shared" si="98"/>
        <v>1</v>
      </c>
      <c r="DT102" s="87">
        <f t="shared" si="184"/>
        <v>0</v>
      </c>
      <c r="DU102" s="87">
        <f t="shared" si="185"/>
        <v>1.2222222222222223</v>
      </c>
      <c r="DV102" s="87">
        <f t="shared" si="186"/>
        <v>0</v>
      </c>
      <c r="DW102" s="87">
        <f t="shared" si="187"/>
        <v>0</v>
      </c>
    </row>
    <row r="103" spans="1:127">
      <c r="A103" s="22" t="s">
        <v>4</v>
      </c>
      <c r="B103" s="26">
        <v>4987176106353</v>
      </c>
      <c r="C103" s="22" t="s">
        <v>85</v>
      </c>
      <c r="D103" s="22" t="s">
        <v>8</v>
      </c>
      <c r="E103" s="22">
        <v>150574</v>
      </c>
      <c r="F103" s="80" t="s">
        <v>209</v>
      </c>
      <c r="G103" s="25">
        <v>180.5</v>
      </c>
      <c r="H103" s="85">
        <f t="shared" si="188"/>
        <v>5956.5</v>
      </c>
      <c r="I103" s="85">
        <f t="shared" si="189"/>
        <v>7039.5</v>
      </c>
      <c r="J103" s="85">
        <f t="shared" si="190"/>
        <v>6317.5</v>
      </c>
      <c r="K103" s="85">
        <f t="shared" si="191"/>
        <v>4151.5</v>
      </c>
      <c r="L103" s="85">
        <f t="shared" si="192"/>
        <v>9566.5</v>
      </c>
      <c r="M103" s="86">
        <f t="shared" si="193"/>
        <v>6498</v>
      </c>
      <c r="N103" s="87">
        <f t="shared" si="194"/>
        <v>6678.5</v>
      </c>
      <c r="O103" s="87">
        <f t="shared" si="195"/>
        <v>6137</v>
      </c>
      <c r="P103" s="87">
        <f t="shared" si="196"/>
        <v>6859</v>
      </c>
      <c r="Q103" s="87">
        <f t="shared" si="197"/>
        <v>2888</v>
      </c>
      <c r="R103" s="87">
        <f t="shared" si="198"/>
        <v>5234.5</v>
      </c>
      <c r="S103" s="87">
        <f t="shared" si="199"/>
        <v>5595.5</v>
      </c>
      <c r="T103" s="87">
        <f t="shared" si="200"/>
        <v>7942</v>
      </c>
      <c r="U103" s="87">
        <f t="shared" si="201"/>
        <v>4873.5</v>
      </c>
      <c r="V103" s="87">
        <f t="shared" si="202"/>
        <v>3249</v>
      </c>
      <c r="W103" s="87">
        <f t="shared" si="203"/>
        <v>6498</v>
      </c>
      <c r="X103" s="87">
        <f t="shared" si="204"/>
        <v>13898.5</v>
      </c>
      <c r="Y103" s="86">
        <f t="shared" si="205"/>
        <v>10649.5</v>
      </c>
      <c r="Z103" s="87">
        <f t="shared" si="206"/>
        <v>11552</v>
      </c>
      <c r="AA103" s="87">
        <f t="shared" si="207"/>
        <v>13357</v>
      </c>
      <c r="AB103" s="87">
        <f t="shared" si="208"/>
        <v>22743</v>
      </c>
      <c r="AC103" s="87">
        <f t="shared" si="209"/>
        <v>7761.5</v>
      </c>
      <c r="AD103" s="87">
        <f t="shared" si="210"/>
        <v>361</v>
      </c>
      <c r="AE103" s="87">
        <f t="shared" si="211"/>
        <v>180.5</v>
      </c>
      <c r="AF103" s="87">
        <f t="shared" si="212"/>
        <v>180.5</v>
      </c>
      <c r="AG103" s="87">
        <f t="shared" si="213"/>
        <v>0</v>
      </c>
      <c r="AH103" s="87">
        <f t="shared" si="214"/>
        <v>0</v>
      </c>
      <c r="AI103" s="87">
        <f t="shared" si="215"/>
        <v>140.38888888888889</v>
      </c>
      <c r="AJ103" s="87">
        <f t="shared" si="216"/>
        <v>0</v>
      </c>
      <c r="AK103" s="86">
        <f t="shared" si="217"/>
        <v>0</v>
      </c>
      <c r="AL103" s="85">
        <v>23</v>
      </c>
      <c r="AM103" s="85">
        <v>36</v>
      </c>
      <c r="AN103" s="85">
        <v>28</v>
      </c>
      <c r="AO103" s="85">
        <v>15</v>
      </c>
      <c r="AP103" s="85">
        <v>37</v>
      </c>
      <c r="AQ103" s="86">
        <v>33</v>
      </c>
      <c r="AR103" s="87">
        <v>30</v>
      </c>
      <c r="AS103" s="87">
        <v>29</v>
      </c>
      <c r="AT103" s="87">
        <v>33</v>
      </c>
      <c r="AU103" s="87">
        <v>16</v>
      </c>
      <c r="AV103" s="87">
        <v>24</v>
      </c>
      <c r="AW103" s="87">
        <v>29</v>
      </c>
      <c r="AX103" s="87">
        <v>40</v>
      </c>
      <c r="AY103" s="87">
        <v>23</v>
      </c>
      <c r="AZ103" s="87">
        <v>16</v>
      </c>
      <c r="BA103" s="87">
        <v>32</v>
      </c>
      <c r="BB103" s="87">
        <v>68</v>
      </c>
      <c r="BC103" s="86">
        <v>44</v>
      </c>
      <c r="BD103" s="87">
        <v>59</v>
      </c>
      <c r="BE103" s="87">
        <v>72</v>
      </c>
      <c r="BF103" s="87">
        <v>126</v>
      </c>
      <c r="BG103" s="87">
        <v>43</v>
      </c>
      <c r="BH103" s="87">
        <v>2</v>
      </c>
      <c r="BI103" s="87">
        <v>1</v>
      </c>
      <c r="BJ103" s="40">
        <v>1</v>
      </c>
      <c r="BK103" s="40">
        <v>0</v>
      </c>
      <c r="BL103" s="40">
        <v>0</v>
      </c>
      <c r="BM103" s="40">
        <v>0</v>
      </c>
      <c r="BO103" s="86"/>
      <c r="BP103" s="21">
        <v>10</v>
      </c>
      <c r="BQ103" s="21">
        <v>3</v>
      </c>
      <c r="BR103" s="21">
        <v>7</v>
      </c>
      <c r="BS103" s="21">
        <v>8</v>
      </c>
      <c r="BT103" s="21">
        <v>16</v>
      </c>
      <c r="BU103" s="42">
        <v>3</v>
      </c>
      <c r="BV103" s="21">
        <v>7</v>
      </c>
      <c r="BW103" s="21">
        <v>5</v>
      </c>
      <c r="BX103" s="21">
        <v>5</v>
      </c>
      <c r="BY103" s="21">
        <v>0</v>
      </c>
      <c r="BZ103" s="21">
        <v>5</v>
      </c>
      <c r="CA103" s="21">
        <v>2</v>
      </c>
      <c r="CB103" s="21">
        <v>4</v>
      </c>
      <c r="CC103" s="21">
        <v>4</v>
      </c>
      <c r="CD103" s="21">
        <v>2</v>
      </c>
      <c r="CE103" s="21">
        <v>4</v>
      </c>
      <c r="CF103" s="21">
        <v>9</v>
      </c>
      <c r="CG103" s="42">
        <v>15</v>
      </c>
      <c r="CH103" s="21">
        <v>5</v>
      </c>
      <c r="CI103" s="21">
        <v>2</v>
      </c>
      <c r="CJ103" s="21">
        <v>0</v>
      </c>
      <c r="CK103" s="21">
        <v>0</v>
      </c>
      <c r="CL103" s="21">
        <v>0</v>
      </c>
      <c r="CM103" s="21">
        <v>0</v>
      </c>
      <c r="CN103" s="21">
        <v>0</v>
      </c>
      <c r="CO103" s="21">
        <v>0</v>
      </c>
      <c r="CP103" s="21">
        <f t="shared" si="158"/>
        <v>0</v>
      </c>
      <c r="CQ103" s="344">
        <f t="shared" si="159"/>
        <v>0.77777777777777779</v>
      </c>
      <c r="CR103" s="87"/>
      <c r="CS103" s="86"/>
      <c r="CT103" s="85">
        <f t="shared" si="160"/>
        <v>33</v>
      </c>
      <c r="CU103" s="85">
        <f t="shared" si="161"/>
        <v>39</v>
      </c>
      <c r="CV103" s="85">
        <f t="shared" si="162"/>
        <v>35</v>
      </c>
      <c r="CW103" s="85">
        <f t="shared" si="163"/>
        <v>23</v>
      </c>
      <c r="CX103" s="85">
        <f t="shared" si="164"/>
        <v>53</v>
      </c>
      <c r="CY103" s="86">
        <f t="shared" si="165"/>
        <v>36</v>
      </c>
      <c r="CZ103" s="87">
        <f t="shared" si="166"/>
        <v>37</v>
      </c>
      <c r="DA103" s="87">
        <f t="shared" si="167"/>
        <v>34</v>
      </c>
      <c r="DB103" s="87">
        <f t="shared" si="168"/>
        <v>38</v>
      </c>
      <c r="DC103" s="87">
        <f t="shared" si="169"/>
        <v>16</v>
      </c>
      <c r="DD103" s="87">
        <f t="shared" si="170"/>
        <v>29</v>
      </c>
      <c r="DE103" s="87">
        <f t="shared" si="171"/>
        <v>31</v>
      </c>
      <c r="DF103" s="87">
        <f t="shared" si="172"/>
        <v>44</v>
      </c>
      <c r="DG103" s="87">
        <f t="shared" si="173"/>
        <v>27</v>
      </c>
      <c r="DH103" s="87">
        <f t="shared" si="174"/>
        <v>18</v>
      </c>
      <c r="DI103" s="87">
        <f t="shared" si="175"/>
        <v>36</v>
      </c>
      <c r="DJ103" s="87">
        <f t="shared" si="176"/>
        <v>77</v>
      </c>
      <c r="DK103" s="86">
        <f t="shared" si="177"/>
        <v>59</v>
      </c>
      <c r="DL103" s="87">
        <f t="shared" si="178"/>
        <v>64</v>
      </c>
      <c r="DM103" s="87">
        <f t="shared" si="179"/>
        <v>74</v>
      </c>
      <c r="DN103" s="87">
        <f t="shared" si="180"/>
        <v>126</v>
      </c>
      <c r="DO103" s="87">
        <f t="shared" si="181"/>
        <v>43</v>
      </c>
      <c r="DP103" s="87">
        <f t="shared" si="182"/>
        <v>2</v>
      </c>
      <c r="DQ103" s="87">
        <f t="shared" si="183"/>
        <v>1</v>
      </c>
      <c r="DR103" s="87">
        <f t="shared" ref="DR103:DR166" si="218">BJ103+CN103</f>
        <v>1</v>
      </c>
      <c r="DS103" s="87">
        <f t="shared" si="98"/>
        <v>0</v>
      </c>
      <c r="DT103" s="87">
        <f t="shared" si="184"/>
        <v>0</v>
      </c>
      <c r="DU103" s="87">
        <f t="shared" si="185"/>
        <v>0.77777777777777779</v>
      </c>
      <c r="DV103" s="87">
        <f t="shared" si="186"/>
        <v>0</v>
      </c>
      <c r="DW103" s="87">
        <f t="shared" si="187"/>
        <v>0</v>
      </c>
    </row>
    <row r="104" spans="1:127">
      <c r="A104" s="22" t="s">
        <v>4</v>
      </c>
      <c r="B104" s="26">
        <v>4902430558082</v>
      </c>
      <c r="C104" s="22" t="s">
        <v>85</v>
      </c>
      <c r="D104" s="22" t="s">
        <v>8</v>
      </c>
      <c r="E104" s="22">
        <v>187011</v>
      </c>
      <c r="F104" s="80" t="s">
        <v>210</v>
      </c>
      <c r="G104" s="25">
        <v>180.5</v>
      </c>
      <c r="H104" s="85">
        <f t="shared" si="188"/>
        <v>58662.5</v>
      </c>
      <c r="I104" s="85">
        <f t="shared" si="189"/>
        <v>82488.5</v>
      </c>
      <c r="J104" s="85">
        <f t="shared" si="190"/>
        <v>54330.5</v>
      </c>
      <c r="K104" s="85">
        <f t="shared" si="191"/>
        <v>65341</v>
      </c>
      <c r="L104" s="85">
        <f t="shared" si="192"/>
        <v>79239.5</v>
      </c>
      <c r="M104" s="86">
        <f t="shared" si="193"/>
        <v>57760</v>
      </c>
      <c r="N104" s="87">
        <f t="shared" si="194"/>
        <v>52164.5</v>
      </c>
      <c r="O104" s="87">
        <f t="shared" si="195"/>
        <v>74366</v>
      </c>
      <c r="P104" s="87">
        <f t="shared" si="196"/>
        <v>63355.5</v>
      </c>
      <c r="Q104" s="87">
        <f t="shared" si="197"/>
        <v>79961.5</v>
      </c>
      <c r="R104" s="87">
        <f t="shared" si="198"/>
        <v>78698</v>
      </c>
      <c r="S104" s="87">
        <f t="shared" si="199"/>
        <v>65702</v>
      </c>
      <c r="T104" s="87">
        <f t="shared" si="200"/>
        <v>76171</v>
      </c>
      <c r="U104" s="87">
        <f t="shared" si="201"/>
        <v>71297.5</v>
      </c>
      <c r="V104" s="87">
        <f t="shared" si="202"/>
        <v>62092</v>
      </c>
      <c r="W104" s="87">
        <f t="shared" si="203"/>
        <v>83210.5</v>
      </c>
      <c r="X104" s="87">
        <f t="shared" si="204"/>
        <v>94582</v>
      </c>
      <c r="Y104" s="86">
        <f t="shared" si="205"/>
        <v>74546.5</v>
      </c>
      <c r="Z104" s="87">
        <f t="shared" si="206"/>
        <v>96026</v>
      </c>
      <c r="AA104" s="87">
        <f t="shared" si="207"/>
        <v>93679.5</v>
      </c>
      <c r="AB104" s="87">
        <f t="shared" si="208"/>
        <v>64799.5</v>
      </c>
      <c r="AC104" s="87">
        <f t="shared" si="209"/>
        <v>27797</v>
      </c>
      <c r="AD104" s="87">
        <f t="shared" si="210"/>
        <v>4512.5</v>
      </c>
      <c r="AE104" s="87">
        <f t="shared" si="211"/>
        <v>0</v>
      </c>
      <c r="AF104" s="87">
        <f t="shared" si="212"/>
        <v>180.5</v>
      </c>
      <c r="AG104" s="87">
        <f t="shared" si="213"/>
        <v>180.5</v>
      </c>
      <c r="AH104" s="87">
        <f t="shared" si="214"/>
        <v>180.5</v>
      </c>
      <c r="AI104" s="87">
        <f t="shared" si="215"/>
        <v>1223.3888888888889</v>
      </c>
      <c r="AJ104" s="87">
        <f t="shared" si="216"/>
        <v>0</v>
      </c>
      <c r="AK104" s="86">
        <f t="shared" si="217"/>
        <v>0</v>
      </c>
      <c r="AL104" s="85">
        <v>303</v>
      </c>
      <c r="AM104" s="85">
        <v>433</v>
      </c>
      <c r="AN104" s="85">
        <v>265</v>
      </c>
      <c r="AO104" s="85">
        <v>336</v>
      </c>
      <c r="AP104" s="85">
        <v>415</v>
      </c>
      <c r="AQ104" s="86">
        <v>288</v>
      </c>
      <c r="AR104" s="87">
        <v>279</v>
      </c>
      <c r="AS104" s="87">
        <v>394</v>
      </c>
      <c r="AT104" s="87">
        <v>330</v>
      </c>
      <c r="AU104" s="87">
        <v>421</v>
      </c>
      <c r="AV104" s="87">
        <v>413</v>
      </c>
      <c r="AW104" s="87">
        <v>354</v>
      </c>
      <c r="AX104" s="87">
        <v>397</v>
      </c>
      <c r="AY104" s="87">
        <v>367</v>
      </c>
      <c r="AZ104" s="87">
        <v>332</v>
      </c>
      <c r="BA104" s="87">
        <v>378</v>
      </c>
      <c r="BB104" s="87">
        <v>501</v>
      </c>
      <c r="BC104" s="86">
        <v>375</v>
      </c>
      <c r="BD104" s="87">
        <v>503</v>
      </c>
      <c r="BE104" s="87">
        <v>487</v>
      </c>
      <c r="BF104" s="87">
        <v>359</v>
      </c>
      <c r="BG104" s="87">
        <v>154</v>
      </c>
      <c r="BH104" s="87">
        <v>25</v>
      </c>
      <c r="BI104" s="87">
        <v>0</v>
      </c>
      <c r="BJ104" s="40">
        <v>1</v>
      </c>
      <c r="BK104" s="40">
        <v>1</v>
      </c>
      <c r="BL104" s="40">
        <v>1</v>
      </c>
      <c r="BM104" s="40">
        <v>0</v>
      </c>
      <c r="BO104" s="86"/>
      <c r="BP104" s="21">
        <v>22</v>
      </c>
      <c r="BQ104" s="21">
        <v>24</v>
      </c>
      <c r="BR104" s="21">
        <v>36</v>
      </c>
      <c r="BS104" s="21">
        <v>26</v>
      </c>
      <c r="BT104" s="21">
        <v>24</v>
      </c>
      <c r="BU104" s="42">
        <v>32</v>
      </c>
      <c r="BV104" s="21">
        <v>10</v>
      </c>
      <c r="BW104" s="21">
        <v>18</v>
      </c>
      <c r="BX104" s="21">
        <v>21</v>
      </c>
      <c r="BY104" s="21">
        <v>22</v>
      </c>
      <c r="BZ104" s="21">
        <v>23</v>
      </c>
      <c r="CA104" s="21">
        <v>10</v>
      </c>
      <c r="CB104" s="21">
        <v>25</v>
      </c>
      <c r="CC104" s="21">
        <v>28</v>
      </c>
      <c r="CD104" s="21">
        <v>12</v>
      </c>
      <c r="CE104" s="21">
        <v>83</v>
      </c>
      <c r="CF104" s="21">
        <v>23</v>
      </c>
      <c r="CG104" s="42">
        <v>38</v>
      </c>
      <c r="CH104" s="21">
        <v>29</v>
      </c>
      <c r="CI104" s="21">
        <v>32</v>
      </c>
      <c r="CJ104" s="21">
        <v>0</v>
      </c>
      <c r="CK104" s="21">
        <v>0</v>
      </c>
      <c r="CL104" s="21">
        <v>0</v>
      </c>
      <c r="CM104" s="21">
        <v>0</v>
      </c>
      <c r="CN104" s="21">
        <v>0</v>
      </c>
      <c r="CO104" s="21">
        <v>0</v>
      </c>
      <c r="CP104" s="21">
        <f t="shared" si="158"/>
        <v>0</v>
      </c>
      <c r="CQ104" s="344">
        <f t="shared" si="159"/>
        <v>6.7777777777777777</v>
      </c>
      <c r="CR104" s="87"/>
      <c r="CS104" s="86"/>
      <c r="CT104" s="85">
        <f t="shared" si="160"/>
        <v>325</v>
      </c>
      <c r="CU104" s="85">
        <f t="shared" si="161"/>
        <v>457</v>
      </c>
      <c r="CV104" s="85">
        <f t="shared" si="162"/>
        <v>301</v>
      </c>
      <c r="CW104" s="85">
        <f t="shared" si="163"/>
        <v>362</v>
      </c>
      <c r="CX104" s="85">
        <f t="shared" si="164"/>
        <v>439</v>
      </c>
      <c r="CY104" s="86">
        <f t="shared" si="165"/>
        <v>320</v>
      </c>
      <c r="CZ104" s="87">
        <f t="shared" si="166"/>
        <v>289</v>
      </c>
      <c r="DA104" s="87">
        <f t="shared" si="167"/>
        <v>412</v>
      </c>
      <c r="DB104" s="87">
        <f t="shared" si="168"/>
        <v>351</v>
      </c>
      <c r="DC104" s="87">
        <f t="shared" si="169"/>
        <v>443</v>
      </c>
      <c r="DD104" s="87">
        <f t="shared" si="170"/>
        <v>436</v>
      </c>
      <c r="DE104" s="87">
        <f t="shared" si="171"/>
        <v>364</v>
      </c>
      <c r="DF104" s="87">
        <f t="shared" si="172"/>
        <v>422</v>
      </c>
      <c r="DG104" s="87">
        <f t="shared" si="173"/>
        <v>395</v>
      </c>
      <c r="DH104" s="87">
        <f t="shared" si="174"/>
        <v>344</v>
      </c>
      <c r="DI104" s="87">
        <f t="shared" si="175"/>
        <v>461</v>
      </c>
      <c r="DJ104" s="87">
        <f t="shared" si="176"/>
        <v>524</v>
      </c>
      <c r="DK104" s="86">
        <f t="shared" si="177"/>
        <v>413</v>
      </c>
      <c r="DL104" s="87">
        <f t="shared" si="178"/>
        <v>532</v>
      </c>
      <c r="DM104" s="87">
        <f t="shared" si="179"/>
        <v>519</v>
      </c>
      <c r="DN104" s="87">
        <f t="shared" si="180"/>
        <v>359</v>
      </c>
      <c r="DO104" s="87">
        <f t="shared" si="181"/>
        <v>154</v>
      </c>
      <c r="DP104" s="87">
        <f t="shared" si="182"/>
        <v>25</v>
      </c>
      <c r="DQ104" s="87">
        <f t="shared" si="183"/>
        <v>0</v>
      </c>
      <c r="DR104" s="87">
        <f t="shared" si="218"/>
        <v>1</v>
      </c>
      <c r="DS104" s="87">
        <f t="shared" si="98"/>
        <v>1</v>
      </c>
      <c r="DT104" s="87">
        <f t="shared" si="184"/>
        <v>1</v>
      </c>
      <c r="DU104" s="87">
        <f t="shared" si="185"/>
        <v>6.7777777777777777</v>
      </c>
      <c r="DV104" s="87">
        <f t="shared" si="186"/>
        <v>0</v>
      </c>
      <c r="DW104" s="87">
        <f t="shared" si="187"/>
        <v>0</v>
      </c>
    </row>
    <row r="105" spans="1:127">
      <c r="A105" s="22" t="s">
        <v>4</v>
      </c>
      <c r="B105" s="26">
        <v>4987176153999</v>
      </c>
      <c r="C105" s="22" t="s">
        <v>85</v>
      </c>
      <c r="D105" s="22" t="s">
        <v>12</v>
      </c>
      <c r="E105" s="22">
        <v>173175</v>
      </c>
      <c r="F105" s="80" t="s">
        <v>211</v>
      </c>
      <c r="G105" s="25">
        <v>266.3</v>
      </c>
      <c r="H105" s="85">
        <f t="shared" si="188"/>
        <v>40743.9</v>
      </c>
      <c r="I105" s="85">
        <f t="shared" si="189"/>
        <v>56721.9</v>
      </c>
      <c r="J105" s="85">
        <f t="shared" si="190"/>
        <v>35950.5</v>
      </c>
      <c r="K105" s="85">
        <f t="shared" si="191"/>
        <v>35417.9</v>
      </c>
      <c r="L105" s="85">
        <f t="shared" si="192"/>
        <v>46069.9</v>
      </c>
      <c r="M105" s="86">
        <f t="shared" si="193"/>
        <v>31689.7</v>
      </c>
      <c r="N105" s="87">
        <f t="shared" si="194"/>
        <v>41010.200000000004</v>
      </c>
      <c r="O105" s="87">
        <f t="shared" si="195"/>
        <v>54857.8</v>
      </c>
      <c r="P105" s="87">
        <f t="shared" si="196"/>
        <v>34885.300000000003</v>
      </c>
      <c r="Q105" s="87">
        <f t="shared" si="197"/>
        <v>56988.200000000004</v>
      </c>
      <c r="R105" s="87">
        <f t="shared" si="198"/>
        <v>133416.30000000002</v>
      </c>
      <c r="S105" s="87">
        <f t="shared" si="199"/>
        <v>203186.9</v>
      </c>
      <c r="T105" s="87">
        <f t="shared" si="200"/>
        <v>213572.6</v>
      </c>
      <c r="U105" s="87">
        <f t="shared" si="201"/>
        <v>125959.90000000001</v>
      </c>
      <c r="V105" s="87">
        <f t="shared" si="202"/>
        <v>47934</v>
      </c>
      <c r="W105" s="87">
        <f t="shared" si="203"/>
        <v>50597</v>
      </c>
      <c r="X105" s="87">
        <f t="shared" si="204"/>
        <v>372021.10000000003</v>
      </c>
      <c r="Y105" s="86">
        <f t="shared" si="205"/>
        <v>300120.10000000003</v>
      </c>
      <c r="Z105" s="87">
        <f t="shared" si="206"/>
        <v>100395.1</v>
      </c>
      <c r="AA105" s="87">
        <f t="shared" si="207"/>
        <v>97465.8</v>
      </c>
      <c r="AB105" s="87">
        <f t="shared" si="208"/>
        <v>79623.7</v>
      </c>
      <c r="AC105" s="87">
        <f t="shared" si="209"/>
        <v>76694.400000000009</v>
      </c>
      <c r="AD105" s="87">
        <f t="shared" si="210"/>
        <v>71102.100000000006</v>
      </c>
      <c r="AE105" s="87">
        <f t="shared" si="211"/>
        <v>82020.400000000009</v>
      </c>
      <c r="AF105" s="87">
        <f t="shared" si="212"/>
        <v>44738.400000000001</v>
      </c>
      <c r="AG105" s="87">
        <f t="shared" si="213"/>
        <v>58852.3</v>
      </c>
      <c r="AH105" s="87">
        <f t="shared" si="214"/>
        <v>60716.4</v>
      </c>
      <c r="AI105" s="87">
        <f t="shared" si="215"/>
        <v>69297.177777777775</v>
      </c>
      <c r="AJ105" s="87">
        <f t="shared" si="216"/>
        <v>0</v>
      </c>
      <c r="AK105" s="86">
        <f t="shared" si="217"/>
        <v>0</v>
      </c>
      <c r="AL105" s="85">
        <v>142</v>
      </c>
      <c r="AM105" s="85">
        <v>201</v>
      </c>
      <c r="AN105" s="85">
        <v>124</v>
      </c>
      <c r="AO105" s="85">
        <v>125</v>
      </c>
      <c r="AP105" s="85">
        <v>163</v>
      </c>
      <c r="AQ105" s="86">
        <v>110</v>
      </c>
      <c r="AR105" s="87">
        <v>135</v>
      </c>
      <c r="AS105" s="87">
        <v>192</v>
      </c>
      <c r="AT105" s="87">
        <v>122</v>
      </c>
      <c r="AU105" s="87">
        <v>208</v>
      </c>
      <c r="AV105" s="87">
        <v>447</v>
      </c>
      <c r="AW105" s="87">
        <v>763</v>
      </c>
      <c r="AX105" s="87">
        <v>735</v>
      </c>
      <c r="AY105" s="87">
        <v>441</v>
      </c>
      <c r="AZ105" s="87">
        <v>167</v>
      </c>
      <c r="BA105" s="87">
        <v>173</v>
      </c>
      <c r="BB105" s="87">
        <v>1158</v>
      </c>
      <c r="BC105" s="86">
        <v>1094</v>
      </c>
      <c r="BD105" s="87">
        <v>347</v>
      </c>
      <c r="BE105" s="87">
        <v>341</v>
      </c>
      <c r="BF105" s="87">
        <v>274</v>
      </c>
      <c r="BG105" s="87">
        <v>269</v>
      </c>
      <c r="BH105" s="87">
        <v>223</v>
      </c>
      <c r="BI105" s="87">
        <v>286</v>
      </c>
      <c r="BJ105" s="40">
        <v>148</v>
      </c>
      <c r="BK105" s="40">
        <v>209</v>
      </c>
      <c r="BL105" s="40">
        <v>216</v>
      </c>
      <c r="BM105" s="40">
        <v>237</v>
      </c>
      <c r="BO105" s="86"/>
      <c r="BP105" s="21">
        <v>11</v>
      </c>
      <c r="BQ105" s="21">
        <v>12</v>
      </c>
      <c r="BR105" s="21">
        <v>11</v>
      </c>
      <c r="BS105" s="21">
        <v>8</v>
      </c>
      <c r="BT105" s="21">
        <v>10</v>
      </c>
      <c r="BU105" s="42">
        <v>9</v>
      </c>
      <c r="BV105" s="21">
        <v>19</v>
      </c>
      <c r="BW105" s="21">
        <v>14</v>
      </c>
      <c r="BX105" s="21">
        <v>9</v>
      </c>
      <c r="BY105" s="21">
        <v>6</v>
      </c>
      <c r="BZ105" s="21">
        <v>54</v>
      </c>
      <c r="CA105" s="21">
        <v>0</v>
      </c>
      <c r="CB105" s="21">
        <v>67</v>
      </c>
      <c r="CC105" s="21">
        <v>32</v>
      </c>
      <c r="CD105" s="21">
        <v>13</v>
      </c>
      <c r="CE105" s="21">
        <v>17</v>
      </c>
      <c r="CF105" s="21">
        <v>239</v>
      </c>
      <c r="CG105" s="42">
        <v>33</v>
      </c>
      <c r="CH105" s="21">
        <v>30</v>
      </c>
      <c r="CI105" s="21">
        <v>25</v>
      </c>
      <c r="CJ105" s="21">
        <v>25</v>
      </c>
      <c r="CK105" s="21">
        <v>19</v>
      </c>
      <c r="CL105" s="21">
        <v>44</v>
      </c>
      <c r="CM105" s="21">
        <v>22</v>
      </c>
      <c r="CN105" s="21">
        <v>20</v>
      </c>
      <c r="CO105" s="21">
        <v>12</v>
      </c>
      <c r="CP105" s="21">
        <f t="shared" si="158"/>
        <v>12</v>
      </c>
      <c r="CQ105" s="344">
        <f t="shared" si="159"/>
        <v>23.222222222222221</v>
      </c>
      <c r="CR105" s="87"/>
      <c r="CS105" s="86"/>
      <c r="CT105" s="85">
        <f t="shared" ref="CT105:CT130" si="219">AL105+BP105</f>
        <v>153</v>
      </c>
      <c r="CU105" s="85">
        <f t="shared" ref="CU105:CU130" si="220">AM105+BQ105</f>
        <v>213</v>
      </c>
      <c r="CV105" s="85">
        <f t="shared" ref="CV105:CV130" si="221">AN105+BR105</f>
        <v>135</v>
      </c>
      <c r="CW105" s="85">
        <f t="shared" ref="CW105:CW130" si="222">AO105+BS105</f>
        <v>133</v>
      </c>
      <c r="CX105" s="85">
        <f t="shared" ref="CX105:CX130" si="223">AP105+BT105</f>
        <v>173</v>
      </c>
      <c r="CY105" s="86">
        <f t="shared" ref="CY105:CY130" si="224">AQ105+BU105</f>
        <v>119</v>
      </c>
      <c r="CZ105" s="87">
        <f t="shared" ref="CZ105:CZ130" si="225">AR105+BV105</f>
        <v>154</v>
      </c>
      <c r="DA105" s="87">
        <f t="shared" ref="DA105:DA130" si="226">AS105+BW105</f>
        <v>206</v>
      </c>
      <c r="DB105" s="87">
        <f t="shared" ref="DB105:DB130" si="227">AT105+BX105</f>
        <v>131</v>
      </c>
      <c r="DC105" s="87">
        <f t="shared" ref="DC105:DC130" si="228">AU105+BY105</f>
        <v>214</v>
      </c>
      <c r="DD105" s="87">
        <f t="shared" ref="DD105:DD130" si="229">AV105+BZ105</f>
        <v>501</v>
      </c>
      <c r="DE105" s="87">
        <f t="shared" ref="DE105:DE130" si="230">AW105+CA105</f>
        <v>763</v>
      </c>
      <c r="DF105" s="87">
        <f t="shared" ref="DF105:DF130" si="231">AX105+CB105</f>
        <v>802</v>
      </c>
      <c r="DG105" s="87">
        <f t="shared" ref="DG105:DG130" si="232">AY105+CC105</f>
        <v>473</v>
      </c>
      <c r="DH105" s="87">
        <f t="shared" ref="DH105:DH130" si="233">AZ105+CD105</f>
        <v>180</v>
      </c>
      <c r="DI105" s="87">
        <f t="shared" ref="DI105:DI130" si="234">BA105+CE105</f>
        <v>190</v>
      </c>
      <c r="DJ105" s="87">
        <f t="shared" ref="DJ105:DJ130" si="235">BB105+CF105</f>
        <v>1397</v>
      </c>
      <c r="DK105" s="86">
        <f t="shared" ref="DK105:DK130" si="236">BC105+CG105</f>
        <v>1127</v>
      </c>
      <c r="DL105" s="87">
        <f t="shared" ref="DL105:DL130" si="237">BD105+CH105</f>
        <v>377</v>
      </c>
      <c r="DM105" s="87">
        <f t="shared" ref="DM105:DM130" si="238">BE105+CI105</f>
        <v>366</v>
      </c>
      <c r="DN105" s="87">
        <f t="shared" ref="DN105:DN130" si="239">BF105+CJ105</f>
        <v>299</v>
      </c>
      <c r="DO105" s="87">
        <f t="shared" ref="DO105:DO130" si="240">BG105+CK105</f>
        <v>288</v>
      </c>
      <c r="DP105" s="87">
        <f t="shared" ref="DP105:DP130" si="241">BH105+CL105</f>
        <v>267</v>
      </c>
      <c r="DQ105" s="87">
        <f t="shared" ref="DQ105:DQ130" si="242">BI105+CM105</f>
        <v>308</v>
      </c>
      <c r="DR105" s="87">
        <f t="shared" si="218"/>
        <v>168</v>
      </c>
      <c r="DS105" s="87">
        <f t="shared" si="98"/>
        <v>221</v>
      </c>
      <c r="DT105" s="87">
        <f t="shared" si="184"/>
        <v>228</v>
      </c>
      <c r="DU105" s="87">
        <f t="shared" si="185"/>
        <v>260.22222222222223</v>
      </c>
      <c r="DV105" s="87">
        <f t="shared" si="186"/>
        <v>0</v>
      </c>
      <c r="DW105" s="87">
        <f t="shared" si="187"/>
        <v>0</v>
      </c>
    </row>
    <row r="106" spans="1:127">
      <c r="A106" s="22" t="s">
        <v>4</v>
      </c>
      <c r="B106" s="26">
        <v>4987176153975</v>
      </c>
      <c r="C106" s="22" t="s">
        <v>85</v>
      </c>
      <c r="D106" s="22" t="s">
        <v>12</v>
      </c>
      <c r="E106" s="22">
        <v>173187</v>
      </c>
      <c r="F106" s="80" t="s">
        <v>212</v>
      </c>
      <c r="G106" s="25">
        <v>266.3</v>
      </c>
      <c r="H106" s="85">
        <f t="shared" si="188"/>
        <v>60450.100000000006</v>
      </c>
      <c r="I106" s="85">
        <f t="shared" si="189"/>
        <v>82020.400000000009</v>
      </c>
      <c r="J106" s="85">
        <f t="shared" si="190"/>
        <v>59651.200000000004</v>
      </c>
      <c r="K106" s="85">
        <f t="shared" si="191"/>
        <v>75362.900000000009</v>
      </c>
      <c r="L106" s="85">
        <f t="shared" si="192"/>
        <v>52993.700000000004</v>
      </c>
      <c r="M106" s="86">
        <f t="shared" si="193"/>
        <v>56988.200000000004</v>
      </c>
      <c r="N106" s="87">
        <f t="shared" si="194"/>
        <v>65776.100000000006</v>
      </c>
      <c r="O106" s="87">
        <f t="shared" si="195"/>
        <v>76694.400000000009</v>
      </c>
      <c r="P106" s="87">
        <f t="shared" si="196"/>
        <v>63113.100000000006</v>
      </c>
      <c r="Q106" s="87">
        <f t="shared" si="197"/>
        <v>80955.199999999997</v>
      </c>
      <c r="R106" s="87">
        <f t="shared" si="198"/>
        <v>235142.90000000002</v>
      </c>
      <c r="S106" s="87">
        <f t="shared" si="199"/>
        <v>335271.7</v>
      </c>
      <c r="T106" s="87">
        <f t="shared" si="200"/>
        <v>279348.7</v>
      </c>
      <c r="U106" s="87">
        <f t="shared" si="201"/>
        <v>142204.20000000001</v>
      </c>
      <c r="V106" s="87">
        <f t="shared" si="202"/>
        <v>61781.600000000006</v>
      </c>
      <c r="W106" s="87">
        <f t="shared" si="203"/>
        <v>66575</v>
      </c>
      <c r="X106" s="87">
        <f t="shared" si="204"/>
        <v>431406</v>
      </c>
      <c r="Y106" s="86">
        <f t="shared" si="205"/>
        <v>345391.10000000003</v>
      </c>
      <c r="Z106" s="87">
        <f t="shared" si="206"/>
        <v>119835</v>
      </c>
      <c r="AA106" s="87">
        <f t="shared" si="207"/>
        <v>102259.20000000001</v>
      </c>
      <c r="AB106" s="87">
        <f t="shared" si="208"/>
        <v>97732.1</v>
      </c>
      <c r="AC106" s="87">
        <f t="shared" si="209"/>
        <v>394656.60000000003</v>
      </c>
      <c r="AD106" s="87">
        <f t="shared" si="210"/>
        <v>406107.5</v>
      </c>
      <c r="AE106" s="87">
        <f t="shared" si="211"/>
        <v>109449.3</v>
      </c>
      <c r="AF106" s="87">
        <f t="shared" si="212"/>
        <v>475878.10000000003</v>
      </c>
      <c r="AG106" s="87">
        <f t="shared" si="213"/>
        <v>292397.40000000002</v>
      </c>
      <c r="AH106" s="87">
        <f t="shared" si="214"/>
        <v>76960.7</v>
      </c>
      <c r="AI106" s="87">
        <f t="shared" si="215"/>
        <v>101401.12222222223</v>
      </c>
      <c r="AJ106" s="87">
        <f t="shared" si="216"/>
        <v>0</v>
      </c>
      <c r="AK106" s="86">
        <f t="shared" si="217"/>
        <v>0</v>
      </c>
      <c r="AL106" s="85">
        <v>207</v>
      </c>
      <c r="AM106" s="85">
        <v>296</v>
      </c>
      <c r="AN106" s="85">
        <v>197</v>
      </c>
      <c r="AO106" s="85">
        <v>256</v>
      </c>
      <c r="AP106" s="85">
        <v>200</v>
      </c>
      <c r="AQ106" s="86">
        <v>187</v>
      </c>
      <c r="AR106" s="87">
        <v>229</v>
      </c>
      <c r="AS106" s="87">
        <v>262</v>
      </c>
      <c r="AT106" s="87">
        <v>214</v>
      </c>
      <c r="AU106" s="87">
        <v>286</v>
      </c>
      <c r="AV106" s="87">
        <v>787</v>
      </c>
      <c r="AW106" s="87">
        <v>1259</v>
      </c>
      <c r="AX106" s="87">
        <v>980</v>
      </c>
      <c r="AY106" s="87">
        <v>510</v>
      </c>
      <c r="AZ106" s="87">
        <v>224</v>
      </c>
      <c r="BA106" s="87">
        <v>235</v>
      </c>
      <c r="BB106" s="87">
        <v>1353</v>
      </c>
      <c r="BC106" s="86">
        <v>1267</v>
      </c>
      <c r="BD106" s="87">
        <v>412</v>
      </c>
      <c r="BE106" s="87">
        <v>353</v>
      </c>
      <c r="BF106" s="87">
        <v>335</v>
      </c>
      <c r="BG106" s="87">
        <v>1221</v>
      </c>
      <c r="BH106" s="87">
        <v>1474</v>
      </c>
      <c r="BI106" s="87">
        <v>384</v>
      </c>
      <c r="BJ106" s="40">
        <v>1542</v>
      </c>
      <c r="BK106" s="40">
        <v>1077</v>
      </c>
      <c r="BL106" s="40">
        <v>268</v>
      </c>
      <c r="BM106" s="40">
        <v>300</v>
      </c>
      <c r="BO106" s="86"/>
      <c r="BP106" s="21">
        <v>20</v>
      </c>
      <c r="BQ106" s="21">
        <v>12</v>
      </c>
      <c r="BR106" s="21">
        <v>27</v>
      </c>
      <c r="BS106" s="21">
        <v>27</v>
      </c>
      <c r="BT106" s="21">
        <v>-1</v>
      </c>
      <c r="BU106" s="42">
        <v>27</v>
      </c>
      <c r="BV106" s="21">
        <v>18</v>
      </c>
      <c r="BW106" s="21">
        <v>26</v>
      </c>
      <c r="BX106" s="21">
        <v>23</v>
      </c>
      <c r="BY106" s="21">
        <v>18</v>
      </c>
      <c r="BZ106" s="21">
        <v>96</v>
      </c>
      <c r="CA106" s="21">
        <v>0</v>
      </c>
      <c r="CB106" s="21">
        <v>69</v>
      </c>
      <c r="CC106" s="21">
        <v>24</v>
      </c>
      <c r="CD106" s="21">
        <v>8</v>
      </c>
      <c r="CE106" s="21">
        <v>15</v>
      </c>
      <c r="CF106" s="21">
        <v>267</v>
      </c>
      <c r="CG106" s="42">
        <v>30</v>
      </c>
      <c r="CH106" s="21">
        <v>38</v>
      </c>
      <c r="CI106" s="21">
        <v>31</v>
      </c>
      <c r="CJ106" s="21">
        <v>32</v>
      </c>
      <c r="CK106" s="21">
        <v>261</v>
      </c>
      <c r="CL106" s="21">
        <v>51</v>
      </c>
      <c r="CM106" s="21">
        <v>27</v>
      </c>
      <c r="CN106" s="21">
        <v>245</v>
      </c>
      <c r="CO106" s="21">
        <v>21</v>
      </c>
      <c r="CP106" s="21">
        <f t="shared" si="158"/>
        <v>21</v>
      </c>
      <c r="CQ106" s="344">
        <f t="shared" si="159"/>
        <v>80.777777777777771</v>
      </c>
      <c r="CR106" s="87"/>
      <c r="CS106" s="86"/>
      <c r="CT106" s="85">
        <f t="shared" si="219"/>
        <v>227</v>
      </c>
      <c r="CU106" s="85">
        <f t="shared" si="220"/>
        <v>308</v>
      </c>
      <c r="CV106" s="85">
        <f t="shared" si="221"/>
        <v>224</v>
      </c>
      <c r="CW106" s="85">
        <f t="shared" si="222"/>
        <v>283</v>
      </c>
      <c r="CX106" s="85">
        <f t="shared" si="223"/>
        <v>199</v>
      </c>
      <c r="CY106" s="86">
        <f t="shared" si="224"/>
        <v>214</v>
      </c>
      <c r="CZ106" s="87">
        <f t="shared" si="225"/>
        <v>247</v>
      </c>
      <c r="DA106" s="87">
        <f t="shared" si="226"/>
        <v>288</v>
      </c>
      <c r="DB106" s="87">
        <f t="shared" si="227"/>
        <v>237</v>
      </c>
      <c r="DC106" s="87">
        <f t="shared" si="228"/>
        <v>304</v>
      </c>
      <c r="DD106" s="87">
        <f t="shared" si="229"/>
        <v>883</v>
      </c>
      <c r="DE106" s="87">
        <f t="shared" si="230"/>
        <v>1259</v>
      </c>
      <c r="DF106" s="87">
        <f t="shared" si="231"/>
        <v>1049</v>
      </c>
      <c r="DG106" s="87">
        <f t="shared" si="232"/>
        <v>534</v>
      </c>
      <c r="DH106" s="87">
        <f t="shared" si="233"/>
        <v>232</v>
      </c>
      <c r="DI106" s="87">
        <f t="shared" si="234"/>
        <v>250</v>
      </c>
      <c r="DJ106" s="87">
        <f t="shared" si="235"/>
        <v>1620</v>
      </c>
      <c r="DK106" s="86">
        <f t="shared" si="236"/>
        <v>1297</v>
      </c>
      <c r="DL106" s="87">
        <f t="shared" si="237"/>
        <v>450</v>
      </c>
      <c r="DM106" s="87">
        <f t="shared" si="238"/>
        <v>384</v>
      </c>
      <c r="DN106" s="87">
        <f t="shared" si="239"/>
        <v>367</v>
      </c>
      <c r="DO106" s="87">
        <f t="shared" si="240"/>
        <v>1482</v>
      </c>
      <c r="DP106" s="87">
        <f t="shared" si="241"/>
        <v>1525</v>
      </c>
      <c r="DQ106" s="87">
        <f t="shared" si="242"/>
        <v>411</v>
      </c>
      <c r="DR106" s="87">
        <f t="shared" si="218"/>
        <v>1787</v>
      </c>
      <c r="DS106" s="87">
        <f t="shared" ref="DS106:DS169" si="243">BK106+CO106</f>
        <v>1098</v>
      </c>
      <c r="DT106" s="87">
        <f t="shared" si="184"/>
        <v>289</v>
      </c>
      <c r="DU106" s="87">
        <f t="shared" si="185"/>
        <v>380.77777777777777</v>
      </c>
      <c r="DV106" s="87">
        <f t="shared" si="186"/>
        <v>0</v>
      </c>
      <c r="DW106" s="87">
        <f t="shared" si="187"/>
        <v>0</v>
      </c>
    </row>
    <row r="107" spans="1:127">
      <c r="A107" s="22" t="s">
        <v>4</v>
      </c>
      <c r="B107" s="26">
        <v>4987176153982</v>
      </c>
      <c r="C107" s="22" t="s">
        <v>85</v>
      </c>
      <c r="D107" s="22" t="s">
        <v>12</v>
      </c>
      <c r="E107" s="22">
        <v>173262</v>
      </c>
      <c r="F107" s="80" t="s">
        <v>213</v>
      </c>
      <c r="G107" s="25">
        <v>266.3</v>
      </c>
      <c r="H107" s="85">
        <f t="shared" si="188"/>
        <v>60183.8</v>
      </c>
      <c r="I107" s="85">
        <f t="shared" si="189"/>
        <v>90275.7</v>
      </c>
      <c r="J107" s="85">
        <f t="shared" si="190"/>
        <v>54058.9</v>
      </c>
      <c r="K107" s="85">
        <f t="shared" si="191"/>
        <v>60450.100000000006</v>
      </c>
      <c r="L107" s="85">
        <f t="shared" si="192"/>
        <v>51395.9</v>
      </c>
      <c r="M107" s="86">
        <f t="shared" si="193"/>
        <v>53260</v>
      </c>
      <c r="N107" s="87">
        <f t="shared" si="194"/>
        <v>66575</v>
      </c>
      <c r="O107" s="87">
        <f t="shared" si="195"/>
        <v>70835.8</v>
      </c>
      <c r="P107" s="87">
        <f t="shared" si="196"/>
        <v>55390.400000000001</v>
      </c>
      <c r="Q107" s="87">
        <f t="shared" si="197"/>
        <v>94802.8</v>
      </c>
      <c r="R107" s="87">
        <f t="shared" si="198"/>
        <v>256979.5</v>
      </c>
      <c r="S107" s="87">
        <f t="shared" si="199"/>
        <v>358439.8</v>
      </c>
      <c r="T107" s="87">
        <f t="shared" si="200"/>
        <v>264702.2</v>
      </c>
      <c r="U107" s="87">
        <f t="shared" si="201"/>
        <v>131552.20000000001</v>
      </c>
      <c r="V107" s="87">
        <f t="shared" si="202"/>
        <v>54857.8</v>
      </c>
      <c r="W107" s="87">
        <f t="shared" si="203"/>
        <v>70036.900000000009</v>
      </c>
      <c r="X107" s="87">
        <f t="shared" si="204"/>
        <v>403710.8</v>
      </c>
      <c r="Y107" s="86">
        <f t="shared" si="205"/>
        <v>295859.3</v>
      </c>
      <c r="Z107" s="87">
        <f t="shared" si="206"/>
        <v>111846</v>
      </c>
      <c r="AA107" s="87">
        <f t="shared" si="207"/>
        <v>107851.5</v>
      </c>
      <c r="AB107" s="87">
        <f t="shared" si="208"/>
        <v>92406.1</v>
      </c>
      <c r="AC107" s="87">
        <f t="shared" si="209"/>
        <v>385069.8</v>
      </c>
      <c r="AD107" s="87">
        <f t="shared" si="210"/>
        <v>401580.4</v>
      </c>
      <c r="AE107" s="87">
        <f t="shared" si="211"/>
        <v>105987.40000000001</v>
      </c>
      <c r="AF107" s="87">
        <f t="shared" si="212"/>
        <v>433536.4</v>
      </c>
      <c r="AG107" s="87">
        <f t="shared" si="213"/>
        <v>271892.3</v>
      </c>
      <c r="AH107" s="87">
        <f t="shared" si="214"/>
        <v>69770.600000000006</v>
      </c>
      <c r="AI107" s="87">
        <f t="shared" si="215"/>
        <v>101785.77777777778</v>
      </c>
      <c r="AJ107" s="87">
        <f t="shared" si="216"/>
        <v>0</v>
      </c>
      <c r="AK107" s="86">
        <f t="shared" si="217"/>
        <v>0</v>
      </c>
      <c r="AL107" s="85">
        <v>190</v>
      </c>
      <c r="AM107" s="85">
        <v>312</v>
      </c>
      <c r="AN107" s="85">
        <v>169</v>
      </c>
      <c r="AO107" s="85">
        <v>196</v>
      </c>
      <c r="AP107" s="85">
        <v>182</v>
      </c>
      <c r="AQ107" s="86">
        <v>164</v>
      </c>
      <c r="AR107" s="87">
        <v>222</v>
      </c>
      <c r="AS107" s="87">
        <v>235</v>
      </c>
      <c r="AT107" s="87">
        <v>174</v>
      </c>
      <c r="AU107" s="87">
        <v>318</v>
      </c>
      <c r="AV107" s="87">
        <v>821</v>
      </c>
      <c r="AW107" s="87">
        <v>1346</v>
      </c>
      <c r="AX107" s="87">
        <v>894</v>
      </c>
      <c r="AY107" s="87">
        <v>454</v>
      </c>
      <c r="AZ107" s="87">
        <v>188</v>
      </c>
      <c r="BA107" s="87">
        <v>246</v>
      </c>
      <c r="BB107" s="87">
        <v>1186</v>
      </c>
      <c r="BC107" s="86">
        <v>1076</v>
      </c>
      <c r="BD107" s="87">
        <v>375</v>
      </c>
      <c r="BE107" s="87">
        <v>371</v>
      </c>
      <c r="BF107" s="87">
        <v>314</v>
      </c>
      <c r="BG107" s="87">
        <v>1182</v>
      </c>
      <c r="BH107" s="87">
        <v>1447</v>
      </c>
      <c r="BI107" s="87">
        <v>381</v>
      </c>
      <c r="BJ107" s="40">
        <v>1445</v>
      </c>
      <c r="BK107" s="40">
        <v>1010</v>
      </c>
      <c r="BL107" s="40">
        <v>251</v>
      </c>
      <c r="BM107" s="40">
        <v>309</v>
      </c>
      <c r="BO107" s="86"/>
      <c r="BP107" s="21">
        <v>36</v>
      </c>
      <c r="BQ107" s="21">
        <v>27</v>
      </c>
      <c r="BR107" s="21">
        <v>34</v>
      </c>
      <c r="BS107" s="21">
        <v>31</v>
      </c>
      <c r="BT107" s="21">
        <v>11</v>
      </c>
      <c r="BU107" s="42">
        <v>36</v>
      </c>
      <c r="BV107" s="21">
        <v>28</v>
      </c>
      <c r="BW107" s="21">
        <v>31</v>
      </c>
      <c r="BX107" s="21">
        <v>34</v>
      </c>
      <c r="BY107" s="21">
        <v>38</v>
      </c>
      <c r="BZ107" s="21">
        <v>144</v>
      </c>
      <c r="CA107" s="21">
        <v>0</v>
      </c>
      <c r="CB107" s="21">
        <v>100</v>
      </c>
      <c r="CC107" s="21">
        <v>40</v>
      </c>
      <c r="CD107" s="21">
        <v>18</v>
      </c>
      <c r="CE107" s="21">
        <v>17</v>
      </c>
      <c r="CF107" s="21">
        <v>330</v>
      </c>
      <c r="CG107" s="42">
        <v>35</v>
      </c>
      <c r="CH107" s="21">
        <v>45</v>
      </c>
      <c r="CI107" s="21">
        <v>34</v>
      </c>
      <c r="CJ107" s="21">
        <v>33</v>
      </c>
      <c r="CK107" s="21">
        <v>264</v>
      </c>
      <c r="CL107" s="21">
        <v>61</v>
      </c>
      <c r="CM107" s="21">
        <v>17</v>
      </c>
      <c r="CN107" s="21">
        <v>183</v>
      </c>
      <c r="CO107" s="21">
        <v>11</v>
      </c>
      <c r="CP107" s="21">
        <f t="shared" si="158"/>
        <v>11</v>
      </c>
      <c r="CQ107" s="344">
        <f t="shared" si="159"/>
        <v>73.222222222222229</v>
      </c>
      <c r="CR107" s="87"/>
      <c r="CS107" s="86"/>
      <c r="CT107" s="85">
        <f t="shared" si="219"/>
        <v>226</v>
      </c>
      <c r="CU107" s="85">
        <f t="shared" si="220"/>
        <v>339</v>
      </c>
      <c r="CV107" s="85">
        <f t="shared" si="221"/>
        <v>203</v>
      </c>
      <c r="CW107" s="85">
        <f t="shared" si="222"/>
        <v>227</v>
      </c>
      <c r="CX107" s="85">
        <f t="shared" si="223"/>
        <v>193</v>
      </c>
      <c r="CY107" s="86">
        <f t="shared" si="224"/>
        <v>200</v>
      </c>
      <c r="CZ107" s="87">
        <f t="shared" si="225"/>
        <v>250</v>
      </c>
      <c r="DA107" s="87">
        <f t="shared" si="226"/>
        <v>266</v>
      </c>
      <c r="DB107" s="87">
        <f t="shared" si="227"/>
        <v>208</v>
      </c>
      <c r="DC107" s="87">
        <f t="shared" si="228"/>
        <v>356</v>
      </c>
      <c r="DD107" s="87">
        <f t="shared" si="229"/>
        <v>965</v>
      </c>
      <c r="DE107" s="87">
        <f t="shared" si="230"/>
        <v>1346</v>
      </c>
      <c r="DF107" s="87">
        <f t="shared" si="231"/>
        <v>994</v>
      </c>
      <c r="DG107" s="87">
        <f t="shared" si="232"/>
        <v>494</v>
      </c>
      <c r="DH107" s="87">
        <f t="shared" si="233"/>
        <v>206</v>
      </c>
      <c r="DI107" s="87">
        <f t="shared" si="234"/>
        <v>263</v>
      </c>
      <c r="DJ107" s="87">
        <f t="shared" si="235"/>
        <v>1516</v>
      </c>
      <c r="DK107" s="86">
        <f t="shared" si="236"/>
        <v>1111</v>
      </c>
      <c r="DL107" s="87">
        <f t="shared" si="237"/>
        <v>420</v>
      </c>
      <c r="DM107" s="87">
        <f t="shared" si="238"/>
        <v>405</v>
      </c>
      <c r="DN107" s="87">
        <f t="shared" si="239"/>
        <v>347</v>
      </c>
      <c r="DO107" s="87">
        <f t="shared" si="240"/>
        <v>1446</v>
      </c>
      <c r="DP107" s="87">
        <f t="shared" si="241"/>
        <v>1508</v>
      </c>
      <c r="DQ107" s="87">
        <f t="shared" si="242"/>
        <v>398</v>
      </c>
      <c r="DR107" s="87">
        <f t="shared" si="218"/>
        <v>1628</v>
      </c>
      <c r="DS107" s="87">
        <f t="shared" si="243"/>
        <v>1021</v>
      </c>
      <c r="DT107" s="87">
        <f t="shared" si="184"/>
        <v>262</v>
      </c>
      <c r="DU107" s="87">
        <f t="shared" si="185"/>
        <v>382.22222222222223</v>
      </c>
      <c r="DV107" s="87">
        <f t="shared" si="186"/>
        <v>0</v>
      </c>
      <c r="DW107" s="87">
        <f t="shared" si="187"/>
        <v>0</v>
      </c>
    </row>
    <row r="108" spans="1:127">
      <c r="A108" s="22" t="s">
        <v>4</v>
      </c>
      <c r="B108" s="26">
        <v>4987176154040</v>
      </c>
      <c r="C108" s="22" t="s">
        <v>85</v>
      </c>
      <c r="D108" s="22" t="s">
        <v>12</v>
      </c>
      <c r="E108" s="22">
        <v>173184</v>
      </c>
      <c r="F108" s="80" t="s">
        <v>214</v>
      </c>
      <c r="G108" s="25">
        <v>235</v>
      </c>
      <c r="H108" s="85">
        <f t="shared" si="188"/>
        <v>91415</v>
      </c>
      <c r="I108" s="85">
        <f t="shared" si="189"/>
        <v>193405</v>
      </c>
      <c r="J108" s="85">
        <f t="shared" si="190"/>
        <v>127135</v>
      </c>
      <c r="K108" s="85">
        <f t="shared" si="191"/>
        <v>137005</v>
      </c>
      <c r="L108" s="85">
        <f t="shared" si="192"/>
        <v>128310</v>
      </c>
      <c r="M108" s="86">
        <f t="shared" si="193"/>
        <v>100815</v>
      </c>
      <c r="N108" s="87">
        <f t="shared" si="194"/>
        <v>122905</v>
      </c>
      <c r="O108" s="87">
        <f t="shared" si="195"/>
        <v>130660</v>
      </c>
      <c r="P108" s="87">
        <f t="shared" si="196"/>
        <v>103635</v>
      </c>
      <c r="Q108" s="87">
        <f t="shared" si="197"/>
        <v>158625</v>
      </c>
      <c r="R108" s="87">
        <f t="shared" si="198"/>
        <v>181185</v>
      </c>
      <c r="S108" s="87">
        <f t="shared" si="199"/>
        <v>188470</v>
      </c>
      <c r="T108" s="87">
        <f t="shared" si="200"/>
        <v>164735</v>
      </c>
      <c r="U108" s="87">
        <f t="shared" si="201"/>
        <v>137710</v>
      </c>
      <c r="V108" s="87">
        <f t="shared" si="202"/>
        <v>132540</v>
      </c>
      <c r="W108" s="87">
        <f t="shared" si="203"/>
        <v>141235</v>
      </c>
      <c r="X108" s="87">
        <f t="shared" si="204"/>
        <v>281060</v>
      </c>
      <c r="Y108" s="86">
        <f t="shared" si="205"/>
        <v>235470</v>
      </c>
      <c r="Z108" s="87">
        <f t="shared" si="206"/>
        <v>222780</v>
      </c>
      <c r="AA108" s="87">
        <f t="shared" si="207"/>
        <v>143585</v>
      </c>
      <c r="AB108" s="87">
        <f t="shared" si="208"/>
        <v>124550</v>
      </c>
      <c r="AC108" s="87">
        <f t="shared" si="209"/>
        <v>134655</v>
      </c>
      <c r="AD108" s="87">
        <f t="shared" si="210"/>
        <v>140295</v>
      </c>
      <c r="AE108" s="87">
        <f t="shared" si="211"/>
        <v>185885</v>
      </c>
      <c r="AF108" s="87">
        <f t="shared" si="212"/>
        <v>84600</v>
      </c>
      <c r="AG108" s="87">
        <f t="shared" si="213"/>
        <v>110685</v>
      </c>
      <c r="AH108" s="87">
        <f t="shared" si="214"/>
        <v>156510</v>
      </c>
      <c r="AI108" s="87">
        <f t="shared" si="215"/>
        <v>181733.33333333334</v>
      </c>
      <c r="AJ108" s="87">
        <f t="shared" si="216"/>
        <v>0</v>
      </c>
      <c r="AK108" s="86">
        <f t="shared" si="217"/>
        <v>0</v>
      </c>
      <c r="AL108" s="85">
        <v>362</v>
      </c>
      <c r="AM108" s="85">
        <v>778</v>
      </c>
      <c r="AN108" s="85">
        <v>450</v>
      </c>
      <c r="AO108" s="85">
        <v>541</v>
      </c>
      <c r="AP108" s="85">
        <v>510</v>
      </c>
      <c r="AQ108" s="86">
        <v>365</v>
      </c>
      <c r="AR108" s="87">
        <v>473</v>
      </c>
      <c r="AS108" s="87">
        <v>517</v>
      </c>
      <c r="AT108" s="87">
        <v>400</v>
      </c>
      <c r="AU108" s="87">
        <v>638</v>
      </c>
      <c r="AV108" s="87">
        <v>641</v>
      </c>
      <c r="AW108" s="87">
        <v>788</v>
      </c>
      <c r="AX108" s="87">
        <v>671</v>
      </c>
      <c r="AY108" s="87">
        <v>518</v>
      </c>
      <c r="AZ108" s="87">
        <v>488</v>
      </c>
      <c r="BA108" s="87">
        <v>536</v>
      </c>
      <c r="BB108" s="87">
        <v>912</v>
      </c>
      <c r="BC108" s="86">
        <v>888</v>
      </c>
      <c r="BD108" s="87">
        <v>861</v>
      </c>
      <c r="BE108" s="87">
        <v>575</v>
      </c>
      <c r="BF108" s="87">
        <v>499</v>
      </c>
      <c r="BG108" s="87">
        <v>449</v>
      </c>
      <c r="BH108" s="87">
        <v>509</v>
      </c>
      <c r="BI108" s="87">
        <v>768</v>
      </c>
      <c r="BJ108" s="40">
        <v>326</v>
      </c>
      <c r="BK108" s="40">
        <v>447</v>
      </c>
      <c r="BL108" s="40">
        <v>642</v>
      </c>
      <c r="BM108" s="40">
        <v>721</v>
      </c>
      <c r="BO108" s="86"/>
      <c r="BP108" s="21">
        <v>27</v>
      </c>
      <c r="BQ108" s="21">
        <v>45</v>
      </c>
      <c r="BR108" s="21">
        <v>91</v>
      </c>
      <c r="BS108" s="21">
        <v>42</v>
      </c>
      <c r="BT108" s="21">
        <v>36</v>
      </c>
      <c r="BU108" s="42">
        <v>64</v>
      </c>
      <c r="BV108" s="21">
        <v>50</v>
      </c>
      <c r="BW108" s="21">
        <v>39</v>
      </c>
      <c r="BX108" s="21">
        <v>41</v>
      </c>
      <c r="BY108" s="21">
        <v>37</v>
      </c>
      <c r="BZ108" s="21">
        <v>130</v>
      </c>
      <c r="CA108" s="21">
        <v>14</v>
      </c>
      <c r="CB108" s="21">
        <v>30</v>
      </c>
      <c r="CC108" s="21">
        <v>68</v>
      </c>
      <c r="CD108" s="21">
        <v>76</v>
      </c>
      <c r="CE108" s="21">
        <v>65</v>
      </c>
      <c r="CF108" s="21">
        <v>284</v>
      </c>
      <c r="CG108" s="42">
        <v>114</v>
      </c>
      <c r="CH108" s="21">
        <v>87</v>
      </c>
      <c r="CI108" s="21">
        <v>36</v>
      </c>
      <c r="CJ108" s="21">
        <v>31</v>
      </c>
      <c r="CK108" s="21">
        <v>124</v>
      </c>
      <c r="CL108" s="21">
        <v>88</v>
      </c>
      <c r="CM108" s="21">
        <v>23</v>
      </c>
      <c r="CN108" s="21">
        <v>34</v>
      </c>
      <c r="CO108" s="21">
        <v>24</v>
      </c>
      <c r="CP108" s="21">
        <f t="shared" si="158"/>
        <v>24</v>
      </c>
      <c r="CQ108" s="344">
        <f t="shared" si="159"/>
        <v>52.333333333333336</v>
      </c>
      <c r="CR108" s="87"/>
      <c r="CS108" s="86"/>
      <c r="CT108" s="85">
        <f t="shared" si="219"/>
        <v>389</v>
      </c>
      <c r="CU108" s="85">
        <f t="shared" si="220"/>
        <v>823</v>
      </c>
      <c r="CV108" s="85">
        <f t="shared" si="221"/>
        <v>541</v>
      </c>
      <c r="CW108" s="85">
        <f t="shared" si="222"/>
        <v>583</v>
      </c>
      <c r="CX108" s="85">
        <f t="shared" si="223"/>
        <v>546</v>
      </c>
      <c r="CY108" s="86">
        <f t="shared" si="224"/>
        <v>429</v>
      </c>
      <c r="CZ108" s="87">
        <f t="shared" si="225"/>
        <v>523</v>
      </c>
      <c r="DA108" s="87">
        <f t="shared" si="226"/>
        <v>556</v>
      </c>
      <c r="DB108" s="87">
        <f t="shared" si="227"/>
        <v>441</v>
      </c>
      <c r="DC108" s="87">
        <f t="shared" si="228"/>
        <v>675</v>
      </c>
      <c r="DD108" s="87">
        <f t="shared" si="229"/>
        <v>771</v>
      </c>
      <c r="DE108" s="87">
        <f t="shared" si="230"/>
        <v>802</v>
      </c>
      <c r="DF108" s="87">
        <f t="shared" si="231"/>
        <v>701</v>
      </c>
      <c r="DG108" s="87">
        <f t="shared" si="232"/>
        <v>586</v>
      </c>
      <c r="DH108" s="87">
        <f t="shared" si="233"/>
        <v>564</v>
      </c>
      <c r="DI108" s="87">
        <f t="shared" si="234"/>
        <v>601</v>
      </c>
      <c r="DJ108" s="87">
        <f t="shared" si="235"/>
        <v>1196</v>
      </c>
      <c r="DK108" s="86">
        <f t="shared" si="236"/>
        <v>1002</v>
      </c>
      <c r="DL108" s="87">
        <f t="shared" si="237"/>
        <v>948</v>
      </c>
      <c r="DM108" s="87">
        <f t="shared" si="238"/>
        <v>611</v>
      </c>
      <c r="DN108" s="87">
        <f t="shared" si="239"/>
        <v>530</v>
      </c>
      <c r="DO108" s="87">
        <f t="shared" si="240"/>
        <v>573</v>
      </c>
      <c r="DP108" s="87">
        <f t="shared" si="241"/>
        <v>597</v>
      </c>
      <c r="DQ108" s="87">
        <f t="shared" si="242"/>
        <v>791</v>
      </c>
      <c r="DR108" s="87">
        <f t="shared" si="218"/>
        <v>360</v>
      </c>
      <c r="DS108" s="87">
        <f t="shared" si="243"/>
        <v>471</v>
      </c>
      <c r="DT108" s="87">
        <f t="shared" ref="DT108:DT130" si="244">BL108+CP108</f>
        <v>666</v>
      </c>
      <c r="DU108" s="87">
        <f t="shared" ref="DU108:DU130" si="245">BM108+CQ108</f>
        <v>773.33333333333337</v>
      </c>
      <c r="DV108" s="87">
        <f t="shared" ref="DV108:DV130" si="246">BN108+CR108</f>
        <v>0</v>
      </c>
      <c r="DW108" s="87">
        <f t="shared" ref="DW108:DW130" si="247">BO108+CS108</f>
        <v>0</v>
      </c>
    </row>
    <row r="109" spans="1:127">
      <c r="A109" s="22" t="s">
        <v>4</v>
      </c>
      <c r="B109" s="26">
        <v>4987176154019</v>
      </c>
      <c r="C109" s="22" t="s">
        <v>85</v>
      </c>
      <c r="D109" s="22" t="s">
        <v>12</v>
      </c>
      <c r="E109" s="22">
        <v>173223</v>
      </c>
      <c r="F109" s="80" t="s">
        <v>215</v>
      </c>
      <c r="G109" s="25">
        <v>235</v>
      </c>
      <c r="H109" s="85">
        <f t="shared" si="188"/>
        <v>123610</v>
      </c>
      <c r="I109" s="85">
        <f t="shared" si="189"/>
        <v>225600</v>
      </c>
      <c r="J109" s="85">
        <f t="shared" si="190"/>
        <v>180480</v>
      </c>
      <c r="K109" s="85">
        <f t="shared" si="191"/>
        <v>176250</v>
      </c>
      <c r="L109" s="85">
        <f t="shared" si="192"/>
        <v>188000</v>
      </c>
      <c r="M109" s="86">
        <f t="shared" si="193"/>
        <v>156040</v>
      </c>
      <c r="N109" s="87">
        <f t="shared" si="194"/>
        <v>158390</v>
      </c>
      <c r="O109" s="87">
        <f t="shared" si="195"/>
        <v>186355</v>
      </c>
      <c r="P109" s="87">
        <f t="shared" si="196"/>
        <v>137240</v>
      </c>
      <c r="Q109" s="87">
        <f t="shared" si="197"/>
        <v>208210</v>
      </c>
      <c r="R109" s="87">
        <f t="shared" si="198"/>
        <v>248630</v>
      </c>
      <c r="S109" s="87">
        <f t="shared" si="199"/>
        <v>251920</v>
      </c>
      <c r="T109" s="87">
        <f t="shared" si="200"/>
        <v>204920</v>
      </c>
      <c r="U109" s="87">
        <f t="shared" si="201"/>
        <v>125020</v>
      </c>
      <c r="V109" s="87">
        <f t="shared" si="202"/>
        <v>127370</v>
      </c>
      <c r="W109" s="87">
        <f t="shared" si="203"/>
        <v>137005</v>
      </c>
      <c r="X109" s="87">
        <f t="shared" si="204"/>
        <v>222310</v>
      </c>
      <c r="Y109" s="86">
        <f t="shared" si="205"/>
        <v>181185</v>
      </c>
      <c r="Z109" s="87">
        <f t="shared" si="206"/>
        <v>201160</v>
      </c>
      <c r="AA109" s="87">
        <f t="shared" si="207"/>
        <v>151340</v>
      </c>
      <c r="AB109" s="87">
        <f t="shared" si="208"/>
        <v>216200</v>
      </c>
      <c r="AC109" s="87">
        <f t="shared" si="209"/>
        <v>471880</v>
      </c>
      <c r="AD109" s="87">
        <f t="shared" si="210"/>
        <v>132540</v>
      </c>
      <c r="AE109" s="87">
        <f t="shared" si="211"/>
        <v>174605</v>
      </c>
      <c r="AF109" s="87">
        <f t="shared" si="212"/>
        <v>325945</v>
      </c>
      <c r="AG109" s="87">
        <f t="shared" si="213"/>
        <v>298215</v>
      </c>
      <c r="AH109" s="87">
        <f t="shared" si="214"/>
        <v>156980</v>
      </c>
      <c r="AI109" s="87">
        <f t="shared" si="215"/>
        <v>184631.66666666666</v>
      </c>
      <c r="AJ109" s="87">
        <f t="shared" si="216"/>
        <v>0</v>
      </c>
      <c r="AK109" s="86">
        <f t="shared" si="217"/>
        <v>0</v>
      </c>
      <c r="AL109" s="85">
        <v>483</v>
      </c>
      <c r="AM109" s="85">
        <v>914</v>
      </c>
      <c r="AN109" s="85">
        <v>693</v>
      </c>
      <c r="AO109" s="85">
        <v>711</v>
      </c>
      <c r="AP109" s="85">
        <v>757</v>
      </c>
      <c r="AQ109" s="86">
        <v>584</v>
      </c>
      <c r="AR109" s="87">
        <v>618</v>
      </c>
      <c r="AS109" s="87">
        <v>726</v>
      </c>
      <c r="AT109" s="87">
        <v>526</v>
      </c>
      <c r="AU109" s="87">
        <v>839</v>
      </c>
      <c r="AV109" s="87">
        <v>914</v>
      </c>
      <c r="AW109" s="87">
        <v>1065</v>
      </c>
      <c r="AX109" s="87">
        <v>833</v>
      </c>
      <c r="AY109" s="87">
        <v>498</v>
      </c>
      <c r="AZ109" s="87">
        <v>479</v>
      </c>
      <c r="BA109" s="87">
        <v>541</v>
      </c>
      <c r="BB109" s="87">
        <v>750</v>
      </c>
      <c r="BC109" s="86">
        <v>691</v>
      </c>
      <c r="BD109" s="87">
        <v>798</v>
      </c>
      <c r="BE109" s="87">
        <v>596</v>
      </c>
      <c r="BF109" s="87">
        <v>842</v>
      </c>
      <c r="BG109" s="87">
        <v>1910</v>
      </c>
      <c r="BH109" s="87">
        <v>501</v>
      </c>
      <c r="BI109" s="87">
        <v>729</v>
      </c>
      <c r="BJ109" s="40">
        <v>1326</v>
      </c>
      <c r="BK109" s="40">
        <v>1251</v>
      </c>
      <c r="BL109" s="40">
        <v>650</v>
      </c>
      <c r="BM109" s="40">
        <v>735</v>
      </c>
      <c r="BO109" s="86"/>
      <c r="BP109" s="21">
        <v>43</v>
      </c>
      <c r="BQ109" s="21">
        <v>46</v>
      </c>
      <c r="BR109" s="21">
        <v>75</v>
      </c>
      <c r="BS109" s="21">
        <v>39</v>
      </c>
      <c r="BT109" s="21">
        <v>43</v>
      </c>
      <c r="BU109" s="42">
        <v>80</v>
      </c>
      <c r="BV109" s="21">
        <v>56</v>
      </c>
      <c r="BW109" s="21">
        <v>67</v>
      </c>
      <c r="BX109" s="21">
        <v>58</v>
      </c>
      <c r="BY109" s="21">
        <v>47</v>
      </c>
      <c r="BZ109" s="21">
        <v>144</v>
      </c>
      <c r="CA109" s="21">
        <v>7</v>
      </c>
      <c r="CB109" s="21">
        <v>39</v>
      </c>
      <c r="CC109" s="21">
        <v>34</v>
      </c>
      <c r="CD109" s="21">
        <v>63</v>
      </c>
      <c r="CE109" s="21">
        <v>42</v>
      </c>
      <c r="CF109" s="21">
        <v>196</v>
      </c>
      <c r="CG109" s="42">
        <v>80</v>
      </c>
      <c r="CH109" s="21">
        <v>58</v>
      </c>
      <c r="CI109" s="21">
        <v>48</v>
      </c>
      <c r="CJ109" s="21">
        <v>78</v>
      </c>
      <c r="CK109" s="21">
        <v>98</v>
      </c>
      <c r="CL109" s="21">
        <v>63</v>
      </c>
      <c r="CM109" s="21">
        <v>14</v>
      </c>
      <c r="CN109" s="21">
        <v>61</v>
      </c>
      <c r="CO109" s="21">
        <v>18</v>
      </c>
      <c r="CP109" s="21">
        <f t="shared" si="158"/>
        <v>18</v>
      </c>
      <c r="CQ109" s="344">
        <f t="shared" si="159"/>
        <v>50.666666666666664</v>
      </c>
      <c r="CR109" s="87"/>
      <c r="CS109" s="86"/>
      <c r="CT109" s="85">
        <f t="shared" si="219"/>
        <v>526</v>
      </c>
      <c r="CU109" s="85">
        <f t="shared" si="220"/>
        <v>960</v>
      </c>
      <c r="CV109" s="85">
        <f t="shared" si="221"/>
        <v>768</v>
      </c>
      <c r="CW109" s="85">
        <f t="shared" si="222"/>
        <v>750</v>
      </c>
      <c r="CX109" s="85">
        <f t="shared" si="223"/>
        <v>800</v>
      </c>
      <c r="CY109" s="86">
        <f t="shared" si="224"/>
        <v>664</v>
      </c>
      <c r="CZ109" s="87">
        <f t="shared" si="225"/>
        <v>674</v>
      </c>
      <c r="DA109" s="87">
        <f t="shared" si="226"/>
        <v>793</v>
      </c>
      <c r="DB109" s="87">
        <f t="shared" si="227"/>
        <v>584</v>
      </c>
      <c r="DC109" s="87">
        <f t="shared" si="228"/>
        <v>886</v>
      </c>
      <c r="DD109" s="87">
        <f t="shared" si="229"/>
        <v>1058</v>
      </c>
      <c r="DE109" s="87">
        <f t="shared" si="230"/>
        <v>1072</v>
      </c>
      <c r="DF109" s="87">
        <f t="shared" si="231"/>
        <v>872</v>
      </c>
      <c r="DG109" s="87">
        <f t="shared" si="232"/>
        <v>532</v>
      </c>
      <c r="DH109" s="87">
        <f t="shared" si="233"/>
        <v>542</v>
      </c>
      <c r="DI109" s="87">
        <f t="shared" si="234"/>
        <v>583</v>
      </c>
      <c r="DJ109" s="87">
        <f t="shared" si="235"/>
        <v>946</v>
      </c>
      <c r="DK109" s="86">
        <f t="shared" si="236"/>
        <v>771</v>
      </c>
      <c r="DL109" s="87">
        <f t="shared" si="237"/>
        <v>856</v>
      </c>
      <c r="DM109" s="87">
        <f t="shared" si="238"/>
        <v>644</v>
      </c>
      <c r="DN109" s="87">
        <f t="shared" si="239"/>
        <v>920</v>
      </c>
      <c r="DO109" s="87">
        <f t="shared" si="240"/>
        <v>2008</v>
      </c>
      <c r="DP109" s="87">
        <f t="shared" si="241"/>
        <v>564</v>
      </c>
      <c r="DQ109" s="87">
        <f t="shared" si="242"/>
        <v>743</v>
      </c>
      <c r="DR109" s="87">
        <f t="shared" si="218"/>
        <v>1387</v>
      </c>
      <c r="DS109" s="87">
        <f t="shared" si="243"/>
        <v>1269</v>
      </c>
      <c r="DT109" s="87">
        <f t="shared" si="244"/>
        <v>668</v>
      </c>
      <c r="DU109" s="87">
        <f t="shared" si="245"/>
        <v>785.66666666666663</v>
      </c>
      <c r="DV109" s="87">
        <f t="shared" si="246"/>
        <v>0</v>
      </c>
      <c r="DW109" s="87">
        <f t="shared" si="247"/>
        <v>0</v>
      </c>
    </row>
    <row r="110" spans="1:127">
      <c r="A110" s="22" t="s">
        <v>4</v>
      </c>
      <c r="B110" s="26">
        <v>4987176154026</v>
      </c>
      <c r="C110" s="22" t="s">
        <v>85</v>
      </c>
      <c r="D110" s="22" t="s">
        <v>12</v>
      </c>
      <c r="E110" s="22">
        <v>173245</v>
      </c>
      <c r="F110" s="80" t="s">
        <v>216</v>
      </c>
      <c r="G110" s="25">
        <v>235</v>
      </c>
      <c r="H110" s="85">
        <f t="shared" si="188"/>
        <v>211030</v>
      </c>
      <c r="I110" s="85">
        <f t="shared" si="189"/>
        <v>408430</v>
      </c>
      <c r="J110" s="85">
        <f t="shared" si="190"/>
        <v>250275</v>
      </c>
      <c r="K110" s="85">
        <f t="shared" si="191"/>
        <v>253095</v>
      </c>
      <c r="L110" s="85">
        <f t="shared" si="192"/>
        <v>268840</v>
      </c>
      <c r="M110" s="86">
        <f t="shared" si="193"/>
        <v>218080</v>
      </c>
      <c r="N110" s="87">
        <f t="shared" si="194"/>
        <v>237820</v>
      </c>
      <c r="O110" s="87">
        <f t="shared" si="195"/>
        <v>251215</v>
      </c>
      <c r="P110" s="87">
        <f t="shared" si="196"/>
        <v>237115</v>
      </c>
      <c r="Q110" s="87">
        <f t="shared" si="197"/>
        <v>315840</v>
      </c>
      <c r="R110" s="87">
        <f t="shared" si="198"/>
        <v>462480</v>
      </c>
      <c r="S110" s="87">
        <f t="shared" si="199"/>
        <v>461540</v>
      </c>
      <c r="T110" s="87">
        <f t="shared" si="200"/>
        <v>390805</v>
      </c>
      <c r="U110" s="87">
        <f t="shared" si="201"/>
        <v>218080</v>
      </c>
      <c r="V110" s="87">
        <f t="shared" si="202"/>
        <v>229125</v>
      </c>
      <c r="W110" s="87">
        <f t="shared" si="203"/>
        <v>234060</v>
      </c>
      <c r="X110" s="87">
        <f t="shared" si="204"/>
        <v>422060</v>
      </c>
      <c r="Y110" s="86">
        <f t="shared" si="205"/>
        <v>311610</v>
      </c>
      <c r="Z110" s="87">
        <f t="shared" si="206"/>
        <v>325475</v>
      </c>
      <c r="AA110" s="87">
        <f t="shared" si="207"/>
        <v>254740</v>
      </c>
      <c r="AB110" s="87">
        <f t="shared" si="208"/>
        <v>341690</v>
      </c>
      <c r="AC110" s="87">
        <f t="shared" si="209"/>
        <v>761165</v>
      </c>
      <c r="AD110" s="87">
        <f t="shared" si="210"/>
        <v>251920</v>
      </c>
      <c r="AE110" s="87">
        <f t="shared" si="211"/>
        <v>349210</v>
      </c>
      <c r="AF110" s="87">
        <f t="shared" si="212"/>
        <v>623690</v>
      </c>
      <c r="AG110" s="87">
        <f t="shared" si="213"/>
        <v>462010</v>
      </c>
      <c r="AH110" s="87">
        <f t="shared" si="214"/>
        <v>287875</v>
      </c>
      <c r="AI110" s="87">
        <f t="shared" si="215"/>
        <v>332028.88888888888</v>
      </c>
      <c r="AJ110" s="87">
        <f t="shared" si="216"/>
        <v>0</v>
      </c>
      <c r="AK110" s="86">
        <f t="shared" si="217"/>
        <v>0</v>
      </c>
      <c r="AL110" s="85">
        <v>813</v>
      </c>
      <c r="AM110" s="85">
        <v>1645</v>
      </c>
      <c r="AN110" s="85">
        <v>885</v>
      </c>
      <c r="AO110" s="85">
        <v>996</v>
      </c>
      <c r="AP110" s="85">
        <v>1056</v>
      </c>
      <c r="AQ110" s="86">
        <v>793</v>
      </c>
      <c r="AR110" s="87">
        <v>914</v>
      </c>
      <c r="AS110" s="87">
        <v>993</v>
      </c>
      <c r="AT110" s="87">
        <v>893</v>
      </c>
      <c r="AU110" s="87">
        <v>1246</v>
      </c>
      <c r="AV110" s="87">
        <v>1625</v>
      </c>
      <c r="AW110" s="87">
        <v>1906</v>
      </c>
      <c r="AX110" s="87">
        <v>1542</v>
      </c>
      <c r="AY110" s="87">
        <v>848</v>
      </c>
      <c r="AZ110" s="87">
        <v>844</v>
      </c>
      <c r="BA110" s="87">
        <v>914</v>
      </c>
      <c r="BB110" s="87">
        <v>1331</v>
      </c>
      <c r="BC110" s="86">
        <v>1155</v>
      </c>
      <c r="BD110" s="87">
        <v>1268</v>
      </c>
      <c r="BE110" s="87">
        <v>981</v>
      </c>
      <c r="BF110" s="87">
        <v>1297</v>
      </c>
      <c r="BG110" s="87">
        <v>3032</v>
      </c>
      <c r="BH110" s="87">
        <v>957</v>
      </c>
      <c r="BI110" s="87">
        <v>1439</v>
      </c>
      <c r="BJ110" s="40">
        <v>2477</v>
      </c>
      <c r="BK110" s="40">
        <v>1933</v>
      </c>
      <c r="BL110" s="40">
        <v>1192</v>
      </c>
      <c r="BM110" s="40">
        <v>1303</v>
      </c>
      <c r="BO110" s="86"/>
      <c r="BP110" s="21">
        <v>85</v>
      </c>
      <c r="BQ110" s="21">
        <v>93</v>
      </c>
      <c r="BR110" s="21">
        <v>180</v>
      </c>
      <c r="BS110" s="21">
        <v>81</v>
      </c>
      <c r="BT110" s="21">
        <v>88</v>
      </c>
      <c r="BU110" s="42">
        <v>135</v>
      </c>
      <c r="BV110" s="21">
        <v>98</v>
      </c>
      <c r="BW110" s="21">
        <v>76</v>
      </c>
      <c r="BX110" s="21">
        <v>116</v>
      </c>
      <c r="BY110" s="21">
        <v>98</v>
      </c>
      <c r="BZ110" s="21">
        <v>343</v>
      </c>
      <c r="CA110" s="21">
        <v>58</v>
      </c>
      <c r="CB110" s="21">
        <v>121</v>
      </c>
      <c r="CC110" s="21">
        <v>80</v>
      </c>
      <c r="CD110" s="21">
        <v>131</v>
      </c>
      <c r="CE110" s="21">
        <v>82</v>
      </c>
      <c r="CF110" s="21">
        <v>465</v>
      </c>
      <c r="CG110" s="42">
        <v>171</v>
      </c>
      <c r="CH110" s="21">
        <v>117</v>
      </c>
      <c r="CI110" s="21">
        <v>103</v>
      </c>
      <c r="CJ110" s="21">
        <v>157</v>
      </c>
      <c r="CK110" s="21">
        <v>207</v>
      </c>
      <c r="CL110" s="21">
        <v>115</v>
      </c>
      <c r="CM110" s="21">
        <v>47</v>
      </c>
      <c r="CN110" s="21">
        <v>177</v>
      </c>
      <c r="CO110" s="21">
        <v>33</v>
      </c>
      <c r="CP110" s="21">
        <f t="shared" si="158"/>
        <v>33</v>
      </c>
      <c r="CQ110" s="344">
        <f t="shared" si="159"/>
        <v>109.88888888888889</v>
      </c>
      <c r="CR110" s="87"/>
      <c r="CS110" s="86"/>
      <c r="CT110" s="85">
        <f t="shared" si="219"/>
        <v>898</v>
      </c>
      <c r="CU110" s="85">
        <f t="shared" si="220"/>
        <v>1738</v>
      </c>
      <c r="CV110" s="85">
        <f t="shared" si="221"/>
        <v>1065</v>
      </c>
      <c r="CW110" s="85">
        <f t="shared" si="222"/>
        <v>1077</v>
      </c>
      <c r="CX110" s="85">
        <f t="shared" si="223"/>
        <v>1144</v>
      </c>
      <c r="CY110" s="86">
        <f t="shared" si="224"/>
        <v>928</v>
      </c>
      <c r="CZ110" s="87">
        <f t="shared" si="225"/>
        <v>1012</v>
      </c>
      <c r="DA110" s="87">
        <f t="shared" si="226"/>
        <v>1069</v>
      </c>
      <c r="DB110" s="87">
        <f t="shared" si="227"/>
        <v>1009</v>
      </c>
      <c r="DC110" s="87">
        <f t="shared" si="228"/>
        <v>1344</v>
      </c>
      <c r="DD110" s="87">
        <f t="shared" si="229"/>
        <v>1968</v>
      </c>
      <c r="DE110" s="87">
        <f t="shared" si="230"/>
        <v>1964</v>
      </c>
      <c r="DF110" s="87">
        <f t="shared" si="231"/>
        <v>1663</v>
      </c>
      <c r="DG110" s="87">
        <f t="shared" si="232"/>
        <v>928</v>
      </c>
      <c r="DH110" s="87">
        <f t="shared" si="233"/>
        <v>975</v>
      </c>
      <c r="DI110" s="87">
        <f t="shared" si="234"/>
        <v>996</v>
      </c>
      <c r="DJ110" s="87">
        <f t="shared" si="235"/>
        <v>1796</v>
      </c>
      <c r="DK110" s="86">
        <f t="shared" si="236"/>
        <v>1326</v>
      </c>
      <c r="DL110" s="87">
        <f t="shared" si="237"/>
        <v>1385</v>
      </c>
      <c r="DM110" s="87">
        <f t="shared" si="238"/>
        <v>1084</v>
      </c>
      <c r="DN110" s="87">
        <f t="shared" si="239"/>
        <v>1454</v>
      </c>
      <c r="DO110" s="87">
        <f t="shared" si="240"/>
        <v>3239</v>
      </c>
      <c r="DP110" s="87">
        <f t="shared" si="241"/>
        <v>1072</v>
      </c>
      <c r="DQ110" s="87">
        <f t="shared" si="242"/>
        <v>1486</v>
      </c>
      <c r="DR110" s="87">
        <f t="shared" si="218"/>
        <v>2654</v>
      </c>
      <c r="DS110" s="87">
        <f t="shared" si="243"/>
        <v>1966</v>
      </c>
      <c r="DT110" s="87">
        <f t="shared" si="244"/>
        <v>1225</v>
      </c>
      <c r="DU110" s="87">
        <f t="shared" si="245"/>
        <v>1412.8888888888889</v>
      </c>
      <c r="DV110" s="87">
        <f t="shared" si="246"/>
        <v>0</v>
      </c>
      <c r="DW110" s="87">
        <f t="shared" si="247"/>
        <v>0</v>
      </c>
    </row>
    <row r="111" spans="1:127">
      <c r="A111" s="22" t="s">
        <v>4</v>
      </c>
      <c r="B111" s="26">
        <v>4987176209764</v>
      </c>
      <c r="C111" s="22" t="s">
        <v>85</v>
      </c>
      <c r="D111" s="22" t="s">
        <v>12</v>
      </c>
      <c r="E111" s="22">
        <v>221895</v>
      </c>
      <c r="F111" s="80" t="s">
        <v>217</v>
      </c>
      <c r="G111" s="25">
        <v>219.29999999999998</v>
      </c>
      <c r="H111" s="85">
        <f t="shared" si="188"/>
        <v>94079.7</v>
      </c>
      <c r="I111" s="85">
        <f t="shared" si="189"/>
        <v>152852.09999999998</v>
      </c>
      <c r="J111" s="85">
        <f t="shared" si="190"/>
        <v>142106.4</v>
      </c>
      <c r="K111" s="85">
        <f t="shared" si="191"/>
        <v>107895.59999999999</v>
      </c>
      <c r="L111" s="85">
        <f t="shared" si="192"/>
        <v>127851.9</v>
      </c>
      <c r="M111" s="86">
        <f t="shared" si="193"/>
        <v>105044.7</v>
      </c>
      <c r="N111" s="87">
        <f t="shared" si="194"/>
        <v>104167.49999999999</v>
      </c>
      <c r="O111" s="87">
        <f t="shared" si="195"/>
        <v>83772.599999999991</v>
      </c>
      <c r="P111" s="87">
        <f t="shared" si="196"/>
        <v>83991.9</v>
      </c>
      <c r="Q111" s="87">
        <f t="shared" si="197"/>
        <v>98246.399999999994</v>
      </c>
      <c r="R111" s="87">
        <f t="shared" si="198"/>
        <v>182676.9</v>
      </c>
      <c r="S111" s="87">
        <f t="shared" si="199"/>
        <v>132457.19999999998</v>
      </c>
      <c r="T111" s="87">
        <f t="shared" si="200"/>
        <v>124562.4</v>
      </c>
      <c r="U111" s="87">
        <f t="shared" si="201"/>
        <v>86623.5</v>
      </c>
      <c r="V111" s="87">
        <f t="shared" si="202"/>
        <v>80263.799999999988</v>
      </c>
      <c r="W111" s="87">
        <f t="shared" si="203"/>
        <v>83772.599999999991</v>
      </c>
      <c r="X111" s="87">
        <f t="shared" si="204"/>
        <v>116228.99999999999</v>
      </c>
      <c r="Y111" s="86">
        <f t="shared" si="205"/>
        <v>102193.79999999999</v>
      </c>
      <c r="Z111" s="87">
        <f t="shared" si="206"/>
        <v>109649.99999999999</v>
      </c>
      <c r="AA111" s="87">
        <f t="shared" si="207"/>
        <v>88597.2</v>
      </c>
      <c r="AB111" s="87">
        <f t="shared" si="208"/>
        <v>106799.09999999999</v>
      </c>
      <c r="AC111" s="87">
        <f t="shared" si="209"/>
        <v>106141.2</v>
      </c>
      <c r="AD111" s="87">
        <f t="shared" si="210"/>
        <v>66886.5</v>
      </c>
      <c r="AE111" s="87">
        <f t="shared" si="211"/>
        <v>69737.399999999994</v>
      </c>
      <c r="AF111" s="87">
        <f t="shared" si="212"/>
        <v>38377.5</v>
      </c>
      <c r="AG111" s="87">
        <f t="shared" si="213"/>
        <v>94956.9</v>
      </c>
      <c r="AH111" s="87">
        <f t="shared" si="214"/>
        <v>64912.799999999996</v>
      </c>
      <c r="AI111" s="87">
        <f t="shared" si="215"/>
        <v>58626.19999999999</v>
      </c>
      <c r="AJ111" s="87">
        <f t="shared" si="216"/>
        <v>0</v>
      </c>
      <c r="AK111" s="86">
        <f t="shared" si="217"/>
        <v>0</v>
      </c>
      <c r="AL111" s="85">
        <v>307</v>
      </c>
      <c r="AM111" s="85">
        <v>580</v>
      </c>
      <c r="AN111" s="85">
        <v>479</v>
      </c>
      <c r="AO111" s="85">
        <v>478</v>
      </c>
      <c r="AP111" s="85">
        <v>504</v>
      </c>
      <c r="AQ111" s="86">
        <v>359</v>
      </c>
      <c r="AR111" s="87">
        <v>372</v>
      </c>
      <c r="AS111" s="87">
        <v>329</v>
      </c>
      <c r="AT111" s="87">
        <v>274</v>
      </c>
      <c r="AU111" s="87">
        <v>371</v>
      </c>
      <c r="AV111" s="87">
        <v>507</v>
      </c>
      <c r="AW111" s="87">
        <v>561</v>
      </c>
      <c r="AX111" s="87">
        <v>449</v>
      </c>
      <c r="AY111" s="87">
        <v>324</v>
      </c>
      <c r="AZ111" s="87">
        <v>298</v>
      </c>
      <c r="BA111" s="87">
        <v>318</v>
      </c>
      <c r="BB111" s="87">
        <v>388</v>
      </c>
      <c r="BC111" s="86">
        <v>398</v>
      </c>
      <c r="BD111" s="87">
        <v>404</v>
      </c>
      <c r="BE111" s="87">
        <v>338</v>
      </c>
      <c r="BF111" s="87">
        <v>378</v>
      </c>
      <c r="BG111" s="87">
        <v>409</v>
      </c>
      <c r="BH111" s="87">
        <v>203</v>
      </c>
      <c r="BI111" s="87">
        <v>285</v>
      </c>
      <c r="BJ111" s="40">
        <v>129</v>
      </c>
      <c r="BK111" s="40">
        <v>353</v>
      </c>
      <c r="BL111" s="40">
        <v>216</v>
      </c>
      <c r="BM111" s="40">
        <v>191</v>
      </c>
      <c r="BO111" s="86"/>
      <c r="BP111" s="21">
        <v>122</v>
      </c>
      <c r="BQ111" s="21">
        <v>117</v>
      </c>
      <c r="BR111" s="21">
        <v>169</v>
      </c>
      <c r="BS111" s="21">
        <v>14</v>
      </c>
      <c r="BT111" s="21">
        <v>79</v>
      </c>
      <c r="BU111" s="42">
        <v>120</v>
      </c>
      <c r="BV111" s="21">
        <v>103</v>
      </c>
      <c r="BW111" s="21">
        <v>53</v>
      </c>
      <c r="BX111" s="21">
        <v>109</v>
      </c>
      <c r="BY111" s="21">
        <v>77</v>
      </c>
      <c r="BZ111" s="21">
        <v>326</v>
      </c>
      <c r="CA111" s="21">
        <v>43</v>
      </c>
      <c r="CB111" s="21">
        <v>119</v>
      </c>
      <c r="CC111" s="21">
        <v>71</v>
      </c>
      <c r="CD111" s="21">
        <v>68</v>
      </c>
      <c r="CE111" s="21">
        <v>64</v>
      </c>
      <c r="CF111" s="21">
        <v>142</v>
      </c>
      <c r="CG111" s="42">
        <v>68</v>
      </c>
      <c r="CH111" s="21">
        <v>96</v>
      </c>
      <c r="CI111" s="21">
        <v>66</v>
      </c>
      <c r="CJ111" s="21">
        <v>109</v>
      </c>
      <c r="CK111" s="21">
        <v>75</v>
      </c>
      <c r="CL111" s="21">
        <v>102</v>
      </c>
      <c r="CM111" s="21">
        <v>33</v>
      </c>
      <c r="CN111" s="21">
        <v>46</v>
      </c>
      <c r="CO111" s="21">
        <v>80</v>
      </c>
      <c r="CP111" s="21">
        <f t="shared" si="158"/>
        <v>80</v>
      </c>
      <c r="CQ111" s="344">
        <f t="shared" si="159"/>
        <v>76.333333333333329</v>
      </c>
      <c r="CR111" s="87"/>
      <c r="CS111" s="86"/>
      <c r="CT111" s="85">
        <f t="shared" si="219"/>
        <v>429</v>
      </c>
      <c r="CU111" s="85">
        <f t="shared" si="220"/>
        <v>697</v>
      </c>
      <c r="CV111" s="85">
        <f t="shared" si="221"/>
        <v>648</v>
      </c>
      <c r="CW111" s="85">
        <f t="shared" si="222"/>
        <v>492</v>
      </c>
      <c r="CX111" s="85">
        <f t="shared" si="223"/>
        <v>583</v>
      </c>
      <c r="CY111" s="86">
        <f t="shared" si="224"/>
        <v>479</v>
      </c>
      <c r="CZ111" s="87">
        <f t="shared" si="225"/>
        <v>475</v>
      </c>
      <c r="DA111" s="87">
        <f t="shared" si="226"/>
        <v>382</v>
      </c>
      <c r="DB111" s="87">
        <f t="shared" si="227"/>
        <v>383</v>
      </c>
      <c r="DC111" s="87">
        <f t="shared" si="228"/>
        <v>448</v>
      </c>
      <c r="DD111" s="87">
        <f t="shared" si="229"/>
        <v>833</v>
      </c>
      <c r="DE111" s="87">
        <f t="shared" si="230"/>
        <v>604</v>
      </c>
      <c r="DF111" s="87">
        <f t="shared" si="231"/>
        <v>568</v>
      </c>
      <c r="DG111" s="87">
        <f t="shared" si="232"/>
        <v>395</v>
      </c>
      <c r="DH111" s="87">
        <f t="shared" si="233"/>
        <v>366</v>
      </c>
      <c r="DI111" s="87">
        <f t="shared" si="234"/>
        <v>382</v>
      </c>
      <c r="DJ111" s="87">
        <f t="shared" si="235"/>
        <v>530</v>
      </c>
      <c r="DK111" s="86">
        <f t="shared" si="236"/>
        <v>466</v>
      </c>
      <c r="DL111" s="87">
        <f t="shared" si="237"/>
        <v>500</v>
      </c>
      <c r="DM111" s="87">
        <f t="shared" si="238"/>
        <v>404</v>
      </c>
      <c r="DN111" s="87">
        <f t="shared" si="239"/>
        <v>487</v>
      </c>
      <c r="DO111" s="87">
        <f t="shared" si="240"/>
        <v>484</v>
      </c>
      <c r="DP111" s="87">
        <f t="shared" si="241"/>
        <v>305</v>
      </c>
      <c r="DQ111" s="87">
        <f t="shared" si="242"/>
        <v>318</v>
      </c>
      <c r="DR111" s="87">
        <f t="shared" si="218"/>
        <v>175</v>
      </c>
      <c r="DS111" s="87">
        <f t="shared" si="243"/>
        <v>433</v>
      </c>
      <c r="DT111" s="87">
        <f t="shared" si="244"/>
        <v>296</v>
      </c>
      <c r="DU111" s="87">
        <f t="shared" si="245"/>
        <v>267.33333333333331</v>
      </c>
      <c r="DV111" s="87">
        <f t="shared" si="246"/>
        <v>0</v>
      </c>
      <c r="DW111" s="87">
        <f t="shared" si="247"/>
        <v>0</v>
      </c>
    </row>
    <row r="112" spans="1:127">
      <c r="A112" s="22" t="s">
        <v>4</v>
      </c>
      <c r="B112" s="26">
        <v>4987176209757</v>
      </c>
      <c r="C112" s="22" t="s">
        <v>85</v>
      </c>
      <c r="D112" s="22" t="s">
        <v>12</v>
      </c>
      <c r="E112" s="22">
        <v>221900</v>
      </c>
      <c r="F112" s="80" t="s">
        <v>218</v>
      </c>
      <c r="G112" s="25">
        <v>53.9</v>
      </c>
      <c r="H112" s="85">
        <f t="shared" si="188"/>
        <v>460252.1</v>
      </c>
      <c r="I112" s="85">
        <f t="shared" si="189"/>
        <v>118041</v>
      </c>
      <c r="J112" s="85">
        <f t="shared" si="190"/>
        <v>43389.5</v>
      </c>
      <c r="K112" s="85">
        <f t="shared" si="191"/>
        <v>32825.1</v>
      </c>
      <c r="L112" s="85">
        <f t="shared" si="192"/>
        <v>37083.199999999997</v>
      </c>
      <c r="M112" s="86">
        <f t="shared" si="193"/>
        <v>134534.39999999999</v>
      </c>
      <c r="N112" s="87">
        <f t="shared" si="194"/>
        <v>204766.1</v>
      </c>
      <c r="O112" s="87">
        <f t="shared" si="195"/>
        <v>58158.1</v>
      </c>
      <c r="P112" s="87">
        <f t="shared" si="196"/>
        <v>44144.1</v>
      </c>
      <c r="Q112" s="87">
        <f t="shared" si="197"/>
        <v>24740.1</v>
      </c>
      <c r="R112" s="87">
        <f t="shared" si="198"/>
        <v>191291.1</v>
      </c>
      <c r="S112" s="87">
        <f t="shared" si="199"/>
        <v>364256.2</v>
      </c>
      <c r="T112" s="87">
        <f t="shared" si="200"/>
        <v>27489</v>
      </c>
      <c r="U112" s="87">
        <f t="shared" si="201"/>
        <v>48510</v>
      </c>
      <c r="V112" s="87">
        <f t="shared" si="202"/>
        <v>13798.4</v>
      </c>
      <c r="W112" s="87">
        <f t="shared" si="203"/>
        <v>9809.7999999999993</v>
      </c>
      <c r="X112" s="87">
        <f t="shared" si="204"/>
        <v>9917.6</v>
      </c>
      <c r="Y112" s="86">
        <f t="shared" si="205"/>
        <v>189189</v>
      </c>
      <c r="Z112" s="87">
        <f t="shared" si="206"/>
        <v>296665.59999999998</v>
      </c>
      <c r="AA112" s="87">
        <f t="shared" si="207"/>
        <v>42311.5</v>
      </c>
      <c r="AB112" s="87">
        <f t="shared" si="208"/>
        <v>35358.400000000001</v>
      </c>
      <c r="AC112" s="87">
        <f t="shared" si="209"/>
        <v>47863.199999999997</v>
      </c>
      <c r="AD112" s="87">
        <f t="shared" si="210"/>
        <v>62416.2</v>
      </c>
      <c r="AE112" s="87">
        <f t="shared" si="211"/>
        <v>100577.4</v>
      </c>
      <c r="AF112" s="87">
        <f t="shared" si="212"/>
        <v>33525.799999999996</v>
      </c>
      <c r="AG112" s="87">
        <f t="shared" si="213"/>
        <v>34442.1</v>
      </c>
      <c r="AH112" s="87">
        <f t="shared" si="214"/>
        <v>25063.5</v>
      </c>
      <c r="AI112" s="87">
        <f t="shared" si="215"/>
        <v>28129.81111111111</v>
      </c>
      <c r="AJ112" s="87">
        <f t="shared" si="216"/>
        <v>0</v>
      </c>
      <c r="AK112" s="86">
        <f t="shared" si="217"/>
        <v>0</v>
      </c>
      <c r="AL112" s="85">
        <v>7727</v>
      </c>
      <c r="AM112" s="85">
        <v>1908</v>
      </c>
      <c r="AN112" s="85">
        <v>639</v>
      </c>
      <c r="AO112" s="85">
        <v>489</v>
      </c>
      <c r="AP112" s="85">
        <v>573</v>
      </c>
      <c r="AQ112" s="86">
        <v>2154</v>
      </c>
      <c r="AR112" s="87">
        <v>3155</v>
      </c>
      <c r="AS112" s="87">
        <v>911</v>
      </c>
      <c r="AT112" s="87">
        <v>614</v>
      </c>
      <c r="AU112" s="87">
        <v>368</v>
      </c>
      <c r="AV112" s="87">
        <v>3173</v>
      </c>
      <c r="AW112" s="87">
        <v>6652</v>
      </c>
      <c r="AX112" s="87">
        <v>440</v>
      </c>
      <c r="AY112" s="87">
        <v>252</v>
      </c>
      <c r="AZ112" s="87">
        <v>190</v>
      </c>
      <c r="BA112" s="87">
        <v>144</v>
      </c>
      <c r="BB112" s="87">
        <v>142</v>
      </c>
      <c r="BC112" s="86">
        <v>3165</v>
      </c>
      <c r="BD112" s="87">
        <v>5413</v>
      </c>
      <c r="BE112" s="87">
        <v>732</v>
      </c>
      <c r="BF112" s="87">
        <v>604</v>
      </c>
      <c r="BG112" s="87">
        <v>823</v>
      </c>
      <c r="BH112" s="87">
        <v>985</v>
      </c>
      <c r="BI112" s="87">
        <v>1809</v>
      </c>
      <c r="BJ112" s="40">
        <v>565</v>
      </c>
      <c r="BK112" s="40">
        <v>594</v>
      </c>
      <c r="BL112" s="40">
        <v>420</v>
      </c>
      <c r="BM112" s="40">
        <v>451</v>
      </c>
      <c r="BO112" s="86"/>
      <c r="BP112" s="21">
        <v>812</v>
      </c>
      <c r="BQ112" s="21">
        <v>282</v>
      </c>
      <c r="BR112" s="21">
        <v>166</v>
      </c>
      <c r="BS112" s="21">
        <v>120</v>
      </c>
      <c r="BT112" s="21">
        <v>115</v>
      </c>
      <c r="BU112" s="42">
        <v>342</v>
      </c>
      <c r="BV112" s="21">
        <v>644</v>
      </c>
      <c r="BW112" s="21">
        <v>168</v>
      </c>
      <c r="BX112" s="21">
        <v>205</v>
      </c>
      <c r="BY112" s="21">
        <v>91</v>
      </c>
      <c r="BZ112" s="21">
        <v>376</v>
      </c>
      <c r="CA112" s="21">
        <v>106</v>
      </c>
      <c r="CB112" s="21">
        <v>70</v>
      </c>
      <c r="CC112" s="21">
        <v>648</v>
      </c>
      <c r="CD112" s="21">
        <v>66</v>
      </c>
      <c r="CE112" s="21">
        <v>38</v>
      </c>
      <c r="CF112" s="21">
        <v>42</v>
      </c>
      <c r="CG112" s="42">
        <v>345</v>
      </c>
      <c r="CH112" s="21">
        <v>91</v>
      </c>
      <c r="CI112" s="21">
        <v>53</v>
      </c>
      <c r="CJ112" s="21">
        <v>52</v>
      </c>
      <c r="CK112" s="21">
        <v>65</v>
      </c>
      <c r="CL112" s="21">
        <v>173</v>
      </c>
      <c r="CM112" s="21">
        <v>57</v>
      </c>
      <c r="CN112" s="21">
        <v>57</v>
      </c>
      <c r="CO112" s="21">
        <v>45</v>
      </c>
      <c r="CP112" s="21">
        <f t="shared" si="158"/>
        <v>45</v>
      </c>
      <c r="CQ112" s="344">
        <f t="shared" si="159"/>
        <v>70.888888888888886</v>
      </c>
      <c r="CR112" s="87"/>
      <c r="CS112" s="86"/>
      <c r="CT112" s="85">
        <f t="shared" si="219"/>
        <v>8539</v>
      </c>
      <c r="CU112" s="85">
        <f t="shared" si="220"/>
        <v>2190</v>
      </c>
      <c r="CV112" s="85">
        <f t="shared" si="221"/>
        <v>805</v>
      </c>
      <c r="CW112" s="85">
        <f t="shared" si="222"/>
        <v>609</v>
      </c>
      <c r="CX112" s="85">
        <f t="shared" si="223"/>
        <v>688</v>
      </c>
      <c r="CY112" s="86">
        <f t="shared" si="224"/>
        <v>2496</v>
      </c>
      <c r="CZ112" s="87">
        <f t="shared" si="225"/>
        <v>3799</v>
      </c>
      <c r="DA112" s="87">
        <f t="shared" si="226"/>
        <v>1079</v>
      </c>
      <c r="DB112" s="87">
        <f t="shared" si="227"/>
        <v>819</v>
      </c>
      <c r="DC112" s="87">
        <f t="shared" si="228"/>
        <v>459</v>
      </c>
      <c r="DD112" s="87">
        <f t="shared" si="229"/>
        <v>3549</v>
      </c>
      <c r="DE112" s="87">
        <f t="shared" si="230"/>
        <v>6758</v>
      </c>
      <c r="DF112" s="87">
        <f t="shared" si="231"/>
        <v>510</v>
      </c>
      <c r="DG112" s="87">
        <f t="shared" si="232"/>
        <v>900</v>
      </c>
      <c r="DH112" s="87">
        <f t="shared" si="233"/>
        <v>256</v>
      </c>
      <c r="DI112" s="87">
        <f t="shared" si="234"/>
        <v>182</v>
      </c>
      <c r="DJ112" s="87">
        <f t="shared" si="235"/>
        <v>184</v>
      </c>
      <c r="DK112" s="86">
        <f t="shared" si="236"/>
        <v>3510</v>
      </c>
      <c r="DL112" s="87">
        <f t="shared" si="237"/>
        <v>5504</v>
      </c>
      <c r="DM112" s="87">
        <f t="shared" si="238"/>
        <v>785</v>
      </c>
      <c r="DN112" s="87">
        <f t="shared" si="239"/>
        <v>656</v>
      </c>
      <c r="DO112" s="87">
        <f t="shared" si="240"/>
        <v>888</v>
      </c>
      <c r="DP112" s="87">
        <f t="shared" si="241"/>
        <v>1158</v>
      </c>
      <c r="DQ112" s="87">
        <f t="shared" si="242"/>
        <v>1866</v>
      </c>
      <c r="DR112" s="87">
        <f t="shared" si="218"/>
        <v>622</v>
      </c>
      <c r="DS112" s="87">
        <f t="shared" si="243"/>
        <v>639</v>
      </c>
      <c r="DT112" s="87">
        <f t="shared" si="244"/>
        <v>465</v>
      </c>
      <c r="DU112" s="87">
        <f t="shared" si="245"/>
        <v>521.88888888888891</v>
      </c>
      <c r="DV112" s="87">
        <f t="shared" si="246"/>
        <v>0</v>
      </c>
      <c r="DW112" s="87">
        <f t="shared" si="247"/>
        <v>0</v>
      </c>
    </row>
    <row r="113" spans="1:127">
      <c r="A113" s="22" t="s">
        <v>4</v>
      </c>
      <c r="B113" s="26">
        <v>4987176166647</v>
      </c>
      <c r="C113" s="22" t="s">
        <v>85</v>
      </c>
      <c r="D113" s="22" t="s">
        <v>12</v>
      </c>
      <c r="E113" s="22">
        <v>184196</v>
      </c>
      <c r="F113" s="80" t="s">
        <v>219</v>
      </c>
      <c r="G113" s="25">
        <v>64.3</v>
      </c>
      <c r="H113" s="85">
        <f t="shared" si="188"/>
        <v>388822.1</v>
      </c>
      <c r="I113" s="85">
        <f t="shared" si="189"/>
        <v>106287.9</v>
      </c>
      <c r="J113" s="85">
        <f t="shared" si="190"/>
        <v>222799.5</v>
      </c>
      <c r="K113" s="85">
        <f t="shared" si="191"/>
        <v>217012.5</v>
      </c>
      <c r="L113" s="85">
        <f t="shared" si="192"/>
        <v>56584</v>
      </c>
      <c r="M113" s="86">
        <f t="shared" si="193"/>
        <v>185634.1</v>
      </c>
      <c r="N113" s="87">
        <f t="shared" si="194"/>
        <v>298866.39999999997</v>
      </c>
      <c r="O113" s="87">
        <f t="shared" si="195"/>
        <v>74330.8</v>
      </c>
      <c r="P113" s="87">
        <f t="shared" si="196"/>
        <v>63849.899999999994</v>
      </c>
      <c r="Q113" s="87">
        <f t="shared" si="197"/>
        <v>36200.9</v>
      </c>
      <c r="R113" s="87">
        <f t="shared" si="198"/>
        <v>46681.799999999996</v>
      </c>
      <c r="S113" s="87">
        <f t="shared" si="199"/>
        <v>66743.399999999994</v>
      </c>
      <c r="T113" s="87">
        <f t="shared" si="200"/>
        <v>30928.3</v>
      </c>
      <c r="U113" s="87">
        <f t="shared" si="201"/>
        <v>224728.5</v>
      </c>
      <c r="V113" s="87">
        <f t="shared" si="202"/>
        <v>103072.9</v>
      </c>
      <c r="W113" s="87">
        <f t="shared" si="203"/>
        <v>31957.1</v>
      </c>
      <c r="X113" s="87">
        <f t="shared" si="204"/>
        <v>132586.6</v>
      </c>
      <c r="Y113" s="86">
        <f t="shared" si="205"/>
        <v>78960.399999999994</v>
      </c>
      <c r="Z113" s="87">
        <f t="shared" si="206"/>
        <v>40058.9</v>
      </c>
      <c r="AA113" s="87">
        <f t="shared" si="207"/>
        <v>46939</v>
      </c>
      <c r="AB113" s="87">
        <f t="shared" si="208"/>
        <v>34786.299999999996</v>
      </c>
      <c r="AC113" s="87">
        <f t="shared" si="209"/>
        <v>45460.1</v>
      </c>
      <c r="AD113" s="87">
        <f t="shared" si="210"/>
        <v>26298.699999999997</v>
      </c>
      <c r="AE113" s="87">
        <f t="shared" si="211"/>
        <v>30285.3</v>
      </c>
      <c r="AF113" s="87">
        <f t="shared" si="212"/>
        <v>14274.599999999999</v>
      </c>
      <c r="AG113" s="87">
        <f t="shared" si="213"/>
        <v>17232.399999999998</v>
      </c>
      <c r="AH113" s="87">
        <f t="shared" si="214"/>
        <v>12281.3</v>
      </c>
      <c r="AI113" s="87">
        <f t="shared" si="215"/>
        <v>13417.266666666665</v>
      </c>
      <c r="AJ113" s="87">
        <f t="shared" si="216"/>
        <v>0</v>
      </c>
      <c r="AK113" s="86">
        <f t="shared" si="217"/>
        <v>0</v>
      </c>
      <c r="AL113" s="85">
        <v>5798</v>
      </c>
      <c r="AM113" s="85">
        <v>1569</v>
      </c>
      <c r="AN113" s="85">
        <v>3301</v>
      </c>
      <c r="AO113" s="85">
        <v>3197</v>
      </c>
      <c r="AP113" s="85">
        <v>813</v>
      </c>
      <c r="AQ113" s="86">
        <v>2737</v>
      </c>
      <c r="AR113" s="87">
        <v>4384</v>
      </c>
      <c r="AS113" s="87">
        <v>1079</v>
      </c>
      <c r="AT113" s="87">
        <v>868</v>
      </c>
      <c r="AU113" s="87">
        <v>504</v>
      </c>
      <c r="AV113" s="87">
        <v>624</v>
      </c>
      <c r="AW113" s="87">
        <v>1017</v>
      </c>
      <c r="AX113" s="87">
        <v>464</v>
      </c>
      <c r="AY113" s="87">
        <v>3347</v>
      </c>
      <c r="AZ113" s="87">
        <v>1579</v>
      </c>
      <c r="BA113" s="87">
        <v>467</v>
      </c>
      <c r="BB113" s="87">
        <v>1951</v>
      </c>
      <c r="BC113" s="86">
        <v>1203</v>
      </c>
      <c r="BD113" s="87">
        <v>518</v>
      </c>
      <c r="BE113" s="87">
        <v>712</v>
      </c>
      <c r="BF113" s="87">
        <v>492</v>
      </c>
      <c r="BG113" s="87">
        <v>653</v>
      </c>
      <c r="BH113" s="87">
        <v>405</v>
      </c>
      <c r="BI113" s="87">
        <v>470</v>
      </c>
      <c r="BJ113" s="40">
        <v>222</v>
      </c>
      <c r="BK113" s="40">
        <v>268</v>
      </c>
      <c r="BL113" s="40">
        <v>191</v>
      </c>
      <c r="BM113" s="40">
        <v>183</v>
      </c>
      <c r="BO113" s="86"/>
      <c r="BP113" s="21">
        <v>249</v>
      </c>
      <c r="BQ113" s="21">
        <v>84</v>
      </c>
      <c r="BR113" s="21">
        <v>164</v>
      </c>
      <c r="BS113" s="21">
        <v>178</v>
      </c>
      <c r="BT113" s="21">
        <v>67</v>
      </c>
      <c r="BU113" s="42">
        <v>150</v>
      </c>
      <c r="BV113" s="21">
        <v>264</v>
      </c>
      <c r="BW113" s="21">
        <v>77</v>
      </c>
      <c r="BX113" s="21">
        <v>125</v>
      </c>
      <c r="BY113" s="21">
        <v>59</v>
      </c>
      <c r="BZ113" s="21">
        <v>102</v>
      </c>
      <c r="CA113" s="21">
        <v>21</v>
      </c>
      <c r="CB113" s="21">
        <v>17</v>
      </c>
      <c r="CC113" s="21">
        <v>148</v>
      </c>
      <c r="CD113" s="21">
        <v>24</v>
      </c>
      <c r="CE113" s="21">
        <v>30</v>
      </c>
      <c r="CF113" s="21">
        <v>111</v>
      </c>
      <c r="CG113" s="42">
        <v>25</v>
      </c>
      <c r="CH113" s="21">
        <v>105</v>
      </c>
      <c r="CI113" s="21">
        <v>18</v>
      </c>
      <c r="CJ113" s="21">
        <v>49</v>
      </c>
      <c r="CK113" s="21">
        <v>54</v>
      </c>
      <c r="CL113" s="21">
        <v>4</v>
      </c>
      <c r="CM113" s="21">
        <v>1</v>
      </c>
      <c r="CN113" s="21">
        <v>0</v>
      </c>
      <c r="CO113" s="21">
        <v>0</v>
      </c>
      <c r="CP113" s="21">
        <f t="shared" si="158"/>
        <v>0</v>
      </c>
      <c r="CQ113" s="344">
        <f t="shared" si="159"/>
        <v>25.666666666666668</v>
      </c>
      <c r="CR113" s="87"/>
      <c r="CS113" s="86"/>
      <c r="CT113" s="85">
        <f t="shared" si="219"/>
        <v>6047</v>
      </c>
      <c r="CU113" s="85">
        <f t="shared" si="220"/>
        <v>1653</v>
      </c>
      <c r="CV113" s="85">
        <f t="shared" si="221"/>
        <v>3465</v>
      </c>
      <c r="CW113" s="85">
        <f t="shared" si="222"/>
        <v>3375</v>
      </c>
      <c r="CX113" s="85">
        <f t="shared" si="223"/>
        <v>880</v>
      </c>
      <c r="CY113" s="86">
        <f t="shared" si="224"/>
        <v>2887</v>
      </c>
      <c r="CZ113" s="87">
        <f t="shared" si="225"/>
        <v>4648</v>
      </c>
      <c r="DA113" s="87">
        <f t="shared" si="226"/>
        <v>1156</v>
      </c>
      <c r="DB113" s="87">
        <f t="shared" si="227"/>
        <v>993</v>
      </c>
      <c r="DC113" s="87">
        <f t="shared" si="228"/>
        <v>563</v>
      </c>
      <c r="DD113" s="87">
        <f t="shared" si="229"/>
        <v>726</v>
      </c>
      <c r="DE113" s="87">
        <f t="shared" si="230"/>
        <v>1038</v>
      </c>
      <c r="DF113" s="87">
        <f t="shared" si="231"/>
        <v>481</v>
      </c>
      <c r="DG113" s="87">
        <f t="shared" si="232"/>
        <v>3495</v>
      </c>
      <c r="DH113" s="87">
        <f t="shared" si="233"/>
        <v>1603</v>
      </c>
      <c r="DI113" s="87">
        <f t="shared" si="234"/>
        <v>497</v>
      </c>
      <c r="DJ113" s="87">
        <f t="shared" si="235"/>
        <v>2062</v>
      </c>
      <c r="DK113" s="86">
        <f t="shared" si="236"/>
        <v>1228</v>
      </c>
      <c r="DL113" s="87">
        <f t="shared" si="237"/>
        <v>623</v>
      </c>
      <c r="DM113" s="87">
        <f t="shared" si="238"/>
        <v>730</v>
      </c>
      <c r="DN113" s="87">
        <f t="shared" si="239"/>
        <v>541</v>
      </c>
      <c r="DO113" s="87">
        <f t="shared" si="240"/>
        <v>707</v>
      </c>
      <c r="DP113" s="87">
        <f t="shared" si="241"/>
        <v>409</v>
      </c>
      <c r="DQ113" s="87">
        <f t="shared" si="242"/>
        <v>471</v>
      </c>
      <c r="DR113" s="87">
        <f t="shared" si="218"/>
        <v>222</v>
      </c>
      <c r="DS113" s="87">
        <f t="shared" si="243"/>
        <v>268</v>
      </c>
      <c r="DT113" s="87">
        <f t="shared" si="244"/>
        <v>191</v>
      </c>
      <c r="DU113" s="87">
        <f t="shared" si="245"/>
        <v>208.66666666666666</v>
      </c>
      <c r="DV113" s="87">
        <f t="shared" si="246"/>
        <v>0</v>
      </c>
      <c r="DW113" s="87">
        <f t="shared" si="247"/>
        <v>0</v>
      </c>
    </row>
    <row r="114" spans="1:127">
      <c r="A114" s="22" t="s">
        <v>4</v>
      </c>
      <c r="B114" s="26">
        <v>4987176166678</v>
      </c>
      <c r="C114" s="22" t="s">
        <v>85</v>
      </c>
      <c r="D114" s="22" t="s">
        <v>12</v>
      </c>
      <c r="E114" s="22">
        <v>184243</v>
      </c>
      <c r="F114" s="80" t="s">
        <v>220</v>
      </c>
      <c r="G114" s="25">
        <v>64.3</v>
      </c>
      <c r="H114" s="85">
        <f t="shared" si="188"/>
        <v>553044.29999999993</v>
      </c>
      <c r="I114" s="85">
        <f t="shared" si="189"/>
        <v>96771.5</v>
      </c>
      <c r="J114" s="85">
        <f t="shared" si="190"/>
        <v>338025.1</v>
      </c>
      <c r="K114" s="85">
        <f t="shared" si="191"/>
        <v>277518.8</v>
      </c>
      <c r="L114" s="85">
        <f t="shared" si="192"/>
        <v>68415.199999999997</v>
      </c>
      <c r="M114" s="86">
        <f t="shared" si="193"/>
        <v>275782.7</v>
      </c>
      <c r="N114" s="87">
        <f t="shared" si="194"/>
        <v>401553.5</v>
      </c>
      <c r="O114" s="87">
        <f t="shared" si="195"/>
        <v>75423.899999999994</v>
      </c>
      <c r="P114" s="87">
        <f t="shared" si="196"/>
        <v>67000.599999999991</v>
      </c>
      <c r="Q114" s="87">
        <f t="shared" si="197"/>
        <v>42373.7</v>
      </c>
      <c r="R114" s="87">
        <f t="shared" si="198"/>
        <v>36393.799999999996</v>
      </c>
      <c r="S114" s="87">
        <f t="shared" si="199"/>
        <v>28999.3</v>
      </c>
      <c r="T114" s="87">
        <f t="shared" si="200"/>
        <v>20061.599999999999</v>
      </c>
      <c r="U114" s="87">
        <f t="shared" si="201"/>
        <v>374869</v>
      </c>
      <c r="V114" s="87">
        <f t="shared" si="202"/>
        <v>163322</v>
      </c>
      <c r="W114" s="87">
        <f t="shared" si="203"/>
        <v>43145.299999999996</v>
      </c>
      <c r="X114" s="87">
        <f t="shared" si="204"/>
        <v>42438</v>
      </c>
      <c r="Y114" s="86">
        <f t="shared" si="205"/>
        <v>31957.1</v>
      </c>
      <c r="Z114" s="87">
        <f t="shared" si="206"/>
        <v>44431.299999999996</v>
      </c>
      <c r="AA114" s="87">
        <f t="shared" si="207"/>
        <v>21733.399999999998</v>
      </c>
      <c r="AB114" s="87">
        <f t="shared" si="208"/>
        <v>25527.1</v>
      </c>
      <c r="AC114" s="87">
        <f t="shared" si="209"/>
        <v>32150</v>
      </c>
      <c r="AD114" s="87">
        <f t="shared" si="210"/>
        <v>24884.1</v>
      </c>
      <c r="AE114" s="87">
        <f t="shared" si="211"/>
        <v>27134.6</v>
      </c>
      <c r="AF114" s="87">
        <f t="shared" si="212"/>
        <v>11059.6</v>
      </c>
      <c r="AG114" s="87">
        <f t="shared" si="213"/>
        <v>16396.5</v>
      </c>
      <c r="AH114" s="87">
        <f t="shared" si="214"/>
        <v>8616.1999999999989</v>
      </c>
      <c r="AI114" s="87">
        <f t="shared" si="215"/>
        <v>214061.84444444446</v>
      </c>
      <c r="AJ114" s="87">
        <f t="shared" si="216"/>
        <v>0</v>
      </c>
      <c r="AK114" s="86">
        <f t="shared" si="217"/>
        <v>0</v>
      </c>
      <c r="AL114" s="85">
        <v>8224</v>
      </c>
      <c r="AM114" s="85">
        <v>1330</v>
      </c>
      <c r="AN114" s="85">
        <v>4997</v>
      </c>
      <c r="AO114" s="85">
        <v>3997</v>
      </c>
      <c r="AP114" s="85">
        <v>911</v>
      </c>
      <c r="AQ114" s="86">
        <v>3941</v>
      </c>
      <c r="AR114" s="87">
        <v>5835</v>
      </c>
      <c r="AS114" s="87">
        <v>1033</v>
      </c>
      <c r="AT114" s="87">
        <v>770</v>
      </c>
      <c r="AU114" s="87">
        <v>512</v>
      </c>
      <c r="AV114" s="87">
        <v>410</v>
      </c>
      <c r="AW114" s="87">
        <v>409</v>
      </c>
      <c r="AX114" s="87">
        <v>274</v>
      </c>
      <c r="AY114" s="87">
        <v>5593</v>
      </c>
      <c r="AZ114" s="87">
        <v>2496</v>
      </c>
      <c r="BA114" s="87">
        <v>640</v>
      </c>
      <c r="BB114" s="87">
        <v>626</v>
      </c>
      <c r="BC114" s="86">
        <v>469</v>
      </c>
      <c r="BD114" s="87">
        <v>667</v>
      </c>
      <c r="BE114" s="87">
        <v>321</v>
      </c>
      <c r="BF114" s="87">
        <v>346</v>
      </c>
      <c r="BG114" s="87">
        <v>434</v>
      </c>
      <c r="BH114" s="87">
        <v>330</v>
      </c>
      <c r="BI114" s="87">
        <v>420</v>
      </c>
      <c r="BJ114" s="40">
        <v>172</v>
      </c>
      <c r="BK114" s="40">
        <v>255</v>
      </c>
      <c r="BL114" s="40">
        <v>134</v>
      </c>
      <c r="BM114" s="40">
        <v>3305</v>
      </c>
      <c r="BO114" s="86"/>
      <c r="BP114" s="21">
        <v>377</v>
      </c>
      <c r="BQ114" s="21">
        <v>175</v>
      </c>
      <c r="BR114" s="21">
        <v>260</v>
      </c>
      <c r="BS114" s="21">
        <v>319</v>
      </c>
      <c r="BT114" s="21">
        <v>153</v>
      </c>
      <c r="BU114" s="42">
        <v>348</v>
      </c>
      <c r="BV114" s="21">
        <v>410</v>
      </c>
      <c r="BW114" s="21">
        <v>140</v>
      </c>
      <c r="BX114" s="21">
        <v>272</v>
      </c>
      <c r="BY114" s="21">
        <v>147</v>
      </c>
      <c r="BZ114" s="21">
        <v>156</v>
      </c>
      <c r="CA114" s="21">
        <v>42</v>
      </c>
      <c r="CB114" s="21">
        <v>38</v>
      </c>
      <c r="CC114" s="21">
        <v>237</v>
      </c>
      <c r="CD114" s="21">
        <v>44</v>
      </c>
      <c r="CE114" s="21">
        <v>31</v>
      </c>
      <c r="CF114" s="21">
        <v>34</v>
      </c>
      <c r="CG114" s="42">
        <v>28</v>
      </c>
      <c r="CH114" s="21">
        <v>24</v>
      </c>
      <c r="CI114" s="21">
        <v>17</v>
      </c>
      <c r="CJ114" s="21">
        <v>51</v>
      </c>
      <c r="CK114" s="21">
        <v>66</v>
      </c>
      <c r="CL114" s="21">
        <v>57</v>
      </c>
      <c r="CM114" s="21">
        <v>2</v>
      </c>
      <c r="CN114" s="21">
        <v>0</v>
      </c>
      <c r="CO114" s="21">
        <v>0</v>
      </c>
      <c r="CP114" s="21">
        <f t="shared" si="158"/>
        <v>0</v>
      </c>
      <c r="CQ114" s="344">
        <f t="shared" si="159"/>
        <v>24.111111111111111</v>
      </c>
      <c r="CR114" s="87"/>
      <c r="CS114" s="86"/>
      <c r="CT114" s="85">
        <f t="shared" si="219"/>
        <v>8601</v>
      </c>
      <c r="CU114" s="85">
        <f t="shared" si="220"/>
        <v>1505</v>
      </c>
      <c r="CV114" s="85">
        <f t="shared" si="221"/>
        <v>5257</v>
      </c>
      <c r="CW114" s="85">
        <f t="shared" si="222"/>
        <v>4316</v>
      </c>
      <c r="CX114" s="85">
        <f t="shared" si="223"/>
        <v>1064</v>
      </c>
      <c r="CY114" s="86">
        <f t="shared" si="224"/>
        <v>4289</v>
      </c>
      <c r="CZ114" s="87">
        <f t="shared" si="225"/>
        <v>6245</v>
      </c>
      <c r="DA114" s="87">
        <f t="shared" si="226"/>
        <v>1173</v>
      </c>
      <c r="DB114" s="87">
        <f t="shared" si="227"/>
        <v>1042</v>
      </c>
      <c r="DC114" s="87">
        <f t="shared" si="228"/>
        <v>659</v>
      </c>
      <c r="DD114" s="87">
        <f t="shared" si="229"/>
        <v>566</v>
      </c>
      <c r="DE114" s="87">
        <f t="shared" si="230"/>
        <v>451</v>
      </c>
      <c r="DF114" s="87">
        <f t="shared" si="231"/>
        <v>312</v>
      </c>
      <c r="DG114" s="87">
        <f t="shared" si="232"/>
        <v>5830</v>
      </c>
      <c r="DH114" s="87">
        <f t="shared" si="233"/>
        <v>2540</v>
      </c>
      <c r="DI114" s="87">
        <f t="shared" si="234"/>
        <v>671</v>
      </c>
      <c r="DJ114" s="87">
        <f t="shared" si="235"/>
        <v>660</v>
      </c>
      <c r="DK114" s="86">
        <f t="shared" si="236"/>
        <v>497</v>
      </c>
      <c r="DL114" s="87">
        <f t="shared" si="237"/>
        <v>691</v>
      </c>
      <c r="DM114" s="87">
        <f t="shared" si="238"/>
        <v>338</v>
      </c>
      <c r="DN114" s="87">
        <f t="shared" si="239"/>
        <v>397</v>
      </c>
      <c r="DO114" s="87">
        <f t="shared" si="240"/>
        <v>500</v>
      </c>
      <c r="DP114" s="87">
        <f t="shared" si="241"/>
        <v>387</v>
      </c>
      <c r="DQ114" s="87">
        <f t="shared" si="242"/>
        <v>422</v>
      </c>
      <c r="DR114" s="87">
        <f t="shared" si="218"/>
        <v>172</v>
      </c>
      <c r="DS114" s="87">
        <f t="shared" si="243"/>
        <v>255</v>
      </c>
      <c r="DT114" s="87">
        <f t="shared" si="244"/>
        <v>134</v>
      </c>
      <c r="DU114" s="87">
        <f t="shared" si="245"/>
        <v>3329.1111111111113</v>
      </c>
      <c r="DV114" s="87">
        <f t="shared" si="246"/>
        <v>0</v>
      </c>
      <c r="DW114" s="87">
        <f t="shared" si="247"/>
        <v>0</v>
      </c>
    </row>
    <row r="115" spans="1:127">
      <c r="A115" s="22" t="s">
        <v>4</v>
      </c>
      <c r="B115" s="26">
        <v>4987176281609</v>
      </c>
      <c r="C115" s="22" t="s">
        <v>85</v>
      </c>
      <c r="D115" s="22" t="s">
        <v>86</v>
      </c>
      <c r="E115" s="22">
        <v>254599</v>
      </c>
      <c r="F115" s="80" t="s">
        <v>221</v>
      </c>
      <c r="G115" s="25">
        <v>731.4</v>
      </c>
      <c r="H115" s="85">
        <f t="shared" si="188"/>
        <v>0</v>
      </c>
      <c r="I115" s="85">
        <f t="shared" si="189"/>
        <v>0</v>
      </c>
      <c r="J115" s="85">
        <f t="shared" si="190"/>
        <v>0</v>
      </c>
      <c r="K115" s="85">
        <f t="shared" si="191"/>
        <v>0</v>
      </c>
      <c r="L115" s="85">
        <f t="shared" si="192"/>
        <v>0</v>
      </c>
      <c r="M115" s="86">
        <f t="shared" si="193"/>
        <v>0</v>
      </c>
      <c r="N115" s="87">
        <f t="shared" si="194"/>
        <v>0</v>
      </c>
      <c r="O115" s="87">
        <f t="shared" si="195"/>
        <v>0</v>
      </c>
      <c r="P115" s="87">
        <f t="shared" si="196"/>
        <v>0</v>
      </c>
      <c r="Q115" s="87">
        <f t="shared" si="197"/>
        <v>0</v>
      </c>
      <c r="R115" s="87">
        <f t="shared" si="198"/>
        <v>43884</v>
      </c>
      <c r="S115" s="87">
        <f t="shared" si="199"/>
        <v>130920.59999999999</v>
      </c>
      <c r="T115" s="87">
        <f t="shared" si="200"/>
        <v>197478</v>
      </c>
      <c r="U115" s="87">
        <f t="shared" si="201"/>
        <v>70945.8</v>
      </c>
      <c r="V115" s="87">
        <f t="shared" si="202"/>
        <v>70214.399999999994</v>
      </c>
      <c r="W115" s="87">
        <f t="shared" si="203"/>
        <v>55586.400000000001</v>
      </c>
      <c r="X115" s="87">
        <f t="shared" si="204"/>
        <v>97276.2</v>
      </c>
      <c r="Y115" s="86">
        <f t="shared" si="205"/>
        <v>45346.799999999996</v>
      </c>
      <c r="Z115" s="87">
        <f t="shared" si="206"/>
        <v>50466.6</v>
      </c>
      <c r="AA115" s="87">
        <f t="shared" si="207"/>
        <v>75334.2</v>
      </c>
      <c r="AB115" s="87">
        <f t="shared" si="208"/>
        <v>60706.2</v>
      </c>
      <c r="AC115" s="87">
        <f t="shared" si="209"/>
        <v>66557.399999999994</v>
      </c>
      <c r="AD115" s="87">
        <f t="shared" si="210"/>
        <v>44615.4</v>
      </c>
      <c r="AE115" s="87">
        <f t="shared" si="211"/>
        <v>43152.6</v>
      </c>
      <c r="AF115" s="87">
        <f t="shared" si="212"/>
        <v>17553.599999999999</v>
      </c>
      <c r="AG115" s="87">
        <f t="shared" si="213"/>
        <v>41689.799999999996</v>
      </c>
      <c r="AH115" s="87">
        <f t="shared" si="214"/>
        <v>24136.2</v>
      </c>
      <c r="AI115" s="87">
        <f t="shared" si="215"/>
        <v>26411.666666666668</v>
      </c>
      <c r="AJ115" s="87">
        <f t="shared" si="216"/>
        <v>0</v>
      </c>
      <c r="AK115" s="86">
        <f t="shared" si="217"/>
        <v>0</v>
      </c>
      <c r="AL115" s="85">
        <v>0</v>
      </c>
      <c r="AM115" s="85">
        <v>0</v>
      </c>
      <c r="AN115" s="85">
        <v>0</v>
      </c>
      <c r="AO115" s="85">
        <v>0</v>
      </c>
      <c r="AP115" s="85">
        <v>0</v>
      </c>
      <c r="AQ115" s="86">
        <v>0</v>
      </c>
      <c r="AR115" s="87">
        <v>0</v>
      </c>
      <c r="AS115" s="87">
        <v>0</v>
      </c>
      <c r="AT115" s="87">
        <v>0</v>
      </c>
      <c r="AU115" s="87">
        <v>0</v>
      </c>
      <c r="AV115" s="87">
        <v>51</v>
      </c>
      <c r="AW115" s="87">
        <v>170</v>
      </c>
      <c r="AX115" s="87">
        <v>188</v>
      </c>
      <c r="AY115" s="87">
        <v>88</v>
      </c>
      <c r="AZ115" s="87">
        <v>62</v>
      </c>
      <c r="BA115" s="87">
        <v>74</v>
      </c>
      <c r="BB115" s="87">
        <v>94</v>
      </c>
      <c r="BC115" s="86">
        <v>55</v>
      </c>
      <c r="BD115" s="87">
        <v>68</v>
      </c>
      <c r="BE115" s="87">
        <v>68</v>
      </c>
      <c r="BF115" s="87">
        <v>81</v>
      </c>
      <c r="BG115" s="87">
        <v>64</v>
      </c>
      <c r="BH115" s="87">
        <v>56</v>
      </c>
      <c r="BI115" s="87">
        <v>56</v>
      </c>
      <c r="BJ115" s="40">
        <v>23</v>
      </c>
      <c r="BK115" s="40">
        <v>53</v>
      </c>
      <c r="BL115" s="40">
        <v>29</v>
      </c>
      <c r="BM115" s="40">
        <v>27</v>
      </c>
      <c r="BO115" s="86"/>
      <c r="BP115" s="21">
        <v>0</v>
      </c>
      <c r="BQ115" s="21">
        <v>0</v>
      </c>
      <c r="BR115" s="21">
        <v>0</v>
      </c>
      <c r="BS115" s="21">
        <v>0</v>
      </c>
      <c r="BT115" s="21">
        <v>0</v>
      </c>
      <c r="BU115" s="42">
        <v>0</v>
      </c>
      <c r="BV115" s="21">
        <v>0</v>
      </c>
      <c r="BW115" s="21">
        <v>0</v>
      </c>
      <c r="BX115" s="21">
        <v>0</v>
      </c>
      <c r="BY115" s="21">
        <v>0</v>
      </c>
      <c r="BZ115" s="21">
        <v>9</v>
      </c>
      <c r="CA115" s="21">
        <v>9</v>
      </c>
      <c r="CB115" s="21">
        <v>82</v>
      </c>
      <c r="CC115" s="21">
        <v>9</v>
      </c>
      <c r="CD115" s="21">
        <v>34</v>
      </c>
      <c r="CE115" s="21">
        <v>2</v>
      </c>
      <c r="CF115" s="21">
        <v>39</v>
      </c>
      <c r="CG115" s="42">
        <v>7</v>
      </c>
      <c r="CH115" s="21">
        <v>1</v>
      </c>
      <c r="CI115" s="21">
        <v>35</v>
      </c>
      <c r="CJ115" s="21">
        <v>2</v>
      </c>
      <c r="CK115" s="21">
        <v>27</v>
      </c>
      <c r="CL115" s="21">
        <v>5</v>
      </c>
      <c r="CM115" s="21">
        <v>3</v>
      </c>
      <c r="CN115" s="21">
        <v>1</v>
      </c>
      <c r="CO115" s="21">
        <v>4</v>
      </c>
      <c r="CP115" s="21">
        <f t="shared" si="158"/>
        <v>4</v>
      </c>
      <c r="CQ115" s="344">
        <f t="shared" si="159"/>
        <v>9.1111111111111107</v>
      </c>
      <c r="CR115" s="87"/>
      <c r="CS115" s="86"/>
      <c r="CT115" s="85">
        <f t="shared" si="219"/>
        <v>0</v>
      </c>
      <c r="CU115" s="85">
        <f t="shared" si="220"/>
        <v>0</v>
      </c>
      <c r="CV115" s="85">
        <f t="shared" si="221"/>
        <v>0</v>
      </c>
      <c r="CW115" s="85">
        <f t="shared" si="222"/>
        <v>0</v>
      </c>
      <c r="CX115" s="85">
        <f t="shared" si="223"/>
        <v>0</v>
      </c>
      <c r="CY115" s="86">
        <f t="shared" si="224"/>
        <v>0</v>
      </c>
      <c r="CZ115" s="87">
        <f t="shared" si="225"/>
        <v>0</v>
      </c>
      <c r="DA115" s="87">
        <f t="shared" si="226"/>
        <v>0</v>
      </c>
      <c r="DB115" s="87">
        <f t="shared" si="227"/>
        <v>0</v>
      </c>
      <c r="DC115" s="87">
        <f t="shared" si="228"/>
        <v>0</v>
      </c>
      <c r="DD115" s="87">
        <f t="shared" si="229"/>
        <v>60</v>
      </c>
      <c r="DE115" s="87">
        <f t="shared" si="230"/>
        <v>179</v>
      </c>
      <c r="DF115" s="87">
        <f t="shared" si="231"/>
        <v>270</v>
      </c>
      <c r="DG115" s="87">
        <f t="shared" si="232"/>
        <v>97</v>
      </c>
      <c r="DH115" s="87">
        <f t="shared" si="233"/>
        <v>96</v>
      </c>
      <c r="DI115" s="87">
        <f t="shared" si="234"/>
        <v>76</v>
      </c>
      <c r="DJ115" s="87">
        <f t="shared" si="235"/>
        <v>133</v>
      </c>
      <c r="DK115" s="86">
        <f t="shared" si="236"/>
        <v>62</v>
      </c>
      <c r="DL115" s="87">
        <f t="shared" si="237"/>
        <v>69</v>
      </c>
      <c r="DM115" s="87">
        <f t="shared" si="238"/>
        <v>103</v>
      </c>
      <c r="DN115" s="87">
        <f t="shared" si="239"/>
        <v>83</v>
      </c>
      <c r="DO115" s="87">
        <f t="shared" si="240"/>
        <v>91</v>
      </c>
      <c r="DP115" s="87">
        <f t="shared" si="241"/>
        <v>61</v>
      </c>
      <c r="DQ115" s="87">
        <f t="shared" si="242"/>
        <v>59</v>
      </c>
      <c r="DR115" s="87">
        <f t="shared" si="218"/>
        <v>24</v>
      </c>
      <c r="DS115" s="87">
        <f t="shared" si="243"/>
        <v>57</v>
      </c>
      <c r="DT115" s="87">
        <f t="shared" si="244"/>
        <v>33</v>
      </c>
      <c r="DU115" s="87">
        <f t="shared" si="245"/>
        <v>36.111111111111114</v>
      </c>
      <c r="DV115" s="87">
        <f t="shared" si="246"/>
        <v>0</v>
      </c>
      <c r="DW115" s="87">
        <f t="shared" si="247"/>
        <v>0</v>
      </c>
    </row>
    <row r="116" spans="1:127">
      <c r="A116" s="22" t="s">
        <v>4</v>
      </c>
      <c r="B116" s="26">
        <v>4987176275851</v>
      </c>
      <c r="C116" s="22" t="s">
        <v>85</v>
      </c>
      <c r="D116" s="22" t="s">
        <v>12</v>
      </c>
      <c r="E116" s="22">
        <v>254609</v>
      </c>
      <c r="F116" s="80" t="s">
        <v>222</v>
      </c>
      <c r="G116" s="25">
        <v>97.98</v>
      </c>
      <c r="H116" s="85">
        <f t="shared" si="188"/>
        <v>0</v>
      </c>
      <c r="I116" s="85">
        <f t="shared" si="189"/>
        <v>0</v>
      </c>
      <c r="J116" s="85">
        <f t="shared" si="190"/>
        <v>0</v>
      </c>
      <c r="K116" s="85">
        <f t="shared" si="191"/>
        <v>0</v>
      </c>
      <c r="L116" s="85">
        <f t="shared" si="192"/>
        <v>0</v>
      </c>
      <c r="M116" s="86">
        <f t="shared" si="193"/>
        <v>0</v>
      </c>
      <c r="N116" s="87">
        <f t="shared" si="194"/>
        <v>0</v>
      </c>
      <c r="O116" s="87">
        <f t="shared" si="195"/>
        <v>0</v>
      </c>
      <c r="P116" s="87">
        <f t="shared" si="196"/>
        <v>0</v>
      </c>
      <c r="Q116" s="87">
        <f t="shared" si="197"/>
        <v>0</v>
      </c>
      <c r="R116" s="87">
        <f t="shared" si="198"/>
        <v>38604.120000000003</v>
      </c>
      <c r="S116" s="87">
        <f t="shared" si="199"/>
        <v>102291.12000000001</v>
      </c>
      <c r="T116" s="87">
        <f t="shared" si="200"/>
        <v>41445.54</v>
      </c>
      <c r="U116" s="87">
        <f t="shared" si="201"/>
        <v>26258.639999999999</v>
      </c>
      <c r="V116" s="87">
        <f t="shared" si="202"/>
        <v>21653.58</v>
      </c>
      <c r="W116" s="87">
        <f t="shared" si="203"/>
        <v>25376.82</v>
      </c>
      <c r="X116" s="87">
        <f t="shared" si="204"/>
        <v>153240.72</v>
      </c>
      <c r="Y116" s="86">
        <f t="shared" si="205"/>
        <v>112774.98000000001</v>
      </c>
      <c r="Z116" s="87">
        <f t="shared" si="206"/>
        <v>38996.04</v>
      </c>
      <c r="AA116" s="87">
        <f t="shared" si="207"/>
        <v>21261.66</v>
      </c>
      <c r="AB116" s="87">
        <f t="shared" si="208"/>
        <v>24201.06</v>
      </c>
      <c r="AC116" s="87">
        <f t="shared" si="209"/>
        <v>22241.46</v>
      </c>
      <c r="AD116" s="87">
        <f t="shared" si="210"/>
        <v>18616.2</v>
      </c>
      <c r="AE116" s="87">
        <f t="shared" si="211"/>
        <v>25670.760000000002</v>
      </c>
      <c r="AF116" s="87">
        <f t="shared" si="212"/>
        <v>11757.6</v>
      </c>
      <c r="AG116" s="87">
        <f t="shared" si="213"/>
        <v>17048.52</v>
      </c>
      <c r="AH116" s="87">
        <f t="shared" si="214"/>
        <v>12737.4</v>
      </c>
      <c r="AI116" s="87">
        <f t="shared" si="215"/>
        <v>10516.52</v>
      </c>
      <c r="AJ116" s="87">
        <f t="shared" si="216"/>
        <v>0</v>
      </c>
      <c r="AK116" s="86">
        <f t="shared" si="217"/>
        <v>0</v>
      </c>
      <c r="AL116" s="85">
        <v>0</v>
      </c>
      <c r="AM116" s="85">
        <v>0</v>
      </c>
      <c r="AN116" s="85">
        <v>0</v>
      </c>
      <c r="AO116" s="85">
        <v>0</v>
      </c>
      <c r="AP116" s="85">
        <v>0</v>
      </c>
      <c r="AQ116" s="86">
        <v>0</v>
      </c>
      <c r="AR116" s="87">
        <v>0</v>
      </c>
      <c r="AS116" s="87">
        <v>0</v>
      </c>
      <c r="AT116" s="87">
        <v>0</v>
      </c>
      <c r="AU116" s="87">
        <v>0</v>
      </c>
      <c r="AV116" s="87">
        <v>385</v>
      </c>
      <c r="AW116" s="87">
        <v>1041</v>
      </c>
      <c r="AX116" s="87">
        <v>409</v>
      </c>
      <c r="AY116" s="87">
        <v>254</v>
      </c>
      <c r="AZ116" s="87">
        <v>216</v>
      </c>
      <c r="BA116" s="87">
        <v>255</v>
      </c>
      <c r="BB116" s="87">
        <v>1355</v>
      </c>
      <c r="BC116" s="86">
        <v>1145</v>
      </c>
      <c r="BD116" s="87">
        <v>390</v>
      </c>
      <c r="BE116" s="87">
        <v>206</v>
      </c>
      <c r="BF116" s="87">
        <v>237</v>
      </c>
      <c r="BG116" s="87">
        <v>220</v>
      </c>
      <c r="BH116" s="87">
        <v>183</v>
      </c>
      <c r="BI116" s="87">
        <v>240</v>
      </c>
      <c r="BJ116" s="40">
        <v>104</v>
      </c>
      <c r="BK116" s="40">
        <v>168</v>
      </c>
      <c r="BL116" s="40">
        <v>124</v>
      </c>
      <c r="BM116" s="40">
        <v>97</v>
      </c>
      <c r="BO116" s="86"/>
      <c r="BP116" s="21">
        <v>0</v>
      </c>
      <c r="BQ116" s="21">
        <v>0</v>
      </c>
      <c r="BR116" s="21">
        <v>0</v>
      </c>
      <c r="BS116" s="21">
        <v>0</v>
      </c>
      <c r="BT116" s="21">
        <v>0</v>
      </c>
      <c r="BU116" s="42">
        <v>0</v>
      </c>
      <c r="BV116" s="21">
        <v>0</v>
      </c>
      <c r="BW116" s="21">
        <v>0</v>
      </c>
      <c r="BX116" s="21">
        <v>0</v>
      </c>
      <c r="BY116" s="21">
        <v>0</v>
      </c>
      <c r="BZ116" s="21">
        <v>9</v>
      </c>
      <c r="CA116" s="21">
        <v>3</v>
      </c>
      <c r="CB116" s="21">
        <v>14</v>
      </c>
      <c r="CC116" s="21">
        <v>14</v>
      </c>
      <c r="CD116" s="21">
        <v>5</v>
      </c>
      <c r="CE116" s="21">
        <v>4</v>
      </c>
      <c r="CF116" s="21">
        <v>209</v>
      </c>
      <c r="CG116" s="42">
        <v>6</v>
      </c>
      <c r="CH116" s="21">
        <v>8</v>
      </c>
      <c r="CI116" s="21">
        <v>11</v>
      </c>
      <c r="CJ116" s="21">
        <v>10</v>
      </c>
      <c r="CK116" s="21">
        <v>7</v>
      </c>
      <c r="CL116" s="21">
        <v>7</v>
      </c>
      <c r="CM116" s="21">
        <v>22</v>
      </c>
      <c r="CN116" s="21">
        <v>16</v>
      </c>
      <c r="CO116" s="21">
        <v>6</v>
      </c>
      <c r="CP116" s="21">
        <f t="shared" si="158"/>
        <v>6</v>
      </c>
      <c r="CQ116" s="344">
        <f t="shared" si="159"/>
        <v>10.333333333333334</v>
      </c>
      <c r="CR116" s="87"/>
      <c r="CS116" s="86"/>
      <c r="CT116" s="85">
        <f t="shared" si="219"/>
        <v>0</v>
      </c>
      <c r="CU116" s="85">
        <f t="shared" si="220"/>
        <v>0</v>
      </c>
      <c r="CV116" s="85">
        <f t="shared" si="221"/>
        <v>0</v>
      </c>
      <c r="CW116" s="85">
        <f t="shared" si="222"/>
        <v>0</v>
      </c>
      <c r="CX116" s="85">
        <f t="shared" si="223"/>
        <v>0</v>
      </c>
      <c r="CY116" s="86">
        <f t="shared" si="224"/>
        <v>0</v>
      </c>
      <c r="CZ116" s="87">
        <f t="shared" si="225"/>
        <v>0</v>
      </c>
      <c r="DA116" s="87">
        <f t="shared" si="226"/>
        <v>0</v>
      </c>
      <c r="DB116" s="87">
        <f t="shared" si="227"/>
        <v>0</v>
      </c>
      <c r="DC116" s="87">
        <f t="shared" si="228"/>
        <v>0</v>
      </c>
      <c r="DD116" s="87">
        <f t="shared" si="229"/>
        <v>394</v>
      </c>
      <c r="DE116" s="87">
        <f t="shared" si="230"/>
        <v>1044</v>
      </c>
      <c r="DF116" s="87">
        <f t="shared" si="231"/>
        <v>423</v>
      </c>
      <c r="DG116" s="87">
        <f t="shared" si="232"/>
        <v>268</v>
      </c>
      <c r="DH116" s="87">
        <f t="shared" si="233"/>
        <v>221</v>
      </c>
      <c r="DI116" s="87">
        <f t="shared" si="234"/>
        <v>259</v>
      </c>
      <c r="DJ116" s="87">
        <f t="shared" si="235"/>
        <v>1564</v>
      </c>
      <c r="DK116" s="86">
        <f t="shared" si="236"/>
        <v>1151</v>
      </c>
      <c r="DL116" s="87">
        <f t="shared" si="237"/>
        <v>398</v>
      </c>
      <c r="DM116" s="87">
        <f t="shared" si="238"/>
        <v>217</v>
      </c>
      <c r="DN116" s="87">
        <f t="shared" si="239"/>
        <v>247</v>
      </c>
      <c r="DO116" s="87">
        <f t="shared" si="240"/>
        <v>227</v>
      </c>
      <c r="DP116" s="87">
        <f t="shared" si="241"/>
        <v>190</v>
      </c>
      <c r="DQ116" s="87">
        <f t="shared" si="242"/>
        <v>262</v>
      </c>
      <c r="DR116" s="87">
        <f t="shared" si="218"/>
        <v>120</v>
      </c>
      <c r="DS116" s="87">
        <f t="shared" si="243"/>
        <v>174</v>
      </c>
      <c r="DT116" s="87">
        <f t="shared" si="244"/>
        <v>130</v>
      </c>
      <c r="DU116" s="87">
        <f t="shared" si="245"/>
        <v>107.33333333333333</v>
      </c>
      <c r="DV116" s="87">
        <f t="shared" si="246"/>
        <v>0</v>
      </c>
      <c r="DW116" s="87">
        <f t="shared" si="247"/>
        <v>0</v>
      </c>
    </row>
    <row r="117" spans="1:127">
      <c r="A117" s="22" t="s">
        <v>4</v>
      </c>
      <c r="B117" s="26">
        <v>4987176281593</v>
      </c>
      <c r="C117" s="22" t="s">
        <v>85</v>
      </c>
      <c r="D117" s="22" t="s">
        <v>86</v>
      </c>
      <c r="E117" s="22">
        <v>254714</v>
      </c>
      <c r="F117" s="80" t="s">
        <v>223</v>
      </c>
      <c r="G117" s="25">
        <v>291.5</v>
      </c>
      <c r="H117" s="85">
        <f t="shared" si="188"/>
        <v>0</v>
      </c>
      <c r="I117" s="85">
        <f t="shared" si="189"/>
        <v>0</v>
      </c>
      <c r="J117" s="85">
        <f t="shared" si="190"/>
        <v>0</v>
      </c>
      <c r="K117" s="85">
        <f t="shared" si="191"/>
        <v>0</v>
      </c>
      <c r="L117" s="85">
        <f t="shared" si="192"/>
        <v>0</v>
      </c>
      <c r="M117" s="86">
        <f t="shared" si="193"/>
        <v>0</v>
      </c>
      <c r="N117" s="87">
        <f t="shared" si="194"/>
        <v>0</v>
      </c>
      <c r="O117" s="87">
        <f t="shared" si="195"/>
        <v>0</v>
      </c>
      <c r="P117" s="87">
        <f t="shared" si="196"/>
        <v>0</v>
      </c>
      <c r="Q117" s="87">
        <f t="shared" si="197"/>
        <v>0</v>
      </c>
      <c r="R117" s="87">
        <f t="shared" si="198"/>
        <v>44891</v>
      </c>
      <c r="S117" s="87">
        <f t="shared" si="199"/>
        <v>126511</v>
      </c>
      <c r="T117" s="87">
        <f t="shared" si="200"/>
        <v>87741.5</v>
      </c>
      <c r="U117" s="87">
        <f t="shared" si="201"/>
        <v>51304</v>
      </c>
      <c r="V117" s="87">
        <f t="shared" si="202"/>
        <v>39644</v>
      </c>
      <c r="W117" s="87">
        <f t="shared" si="203"/>
        <v>43142</v>
      </c>
      <c r="X117" s="87">
        <f t="shared" si="204"/>
        <v>58883</v>
      </c>
      <c r="Y117" s="86">
        <f t="shared" si="205"/>
        <v>39352.5</v>
      </c>
      <c r="Z117" s="87">
        <f t="shared" si="206"/>
        <v>41976</v>
      </c>
      <c r="AA117" s="87">
        <f t="shared" si="207"/>
        <v>38769.5</v>
      </c>
      <c r="AB117" s="87">
        <f t="shared" si="208"/>
        <v>44891</v>
      </c>
      <c r="AC117" s="87">
        <f t="shared" si="209"/>
        <v>42267.5</v>
      </c>
      <c r="AD117" s="87">
        <f t="shared" si="210"/>
        <v>31773.5</v>
      </c>
      <c r="AE117" s="87">
        <f t="shared" si="211"/>
        <v>32648</v>
      </c>
      <c r="AF117" s="87">
        <f t="shared" si="212"/>
        <v>21571</v>
      </c>
      <c r="AG117" s="87">
        <f t="shared" si="213"/>
        <v>27401</v>
      </c>
      <c r="AH117" s="87">
        <f t="shared" si="214"/>
        <v>20988</v>
      </c>
      <c r="AI117" s="87">
        <f t="shared" si="215"/>
        <v>28567</v>
      </c>
      <c r="AJ117" s="87">
        <f t="shared" si="216"/>
        <v>0</v>
      </c>
      <c r="AK117" s="86">
        <f t="shared" si="217"/>
        <v>0</v>
      </c>
      <c r="AL117" s="85">
        <v>0</v>
      </c>
      <c r="AM117" s="85">
        <v>0</v>
      </c>
      <c r="AN117" s="85">
        <v>0</v>
      </c>
      <c r="AO117" s="85">
        <v>0</v>
      </c>
      <c r="AP117" s="85">
        <v>0</v>
      </c>
      <c r="AQ117" s="86">
        <v>0</v>
      </c>
      <c r="AR117" s="87">
        <v>0</v>
      </c>
      <c r="AS117" s="87">
        <v>0</v>
      </c>
      <c r="AT117" s="87">
        <v>0</v>
      </c>
      <c r="AU117" s="87">
        <v>0</v>
      </c>
      <c r="AV117" s="87">
        <v>147</v>
      </c>
      <c r="AW117" s="87">
        <v>417</v>
      </c>
      <c r="AX117" s="87">
        <v>265</v>
      </c>
      <c r="AY117" s="87">
        <v>161</v>
      </c>
      <c r="AZ117" s="87">
        <v>121</v>
      </c>
      <c r="BA117" s="87">
        <v>145</v>
      </c>
      <c r="BB117" s="87">
        <v>172</v>
      </c>
      <c r="BC117" s="86">
        <v>128</v>
      </c>
      <c r="BD117" s="87">
        <v>143</v>
      </c>
      <c r="BE117" s="87">
        <v>114</v>
      </c>
      <c r="BF117" s="87">
        <v>151</v>
      </c>
      <c r="BG117" s="87">
        <v>127</v>
      </c>
      <c r="BH117" s="87">
        <v>98</v>
      </c>
      <c r="BI117" s="87">
        <v>109</v>
      </c>
      <c r="BJ117" s="40">
        <v>69</v>
      </c>
      <c r="BK117" s="40">
        <v>88</v>
      </c>
      <c r="BL117" s="40">
        <v>66</v>
      </c>
      <c r="BM117" s="40">
        <v>90</v>
      </c>
      <c r="BO117" s="86"/>
      <c r="BP117" s="21">
        <v>0</v>
      </c>
      <c r="BQ117" s="21">
        <v>0</v>
      </c>
      <c r="BR117" s="21">
        <v>0</v>
      </c>
      <c r="BS117" s="21">
        <v>0</v>
      </c>
      <c r="BT117" s="21">
        <v>0</v>
      </c>
      <c r="BU117" s="42">
        <v>0</v>
      </c>
      <c r="BV117" s="21">
        <v>0</v>
      </c>
      <c r="BW117" s="21">
        <v>0</v>
      </c>
      <c r="BX117" s="21">
        <v>0</v>
      </c>
      <c r="BY117" s="21">
        <v>0</v>
      </c>
      <c r="BZ117" s="21">
        <v>7</v>
      </c>
      <c r="CA117" s="21">
        <v>17</v>
      </c>
      <c r="CB117" s="21">
        <v>36</v>
      </c>
      <c r="CC117" s="21">
        <v>15</v>
      </c>
      <c r="CD117" s="21">
        <v>15</v>
      </c>
      <c r="CE117" s="21">
        <v>3</v>
      </c>
      <c r="CF117" s="21">
        <v>30</v>
      </c>
      <c r="CG117" s="42">
        <v>7</v>
      </c>
      <c r="CH117" s="21">
        <v>1</v>
      </c>
      <c r="CI117" s="21">
        <v>19</v>
      </c>
      <c r="CJ117" s="21">
        <v>3</v>
      </c>
      <c r="CK117" s="21">
        <v>18</v>
      </c>
      <c r="CL117" s="21">
        <v>11</v>
      </c>
      <c r="CM117" s="21">
        <v>3</v>
      </c>
      <c r="CN117" s="21">
        <v>5</v>
      </c>
      <c r="CO117" s="21">
        <v>6</v>
      </c>
      <c r="CP117" s="21">
        <f t="shared" si="158"/>
        <v>6</v>
      </c>
      <c r="CQ117" s="344">
        <f t="shared" si="159"/>
        <v>8</v>
      </c>
      <c r="CR117" s="87"/>
      <c r="CS117" s="86"/>
      <c r="CT117" s="85">
        <f t="shared" si="219"/>
        <v>0</v>
      </c>
      <c r="CU117" s="85">
        <f t="shared" si="220"/>
        <v>0</v>
      </c>
      <c r="CV117" s="85">
        <f t="shared" si="221"/>
        <v>0</v>
      </c>
      <c r="CW117" s="85">
        <f t="shared" si="222"/>
        <v>0</v>
      </c>
      <c r="CX117" s="85">
        <f t="shared" si="223"/>
        <v>0</v>
      </c>
      <c r="CY117" s="86">
        <f t="shared" si="224"/>
        <v>0</v>
      </c>
      <c r="CZ117" s="87">
        <f t="shared" si="225"/>
        <v>0</v>
      </c>
      <c r="DA117" s="87">
        <f t="shared" si="226"/>
        <v>0</v>
      </c>
      <c r="DB117" s="87">
        <f t="shared" si="227"/>
        <v>0</v>
      </c>
      <c r="DC117" s="87">
        <f t="shared" si="228"/>
        <v>0</v>
      </c>
      <c r="DD117" s="87">
        <f t="shared" si="229"/>
        <v>154</v>
      </c>
      <c r="DE117" s="87">
        <f t="shared" si="230"/>
        <v>434</v>
      </c>
      <c r="DF117" s="87">
        <f t="shared" si="231"/>
        <v>301</v>
      </c>
      <c r="DG117" s="87">
        <f t="shared" si="232"/>
        <v>176</v>
      </c>
      <c r="DH117" s="87">
        <f t="shared" si="233"/>
        <v>136</v>
      </c>
      <c r="DI117" s="87">
        <f t="shared" si="234"/>
        <v>148</v>
      </c>
      <c r="DJ117" s="87">
        <f t="shared" si="235"/>
        <v>202</v>
      </c>
      <c r="DK117" s="86">
        <f t="shared" si="236"/>
        <v>135</v>
      </c>
      <c r="DL117" s="87">
        <f t="shared" si="237"/>
        <v>144</v>
      </c>
      <c r="DM117" s="87">
        <f t="shared" si="238"/>
        <v>133</v>
      </c>
      <c r="DN117" s="87">
        <f t="shared" si="239"/>
        <v>154</v>
      </c>
      <c r="DO117" s="87">
        <f t="shared" si="240"/>
        <v>145</v>
      </c>
      <c r="DP117" s="87">
        <f t="shared" si="241"/>
        <v>109</v>
      </c>
      <c r="DQ117" s="87">
        <f t="shared" si="242"/>
        <v>112</v>
      </c>
      <c r="DR117" s="87">
        <f t="shared" si="218"/>
        <v>74</v>
      </c>
      <c r="DS117" s="87">
        <f t="shared" si="243"/>
        <v>94</v>
      </c>
      <c r="DT117" s="87">
        <f t="shared" si="244"/>
        <v>72</v>
      </c>
      <c r="DU117" s="87">
        <f t="shared" si="245"/>
        <v>98</v>
      </c>
      <c r="DV117" s="87">
        <f t="shared" si="246"/>
        <v>0</v>
      </c>
      <c r="DW117" s="87">
        <f t="shared" si="247"/>
        <v>0</v>
      </c>
    </row>
    <row r="118" spans="1:127">
      <c r="A118" s="22" t="s">
        <v>4</v>
      </c>
      <c r="B118" s="26">
        <v>4987176281616</v>
      </c>
      <c r="C118" s="22" t="s">
        <v>85</v>
      </c>
      <c r="D118" s="22" t="s">
        <v>86</v>
      </c>
      <c r="E118" s="22">
        <v>254715</v>
      </c>
      <c r="F118" s="80" t="s">
        <v>224</v>
      </c>
      <c r="G118" s="25">
        <v>291.5</v>
      </c>
      <c r="H118" s="85">
        <f t="shared" si="188"/>
        <v>0</v>
      </c>
      <c r="I118" s="85">
        <f t="shared" si="189"/>
        <v>0</v>
      </c>
      <c r="J118" s="85">
        <f t="shared" si="190"/>
        <v>0</v>
      </c>
      <c r="K118" s="85">
        <f t="shared" si="191"/>
        <v>0</v>
      </c>
      <c r="L118" s="85">
        <f t="shared" si="192"/>
        <v>0</v>
      </c>
      <c r="M118" s="86">
        <f t="shared" si="193"/>
        <v>0</v>
      </c>
      <c r="N118" s="87">
        <f t="shared" si="194"/>
        <v>0</v>
      </c>
      <c r="O118" s="87">
        <f t="shared" si="195"/>
        <v>0</v>
      </c>
      <c r="P118" s="87">
        <f t="shared" si="196"/>
        <v>0</v>
      </c>
      <c r="Q118" s="87">
        <f t="shared" si="197"/>
        <v>0</v>
      </c>
      <c r="R118" s="87">
        <f t="shared" si="198"/>
        <v>59757.5</v>
      </c>
      <c r="S118" s="87">
        <f t="shared" si="199"/>
        <v>169944.5</v>
      </c>
      <c r="T118" s="87">
        <f t="shared" si="200"/>
        <v>131758</v>
      </c>
      <c r="U118" s="87">
        <f t="shared" si="201"/>
        <v>98235.5</v>
      </c>
      <c r="V118" s="87">
        <f t="shared" si="202"/>
        <v>83952</v>
      </c>
      <c r="W118" s="87">
        <f t="shared" si="203"/>
        <v>103482.5</v>
      </c>
      <c r="X118" s="87">
        <f t="shared" si="204"/>
        <v>131466.5</v>
      </c>
      <c r="Y118" s="86">
        <f t="shared" si="205"/>
        <v>110770</v>
      </c>
      <c r="Z118" s="87">
        <f t="shared" si="206"/>
        <v>115142.5</v>
      </c>
      <c r="AA118" s="87">
        <f t="shared" si="207"/>
        <v>83369</v>
      </c>
      <c r="AB118" s="87">
        <f t="shared" si="208"/>
        <v>90073.5</v>
      </c>
      <c r="AC118" s="87">
        <f t="shared" si="209"/>
        <v>99693</v>
      </c>
      <c r="AD118" s="87">
        <f t="shared" si="210"/>
        <v>88033</v>
      </c>
      <c r="AE118" s="87">
        <f t="shared" si="211"/>
        <v>97652.5</v>
      </c>
      <c r="AF118" s="87">
        <f t="shared" si="212"/>
        <v>55968</v>
      </c>
      <c r="AG118" s="87">
        <f t="shared" si="213"/>
        <v>66170.5</v>
      </c>
      <c r="AH118" s="87">
        <f t="shared" si="214"/>
        <v>55093.5</v>
      </c>
      <c r="AI118" s="87">
        <f t="shared" si="215"/>
        <v>71547.055555555562</v>
      </c>
      <c r="AJ118" s="87">
        <f t="shared" si="216"/>
        <v>0</v>
      </c>
      <c r="AK118" s="86">
        <f t="shared" si="217"/>
        <v>0</v>
      </c>
      <c r="AL118" s="85">
        <v>0</v>
      </c>
      <c r="AM118" s="85">
        <v>0</v>
      </c>
      <c r="AN118" s="85">
        <v>0</v>
      </c>
      <c r="AO118" s="85">
        <v>0</v>
      </c>
      <c r="AP118" s="85">
        <v>0</v>
      </c>
      <c r="AQ118" s="86">
        <v>0</v>
      </c>
      <c r="AR118" s="87">
        <v>0</v>
      </c>
      <c r="AS118" s="87">
        <v>0</v>
      </c>
      <c r="AT118" s="87">
        <v>0</v>
      </c>
      <c r="AU118" s="87">
        <v>0</v>
      </c>
      <c r="AV118" s="87">
        <v>197</v>
      </c>
      <c r="AW118" s="87">
        <v>578</v>
      </c>
      <c r="AX118" s="87">
        <v>423</v>
      </c>
      <c r="AY118" s="87">
        <v>320</v>
      </c>
      <c r="AZ118" s="87">
        <v>279</v>
      </c>
      <c r="BA118" s="87">
        <v>351</v>
      </c>
      <c r="BB118" s="87">
        <v>405</v>
      </c>
      <c r="BC118" s="86">
        <v>368</v>
      </c>
      <c r="BD118" s="87">
        <v>389</v>
      </c>
      <c r="BE118" s="87">
        <v>261</v>
      </c>
      <c r="BF118" s="87">
        <v>290</v>
      </c>
      <c r="BG118" s="87">
        <v>278</v>
      </c>
      <c r="BH118" s="87">
        <v>269</v>
      </c>
      <c r="BI118" s="87">
        <v>324</v>
      </c>
      <c r="BJ118" s="40">
        <v>174</v>
      </c>
      <c r="BK118" s="40">
        <v>223</v>
      </c>
      <c r="BL118" s="40">
        <v>185</v>
      </c>
      <c r="BM118" s="40">
        <v>225</v>
      </c>
      <c r="BO118" s="86"/>
      <c r="BP118" s="21">
        <v>0</v>
      </c>
      <c r="BQ118" s="21">
        <v>0</v>
      </c>
      <c r="BR118" s="21">
        <v>0</v>
      </c>
      <c r="BS118" s="21">
        <v>0</v>
      </c>
      <c r="BT118" s="21">
        <v>0</v>
      </c>
      <c r="BU118" s="42">
        <v>0</v>
      </c>
      <c r="BV118" s="21">
        <v>0</v>
      </c>
      <c r="BW118" s="21">
        <v>0</v>
      </c>
      <c r="BX118" s="21">
        <v>0</v>
      </c>
      <c r="BY118" s="21">
        <v>0</v>
      </c>
      <c r="BZ118" s="21">
        <v>8</v>
      </c>
      <c r="CA118" s="21">
        <v>5</v>
      </c>
      <c r="CB118" s="21">
        <v>29</v>
      </c>
      <c r="CC118" s="21">
        <v>17</v>
      </c>
      <c r="CD118" s="21">
        <v>9</v>
      </c>
      <c r="CE118" s="21">
        <v>4</v>
      </c>
      <c r="CF118" s="21">
        <v>46</v>
      </c>
      <c r="CG118" s="42">
        <v>12</v>
      </c>
      <c r="CH118" s="21">
        <v>6</v>
      </c>
      <c r="CI118" s="21">
        <v>25</v>
      </c>
      <c r="CJ118" s="21">
        <v>19</v>
      </c>
      <c r="CK118" s="21">
        <v>64</v>
      </c>
      <c r="CL118" s="21">
        <v>33</v>
      </c>
      <c r="CM118" s="21">
        <v>11</v>
      </c>
      <c r="CN118" s="21">
        <v>18</v>
      </c>
      <c r="CO118" s="21">
        <v>4</v>
      </c>
      <c r="CP118" s="21">
        <f t="shared" si="158"/>
        <v>4</v>
      </c>
      <c r="CQ118" s="344">
        <f t="shared" si="159"/>
        <v>20.444444444444443</v>
      </c>
      <c r="CR118" s="87"/>
      <c r="CS118" s="86"/>
      <c r="CT118" s="85">
        <f t="shared" si="219"/>
        <v>0</v>
      </c>
      <c r="CU118" s="85">
        <f t="shared" si="220"/>
        <v>0</v>
      </c>
      <c r="CV118" s="85">
        <f t="shared" si="221"/>
        <v>0</v>
      </c>
      <c r="CW118" s="85">
        <f t="shared" si="222"/>
        <v>0</v>
      </c>
      <c r="CX118" s="85">
        <f t="shared" si="223"/>
        <v>0</v>
      </c>
      <c r="CY118" s="86">
        <f t="shared" si="224"/>
        <v>0</v>
      </c>
      <c r="CZ118" s="87">
        <f t="shared" si="225"/>
        <v>0</v>
      </c>
      <c r="DA118" s="87">
        <f t="shared" si="226"/>
        <v>0</v>
      </c>
      <c r="DB118" s="87">
        <f t="shared" si="227"/>
        <v>0</v>
      </c>
      <c r="DC118" s="87">
        <f t="shared" si="228"/>
        <v>0</v>
      </c>
      <c r="DD118" s="87">
        <f t="shared" si="229"/>
        <v>205</v>
      </c>
      <c r="DE118" s="87">
        <f t="shared" si="230"/>
        <v>583</v>
      </c>
      <c r="DF118" s="87">
        <f t="shared" si="231"/>
        <v>452</v>
      </c>
      <c r="DG118" s="87">
        <f t="shared" si="232"/>
        <v>337</v>
      </c>
      <c r="DH118" s="87">
        <f t="shared" si="233"/>
        <v>288</v>
      </c>
      <c r="DI118" s="87">
        <f t="shared" si="234"/>
        <v>355</v>
      </c>
      <c r="DJ118" s="87">
        <f t="shared" si="235"/>
        <v>451</v>
      </c>
      <c r="DK118" s="86">
        <f t="shared" si="236"/>
        <v>380</v>
      </c>
      <c r="DL118" s="87">
        <f t="shared" si="237"/>
        <v>395</v>
      </c>
      <c r="DM118" s="87">
        <f t="shared" si="238"/>
        <v>286</v>
      </c>
      <c r="DN118" s="87">
        <f t="shared" si="239"/>
        <v>309</v>
      </c>
      <c r="DO118" s="87">
        <f t="shared" si="240"/>
        <v>342</v>
      </c>
      <c r="DP118" s="87">
        <f t="shared" si="241"/>
        <v>302</v>
      </c>
      <c r="DQ118" s="87">
        <f t="shared" si="242"/>
        <v>335</v>
      </c>
      <c r="DR118" s="87">
        <f t="shared" si="218"/>
        <v>192</v>
      </c>
      <c r="DS118" s="87">
        <f t="shared" si="243"/>
        <v>227</v>
      </c>
      <c r="DT118" s="87">
        <f t="shared" si="244"/>
        <v>189</v>
      </c>
      <c r="DU118" s="87">
        <f t="shared" si="245"/>
        <v>245.44444444444446</v>
      </c>
      <c r="DV118" s="87">
        <f t="shared" si="246"/>
        <v>0</v>
      </c>
      <c r="DW118" s="87">
        <f t="shared" si="247"/>
        <v>0</v>
      </c>
    </row>
    <row r="119" spans="1:127">
      <c r="A119" s="22" t="s">
        <v>4</v>
      </c>
      <c r="B119" s="26">
        <v>4902430900591</v>
      </c>
      <c r="C119" s="22" t="s">
        <v>85</v>
      </c>
      <c r="D119" s="22" t="s">
        <v>13</v>
      </c>
      <c r="E119" s="22">
        <v>295598</v>
      </c>
      <c r="F119" s="80" t="s">
        <v>225</v>
      </c>
      <c r="G119" s="25">
        <v>266.33333333333331</v>
      </c>
      <c r="H119" s="85">
        <f t="shared" si="188"/>
        <v>151543.66666666666</v>
      </c>
      <c r="I119" s="85">
        <f t="shared" si="189"/>
        <v>209071.66666666666</v>
      </c>
      <c r="J119" s="85">
        <f t="shared" si="190"/>
        <v>143287.33333333331</v>
      </c>
      <c r="K119" s="85">
        <f t="shared" si="191"/>
        <v>152076.33333333331</v>
      </c>
      <c r="L119" s="85">
        <f t="shared" si="192"/>
        <v>151810</v>
      </c>
      <c r="M119" s="86">
        <f t="shared" si="193"/>
        <v>134232</v>
      </c>
      <c r="N119" s="87">
        <f t="shared" si="194"/>
        <v>121714.33333333333</v>
      </c>
      <c r="O119" s="87">
        <f t="shared" si="195"/>
        <v>146217</v>
      </c>
      <c r="P119" s="87">
        <f t="shared" si="196"/>
        <v>133965.66666666666</v>
      </c>
      <c r="Q119" s="87">
        <f t="shared" si="197"/>
        <v>129704.33333333333</v>
      </c>
      <c r="R119" s="87">
        <f t="shared" si="198"/>
        <v>201348</v>
      </c>
      <c r="S119" s="87">
        <f t="shared" si="199"/>
        <v>168056.33333333331</v>
      </c>
      <c r="T119" s="87">
        <f t="shared" si="200"/>
        <v>180840.33333333331</v>
      </c>
      <c r="U119" s="87">
        <f t="shared" si="201"/>
        <v>161664.33333333331</v>
      </c>
      <c r="V119" s="87">
        <f t="shared" si="202"/>
        <v>108131.33333333333</v>
      </c>
      <c r="W119" s="87">
        <f t="shared" si="203"/>
        <v>96679</v>
      </c>
      <c r="X119" s="87">
        <f t="shared" si="204"/>
        <v>129704.33333333333</v>
      </c>
      <c r="Y119" s="86">
        <f t="shared" si="205"/>
        <v>107864.99999999999</v>
      </c>
      <c r="Z119" s="87">
        <f t="shared" si="206"/>
        <v>97211.666666666657</v>
      </c>
      <c r="AA119" s="87">
        <f t="shared" si="207"/>
        <v>88955.333333333328</v>
      </c>
      <c r="AB119" s="87">
        <f t="shared" si="208"/>
        <v>108663.99999999999</v>
      </c>
      <c r="AC119" s="87">
        <f t="shared" si="209"/>
        <v>142222</v>
      </c>
      <c r="AD119" s="87">
        <f t="shared" si="210"/>
        <v>183770</v>
      </c>
      <c r="AE119" s="87">
        <f t="shared" si="211"/>
        <v>204277.66666666666</v>
      </c>
      <c r="AF119" s="87">
        <f t="shared" si="212"/>
        <v>129437.99999999999</v>
      </c>
      <c r="AG119" s="87">
        <f t="shared" si="213"/>
        <v>168589</v>
      </c>
      <c r="AH119" s="87">
        <f t="shared" si="214"/>
        <v>119050.99999999999</v>
      </c>
      <c r="AI119" s="87">
        <f t="shared" si="215"/>
        <v>156544.8148148148</v>
      </c>
      <c r="AJ119" s="87">
        <f t="shared" si="216"/>
        <v>0</v>
      </c>
      <c r="AK119" s="86">
        <f t="shared" si="217"/>
        <v>0</v>
      </c>
      <c r="AL119" s="85">
        <v>514</v>
      </c>
      <c r="AM119" s="85">
        <v>749</v>
      </c>
      <c r="AN119" s="85">
        <v>449</v>
      </c>
      <c r="AO119" s="85">
        <v>474</v>
      </c>
      <c r="AP119" s="85">
        <v>512</v>
      </c>
      <c r="AQ119" s="86">
        <v>418</v>
      </c>
      <c r="AR119" s="87">
        <v>393</v>
      </c>
      <c r="AS119" s="87">
        <v>492</v>
      </c>
      <c r="AT119" s="87">
        <v>420</v>
      </c>
      <c r="AU119" s="87">
        <v>432</v>
      </c>
      <c r="AV119" s="87">
        <v>601</v>
      </c>
      <c r="AW119" s="87">
        <v>590</v>
      </c>
      <c r="AX119" s="87">
        <v>654</v>
      </c>
      <c r="AY119" s="87">
        <v>494</v>
      </c>
      <c r="AZ119" s="87">
        <v>366</v>
      </c>
      <c r="BA119" s="87">
        <v>322</v>
      </c>
      <c r="BB119" s="87">
        <v>395</v>
      </c>
      <c r="BC119" s="86">
        <v>347</v>
      </c>
      <c r="BD119" s="87">
        <v>348</v>
      </c>
      <c r="BE119" s="87">
        <v>278</v>
      </c>
      <c r="BF119" s="87">
        <v>347</v>
      </c>
      <c r="BG119" s="87">
        <v>463</v>
      </c>
      <c r="BH119" s="87">
        <v>428</v>
      </c>
      <c r="BI119" s="87">
        <v>720</v>
      </c>
      <c r="BJ119" s="40">
        <v>433</v>
      </c>
      <c r="BK119" s="40">
        <v>607</v>
      </c>
      <c r="BL119" s="40">
        <v>421</v>
      </c>
      <c r="BM119" s="40">
        <v>519</v>
      </c>
      <c r="BO119" s="86"/>
      <c r="BP119" s="21">
        <v>55</v>
      </c>
      <c r="BQ119" s="21">
        <v>36</v>
      </c>
      <c r="BR119" s="21">
        <v>89</v>
      </c>
      <c r="BS119" s="21">
        <v>97</v>
      </c>
      <c r="BT119" s="21">
        <v>58</v>
      </c>
      <c r="BU119" s="42">
        <v>86</v>
      </c>
      <c r="BV119" s="21">
        <v>64</v>
      </c>
      <c r="BW119" s="21">
        <v>57</v>
      </c>
      <c r="BX119" s="21">
        <v>83</v>
      </c>
      <c r="BY119" s="21">
        <v>55</v>
      </c>
      <c r="BZ119" s="21">
        <v>155</v>
      </c>
      <c r="CA119" s="21">
        <v>41</v>
      </c>
      <c r="CB119" s="21">
        <v>25</v>
      </c>
      <c r="CC119" s="21">
        <v>113</v>
      </c>
      <c r="CD119" s="21">
        <v>40</v>
      </c>
      <c r="CE119" s="21">
        <v>41</v>
      </c>
      <c r="CF119" s="21">
        <v>92</v>
      </c>
      <c r="CG119" s="42">
        <v>58</v>
      </c>
      <c r="CH119" s="21">
        <v>17</v>
      </c>
      <c r="CI119" s="21">
        <v>56</v>
      </c>
      <c r="CJ119" s="21">
        <v>61</v>
      </c>
      <c r="CK119" s="21">
        <v>71</v>
      </c>
      <c r="CL119" s="21">
        <v>262</v>
      </c>
      <c r="CM119" s="21">
        <v>47</v>
      </c>
      <c r="CN119" s="21">
        <v>53</v>
      </c>
      <c r="CO119" s="21">
        <v>26</v>
      </c>
      <c r="CP119" s="21">
        <f t="shared" si="158"/>
        <v>26</v>
      </c>
      <c r="CQ119" s="344">
        <f t="shared" si="159"/>
        <v>68.777777777777771</v>
      </c>
      <c r="CR119" s="87"/>
      <c r="CS119" s="86"/>
      <c r="CT119" s="85">
        <f t="shared" si="219"/>
        <v>569</v>
      </c>
      <c r="CU119" s="85">
        <f t="shared" si="220"/>
        <v>785</v>
      </c>
      <c r="CV119" s="85">
        <f t="shared" si="221"/>
        <v>538</v>
      </c>
      <c r="CW119" s="85">
        <f t="shared" si="222"/>
        <v>571</v>
      </c>
      <c r="CX119" s="85">
        <f t="shared" si="223"/>
        <v>570</v>
      </c>
      <c r="CY119" s="86">
        <f t="shared" si="224"/>
        <v>504</v>
      </c>
      <c r="CZ119" s="87">
        <f t="shared" si="225"/>
        <v>457</v>
      </c>
      <c r="DA119" s="87">
        <f t="shared" si="226"/>
        <v>549</v>
      </c>
      <c r="DB119" s="87">
        <f t="shared" si="227"/>
        <v>503</v>
      </c>
      <c r="DC119" s="87">
        <f t="shared" si="228"/>
        <v>487</v>
      </c>
      <c r="DD119" s="87">
        <f t="shared" si="229"/>
        <v>756</v>
      </c>
      <c r="DE119" s="87">
        <f t="shared" si="230"/>
        <v>631</v>
      </c>
      <c r="DF119" s="87">
        <f t="shared" si="231"/>
        <v>679</v>
      </c>
      <c r="DG119" s="87">
        <f t="shared" si="232"/>
        <v>607</v>
      </c>
      <c r="DH119" s="87">
        <f t="shared" si="233"/>
        <v>406</v>
      </c>
      <c r="DI119" s="87">
        <f t="shared" si="234"/>
        <v>363</v>
      </c>
      <c r="DJ119" s="87">
        <f t="shared" si="235"/>
        <v>487</v>
      </c>
      <c r="DK119" s="86">
        <f t="shared" si="236"/>
        <v>405</v>
      </c>
      <c r="DL119" s="87">
        <f t="shared" si="237"/>
        <v>365</v>
      </c>
      <c r="DM119" s="87">
        <f t="shared" si="238"/>
        <v>334</v>
      </c>
      <c r="DN119" s="87">
        <f t="shared" si="239"/>
        <v>408</v>
      </c>
      <c r="DO119" s="87">
        <f t="shared" si="240"/>
        <v>534</v>
      </c>
      <c r="DP119" s="87">
        <f t="shared" si="241"/>
        <v>690</v>
      </c>
      <c r="DQ119" s="87">
        <f t="shared" si="242"/>
        <v>767</v>
      </c>
      <c r="DR119" s="87">
        <f t="shared" si="218"/>
        <v>486</v>
      </c>
      <c r="DS119" s="87">
        <f t="shared" si="243"/>
        <v>633</v>
      </c>
      <c r="DT119" s="87">
        <f t="shared" si="244"/>
        <v>447</v>
      </c>
      <c r="DU119" s="87">
        <f t="shared" si="245"/>
        <v>587.77777777777783</v>
      </c>
      <c r="DV119" s="87">
        <f t="shared" si="246"/>
        <v>0</v>
      </c>
      <c r="DW119" s="87">
        <f t="shared" si="247"/>
        <v>0</v>
      </c>
    </row>
    <row r="120" spans="1:127">
      <c r="A120" s="22" t="s">
        <v>4</v>
      </c>
      <c r="B120" s="26">
        <v>4902430900614</v>
      </c>
      <c r="C120" s="22" t="s">
        <v>85</v>
      </c>
      <c r="D120" s="22" t="s">
        <v>13</v>
      </c>
      <c r="E120" s="22">
        <v>295608</v>
      </c>
      <c r="F120" s="80" t="s">
        <v>226</v>
      </c>
      <c r="G120" s="25">
        <v>266.33333333333331</v>
      </c>
      <c r="H120" s="85">
        <f t="shared" si="188"/>
        <v>130769.66666666666</v>
      </c>
      <c r="I120" s="85">
        <f t="shared" si="189"/>
        <v>176845.33333333331</v>
      </c>
      <c r="J120" s="85">
        <f t="shared" si="190"/>
        <v>119050.99999999999</v>
      </c>
      <c r="K120" s="85">
        <f t="shared" si="191"/>
        <v>130236.99999999999</v>
      </c>
      <c r="L120" s="85">
        <f t="shared" si="192"/>
        <v>132634</v>
      </c>
      <c r="M120" s="86">
        <f t="shared" si="193"/>
        <v>106266.99999999999</v>
      </c>
      <c r="N120" s="87">
        <f t="shared" si="194"/>
        <v>102005.66666666666</v>
      </c>
      <c r="O120" s="87">
        <f t="shared" si="195"/>
        <v>111859.99999999999</v>
      </c>
      <c r="P120" s="87">
        <f t="shared" si="196"/>
        <v>104136.33333333333</v>
      </c>
      <c r="Q120" s="87">
        <f t="shared" si="197"/>
        <v>109729.33333333333</v>
      </c>
      <c r="R120" s="87">
        <f t="shared" si="198"/>
        <v>157669.33333333331</v>
      </c>
      <c r="S120" s="87">
        <f t="shared" si="199"/>
        <v>123312.33333333333</v>
      </c>
      <c r="T120" s="87">
        <f t="shared" si="200"/>
        <v>132367.66666666666</v>
      </c>
      <c r="U120" s="87">
        <f t="shared" si="201"/>
        <v>143021</v>
      </c>
      <c r="V120" s="87">
        <f t="shared" si="202"/>
        <v>92684</v>
      </c>
      <c r="W120" s="87">
        <f t="shared" si="203"/>
        <v>86025.666666666657</v>
      </c>
      <c r="X120" s="87">
        <f t="shared" si="204"/>
        <v>107065.99999999999</v>
      </c>
      <c r="Y120" s="86">
        <f t="shared" si="205"/>
        <v>85493</v>
      </c>
      <c r="Z120" s="87">
        <f t="shared" si="206"/>
        <v>91618.666666666657</v>
      </c>
      <c r="AA120" s="87">
        <f t="shared" si="207"/>
        <v>70312</v>
      </c>
      <c r="AB120" s="87">
        <f t="shared" si="208"/>
        <v>98010.666666666657</v>
      </c>
      <c r="AC120" s="87">
        <f t="shared" si="209"/>
        <v>136096.33333333331</v>
      </c>
      <c r="AD120" s="87">
        <f t="shared" si="210"/>
        <v>148880.33333333331</v>
      </c>
      <c r="AE120" s="87">
        <f t="shared" si="211"/>
        <v>145684.33333333331</v>
      </c>
      <c r="AF120" s="87">
        <f t="shared" si="212"/>
        <v>96679</v>
      </c>
      <c r="AG120" s="87">
        <f t="shared" si="213"/>
        <v>124643.99999999999</v>
      </c>
      <c r="AH120" s="87">
        <f t="shared" si="214"/>
        <v>100141.33333333333</v>
      </c>
      <c r="AI120" s="87">
        <f t="shared" si="215"/>
        <v>117748.92592592591</v>
      </c>
      <c r="AJ120" s="87">
        <f t="shared" si="216"/>
        <v>0</v>
      </c>
      <c r="AK120" s="86">
        <f t="shared" si="217"/>
        <v>0</v>
      </c>
      <c r="AL120" s="85">
        <v>452</v>
      </c>
      <c r="AM120" s="85">
        <v>639</v>
      </c>
      <c r="AN120" s="85">
        <v>376</v>
      </c>
      <c r="AO120" s="85">
        <v>424</v>
      </c>
      <c r="AP120" s="85">
        <v>457</v>
      </c>
      <c r="AQ120" s="86">
        <v>330</v>
      </c>
      <c r="AR120" s="87">
        <v>338</v>
      </c>
      <c r="AS120" s="87">
        <v>395</v>
      </c>
      <c r="AT120" s="87">
        <v>331</v>
      </c>
      <c r="AU120" s="87">
        <v>384</v>
      </c>
      <c r="AV120" s="87">
        <v>488</v>
      </c>
      <c r="AW120" s="87">
        <v>450</v>
      </c>
      <c r="AX120" s="87">
        <v>478</v>
      </c>
      <c r="AY120" s="87">
        <v>439</v>
      </c>
      <c r="AZ120" s="87">
        <v>314</v>
      </c>
      <c r="BA120" s="87">
        <v>285</v>
      </c>
      <c r="BB120" s="87">
        <v>332</v>
      </c>
      <c r="BC120" s="86">
        <v>289</v>
      </c>
      <c r="BD120" s="87">
        <v>334</v>
      </c>
      <c r="BE120" s="87">
        <v>222</v>
      </c>
      <c r="BF120" s="87">
        <v>315</v>
      </c>
      <c r="BG120" s="87">
        <v>446</v>
      </c>
      <c r="BH120" s="87">
        <v>369</v>
      </c>
      <c r="BI120" s="87">
        <v>523</v>
      </c>
      <c r="BJ120" s="40">
        <v>332</v>
      </c>
      <c r="BK120" s="40">
        <v>459</v>
      </c>
      <c r="BL120" s="40">
        <v>367</v>
      </c>
      <c r="BM120" s="40">
        <v>394</v>
      </c>
      <c r="BO120" s="86"/>
      <c r="BP120" s="21">
        <v>39</v>
      </c>
      <c r="BQ120" s="21">
        <v>25</v>
      </c>
      <c r="BR120" s="21">
        <v>71</v>
      </c>
      <c r="BS120" s="21">
        <v>65</v>
      </c>
      <c r="BT120" s="21">
        <v>41</v>
      </c>
      <c r="BU120" s="42">
        <v>69</v>
      </c>
      <c r="BV120" s="21">
        <v>45</v>
      </c>
      <c r="BW120" s="21">
        <v>25</v>
      </c>
      <c r="BX120" s="21">
        <v>60</v>
      </c>
      <c r="BY120" s="21">
        <v>28</v>
      </c>
      <c r="BZ120" s="21">
        <v>104</v>
      </c>
      <c r="CA120" s="21">
        <v>13</v>
      </c>
      <c r="CB120" s="21">
        <v>19</v>
      </c>
      <c r="CC120" s="21">
        <v>98</v>
      </c>
      <c r="CD120" s="21">
        <v>34</v>
      </c>
      <c r="CE120" s="21">
        <v>38</v>
      </c>
      <c r="CF120" s="21">
        <v>70</v>
      </c>
      <c r="CG120" s="42">
        <v>32</v>
      </c>
      <c r="CH120" s="21">
        <v>10</v>
      </c>
      <c r="CI120" s="21">
        <v>42</v>
      </c>
      <c r="CJ120" s="21">
        <v>53</v>
      </c>
      <c r="CK120" s="21">
        <v>65</v>
      </c>
      <c r="CL120" s="21">
        <v>190</v>
      </c>
      <c r="CM120" s="21">
        <v>24</v>
      </c>
      <c r="CN120" s="21">
        <v>31</v>
      </c>
      <c r="CO120" s="21">
        <v>9</v>
      </c>
      <c r="CP120" s="21">
        <f t="shared" si="158"/>
        <v>9</v>
      </c>
      <c r="CQ120" s="344">
        <f t="shared" si="159"/>
        <v>48.111111111111114</v>
      </c>
      <c r="CR120" s="87"/>
      <c r="CS120" s="86"/>
      <c r="CT120" s="85">
        <f t="shared" si="219"/>
        <v>491</v>
      </c>
      <c r="CU120" s="85">
        <f t="shared" si="220"/>
        <v>664</v>
      </c>
      <c r="CV120" s="85">
        <f t="shared" si="221"/>
        <v>447</v>
      </c>
      <c r="CW120" s="85">
        <f t="shared" si="222"/>
        <v>489</v>
      </c>
      <c r="CX120" s="85">
        <f t="shared" si="223"/>
        <v>498</v>
      </c>
      <c r="CY120" s="86">
        <f t="shared" si="224"/>
        <v>399</v>
      </c>
      <c r="CZ120" s="87">
        <f t="shared" si="225"/>
        <v>383</v>
      </c>
      <c r="DA120" s="87">
        <f t="shared" si="226"/>
        <v>420</v>
      </c>
      <c r="DB120" s="87">
        <f t="shared" si="227"/>
        <v>391</v>
      </c>
      <c r="DC120" s="87">
        <f t="shared" si="228"/>
        <v>412</v>
      </c>
      <c r="DD120" s="87">
        <f t="shared" si="229"/>
        <v>592</v>
      </c>
      <c r="DE120" s="87">
        <f t="shared" si="230"/>
        <v>463</v>
      </c>
      <c r="DF120" s="87">
        <f t="shared" si="231"/>
        <v>497</v>
      </c>
      <c r="DG120" s="87">
        <f t="shared" si="232"/>
        <v>537</v>
      </c>
      <c r="DH120" s="87">
        <f t="shared" si="233"/>
        <v>348</v>
      </c>
      <c r="DI120" s="87">
        <f t="shared" si="234"/>
        <v>323</v>
      </c>
      <c r="DJ120" s="87">
        <f t="shared" si="235"/>
        <v>402</v>
      </c>
      <c r="DK120" s="86">
        <f t="shared" si="236"/>
        <v>321</v>
      </c>
      <c r="DL120" s="87">
        <f t="shared" si="237"/>
        <v>344</v>
      </c>
      <c r="DM120" s="87">
        <f t="shared" si="238"/>
        <v>264</v>
      </c>
      <c r="DN120" s="87">
        <f t="shared" si="239"/>
        <v>368</v>
      </c>
      <c r="DO120" s="87">
        <f t="shared" si="240"/>
        <v>511</v>
      </c>
      <c r="DP120" s="87">
        <f t="shared" si="241"/>
        <v>559</v>
      </c>
      <c r="DQ120" s="87">
        <f t="shared" si="242"/>
        <v>547</v>
      </c>
      <c r="DR120" s="87">
        <f t="shared" si="218"/>
        <v>363</v>
      </c>
      <c r="DS120" s="87">
        <f t="shared" si="243"/>
        <v>468</v>
      </c>
      <c r="DT120" s="87">
        <f t="shared" si="244"/>
        <v>376</v>
      </c>
      <c r="DU120" s="87">
        <f t="shared" si="245"/>
        <v>442.11111111111109</v>
      </c>
      <c r="DV120" s="87">
        <f t="shared" si="246"/>
        <v>0</v>
      </c>
      <c r="DW120" s="87">
        <f t="shared" si="247"/>
        <v>0</v>
      </c>
    </row>
    <row r="121" spans="1:127">
      <c r="A121" s="22" t="s">
        <v>4</v>
      </c>
      <c r="B121" s="26">
        <v>4902430825801</v>
      </c>
      <c r="C121" s="22" t="s">
        <v>85</v>
      </c>
      <c r="D121" s="22" t="s">
        <v>13</v>
      </c>
      <c r="E121" s="22">
        <v>157193</v>
      </c>
      <c r="F121" s="80" t="s">
        <v>227</v>
      </c>
      <c r="G121" s="25">
        <v>266.33333333333331</v>
      </c>
      <c r="H121" s="85">
        <f t="shared" si="188"/>
        <v>56995.333333333328</v>
      </c>
      <c r="I121" s="85">
        <f t="shared" si="189"/>
        <v>93749.333333333328</v>
      </c>
      <c r="J121" s="85">
        <f t="shared" si="190"/>
        <v>65517.999999999993</v>
      </c>
      <c r="K121" s="85">
        <f t="shared" si="191"/>
        <v>65517.999999999993</v>
      </c>
      <c r="L121" s="85">
        <f t="shared" si="192"/>
        <v>63919.999999999993</v>
      </c>
      <c r="M121" s="86">
        <f t="shared" si="193"/>
        <v>63653.666666666664</v>
      </c>
      <c r="N121" s="87">
        <f t="shared" si="194"/>
        <v>57261.666666666664</v>
      </c>
      <c r="O121" s="87">
        <f t="shared" si="195"/>
        <v>59924.999999999993</v>
      </c>
      <c r="P121" s="87">
        <f t="shared" si="196"/>
        <v>50070.666666666664</v>
      </c>
      <c r="Q121" s="87">
        <f t="shared" si="197"/>
        <v>46874.666666666664</v>
      </c>
      <c r="R121" s="87">
        <f t="shared" si="198"/>
        <v>93749.333333333328</v>
      </c>
      <c r="S121" s="87">
        <f t="shared" si="199"/>
        <v>64452.666666666664</v>
      </c>
      <c r="T121" s="87">
        <f t="shared" si="200"/>
        <v>65784.333333333328</v>
      </c>
      <c r="U121" s="87">
        <f t="shared" si="201"/>
        <v>80965.333333333328</v>
      </c>
      <c r="V121" s="87">
        <f t="shared" si="202"/>
        <v>48739</v>
      </c>
      <c r="W121" s="87">
        <f t="shared" si="203"/>
        <v>48739</v>
      </c>
      <c r="X121" s="87">
        <f t="shared" si="204"/>
        <v>61522.999999999993</v>
      </c>
      <c r="Y121" s="86">
        <f t="shared" si="205"/>
        <v>42613.333333333328</v>
      </c>
      <c r="Z121" s="87">
        <f t="shared" si="206"/>
        <v>57794.333333333328</v>
      </c>
      <c r="AA121" s="87">
        <f t="shared" si="207"/>
        <v>43412.333333333328</v>
      </c>
      <c r="AB121" s="87">
        <f t="shared" si="208"/>
        <v>61256.666666666664</v>
      </c>
      <c r="AC121" s="87">
        <f t="shared" si="209"/>
        <v>85493</v>
      </c>
      <c r="AD121" s="87">
        <f t="shared" si="210"/>
        <v>116387.66666666666</v>
      </c>
      <c r="AE121" s="87">
        <f t="shared" si="211"/>
        <v>103603.66666666666</v>
      </c>
      <c r="AF121" s="87">
        <f t="shared" si="212"/>
        <v>45010.333333333328</v>
      </c>
      <c r="AG121" s="87">
        <f t="shared" si="213"/>
        <v>59125.999999999993</v>
      </c>
      <c r="AH121" s="87">
        <f t="shared" si="214"/>
        <v>42613.333333333328</v>
      </c>
      <c r="AI121" s="87">
        <f t="shared" si="215"/>
        <v>74514.148148148146</v>
      </c>
      <c r="AJ121" s="87">
        <f t="shared" si="216"/>
        <v>0</v>
      </c>
      <c r="AK121" s="86">
        <f t="shared" si="217"/>
        <v>0</v>
      </c>
      <c r="AL121" s="85">
        <v>195</v>
      </c>
      <c r="AM121" s="85">
        <v>320</v>
      </c>
      <c r="AN121" s="85">
        <v>210</v>
      </c>
      <c r="AO121" s="85">
        <v>205</v>
      </c>
      <c r="AP121" s="85">
        <v>218</v>
      </c>
      <c r="AQ121" s="86">
        <v>190</v>
      </c>
      <c r="AR121" s="87">
        <v>183</v>
      </c>
      <c r="AS121" s="87">
        <v>190</v>
      </c>
      <c r="AT121" s="87">
        <v>149</v>
      </c>
      <c r="AU121" s="87">
        <v>165</v>
      </c>
      <c r="AV121" s="87">
        <v>256</v>
      </c>
      <c r="AW121" s="87">
        <v>227</v>
      </c>
      <c r="AX121" s="87">
        <v>222</v>
      </c>
      <c r="AY121" s="87">
        <v>240</v>
      </c>
      <c r="AZ121" s="87">
        <v>159</v>
      </c>
      <c r="BA121" s="87">
        <v>162</v>
      </c>
      <c r="BB121" s="87">
        <v>192</v>
      </c>
      <c r="BC121" s="86">
        <v>136</v>
      </c>
      <c r="BD121" s="87">
        <v>210</v>
      </c>
      <c r="BE121" s="87">
        <v>130</v>
      </c>
      <c r="BF121" s="87">
        <v>188</v>
      </c>
      <c r="BG121" s="87">
        <v>272</v>
      </c>
      <c r="BH121" s="87">
        <v>206</v>
      </c>
      <c r="BI121" s="87">
        <v>358</v>
      </c>
      <c r="BJ121" s="40">
        <v>156</v>
      </c>
      <c r="BK121" s="40">
        <v>210</v>
      </c>
      <c r="BL121" s="40">
        <v>148</v>
      </c>
      <c r="BM121" s="40">
        <v>232</v>
      </c>
      <c r="BO121" s="86"/>
      <c r="BP121" s="21">
        <v>19</v>
      </c>
      <c r="BQ121" s="21">
        <v>32</v>
      </c>
      <c r="BR121" s="21">
        <v>36</v>
      </c>
      <c r="BS121" s="21">
        <v>41</v>
      </c>
      <c r="BT121" s="21">
        <v>22</v>
      </c>
      <c r="BU121" s="42">
        <v>49</v>
      </c>
      <c r="BV121" s="21">
        <v>32</v>
      </c>
      <c r="BW121" s="21">
        <v>35</v>
      </c>
      <c r="BX121" s="21">
        <v>39</v>
      </c>
      <c r="BY121" s="21">
        <v>11</v>
      </c>
      <c r="BZ121" s="21">
        <v>96</v>
      </c>
      <c r="CA121" s="21">
        <v>15</v>
      </c>
      <c r="CB121" s="21">
        <v>25</v>
      </c>
      <c r="CC121" s="21">
        <v>64</v>
      </c>
      <c r="CD121" s="21">
        <v>24</v>
      </c>
      <c r="CE121" s="21">
        <v>21</v>
      </c>
      <c r="CF121" s="21">
        <v>39</v>
      </c>
      <c r="CG121" s="42">
        <v>24</v>
      </c>
      <c r="CH121" s="21">
        <v>7</v>
      </c>
      <c r="CI121" s="21">
        <v>33</v>
      </c>
      <c r="CJ121" s="21">
        <v>42</v>
      </c>
      <c r="CK121" s="21">
        <v>49</v>
      </c>
      <c r="CL121" s="21">
        <v>231</v>
      </c>
      <c r="CM121" s="21">
        <v>31</v>
      </c>
      <c r="CN121" s="21">
        <v>13</v>
      </c>
      <c r="CO121" s="21">
        <v>12</v>
      </c>
      <c r="CP121" s="21">
        <f t="shared" si="158"/>
        <v>12</v>
      </c>
      <c r="CQ121" s="344">
        <f t="shared" si="159"/>
        <v>47.777777777777779</v>
      </c>
      <c r="CR121" s="87"/>
      <c r="CS121" s="86"/>
      <c r="CT121" s="85">
        <f t="shared" si="219"/>
        <v>214</v>
      </c>
      <c r="CU121" s="85">
        <f t="shared" si="220"/>
        <v>352</v>
      </c>
      <c r="CV121" s="85">
        <f t="shared" si="221"/>
        <v>246</v>
      </c>
      <c r="CW121" s="85">
        <f t="shared" si="222"/>
        <v>246</v>
      </c>
      <c r="CX121" s="85">
        <f t="shared" si="223"/>
        <v>240</v>
      </c>
      <c r="CY121" s="86">
        <f t="shared" si="224"/>
        <v>239</v>
      </c>
      <c r="CZ121" s="87">
        <f t="shared" si="225"/>
        <v>215</v>
      </c>
      <c r="DA121" s="87">
        <f t="shared" si="226"/>
        <v>225</v>
      </c>
      <c r="DB121" s="87">
        <f t="shared" si="227"/>
        <v>188</v>
      </c>
      <c r="DC121" s="87">
        <f t="shared" si="228"/>
        <v>176</v>
      </c>
      <c r="DD121" s="87">
        <f t="shared" si="229"/>
        <v>352</v>
      </c>
      <c r="DE121" s="87">
        <f t="shared" si="230"/>
        <v>242</v>
      </c>
      <c r="DF121" s="87">
        <f t="shared" si="231"/>
        <v>247</v>
      </c>
      <c r="DG121" s="87">
        <f t="shared" si="232"/>
        <v>304</v>
      </c>
      <c r="DH121" s="87">
        <f t="shared" si="233"/>
        <v>183</v>
      </c>
      <c r="DI121" s="87">
        <f t="shared" si="234"/>
        <v>183</v>
      </c>
      <c r="DJ121" s="87">
        <f t="shared" si="235"/>
        <v>231</v>
      </c>
      <c r="DK121" s="86">
        <f t="shared" si="236"/>
        <v>160</v>
      </c>
      <c r="DL121" s="87">
        <f t="shared" si="237"/>
        <v>217</v>
      </c>
      <c r="DM121" s="87">
        <f t="shared" si="238"/>
        <v>163</v>
      </c>
      <c r="DN121" s="87">
        <f t="shared" si="239"/>
        <v>230</v>
      </c>
      <c r="DO121" s="87">
        <f t="shared" si="240"/>
        <v>321</v>
      </c>
      <c r="DP121" s="87">
        <f t="shared" si="241"/>
        <v>437</v>
      </c>
      <c r="DQ121" s="87">
        <f t="shared" si="242"/>
        <v>389</v>
      </c>
      <c r="DR121" s="87">
        <f t="shared" si="218"/>
        <v>169</v>
      </c>
      <c r="DS121" s="87">
        <f t="shared" si="243"/>
        <v>222</v>
      </c>
      <c r="DT121" s="87">
        <f t="shared" si="244"/>
        <v>160</v>
      </c>
      <c r="DU121" s="87">
        <f t="shared" si="245"/>
        <v>279.77777777777777</v>
      </c>
      <c r="DV121" s="87">
        <f t="shared" si="246"/>
        <v>0</v>
      </c>
      <c r="DW121" s="87">
        <f t="shared" si="247"/>
        <v>0</v>
      </c>
    </row>
    <row r="122" spans="1:127">
      <c r="A122" s="22" t="s">
        <v>4</v>
      </c>
      <c r="B122" s="26">
        <v>4902430825856</v>
      </c>
      <c r="C122" s="22" t="s">
        <v>85</v>
      </c>
      <c r="D122" s="22" t="s">
        <v>13</v>
      </c>
      <c r="E122" s="22">
        <v>156820</v>
      </c>
      <c r="F122" s="80" t="s">
        <v>228</v>
      </c>
      <c r="G122" s="25">
        <v>266.33333333333331</v>
      </c>
      <c r="H122" s="85">
        <f t="shared" si="188"/>
        <v>60990.333333333328</v>
      </c>
      <c r="I122" s="85">
        <f t="shared" si="189"/>
        <v>97211.666666666657</v>
      </c>
      <c r="J122" s="85">
        <f t="shared" si="190"/>
        <v>68447.666666666657</v>
      </c>
      <c r="K122" s="85">
        <f t="shared" si="191"/>
        <v>85226.666666666657</v>
      </c>
      <c r="L122" s="85">
        <f t="shared" si="192"/>
        <v>79633.666666666657</v>
      </c>
      <c r="M122" s="86">
        <f t="shared" si="193"/>
        <v>61789.333333333328</v>
      </c>
      <c r="N122" s="87">
        <f t="shared" si="194"/>
        <v>58593.333333333328</v>
      </c>
      <c r="O122" s="87">
        <f t="shared" si="195"/>
        <v>76970.333333333328</v>
      </c>
      <c r="P122" s="87">
        <f t="shared" si="196"/>
        <v>64985.333333333328</v>
      </c>
      <c r="Q122" s="87">
        <f t="shared" si="197"/>
        <v>56728.999999999993</v>
      </c>
      <c r="R122" s="87">
        <f t="shared" si="198"/>
        <v>118251.99999999999</v>
      </c>
      <c r="S122" s="87">
        <f t="shared" si="199"/>
        <v>76970.333333333328</v>
      </c>
      <c r="T122" s="87">
        <f t="shared" si="200"/>
        <v>74040.666666666657</v>
      </c>
      <c r="U122" s="87">
        <f t="shared" si="201"/>
        <v>97478</v>
      </c>
      <c r="V122" s="87">
        <f t="shared" si="202"/>
        <v>61256.666666666664</v>
      </c>
      <c r="W122" s="87">
        <f t="shared" si="203"/>
        <v>67382.333333333328</v>
      </c>
      <c r="X122" s="87">
        <f t="shared" si="204"/>
        <v>96146.333333333328</v>
      </c>
      <c r="Y122" s="86">
        <f t="shared" si="205"/>
        <v>71111</v>
      </c>
      <c r="Z122" s="87">
        <f t="shared" si="206"/>
        <v>87357.333333333328</v>
      </c>
      <c r="AA122" s="87">
        <f t="shared" si="207"/>
        <v>69513</v>
      </c>
      <c r="AB122" s="87">
        <f t="shared" si="208"/>
        <v>83362.333333333328</v>
      </c>
      <c r="AC122" s="87">
        <f t="shared" si="209"/>
        <v>126241.99999999999</v>
      </c>
      <c r="AD122" s="87">
        <f t="shared" si="210"/>
        <v>119583.66666666666</v>
      </c>
      <c r="AE122" s="87">
        <f t="shared" si="211"/>
        <v>120382.66666666666</v>
      </c>
      <c r="AF122" s="87">
        <f t="shared" si="212"/>
        <v>66317</v>
      </c>
      <c r="AG122" s="87">
        <f t="shared" si="213"/>
        <v>70045.666666666657</v>
      </c>
      <c r="AH122" s="87">
        <f t="shared" si="214"/>
        <v>61256.666666666664</v>
      </c>
      <c r="AI122" s="87">
        <f t="shared" si="215"/>
        <v>82444.962962962949</v>
      </c>
      <c r="AJ122" s="87">
        <f t="shared" si="216"/>
        <v>0</v>
      </c>
      <c r="AK122" s="86">
        <f t="shared" si="217"/>
        <v>0</v>
      </c>
      <c r="AL122" s="85">
        <v>195</v>
      </c>
      <c r="AM122" s="85">
        <v>336</v>
      </c>
      <c r="AN122" s="85">
        <v>212</v>
      </c>
      <c r="AO122" s="85">
        <v>286</v>
      </c>
      <c r="AP122" s="85">
        <v>265</v>
      </c>
      <c r="AQ122" s="86">
        <v>188</v>
      </c>
      <c r="AR122" s="87">
        <v>184</v>
      </c>
      <c r="AS122" s="87">
        <v>260</v>
      </c>
      <c r="AT122" s="87">
        <v>196</v>
      </c>
      <c r="AU122" s="87">
        <v>187</v>
      </c>
      <c r="AV122" s="87">
        <v>339</v>
      </c>
      <c r="AW122" s="87">
        <v>273</v>
      </c>
      <c r="AX122" s="87">
        <v>254</v>
      </c>
      <c r="AY122" s="87">
        <v>298</v>
      </c>
      <c r="AZ122" s="87">
        <v>198</v>
      </c>
      <c r="BA122" s="87">
        <v>212</v>
      </c>
      <c r="BB122" s="87">
        <v>294</v>
      </c>
      <c r="BC122" s="86">
        <v>237</v>
      </c>
      <c r="BD122" s="87">
        <v>307</v>
      </c>
      <c r="BE122" s="87">
        <v>225</v>
      </c>
      <c r="BF122" s="87">
        <v>261</v>
      </c>
      <c r="BG122" s="87">
        <v>400</v>
      </c>
      <c r="BH122" s="87">
        <v>278</v>
      </c>
      <c r="BI122" s="87">
        <v>433</v>
      </c>
      <c r="BJ122" s="40">
        <v>224</v>
      </c>
      <c r="BK122" s="40">
        <v>257</v>
      </c>
      <c r="BL122" s="40">
        <v>224</v>
      </c>
      <c r="BM122" s="40">
        <v>264</v>
      </c>
      <c r="BO122" s="86"/>
      <c r="BP122" s="21">
        <v>34</v>
      </c>
      <c r="BQ122" s="21">
        <v>29</v>
      </c>
      <c r="BR122" s="21">
        <v>45</v>
      </c>
      <c r="BS122" s="21">
        <v>34</v>
      </c>
      <c r="BT122" s="21">
        <v>34</v>
      </c>
      <c r="BU122" s="42">
        <v>44</v>
      </c>
      <c r="BV122" s="21">
        <v>36</v>
      </c>
      <c r="BW122" s="21">
        <v>29</v>
      </c>
      <c r="BX122" s="21">
        <v>48</v>
      </c>
      <c r="BY122" s="21">
        <v>26</v>
      </c>
      <c r="BZ122" s="21">
        <v>105</v>
      </c>
      <c r="CA122" s="21">
        <v>16</v>
      </c>
      <c r="CB122" s="21">
        <v>24</v>
      </c>
      <c r="CC122" s="21">
        <v>68</v>
      </c>
      <c r="CD122" s="21">
        <v>32</v>
      </c>
      <c r="CE122" s="21">
        <v>41</v>
      </c>
      <c r="CF122" s="21">
        <v>67</v>
      </c>
      <c r="CG122" s="42">
        <v>30</v>
      </c>
      <c r="CH122" s="21">
        <v>21</v>
      </c>
      <c r="CI122" s="21">
        <v>36</v>
      </c>
      <c r="CJ122" s="21">
        <v>52</v>
      </c>
      <c r="CK122" s="21">
        <v>74</v>
      </c>
      <c r="CL122" s="21">
        <v>171</v>
      </c>
      <c r="CM122" s="21">
        <v>19</v>
      </c>
      <c r="CN122" s="21">
        <v>25</v>
      </c>
      <c r="CO122" s="21">
        <v>6</v>
      </c>
      <c r="CP122" s="21">
        <f t="shared" si="158"/>
        <v>6</v>
      </c>
      <c r="CQ122" s="344">
        <f t="shared" si="159"/>
        <v>45.555555555555557</v>
      </c>
      <c r="CR122" s="87"/>
      <c r="CS122" s="86"/>
      <c r="CT122" s="85">
        <f t="shared" si="219"/>
        <v>229</v>
      </c>
      <c r="CU122" s="85">
        <f t="shared" si="220"/>
        <v>365</v>
      </c>
      <c r="CV122" s="85">
        <f t="shared" si="221"/>
        <v>257</v>
      </c>
      <c r="CW122" s="85">
        <f t="shared" si="222"/>
        <v>320</v>
      </c>
      <c r="CX122" s="85">
        <f t="shared" si="223"/>
        <v>299</v>
      </c>
      <c r="CY122" s="86">
        <f t="shared" si="224"/>
        <v>232</v>
      </c>
      <c r="CZ122" s="87">
        <f t="shared" si="225"/>
        <v>220</v>
      </c>
      <c r="DA122" s="87">
        <f t="shared" si="226"/>
        <v>289</v>
      </c>
      <c r="DB122" s="87">
        <f t="shared" si="227"/>
        <v>244</v>
      </c>
      <c r="DC122" s="87">
        <f t="shared" si="228"/>
        <v>213</v>
      </c>
      <c r="DD122" s="87">
        <f t="shared" si="229"/>
        <v>444</v>
      </c>
      <c r="DE122" s="87">
        <f t="shared" si="230"/>
        <v>289</v>
      </c>
      <c r="DF122" s="87">
        <f t="shared" si="231"/>
        <v>278</v>
      </c>
      <c r="DG122" s="87">
        <f t="shared" si="232"/>
        <v>366</v>
      </c>
      <c r="DH122" s="87">
        <f t="shared" si="233"/>
        <v>230</v>
      </c>
      <c r="DI122" s="87">
        <f t="shared" si="234"/>
        <v>253</v>
      </c>
      <c r="DJ122" s="87">
        <f t="shared" si="235"/>
        <v>361</v>
      </c>
      <c r="DK122" s="86">
        <f t="shared" si="236"/>
        <v>267</v>
      </c>
      <c r="DL122" s="87">
        <f t="shared" si="237"/>
        <v>328</v>
      </c>
      <c r="DM122" s="87">
        <f t="shared" si="238"/>
        <v>261</v>
      </c>
      <c r="DN122" s="87">
        <f t="shared" si="239"/>
        <v>313</v>
      </c>
      <c r="DO122" s="87">
        <f t="shared" si="240"/>
        <v>474</v>
      </c>
      <c r="DP122" s="87">
        <f t="shared" si="241"/>
        <v>449</v>
      </c>
      <c r="DQ122" s="87">
        <f t="shared" si="242"/>
        <v>452</v>
      </c>
      <c r="DR122" s="87">
        <f t="shared" si="218"/>
        <v>249</v>
      </c>
      <c r="DS122" s="87">
        <f t="shared" si="243"/>
        <v>263</v>
      </c>
      <c r="DT122" s="87">
        <f t="shared" si="244"/>
        <v>230</v>
      </c>
      <c r="DU122" s="87">
        <f t="shared" si="245"/>
        <v>309.55555555555554</v>
      </c>
      <c r="DV122" s="87">
        <f t="shared" si="246"/>
        <v>0</v>
      </c>
      <c r="DW122" s="87">
        <f t="shared" si="247"/>
        <v>0</v>
      </c>
    </row>
    <row r="123" spans="1:127">
      <c r="A123" s="22" t="s">
        <v>4</v>
      </c>
      <c r="B123" s="26">
        <v>4987176103574</v>
      </c>
      <c r="C123" s="22" t="s">
        <v>85</v>
      </c>
      <c r="D123" s="22" t="s">
        <v>13</v>
      </c>
      <c r="E123" s="22">
        <v>121224</v>
      </c>
      <c r="F123" s="80" t="s">
        <v>229</v>
      </c>
      <c r="G123" s="25">
        <v>330.59999999999997</v>
      </c>
      <c r="H123" s="85">
        <f t="shared" si="188"/>
        <v>0</v>
      </c>
      <c r="I123" s="85">
        <f t="shared" si="189"/>
        <v>330.59999999999997</v>
      </c>
      <c r="J123" s="85">
        <f t="shared" si="190"/>
        <v>0</v>
      </c>
      <c r="K123" s="85">
        <f t="shared" si="191"/>
        <v>0</v>
      </c>
      <c r="L123" s="85">
        <f t="shared" si="192"/>
        <v>0</v>
      </c>
      <c r="M123" s="86">
        <f t="shared" si="193"/>
        <v>0</v>
      </c>
      <c r="N123" s="87">
        <f t="shared" si="194"/>
        <v>0</v>
      </c>
      <c r="O123" s="87">
        <f t="shared" si="195"/>
        <v>0</v>
      </c>
      <c r="P123" s="87">
        <f t="shared" si="196"/>
        <v>0</v>
      </c>
      <c r="Q123" s="87">
        <f t="shared" si="197"/>
        <v>0</v>
      </c>
      <c r="R123" s="87">
        <f t="shared" si="198"/>
        <v>0</v>
      </c>
      <c r="S123" s="87">
        <f t="shared" si="199"/>
        <v>0</v>
      </c>
      <c r="T123" s="87">
        <f t="shared" si="200"/>
        <v>0</v>
      </c>
      <c r="U123" s="87">
        <f t="shared" si="201"/>
        <v>0</v>
      </c>
      <c r="V123" s="87">
        <f t="shared" si="202"/>
        <v>0</v>
      </c>
      <c r="W123" s="87">
        <f t="shared" si="203"/>
        <v>0</v>
      </c>
      <c r="X123" s="87">
        <f t="shared" si="204"/>
        <v>0</v>
      </c>
      <c r="Y123" s="86">
        <f t="shared" si="205"/>
        <v>0</v>
      </c>
      <c r="Z123" s="87">
        <f t="shared" si="206"/>
        <v>0</v>
      </c>
      <c r="AA123" s="87">
        <f t="shared" si="207"/>
        <v>0</v>
      </c>
      <c r="AB123" s="87">
        <f t="shared" si="208"/>
        <v>0</v>
      </c>
      <c r="AC123" s="87">
        <f t="shared" si="209"/>
        <v>0</v>
      </c>
      <c r="AD123" s="87">
        <f t="shared" si="210"/>
        <v>0</v>
      </c>
      <c r="AE123" s="87">
        <f t="shared" si="211"/>
        <v>0</v>
      </c>
      <c r="AF123" s="87">
        <f t="shared" si="212"/>
        <v>0</v>
      </c>
      <c r="AG123" s="87">
        <f t="shared" si="213"/>
        <v>0</v>
      </c>
      <c r="AH123" s="87">
        <f t="shared" si="214"/>
        <v>0</v>
      </c>
      <c r="AI123" s="87">
        <f t="shared" si="215"/>
        <v>0</v>
      </c>
      <c r="AJ123" s="87">
        <f t="shared" si="216"/>
        <v>0</v>
      </c>
      <c r="AK123" s="86">
        <f t="shared" si="217"/>
        <v>0</v>
      </c>
      <c r="AL123" s="85">
        <v>0</v>
      </c>
      <c r="AM123" s="85">
        <v>1</v>
      </c>
      <c r="AN123" s="85">
        <v>0</v>
      </c>
      <c r="AO123" s="85">
        <v>0</v>
      </c>
      <c r="AP123" s="85">
        <v>0</v>
      </c>
      <c r="AQ123" s="86">
        <v>0</v>
      </c>
      <c r="AR123" s="87">
        <v>0</v>
      </c>
      <c r="AS123" s="87">
        <v>0</v>
      </c>
      <c r="AT123" s="87">
        <v>0</v>
      </c>
      <c r="AU123" s="87">
        <v>0</v>
      </c>
      <c r="AV123" s="87">
        <v>0</v>
      </c>
      <c r="AW123" s="87">
        <v>0</v>
      </c>
      <c r="AX123" s="87">
        <v>0</v>
      </c>
      <c r="AY123" s="87">
        <v>0</v>
      </c>
      <c r="AZ123" s="87">
        <v>0</v>
      </c>
      <c r="BA123" s="87">
        <v>0</v>
      </c>
      <c r="BB123" s="87">
        <v>0</v>
      </c>
      <c r="BC123" s="86">
        <v>0</v>
      </c>
      <c r="BD123" s="87">
        <v>0</v>
      </c>
      <c r="BE123" s="87">
        <v>0</v>
      </c>
      <c r="BF123" s="87">
        <v>0</v>
      </c>
      <c r="BG123" s="87">
        <v>0</v>
      </c>
      <c r="BH123" s="87">
        <v>0</v>
      </c>
      <c r="BI123" s="87">
        <v>0</v>
      </c>
      <c r="BJ123" s="40">
        <v>0</v>
      </c>
      <c r="BK123" s="40">
        <v>0</v>
      </c>
      <c r="BL123" s="40">
        <v>0</v>
      </c>
      <c r="BM123" s="40">
        <v>0</v>
      </c>
      <c r="BO123" s="86"/>
      <c r="BP123" s="21">
        <v>0</v>
      </c>
      <c r="BQ123" s="21">
        <v>0</v>
      </c>
      <c r="BR123" s="21">
        <v>0</v>
      </c>
      <c r="BS123" s="21">
        <v>0</v>
      </c>
      <c r="BT123" s="21">
        <v>0</v>
      </c>
      <c r="BU123" s="42">
        <v>0</v>
      </c>
      <c r="BV123" s="21">
        <v>0</v>
      </c>
      <c r="BW123" s="21">
        <v>0</v>
      </c>
      <c r="BX123" s="21">
        <v>0</v>
      </c>
      <c r="BY123" s="21">
        <v>0</v>
      </c>
      <c r="BZ123" s="21">
        <v>0</v>
      </c>
      <c r="CA123" s="21">
        <v>0</v>
      </c>
      <c r="CB123" s="21">
        <v>0</v>
      </c>
      <c r="CC123" s="21">
        <v>0</v>
      </c>
      <c r="CD123" s="21">
        <v>0</v>
      </c>
      <c r="CE123" s="21">
        <v>0</v>
      </c>
      <c r="CF123" s="21">
        <v>0</v>
      </c>
      <c r="CG123" s="42">
        <v>0</v>
      </c>
      <c r="CH123" s="21">
        <v>0</v>
      </c>
      <c r="CI123" s="21">
        <v>0</v>
      </c>
      <c r="CJ123" s="21">
        <v>0</v>
      </c>
      <c r="CK123" s="21">
        <v>0</v>
      </c>
      <c r="CL123" s="21">
        <v>0</v>
      </c>
      <c r="CM123" s="21">
        <v>0</v>
      </c>
      <c r="CN123" s="21">
        <v>0</v>
      </c>
      <c r="CO123" s="21">
        <v>0</v>
      </c>
      <c r="CP123" s="21">
        <f t="shared" si="158"/>
        <v>0</v>
      </c>
      <c r="CQ123" s="344">
        <f t="shared" si="159"/>
        <v>0</v>
      </c>
      <c r="CR123" s="87"/>
      <c r="CS123" s="86"/>
      <c r="CT123" s="85">
        <f t="shared" si="219"/>
        <v>0</v>
      </c>
      <c r="CU123" s="85">
        <f t="shared" si="220"/>
        <v>1</v>
      </c>
      <c r="CV123" s="85">
        <f t="shared" si="221"/>
        <v>0</v>
      </c>
      <c r="CW123" s="85">
        <f t="shared" si="222"/>
        <v>0</v>
      </c>
      <c r="CX123" s="85">
        <f t="shared" si="223"/>
        <v>0</v>
      </c>
      <c r="CY123" s="86">
        <f t="shared" si="224"/>
        <v>0</v>
      </c>
      <c r="CZ123" s="87">
        <f t="shared" si="225"/>
        <v>0</v>
      </c>
      <c r="DA123" s="87">
        <f t="shared" si="226"/>
        <v>0</v>
      </c>
      <c r="DB123" s="87">
        <f t="shared" si="227"/>
        <v>0</v>
      </c>
      <c r="DC123" s="87">
        <f t="shared" si="228"/>
        <v>0</v>
      </c>
      <c r="DD123" s="87">
        <f t="shared" si="229"/>
        <v>0</v>
      </c>
      <c r="DE123" s="87">
        <f t="shared" si="230"/>
        <v>0</v>
      </c>
      <c r="DF123" s="87">
        <f t="shared" si="231"/>
        <v>0</v>
      </c>
      <c r="DG123" s="87">
        <f t="shared" si="232"/>
        <v>0</v>
      </c>
      <c r="DH123" s="87">
        <f t="shared" si="233"/>
        <v>0</v>
      </c>
      <c r="DI123" s="87">
        <f t="shared" si="234"/>
        <v>0</v>
      </c>
      <c r="DJ123" s="87">
        <f t="shared" si="235"/>
        <v>0</v>
      </c>
      <c r="DK123" s="86">
        <f t="shared" si="236"/>
        <v>0</v>
      </c>
      <c r="DL123" s="87">
        <f t="shared" si="237"/>
        <v>0</v>
      </c>
      <c r="DM123" s="87">
        <f t="shared" si="238"/>
        <v>0</v>
      </c>
      <c r="DN123" s="87">
        <f t="shared" si="239"/>
        <v>0</v>
      </c>
      <c r="DO123" s="87">
        <f t="shared" si="240"/>
        <v>0</v>
      </c>
      <c r="DP123" s="87">
        <f t="shared" si="241"/>
        <v>0</v>
      </c>
      <c r="DQ123" s="87">
        <f t="shared" si="242"/>
        <v>0</v>
      </c>
      <c r="DR123" s="87">
        <f t="shared" si="218"/>
        <v>0</v>
      </c>
      <c r="DS123" s="87">
        <f t="shared" si="243"/>
        <v>0</v>
      </c>
      <c r="DT123" s="87">
        <f t="shared" si="244"/>
        <v>0</v>
      </c>
      <c r="DU123" s="87">
        <f t="shared" si="245"/>
        <v>0</v>
      </c>
      <c r="DV123" s="87">
        <f t="shared" si="246"/>
        <v>0</v>
      </c>
      <c r="DW123" s="87">
        <f t="shared" si="247"/>
        <v>0</v>
      </c>
    </row>
    <row r="124" spans="1:127">
      <c r="A124" s="22" t="s">
        <v>4</v>
      </c>
      <c r="B124" s="26">
        <v>4902430680677</v>
      </c>
      <c r="C124" s="22" t="s">
        <v>85</v>
      </c>
      <c r="D124" s="22" t="s">
        <v>86</v>
      </c>
      <c r="E124" s="22">
        <v>525695</v>
      </c>
      <c r="F124" s="80" t="s">
        <v>230</v>
      </c>
      <c r="G124" s="25">
        <v>150.95333333333335</v>
      </c>
      <c r="H124" s="85">
        <f t="shared" si="188"/>
        <v>120158.85333333335</v>
      </c>
      <c r="I124" s="85">
        <f t="shared" si="189"/>
        <v>118649.32</v>
      </c>
      <c r="J124" s="85">
        <f t="shared" si="190"/>
        <v>33209.733333333337</v>
      </c>
      <c r="K124" s="85">
        <f t="shared" si="191"/>
        <v>77137.153333333335</v>
      </c>
      <c r="L124" s="85">
        <f t="shared" si="192"/>
        <v>95855.366666666669</v>
      </c>
      <c r="M124" s="86">
        <f t="shared" si="193"/>
        <v>92232.486666666679</v>
      </c>
      <c r="N124" s="87">
        <f t="shared" si="194"/>
        <v>96157.273333333345</v>
      </c>
      <c r="O124" s="87">
        <f t="shared" si="195"/>
        <v>105818.28666666668</v>
      </c>
      <c r="P124" s="87">
        <f t="shared" si="196"/>
        <v>97666.806666666671</v>
      </c>
      <c r="Q124" s="87">
        <f t="shared" si="197"/>
        <v>94345.833333333343</v>
      </c>
      <c r="R124" s="87">
        <f t="shared" si="198"/>
        <v>131631.30666666667</v>
      </c>
      <c r="S124" s="87">
        <f t="shared" si="199"/>
        <v>112913.09333333334</v>
      </c>
      <c r="T124" s="87">
        <f t="shared" si="200"/>
        <v>122121.24666666667</v>
      </c>
      <c r="U124" s="87">
        <f t="shared" si="201"/>
        <v>109441.16666666667</v>
      </c>
      <c r="V124" s="87">
        <f t="shared" si="202"/>
        <v>77137.153333333335</v>
      </c>
      <c r="W124" s="87">
        <f t="shared" si="203"/>
        <v>93440.113333333342</v>
      </c>
      <c r="X124" s="87">
        <f t="shared" si="204"/>
        <v>118649.32</v>
      </c>
      <c r="Y124" s="86">
        <f t="shared" si="205"/>
        <v>79250.500000000015</v>
      </c>
      <c r="Z124" s="87">
        <f t="shared" si="206"/>
        <v>92534.393333333341</v>
      </c>
      <c r="AA124" s="87">
        <f t="shared" si="207"/>
        <v>67778.046666666676</v>
      </c>
      <c r="AB124" s="87">
        <f t="shared" si="208"/>
        <v>86798.166666666672</v>
      </c>
      <c r="AC124" s="87">
        <f t="shared" si="209"/>
        <v>97817.760000000009</v>
      </c>
      <c r="AD124" s="87">
        <f t="shared" si="210"/>
        <v>142348.99333333335</v>
      </c>
      <c r="AE124" s="87">
        <f t="shared" si="211"/>
        <v>78344.780000000013</v>
      </c>
      <c r="AF124" s="87">
        <f t="shared" si="212"/>
        <v>61739.913333333338</v>
      </c>
      <c r="AG124" s="87">
        <f t="shared" si="213"/>
        <v>60079.426666666674</v>
      </c>
      <c r="AH124" s="87">
        <f t="shared" si="214"/>
        <v>45587.906666666669</v>
      </c>
      <c r="AI124" s="87">
        <f t="shared" si="215"/>
        <v>80541.989629629636</v>
      </c>
      <c r="AJ124" s="87">
        <f t="shared" si="216"/>
        <v>0</v>
      </c>
      <c r="AK124" s="86">
        <f t="shared" si="217"/>
        <v>0</v>
      </c>
      <c r="AL124" s="85">
        <v>661</v>
      </c>
      <c r="AM124" s="85">
        <v>693</v>
      </c>
      <c r="AN124" s="85">
        <v>206</v>
      </c>
      <c r="AO124" s="85">
        <v>419</v>
      </c>
      <c r="AP124" s="85">
        <v>546</v>
      </c>
      <c r="AQ124" s="86">
        <v>493</v>
      </c>
      <c r="AR124" s="87">
        <v>530</v>
      </c>
      <c r="AS124" s="87">
        <v>593</v>
      </c>
      <c r="AT124" s="87">
        <v>498</v>
      </c>
      <c r="AU124" s="87">
        <v>509</v>
      </c>
      <c r="AV124" s="87">
        <v>642</v>
      </c>
      <c r="AW124" s="87">
        <v>691</v>
      </c>
      <c r="AX124" s="87">
        <v>706</v>
      </c>
      <c r="AY124" s="87">
        <v>582</v>
      </c>
      <c r="AZ124" s="87">
        <v>409</v>
      </c>
      <c r="BA124" s="87">
        <v>466</v>
      </c>
      <c r="BB124" s="87">
        <v>520</v>
      </c>
      <c r="BC124" s="86">
        <v>409</v>
      </c>
      <c r="BD124" s="87">
        <v>487</v>
      </c>
      <c r="BE124" s="87">
        <v>342</v>
      </c>
      <c r="BF124" s="87">
        <v>424</v>
      </c>
      <c r="BG124" s="87">
        <v>458</v>
      </c>
      <c r="BH124" s="87">
        <v>377</v>
      </c>
      <c r="BI124" s="87">
        <v>429</v>
      </c>
      <c r="BJ124" s="40">
        <v>283</v>
      </c>
      <c r="BK124" s="40">
        <v>331</v>
      </c>
      <c r="BL124" s="40">
        <v>235</v>
      </c>
      <c r="BM124" s="40">
        <v>368</v>
      </c>
      <c r="BO124" s="86"/>
      <c r="BP124" s="21">
        <v>135</v>
      </c>
      <c r="BQ124" s="21">
        <v>93</v>
      </c>
      <c r="BR124" s="21">
        <v>14</v>
      </c>
      <c r="BS124" s="21">
        <v>92</v>
      </c>
      <c r="BT124" s="21">
        <v>89</v>
      </c>
      <c r="BU124" s="42">
        <v>118</v>
      </c>
      <c r="BV124" s="21">
        <v>107</v>
      </c>
      <c r="BW124" s="21">
        <v>108</v>
      </c>
      <c r="BX124" s="21">
        <v>149</v>
      </c>
      <c r="BY124" s="21">
        <v>116</v>
      </c>
      <c r="BZ124" s="21">
        <v>230</v>
      </c>
      <c r="CA124" s="21">
        <v>57</v>
      </c>
      <c r="CB124" s="21">
        <v>103</v>
      </c>
      <c r="CC124" s="21">
        <v>143</v>
      </c>
      <c r="CD124" s="21">
        <v>102</v>
      </c>
      <c r="CE124" s="21">
        <v>153</v>
      </c>
      <c r="CF124" s="21">
        <v>266</v>
      </c>
      <c r="CG124" s="42">
        <v>116</v>
      </c>
      <c r="CH124" s="21">
        <v>126</v>
      </c>
      <c r="CI124" s="21">
        <v>107</v>
      </c>
      <c r="CJ124" s="21">
        <v>151</v>
      </c>
      <c r="CK124" s="21">
        <v>190</v>
      </c>
      <c r="CL124" s="21">
        <v>566</v>
      </c>
      <c r="CM124" s="21">
        <v>90</v>
      </c>
      <c r="CN124" s="21">
        <v>126</v>
      </c>
      <c r="CO124" s="21">
        <v>67</v>
      </c>
      <c r="CP124" s="21">
        <f t="shared" si="158"/>
        <v>67</v>
      </c>
      <c r="CQ124" s="344">
        <f t="shared" si="159"/>
        <v>165.55555555555554</v>
      </c>
      <c r="CR124" s="87"/>
      <c r="CS124" s="86"/>
      <c r="CT124" s="85">
        <f t="shared" si="219"/>
        <v>796</v>
      </c>
      <c r="CU124" s="85">
        <f t="shared" si="220"/>
        <v>786</v>
      </c>
      <c r="CV124" s="85">
        <f t="shared" si="221"/>
        <v>220</v>
      </c>
      <c r="CW124" s="85">
        <f t="shared" si="222"/>
        <v>511</v>
      </c>
      <c r="CX124" s="85">
        <f t="shared" si="223"/>
        <v>635</v>
      </c>
      <c r="CY124" s="86">
        <f t="shared" si="224"/>
        <v>611</v>
      </c>
      <c r="CZ124" s="87">
        <f t="shared" si="225"/>
        <v>637</v>
      </c>
      <c r="DA124" s="87">
        <f t="shared" si="226"/>
        <v>701</v>
      </c>
      <c r="DB124" s="87">
        <f t="shared" si="227"/>
        <v>647</v>
      </c>
      <c r="DC124" s="87">
        <f t="shared" si="228"/>
        <v>625</v>
      </c>
      <c r="DD124" s="87">
        <f t="shared" si="229"/>
        <v>872</v>
      </c>
      <c r="DE124" s="87">
        <f t="shared" si="230"/>
        <v>748</v>
      </c>
      <c r="DF124" s="87">
        <f t="shared" si="231"/>
        <v>809</v>
      </c>
      <c r="DG124" s="87">
        <f t="shared" si="232"/>
        <v>725</v>
      </c>
      <c r="DH124" s="87">
        <f t="shared" si="233"/>
        <v>511</v>
      </c>
      <c r="DI124" s="87">
        <f t="shared" si="234"/>
        <v>619</v>
      </c>
      <c r="DJ124" s="87">
        <f t="shared" si="235"/>
        <v>786</v>
      </c>
      <c r="DK124" s="86">
        <f t="shared" si="236"/>
        <v>525</v>
      </c>
      <c r="DL124" s="87">
        <f t="shared" si="237"/>
        <v>613</v>
      </c>
      <c r="DM124" s="87">
        <f t="shared" si="238"/>
        <v>449</v>
      </c>
      <c r="DN124" s="87">
        <f t="shared" si="239"/>
        <v>575</v>
      </c>
      <c r="DO124" s="87">
        <f t="shared" si="240"/>
        <v>648</v>
      </c>
      <c r="DP124" s="87">
        <f t="shared" si="241"/>
        <v>943</v>
      </c>
      <c r="DQ124" s="87">
        <f t="shared" si="242"/>
        <v>519</v>
      </c>
      <c r="DR124" s="87">
        <f t="shared" si="218"/>
        <v>409</v>
      </c>
      <c r="DS124" s="87">
        <f t="shared" si="243"/>
        <v>398</v>
      </c>
      <c r="DT124" s="87">
        <f t="shared" si="244"/>
        <v>302</v>
      </c>
      <c r="DU124" s="87">
        <f t="shared" si="245"/>
        <v>533.55555555555554</v>
      </c>
      <c r="DV124" s="87">
        <f t="shared" si="246"/>
        <v>0</v>
      </c>
      <c r="DW124" s="87">
        <f t="shared" si="247"/>
        <v>0</v>
      </c>
    </row>
    <row r="125" spans="1:127">
      <c r="A125" s="22" t="s">
        <v>4</v>
      </c>
      <c r="B125" s="26">
        <v>4987176275844</v>
      </c>
      <c r="C125" s="22" t="s">
        <v>85</v>
      </c>
      <c r="D125" s="22" t="s">
        <v>12</v>
      </c>
      <c r="E125" s="22">
        <v>252576</v>
      </c>
      <c r="F125" s="80" t="s">
        <v>231</v>
      </c>
      <c r="G125" s="25">
        <v>137.34</v>
      </c>
      <c r="H125" s="85">
        <f t="shared" si="188"/>
        <v>0</v>
      </c>
      <c r="I125" s="85">
        <f t="shared" si="189"/>
        <v>0</v>
      </c>
      <c r="J125" s="85">
        <f t="shared" si="190"/>
        <v>0</v>
      </c>
      <c r="K125" s="85">
        <f t="shared" si="191"/>
        <v>0</v>
      </c>
      <c r="L125" s="85">
        <f t="shared" si="192"/>
        <v>0</v>
      </c>
      <c r="M125" s="86">
        <f t="shared" si="193"/>
        <v>0</v>
      </c>
      <c r="N125" s="87">
        <f t="shared" si="194"/>
        <v>0</v>
      </c>
      <c r="O125" s="87">
        <f t="shared" si="195"/>
        <v>0</v>
      </c>
      <c r="P125" s="87">
        <f t="shared" si="196"/>
        <v>0</v>
      </c>
      <c r="Q125" s="87">
        <f t="shared" si="197"/>
        <v>37081.800000000003</v>
      </c>
      <c r="R125" s="87">
        <f t="shared" si="198"/>
        <v>234988.74000000002</v>
      </c>
      <c r="S125" s="87">
        <f t="shared" si="199"/>
        <v>49030.380000000005</v>
      </c>
      <c r="T125" s="87">
        <f t="shared" si="200"/>
        <v>46008.9</v>
      </c>
      <c r="U125" s="87">
        <f t="shared" si="201"/>
        <v>41202</v>
      </c>
      <c r="V125" s="87">
        <f t="shared" si="202"/>
        <v>31862.880000000001</v>
      </c>
      <c r="W125" s="87">
        <f t="shared" si="203"/>
        <v>33373.620000000003</v>
      </c>
      <c r="X125" s="87">
        <f t="shared" si="204"/>
        <v>45734.22</v>
      </c>
      <c r="Y125" s="86">
        <f t="shared" si="205"/>
        <v>38729.879999999997</v>
      </c>
      <c r="Z125" s="87">
        <f t="shared" si="206"/>
        <v>34747.020000000004</v>
      </c>
      <c r="AA125" s="87">
        <f t="shared" si="207"/>
        <v>17716.86</v>
      </c>
      <c r="AB125" s="87">
        <f t="shared" si="208"/>
        <v>17167.5</v>
      </c>
      <c r="AC125" s="87">
        <f t="shared" si="209"/>
        <v>26918.639999999999</v>
      </c>
      <c r="AD125" s="87">
        <f t="shared" si="210"/>
        <v>7141.68</v>
      </c>
      <c r="AE125" s="87">
        <f t="shared" si="211"/>
        <v>7553.7</v>
      </c>
      <c r="AF125" s="87">
        <f t="shared" si="212"/>
        <v>10437.84</v>
      </c>
      <c r="AG125" s="87">
        <f t="shared" si="213"/>
        <v>18540.900000000001</v>
      </c>
      <c r="AH125" s="87">
        <f t="shared" si="214"/>
        <v>7004.34</v>
      </c>
      <c r="AI125" s="87">
        <f t="shared" si="215"/>
        <v>4288.0600000000004</v>
      </c>
      <c r="AJ125" s="87">
        <f t="shared" si="216"/>
        <v>0</v>
      </c>
      <c r="AK125" s="86">
        <f t="shared" si="217"/>
        <v>0</v>
      </c>
      <c r="AL125" s="85">
        <v>0</v>
      </c>
      <c r="AM125" s="85">
        <v>0</v>
      </c>
      <c r="AN125" s="85">
        <v>0</v>
      </c>
      <c r="AO125" s="85">
        <v>0</v>
      </c>
      <c r="AP125" s="85">
        <v>0</v>
      </c>
      <c r="AQ125" s="86">
        <v>0</v>
      </c>
      <c r="AR125" s="87">
        <v>0</v>
      </c>
      <c r="AS125" s="87">
        <v>0</v>
      </c>
      <c r="AT125" s="87">
        <v>0</v>
      </c>
      <c r="AU125" s="87">
        <v>246</v>
      </c>
      <c r="AV125" s="87">
        <v>1664</v>
      </c>
      <c r="AW125" s="87">
        <v>348</v>
      </c>
      <c r="AX125" s="87">
        <v>325</v>
      </c>
      <c r="AY125" s="87">
        <v>283</v>
      </c>
      <c r="AZ125" s="87">
        <v>222</v>
      </c>
      <c r="BA125" s="87">
        <v>237</v>
      </c>
      <c r="BB125" s="87">
        <v>307</v>
      </c>
      <c r="BC125" s="86">
        <v>267</v>
      </c>
      <c r="BD125" s="87">
        <v>248</v>
      </c>
      <c r="BE125" s="87">
        <v>124</v>
      </c>
      <c r="BF125" s="87">
        <v>113</v>
      </c>
      <c r="BG125" s="87">
        <v>180</v>
      </c>
      <c r="BH125" s="87">
        <v>52</v>
      </c>
      <c r="BI125" s="87">
        <v>55</v>
      </c>
      <c r="BJ125" s="40">
        <v>76</v>
      </c>
      <c r="BK125" s="40">
        <v>135</v>
      </c>
      <c r="BL125" s="40">
        <v>51</v>
      </c>
      <c r="BM125" s="40">
        <v>27</v>
      </c>
      <c r="BO125" s="86"/>
      <c r="BP125" s="21">
        <v>0</v>
      </c>
      <c r="BQ125" s="21">
        <v>0</v>
      </c>
      <c r="BR125" s="21">
        <v>0</v>
      </c>
      <c r="BS125" s="21">
        <v>0</v>
      </c>
      <c r="BT125" s="21">
        <v>0</v>
      </c>
      <c r="BU125" s="42">
        <v>0</v>
      </c>
      <c r="BV125" s="21">
        <v>0</v>
      </c>
      <c r="BW125" s="21">
        <v>0</v>
      </c>
      <c r="BX125" s="21">
        <v>0</v>
      </c>
      <c r="BY125" s="21">
        <v>24</v>
      </c>
      <c r="BZ125" s="21">
        <v>47</v>
      </c>
      <c r="CA125" s="21">
        <v>9</v>
      </c>
      <c r="CB125" s="21">
        <v>10</v>
      </c>
      <c r="CC125" s="21">
        <v>17</v>
      </c>
      <c r="CD125" s="21">
        <v>10</v>
      </c>
      <c r="CE125" s="21">
        <v>6</v>
      </c>
      <c r="CF125" s="21">
        <v>26</v>
      </c>
      <c r="CG125" s="42">
        <v>15</v>
      </c>
      <c r="CH125" s="21">
        <v>5</v>
      </c>
      <c r="CI125" s="21">
        <v>5</v>
      </c>
      <c r="CJ125" s="21">
        <v>12</v>
      </c>
      <c r="CK125" s="21">
        <v>16</v>
      </c>
      <c r="CL125" s="21">
        <v>0</v>
      </c>
      <c r="CM125" s="21">
        <v>0</v>
      </c>
      <c r="CN125" s="21">
        <v>0</v>
      </c>
      <c r="CO125" s="21">
        <v>0</v>
      </c>
      <c r="CP125" s="21">
        <f t="shared" si="158"/>
        <v>0</v>
      </c>
      <c r="CQ125" s="344">
        <f t="shared" si="159"/>
        <v>4.2222222222222223</v>
      </c>
      <c r="CR125" s="87"/>
      <c r="CS125" s="86"/>
      <c r="CT125" s="85">
        <f t="shared" si="219"/>
        <v>0</v>
      </c>
      <c r="CU125" s="85">
        <f t="shared" si="220"/>
        <v>0</v>
      </c>
      <c r="CV125" s="85">
        <f t="shared" si="221"/>
        <v>0</v>
      </c>
      <c r="CW125" s="85">
        <f t="shared" si="222"/>
        <v>0</v>
      </c>
      <c r="CX125" s="85">
        <f t="shared" si="223"/>
        <v>0</v>
      </c>
      <c r="CY125" s="86">
        <f t="shared" si="224"/>
        <v>0</v>
      </c>
      <c r="CZ125" s="87">
        <f t="shared" si="225"/>
        <v>0</v>
      </c>
      <c r="DA125" s="87">
        <f t="shared" si="226"/>
        <v>0</v>
      </c>
      <c r="DB125" s="87">
        <f t="shared" si="227"/>
        <v>0</v>
      </c>
      <c r="DC125" s="87">
        <f t="shared" si="228"/>
        <v>270</v>
      </c>
      <c r="DD125" s="87">
        <f t="shared" si="229"/>
        <v>1711</v>
      </c>
      <c r="DE125" s="87">
        <f t="shared" si="230"/>
        <v>357</v>
      </c>
      <c r="DF125" s="87">
        <f t="shared" si="231"/>
        <v>335</v>
      </c>
      <c r="DG125" s="87">
        <f t="shared" si="232"/>
        <v>300</v>
      </c>
      <c r="DH125" s="87">
        <f t="shared" si="233"/>
        <v>232</v>
      </c>
      <c r="DI125" s="87">
        <f t="shared" si="234"/>
        <v>243</v>
      </c>
      <c r="DJ125" s="87">
        <f t="shared" si="235"/>
        <v>333</v>
      </c>
      <c r="DK125" s="86">
        <f t="shared" si="236"/>
        <v>282</v>
      </c>
      <c r="DL125" s="87">
        <f t="shared" si="237"/>
        <v>253</v>
      </c>
      <c r="DM125" s="87">
        <f t="shared" si="238"/>
        <v>129</v>
      </c>
      <c r="DN125" s="87">
        <f t="shared" si="239"/>
        <v>125</v>
      </c>
      <c r="DO125" s="87">
        <f t="shared" si="240"/>
        <v>196</v>
      </c>
      <c r="DP125" s="87">
        <f t="shared" si="241"/>
        <v>52</v>
      </c>
      <c r="DQ125" s="87">
        <f t="shared" si="242"/>
        <v>55</v>
      </c>
      <c r="DR125" s="87">
        <f t="shared" si="218"/>
        <v>76</v>
      </c>
      <c r="DS125" s="87">
        <f t="shared" si="243"/>
        <v>135</v>
      </c>
      <c r="DT125" s="87">
        <f t="shared" si="244"/>
        <v>51</v>
      </c>
      <c r="DU125" s="87">
        <f t="shared" si="245"/>
        <v>31.222222222222221</v>
      </c>
      <c r="DV125" s="87">
        <f t="shared" si="246"/>
        <v>0</v>
      </c>
      <c r="DW125" s="87">
        <f t="shared" si="247"/>
        <v>0</v>
      </c>
    </row>
    <row r="126" spans="1:127">
      <c r="A126" s="22" t="s">
        <v>4</v>
      </c>
      <c r="B126" s="26">
        <v>4987176321879</v>
      </c>
      <c r="C126" s="22" t="s">
        <v>85</v>
      </c>
      <c r="D126" s="22" t="s">
        <v>8</v>
      </c>
      <c r="E126" s="22">
        <v>259230</v>
      </c>
      <c r="F126" s="80" t="s">
        <v>232</v>
      </c>
      <c r="G126" s="25">
        <v>201.85200000000003</v>
      </c>
      <c r="H126" s="85">
        <f t="shared" si="188"/>
        <v>0</v>
      </c>
      <c r="I126" s="85">
        <f t="shared" si="189"/>
        <v>0</v>
      </c>
      <c r="J126" s="85">
        <f t="shared" si="190"/>
        <v>0</v>
      </c>
      <c r="K126" s="85">
        <f t="shared" si="191"/>
        <v>0</v>
      </c>
      <c r="L126" s="85">
        <f t="shared" si="192"/>
        <v>0</v>
      </c>
      <c r="M126" s="86">
        <f t="shared" si="193"/>
        <v>0</v>
      </c>
      <c r="N126" s="87">
        <f t="shared" si="194"/>
        <v>0</v>
      </c>
      <c r="O126" s="87">
        <f t="shared" si="195"/>
        <v>0</v>
      </c>
      <c r="P126" s="87">
        <f t="shared" si="196"/>
        <v>0</v>
      </c>
      <c r="Q126" s="87">
        <f t="shared" si="197"/>
        <v>0</v>
      </c>
      <c r="R126" s="87">
        <f t="shared" si="198"/>
        <v>0</v>
      </c>
      <c r="S126" s="87">
        <f t="shared" si="199"/>
        <v>0</v>
      </c>
      <c r="T126" s="87">
        <f t="shared" si="200"/>
        <v>1211.1120000000001</v>
      </c>
      <c r="U126" s="87">
        <f t="shared" si="201"/>
        <v>14331.492000000002</v>
      </c>
      <c r="V126" s="87">
        <f t="shared" si="202"/>
        <v>10698.156000000001</v>
      </c>
      <c r="W126" s="87">
        <f t="shared" si="203"/>
        <v>10496.304000000002</v>
      </c>
      <c r="X126" s="87">
        <f t="shared" si="204"/>
        <v>9688.8960000000006</v>
      </c>
      <c r="Y126" s="86">
        <f t="shared" si="205"/>
        <v>6661.1160000000009</v>
      </c>
      <c r="Z126" s="87">
        <f t="shared" si="206"/>
        <v>9285.1920000000009</v>
      </c>
      <c r="AA126" s="87">
        <f t="shared" si="207"/>
        <v>6055.5600000000013</v>
      </c>
      <c r="AB126" s="87">
        <f t="shared" si="208"/>
        <v>5450.0040000000008</v>
      </c>
      <c r="AC126" s="87">
        <f t="shared" si="209"/>
        <v>13322.232000000002</v>
      </c>
      <c r="AD126" s="87">
        <f t="shared" si="210"/>
        <v>7872.228000000001</v>
      </c>
      <c r="AE126" s="87">
        <f t="shared" si="211"/>
        <v>7266.6720000000014</v>
      </c>
      <c r="AF126" s="87">
        <f t="shared" si="212"/>
        <v>2220.3720000000003</v>
      </c>
      <c r="AG126" s="87">
        <f t="shared" si="213"/>
        <v>2624.0760000000005</v>
      </c>
      <c r="AH126" s="87">
        <f t="shared" si="214"/>
        <v>807.40800000000013</v>
      </c>
      <c r="AI126" s="87">
        <f t="shared" si="215"/>
        <v>493.41600000000011</v>
      </c>
      <c r="AJ126" s="87">
        <f t="shared" si="216"/>
        <v>0</v>
      </c>
      <c r="AK126" s="86">
        <f t="shared" si="217"/>
        <v>0</v>
      </c>
      <c r="AL126" s="85">
        <v>0</v>
      </c>
      <c r="AM126" s="85">
        <v>0</v>
      </c>
      <c r="AN126" s="85">
        <v>0</v>
      </c>
      <c r="AO126" s="85">
        <v>0</v>
      </c>
      <c r="AP126" s="85">
        <v>0</v>
      </c>
      <c r="AQ126" s="86">
        <v>0</v>
      </c>
      <c r="AR126" s="87">
        <v>0</v>
      </c>
      <c r="AS126" s="87">
        <v>0</v>
      </c>
      <c r="AT126" s="87">
        <v>0</v>
      </c>
      <c r="AU126" s="87">
        <v>0</v>
      </c>
      <c r="AV126" s="87">
        <v>0</v>
      </c>
      <c r="AW126" s="87">
        <v>0</v>
      </c>
      <c r="AX126" s="87">
        <v>0</v>
      </c>
      <c r="AY126" s="87">
        <v>54</v>
      </c>
      <c r="AZ126" s="87">
        <v>49</v>
      </c>
      <c r="BA126" s="87">
        <v>47</v>
      </c>
      <c r="BB126" s="87">
        <v>36</v>
      </c>
      <c r="BC126" s="86">
        <v>30</v>
      </c>
      <c r="BD126" s="87">
        <v>39</v>
      </c>
      <c r="BE126" s="87">
        <v>24</v>
      </c>
      <c r="BF126" s="87">
        <v>27</v>
      </c>
      <c r="BG126" s="87">
        <v>66</v>
      </c>
      <c r="BH126" s="87">
        <v>39</v>
      </c>
      <c r="BI126" s="87">
        <v>36</v>
      </c>
      <c r="BJ126" s="40">
        <v>11</v>
      </c>
      <c r="BK126" s="40">
        <v>13</v>
      </c>
      <c r="BL126" s="40">
        <v>4</v>
      </c>
      <c r="BM126" s="40">
        <v>1</v>
      </c>
      <c r="BO126" s="86"/>
      <c r="BP126" s="21">
        <v>0</v>
      </c>
      <c r="BQ126" s="21">
        <v>0</v>
      </c>
      <c r="BR126" s="21">
        <v>0</v>
      </c>
      <c r="BS126" s="21">
        <v>0</v>
      </c>
      <c r="BT126" s="21">
        <v>0</v>
      </c>
      <c r="BU126" s="42">
        <v>0</v>
      </c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6</v>
      </c>
      <c r="CC126" s="21">
        <v>17</v>
      </c>
      <c r="CD126" s="21">
        <v>4</v>
      </c>
      <c r="CE126" s="21">
        <v>5</v>
      </c>
      <c r="CF126" s="21">
        <v>12</v>
      </c>
      <c r="CG126" s="42">
        <v>3</v>
      </c>
      <c r="CH126" s="21">
        <v>7</v>
      </c>
      <c r="CI126" s="21">
        <v>6</v>
      </c>
      <c r="CJ126" s="21">
        <v>0</v>
      </c>
      <c r="CK126" s="21">
        <v>0</v>
      </c>
      <c r="CL126" s="21">
        <v>0</v>
      </c>
      <c r="CM126" s="21">
        <v>0</v>
      </c>
      <c r="CN126" s="21">
        <v>0</v>
      </c>
      <c r="CO126" s="21">
        <v>0</v>
      </c>
      <c r="CP126" s="21">
        <f t="shared" si="158"/>
        <v>0</v>
      </c>
      <c r="CQ126" s="344">
        <f t="shared" si="159"/>
        <v>1.4444444444444444</v>
      </c>
      <c r="CR126" s="87"/>
      <c r="CS126" s="86"/>
      <c r="CT126" s="85">
        <f t="shared" si="219"/>
        <v>0</v>
      </c>
      <c r="CU126" s="85">
        <f t="shared" si="220"/>
        <v>0</v>
      </c>
      <c r="CV126" s="85">
        <f t="shared" si="221"/>
        <v>0</v>
      </c>
      <c r="CW126" s="85">
        <f t="shared" si="222"/>
        <v>0</v>
      </c>
      <c r="CX126" s="85">
        <f t="shared" si="223"/>
        <v>0</v>
      </c>
      <c r="CY126" s="86">
        <f t="shared" si="224"/>
        <v>0</v>
      </c>
      <c r="CZ126" s="87">
        <f t="shared" si="225"/>
        <v>0</v>
      </c>
      <c r="DA126" s="87">
        <f t="shared" si="226"/>
        <v>0</v>
      </c>
      <c r="DB126" s="87">
        <f t="shared" si="227"/>
        <v>0</v>
      </c>
      <c r="DC126" s="87">
        <f t="shared" si="228"/>
        <v>0</v>
      </c>
      <c r="DD126" s="87">
        <f t="shared" si="229"/>
        <v>0</v>
      </c>
      <c r="DE126" s="87">
        <f t="shared" si="230"/>
        <v>0</v>
      </c>
      <c r="DF126" s="87">
        <f t="shared" si="231"/>
        <v>6</v>
      </c>
      <c r="DG126" s="87">
        <f t="shared" si="232"/>
        <v>71</v>
      </c>
      <c r="DH126" s="87">
        <f t="shared" si="233"/>
        <v>53</v>
      </c>
      <c r="DI126" s="87">
        <f t="shared" si="234"/>
        <v>52</v>
      </c>
      <c r="DJ126" s="87">
        <f t="shared" si="235"/>
        <v>48</v>
      </c>
      <c r="DK126" s="86">
        <f t="shared" si="236"/>
        <v>33</v>
      </c>
      <c r="DL126" s="87">
        <f t="shared" si="237"/>
        <v>46</v>
      </c>
      <c r="DM126" s="87">
        <f t="shared" si="238"/>
        <v>30</v>
      </c>
      <c r="DN126" s="87">
        <f t="shared" si="239"/>
        <v>27</v>
      </c>
      <c r="DO126" s="87">
        <f t="shared" si="240"/>
        <v>66</v>
      </c>
      <c r="DP126" s="87">
        <f t="shared" si="241"/>
        <v>39</v>
      </c>
      <c r="DQ126" s="87">
        <f t="shared" si="242"/>
        <v>36</v>
      </c>
      <c r="DR126" s="87">
        <f t="shared" si="218"/>
        <v>11</v>
      </c>
      <c r="DS126" s="87">
        <f t="shared" si="243"/>
        <v>13</v>
      </c>
      <c r="DT126" s="87">
        <f t="shared" si="244"/>
        <v>4</v>
      </c>
      <c r="DU126" s="87">
        <f t="shared" si="245"/>
        <v>2.4444444444444446</v>
      </c>
      <c r="DV126" s="87">
        <f t="shared" si="246"/>
        <v>0</v>
      </c>
      <c r="DW126" s="87">
        <f t="shared" si="247"/>
        <v>0</v>
      </c>
    </row>
    <row r="127" spans="1:127">
      <c r="A127" s="22" t="s">
        <v>4</v>
      </c>
      <c r="B127" s="26">
        <v>4987176343468</v>
      </c>
      <c r="C127" s="22" t="s">
        <v>85</v>
      </c>
      <c r="D127" s="22" t="s">
        <v>11</v>
      </c>
      <c r="E127" s="22">
        <v>272863</v>
      </c>
      <c r="F127" s="80" t="s">
        <v>233</v>
      </c>
      <c r="G127" s="25">
        <v>182.1</v>
      </c>
      <c r="H127" s="85">
        <f t="shared" si="188"/>
        <v>0</v>
      </c>
      <c r="I127" s="85">
        <f t="shared" si="189"/>
        <v>0</v>
      </c>
      <c r="J127" s="85">
        <f t="shared" si="190"/>
        <v>0</v>
      </c>
      <c r="K127" s="85">
        <f t="shared" si="191"/>
        <v>0</v>
      </c>
      <c r="L127" s="85">
        <f t="shared" si="192"/>
        <v>0</v>
      </c>
      <c r="M127" s="86">
        <f t="shared" si="193"/>
        <v>0</v>
      </c>
      <c r="N127" s="87">
        <f t="shared" si="194"/>
        <v>0</v>
      </c>
      <c r="O127" s="87">
        <f t="shared" si="195"/>
        <v>0</v>
      </c>
      <c r="P127" s="87">
        <f t="shared" si="196"/>
        <v>0</v>
      </c>
      <c r="Q127" s="87">
        <f t="shared" si="197"/>
        <v>0</v>
      </c>
      <c r="R127" s="87">
        <f t="shared" si="198"/>
        <v>0</v>
      </c>
      <c r="S127" s="87">
        <f t="shared" si="199"/>
        <v>0</v>
      </c>
      <c r="T127" s="87">
        <f t="shared" si="200"/>
        <v>0</v>
      </c>
      <c r="U127" s="87">
        <f t="shared" si="201"/>
        <v>0</v>
      </c>
      <c r="V127" s="87">
        <f t="shared" si="202"/>
        <v>0</v>
      </c>
      <c r="W127" s="87">
        <f t="shared" si="203"/>
        <v>0</v>
      </c>
      <c r="X127" s="87">
        <f t="shared" si="204"/>
        <v>0</v>
      </c>
      <c r="Y127" s="86">
        <f t="shared" si="205"/>
        <v>0</v>
      </c>
      <c r="Z127" s="87">
        <f t="shared" si="206"/>
        <v>0</v>
      </c>
      <c r="AA127" s="87">
        <f t="shared" si="207"/>
        <v>0</v>
      </c>
      <c r="AB127" s="87">
        <f t="shared" si="208"/>
        <v>7284</v>
      </c>
      <c r="AC127" s="87">
        <f t="shared" si="209"/>
        <v>89775.3</v>
      </c>
      <c r="AD127" s="87">
        <f t="shared" si="210"/>
        <v>100155</v>
      </c>
      <c r="AE127" s="87">
        <f t="shared" si="211"/>
        <v>113812.5</v>
      </c>
      <c r="AF127" s="87">
        <f t="shared" si="212"/>
        <v>50988</v>
      </c>
      <c r="AG127" s="87">
        <f t="shared" si="213"/>
        <v>63370.799999999996</v>
      </c>
      <c r="AH127" s="87">
        <f t="shared" si="214"/>
        <v>248566.5</v>
      </c>
      <c r="AI127" s="87">
        <f t="shared" si="215"/>
        <v>227463.13333333333</v>
      </c>
      <c r="AJ127" s="87">
        <f t="shared" si="216"/>
        <v>0</v>
      </c>
      <c r="AK127" s="86">
        <f t="shared" si="217"/>
        <v>0</v>
      </c>
      <c r="AL127" s="85">
        <v>0</v>
      </c>
      <c r="AM127" s="85">
        <v>0</v>
      </c>
      <c r="AN127" s="85">
        <v>0</v>
      </c>
      <c r="AO127" s="85">
        <v>0</v>
      </c>
      <c r="AP127" s="85">
        <v>0</v>
      </c>
      <c r="AQ127" s="86">
        <v>0</v>
      </c>
      <c r="AR127" s="87">
        <v>0</v>
      </c>
      <c r="AS127" s="87">
        <v>0</v>
      </c>
      <c r="AT127" s="87">
        <v>0</v>
      </c>
      <c r="AU127" s="87">
        <v>0</v>
      </c>
      <c r="AV127" s="87">
        <v>0</v>
      </c>
      <c r="AW127" s="87">
        <v>0</v>
      </c>
      <c r="AX127" s="87">
        <v>0</v>
      </c>
      <c r="AY127" s="87">
        <v>0</v>
      </c>
      <c r="AZ127" s="87">
        <v>0</v>
      </c>
      <c r="BA127" s="87">
        <v>0</v>
      </c>
      <c r="BB127" s="87">
        <v>0</v>
      </c>
      <c r="BC127" s="86">
        <v>0</v>
      </c>
      <c r="BD127" s="87">
        <v>0</v>
      </c>
      <c r="BE127" s="87">
        <v>0</v>
      </c>
      <c r="BF127" s="87">
        <v>17</v>
      </c>
      <c r="BG127" s="87">
        <v>457</v>
      </c>
      <c r="BH127" s="87">
        <v>518</v>
      </c>
      <c r="BI127" s="87">
        <v>620</v>
      </c>
      <c r="BJ127" s="40">
        <v>276</v>
      </c>
      <c r="BK127" s="40">
        <v>348</v>
      </c>
      <c r="BL127" s="40">
        <v>1365</v>
      </c>
      <c r="BM127" s="40">
        <v>1238</v>
      </c>
      <c r="BO127" s="86"/>
      <c r="BP127" s="21">
        <v>0</v>
      </c>
      <c r="BQ127" s="21">
        <v>0</v>
      </c>
      <c r="BR127" s="21">
        <v>0</v>
      </c>
      <c r="BS127" s="21">
        <v>0</v>
      </c>
      <c r="BT127" s="21">
        <v>0</v>
      </c>
      <c r="BU127" s="42">
        <v>0</v>
      </c>
      <c r="BV127" s="21">
        <v>0</v>
      </c>
      <c r="BW127" s="21">
        <v>0</v>
      </c>
      <c r="BX127" s="21">
        <v>0</v>
      </c>
      <c r="BY127" s="21">
        <v>0</v>
      </c>
      <c r="BZ127" s="21">
        <v>0</v>
      </c>
      <c r="CA127" s="21">
        <v>0</v>
      </c>
      <c r="CB127" s="21">
        <v>0</v>
      </c>
      <c r="CC127" s="21">
        <v>0</v>
      </c>
      <c r="CD127" s="21">
        <v>0</v>
      </c>
      <c r="CE127" s="21">
        <v>0</v>
      </c>
      <c r="CF127" s="21">
        <v>0</v>
      </c>
      <c r="CG127" s="42">
        <v>0</v>
      </c>
      <c r="CH127" s="21">
        <v>0</v>
      </c>
      <c r="CI127" s="21">
        <v>0</v>
      </c>
      <c r="CJ127" s="21">
        <v>23</v>
      </c>
      <c r="CK127" s="21">
        <v>36</v>
      </c>
      <c r="CL127" s="21">
        <v>32</v>
      </c>
      <c r="CM127" s="21">
        <v>5</v>
      </c>
      <c r="CN127" s="21">
        <v>4</v>
      </c>
      <c r="CO127" s="21">
        <v>0</v>
      </c>
      <c r="CP127" s="21">
        <f t="shared" si="158"/>
        <v>0</v>
      </c>
      <c r="CQ127" s="344">
        <f t="shared" si="159"/>
        <v>11.111111111111111</v>
      </c>
      <c r="CR127" s="87"/>
      <c r="CS127" s="86"/>
      <c r="CT127" s="85">
        <f t="shared" si="219"/>
        <v>0</v>
      </c>
      <c r="CU127" s="85">
        <f t="shared" si="220"/>
        <v>0</v>
      </c>
      <c r="CV127" s="85">
        <f t="shared" si="221"/>
        <v>0</v>
      </c>
      <c r="CW127" s="85">
        <f t="shared" si="222"/>
        <v>0</v>
      </c>
      <c r="CX127" s="85">
        <f t="shared" si="223"/>
        <v>0</v>
      </c>
      <c r="CY127" s="86">
        <f t="shared" si="224"/>
        <v>0</v>
      </c>
      <c r="CZ127" s="87">
        <f t="shared" si="225"/>
        <v>0</v>
      </c>
      <c r="DA127" s="87">
        <f t="shared" si="226"/>
        <v>0</v>
      </c>
      <c r="DB127" s="87">
        <f t="shared" si="227"/>
        <v>0</v>
      </c>
      <c r="DC127" s="87">
        <f t="shared" si="228"/>
        <v>0</v>
      </c>
      <c r="DD127" s="87">
        <f t="shared" si="229"/>
        <v>0</v>
      </c>
      <c r="DE127" s="87">
        <f t="shared" si="230"/>
        <v>0</v>
      </c>
      <c r="DF127" s="87">
        <f t="shared" si="231"/>
        <v>0</v>
      </c>
      <c r="DG127" s="87">
        <f t="shared" si="232"/>
        <v>0</v>
      </c>
      <c r="DH127" s="87">
        <f t="shared" si="233"/>
        <v>0</v>
      </c>
      <c r="DI127" s="87">
        <f t="shared" si="234"/>
        <v>0</v>
      </c>
      <c r="DJ127" s="87">
        <f t="shared" si="235"/>
        <v>0</v>
      </c>
      <c r="DK127" s="86">
        <f t="shared" si="236"/>
        <v>0</v>
      </c>
      <c r="DL127" s="87">
        <f t="shared" si="237"/>
        <v>0</v>
      </c>
      <c r="DM127" s="87">
        <f t="shared" si="238"/>
        <v>0</v>
      </c>
      <c r="DN127" s="87">
        <f t="shared" si="239"/>
        <v>40</v>
      </c>
      <c r="DO127" s="87">
        <f t="shared" si="240"/>
        <v>493</v>
      </c>
      <c r="DP127" s="87">
        <f t="shared" si="241"/>
        <v>550</v>
      </c>
      <c r="DQ127" s="87">
        <f t="shared" si="242"/>
        <v>625</v>
      </c>
      <c r="DR127" s="87">
        <f t="shared" si="218"/>
        <v>280</v>
      </c>
      <c r="DS127" s="87">
        <f t="shared" si="243"/>
        <v>348</v>
      </c>
      <c r="DT127" s="87">
        <f t="shared" si="244"/>
        <v>1365</v>
      </c>
      <c r="DU127" s="87">
        <f t="shared" si="245"/>
        <v>1249.1111111111111</v>
      </c>
      <c r="DV127" s="87">
        <f t="shared" si="246"/>
        <v>0</v>
      </c>
      <c r="DW127" s="87">
        <f t="shared" si="247"/>
        <v>0</v>
      </c>
    </row>
    <row r="128" spans="1:127">
      <c r="A128" s="22" t="s">
        <v>4</v>
      </c>
      <c r="B128" s="26">
        <v>4987176343451</v>
      </c>
      <c r="C128" s="22" t="s">
        <v>85</v>
      </c>
      <c r="D128" s="22" t="s">
        <v>11</v>
      </c>
      <c r="E128" s="22">
        <v>273042</v>
      </c>
      <c r="F128" s="80" t="s">
        <v>234</v>
      </c>
      <c r="G128" s="25">
        <v>182.1</v>
      </c>
      <c r="H128" s="85">
        <f t="shared" si="188"/>
        <v>0</v>
      </c>
      <c r="I128" s="85">
        <f t="shared" si="189"/>
        <v>0</v>
      </c>
      <c r="J128" s="85">
        <f t="shared" si="190"/>
        <v>0</v>
      </c>
      <c r="K128" s="85">
        <f t="shared" si="191"/>
        <v>0</v>
      </c>
      <c r="L128" s="85">
        <f t="shared" si="192"/>
        <v>0</v>
      </c>
      <c r="M128" s="86">
        <f t="shared" si="193"/>
        <v>0</v>
      </c>
      <c r="N128" s="87">
        <f t="shared" si="194"/>
        <v>0</v>
      </c>
      <c r="O128" s="87">
        <f t="shared" si="195"/>
        <v>0</v>
      </c>
      <c r="P128" s="87">
        <f t="shared" si="196"/>
        <v>0</v>
      </c>
      <c r="Q128" s="87">
        <f t="shared" si="197"/>
        <v>0</v>
      </c>
      <c r="R128" s="87">
        <f t="shared" si="198"/>
        <v>0</v>
      </c>
      <c r="S128" s="87">
        <f t="shared" si="199"/>
        <v>0</v>
      </c>
      <c r="T128" s="87">
        <f t="shared" si="200"/>
        <v>0</v>
      </c>
      <c r="U128" s="87">
        <f t="shared" si="201"/>
        <v>0</v>
      </c>
      <c r="V128" s="87">
        <f t="shared" si="202"/>
        <v>0</v>
      </c>
      <c r="W128" s="87">
        <f t="shared" si="203"/>
        <v>0</v>
      </c>
      <c r="X128" s="87">
        <f t="shared" si="204"/>
        <v>0</v>
      </c>
      <c r="Y128" s="86">
        <f t="shared" si="205"/>
        <v>0</v>
      </c>
      <c r="Z128" s="87">
        <f t="shared" si="206"/>
        <v>0</v>
      </c>
      <c r="AA128" s="87">
        <f t="shared" si="207"/>
        <v>0</v>
      </c>
      <c r="AB128" s="87">
        <f t="shared" si="208"/>
        <v>10561.8</v>
      </c>
      <c r="AC128" s="87">
        <f t="shared" si="209"/>
        <v>113812.5</v>
      </c>
      <c r="AD128" s="87">
        <f t="shared" si="210"/>
        <v>120550.2</v>
      </c>
      <c r="AE128" s="87">
        <f t="shared" si="211"/>
        <v>138760.19999999998</v>
      </c>
      <c r="AF128" s="87">
        <f t="shared" si="212"/>
        <v>55358.400000000001</v>
      </c>
      <c r="AG128" s="87">
        <f t="shared" si="213"/>
        <v>72475.8</v>
      </c>
      <c r="AH128" s="87">
        <f t="shared" si="214"/>
        <v>268415.39999999997</v>
      </c>
      <c r="AI128" s="87">
        <f t="shared" si="215"/>
        <v>252855.96666666667</v>
      </c>
      <c r="AJ128" s="87">
        <f t="shared" si="216"/>
        <v>0</v>
      </c>
      <c r="AK128" s="86">
        <f t="shared" si="217"/>
        <v>0</v>
      </c>
      <c r="AL128" s="85">
        <v>0</v>
      </c>
      <c r="AM128" s="85">
        <v>0</v>
      </c>
      <c r="AN128" s="85">
        <v>0</v>
      </c>
      <c r="AO128" s="85">
        <v>0</v>
      </c>
      <c r="AP128" s="85">
        <v>0</v>
      </c>
      <c r="AQ128" s="86">
        <v>0</v>
      </c>
      <c r="AR128" s="87">
        <v>0</v>
      </c>
      <c r="AS128" s="87">
        <v>0</v>
      </c>
      <c r="AT128" s="87">
        <v>0</v>
      </c>
      <c r="AU128" s="87">
        <v>0</v>
      </c>
      <c r="AV128" s="87">
        <v>0</v>
      </c>
      <c r="AW128" s="87">
        <v>0</v>
      </c>
      <c r="AX128" s="87">
        <v>0</v>
      </c>
      <c r="AY128" s="87">
        <v>0</v>
      </c>
      <c r="AZ128" s="87">
        <v>0</v>
      </c>
      <c r="BA128" s="87">
        <v>0</v>
      </c>
      <c r="BB128" s="87">
        <v>0</v>
      </c>
      <c r="BC128" s="86">
        <v>0</v>
      </c>
      <c r="BD128" s="87">
        <v>0</v>
      </c>
      <c r="BE128" s="87">
        <v>0</v>
      </c>
      <c r="BF128" s="87">
        <v>29</v>
      </c>
      <c r="BG128" s="87">
        <v>577</v>
      </c>
      <c r="BH128" s="87">
        <v>599</v>
      </c>
      <c r="BI128" s="87">
        <v>753</v>
      </c>
      <c r="BJ128" s="40">
        <v>294</v>
      </c>
      <c r="BK128" s="40">
        <v>394</v>
      </c>
      <c r="BL128" s="40">
        <v>1470</v>
      </c>
      <c r="BM128" s="40">
        <v>1370</v>
      </c>
      <c r="BO128" s="86"/>
      <c r="BP128" s="21">
        <v>0</v>
      </c>
      <c r="BQ128" s="21">
        <v>0</v>
      </c>
      <c r="BR128" s="21">
        <v>0</v>
      </c>
      <c r="BS128" s="21">
        <v>0</v>
      </c>
      <c r="BT128" s="21">
        <v>0</v>
      </c>
      <c r="BU128" s="42">
        <v>0</v>
      </c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42">
        <v>0</v>
      </c>
      <c r="CH128" s="21">
        <v>0</v>
      </c>
      <c r="CI128" s="21">
        <v>0</v>
      </c>
      <c r="CJ128" s="21">
        <v>29</v>
      </c>
      <c r="CK128" s="21">
        <v>48</v>
      </c>
      <c r="CL128" s="21">
        <v>63</v>
      </c>
      <c r="CM128" s="21">
        <v>9</v>
      </c>
      <c r="CN128" s="21">
        <v>10</v>
      </c>
      <c r="CO128" s="21">
        <v>4</v>
      </c>
      <c r="CP128" s="21">
        <f t="shared" si="158"/>
        <v>4</v>
      </c>
      <c r="CQ128" s="344">
        <f t="shared" si="159"/>
        <v>18.555555555555557</v>
      </c>
      <c r="CR128" s="87"/>
      <c r="CS128" s="86"/>
      <c r="CT128" s="85">
        <f t="shared" si="219"/>
        <v>0</v>
      </c>
      <c r="CU128" s="85">
        <f t="shared" si="220"/>
        <v>0</v>
      </c>
      <c r="CV128" s="85">
        <f t="shared" si="221"/>
        <v>0</v>
      </c>
      <c r="CW128" s="85">
        <f t="shared" si="222"/>
        <v>0</v>
      </c>
      <c r="CX128" s="85">
        <f t="shared" si="223"/>
        <v>0</v>
      </c>
      <c r="CY128" s="86">
        <f t="shared" si="224"/>
        <v>0</v>
      </c>
      <c r="CZ128" s="87">
        <f t="shared" si="225"/>
        <v>0</v>
      </c>
      <c r="DA128" s="87">
        <f t="shared" si="226"/>
        <v>0</v>
      </c>
      <c r="DB128" s="87">
        <f t="shared" si="227"/>
        <v>0</v>
      </c>
      <c r="DC128" s="87">
        <f t="shared" si="228"/>
        <v>0</v>
      </c>
      <c r="DD128" s="87">
        <f t="shared" si="229"/>
        <v>0</v>
      </c>
      <c r="DE128" s="87">
        <f t="shared" si="230"/>
        <v>0</v>
      </c>
      <c r="DF128" s="87">
        <f t="shared" si="231"/>
        <v>0</v>
      </c>
      <c r="DG128" s="87">
        <f t="shared" si="232"/>
        <v>0</v>
      </c>
      <c r="DH128" s="87">
        <f t="shared" si="233"/>
        <v>0</v>
      </c>
      <c r="DI128" s="87">
        <f t="shared" si="234"/>
        <v>0</v>
      </c>
      <c r="DJ128" s="87">
        <f t="shared" si="235"/>
        <v>0</v>
      </c>
      <c r="DK128" s="86">
        <f t="shared" si="236"/>
        <v>0</v>
      </c>
      <c r="DL128" s="87">
        <f t="shared" si="237"/>
        <v>0</v>
      </c>
      <c r="DM128" s="87">
        <f t="shared" si="238"/>
        <v>0</v>
      </c>
      <c r="DN128" s="87">
        <f t="shared" si="239"/>
        <v>58</v>
      </c>
      <c r="DO128" s="87">
        <f t="shared" si="240"/>
        <v>625</v>
      </c>
      <c r="DP128" s="87">
        <f t="shared" si="241"/>
        <v>662</v>
      </c>
      <c r="DQ128" s="87">
        <f t="shared" si="242"/>
        <v>762</v>
      </c>
      <c r="DR128" s="87">
        <f t="shared" si="218"/>
        <v>304</v>
      </c>
      <c r="DS128" s="87">
        <f t="shared" si="243"/>
        <v>398</v>
      </c>
      <c r="DT128" s="87">
        <f t="shared" si="244"/>
        <v>1474</v>
      </c>
      <c r="DU128" s="87">
        <f t="shared" si="245"/>
        <v>1388.5555555555557</v>
      </c>
      <c r="DV128" s="87">
        <f t="shared" si="246"/>
        <v>0</v>
      </c>
      <c r="DW128" s="87">
        <f t="shared" si="247"/>
        <v>0</v>
      </c>
    </row>
    <row r="129" spans="1:127">
      <c r="A129" s="22" t="s">
        <v>4</v>
      </c>
      <c r="B129" s="26">
        <v>4987176348678</v>
      </c>
      <c r="C129" s="22" t="s">
        <v>85</v>
      </c>
      <c r="D129" s="22" t="s">
        <v>11</v>
      </c>
      <c r="E129" s="22">
        <v>273043</v>
      </c>
      <c r="F129" s="80" t="s">
        <v>235</v>
      </c>
      <c r="G129" s="25">
        <v>335</v>
      </c>
      <c r="H129" s="85">
        <f t="shared" si="188"/>
        <v>0</v>
      </c>
      <c r="I129" s="85">
        <f t="shared" si="189"/>
        <v>0</v>
      </c>
      <c r="J129" s="85">
        <f t="shared" si="190"/>
        <v>0</v>
      </c>
      <c r="K129" s="85">
        <f t="shared" si="191"/>
        <v>0</v>
      </c>
      <c r="L129" s="85">
        <f t="shared" si="192"/>
        <v>0</v>
      </c>
      <c r="M129" s="86">
        <f t="shared" si="193"/>
        <v>0</v>
      </c>
      <c r="N129" s="87">
        <f t="shared" si="194"/>
        <v>0</v>
      </c>
      <c r="O129" s="87">
        <f t="shared" si="195"/>
        <v>0</v>
      </c>
      <c r="P129" s="87">
        <f t="shared" si="196"/>
        <v>0</v>
      </c>
      <c r="Q129" s="87">
        <f t="shared" si="197"/>
        <v>0</v>
      </c>
      <c r="R129" s="87">
        <f t="shared" si="198"/>
        <v>0</v>
      </c>
      <c r="S129" s="87">
        <f t="shared" si="199"/>
        <v>0</v>
      </c>
      <c r="T129" s="87">
        <f t="shared" si="200"/>
        <v>0</v>
      </c>
      <c r="U129" s="87">
        <f t="shared" si="201"/>
        <v>0</v>
      </c>
      <c r="V129" s="87">
        <f t="shared" si="202"/>
        <v>0</v>
      </c>
      <c r="W129" s="87">
        <f t="shared" si="203"/>
        <v>0</v>
      </c>
      <c r="X129" s="87">
        <f t="shared" si="204"/>
        <v>0</v>
      </c>
      <c r="Y129" s="86">
        <f t="shared" si="205"/>
        <v>0</v>
      </c>
      <c r="Z129" s="87">
        <f t="shared" si="206"/>
        <v>0</v>
      </c>
      <c r="AA129" s="87">
        <f t="shared" si="207"/>
        <v>0</v>
      </c>
      <c r="AB129" s="87">
        <f t="shared" si="208"/>
        <v>21105</v>
      </c>
      <c r="AC129" s="87">
        <f t="shared" si="209"/>
        <v>175540</v>
      </c>
      <c r="AD129" s="87">
        <f t="shared" si="210"/>
        <v>190280</v>
      </c>
      <c r="AE129" s="87">
        <f t="shared" si="211"/>
        <v>195305</v>
      </c>
      <c r="AF129" s="87">
        <f t="shared" si="212"/>
        <v>108540</v>
      </c>
      <c r="AG129" s="87">
        <f t="shared" si="213"/>
        <v>142040</v>
      </c>
      <c r="AH129" s="87">
        <f t="shared" si="214"/>
        <v>155775</v>
      </c>
      <c r="AI129" s="87">
        <f t="shared" si="215"/>
        <v>202749.44444444444</v>
      </c>
      <c r="AJ129" s="87">
        <f t="shared" si="216"/>
        <v>0</v>
      </c>
      <c r="AK129" s="86">
        <f t="shared" si="217"/>
        <v>0</v>
      </c>
      <c r="AL129" s="85">
        <v>0</v>
      </c>
      <c r="AM129" s="85">
        <v>0</v>
      </c>
      <c r="AN129" s="85">
        <v>0</v>
      </c>
      <c r="AO129" s="85">
        <v>0</v>
      </c>
      <c r="AP129" s="85">
        <v>0</v>
      </c>
      <c r="AQ129" s="86">
        <v>0</v>
      </c>
      <c r="AR129" s="87">
        <v>0</v>
      </c>
      <c r="AS129" s="87">
        <v>0</v>
      </c>
      <c r="AT129" s="87">
        <v>0</v>
      </c>
      <c r="AU129" s="87">
        <v>0</v>
      </c>
      <c r="AV129" s="87">
        <v>0</v>
      </c>
      <c r="AW129" s="87">
        <v>0</v>
      </c>
      <c r="AX129" s="87">
        <v>0</v>
      </c>
      <c r="AY129" s="87">
        <v>0</v>
      </c>
      <c r="AZ129" s="87">
        <v>0</v>
      </c>
      <c r="BA129" s="87">
        <v>0</v>
      </c>
      <c r="BB129" s="87">
        <v>0</v>
      </c>
      <c r="BC129" s="86">
        <v>0</v>
      </c>
      <c r="BD129" s="87">
        <v>0</v>
      </c>
      <c r="BE129" s="87">
        <v>0</v>
      </c>
      <c r="BF129" s="87">
        <v>32</v>
      </c>
      <c r="BG129" s="232">
        <v>457</v>
      </c>
      <c r="BH129" s="87">
        <v>520</v>
      </c>
      <c r="BI129" s="87">
        <v>572</v>
      </c>
      <c r="BJ129" s="40">
        <v>309</v>
      </c>
      <c r="BK129" s="40">
        <v>419</v>
      </c>
      <c r="BL129" s="40">
        <v>460</v>
      </c>
      <c r="BM129" s="40">
        <v>585</v>
      </c>
      <c r="BO129" s="86"/>
      <c r="BP129" s="21">
        <v>0</v>
      </c>
      <c r="BQ129" s="21">
        <v>0</v>
      </c>
      <c r="BR129" s="21">
        <v>0</v>
      </c>
      <c r="BS129" s="21">
        <v>0</v>
      </c>
      <c r="BT129" s="21">
        <v>0</v>
      </c>
      <c r="BU129" s="42">
        <v>0</v>
      </c>
      <c r="BV129" s="21">
        <v>0</v>
      </c>
      <c r="BW129" s="21">
        <v>0</v>
      </c>
      <c r="BX129" s="21">
        <v>0</v>
      </c>
      <c r="BY129" s="21">
        <v>0</v>
      </c>
      <c r="BZ129" s="21">
        <v>0</v>
      </c>
      <c r="CA129" s="21">
        <v>0</v>
      </c>
      <c r="CB129" s="21">
        <v>0</v>
      </c>
      <c r="CC129" s="21">
        <v>0</v>
      </c>
      <c r="CD129" s="21">
        <v>0</v>
      </c>
      <c r="CE129" s="21">
        <v>0</v>
      </c>
      <c r="CF129" s="21">
        <v>0</v>
      </c>
      <c r="CG129" s="42">
        <v>0</v>
      </c>
      <c r="CH129" s="21">
        <v>0</v>
      </c>
      <c r="CI129" s="21">
        <v>0</v>
      </c>
      <c r="CJ129" s="21">
        <v>31</v>
      </c>
      <c r="CK129" s="21">
        <v>67</v>
      </c>
      <c r="CL129" s="21">
        <v>48</v>
      </c>
      <c r="CM129" s="21">
        <v>11</v>
      </c>
      <c r="CN129" s="21">
        <v>15</v>
      </c>
      <c r="CO129" s="21">
        <v>5</v>
      </c>
      <c r="CP129" s="21">
        <f t="shared" si="158"/>
        <v>5</v>
      </c>
      <c r="CQ129" s="344">
        <f t="shared" si="159"/>
        <v>20.222222222222221</v>
      </c>
      <c r="CR129" s="87"/>
      <c r="CS129" s="86"/>
      <c r="CT129" s="85">
        <f t="shared" si="219"/>
        <v>0</v>
      </c>
      <c r="CU129" s="85">
        <f t="shared" si="220"/>
        <v>0</v>
      </c>
      <c r="CV129" s="85">
        <f t="shared" si="221"/>
        <v>0</v>
      </c>
      <c r="CW129" s="85">
        <f t="shared" si="222"/>
        <v>0</v>
      </c>
      <c r="CX129" s="85">
        <f t="shared" si="223"/>
        <v>0</v>
      </c>
      <c r="CY129" s="86">
        <f t="shared" si="224"/>
        <v>0</v>
      </c>
      <c r="CZ129" s="87">
        <f t="shared" si="225"/>
        <v>0</v>
      </c>
      <c r="DA129" s="87">
        <f t="shared" si="226"/>
        <v>0</v>
      </c>
      <c r="DB129" s="87">
        <f t="shared" si="227"/>
        <v>0</v>
      </c>
      <c r="DC129" s="87">
        <f t="shared" si="228"/>
        <v>0</v>
      </c>
      <c r="DD129" s="87">
        <f t="shared" si="229"/>
        <v>0</v>
      </c>
      <c r="DE129" s="87">
        <f t="shared" si="230"/>
        <v>0</v>
      </c>
      <c r="DF129" s="87">
        <f t="shared" si="231"/>
        <v>0</v>
      </c>
      <c r="DG129" s="87">
        <f t="shared" si="232"/>
        <v>0</v>
      </c>
      <c r="DH129" s="87">
        <f t="shared" si="233"/>
        <v>0</v>
      </c>
      <c r="DI129" s="87">
        <f t="shared" si="234"/>
        <v>0</v>
      </c>
      <c r="DJ129" s="87">
        <f t="shared" si="235"/>
        <v>0</v>
      </c>
      <c r="DK129" s="86">
        <f t="shared" si="236"/>
        <v>0</v>
      </c>
      <c r="DL129" s="87">
        <f t="shared" si="237"/>
        <v>0</v>
      </c>
      <c r="DM129" s="87">
        <f t="shared" si="238"/>
        <v>0</v>
      </c>
      <c r="DN129" s="87">
        <f t="shared" si="239"/>
        <v>63</v>
      </c>
      <c r="DO129" s="87">
        <f t="shared" si="240"/>
        <v>524</v>
      </c>
      <c r="DP129" s="87">
        <f t="shared" si="241"/>
        <v>568</v>
      </c>
      <c r="DQ129" s="87">
        <f t="shared" si="242"/>
        <v>583</v>
      </c>
      <c r="DR129" s="87">
        <f t="shared" si="218"/>
        <v>324</v>
      </c>
      <c r="DS129" s="87">
        <f t="shared" si="243"/>
        <v>424</v>
      </c>
      <c r="DT129" s="87">
        <f t="shared" si="244"/>
        <v>465</v>
      </c>
      <c r="DU129" s="87">
        <f t="shared" si="245"/>
        <v>605.22222222222217</v>
      </c>
      <c r="DV129" s="87">
        <f t="shared" si="246"/>
        <v>0</v>
      </c>
      <c r="DW129" s="87">
        <f t="shared" si="247"/>
        <v>0</v>
      </c>
    </row>
    <row r="130" spans="1:127">
      <c r="A130" s="22" t="s">
        <v>4</v>
      </c>
      <c r="B130" s="26">
        <v>4987176348654</v>
      </c>
      <c r="C130" s="22" t="s">
        <v>85</v>
      </c>
      <c r="D130" s="22" t="s">
        <v>11</v>
      </c>
      <c r="E130" s="22">
        <v>273097</v>
      </c>
      <c r="F130" s="80" t="s">
        <v>236</v>
      </c>
      <c r="G130" s="25">
        <v>335</v>
      </c>
      <c r="H130" s="85">
        <f t="shared" si="188"/>
        <v>0</v>
      </c>
      <c r="I130" s="85">
        <f t="shared" si="189"/>
        <v>0</v>
      </c>
      <c r="J130" s="85">
        <f t="shared" si="190"/>
        <v>0</v>
      </c>
      <c r="K130" s="85">
        <f t="shared" si="191"/>
        <v>0</v>
      </c>
      <c r="L130" s="85">
        <f t="shared" si="192"/>
        <v>0</v>
      </c>
      <c r="M130" s="86">
        <f t="shared" si="193"/>
        <v>0</v>
      </c>
      <c r="N130" s="87">
        <f t="shared" si="194"/>
        <v>0</v>
      </c>
      <c r="O130" s="87">
        <f t="shared" si="195"/>
        <v>0</v>
      </c>
      <c r="P130" s="87">
        <f t="shared" si="196"/>
        <v>0</v>
      </c>
      <c r="Q130" s="87">
        <f t="shared" si="197"/>
        <v>0</v>
      </c>
      <c r="R130" s="87">
        <f t="shared" si="198"/>
        <v>0</v>
      </c>
      <c r="S130" s="87">
        <f t="shared" si="199"/>
        <v>0</v>
      </c>
      <c r="T130" s="87">
        <f t="shared" si="200"/>
        <v>0</v>
      </c>
      <c r="U130" s="87">
        <f t="shared" si="201"/>
        <v>0</v>
      </c>
      <c r="V130" s="87">
        <f t="shared" si="202"/>
        <v>0</v>
      </c>
      <c r="W130" s="87">
        <f t="shared" si="203"/>
        <v>0</v>
      </c>
      <c r="X130" s="87">
        <f t="shared" si="204"/>
        <v>0</v>
      </c>
      <c r="Y130" s="86">
        <f t="shared" si="205"/>
        <v>0</v>
      </c>
      <c r="Z130" s="87">
        <f t="shared" si="206"/>
        <v>0</v>
      </c>
      <c r="AA130" s="87">
        <f t="shared" si="207"/>
        <v>0</v>
      </c>
      <c r="AB130" s="87">
        <f t="shared" si="208"/>
        <v>36515</v>
      </c>
      <c r="AC130" s="87">
        <f t="shared" si="209"/>
        <v>300160</v>
      </c>
      <c r="AD130" s="87">
        <f t="shared" si="210"/>
        <v>277380</v>
      </c>
      <c r="AE130" s="87">
        <f t="shared" si="211"/>
        <v>288435</v>
      </c>
      <c r="AF130" s="87">
        <f t="shared" si="212"/>
        <v>164820</v>
      </c>
      <c r="AG130" s="87">
        <f t="shared" si="213"/>
        <v>199995</v>
      </c>
      <c r="AH130" s="87">
        <f t="shared" si="214"/>
        <v>213395</v>
      </c>
      <c r="AI130" s="87">
        <f t="shared" si="215"/>
        <v>259401.66666666669</v>
      </c>
      <c r="AJ130" s="87">
        <f t="shared" si="216"/>
        <v>0</v>
      </c>
      <c r="AK130" s="86">
        <f t="shared" si="217"/>
        <v>0</v>
      </c>
      <c r="AL130" s="85">
        <v>0</v>
      </c>
      <c r="AM130" s="85">
        <v>0</v>
      </c>
      <c r="AN130" s="85">
        <v>0</v>
      </c>
      <c r="AO130" s="85">
        <v>0</v>
      </c>
      <c r="AP130" s="85">
        <v>0</v>
      </c>
      <c r="AQ130" s="86">
        <v>0</v>
      </c>
      <c r="AR130" s="87">
        <v>0</v>
      </c>
      <c r="AS130" s="87">
        <v>0</v>
      </c>
      <c r="AT130" s="87">
        <v>0</v>
      </c>
      <c r="AU130" s="87">
        <v>0</v>
      </c>
      <c r="AV130" s="87">
        <v>0</v>
      </c>
      <c r="AW130" s="87">
        <v>0</v>
      </c>
      <c r="AX130" s="87">
        <v>0</v>
      </c>
      <c r="AY130" s="87">
        <v>0</v>
      </c>
      <c r="AZ130" s="87">
        <v>0</v>
      </c>
      <c r="BA130" s="87">
        <v>0</v>
      </c>
      <c r="BB130" s="87">
        <v>0</v>
      </c>
      <c r="BC130" s="86">
        <v>0</v>
      </c>
      <c r="BD130" s="87">
        <v>0</v>
      </c>
      <c r="BE130" s="87">
        <v>0</v>
      </c>
      <c r="BF130" s="87">
        <v>57</v>
      </c>
      <c r="BG130" s="232">
        <v>811</v>
      </c>
      <c r="BH130" s="87">
        <v>767</v>
      </c>
      <c r="BI130" s="87">
        <v>847</v>
      </c>
      <c r="BJ130" s="40">
        <v>471</v>
      </c>
      <c r="BK130" s="40">
        <v>595</v>
      </c>
      <c r="BL130" s="40">
        <v>635</v>
      </c>
      <c r="BM130" s="40">
        <v>748</v>
      </c>
      <c r="BO130" s="86"/>
      <c r="BP130" s="21">
        <v>0</v>
      </c>
      <c r="BQ130" s="21">
        <v>0</v>
      </c>
      <c r="BR130" s="21">
        <v>0</v>
      </c>
      <c r="BS130" s="21">
        <v>0</v>
      </c>
      <c r="BT130" s="21">
        <v>0</v>
      </c>
      <c r="BU130" s="42">
        <v>0</v>
      </c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42">
        <v>0</v>
      </c>
      <c r="CH130" s="21">
        <v>0</v>
      </c>
      <c r="CI130" s="21">
        <v>0</v>
      </c>
      <c r="CJ130" s="21">
        <v>52</v>
      </c>
      <c r="CK130" s="21">
        <v>85</v>
      </c>
      <c r="CL130" s="21">
        <v>61</v>
      </c>
      <c r="CM130" s="21">
        <v>14</v>
      </c>
      <c r="CN130" s="21">
        <v>21</v>
      </c>
      <c r="CO130" s="21">
        <v>2</v>
      </c>
      <c r="CP130" s="21">
        <f t="shared" si="158"/>
        <v>2</v>
      </c>
      <c r="CQ130" s="344">
        <f t="shared" si="159"/>
        <v>26.333333333333332</v>
      </c>
      <c r="CR130" s="87"/>
      <c r="CS130" s="86"/>
      <c r="CT130" s="85">
        <f t="shared" si="219"/>
        <v>0</v>
      </c>
      <c r="CU130" s="85">
        <f t="shared" si="220"/>
        <v>0</v>
      </c>
      <c r="CV130" s="85">
        <f t="shared" si="221"/>
        <v>0</v>
      </c>
      <c r="CW130" s="85">
        <f t="shared" si="222"/>
        <v>0</v>
      </c>
      <c r="CX130" s="85">
        <f t="shared" si="223"/>
        <v>0</v>
      </c>
      <c r="CY130" s="86">
        <f t="shared" si="224"/>
        <v>0</v>
      </c>
      <c r="CZ130" s="87">
        <f t="shared" si="225"/>
        <v>0</v>
      </c>
      <c r="DA130" s="87">
        <f t="shared" si="226"/>
        <v>0</v>
      </c>
      <c r="DB130" s="87">
        <f t="shared" si="227"/>
        <v>0</v>
      </c>
      <c r="DC130" s="87">
        <f t="shared" si="228"/>
        <v>0</v>
      </c>
      <c r="DD130" s="87">
        <f t="shared" si="229"/>
        <v>0</v>
      </c>
      <c r="DE130" s="87">
        <f t="shared" si="230"/>
        <v>0</v>
      </c>
      <c r="DF130" s="87">
        <f t="shared" si="231"/>
        <v>0</v>
      </c>
      <c r="DG130" s="87">
        <f t="shared" si="232"/>
        <v>0</v>
      </c>
      <c r="DH130" s="87">
        <f t="shared" si="233"/>
        <v>0</v>
      </c>
      <c r="DI130" s="87">
        <f t="shared" si="234"/>
        <v>0</v>
      </c>
      <c r="DJ130" s="87">
        <f t="shared" si="235"/>
        <v>0</v>
      </c>
      <c r="DK130" s="86">
        <f t="shared" si="236"/>
        <v>0</v>
      </c>
      <c r="DL130" s="87">
        <f t="shared" si="237"/>
        <v>0</v>
      </c>
      <c r="DM130" s="87">
        <f t="shared" si="238"/>
        <v>0</v>
      </c>
      <c r="DN130" s="87">
        <f t="shared" si="239"/>
        <v>109</v>
      </c>
      <c r="DO130" s="87">
        <f t="shared" si="240"/>
        <v>896</v>
      </c>
      <c r="DP130" s="87">
        <f t="shared" si="241"/>
        <v>828</v>
      </c>
      <c r="DQ130" s="87">
        <f t="shared" si="242"/>
        <v>861</v>
      </c>
      <c r="DR130" s="87">
        <f t="shared" si="218"/>
        <v>492</v>
      </c>
      <c r="DS130" s="87">
        <f t="shared" si="243"/>
        <v>597</v>
      </c>
      <c r="DT130" s="87">
        <f t="shared" si="244"/>
        <v>637</v>
      </c>
      <c r="DU130" s="87">
        <f t="shared" si="245"/>
        <v>774.33333333333337</v>
      </c>
      <c r="DV130" s="87">
        <f t="shared" si="246"/>
        <v>0</v>
      </c>
      <c r="DW130" s="87">
        <f t="shared" si="247"/>
        <v>0</v>
      </c>
    </row>
    <row r="131" spans="1:127">
      <c r="A131" s="22" t="s">
        <v>4</v>
      </c>
      <c r="B131" s="26">
        <v>4987176348647</v>
      </c>
      <c r="C131" s="22" t="s">
        <v>85</v>
      </c>
      <c r="D131" s="22" t="s">
        <v>11</v>
      </c>
      <c r="E131" s="22">
        <v>280289</v>
      </c>
      <c r="F131" s="80" t="s">
        <v>756</v>
      </c>
      <c r="G131" s="25">
        <v>147.28583333333333</v>
      </c>
      <c r="H131" s="38">
        <f t="shared" ref="H131:H194" si="248">CT131*$G131</f>
        <v>0</v>
      </c>
      <c r="I131" s="38">
        <f t="shared" ref="I131:I194" si="249">CU131*$G131</f>
        <v>0</v>
      </c>
      <c r="J131" s="38">
        <f t="shared" ref="J131:J194" si="250">CV131*$G131</f>
        <v>0</v>
      </c>
      <c r="K131" s="38">
        <f t="shared" ref="K131:K194" si="251">CW131*$G131</f>
        <v>0</v>
      </c>
      <c r="L131" s="38">
        <f t="shared" ref="L131:L194" si="252">CX131*$G131</f>
        <v>0</v>
      </c>
      <c r="M131" s="39">
        <f t="shared" ref="M131:M194" si="253">CY131*$G131</f>
        <v>0</v>
      </c>
      <c r="N131" s="40">
        <f t="shared" ref="N131:N194" si="254">CZ131*$G131</f>
        <v>0</v>
      </c>
      <c r="O131" s="40">
        <f t="shared" ref="O131:O194" si="255">DA131*$G131</f>
        <v>0</v>
      </c>
      <c r="P131" s="40">
        <f t="shared" ref="P131:P194" si="256">DB131*$G131</f>
        <v>0</v>
      </c>
      <c r="Q131" s="40">
        <f t="shared" ref="Q131:Q194" si="257">DC131*$G131</f>
        <v>0</v>
      </c>
      <c r="R131" s="40">
        <f t="shared" ref="R131:R194" si="258">DD131*$G131</f>
        <v>0</v>
      </c>
      <c r="S131" s="40">
        <f t="shared" ref="S131:S194" si="259">DE131*$G131</f>
        <v>0</v>
      </c>
      <c r="T131" s="40">
        <f t="shared" ref="T131:T194" si="260">DF131*$G131</f>
        <v>0</v>
      </c>
      <c r="U131" s="40">
        <f t="shared" ref="U131:U194" si="261">DG131*$G131</f>
        <v>0</v>
      </c>
      <c r="V131" s="40">
        <f t="shared" ref="V131:V194" si="262">DH131*$G131</f>
        <v>0</v>
      </c>
      <c r="W131" s="40">
        <f t="shared" ref="W131:W194" si="263">DI131*$G131</f>
        <v>0</v>
      </c>
      <c r="X131" s="40">
        <f t="shared" ref="X131:X194" si="264">DJ131*$G131</f>
        <v>0</v>
      </c>
      <c r="Y131" s="39">
        <f t="shared" ref="Y131:Y194" si="265">DK131*$G131</f>
        <v>0</v>
      </c>
      <c r="Z131" s="40">
        <f t="shared" ref="Z131:Z194" si="266">DL131*$G131</f>
        <v>0</v>
      </c>
      <c r="AA131" s="40">
        <f t="shared" ref="AA131:AA194" si="267">DM131*$G131</f>
        <v>0</v>
      </c>
      <c r="AB131" s="40">
        <f t="shared" ref="AB131:AB194" si="268">DN131*$G131</f>
        <v>0</v>
      </c>
      <c r="AC131" s="40">
        <f t="shared" ref="AC131:AC194" si="269">DO131*$G131</f>
        <v>0</v>
      </c>
      <c r="AD131" s="40">
        <f t="shared" ref="AD131:AD194" si="270">DP131*$G131</f>
        <v>0</v>
      </c>
      <c r="AE131" s="40">
        <f t="shared" ref="AE131:AE194" si="271">DQ131*$G131</f>
        <v>0</v>
      </c>
      <c r="AF131" s="40">
        <f t="shared" ref="AF131:AF194" si="272">DR131*$G131</f>
        <v>883.71499999999992</v>
      </c>
      <c r="AG131" s="40">
        <f t="shared" ref="AG131:AG194" si="273">DS131*$G131</f>
        <v>547756.01416666666</v>
      </c>
      <c r="AH131" s="40"/>
      <c r="AI131" s="40"/>
      <c r="AJ131" s="40"/>
      <c r="AK131" s="39"/>
      <c r="AL131" s="38"/>
      <c r="AM131" s="38"/>
      <c r="AN131" s="38"/>
      <c r="AO131" s="38"/>
      <c r="AP131" s="38"/>
      <c r="AQ131" s="39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39"/>
      <c r="BD131" s="40"/>
      <c r="BE131" s="40"/>
      <c r="BF131" s="40"/>
      <c r="BG131" s="40"/>
      <c r="BH131" s="40"/>
      <c r="BI131" s="40"/>
      <c r="BJ131" s="40"/>
      <c r="BK131" s="40">
        <v>3665</v>
      </c>
      <c r="BL131" s="40">
        <v>2114</v>
      </c>
      <c r="BM131" s="40">
        <v>1048</v>
      </c>
      <c r="BN131" s="40"/>
      <c r="BO131" s="39"/>
      <c r="CA131" s="21">
        <v>0</v>
      </c>
      <c r="CB131" s="21">
        <v>0</v>
      </c>
      <c r="CC131" s="21">
        <v>0</v>
      </c>
      <c r="CD131" s="21">
        <v>0</v>
      </c>
      <c r="CE131" s="21">
        <v>0</v>
      </c>
      <c r="CF131" s="21">
        <v>0</v>
      </c>
      <c r="CG131" s="42">
        <v>0</v>
      </c>
      <c r="CH131" s="21">
        <v>0</v>
      </c>
      <c r="CI131" s="21">
        <v>0</v>
      </c>
      <c r="CJ131" s="21">
        <v>0</v>
      </c>
      <c r="CK131" s="21">
        <v>0</v>
      </c>
      <c r="CL131" s="21">
        <v>0</v>
      </c>
      <c r="CM131" s="21">
        <v>0</v>
      </c>
      <c r="CN131" s="21">
        <v>6</v>
      </c>
      <c r="CO131" s="21">
        <v>54</v>
      </c>
      <c r="CP131" s="21">
        <f t="shared" si="158"/>
        <v>54</v>
      </c>
      <c r="CQ131" s="343">
        <f t="shared" si="159"/>
        <v>12.666666666666666</v>
      </c>
      <c r="CR131" s="40"/>
      <c r="CS131" s="39"/>
      <c r="CT131" s="38"/>
      <c r="CU131" s="38"/>
      <c r="CV131" s="38"/>
      <c r="CW131" s="38"/>
      <c r="CX131" s="38"/>
      <c r="CY131" s="39"/>
      <c r="CZ131" s="40"/>
      <c r="DA131" s="40"/>
      <c r="DB131" s="40"/>
      <c r="DC131" s="40"/>
      <c r="DD131" s="40"/>
      <c r="DE131" s="40"/>
      <c r="DF131" s="40"/>
      <c r="DG131" s="40"/>
      <c r="DH131" s="40"/>
      <c r="DI131" s="40"/>
      <c r="DJ131" s="40"/>
      <c r="DK131" s="39"/>
      <c r="DL131" s="40"/>
      <c r="DM131" s="40"/>
      <c r="DN131" s="40"/>
      <c r="DO131" s="40"/>
      <c r="DP131" s="40"/>
      <c r="DQ131" s="40"/>
      <c r="DR131" s="40">
        <f t="shared" si="218"/>
        <v>6</v>
      </c>
      <c r="DS131" s="40">
        <f t="shared" si="243"/>
        <v>3719</v>
      </c>
      <c r="DT131" s="40"/>
      <c r="DU131" s="40"/>
      <c r="DV131" s="40"/>
      <c r="DW131" s="40"/>
    </row>
    <row r="132" spans="1:127">
      <c r="A132" s="22" t="s">
        <v>4</v>
      </c>
      <c r="B132" s="26">
        <v>4987176348661</v>
      </c>
      <c r="C132" s="22" t="s">
        <v>85</v>
      </c>
      <c r="D132" s="22" t="s">
        <v>11</v>
      </c>
      <c r="E132" s="22">
        <v>280505</v>
      </c>
      <c r="F132" s="80" t="s">
        <v>759</v>
      </c>
      <c r="G132" s="25">
        <v>182.1</v>
      </c>
      <c r="H132" s="38">
        <f t="shared" si="248"/>
        <v>0</v>
      </c>
      <c r="I132" s="38">
        <f t="shared" si="249"/>
        <v>0</v>
      </c>
      <c r="J132" s="38">
        <f t="shared" si="250"/>
        <v>0</v>
      </c>
      <c r="K132" s="38">
        <f t="shared" si="251"/>
        <v>0</v>
      </c>
      <c r="L132" s="38">
        <f t="shared" si="252"/>
        <v>0</v>
      </c>
      <c r="M132" s="39">
        <f t="shared" si="253"/>
        <v>0</v>
      </c>
      <c r="N132" s="40">
        <f t="shared" si="254"/>
        <v>0</v>
      </c>
      <c r="O132" s="40">
        <f t="shared" si="255"/>
        <v>0</v>
      </c>
      <c r="P132" s="40">
        <f t="shared" si="256"/>
        <v>0</v>
      </c>
      <c r="Q132" s="40">
        <f t="shared" si="257"/>
        <v>0</v>
      </c>
      <c r="R132" s="40">
        <f t="shared" si="258"/>
        <v>0</v>
      </c>
      <c r="S132" s="40">
        <f t="shared" si="259"/>
        <v>0</v>
      </c>
      <c r="T132" s="40">
        <f t="shared" si="260"/>
        <v>0</v>
      </c>
      <c r="U132" s="40">
        <f t="shared" si="261"/>
        <v>0</v>
      </c>
      <c r="V132" s="40">
        <f t="shared" si="262"/>
        <v>0</v>
      </c>
      <c r="W132" s="40">
        <f t="shared" si="263"/>
        <v>0</v>
      </c>
      <c r="X132" s="40">
        <f t="shared" si="264"/>
        <v>0</v>
      </c>
      <c r="Y132" s="39">
        <f t="shared" si="265"/>
        <v>0</v>
      </c>
      <c r="Z132" s="40">
        <f t="shared" si="266"/>
        <v>0</v>
      </c>
      <c r="AA132" s="40">
        <f t="shared" si="267"/>
        <v>0</v>
      </c>
      <c r="AB132" s="40">
        <f t="shared" si="268"/>
        <v>0</v>
      </c>
      <c r="AC132" s="40">
        <f t="shared" si="269"/>
        <v>0</v>
      </c>
      <c r="AD132" s="40">
        <f t="shared" si="270"/>
        <v>0</v>
      </c>
      <c r="AE132" s="40">
        <f t="shared" si="271"/>
        <v>0</v>
      </c>
      <c r="AF132" s="40">
        <f t="shared" si="272"/>
        <v>546.29999999999995</v>
      </c>
      <c r="AG132" s="40">
        <f t="shared" si="273"/>
        <v>65556</v>
      </c>
      <c r="AH132" s="40"/>
      <c r="AI132" s="40"/>
      <c r="AJ132" s="40"/>
      <c r="AK132" s="39"/>
      <c r="AL132" s="38"/>
      <c r="AM132" s="38"/>
      <c r="AN132" s="38"/>
      <c r="AO132" s="38"/>
      <c r="AP132" s="38"/>
      <c r="AQ132" s="39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39"/>
      <c r="BD132" s="40"/>
      <c r="BE132" s="40"/>
      <c r="BF132" s="40"/>
      <c r="BG132" s="40"/>
      <c r="BH132" s="40"/>
      <c r="BI132" s="40"/>
      <c r="BJ132" s="40"/>
      <c r="BK132" s="40">
        <v>350</v>
      </c>
      <c r="BL132" s="40">
        <v>379</v>
      </c>
      <c r="BM132" s="40">
        <v>443</v>
      </c>
      <c r="BN132" s="40"/>
      <c r="BO132" s="39"/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42">
        <v>0</v>
      </c>
      <c r="CH132" s="21">
        <v>0</v>
      </c>
      <c r="CI132" s="21">
        <v>0</v>
      </c>
      <c r="CJ132" s="21">
        <v>0</v>
      </c>
      <c r="CK132" s="21">
        <v>0</v>
      </c>
      <c r="CL132" s="21">
        <v>0</v>
      </c>
      <c r="CM132" s="21">
        <v>0</v>
      </c>
      <c r="CN132" s="21">
        <v>3</v>
      </c>
      <c r="CO132" s="21">
        <v>10</v>
      </c>
      <c r="CP132" s="21">
        <f t="shared" si="158"/>
        <v>10</v>
      </c>
      <c r="CQ132" s="343">
        <f t="shared" si="159"/>
        <v>2.5555555555555554</v>
      </c>
      <c r="CR132" s="40"/>
      <c r="CS132" s="39"/>
      <c r="CT132" s="38"/>
      <c r="CU132" s="38"/>
      <c r="CV132" s="38"/>
      <c r="CW132" s="38"/>
      <c r="CX132" s="38"/>
      <c r="CY132" s="39"/>
      <c r="CZ132" s="40"/>
      <c r="DA132" s="40"/>
      <c r="DB132" s="40"/>
      <c r="DC132" s="40"/>
      <c r="DD132" s="40"/>
      <c r="DE132" s="40"/>
      <c r="DF132" s="40"/>
      <c r="DG132" s="40"/>
      <c r="DH132" s="40"/>
      <c r="DI132" s="40"/>
      <c r="DJ132" s="40"/>
      <c r="DK132" s="39"/>
      <c r="DL132" s="40"/>
      <c r="DM132" s="40"/>
      <c r="DN132" s="40"/>
      <c r="DO132" s="40"/>
      <c r="DP132" s="40"/>
      <c r="DQ132" s="40"/>
      <c r="DR132" s="40">
        <f t="shared" si="218"/>
        <v>3</v>
      </c>
      <c r="DS132" s="40">
        <f t="shared" si="243"/>
        <v>360</v>
      </c>
      <c r="DT132" s="40"/>
      <c r="DU132" s="40"/>
      <c r="DV132" s="40"/>
      <c r="DW132" s="40"/>
    </row>
    <row r="133" spans="1:127">
      <c r="A133" s="22" t="s">
        <v>4</v>
      </c>
      <c r="B133" s="26">
        <v>4987176343673</v>
      </c>
      <c r="C133" s="22" t="s">
        <v>85</v>
      </c>
      <c r="D133" s="22" t="s">
        <v>8</v>
      </c>
      <c r="E133" s="22">
        <v>272843</v>
      </c>
      <c r="F133" s="80" t="s">
        <v>237</v>
      </c>
      <c r="G133" s="25">
        <v>176.89</v>
      </c>
      <c r="H133" s="85">
        <f t="shared" si="248"/>
        <v>0</v>
      </c>
      <c r="I133" s="85">
        <f t="shared" si="249"/>
        <v>0</v>
      </c>
      <c r="J133" s="85">
        <f t="shared" si="250"/>
        <v>0</v>
      </c>
      <c r="K133" s="85">
        <f t="shared" si="251"/>
        <v>0</v>
      </c>
      <c r="L133" s="85">
        <f t="shared" si="252"/>
        <v>0</v>
      </c>
      <c r="M133" s="86">
        <f t="shared" si="253"/>
        <v>0</v>
      </c>
      <c r="N133" s="87">
        <f t="shared" si="254"/>
        <v>0</v>
      </c>
      <c r="O133" s="87">
        <f t="shared" si="255"/>
        <v>0</v>
      </c>
      <c r="P133" s="87">
        <f t="shared" si="256"/>
        <v>0</v>
      </c>
      <c r="Q133" s="87">
        <f t="shared" si="257"/>
        <v>0</v>
      </c>
      <c r="R133" s="87">
        <f t="shared" si="258"/>
        <v>0</v>
      </c>
      <c r="S133" s="87">
        <f t="shared" si="259"/>
        <v>0</v>
      </c>
      <c r="T133" s="87">
        <f t="shared" si="260"/>
        <v>0</v>
      </c>
      <c r="U133" s="87">
        <f t="shared" si="261"/>
        <v>0</v>
      </c>
      <c r="V133" s="87">
        <f t="shared" si="262"/>
        <v>0</v>
      </c>
      <c r="W133" s="87">
        <f t="shared" si="263"/>
        <v>0</v>
      </c>
      <c r="X133" s="87">
        <f t="shared" si="264"/>
        <v>0</v>
      </c>
      <c r="Y133" s="86">
        <f t="shared" si="265"/>
        <v>0</v>
      </c>
      <c r="Z133" s="87">
        <f t="shared" si="266"/>
        <v>0</v>
      </c>
      <c r="AA133" s="87">
        <f t="shared" si="267"/>
        <v>0</v>
      </c>
      <c r="AB133" s="87">
        <f t="shared" si="268"/>
        <v>5129.8099999999995</v>
      </c>
      <c r="AC133" s="87">
        <f t="shared" si="269"/>
        <v>50413.649999999994</v>
      </c>
      <c r="AD133" s="87">
        <f t="shared" si="270"/>
        <v>62088.389999999992</v>
      </c>
      <c r="AE133" s="87">
        <f t="shared" si="271"/>
        <v>78716.049999999988</v>
      </c>
      <c r="AF133" s="87">
        <f t="shared" si="272"/>
        <v>45106.95</v>
      </c>
      <c r="AG133" s="87">
        <f t="shared" si="273"/>
        <v>48644.749999999993</v>
      </c>
      <c r="AH133" s="87">
        <f t="shared" ref="AH133:AH164" si="274">DT133*$G133</f>
        <v>42453.599999999999</v>
      </c>
      <c r="AI133" s="87">
        <f t="shared" ref="AI133:AI164" si="275">DU133*$G133</f>
        <v>65331.373333333322</v>
      </c>
      <c r="AJ133" s="87">
        <f t="shared" ref="AJ133:AJ164" si="276">DV133*$G133</f>
        <v>0</v>
      </c>
      <c r="AK133" s="86">
        <f t="shared" ref="AK133:AK164" si="277">DW133*$G133</f>
        <v>0</v>
      </c>
      <c r="AL133" s="85">
        <v>0</v>
      </c>
      <c r="AM133" s="85">
        <v>0</v>
      </c>
      <c r="AN133" s="85">
        <v>0</v>
      </c>
      <c r="AO133" s="85">
        <v>0</v>
      </c>
      <c r="AP133" s="85">
        <v>0</v>
      </c>
      <c r="AQ133" s="86">
        <v>0</v>
      </c>
      <c r="AR133" s="87">
        <v>0</v>
      </c>
      <c r="AS133" s="87">
        <v>0</v>
      </c>
      <c r="AT133" s="87">
        <v>0</v>
      </c>
      <c r="AU133" s="87">
        <v>0</v>
      </c>
      <c r="AV133" s="87">
        <v>0</v>
      </c>
      <c r="AW133" s="87">
        <v>0</v>
      </c>
      <c r="AX133" s="87">
        <v>0</v>
      </c>
      <c r="AY133" s="87">
        <v>0</v>
      </c>
      <c r="AZ133" s="87">
        <v>0</v>
      </c>
      <c r="BA133" s="87">
        <v>0</v>
      </c>
      <c r="BB133" s="87">
        <v>0</v>
      </c>
      <c r="BC133" s="86">
        <v>0</v>
      </c>
      <c r="BD133" s="87">
        <v>0</v>
      </c>
      <c r="BE133" s="87">
        <v>0</v>
      </c>
      <c r="BF133" s="87">
        <v>16</v>
      </c>
      <c r="BG133" s="87">
        <v>263</v>
      </c>
      <c r="BH133" s="87">
        <v>304</v>
      </c>
      <c r="BI133" s="87">
        <v>419</v>
      </c>
      <c r="BJ133" s="40">
        <v>246</v>
      </c>
      <c r="BK133" s="40">
        <v>269</v>
      </c>
      <c r="BL133" s="40">
        <v>234</v>
      </c>
      <c r="BM133" s="40">
        <v>355</v>
      </c>
      <c r="BO133" s="86"/>
      <c r="BP133" s="21">
        <v>0</v>
      </c>
      <c r="BQ133" s="21">
        <v>0</v>
      </c>
      <c r="BR133" s="21">
        <v>0</v>
      </c>
      <c r="BS133" s="21">
        <v>0</v>
      </c>
      <c r="BT133" s="21">
        <v>0</v>
      </c>
      <c r="BU133" s="42">
        <v>0</v>
      </c>
      <c r="BV133" s="21">
        <v>0</v>
      </c>
      <c r="BW133" s="21">
        <v>0</v>
      </c>
      <c r="BX133" s="21">
        <v>0</v>
      </c>
      <c r="BY133" s="21">
        <v>0</v>
      </c>
      <c r="BZ133" s="21">
        <v>0</v>
      </c>
      <c r="CA133" s="21">
        <v>0</v>
      </c>
      <c r="CB133" s="21">
        <v>0</v>
      </c>
      <c r="CC133" s="21">
        <v>0</v>
      </c>
      <c r="CD133" s="21">
        <v>0</v>
      </c>
      <c r="CE133" s="21">
        <v>0</v>
      </c>
      <c r="CF133" s="21">
        <v>0</v>
      </c>
      <c r="CG133" s="42">
        <v>0</v>
      </c>
      <c r="CH133" s="21">
        <v>0</v>
      </c>
      <c r="CI133" s="21">
        <v>0</v>
      </c>
      <c r="CJ133" s="21">
        <v>13</v>
      </c>
      <c r="CK133" s="21">
        <v>22</v>
      </c>
      <c r="CL133" s="21">
        <v>47</v>
      </c>
      <c r="CM133" s="21">
        <v>26</v>
      </c>
      <c r="CN133" s="21">
        <v>9</v>
      </c>
      <c r="CO133" s="21">
        <v>6</v>
      </c>
      <c r="CP133" s="21">
        <f t="shared" ref="CP133:CP196" si="278">CO133</f>
        <v>6</v>
      </c>
      <c r="CQ133" s="344">
        <f t="shared" ref="CQ133:CQ196" si="279">AVERAGE(CH133:CP133)</f>
        <v>14.333333333333334</v>
      </c>
      <c r="CR133" s="87"/>
      <c r="CS133" s="86"/>
      <c r="CT133" s="85">
        <f t="shared" ref="CT133:CT164" si="280">AL133+BP133</f>
        <v>0</v>
      </c>
      <c r="CU133" s="85">
        <f t="shared" ref="CU133:CU164" si="281">AM133+BQ133</f>
        <v>0</v>
      </c>
      <c r="CV133" s="85">
        <f t="shared" ref="CV133:CV164" si="282">AN133+BR133</f>
        <v>0</v>
      </c>
      <c r="CW133" s="85">
        <f t="shared" ref="CW133:CW164" si="283">AO133+BS133</f>
        <v>0</v>
      </c>
      <c r="CX133" s="85">
        <f t="shared" ref="CX133:CX164" si="284">AP133+BT133</f>
        <v>0</v>
      </c>
      <c r="CY133" s="86">
        <f t="shared" ref="CY133:CY164" si="285">AQ133+BU133</f>
        <v>0</v>
      </c>
      <c r="CZ133" s="87">
        <f t="shared" ref="CZ133:CZ164" si="286">AR133+BV133</f>
        <v>0</v>
      </c>
      <c r="DA133" s="87">
        <f t="shared" ref="DA133:DA164" si="287">AS133+BW133</f>
        <v>0</v>
      </c>
      <c r="DB133" s="87">
        <f t="shared" ref="DB133:DB164" si="288">AT133+BX133</f>
        <v>0</v>
      </c>
      <c r="DC133" s="87">
        <f t="shared" ref="DC133:DC164" si="289">AU133+BY133</f>
        <v>0</v>
      </c>
      <c r="DD133" s="87">
        <f t="shared" ref="DD133:DD164" si="290">AV133+BZ133</f>
        <v>0</v>
      </c>
      <c r="DE133" s="87">
        <f t="shared" ref="DE133:DE164" si="291">AW133+CA133</f>
        <v>0</v>
      </c>
      <c r="DF133" s="87">
        <f t="shared" ref="DF133:DF164" si="292">AX133+CB133</f>
        <v>0</v>
      </c>
      <c r="DG133" s="87">
        <f t="shared" ref="DG133:DG164" si="293">AY133+CC133</f>
        <v>0</v>
      </c>
      <c r="DH133" s="87">
        <f t="shared" ref="DH133:DH164" si="294">AZ133+CD133</f>
        <v>0</v>
      </c>
      <c r="DI133" s="87">
        <f t="shared" ref="DI133:DI164" si="295">BA133+CE133</f>
        <v>0</v>
      </c>
      <c r="DJ133" s="87">
        <f t="shared" ref="DJ133:DJ164" si="296">BB133+CF133</f>
        <v>0</v>
      </c>
      <c r="DK133" s="86">
        <f t="shared" ref="DK133:DK164" si="297">BC133+CG133</f>
        <v>0</v>
      </c>
      <c r="DL133" s="87">
        <f t="shared" ref="DL133:DL164" si="298">BD133+CH133</f>
        <v>0</v>
      </c>
      <c r="DM133" s="87">
        <f t="shared" ref="DM133:DM164" si="299">BE133+CI133</f>
        <v>0</v>
      </c>
      <c r="DN133" s="87">
        <f t="shared" ref="DN133:DN164" si="300">BF133+CJ133</f>
        <v>29</v>
      </c>
      <c r="DO133" s="87">
        <f t="shared" ref="DO133:DO164" si="301">BG133+CK133</f>
        <v>285</v>
      </c>
      <c r="DP133" s="87">
        <f t="shared" ref="DP133:DP164" si="302">BH133+CL133</f>
        <v>351</v>
      </c>
      <c r="DQ133" s="87">
        <f t="shared" ref="DQ133:DQ164" si="303">BI133+CM133</f>
        <v>445</v>
      </c>
      <c r="DR133" s="87">
        <f t="shared" si="218"/>
        <v>255</v>
      </c>
      <c r="DS133" s="87">
        <f t="shared" si="243"/>
        <v>275</v>
      </c>
      <c r="DT133" s="87">
        <f t="shared" ref="DT133:DT164" si="304">BL133+CP133</f>
        <v>240</v>
      </c>
      <c r="DU133" s="87">
        <f t="shared" ref="DU133:DU164" si="305">BM133+CQ133</f>
        <v>369.33333333333331</v>
      </c>
      <c r="DV133" s="87">
        <f t="shared" ref="DV133:DV164" si="306">BN133+CR133</f>
        <v>0</v>
      </c>
      <c r="DW133" s="87">
        <f t="shared" ref="DW133:DW164" si="307">BO133+CS133</f>
        <v>0</v>
      </c>
    </row>
    <row r="134" spans="1:127">
      <c r="A134" s="22" t="s">
        <v>4</v>
      </c>
      <c r="B134" s="26">
        <v>4987176343918</v>
      </c>
      <c r="C134" s="22" t="s">
        <v>85</v>
      </c>
      <c r="D134" s="22" t="s">
        <v>8</v>
      </c>
      <c r="E134" s="22">
        <v>272868</v>
      </c>
      <c r="F134" s="80" t="s">
        <v>238</v>
      </c>
      <c r="G134" s="25">
        <v>176.89</v>
      </c>
      <c r="H134" s="85">
        <f t="shared" si="248"/>
        <v>0</v>
      </c>
      <c r="I134" s="85">
        <f t="shared" si="249"/>
        <v>0</v>
      </c>
      <c r="J134" s="85">
        <f t="shared" si="250"/>
        <v>0</v>
      </c>
      <c r="K134" s="85">
        <f t="shared" si="251"/>
        <v>0</v>
      </c>
      <c r="L134" s="85">
        <f t="shared" si="252"/>
        <v>0</v>
      </c>
      <c r="M134" s="86">
        <f t="shared" si="253"/>
        <v>0</v>
      </c>
      <c r="N134" s="87">
        <f t="shared" si="254"/>
        <v>0</v>
      </c>
      <c r="O134" s="87">
        <f t="shared" si="255"/>
        <v>0</v>
      </c>
      <c r="P134" s="87">
        <f t="shared" si="256"/>
        <v>0</v>
      </c>
      <c r="Q134" s="87">
        <f t="shared" si="257"/>
        <v>0</v>
      </c>
      <c r="R134" s="87">
        <f t="shared" si="258"/>
        <v>0</v>
      </c>
      <c r="S134" s="87">
        <f t="shared" si="259"/>
        <v>0</v>
      </c>
      <c r="T134" s="87">
        <f t="shared" si="260"/>
        <v>0</v>
      </c>
      <c r="U134" s="87">
        <f t="shared" si="261"/>
        <v>0</v>
      </c>
      <c r="V134" s="87">
        <f t="shared" si="262"/>
        <v>0</v>
      </c>
      <c r="W134" s="87">
        <f t="shared" si="263"/>
        <v>0</v>
      </c>
      <c r="X134" s="87">
        <f t="shared" si="264"/>
        <v>0</v>
      </c>
      <c r="Y134" s="86">
        <f t="shared" si="265"/>
        <v>0</v>
      </c>
      <c r="Z134" s="87">
        <f t="shared" si="266"/>
        <v>0</v>
      </c>
      <c r="AA134" s="87">
        <f t="shared" si="267"/>
        <v>0</v>
      </c>
      <c r="AB134" s="87">
        <f t="shared" si="268"/>
        <v>3184.0199999999995</v>
      </c>
      <c r="AC134" s="87">
        <f t="shared" si="269"/>
        <v>42276.71</v>
      </c>
      <c r="AD134" s="87">
        <f t="shared" si="270"/>
        <v>46168.289999999994</v>
      </c>
      <c r="AE134" s="87">
        <f t="shared" si="271"/>
        <v>55366.569999999992</v>
      </c>
      <c r="AF134" s="87">
        <f t="shared" si="272"/>
        <v>34847.329999999994</v>
      </c>
      <c r="AG134" s="87">
        <f t="shared" si="273"/>
        <v>34493.549999999996</v>
      </c>
      <c r="AH134" s="87">
        <f t="shared" si="274"/>
        <v>32724.649999999998</v>
      </c>
      <c r="AI134" s="87">
        <f t="shared" si="275"/>
        <v>50158.142222222217</v>
      </c>
      <c r="AJ134" s="87">
        <f t="shared" si="276"/>
        <v>0</v>
      </c>
      <c r="AK134" s="86">
        <f t="shared" si="277"/>
        <v>0</v>
      </c>
      <c r="AL134" s="85">
        <v>0</v>
      </c>
      <c r="AM134" s="85">
        <v>0</v>
      </c>
      <c r="AN134" s="85">
        <v>0</v>
      </c>
      <c r="AO134" s="85">
        <v>0</v>
      </c>
      <c r="AP134" s="85">
        <v>0</v>
      </c>
      <c r="AQ134" s="86">
        <v>0</v>
      </c>
      <c r="AR134" s="87">
        <v>0</v>
      </c>
      <c r="AS134" s="87">
        <v>0</v>
      </c>
      <c r="AT134" s="87">
        <v>0</v>
      </c>
      <c r="AU134" s="87">
        <v>0</v>
      </c>
      <c r="AV134" s="87">
        <v>0</v>
      </c>
      <c r="AW134" s="87">
        <v>0</v>
      </c>
      <c r="AX134" s="87">
        <v>0</v>
      </c>
      <c r="AY134" s="87">
        <v>0</v>
      </c>
      <c r="AZ134" s="87">
        <v>0</v>
      </c>
      <c r="BA134" s="87">
        <v>0</v>
      </c>
      <c r="BB134" s="87">
        <v>0</v>
      </c>
      <c r="BC134" s="86">
        <v>0</v>
      </c>
      <c r="BD134" s="87">
        <v>0</v>
      </c>
      <c r="BE134" s="87">
        <v>0</v>
      </c>
      <c r="BF134" s="87">
        <v>8</v>
      </c>
      <c r="BG134" s="87">
        <v>212</v>
      </c>
      <c r="BH134" s="87">
        <v>200</v>
      </c>
      <c r="BI134" s="87">
        <v>289</v>
      </c>
      <c r="BJ134" s="40">
        <v>187</v>
      </c>
      <c r="BK134" s="40">
        <v>191</v>
      </c>
      <c r="BL134" s="40">
        <v>181</v>
      </c>
      <c r="BM134" s="40">
        <v>268</v>
      </c>
      <c r="BO134" s="86"/>
      <c r="BP134" s="21">
        <v>0</v>
      </c>
      <c r="BQ134" s="21">
        <v>0</v>
      </c>
      <c r="BR134" s="21">
        <v>0</v>
      </c>
      <c r="BS134" s="21">
        <v>0</v>
      </c>
      <c r="BT134" s="21">
        <v>0</v>
      </c>
      <c r="BU134" s="42">
        <v>0</v>
      </c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42">
        <v>0</v>
      </c>
      <c r="CH134" s="21">
        <v>0</v>
      </c>
      <c r="CI134" s="21">
        <v>0</v>
      </c>
      <c r="CJ134" s="21">
        <v>10</v>
      </c>
      <c r="CK134" s="21">
        <v>27</v>
      </c>
      <c r="CL134" s="21">
        <v>61</v>
      </c>
      <c r="CM134" s="21">
        <v>24</v>
      </c>
      <c r="CN134" s="21">
        <v>10</v>
      </c>
      <c r="CO134" s="21">
        <v>4</v>
      </c>
      <c r="CP134" s="21">
        <f t="shared" si="278"/>
        <v>4</v>
      </c>
      <c r="CQ134" s="344">
        <f t="shared" si="279"/>
        <v>15.555555555555555</v>
      </c>
      <c r="CR134" s="87"/>
      <c r="CS134" s="86"/>
      <c r="CT134" s="85">
        <f t="shared" si="280"/>
        <v>0</v>
      </c>
      <c r="CU134" s="85">
        <f t="shared" si="281"/>
        <v>0</v>
      </c>
      <c r="CV134" s="85">
        <f t="shared" si="282"/>
        <v>0</v>
      </c>
      <c r="CW134" s="85">
        <f t="shared" si="283"/>
        <v>0</v>
      </c>
      <c r="CX134" s="85">
        <f t="shared" si="284"/>
        <v>0</v>
      </c>
      <c r="CY134" s="86">
        <f t="shared" si="285"/>
        <v>0</v>
      </c>
      <c r="CZ134" s="87">
        <f t="shared" si="286"/>
        <v>0</v>
      </c>
      <c r="DA134" s="87">
        <f t="shared" si="287"/>
        <v>0</v>
      </c>
      <c r="DB134" s="87">
        <f t="shared" si="288"/>
        <v>0</v>
      </c>
      <c r="DC134" s="87">
        <f t="shared" si="289"/>
        <v>0</v>
      </c>
      <c r="DD134" s="87">
        <f t="shared" si="290"/>
        <v>0</v>
      </c>
      <c r="DE134" s="87">
        <f t="shared" si="291"/>
        <v>0</v>
      </c>
      <c r="DF134" s="87">
        <f t="shared" si="292"/>
        <v>0</v>
      </c>
      <c r="DG134" s="87">
        <f t="shared" si="293"/>
        <v>0</v>
      </c>
      <c r="DH134" s="87">
        <f t="shared" si="294"/>
        <v>0</v>
      </c>
      <c r="DI134" s="87">
        <f t="shared" si="295"/>
        <v>0</v>
      </c>
      <c r="DJ134" s="87">
        <f t="shared" si="296"/>
        <v>0</v>
      </c>
      <c r="DK134" s="86">
        <f t="shared" si="297"/>
        <v>0</v>
      </c>
      <c r="DL134" s="87">
        <f t="shared" si="298"/>
        <v>0</v>
      </c>
      <c r="DM134" s="87">
        <f t="shared" si="299"/>
        <v>0</v>
      </c>
      <c r="DN134" s="87">
        <f t="shared" si="300"/>
        <v>18</v>
      </c>
      <c r="DO134" s="87">
        <f t="shared" si="301"/>
        <v>239</v>
      </c>
      <c r="DP134" s="87">
        <f t="shared" si="302"/>
        <v>261</v>
      </c>
      <c r="DQ134" s="87">
        <f t="shared" si="303"/>
        <v>313</v>
      </c>
      <c r="DR134" s="87">
        <f t="shared" si="218"/>
        <v>197</v>
      </c>
      <c r="DS134" s="87">
        <f t="shared" si="243"/>
        <v>195</v>
      </c>
      <c r="DT134" s="87">
        <f t="shared" si="304"/>
        <v>185</v>
      </c>
      <c r="DU134" s="87">
        <f t="shared" si="305"/>
        <v>283.55555555555554</v>
      </c>
      <c r="DV134" s="87">
        <f t="shared" si="306"/>
        <v>0</v>
      </c>
      <c r="DW134" s="87">
        <f t="shared" si="307"/>
        <v>0</v>
      </c>
    </row>
    <row r="135" spans="1:127">
      <c r="A135" s="22" t="s">
        <v>4</v>
      </c>
      <c r="B135" s="26">
        <v>4987176343710</v>
      </c>
      <c r="C135" s="22" t="s">
        <v>85</v>
      </c>
      <c r="D135" s="22" t="s">
        <v>8</v>
      </c>
      <c r="E135" s="22">
        <v>272976</v>
      </c>
      <c r="F135" s="80" t="s">
        <v>239</v>
      </c>
      <c r="G135" s="25">
        <v>176.89</v>
      </c>
      <c r="H135" s="85">
        <f t="shared" si="248"/>
        <v>0</v>
      </c>
      <c r="I135" s="85">
        <f t="shared" si="249"/>
        <v>0</v>
      </c>
      <c r="J135" s="85">
        <f t="shared" si="250"/>
        <v>0</v>
      </c>
      <c r="K135" s="85">
        <f t="shared" si="251"/>
        <v>0</v>
      </c>
      <c r="L135" s="85">
        <f t="shared" si="252"/>
        <v>0</v>
      </c>
      <c r="M135" s="86">
        <f t="shared" si="253"/>
        <v>0</v>
      </c>
      <c r="N135" s="87">
        <f t="shared" si="254"/>
        <v>0</v>
      </c>
      <c r="O135" s="87">
        <f t="shared" si="255"/>
        <v>0</v>
      </c>
      <c r="P135" s="87">
        <f t="shared" si="256"/>
        <v>0</v>
      </c>
      <c r="Q135" s="87">
        <f t="shared" si="257"/>
        <v>0</v>
      </c>
      <c r="R135" s="87">
        <f t="shared" si="258"/>
        <v>0</v>
      </c>
      <c r="S135" s="87">
        <f t="shared" si="259"/>
        <v>0</v>
      </c>
      <c r="T135" s="87">
        <f t="shared" si="260"/>
        <v>0</v>
      </c>
      <c r="U135" s="87">
        <f t="shared" si="261"/>
        <v>0</v>
      </c>
      <c r="V135" s="87">
        <f t="shared" si="262"/>
        <v>0</v>
      </c>
      <c r="W135" s="87">
        <f t="shared" si="263"/>
        <v>0</v>
      </c>
      <c r="X135" s="87">
        <f t="shared" si="264"/>
        <v>0</v>
      </c>
      <c r="Y135" s="86">
        <f t="shared" si="265"/>
        <v>0</v>
      </c>
      <c r="Z135" s="87">
        <f t="shared" si="266"/>
        <v>0</v>
      </c>
      <c r="AA135" s="87">
        <f t="shared" si="267"/>
        <v>0</v>
      </c>
      <c r="AB135" s="87">
        <f t="shared" si="268"/>
        <v>2653.35</v>
      </c>
      <c r="AC135" s="87">
        <f t="shared" si="269"/>
        <v>27064.17</v>
      </c>
      <c r="AD135" s="87">
        <f t="shared" si="270"/>
        <v>44045.609999999993</v>
      </c>
      <c r="AE135" s="87">
        <f t="shared" si="271"/>
        <v>56427.909999999996</v>
      </c>
      <c r="AF135" s="87">
        <f t="shared" si="272"/>
        <v>32724.649999999998</v>
      </c>
      <c r="AG135" s="87">
        <f t="shared" si="273"/>
        <v>33962.879999999997</v>
      </c>
      <c r="AH135" s="87">
        <f t="shared" si="274"/>
        <v>28302.399999999998</v>
      </c>
      <c r="AI135" s="87">
        <f t="shared" si="275"/>
        <v>42060.511111111104</v>
      </c>
      <c r="AJ135" s="87">
        <f t="shared" si="276"/>
        <v>0</v>
      </c>
      <c r="AK135" s="86">
        <f t="shared" si="277"/>
        <v>0</v>
      </c>
      <c r="AL135" s="85">
        <v>0</v>
      </c>
      <c r="AM135" s="85">
        <v>0</v>
      </c>
      <c r="AN135" s="85">
        <v>0</v>
      </c>
      <c r="AO135" s="85">
        <v>0</v>
      </c>
      <c r="AP135" s="85">
        <v>0</v>
      </c>
      <c r="AQ135" s="86">
        <v>0</v>
      </c>
      <c r="AR135" s="87">
        <v>0</v>
      </c>
      <c r="AS135" s="87">
        <v>0</v>
      </c>
      <c r="AT135" s="87">
        <v>0</v>
      </c>
      <c r="AU135" s="87">
        <v>0</v>
      </c>
      <c r="AV135" s="87">
        <v>0</v>
      </c>
      <c r="AW135" s="87">
        <v>0</v>
      </c>
      <c r="AX135" s="87">
        <v>0</v>
      </c>
      <c r="AY135" s="87">
        <v>0</v>
      </c>
      <c r="AZ135" s="87">
        <v>0</v>
      </c>
      <c r="BA135" s="87">
        <v>0</v>
      </c>
      <c r="BB135" s="87">
        <v>0</v>
      </c>
      <c r="BC135" s="86">
        <v>0</v>
      </c>
      <c r="BD135" s="87">
        <v>0</v>
      </c>
      <c r="BE135" s="87">
        <v>0</v>
      </c>
      <c r="BF135" s="87">
        <v>3</v>
      </c>
      <c r="BG135" s="87">
        <v>132</v>
      </c>
      <c r="BH135" s="87">
        <v>193</v>
      </c>
      <c r="BI135" s="87">
        <v>295</v>
      </c>
      <c r="BJ135" s="40">
        <v>173</v>
      </c>
      <c r="BK135" s="40">
        <v>188</v>
      </c>
      <c r="BL135" s="40">
        <v>156</v>
      </c>
      <c r="BM135" s="40">
        <v>223</v>
      </c>
      <c r="BO135" s="86"/>
      <c r="BP135" s="21">
        <v>0</v>
      </c>
      <c r="BQ135" s="21">
        <v>0</v>
      </c>
      <c r="BR135" s="21">
        <v>0</v>
      </c>
      <c r="BS135" s="21">
        <v>0</v>
      </c>
      <c r="BT135" s="21">
        <v>0</v>
      </c>
      <c r="BU135" s="42">
        <v>0</v>
      </c>
      <c r="BV135" s="21">
        <v>0</v>
      </c>
      <c r="BW135" s="21">
        <v>0</v>
      </c>
      <c r="BX135" s="21">
        <v>0</v>
      </c>
      <c r="BY135" s="21">
        <v>0</v>
      </c>
      <c r="BZ135" s="21">
        <v>0</v>
      </c>
      <c r="CA135" s="21">
        <v>0</v>
      </c>
      <c r="CB135" s="21">
        <v>0</v>
      </c>
      <c r="CC135" s="21">
        <v>0</v>
      </c>
      <c r="CD135" s="21">
        <v>0</v>
      </c>
      <c r="CE135" s="21">
        <v>0</v>
      </c>
      <c r="CF135" s="21">
        <v>0</v>
      </c>
      <c r="CG135" s="42">
        <v>0</v>
      </c>
      <c r="CH135" s="21">
        <v>0</v>
      </c>
      <c r="CI135" s="21">
        <v>0</v>
      </c>
      <c r="CJ135" s="21">
        <v>12</v>
      </c>
      <c r="CK135" s="21">
        <v>21</v>
      </c>
      <c r="CL135" s="21">
        <v>56</v>
      </c>
      <c r="CM135" s="21">
        <v>24</v>
      </c>
      <c r="CN135" s="21">
        <v>12</v>
      </c>
      <c r="CO135" s="21">
        <v>4</v>
      </c>
      <c r="CP135" s="21">
        <f t="shared" si="278"/>
        <v>4</v>
      </c>
      <c r="CQ135" s="344">
        <f t="shared" si="279"/>
        <v>14.777777777777779</v>
      </c>
      <c r="CR135" s="87"/>
      <c r="CS135" s="86"/>
      <c r="CT135" s="85">
        <f t="shared" si="280"/>
        <v>0</v>
      </c>
      <c r="CU135" s="85">
        <f t="shared" si="281"/>
        <v>0</v>
      </c>
      <c r="CV135" s="85">
        <f t="shared" si="282"/>
        <v>0</v>
      </c>
      <c r="CW135" s="85">
        <f t="shared" si="283"/>
        <v>0</v>
      </c>
      <c r="CX135" s="85">
        <f t="shared" si="284"/>
        <v>0</v>
      </c>
      <c r="CY135" s="86">
        <f t="shared" si="285"/>
        <v>0</v>
      </c>
      <c r="CZ135" s="87">
        <f t="shared" si="286"/>
        <v>0</v>
      </c>
      <c r="DA135" s="87">
        <f t="shared" si="287"/>
        <v>0</v>
      </c>
      <c r="DB135" s="87">
        <f t="shared" si="288"/>
        <v>0</v>
      </c>
      <c r="DC135" s="87">
        <f t="shared" si="289"/>
        <v>0</v>
      </c>
      <c r="DD135" s="87">
        <f t="shared" si="290"/>
        <v>0</v>
      </c>
      <c r="DE135" s="87">
        <f t="shared" si="291"/>
        <v>0</v>
      </c>
      <c r="DF135" s="87">
        <f t="shared" si="292"/>
        <v>0</v>
      </c>
      <c r="DG135" s="87">
        <f t="shared" si="293"/>
        <v>0</v>
      </c>
      <c r="DH135" s="87">
        <f t="shared" si="294"/>
        <v>0</v>
      </c>
      <c r="DI135" s="87">
        <f t="shared" si="295"/>
        <v>0</v>
      </c>
      <c r="DJ135" s="87">
        <f t="shared" si="296"/>
        <v>0</v>
      </c>
      <c r="DK135" s="86">
        <f t="shared" si="297"/>
        <v>0</v>
      </c>
      <c r="DL135" s="87">
        <f t="shared" si="298"/>
        <v>0</v>
      </c>
      <c r="DM135" s="87">
        <f t="shared" si="299"/>
        <v>0</v>
      </c>
      <c r="DN135" s="87">
        <f t="shared" si="300"/>
        <v>15</v>
      </c>
      <c r="DO135" s="87">
        <f t="shared" si="301"/>
        <v>153</v>
      </c>
      <c r="DP135" s="87">
        <f t="shared" si="302"/>
        <v>249</v>
      </c>
      <c r="DQ135" s="87">
        <f t="shared" si="303"/>
        <v>319</v>
      </c>
      <c r="DR135" s="87">
        <f t="shared" si="218"/>
        <v>185</v>
      </c>
      <c r="DS135" s="87">
        <f t="shared" si="243"/>
        <v>192</v>
      </c>
      <c r="DT135" s="87">
        <f t="shared" si="304"/>
        <v>160</v>
      </c>
      <c r="DU135" s="87">
        <f t="shared" si="305"/>
        <v>237.77777777777777</v>
      </c>
      <c r="DV135" s="87">
        <f t="shared" si="306"/>
        <v>0</v>
      </c>
      <c r="DW135" s="87">
        <f t="shared" si="307"/>
        <v>0</v>
      </c>
    </row>
    <row r="136" spans="1:127">
      <c r="A136" s="22" t="s">
        <v>4</v>
      </c>
      <c r="B136" s="26">
        <v>4987176343703</v>
      </c>
      <c r="C136" s="22" t="s">
        <v>85</v>
      </c>
      <c r="D136" s="22" t="s">
        <v>8</v>
      </c>
      <c r="E136" s="22">
        <v>273054</v>
      </c>
      <c r="F136" s="80" t="s">
        <v>240</v>
      </c>
      <c r="G136" s="25">
        <v>176.89</v>
      </c>
      <c r="H136" s="85">
        <f t="shared" si="248"/>
        <v>0</v>
      </c>
      <c r="I136" s="85">
        <f t="shared" si="249"/>
        <v>0</v>
      </c>
      <c r="J136" s="85">
        <f t="shared" si="250"/>
        <v>0</v>
      </c>
      <c r="K136" s="85">
        <f t="shared" si="251"/>
        <v>0</v>
      </c>
      <c r="L136" s="85">
        <f t="shared" si="252"/>
        <v>0</v>
      </c>
      <c r="M136" s="86">
        <f t="shared" si="253"/>
        <v>0</v>
      </c>
      <c r="N136" s="87">
        <f t="shared" si="254"/>
        <v>0</v>
      </c>
      <c r="O136" s="87">
        <f t="shared" si="255"/>
        <v>0</v>
      </c>
      <c r="P136" s="87">
        <f t="shared" si="256"/>
        <v>0</v>
      </c>
      <c r="Q136" s="87">
        <f t="shared" si="257"/>
        <v>0</v>
      </c>
      <c r="R136" s="87">
        <f t="shared" si="258"/>
        <v>0</v>
      </c>
      <c r="S136" s="87">
        <f t="shared" si="259"/>
        <v>0</v>
      </c>
      <c r="T136" s="87">
        <f t="shared" si="260"/>
        <v>0</v>
      </c>
      <c r="U136" s="87">
        <f t="shared" si="261"/>
        <v>0</v>
      </c>
      <c r="V136" s="87">
        <f t="shared" si="262"/>
        <v>0</v>
      </c>
      <c r="W136" s="87">
        <f t="shared" si="263"/>
        <v>0</v>
      </c>
      <c r="X136" s="87">
        <f t="shared" si="264"/>
        <v>0</v>
      </c>
      <c r="Y136" s="86">
        <f t="shared" si="265"/>
        <v>0</v>
      </c>
      <c r="Z136" s="87">
        <f t="shared" si="266"/>
        <v>0</v>
      </c>
      <c r="AA136" s="87">
        <f t="shared" si="267"/>
        <v>0</v>
      </c>
      <c r="AB136" s="87">
        <f t="shared" si="268"/>
        <v>5837.37</v>
      </c>
      <c r="AC136" s="87">
        <f t="shared" si="269"/>
        <v>34493.549999999996</v>
      </c>
      <c r="AD136" s="87">
        <f t="shared" si="270"/>
        <v>50059.869999999995</v>
      </c>
      <c r="AE136" s="87">
        <f t="shared" si="271"/>
        <v>60850.159999999996</v>
      </c>
      <c r="AF136" s="87">
        <f t="shared" si="272"/>
        <v>38385.129999999997</v>
      </c>
      <c r="AG136" s="87">
        <f t="shared" si="273"/>
        <v>34847.329999999994</v>
      </c>
      <c r="AH136" s="87">
        <f t="shared" si="274"/>
        <v>29363.739999999998</v>
      </c>
      <c r="AI136" s="87">
        <f t="shared" si="275"/>
        <v>50610.194444444438</v>
      </c>
      <c r="AJ136" s="87">
        <f t="shared" si="276"/>
        <v>0</v>
      </c>
      <c r="AK136" s="86">
        <f t="shared" si="277"/>
        <v>0</v>
      </c>
      <c r="AL136" s="85">
        <v>0</v>
      </c>
      <c r="AM136" s="85">
        <v>0</v>
      </c>
      <c r="AN136" s="85">
        <v>0</v>
      </c>
      <c r="AO136" s="85">
        <v>0</v>
      </c>
      <c r="AP136" s="85">
        <v>0</v>
      </c>
      <c r="AQ136" s="86">
        <v>0</v>
      </c>
      <c r="AR136" s="87">
        <v>0</v>
      </c>
      <c r="AS136" s="87">
        <v>0</v>
      </c>
      <c r="AT136" s="87">
        <v>0</v>
      </c>
      <c r="AU136" s="87">
        <v>0</v>
      </c>
      <c r="AV136" s="87">
        <v>0</v>
      </c>
      <c r="AW136" s="87">
        <v>0</v>
      </c>
      <c r="AX136" s="87">
        <v>0</v>
      </c>
      <c r="AY136" s="87">
        <v>0</v>
      </c>
      <c r="AZ136" s="87">
        <v>0</v>
      </c>
      <c r="BA136" s="87">
        <v>0</v>
      </c>
      <c r="BB136" s="87">
        <v>0</v>
      </c>
      <c r="BC136" s="86">
        <v>0</v>
      </c>
      <c r="BD136" s="87">
        <v>0</v>
      </c>
      <c r="BE136" s="87">
        <v>0</v>
      </c>
      <c r="BF136" s="87">
        <v>12</v>
      </c>
      <c r="BG136" s="87">
        <v>167</v>
      </c>
      <c r="BH136" s="87">
        <v>179</v>
      </c>
      <c r="BI136" s="87">
        <v>320</v>
      </c>
      <c r="BJ136" s="40">
        <v>198</v>
      </c>
      <c r="BK136" s="40">
        <v>191</v>
      </c>
      <c r="BL136" s="40">
        <v>160</v>
      </c>
      <c r="BM136" s="40">
        <v>263</v>
      </c>
      <c r="BN136" s="87"/>
      <c r="BO136" s="86"/>
      <c r="BP136" s="21">
        <v>0</v>
      </c>
      <c r="BQ136" s="21">
        <v>0</v>
      </c>
      <c r="BR136" s="21">
        <v>0</v>
      </c>
      <c r="BS136" s="21">
        <v>0</v>
      </c>
      <c r="BT136" s="21">
        <v>0</v>
      </c>
      <c r="BU136" s="42">
        <v>0</v>
      </c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42">
        <v>0</v>
      </c>
      <c r="CH136" s="21">
        <v>0</v>
      </c>
      <c r="CI136" s="21">
        <v>0</v>
      </c>
      <c r="CJ136" s="21">
        <v>21</v>
      </c>
      <c r="CK136" s="21">
        <v>28</v>
      </c>
      <c r="CL136" s="21">
        <v>104</v>
      </c>
      <c r="CM136" s="21">
        <v>24</v>
      </c>
      <c r="CN136" s="21">
        <v>19</v>
      </c>
      <c r="CO136" s="21">
        <v>6</v>
      </c>
      <c r="CP136" s="21">
        <f t="shared" si="278"/>
        <v>6</v>
      </c>
      <c r="CQ136" s="344">
        <f t="shared" si="279"/>
        <v>23.111111111111111</v>
      </c>
      <c r="CR136" s="87"/>
      <c r="CS136" s="86"/>
      <c r="CT136" s="85">
        <f t="shared" si="280"/>
        <v>0</v>
      </c>
      <c r="CU136" s="85">
        <f t="shared" si="281"/>
        <v>0</v>
      </c>
      <c r="CV136" s="85">
        <f t="shared" si="282"/>
        <v>0</v>
      </c>
      <c r="CW136" s="85">
        <f t="shared" si="283"/>
        <v>0</v>
      </c>
      <c r="CX136" s="85">
        <f t="shared" si="284"/>
        <v>0</v>
      </c>
      <c r="CY136" s="86">
        <f t="shared" si="285"/>
        <v>0</v>
      </c>
      <c r="CZ136" s="87">
        <f t="shared" si="286"/>
        <v>0</v>
      </c>
      <c r="DA136" s="87">
        <f t="shared" si="287"/>
        <v>0</v>
      </c>
      <c r="DB136" s="87">
        <f t="shared" si="288"/>
        <v>0</v>
      </c>
      <c r="DC136" s="87">
        <f t="shared" si="289"/>
        <v>0</v>
      </c>
      <c r="DD136" s="87">
        <f t="shared" si="290"/>
        <v>0</v>
      </c>
      <c r="DE136" s="87">
        <f t="shared" si="291"/>
        <v>0</v>
      </c>
      <c r="DF136" s="87">
        <f t="shared" si="292"/>
        <v>0</v>
      </c>
      <c r="DG136" s="87">
        <f t="shared" si="293"/>
        <v>0</v>
      </c>
      <c r="DH136" s="87">
        <f t="shared" si="294"/>
        <v>0</v>
      </c>
      <c r="DI136" s="87">
        <f t="shared" si="295"/>
        <v>0</v>
      </c>
      <c r="DJ136" s="87">
        <f t="shared" si="296"/>
        <v>0</v>
      </c>
      <c r="DK136" s="86">
        <f t="shared" si="297"/>
        <v>0</v>
      </c>
      <c r="DL136" s="87">
        <f t="shared" si="298"/>
        <v>0</v>
      </c>
      <c r="DM136" s="87">
        <f t="shared" si="299"/>
        <v>0</v>
      </c>
      <c r="DN136" s="87">
        <f t="shared" si="300"/>
        <v>33</v>
      </c>
      <c r="DO136" s="87">
        <f t="shared" si="301"/>
        <v>195</v>
      </c>
      <c r="DP136" s="87">
        <f t="shared" si="302"/>
        <v>283</v>
      </c>
      <c r="DQ136" s="87">
        <f t="shared" si="303"/>
        <v>344</v>
      </c>
      <c r="DR136" s="87">
        <f t="shared" si="218"/>
        <v>217</v>
      </c>
      <c r="DS136" s="87">
        <f t="shared" si="243"/>
        <v>197</v>
      </c>
      <c r="DT136" s="87">
        <f t="shared" si="304"/>
        <v>166</v>
      </c>
      <c r="DU136" s="87">
        <f t="shared" si="305"/>
        <v>286.11111111111109</v>
      </c>
      <c r="DV136" s="87">
        <f t="shared" si="306"/>
        <v>0</v>
      </c>
      <c r="DW136" s="87">
        <f t="shared" si="307"/>
        <v>0</v>
      </c>
    </row>
    <row r="137" spans="1:127">
      <c r="A137" s="22" t="s">
        <v>4</v>
      </c>
      <c r="B137" s="26">
        <v>4987176343635</v>
      </c>
      <c r="C137" s="22" t="s">
        <v>85</v>
      </c>
      <c r="D137" s="22" t="s">
        <v>8</v>
      </c>
      <c r="E137" s="22">
        <v>272993</v>
      </c>
      <c r="F137" s="80" t="s">
        <v>241</v>
      </c>
      <c r="G137" s="25">
        <v>176.89</v>
      </c>
      <c r="H137" s="85">
        <f t="shared" si="248"/>
        <v>0</v>
      </c>
      <c r="I137" s="85">
        <f t="shared" si="249"/>
        <v>0</v>
      </c>
      <c r="J137" s="85">
        <f t="shared" si="250"/>
        <v>0</v>
      </c>
      <c r="K137" s="85">
        <f t="shared" si="251"/>
        <v>0</v>
      </c>
      <c r="L137" s="85">
        <f t="shared" si="252"/>
        <v>0</v>
      </c>
      <c r="M137" s="86">
        <f t="shared" si="253"/>
        <v>0</v>
      </c>
      <c r="N137" s="87">
        <f t="shared" si="254"/>
        <v>0</v>
      </c>
      <c r="O137" s="87">
        <f t="shared" si="255"/>
        <v>0</v>
      </c>
      <c r="P137" s="87">
        <f t="shared" si="256"/>
        <v>0</v>
      </c>
      <c r="Q137" s="87">
        <f t="shared" si="257"/>
        <v>0</v>
      </c>
      <c r="R137" s="87">
        <f t="shared" si="258"/>
        <v>0</v>
      </c>
      <c r="S137" s="87">
        <f t="shared" si="259"/>
        <v>0</v>
      </c>
      <c r="T137" s="87">
        <f t="shared" si="260"/>
        <v>0</v>
      </c>
      <c r="U137" s="87">
        <f t="shared" si="261"/>
        <v>0</v>
      </c>
      <c r="V137" s="87">
        <f t="shared" si="262"/>
        <v>0</v>
      </c>
      <c r="W137" s="87">
        <f t="shared" si="263"/>
        <v>0</v>
      </c>
      <c r="X137" s="87">
        <f t="shared" si="264"/>
        <v>0</v>
      </c>
      <c r="Y137" s="86">
        <f t="shared" si="265"/>
        <v>0</v>
      </c>
      <c r="Z137" s="87">
        <f t="shared" si="266"/>
        <v>0</v>
      </c>
      <c r="AA137" s="87">
        <f t="shared" si="267"/>
        <v>0</v>
      </c>
      <c r="AB137" s="87">
        <f t="shared" si="268"/>
        <v>7429.3799999999992</v>
      </c>
      <c r="AC137" s="87">
        <f t="shared" si="269"/>
        <v>67748.87</v>
      </c>
      <c r="AD137" s="87">
        <f t="shared" si="270"/>
        <v>86145.43</v>
      </c>
      <c r="AE137" s="87">
        <f t="shared" si="271"/>
        <v>101711.74999999999</v>
      </c>
      <c r="AF137" s="87">
        <f t="shared" si="272"/>
        <v>65449.299999999996</v>
      </c>
      <c r="AG137" s="87">
        <f t="shared" si="273"/>
        <v>70579.11</v>
      </c>
      <c r="AH137" s="87">
        <f t="shared" si="274"/>
        <v>61557.719999999994</v>
      </c>
      <c r="AI137" s="87">
        <f t="shared" si="275"/>
        <v>95717.144444444435</v>
      </c>
      <c r="AJ137" s="87">
        <f t="shared" si="276"/>
        <v>0</v>
      </c>
      <c r="AK137" s="86">
        <f t="shared" si="277"/>
        <v>0</v>
      </c>
      <c r="AL137" s="85">
        <v>0</v>
      </c>
      <c r="AM137" s="85">
        <v>0</v>
      </c>
      <c r="AN137" s="85">
        <v>0</v>
      </c>
      <c r="AO137" s="85">
        <v>0</v>
      </c>
      <c r="AP137" s="85">
        <v>0</v>
      </c>
      <c r="AQ137" s="86">
        <v>0</v>
      </c>
      <c r="AR137" s="87">
        <v>0</v>
      </c>
      <c r="AS137" s="87">
        <v>0</v>
      </c>
      <c r="AT137" s="87">
        <v>0</v>
      </c>
      <c r="AU137" s="87">
        <v>0</v>
      </c>
      <c r="AV137" s="87">
        <v>0</v>
      </c>
      <c r="AW137" s="87">
        <v>0</v>
      </c>
      <c r="AX137" s="87">
        <v>0</v>
      </c>
      <c r="AY137" s="87">
        <v>0</v>
      </c>
      <c r="AZ137" s="87">
        <v>0</v>
      </c>
      <c r="BA137" s="87">
        <v>0</v>
      </c>
      <c r="BB137" s="87">
        <v>0</v>
      </c>
      <c r="BC137" s="86">
        <v>0</v>
      </c>
      <c r="BD137" s="87">
        <v>0</v>
      </c>
      <c r="BE137" s="87">
        <v>0</v>
      </c>
      <c r="BF137" s="87">
        <v>25</v>
      </c>
      <c r="BG137" s="87">
        <v>335</v>
      </c>
      <c r="BH137" s="87">
        <v>376</v>
      </c>
      <c r="BI137" s="87">
        <v>547</v>
      </c>
      <c r="BJ137" s="40">
        <v>333</v>
      </c>
      <c r="BK137" s="40">
        <v>375</v>
      </c>
      <c r="BL137" s="40">
        <v>324</v>
      </c>
      <c r="BM137" s="40">
        <v>509</v>
      </c>
      <c r="BN137" s="87"/>
      <c r="BO137" s="86"/>
      <c r="BP137" s="21">
        <v>0</v>
      </c>
      <c r="BQ137" s="21">
        <v>0</v>
      </c>
      <c r="BR137" s="21">
        <v>0</v>
      </c>
      <c r="BS137" s="21">
        <v>0</v>
      </c>
      <c r="BT137" s="21">
        <v>0</v>
      </c>
      <c r="BU137" s="42">
        <v>0</v>
      </c>
      <c r="BV137" s="21">
        <v>0</v>
      </c>
      <c r="BW137" s="21">
        <v>0</v>
      </c>
      <c r="BX137" s="21">
        <v>0</v>
      </c>
      <c r="BY137" s="21">
        <v>0</v>
      </c>
      <c r="BZ137" s="21">
        <v>0</v>
      </c>
      <c r="CA137" s="21">
        <v>0</v>
      </c>
      <c r="CB137" s="21">
        <v>0</v>
      </c>
      <c r="CC137" s="21">
        <v>0</v>
      </c>
      <c r="CD137" s="21">
        <v>0</v>
      </c>
      <c r="CE137" s="21">
        <v>0</v>
      </c>
      <c r="CF137" s="21">
        <v>0</v>
      </c>
      <c r="CG137" s="42">
        <v>0</v>
      </c>
      <c r="CH137" s="21">
        <v>0</v>
      </c>
      <c r="CI137" s="21">
        <v>0</v>
      </c>
      <c r="CJ137" s="21">
        <v>17</v>
      </c>
      <c r="CK137" s="21">
        <v>48</v>
      </c>
      <c r="CL137" s="21">
        <v>111</v>
      </c>
      <c r="CM137" s="21">
        <v>28</v>
      </c>
      <c r="CN137" s="21">
        <v>37</v>
      </c>
      <c r="CO137" s="21">
        <v>24</v>
      </c>
      <c r="CP137" s="21">
        <f t="shared" si="278"/>
        <v>24</v>
      </c>
      <c r="CQ137" s="344">
        <f t="shared" si="279"/>
        <v>32.111111111111114</v>
      </c>
      <c r="CR137" s="87"/>
      <c r="CS137" s="86"/>
      <c r="CT137" s="85">
        <f t="shared" si="280"/>
        <v>0</v>
      </c>
      <c r="CU137" s="85">
        <f t="shared" si="281"/>
        <v>0</v>
      </c>
      <c r="CV137" s="85">
        <f t="shared" si="282"/>
        <v>0</v>
      </c>
      <c r="CW137" s="85">
        <f t="shared" si="283"/>
        <v>0</v>
      </c>
      <c r="CX137" s="85">
        <f t="shared" si="284"/>
        <v>0</v>
      </c>
      <c r="CY137" s="86">
        <f t="shared" si="285"/>
        <v>0</v>
      </c>
      <c r="CZ137" s="87">
        <f t="shared" si="286"/>
        <v>0</v>
      </c>
      <c r="DA137" s="87">
        <f t="shared" si="287"/>
        <v>0</v>
      </c>
      <c r="DB137" s="87">
        <f t="shared" si="288"/>
        <v>0</v>
      </c>
      <c r="DC137" s="87">
        <f t="shared" si="289"/>
        <v>0</v>
      </c>
      <c r="DD137" s="87">
        <f t="shared" si="290"/>
        <v>0</v>
      </c>
      <c r="DE137" s="87">
        <f t="shared" si="291"/>
        <v>0</v>
      </c>
      <c r="DF137" s="87">
        <f t="shared" si="292"/>
        <v>0</v>
      </c>
      <c r="DG137" s="87">
        <f t="shared" si="293"/>
        <v>0</v>
      </c>
      <c r="DH137" s="87">
        <f t="shared" si="294"/>
        <v>0</v>
      </c>
      <c r="DI137" s="87">
        <f t="shared" si="295"/>
        <v>0</v>
      </c>
      <c r="DJ137" s="87">
        <f t="shared" si="296"/>
        <v>0</v>
      </c>
      <c r="DK137" s="86">
        <f t="shared" si="297"/>
        <v>0</v>
      </c>
      <c r="DL137" s="87">
        <f t="shared" si="298"/>
        <v>0</v>
      </c>
      <c r="DM137" s="87">
        <f t="shared" si="299"/>
        <v>0</v>
      </c>
      <c r="DN137" s="87">
        <f t="shared" si="300"/>
        <v>42</v>
      </c>
      <c r="DO137" s="87">
        <f t="shared" si="301"/>
        <v>383</v>
      </c>
      <c r="DP137" s="87">
        <f t="shared" si="302"/>
        <v>487</v>
      </c>
      <c r="DQ137" s="87">
        <f t="shared" si="303"/>
        <v>575</v>
      </c>
      <c r="DR137" s="87">
        <f t="shared" si="218"/>
        <v>370</v>
      </c>
      <c r="DS137" s="87">
        <f t="shared" si="243"/>
        <v>399</v>
      </c>
      <c r="DT137" s="87">
        <f t="shared" si="304"/>
        <v>348</v>
      </c>
      <c r="DU137" s="87">
        <f t="shared" si="305"/>
        <v>541.11111111111109</v>
      </c>
      <c r="DV137" s="87">
        <f t="shared" si="306"/>
        <v>0</v>
      </c>
      <c r="DW137" s="87">
        <f t="shared" si="307"/>
        <v>0</v>
      </c>
    </row>
    <row r="138" spans="1:127">
      <c r="A138" s="22" t="s">
        <v>4</v>
      </c>
      <c r="B138" s="26">
        <v>4987176343734</v>
      </c>
      <c r="C138" s="22" t="s">
        <v>85</v>
      </c>
      <c r="D138" s="22" t="s">
        <v>8</v>
      </c>
      <c r="E138" s="22">
        <v>272994</v>
      </c>
      <c r="F138" s="80" t="s">
        <v>242</v>
      </c>
      <c r="G138" s="25">
        <v>176.89</v>
      </c>
      <c r="H138" s="85">
        <f t="shared" si="248"/>
        <v>0</v>
      </c>
      <c r="I138" s="85">
        <f t="shared" si="249"/>
        <v>0</v>
      </c>
      <c r="J138" s="85">
        <f t="shared" si="250"/>
        <v>0</v>
      </c>
      <c r="K138" s="85">
        <f t="shared" si="251"/>
        <v>0</v>
      </c>
      <c r="L138" s="85">
        <f t="shared" si="252"/>
        <v>0</v>
      </c>
      <c r="M138" s="86">
        <f t="shared" si="253"/>
        <v>0</v>
      </c>
      <c r="N138" s="87">
        <f t="shared" si="254"/>
        <v>0</v>
      </c>
      <c r="O138" s="87">
        <f t="shared" si="255"/>
        <v>0</v>
      </c>
      <c r="P138" s="87">
        <f t="shared" si="256"/>
        <v>0</v>
      </c>
      <c r="Q138" s="87">
        <f t="shared" si="257"/>
        <v>0</v>
      </c>
      <c r="R138" s="87">
        <f t="shared" si="258"/>
        <v>0</v>
      </c>
      <c r="S138" s="87">
        <f t="shared" si="259"/>
        <v>0</v>
      </c>
      <c r="T138" s="87">
        <f t="shared" si="260"/>
        <v>0</v>
      </c>
      <c r="U138" s="87">
        <f t="shared" si="261"/>
        <v>0</v>
      </c>
      <c r="V138" s="87">
        <f t="shared" si="262"/>
        <v>0</v>
      </c>
      <c r="W138" s="87">
        <f t="shared" si="263"/>
        <v>0</v>
      </c>
      <c r="X138" s="87">
        <f t="shared" si="264"/>
        <v>0</v>
      </c>
      <c r="Y138" s="86">
        <f t="shared" si="265"/>
        <v>0</v>
      </c>
      <c r="Z138" s="87">
        <f t="shared" si="266"/>
        <v>0</v>
      </c>
      <c r="AA138" s="87">
        <f t="shared" si="267"/>
        <v>0</v>
      </c>
      <c r="AB138" s="87">
        <f t="shared" si="268"/>
        <v>4422.25</v>
      </c>
      <c r="AC138" s="87">
        <f t="shared" si="269"/>
        <v>50767.429999999993</v>
      </c>
      <c r="AD138" s="87">
        <f t="shared" si="270"/>
        <v>58727.479999999996</v>
      </c>
      <c r="AE138" s="87">
        <f t="shared" si="271"/>
        <v>83315.189999999988</v>
      </c>
      <c r="AF138" s="87">
        <f t="shared" si="272"/>
        <v>56958.579999999994</v>
      </c>
      <c r="AG138" s="87">
        <f t="shared" si="273"/>
        <v>57843.03</v>
      </c>
      <c r="AH138" s="87">
        <f t="shared" si="274"/>
        <v>50590.539999999994</v>
      </c>
      <c r="AI138" s="87">
        <f t="shared" si="275"/>
        <v>67100.273333333331</v>
      </c>
      <c r="AJ138" s="87">
        <f t="shared" si="276"/>
        <v>0</v>
      </c>
      <c r="AK138" s="86">
        <f t="shared" si="277"/>
        <v>0</v>
      </c>
      <c r="AL138" s="85">
        <v>0</v>
      </c>
      <c r="AM138" s="85">
        <v>0</v>
      </c>
      <c r="AN138" s="85">
        <v>0</v>
      </c>
      <c r="AO138" s="85">
        <v>0</v>
      </c>
      <c r="AP138" s="85">
        <v>0</v>
      </c>
      <c r="AQ138" s="86">
        <v>0</v>
      </c>
      <c r="AR138" s="87">
        <v>0</v>
      </c>
      <c r="AS138" s="87">
        <v>0</v>
      </c>
      <c r="AT138" s="87">
        <v>0</v>
      </c>
      <c r="AU138" s="87">
        <v>0</v>
      </c>
      <c r="AV138" s="87">
        <v>0</v>
      </c>
      <c r="AW138" s="87">
        <v>0</v>
      </c>
      <c r="AX138" s="87">
        <v>0</v>
      </c>
      <c r="AY138" s="87">
        <v>0</v>
      </c>
      <c r="AZ138" s="87">
        <v>0</v>
      </c>
      <c r="BA138" s="87">
        <v>0</v>
      </c>
      <c r="BB138" s="87">
        <v>0</v>
      </c>
      <c r="BC138" s="86">
        <v>0</v>
      </c>
      <c r="BD138" s="87">
        <v>0</v>
      </c>
      <c r="BE138" s="87">
        <v>0</v>
      </c>
      <c r="BF138" s="87">
        <v>15</v>
      </c>
      <c r="BG138" s="87">
        <v>263</v>
      </c>
      <c r="BH138" s="87">
        <v>269</v>
      </c>
      <c r="BI138" s="87">
        <v>445</v>
      </c>
      <c r="BJ138" s="40">
        <v>308</v>
      </c>
      <c r="BK138" s="40">
        <v>322</v>
      </c>
      <c r="BL138" s="40">
        <v>281</v>
      </c>
      <c r="BM138" s="40">
        <v>363</v>
      </c>
      <c r="BN138" s="87"/>
      <c r="BO138" s="86"/>
      <c r="BP138" s="21">
        <v>0</v>
      </c>
      <c r="BQ138" s="21">
        <v>0</v>
      </c>
      <c r="BR138" s="21">
        <v>0</v>
      </c>
      <c r="BS138" s="21">
        <v>0</v>
      </c>
      <c r="BT138" s="21">
        <v>0</v>
      </c>
      <c r="BU138" s="42">
        <v>0</v>
      </c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42">
        <v>0</v>
      </c>
      <c r="CH138" s="21">
        <v>0</v>
      </c>
      <c r="CI138" s="21">
        <v>0</v>
      </c>
      <c r="CJ138" s="21">
        <v>10</v>
      </c>
      <c r="CK138" s="21">
        <v>24</v>
      </c>
      <c r="CL138" s="21">
        <v>63</v>
      </c>
      <c r="CM138" s="21">
        <v>26</v>
      </c>
      <c r="CN138" s="21">
        <v>14</v>
      </c>
      <c r="CO138" s="21">
        <v>5</v>
      </c>
      <c r="CP138" s="21">
        <f t="shared" si="278"/>
        <v>5</v>
      </c>
      <c r="CQ138" s="344">
        <f t="shared" si="279"/>
        <v>16.333333333333332</v>
      </c>
      <c r="CR138" s="87"/>
      <c r="CS138" s="86"/>
      <c r="CT138" s="85">
        <f t="shared" si="280"/>
        <v>0</v>
      </c>
      <c r="CU138" s="85">
        <f t="shared" si="281"/>
        <v>0</v>
      </c>
      <c r="CV138" s="85">
        <f t="shared" si="282"/>
        <v>0</v>
      </c>
      <c r="CW138" s="85">
        <f t="shared" si="283"/>
        <v>0</v>
      </c>
      <c r="CX138" s="85">
        <f t="shared" si="284"/>
        <v>0</v>
      </c>
      <c r="CY138" s="86">
        <f t="shared" si="285"/>
        <v>0</v>
      </c>
      <c r="CZ138" s="87">
        <f t="shared" si="286"/>
        <v>0</v>
      </c>
      <c r="DA138" s="87">
        <f t="shared" si="287"/>
        <v>0</v>
      </c>
      <c r="DB138" s="87">
        <f t="shared" si="288"/>
        <v>0</v>
      </c>
      <c r="DC138" s="87">
        <f t="shared" si="289"/>
        <v>0</v>
      </c>
      <c r="DD138" s="87">
        <f t="shared" si="290"/>
        <v>0</v>
      </c>
      <c r="DE138" s="87">
        <f t="shared" si="291"/>
        <v>0</v>
      </c>
      <c r="DF138" s="87">
        <f t="shared" si="292"/>
        <v>0</v>
      </c>
      <c r="DG138" s="87">
        <f t="shared" si="293"/>
        <v>0</v>
      </c>
      <c r="DH138" s="87">
        <f t="shared" si="294"/>
        <v>0</v>
      </c>
      <c r="DI138" s="87">
        <f t="shared" si="295"/>
        <v>0</v>
      </c>
      <c r="DJ138" s="87">
        <f t="shared" si="296"/>
        <v>0</v>
      </c>
      <c r="DK138" s="86">
        <f t="shared" si="297"/>
        <v>0</v>
      </c>
      <c r="DL138" s="87">
        <f t="shared" si="298"/>
        <v>0</v>
      </c>
      <c r="DM138" s="87">
        <f t="shared" si="299"/>
        <v>0</v>
      </c>
      <c r="DN138" s="87">
        <f t="shared" si="300"/>
        <v>25</v>
      </c>
      <c r="DO138" s="87">
        <f t="shared" si="301"/>
        <v>287</v>
      </c>
      <c r="DP138" s="87">
        <f t="shared" si="302"/>
        <v>332</v>
      </c>
      <c r="DQ138" s="87">
        <f t="shared" si="303"/>
        <v>471</v>
      </c>
      <c r="DR138" s="87">
        <f t="shared" si="218"/>
        <v>322</v>
      </c>
      <c r="DS138" s="87">
        <f t="shared" si="243"/>
        <v>327</v>
      </c>
      <c r="DT138" s="87">
        <f t="shared" si="304"/>
        <v>286</v>
      </c>
      <c r="DU138" s="87">
        <f t="shared" si="305"/>
        <v>379.33333333333331</v>
      </c>
      <c r="DV138" s="87">
        <f t="shared" si="306"/>
        <v>0</v>
      </c>
      <c r="DW138" s="87">
        <f t="shared" si="307"/>
        <v>0</v>
      </c>
    </row>
    <row r="139" spans="1:127">
      <c r="A139" s="22" t="s">
        <v>4</v>
      </c>
      <c r="B139" s="26">
        <v>4987176343697</v>
      </c>
      <c r="C139" s="22" t="s">
        <v>85</v>
      </c>
      <c r="D139" s="22" t="s">
        <v>8</v>
      </c>
      <c r="E139" s="22">
        <v>273025</v>
      </c>
      <c r="F139" s="80" t="s">
        <v>243</v>
      </c>
      <c r="G139" s="25">
        <v>176.89</v>
      </c>
      <c r="H139" s="85">
        <f t="shared" si="248"/>
        <v>0</v>
      </c>
      <c r="I139" s="85">
        <f t="shared" si="249"/>
        <v>0</v>
      </c>
      <c r="J139" s="85">
        <f t="shared" si="250"/>
        <v>0</v>
      </c>
      <c r="K139" s="85">
        <f t="shared" si="251"/>
        <v>0</v>
      </c>
      <c r="L139" s="85">
        <f t="shared" si="252"/>
        <v>0</v>
      </c>
      <c r="M139" s="86">
        <f t="shared" si="253"/>
        <v>0</v>
      </c>
      <c r="N139" s="87">
        <f t="shared" si="254"/>
        <v>0</v>
      </c>
      <c r="O139" s="87">
        <f t="shared" si="255"/>
        <v>0</v>
      </c>
      <c r="P139" s="87">
        <f t="shared" si="256"/>
        <v>0</v>
      </c>
      <c r="Q139" s="87">
        <f t="shared" si="257"/>
        <v>0</v>
      </c>
      <c r="R139" s="87">
        <f t="shared" si="258"/>
        <v>0</v>
      </c>
      <c r="S139" s="87">
        <f t="shared" si="259"/>
        <v>0</v>
      </c>
      <c r="T139" s="87">
        <f t="shared" si="260"/>
        <v>0</v>
      </c>
      <c r="U139" s="87">
        <f t="shared" si="261"/>
        <v>0</v>
      </c>
      <c r="V139" s="87">
        <f t="shared" si="262"/>
        <v>0</v>
      </c>
      <c r="W139" s="87">
        <f t="shared" si="263"/>
        <v>0</v>
      </c>
      <c r="X139" s="87">
        <f t="shared" si="264"/>
        <v>0</v>
      </c>
      <c r="Y139" s="86">
        <f t="shared" si="265"/>
        <v>0</v>
      </c>
      <c r="Z139" s="87">
        <f t="shared" si="266"/>
        <v>0</v>
      </c>
      <c r="AA139" s="87">
        <f t="shared" si="267"/>
        <v>0</v>
      </c>
      <c r="AB139" s="87">
        <f t="shared" si="268"/>
        <v>8844.5</v>
      </c>
      <c r="AC139" s="87">
        <f t="shared" si="269"/>
        <v>82430.739999999991</v>
      </c>
      <c r="AD139" s="87">
        <f t="shared" si="270"/>
        <v>102242.42</v>
      </c>
      <c r="AE139" s="87">
        <f t="shared" si="271"/>
        <v>136735.97</v>
      </c>
      <c r="AF139" s="87">
        <f t="shared" si="272"/>
        <v>86145.43</v>
      </c>
      <c r="AG139" s="87">
        <f t="shared" si="273"/>
        <v>86852.989999999991</v>
      </c>
      <c r="AH139" s="87">
        <f t="shared" si="274"/>
        <v>83138.299999999988</v>
      </c>
      <c r="AI139" s="87">
        <f t="shared" si="275"/>
        <v>122663.38777777777</v>
      </c>
      <c r="AJ139" s="87">
        <f t="shared" si="276"/>
        <v>0</v>
      </c>
      <c r="AK139" s="86">
        <f t="shared" si="277"/>
        <v>0</v>
      </c>
      <c r="AL139" s="85">
        <v>0</v>
      </c>
      <c r="AM139" s="85">
        <v>0</v>
      </c>
      <c r="AN139" s="85">
        <v>0</v>
      </c>
      <c r="AO139" s="85">
        <v>0</v>
      </c>
      <c r="AP139" s="85">
        <v>0</v>
      </c>
      <c r="AQ139" s="86">
        <v>0</v>
      </c>
      <c r="AR139" s="87">
        <v>0</v>
      </c>
      <c r="AS139" s="87">
        <v>0</v>
      </c>
      <c r="AT139" s="87">
        <v>0</v>
      </c>
      <c r="AU139" s="87">
        <v>0</v>
      </c>
      <c r="AV139" s="87">
        <v>0</v>
      </c>
      <c r="AW139" s="87">
        <v>0</v>
      </c>
      <c r="AX139" s="87">
        <v>0</v>
      </c>
      <c r="AY139" s="87">
        <v>0</v>
      </c>
      <c r="AZ139" s="87">
        <v>0</v>
      </c>
      <c r="BA139" s="87">
        <v>0</v>
      </c>
      <c r="BB139" s="87">
        <v>0</v>
      </c>
      <c r="BC139" s="86">
        <v>0</v>
      </c>
      <c r="BD139" s="87">
        <v>0</v>
      </c>
      <c r="BE139" s="87">
        <v>0</v>
      </c>
      <c r="BF139" s="87">
        <v>24</v>
      </c>
      <c r="BG139" s="87">
        <v>427</v>
      </c>
      <c r="BH139" s="87">
        <v>461</v>
      </c>
      <c r="BI139" s="87">
        <v>741</v>
      </c>
      <c r="BJ139" s="40">
        <v>465</v>
      </c>
      <c r="BK139" s="40">
        <v>481</v>
      </c>
      <c r="BL139" s="40">
        <v>460</v>
      </c>
      <c r="BM139" s="40">
        <v>665</v>
      </c>
      <c r="BN139" s="87"/>
      <c r="BO139" s="86"/>
      <c r="BP139" s="21">
        <v>0</v>
      </c>
      <c r="BQ139" s="21">
        <v>0</v>
      </c>
      <c r="BR139" s="21">
        <v>0</v>
      </c>
      <c r="BS139" s="21">
        <v>0</v>
      </c>
      <c r="BT139" s="21">
        <v>0</v>
      </c>
      <c r="BU139" s="42">
        <v>0</v>
      </c>
      <c r="BV139" s="21">
        <v>0</v>
      </c>
      <c r="BW139" s="21">
        <v>0</v>
      </c>
      <c r="BX139" s="21">
        <v>0</v>
      </c>
      <c r="BY139" s="21">
        <v>0</v>
      </c>
      <c r="BZ139" s="21">
        <v>0</v>
      </c>
      <c r="CA139" s="21">
        <v>0</v>
      </c>
      <c r="CB139" s="21">
        <v>0</v>
      </c>
      <c r="CC139" s="21">
        <v>0</v>
      </c>
      <c r="CD139" s="21">
        <v>0</v>
      </c>
      <c r="CE139" s="21">
        <v>0</v>
      </c>
      <c r="CF139" s="21">
        <v>0</v>
      </c>
      <c r="CG139" s="42">
        <v>0</v>
      </c>
      <c r="CH139" s="21">
        <v>0</v>
      </c>
      <c r="CI139" s="21">
        <v>0</v>
      </c>
      <c r="CJ139" s="21">
        <v>26</v>
      </c>
      <c r="CK139" s="21">
        <v>39</v>
      </c>
      <c r="CL139" s="21">
        <v>117</v>
      </c>
      <c r="CM139" s="21">
        <v>32</v>
      </c>
      <c r="CN139" s="21">
        <v>22</v>
      </c>
      <c r="CO139" s="21">
        <v>10</v>
      </c>
      <c r="CP139" s="21">
        <f t="shared" si="278"/>
        <v>10</v>
      </c>
      <c r="CQ139" s="344">
        <f t="shared" si="279"/>
        <v>28.444444444444443</v>
      </c>
      <c r="CR139" s="87"/>
      <c r="CS139" s="86"/>
      <c r="CT139" s="85">
        <f t="shared" si="280"/>
        <v>0</v>
      </c>
      <c r="CU139" s="85">
        <f t="shared" si="281"/>
        <v>0</v>
      </c>
      <c r="CV139" s="85">
        <f t="shared" si="282"/>
        <v>0</v>
      </c>
      <c r="CW139" s="85">
        <f t="shared" si="283"/>
        <v>0</v>
      </c>
      <c r="CX139" s="85">
        <f t="shared" si="284"/>
        <v>0</v>
      </c>
      <c r="CY139" s="86">
        <f t="shared" si="285"/>
        <v>0</v>
      </c>
      <c r="CZ139" s="87">
        <f t="shared" si="286"/>
        <v>0</v>
      </c>
      <c r="DA139" s="87">
        <f t="shared" si="287"/>
        <v>0</v>
      </c>
      <c r="DB139" s="87">
        <f t="shared" si="288"/>
        <v>0</v>
      </c>
      <c r="DC139" s="87">
        <f t="shared" si="289"/>
        <v>0</v>
      </c>
      <c r="DD139" s="87">
        <f t="shared" si="290"/>
        <v>0</v>
      </c>
      <c r="DE139" s="87">
        <f t="shared" si="291"/>
        <v>0</v>
      </c>
      <c r="DF139" s="87">
        <f t="shared" si="292"/>
        <v>0</v>
      </c>
      <c r="DG139" s="87">
        <f t="shared" si="293"/>
        <v>0</v>
      </c>
      <c r="DH139" s="87">
        <f t="shared" si="294"/>
        <v>0</v>
      </c>
      <c r="DI139" s="87">
        <f t="shared" si="295"/>
        <v>0</v>
      </c>
      <c r="DJ139" s="87">
        <f t="shared" si="296"/>
        <v>0</v>
      </c>
      <c r="DK139" s="86">
        <f t="shared" si="297"/>
        <v>0</v>
      </c>
      <c r="DL139" s="87">
        <f t="shared" si="298"/>
        <v>0</v>
      </c>
      <c r="DM139" s="87">
        <f t="shared" si="299"/>
        <v>0</v>
      </c>
      <c r="DN139" s="87">
        <f t="shared" si="300"/>
        <v>50</v>
      </c>
      <c r="DO139" s="87">
        <f t="shared" si="301"/>
        <v>466</v>
      </c>
      <c r="DP139" s="87">
        <f t="shared" si="302"/>
        <v>578</v>
      </c>
      <c r="DQ139" s="87">
        <f t="shared" si="303"/>
        <v>773</v>
      </c>
      <c r="DR139" s="87">
        <f t="shared" si="218"/>
        <v>487</v>
      </c>
      <c r="DS139" s="87">
        <f t="shared" si="243"/>
        <v>491</v>
      </c>
      <c r="DT139" s="87">
        <f t="shared" si="304"/>
        <v>470</v>
      </c>
      <c r="DU139" s="87">
        <f t="shared" si="305"/>
        <v>693.44444444444446</v>
      </c>
      <c r="DV139" s="87">
        <f t="shared" si="306"/>
        <v>0</v>
      </c>
      <c r="DW139" s="87">
        <f t="shared" si="307"/>
        <v>0</v>
      </c>
    </row>
    <row r="140" spans="1:127">
      <c r="A140" s="22" t="s">
        <v>4</v>
      </c>
      <c r="B140" s="26">
        <v>4987176343741</v>
      </c>
      <c r="C140" s="22" t="s">
        <v>85</v>
      </c>
      <c r="D140" s="22" t="s">
        <v>8</v>
      </c>
      <c r="E140" s="22">
        <v>273060</v>
      </c>
      <c r="F140" s="80" t="s">
        <v>244</v>
      </c>
      <c r="G140" s="25">
        <v>176.89</v>
      </c>
      <c r="H140" s="85">
        <f t="shared" si="248"/>
        <v>0</v>
      </c>
      <c r="I140" s="85">
        <f t="shared" si="249"/>
        <v>0</v>
      </c>
      <c r="J140" s="85">
        <f t="shared" si="250"/>
        <v>0</v>
      </c>
      <c r="K140" s="85">
        <f t="shared" si="251"/>
        <v>0</v>
      </c>
      <c r="L140" s="85">
        <f t="shared" si="252"/>
        <v>0</v>
      </c>
      <c r="M140" s="86">
        <f t="shared" si="253"/>
        <v>0</v>
      </c>
      <c r="N140" s="87">
        <f t="shared" si="254"/>
        <v>0</v>
      </c>
      <c r="O140" s="87">
        <f t="shared" si="255"/>
        <v>0</v>
      </c>
      <c r="P140" s="87">
        <f t="shared" si="256"/>
        <v>0</v>
      </c>
      <c r="Q140" s="87">
        <f t="shared" si="257"/>
        <v>0</v>
      </c>
      <c r="R140" s="87">
        <f t="shared" si="258"/>
        <v>0</v>
      </c>
      <c r="S140" s="87">
        <f t="shared" si="259"/>
        <v>0</v>
      </c>
      <c r="T140" s="87">
        <f t="shared" si="260"/>
        <v>0</v>
      </c>
      <c r="U140" s="87">
        <f t="shared" si="261"/>
        <v>0</v>
      </c>
      <c r="V140" s="87">
        <f t="shared" si="262"/>
        <v>0</v>
      </c>
      <c r="W140" s="87">
        <f t="shared" si="263"/>
        <v>0</v>
      </c>
      <c r="X140" s="87">
        <f t="shared" si="264"/>
        <v>0</v>
      </c>
      <c r="Y140" s="86">
        <f t="shared" si="265"/>
        <v>0</v>
      </c>
      <c r="Z140" s="87">
        <f t="shared" si="266"/>
        <v>0</v>
      </c>
      <c r="AA140" s="87">
        <f t="shared" si="267"/>
        <v>0</v>
      </c>
      <c r="AB140" s="87">
        <f t="shared" si="268"/>
        <v>5660.48</v>
      </c>
      <c r="AC140" s="87">
        <f t="shared" si="269"/>
        <v>72701.789999999994</v>
      </c>
      <c r="AD140" s="87">
        <f t="shared" si="270"/>
        <v>111794.48</v>
      </c>
      <c r="AE140" s="87">
        <f t="shared" si="271"/>
        <v>145934.25</v>
      </c>
      <c r="AF140" s="87">
        <f t="shared" si="272"/>
        <v>74293.799999999988</v>
      </c>
      <c r="AG140" s="87">
        <f t="shared" si="273"/>
        <v>80838.73</v>
      </c>
      <c r="AH140" s="87">
        <f t="shared" si="274"/>
        <v>72878.679999999993</v>
      </c>
      <c r="AI140" s="87">
        <f t="shared" si="275"/>
        <v>124569.86888888887</v>
      </c>
      <c r="AJ140" s="87">
        <f t="shared" si="276"/>
        <v>0</v>
      </c>
      <c r="AK140" s="86">
        <f t="shared" si="277"/>
        <v>0</v>
      </c>
      <c r="AL140" s="85">
        <v>0</v>
      </c>
      <c r="AM140" s="85">
        <v>0</v>
      </c>
      <c r="AN140" s="85">
        <v>0</v>
      </c>
      <c r="AO140" s="85">
        <v>0</v>
      </c>
      <c r="AP140" s="85">
        <v>0</v>
      </c>
      <c r="AQ140" s="86">
        <v>0</v>
      </c>
      <c r="AR140" s="87">
        <v>0</v>
      </c>
      <c r="AS140" s="87">
        <v>0</v>
      </c>
      <c r="AT140" s="87">
        <v>0</v>
      </c>
      <c r="AU140" s="87">
        <v>0</v>
      </c>
      <c r="AV140" s="87">
        <v>0</v>
      </c>
      <c r="AW140" s="87">
        <v>0</v>
      </c>
      <c r="AX140" s="87">
        <v>0</v>
      </c>
      <c r="AY140" s="87">
        <v>0</v>
      </c>
      <c r="AZ140" s="87">
        <v>0</v>
      </c>
      <c r="BA140" s="87">
        <v>0</v>
      </c>
      <c r="BB140" s="87">
        <v>0</v>
      </c>
      <c r="BC140" s="86">
        <v>0</v>
      </c>
      <c r="BD140" s="87">
        <v>0</v>
      </c>
      <c r="BE140" s="87">
        <v>0</v>
      </c>
      <c r="BF140" s="87">
        <v>11</v>
      </c>
      <c r="BG140" s="87">
        <v>374</v>
      </c>
      <c r="BH140" s="87">
        <v>504</v>
      </c>
      <c r="BI140" s="87">
        <v>774</v>
      </c>
      <c r="BJ140" s="40">
        <v>402</v>
      </c>
      <c r="BK140" s="40">
        <v>453</v>
      </c>
      <c r="BL140" s="40">
        <v>408</v>
      </c>
      <c r="BM140" s="40">
        <v>675</v>
      </c>
      <c r="BN140" s="87"/>
      <c r="BO140" s="86"/>
      <c r="BP140" s="21">
        <v>0</v>
      </c>
      <c r="BQ140" s="21">
        <v>0</v>
      </c>
      <c r="BR140" s="21">
        <v>0</v>
      </c>
      <c r="BS140" s="21">
        <v>0</v>
      </c>
      <c r="BT140" s="21">
        <v>0</v>
      </c>
      <c r="BU140" s="42">
        <v>0</v>
      </c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42">
        <v>0</v>
      </c>
      <c r="CH140" s="21">
        <v>0</v>
      </c>
      <c r="CI140" s="21">
        <v>0</v>
      </c>
      <c r="CJ140" s="21">
        <v>21</v>
      </c>
      <c r="CK140" s="21">
        <v>37</v>
      </c>
      <c r="CL140" s="21">
        <v>128</v>
      </c>
      <c r="CM140" s="21">
        <v>51</v>
      </c>
      <c r="CN140" s="21">
        <v>18</v>
      </c>
      <c r="CO140" s="21">
        <v>4</v>
      </c>
      <c r="CP140" s="21">
        <f t="shared" si="278"/>
        <v>4</v>
      </c>
      <c r="CQ140" s="344">
        <f t="shared" si="279"/>
        <v>29.222222222222221</v>
      </c>
      <c r="CR140" s="87"/>
      <c r="CS140" s="86"/>
      <c r="CT140" s="85">
        <f t="shared" si="280"/>
        <v>0</v>
      </c>
      <c r="CU140" s="85">
        <f t="shared" si="281"/>
        <v>0</v>
      </c>
      <c r="CV140" s="85">
        <f t="shared" si="282"/>
        <v>0</v>
      </c>
      <c r="CW140" s="85">
        <f t="shared" si="283"/>
        <v>0</v>
      </c>
      <c r="CX140" s="85">
        <f t="shared" si="284"/>
        <v>0</v>
      </c>
      <c r="CY140" s="86">
        <f t="shared" si="285"/>
        <v>0</v>
      </c>
      <c r="CZ140" s="87">
        <f t="shared" si="286"/>
        <v>0</v>
      </c>
      <c r="DA140" s="87">
        <f t="shared" si="287"/>
        <v>0</v>
      </c>
      <c r="DB140" s="87">
        <f t="shared" si="288"/>
        <v>0</v>
      </c>
      <c r="DC140" s="87">
        <f t="shared" si="289"/>
        <v>0</v>
      </c>
      <c r="DD140" s="87">
        <f t="shared" si="290"/>
        <v>0</v>
      </c>
      <c r="DE140" s="87">
        <f t="shared" si="291"/>
        <v>0</v>
      </c>
      <c r="DF140" s="87">
        <f t="shared" si="292"/>
        <v>0</v>
      </c>
      <c r="DG140" s="87">
        <f t="shared" si="293"/>
        <v>0</v>
      </c>
      <c r="DH140" s="87">
        <f t="shared" si="294"/>
        <v>0</v>
      </c>
      <c r="DI140" s="87">
        <f t="shared" si="295"/>
        <v>0</v>
      </c>
      <c r="DJ140" s="87">
        <f t="shared" si="296"/>
        <v>0</v>
      </c>
      <c r="DK140" s="86">
        <f t="shared" si="297"/>
        <v>0</v>
      </c>
      <c r="DL140" s="87">
        <f t="shared" si="298"/>
        <v>0</v>
      </c>
      <c r="DM140" s="87">
        <f t="shared" si="299"/>
        <v>0</v>
      </c>
      <c r="DN140" s="87">
        <f t="shared" si="300"/>
        <v>32</v>
      </c>
      <c r="DO140" s="87">
        <f t="shared" si="301"/>
        <v>411</v>
      </c>
      <c r="DP140" s="87">
        <f t="shared" si="302"/>
        <v>632</v>
      </c>
      <c r="DQ140" s="87">
        <f t="shared" si="303"/>
        <v>825</v>
      </c>
      <c r="DR140" s="87">
        <f t="shared" si="218"/>
        <v>420</v>
      </c>
      <c r="DS140" s="87">
        <f t="shared" si="243"/>
        <v>457</v>
      </c>
      <c r="DT140" s="87">
        <f t="shared" si="304"/>
        <v>412</v>
      </c>
      <c r="DU140" s="87">
        <f t="shared" si="305"/>
        <v>704.22222222222217</v>
      </c>
      <c r="DV140" s="87">
        <f t="shared" si="306"/>
        <v>0</v>
      </c>
      <c r="DW140" s="87">
        <f t="shared" si="307"/>
        <v>0</v>
      </c>
    </row>
    <row r="141" spans="1:127">
      <c r="A141" s="22" t="s">
        <v>4</v>
      </c>
      <c r="B141" s="26">
        <v>4987176343680</v>
      </c>
      <c r="C141" s="22" t="s">
        <v>85</v>
      </c>
      <c r="D141" s="22" t="s">
        <v>8</v>
      </c>
      <c r="E141" s="22">
        <v>273029</v>
      </c>
      <c r="F141" s="80" t="s">
        <v>245</v>
      </c>
      <c r="G141" s="25">
        <v>176.89</v>
      </c>
      <c r="H141" s="85">
        <f t="shared" si="248"/>
        <v>0</v>
      </c>
      <c r="I141" s="85">
        <f t="shared" si="249"/>
        <v>0</v>
      </c>
      <c r="J141" s="85">
        <f t="shared" si="250"/>
        <v>0</v>
      </c>
      <c r="K141" s="85">
        <f t="shared" si="251"/>
        <v>0</v>
      </c>
      <c r="L141" s="85">
        <f t="shared" si="252"/>
        <v>0</v>
      </c>
      <c r="M141" s="86">
        <f t="shared" si="253"/>
        <v>0</v>
      </c>
      <c r="N141" s="87">
        <f t="shared" si="254"/>
        <v>0</v>
      </c>
      <c r="O141" s="87">
        <f t="shared" si="255"/>
        <v>0</v>
      </c>
      <c r="P141" s="87">
        <f t="shared" si="256"/>
        <v>0</v>
      </c>
      <c r="Q141" s="87">
        <f t="shared" si="257"/>
        <v>0</v>
      </c>
      <c r="R141" s="87">
        <f t="shared" si="258"/>
        <v>0</v>
      </c>
      <c r="S141" s="87">
        <f t="shared" si="259"/>
        <v>0</v>
      </c>
      <c r="T141" s="87">
        <f t="shared" si="260"/>
        <v>0</v>
      </c>
      <c r="U141" s="87">
        <f t="shared" si="261"/>
        <v>0</v>
      </c>
      <c r="V141" s="87">
        <f t="shared" si="262"/>
        <v>0</v>
      </c>
      <c r="W141" s="87">
        <f t="shared" si="263"/>
        <v>0</v>
      </c>
      <c r="X141" s="87">
        <f t="shared" si="264"/>
        <v>0</v>
      </c>
      <c r="Y141" s="86">
        <f t="shared" si="265"/>
        <v>0</v>
      </c>
      <c r="Z141" s="87">
        <f t="shared" si="266"/>
        <v>0</v>
      </c>
      <c r="AA141" s="87">
        <f t="shared" si="267"/>
        <v>0</v>
      </c>
      <c r="AB141" s="87">
        <f t="shared" si="268"/>
        <v>4422.25</v>
      </c>
      <c r="AC141" s="87">
        <f t="shared" si="269"/>
        <v>84376.53</v>
      </c>
      <c r="AD141" s="87">
        <f t="shared" si="270"/>
        <v>114447.82999999999</v>
      </c>
      <c r="AE141" s="87">
        <f t="shared" si="271"/>
        <v>140096.87999999998</v>
      </c>
      <c r="AF141" s="87">
        <f t="shared" si="272"/>
        <v>78892.939999999988</v>
      </c>
      <c r="AG141" s="87">
        <f t="shared" si="273"/>
        <v>83845.86</v>
      </c>
      <c r="AH141" s="87">
        <f t="shared" si="274"/>
        <v>69871.549999999988</v>
      </c>
      <c r="AI141" s="87">
        <f t="shared" si="275"/>
        <v>122958.20444444443</v>
      </c>
      <c r="AJ141" s="87">
        <f t="shared" si="276"/>
        <v>0</v>
      </c>
      <c r="AK141" s="86">
        <f t="shared" si="277"/>
        <v>0</v>
      </c>
      <c r="AL141" s="85">
        <v>0</v>
      </c>
      <c r="AM141" s="85">
        <v>0</v>
      </c>
      <c r="AN141" s="85">
        <v>0</v>
      </c>
      <c r="AO141" s="85">
        <v>0</v>
      </c>
      <c r="AP141" s="85">
        <v>0</v>
      </c>
      <c r="AQ141" s="86">
        <v>0</v>
      </c>
      <c r="AR141" s="87">
        <v>0</v>
      </c>
      <c r="AS141" s="87">
        <v>0</v>
      </c>
      <c r="AT141" s="87">
        <v>0</v>
      </c>
      <c r="AU141" s="87">
        <v>0</v>
      </c>
      <c r="AV141" s="87">
        <v>0</v>
      </c>
      <c r="AW141" s="87">
        <v>0</v>
      </c>
      <c r="AX141" s="87">
        <v>0</v>
      </c>
      <c r="AY141" s="87">
        <v>0</v>
      </c>
      <c r="AZ141" s="87">
        <v>0</v>
      </c>
      <c r="BA141" s="87">
        <v>0</v>
      </c>
      <c r="BB141" s="87">
        <v>0</v>
      </c>
      <c r="BC141" s="86">
        <v>0</v>
      </c>
      <c r="BD141" s="87">
        <v>0</v>
      </c>
      <c r="BE141" s="87">
        <v>0</v>
      </c>
      <c r="BF141" s="87">
        <v>17</v>
      </c>
      <c r="BG141" s="87">
        <v>441</v>
      </c>
      <c r="BH141" s="87">
        <v>491</v>
      </c>
      <c r="BI141" s="87">
        <v>763</v>
      </c>
      <c r="BJ141" s="40">
        <v>422</v>
      </c>
      <c r="BK141" s="40">
        <v>465</v>
      </c>
      <c r="BL141" s="40">
        <v>386</v>
      </c>
      <c r="BM141" s="40">
        <v>665</v>
      </c>
      <c r="BN141" s="87"/>
      <c r="BO141" s="86"/>
      <c r="BP141" s="21">
        <v>0</v>
      </c>
      <c r="BQ141" s="21">
        <v>0</v>
      </c>
      <c r="BR141" s="21">
        <v>0</v>
      </c>
      <c r="BS141" s="21">
        <v>0</v>
      </c>
      <c r="BT141" s="21">
        <v>0</v>
      </c>
      <c r="BU141" s="42">
        <v>0</v>
      </c>
      <c r="BV141" s="21">
        <v>0</v>
      </c>
      <c r="BW141" s="21">
        <v>0</v>
      </c>
      <c r="BX141" s="21">
        <v>0</v>
      </c>
      <c r="BY141" s="21">
        <v>0</v>
      </c>
      <c r="BZ141" s="21">
        <v>0</v>
      </c>
      <c r="CA141" s="21">
        <v>0</v>
      </c>
      <c r="CB141" s="21">
        <v>0</v>
      </c>
      <c r="CC141" s="21">
        <v>0</v>
      </c>
      <c r="CD141" s="21">
        <v>0</v>
      </c>
      <c r="CE141" s="21">
        <v>0</v>
      </c>
      <c r="CF141" s="21">
        <v>0</v>
      </c>
      <c r="CG141" s="42">
        <v>0</v>
      </c>
      <c r="CH141" s="21">
        <v>0</v>
      </c>
      <c r="CI141" s="21">
        <v>0</v>
      </c>
      <c r="CJ141" s="21">
        <v>8</v>
      </c>
      <c r="CK141" s="21">
        <v>36</v>
      </c>
      <c r="CL141" s="21">
        <v>156</v>
      </c>
      <c r="CM141" s="21">
        <v>29</v>
      </c>
      <c r="CN141" s="21">
        <v>24</v>
      </c>
      <c r="CO141" s="21">
        <v>9</v>
      </c>
      <c r="CP141" s="21">
        <f t="shared" si="278"/>
        <v>9</v>
      </c>
      <c r="CQ141" s="344">
        <f t="shared" si="279"/>
        <v>30.111111111111111</v>
      </c>
      <c r="CR141" s="87"/>
      <c r="CS141" s="86"/>
      <c r="CT141" s="85">
        <f t="shared" si="280"/>
        <v>0</v>
      </c>
      <c r="CU141" s="85">
        <f t="shared" si="281"/>
        <v>0</v>
      </c>
      <c r="CV141" s="85">
        <f t="shared" si="282"/>
        <v>0</v>
      </c>
      <c r="CW141" s="85">
        <f t="shared" si="283"/>
        <v>0</v>
      </c>
      <c r="CX141" s="85">
        <f t="shared" si="284"/>
        <v>0</v>
      </c>
      <c r="CY141" s="86">
        <f t="shared" si="285"/>
        <v>0</v>
      </c>
      <c r="CZ141" s="87">
        <f t="shared" si="286"/>
        <v>0</v>
      </c>
      <c r="DA141" s="87">
        <f t="shared" si="287"/>
        <v>0</v>
      </c>
      <c r="DB141" s="87">
        <f t="shared" si="288"/>
        <v>0</v>
      </c>
      <c r="DC141" s="87">
        <f t="shared" si="289"/>
        <v>0</v>
      </c>
      <c r="DD141" s="87">
        <f t="shared" si="290"/>
        <v>0</v>
      </c>
      <c r="DE141" s="87">
        <f t="shared" si="291"/>
        <v>0</v>
      </c>
      <c r="DF141" s="87">
        <f t="shared" si="292"/>
        <v>0</v>
      </c>
      <c r="DG141" s="87">
        <f t="shared" si="293"/>
        <v>0</v>
      </c>
      <c r="DH141" s="87">
        <f t="shared" si="294"/>
        <v>0</v>
      </c>
      <c r="DI141" s="87">
        <f t="shared" si="295"/>
        <v>0</v>
      </c>
      <c r="DJ141" s="87">
        <f t="shared" si="296"/>
        <v>0</v>
      </c>
      <c r="DK141" s="86">
        <f t="shared" si="297"/>
        <v>0</v>
      </c>
      <c r="DL141" s="87">
        <f t="shared" si="298"/>
        <v>0</v>
      </c>
      <c r="DM141" s="87">
        <f t="shared" si="299"/>
        <v>0</v>
      </c>
      <c r="DN141" s="87">
        <f t="shared" si="300"/>
        <v>25</v>
      </c>
      <c r="DO141" s="87">
        <f t="shared" si="301"/>
        <v>477</v>
      </c>
      <c r="DP141" s="87">
        <f t="shared" si="302"/>
        <v>647</v>
      </c>
      <c r="DQ141" s="87">
        <f t="shared" si="303"/>
        <v>792</v>
      </c>
      <c r="DR141" s="87">
        <f t="shared" si="218"/>
        <v>446</v>
      </c>
      <c r="DS141" s="87">
        <f t="shared" si="243"/>
        <v>474</v>
      </c>
      <c r="DT141" s="87">
        <f t="shared" si="304"/>
        <v>395</v>
      </c>
      <c r="DU141" s="87">
        <f t="shared" si="305"/>
        <v>695.11111111111109</v>
      </c>
      <c r="DV141" s="87">
        <f t="shared" si="306"/>
        <v>0</v>
      </c>
      <c r="DW141" s="87">
        <f t="shared" si="307"/>
        <v>0</v>
      </c>
    </row>
    <row r="142" spans="1:127">
      <c r="A142" s="22" t="s">
        <v>4</v>
      </c>
      <c r="B142" s="26">
        <v>4987176343727</v>
      </c>
      <c r="C142" s="22" t="s">
        <v>85</v>
      </c>
      <c r="D142" s="22" t="s">
        <v>8</v>
      </c>
      <c r="E142" s="22">
        <v>273102</v>
      </c>
      <c r="F142" s="80" t="s">
        <v>246</v>
      </c>
      <c r="G142" s="25">
        <v>176.89</v>
      </c>
      <c r="H142" s="85">
        <f t="shared" si="248"/>
        <v>0</v>
      </c>
      <c r="I142" s="85">
        <f t="shared" si="249"/>
        <v>0</v>
      </c>
      <c r="J142" s="85">
        <f t="shared" si="250"/>
        <v>0</v>
      </c>
      <c r="K142" s="85">
        <f t="shared" si="251"/>
        <v>0</v>
      </c>
      <c r="L142" s="85">
        <f t="shared" si="252"/>
        <v>0</v>
      </c>
      <c r="M142" s="86">
        <f t="shared" si="253"/>
        <v>0</v>
      </c>
      <c r="N142" s="87">
        <f t="shared" si="254"/>
        <v>0</v>
      </c>
      <c r="O142" s="87">
        <f t="shared" si="255"/>
        <v>0</v>
      </c>
      <c r="P142" s="87">
        <f t="shared" si="256"/>
        <v>0</v>
      </c>
      <c r="Q142" s="87">
        <f t="shared" si="257"/>
        <v>0</v>
      </c>
      <c r="R142" s="87">
        <f t="shared" si="258"/>
        <v>0</v>
      </c>
      <c r="S142" s="87">
        <f t="shared" si="259"/>
        <v>0</v>
      </c>
      <c r="T142" s="87">
        <f t="shared" si="260"/>
        <v>0</v>
      </c>
      <c r="U142" s="87">
        <f t="shared" si="261"/>
        <v>0</v>
      </c>
      <c r="V142" s="87">
        <f t="shared" si="262"/>
        <v>0</v>
      </c>
      <c r="W142" s="87">
        <f t="shared" si="263"/>
        <v>0</v>
      </c>
      <c r="X142" s="87">
        <f t="shared" si="264"/>
        <v>0</v>
      </c>
      <c r="Y142" s="86">
        <f t="shared" si="265"/>
        <v>0</v>
      </c>
      <c r="Z142" s="87">
        <f t="shared" si="266"/>
        <v>0</v>
      </c>
      <c r="AA142" s="87">
        <f t="shared" si="267"/>
        <v>0</v>
      </c>
      <c r="AB142" s="87">
        <f t="shared" si="268"/>
        <v>8490.7199999999993</v>
      </c>
      <c r="AC142" s="87">
        <f t="shared" si="269"/>
        <v>125591.9</v>
      </c>
      <c r="AD142" s="87">
        <f t="shared" si="270"/>
        <v>139743.09999999998</v>
      </c>
      <c r="AE142" s="87">
        <f t="shared" si="271"/>
        <v>183788.71</v>
      </c>
      <c r="AF142" s="87">
        <f t="shared" si="272"/>
        <v>113386.48999999999</v>
      </c>
      <c r="AG142" s="87">
        <f t="shared" si="273"/>
        <v>121523.43</v>
      </c>
      <c r="AH142" s="87">
        <f t="shared" si="274"/>
        <v>116393.62</v>
      </c>
      <c r="AI142" s="87">
        <f t="shared" si="275"/>
        <v>170384.37888888887</v>
      </c>
      <c r="AJ142" s="87">
        <f t="shared" si="276"/>
        <v>0</v>
      </c>
      <c r="AK142" s="86">
        <f t="shared" si="277"/>
        <v>0</v>
      </c>
      <c r="AL142" s="85">
        <v>0</v>
      </c>
      <c r="AM142" s="85">
        <v>0</v>
      </c>
      <c r="AN142" s="85">
        <v>0</v>
      </c>
      <c r="AO142" s="85">
        <v>0</v>
      </c>
      <c r="AP142" s="85">
        <v>0</v>
      </c>
      <c r="AQ142" s="86">
        <v>0</v>
      </c>
      <c r="AR142" s="87">
        <v>0</v>
      </c>
      <c r="AS142" s="87">
        <v>0</v>
      </c>
      <c r="AT142" s="87">
        <v>0</v>
      </c>
      <c r="AU142" s="87">
        <v>0</v>
      </c>
      <c r="AV142" s="87">
        <v>0</v>
      </c>
      <c r="AW142" s="87">
        <v>0</v>
      </c>
      <c r="AX142" s="87">
        <v>0</v>
      </c>
      <c r="AY142" s="87">
        <v>0</v>
      </c>
      <c r="AZ142" s="87">
        <v>0</v>
      </c>
      <c r="BA142" s="87">
        <v>0</v>
      </c>
      <c r="BB142" s="87">
        <v>0</v>
      </c>
      <c r="BC142" s="86">
        <v>0</v>
      </c>
      <c r="BD142" s="87">
        <v>0</v>
      </c>
      <c r="BE142" s="87">
        <v>0</v>
      </c>
      <c r="BF142" s="87">
        <v>24</v>
      </c>
      <c r="BG142" s="87">
        <v>658</v>
      </c>
      <c r="BH142" s="87">
        <v>620</v>
      </c>
      <c r="BI142" s="87">
        <v>985</v>
      </c>
      <c r="BJ142" s="40">
        <v>593</v>
      </c>
      <c r="BK142" s="40">
        <v>671</v>
      </c>
      <c r="BL142" s="40">
        <v>642</v>
      </c>
      <c r="BM142" s="40">
        <v>921</v>
      </c>
      <c r="BN142" s="87"/>
      <c r="BO142" s="86"/>
      <c r="BP142" s="21">
        <v>0</v>
      </c>
      <c r="BQ142" s="21">
        <v>0</v>
      </c>
      <c r="BR142" s="21">
        <v>0</v>
      </c>
      <c r="BS142" s="21">
        <v>0</v>
      </c>
      <c r="BT142" s="21">
        <v>0</v>
      </c>
      <c r="BU142" s="42">
        <v>0</v>
      </c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42">
        <v>0</v>
      </c>
      <c r="CH142" s="21">
        <v>0</v>
      </c>
      <c r="CI142" s="21">
        <v>0</v>
      </c>
      <c r="CJ142" s="21">
        <v>24</v>
      </c>
      <c r="CK142" s="21">
        <v>52</v>
      </c>
      <c r="CL142" s="21">
        <v>170</v>
      </c>
      <c r="CM142" s="21">
        <v>54</v>
      </c>
      <c r="CN142" s="21">
        <v>48</v>
      </c>
      <c r="CO142" s="21">
        <v>16</v>
      </c>
      <c r="CP142" s="21">
        <f t="shared" si="278"/>
        <v>16</v>
      </c>
      <c r="CQ142" s="344">
        <f t="shared" si="279"/>
        <v>42.222222222222221</v>
      </c>
      <c r="CR142" s="87"/>
      <c r="CS142" s="86"/>
      <c r="CT142" s="85">
        <f t="shared" si="280"/>
        <v>0</v>
      </c>
      <c r="CU142" s="85">
        <f t="shared" si="281"/>
        <v>0</v>
      </c>
      <c r="CV142" s="85">
        <f t="shared" si="282"/>
        <v>0</v>
      </c>
      <c r="CW142" s="85">
        <f t="shared" si="283"/>
        <v>0</v>
      </c>
      <c r="CX142" s="85">
        <f t="shared" si="284"/>
        <v>0</v>
      </c>
      <c r="CY142" s="86">
        <f t="shared" si="285"/>
        <v>0</v>
      </c>
      <c r="CZ142" s="87">
        <f t="shared" si="286"/>
        <v>0</v>
      </c>
      <c r="DA142" s="87">
        <f t="shared" si="287"/>
        <v>0</v>
      </c>
      <c r="DB142" s="87">
        <f t="shared" si="288"/>
        <v>0</v>
      </c>
      <c r="DC142" s="87">
        <f t="shared" si="289"/>
        <v>0</v>
      </c>
      <c r="DD142" s="87">
        <f t="shared" si="290"/>
        <v>0</v>
      </c>
      <c r="DE142" s="87">
        <f t="shared" si="291"/>
        <v>0</v>
      </c>
      <c r="DF142" s="87">
        <f t="shared" si="292"/>
        <v>0</v>
      </c>
      <c r="DG142" s="87">
        <f t="shared" si="293"/>
        <v>0</v>
      </c>
      <c r="DH142" s="87">
        <f t="shared" si="294"/>
        <v>0</v>
      </c>
      <c r="DI142" s="87">
        <f t="shared" si="295"/>
        <v>0</v>
      </c>
      <c r="DJ142" s="87">
        <f t="shared" si="296"/>
        <v>0</v>
      </c>
      <c r="DK142" s="86">
        <f t="shared" si="297"/>
        <v>0</v>
      </c>
      <c r="DL142" s="87">
        <f t="shared" si="298"/>
        <v>0</v>
      </c>
      <c r="DM142" s="87">
        <f t="shared" si="299"/>
        <v>0</v>
      </c>
      <c r="DN142" s="87">
        <f t="shared" si="300"/>
        <v>48</v>
      </c>
      <c r="DO142" s="87">
        <f t="shared" si="301"/>
        <v>710</v>
      </c>
      <c r="DP142" s="87">
        <f t="shared" si="302"/>
        <v>790</v>
      </c>
      <c r="DQ142" s="87">
        <f t="shared" si="303"/>
        <v>1039</v>
      </c>
      <c r="DR142" s="87">
        <f t="shared" si="218"/>
        <v>641</v>
      </c>
      <c r="DS142" s="87">
        <f t="shared" si="243"/>
        <v>687</v>
      </c>
      <c r="DT142" s="87">
        <f t="shared" si="304"/>
        <v>658</v>
      </c>
      <c r="DU142" s="87">
        <f t="shared" si="305"/>
        <v>963.22222222222217</v>
      </c>
      <c r="DV142" s="87">
        <f t="shared" si="306"/>
        <v>0</v>
      </c>
      <c r="DW142" s="87">
        <f t="shared" si="307"/>
        <v>0</v>
      </c>
    </row>
    <row r="143" spans="1:127">
      <c r="A143" s="22" t="s">
        <v>15</v>
      </c>
      <c r="B143" s="26">
        <v>4902430529488</v>
      </c>
      <c r="C143" s="22" t="s">
        <v>16</v>
      </c>
      <c r="D143" s="22" t="s">
        <v>17</v>
      </c>
      <c r="E143" s="22">
        <v>167374</v>
      </c>
      <c r="F143" s="80" t="s">
        <v>247</v>
      </c>
      <c r="G143" s="25">
        <v>618</v>
      </c>
      <c r="H143" s="85">
        <f t="shared" si="248"/>
        <v>1557360</v>
      </c>
      <c r="I143" s="85">
        <f t="shared" si="249"/>
        <v>1727310</v>
      </c>
      <c r="J143" s="85">
        <f t="shared" si="250"/>
        <v>574740</v>
      </c>
      <c r="K143" s="85">
        <f t="shared" si="251"/>
        <v>482040</v>
      </c>
      <c r="L143" s="85">
        <f t="shared" si="252"/>
        <v>617382</v>
      </c>
      <c r="M143" s="86">
        <f t="shared" si="253"/>
        <v>399228</v>
      </c>
      <c r="N143" s="87">
        <f t="shared" si="254"/>
        <v>386868</v>
      </c>
      <c r="O143" s="87">
        <f t="shared" si="255"/>
        <v>768792</v>
      </c>
      <c r="P143" s="87">
        <f t="shared" si="256"/>
        <v>1081500</v>
      </c>
      <c r="Q143" s="87">
        <f t="shared" si="257"/>
        <v>654462</v>
      </c>
      <c r="R143" s="87">
        <f t="shared" si="258"/>
        <v>643956</v>
      </c>
      <c r="S143" s="87">
        <f t="shared" si="259"/>
        <v>1434378</v>
      </c>
      <c r="T143" s="87">
        <f t="shared" si="260"/>
        <v>3232140</v>
      </c>
      <c r="U143" s="87">
        <f t="shared" si="261"/>
        <v>678564</v>
      </c>
      <c r="V143" s="87">
        <f t="shared" si="262"/>
        <v>490692</v>
      </c>
      <c r="W143" s="87">
        <f t="shared" si="263"/>
        <v>1331172</v>
      </c>
      <c r="X143" s="87">
        <f t="shared" si="264"/>
        <v>2959602</v>
      </c>
      <c r="Y143" s="86">
        <f t="shared" si="265"/>
        <v>292932</v>
      </c>
      <c r="Z143" s="87">
        <f t="shared" si="266"/>
        <v>715026</v>
      </c>
      <c r="AA143" s="87">
        <f t="shared" si="267"/>
        <v>979530</v>
      </c>
      <c r="AB143" s="87">
        <f t="shared" si="268"/>
        <v>865200</v>
      </c>
      <c r="AC143" s="87">
        <f t="shared" si="269"/>
        <v>367092</v>
      </c>
      <c r="AD143" s="87">
        <f t="shared" si="270"/>
        <v>257088</v>
      </c>
      <c r="AE143" s="87">
        <f t="shared" si="271"/>
        <v>434454</v>
      </c>
      <c r="AF143" s="87">
        <f t="shared" si="272"/>
        <v>308382</v>
      </c>
      <c r="AG143" s="87">
        <f t="shared" si="273"/>
        <v>326922</v>
      </c>
      <c r="AH143" s="87">
        <f t="shared" si="274"/>
        <v>223098</v>
      </c>
      <c r="AI143" s="87">
        <f t="shared" si="275"/>
        <v>269036</v>
      </c>
      <c r="AJ143" s="87">
        <f t="shared" si="276"/>
        <v>0</v>
      </c>
      <c r="AK143" s="86">
        <f t="shared" si="277"/>
        <v>0</v>
      </c>
      <c r="AL143" s="85">
        <v>2100</v>
      </c>
      <c r="AM143" s="85">
        <v>2505</v>
      </c>
      <c r="AN143" s="85">
        <v>782</v>
      </c>
      <c r="AO143" s="85">
        <v>733</v>
      </c>
      <c r="AP143" s="85">
        <v>953</v>
      </c>
      <c r="AQ143" s="86">
        <v>604</v>
      </c>
      <c r="AR143" s="87">
        <v>578</v>
      </c>
      <c r="AS143" s="87">
        <v>1173</v>
      </c>
      <c r="AT143" s="87">
        <v>1594</v>
      </c>
      <c r="AU143" s="87">
        <v>976</v>
      </c>
      <c r="AV143" s="87">
        <v>972</v>
      </c>
      <c r="AW143" s="87">
        <v>2058</v>
      </c>
      <c r="AX143" s="87">
        <v>5181</v>
      </c>
      <c r="AY143" s="87">
        <v>1031</v>
      </c>
      <c r="AZ143" s="87">
        <v>753</v>
      </c>
      <c r="BA143" s="87">
        <v>1969</v>
      </c>
      <c r="BB143" s="87">
        <v>4772</v>
      </c>
      <c r="BC143" s="86">
        <v>461</v>
      </c>
      <c r="BD143" s="87">
        <v>1001</v>
      </c>
      <c r="BE143" s="87">
        <v>1443</v>
      </c>
      <c r="BF143" s="87">
        <v>1358</v>
      </c>
      <c r="BG143" s="87">
        <v>559</v>
      </c>
      <c r="BH143" s="87">
        <v>384</v>
      </c>
      <c r="BI143" s="87">
        <v>678</v>
      </c>
      <c r="BJ143" s="40">
        <v>472</v>
      </c>
      <c r="BK143" s="40">
        <v>523</v>
      </c>
      <c r="BL143" s="40">
        <v>355</v>
      </c>
      <c r="BM143" s="40">
        <v>383</v>
      </c>
      <c r="BN143" s="87"/>
      <c r="BO143" s="86"/>
      <c r="BP143" s="21">
        <v>420</v>
      </c>
      <c r="BQ143" s="21">
        <v>290</v>
      </c>
      <c r="BR143" s="21">
        <v>148</v>
      </c>
      <c r="BS143" s="21">
        <v>47</v>
      </c>
      <c r="BT143" s="21">
        <v>46</v>
      </c>
      <c r="BU143" s="42">
        <v>42</v>
      </c>
      <c r="BV143" s="21">
        <v>48</v>
      </c>
      <c r="BW143" s="21">
        <v>71</v>
      </c>
      <c r="BX143" s="21">
        <v>156</v>
      </c>
      <c r="BY143" s="21">
        <v>83</v>
      </c>
      <c r="BZ143" s="21">
        <v>70</v>
      </c>
      <c r="CA143" s="21">
        <v>263</v>
      </c>
      <c r="CB143" s="21">
        <v>49</v>
      </c>
      <c r="CC143" s="21">
        <v>67</v>
      </c>
      <c r="CD143" s="21">
        <v>41</v>
      </c>
      <c r="CE143" s="21">
        <v>185</v>
      </c>
      <c r="CF143" s="21">
        <v>17</v>
      </c>
      <c r="CG143" s="42">
        <v>13</v>
      </c>
      <c r="CH143" s="21">
        <v>156</v>
      </c>
      <c r="CI143" s="21">
        <v>142</v>
      </c>
      <c r="CJ143" s="21">
        <v>42</v>
      </c>
      <c r="CK143" s="21">
        <v>35</v>
      </c>
      <c r="CL143" s="21">
        <v>32</v>
      </c>
      <c r="CM143" s="21">
        <v>25</v>
      </c>
      <c r="CN143" s="21">
        <v>27</v>
      </c>
      <c r="CO143" s="21">
        <v>6</v>
      </c>
      <c r="CP143" s="21">
        <f t="shared" si="278"/>
        <v>6</v>
      </c>
      <c r="CQ143" s="344">
        <f t="shared" si="279"/>
        <v>52.333333333333336</v>
      </c>
      <c r="CR143" s="87"/>
      <c r="CS143" s="86"/>
      <c r="CT143" s="85">
        <f t="shared" si="280"/>
        <v>2520</v>
      </c>
      <c r="CU143" s="85">
        <f t="shared" si="281"/>
        <v>2795</v>
      </c>
      <c r="CV143" s="85">
        <f t="shared" si="282"/>
        <v>930</v>
      </c>
      <c r="CW143" s="85">
        <f t="shared" si="283"/>
        <v>780</v>
      </c>
      <c r="CX143" s="85">
        <f t="shared" si="284"/>
        <v>999</v>
      </c>
      <c r="CY143" s="86">
        <f t="shared" si="285"/>
        <v>646</v>
      </c>
      <c r="CZ143" s="87">
        <f t="shared" si="286"/>
        <v>626</v>
      </c>
      <c r="DA143" s="87">
        <f t="shared" si="287"/>
        <v>1244</v>
      </c>
      <c r="DB143" s="87">
        <f t="shared" si="288"/>
        <v>1750</v>
      </c>
      <c r="DC143" s="87">
        <f t="shared" si="289"/>
        <v>1059</v>
      </c>
      <c r="DD143" s="87">
        <f t="shared" si="290"/>
        <v>1042</v>
      </c>
      <c r="DE143" s="87">
        <f t="shared" si="291"/>
        <v>2321</v>
      </c>
      <c r="DF143" s="87">
        <f t="shared" si="292"/>
        <v>5230</v>
      </c>
      <c r="DG143" s="87">
        <f t="shared" si="293"/>
        <v>1098</v>
      </c>
      <c r="DH143" s="87">
        <f t="shared" si="294"/>
        <v>794</v>
      </c>
      <c r="DI143" s="87">
        <f t="shared" si="295"/>
        <v>2154</v>
      </c>
      <c r="DJ143" s="87">
        <f t="shared" si="296"/>
        <v>4789</v>
      </c>
      <c r="DK143" s="86">
        <f t="shared" si="297"/>
        <v>474</v>
      </c>
      <c r="DL143" s="87">
        <f t="shared" si="298"/>
        <v>1157</v>
      </c>
      <c r="DM143" s="87">
        <f t="shared" si="299"/>
        <v>1585</v>
      </c>
      <c r="DN143" s="87">
        <f t="shared" si="300"/>
        <v>1400</v>
      </c>
      <c r="DO143" s="87">
        <f t="shared" si="301"/>
        <v>594</v>
      </c>
      <c r="DP143" s="87">
        <f t="shared" si="302"/>
        <v>416</v>
      </c>
      <c r="DQ143" s="87">
        <f t="shared" si="303"/>
        <v>703</v>
      </c>
      <c r="DR143" s="87">
        <f t="shared" si="218"/>
        <v>499</v>
      </c>
      <c r="DS143" s="87">
        <f t="shared" si="243"/>
        <v>529</v>
      </c>
      <c r="DT143" s="87">
        <f t="shared" si="304"/>
        <v>361</v>
      </c>
      <c r="DU143" s="87">
        <f t="shared" si="305"/>
        <v>435.33333333333331</v>
      </c>
      <c r="DV143" s="87">
        <f t="shared" si="306"/>
        <v>0</v>
      </c>
      <c r="DW143" s="87">
        <f t="shared" si="307"/>
        <v>0</v>
      </c>
    </row>
    <row r="144" spans="1:127">
      <c r="A144" s="22" t="s">
        <v>15</v>
      </c>
      <c r="B144" s="26">
        <v>4987176190734</v>
      </c>
      <c r="C144" s="22" t="s">
        <v>16</v>
      </c>
      <c r="D144" s="22" t="s">
        <v>17</v>
      </c>
      <c r="E144" s="22">
        <v>220760</v>
      </c>
      <c r="F144" s="80" t="s">
        <v>248</v>
      </c>
      <c r="G144" s="25">
        <v>281.93</v>
      </c>
      <c r="H144" s="85">
        <f t="shared" si="248"/>
        <v>47364.24</v>
      </c>
      <c r="I144" s="85">
        <f t="shared" si="249"/>
        <v>59769.16</v>
      </c>
      <c r="J144" s="85">
        <f t="shared" si="250"/>
        <v>42289.5</v>
      </c>
      <c r="K144" s="85">
        <f t="shared" si="251"/>
        <v>43417.22</v>
      </c>
      <c r="L144" s="85">
        <f t="shared" si="252"/>
        <v>54976.35</v>
      </c>
      <c r="M144" s="86">
        <f t="shared" si="253"/>
        <v>43981.08</v>
      </c>
      <c r="N144" s="87">
        <f t="shared" si="254"/>
        <v>26501.420000000002</v>
      </c>
      <c r="O144" s="87">
        <f t="shared" si="255"/>
        <v>56667.93</v>
      </c>
      <c r="P144" s="87">
        <f t="shared" si="256"/>
        <v>110798.49</v>
      </c>
      <c r="Q144" s="87">
        <f t="shared" si="257"/>
        <v>56667.93</v>
      </c>
      <c r="R144" s="87">
        <f t="shared" si="258"/>
        <v>42853.36</v>
      </c>
      <c r="S144" s="87">
        <f t="shared" si="259"/>
        <v>42571.43</v>
      </c>
      <c r="T144" s="87">
        <f t="shared" si="260"/>
        <v>46800.380000000005</v>
      </c>
      <c r="U144" s="87">
        <f t="shared" si="261"/>
        <v>38906.340000000004</v>
      </c>
      <c r="V144" s="87">
        <f t="shared" si="262"/>
        <v>65125.83</v>
      </c>
      <c r="W144" s="87">
        <f t="shared" si="263"/>
        <v>82323.56</v>
      </c>
      <c r="X144" s="87">
        <f t="shared" si="264"/>
        <v>109106.91</v>
      </c>
      <c r="Y144" s="86">
        <f t="shared" si="265"/>
        <v>28474.93</v>
      </c>
      <c r="Z144" s="87">
        <f t="shared" si="266"/>
        <v>47646.17</v>
      </c>
      <c r="AA144" s="87">
        <f t="shared" si="267"/>
        <v>35523.18</v>
      </c>
      <c r="AB144" s="87">
        <f t="shared" si="268"/>
        <v>34959.32</v>
      </c>
      <c r="AC144" s="87">
        <f t="shared" si="269"/>
        <v>69072.850000000006</v>
      </c>
      <c r="AD144" s="87">
        <f t="shared" si="270"/>
        <v>40315.99</v>
      </c>
      <c r="AE144" s="87">
        <f t="shared" si="271"/>
        <v>62588.46</v>
      </c>
      <c r="AF144" s="87">
        <f t="shared" si="272"/>
        <v>40315.99</v>
      </c>
      <c r="AG144" s="87">
        <f t="shared" si="273"/>
        <v>27911.07</v>
      </c>
      <c r="AH144" s="87">
        <f t="shared" si="274"/>
        <v>9021.76</v>
      </c>
      <c r="AI144" s="87">
        <f t="shared" si="275"/>
        <v>27785.767777777779</v>
      </c>
      <c r="AJ144" s="87">
        <f t="shared" si="276"/>
        <v>0</v>
      </c>
      <c r="AK144" s="86">
        <f t="shared" si="277"/>
        <v>0</v>
      </c>
      <c r="AL144" s="85">
        <v>153</v>
      </c>
      <c r="AM144" s="85">
        <v>197</v>
      </c>
      <c r="AN144" s="85">
        <v>134</v>
      </c>
      <c r="AO144" s="85">
        <v>125</v>
      </c>
      <c r="AP144" s="85">
        <v>170</v>
      </c>
      <c r="AQ144" s="86">
        <v>125</v>
      </c>
      <c r="AR144" s="87">
        <v>73</v>
      </c>
      <c r="AS144" s="87">
        <v>180</v>
      </c>
      <c r="AT144" s="87">
        <v>318</v>
      </c>
      <c r="AU144" s="87">
        <v>176</v>
      </c>
      <c r="AV144" s="87">
        <v>137</v>
      </c>
      <c r="AW144" s="87">
        <v>149</v>
      </c>
      <c r="AX144" s="87">
        <v>155</v>
      </c>
      <c r="AY144" s="87">
        <v>115</v>
      </c>
      <c r="AZ144" s="87">
        <v>212</v>
      </c>
      <c r="BA144" s="87">
        <v>247</v>
      </c>
      <c r="BB144" s="87">
        <v>361</v>
      </c>
      <c r="BC144" s="86">
        <v>94</v>
      </c>
      <c r="BD144" s="87">
        <v>155</v>
      </c>
      <c r="BE144" s="87">
        <v>114</v>
      </c>
      <c r="BF144" s="87">
        <v>109</v>
      </c>
      <c r="BG144" s="87">
        <v>216</v>
      </c>
      <c r="BH144" s="87">
        <v>128</v>
      </c>
      <c r="BI144" s="87">
        <v>214</v>
      </c>
      <c r="BJ144" s="40">
        <v>125</v>
      </c>
      <c r="BK144" s="40">
        <v>98</v>
      </c>
      <c r="BL144" s="40">
        <v>31</v>
      </c>
      <c r="BM144" s="40">
        <v>86</v>
      </c>
      <c r="BN144" s="87"/>
      <c r="BO144" s="86"/>
      <c r="BP144" s="21">
        <v>15</v>
      </c>
      <c r="BQ144" s="21">
        <v>15</v>
      </c>
      <c r="BR144" s="21">
        <v>16</v>
      </c>
      <c r="BS144" s="21">
        <v>29</v>
      </c>
      <c r="BT144" s="21">
        <v>25</v>
      </c>
      <c r="BU144" s="42">
        <v>31</v>
      </c>
      <c r="BV144" s="21">
        <v>21</v>
      </c>
      <c r="BW144" s="21">
        <v>21</v>
      </c>
      <c r="BX144" s="21">
        <v>75</v>
      </c>
      <c r="BY144" s="21">
        <v>25</v>
      </c>
      <c r="BZ144" s="21">
        <v>15</v>
      </c>
      <c r="CA144" s="21">
        <v>2</v>
      </c>
      <c r="CB144" s="21">
        <v>11</v>
      </c>
      <c r="CC144" s="21">
        <v>23</v>
      </c>
      <c r="CD144" s="21">
        <v>19</v>
      </c>
      <c r="CE144" s="21">
        <v>45</v>
      </c>
      <c r="CF144" s="21">
        <v>26</v>
      </c>
      <c r="CG144" s="42">
        <v>7</v>
      </c>
      <c r="CH144" s="21">
        <v>14</v>
      </c>
      <c r="CI144" s="21">
        <v>12</v>
      </c>
      <c r="CJ144" s="21">
        <v>15</v>
      </c>
      <c r="CK144" s="21">
        <v>29</v>
      </c>
      <c r="CL144" s="21">
        <v>15</v>
      </c>
      <c r="CM144" s="21">
        <v>8</v>
      </c>
      <c r="CN144" s="21">
        <v>18</v>
      </c>
      <c r="CO144" s="21">
        <v>1</v>
      </c>
      <c r="CP144" s="21">
        <f t="shared" si="278"/>
        <v>1</v>
      </c>
      <c r="CQ144" s="344">
        <f t="shared" si="279"/>
        <v>12.555555555555555</v>
      </c>
      <c r="CR144" s="87"/>
      <c r="CS144" s="86"/>
      <c r="CT144" s="85">
        <f t="shared" si="280"/>
        <v>168</v>
      </c>
      <c r="CU144" s="85">
        <f t="shared" si="281"/>
        <v>212</v>
      </c>
      <c r="CV144" s="85">
        <f t="shared" si="282"/>
        <v>150</v>
      </c>
      <c r="CW144" s="85">
        <f t="shared" si="283"/>
        <v>154</v>
      </c>
      <c r="CX144" s="85">
        <f t="shared" si="284"/>
        <v>195</v>
      </c>
      <c r="CY144" s="86">
        <f t="shared" si="285"/>
        <v>156</v>
      </c>
      <c r="CZ144" s="87">
        <f t="shared" si="286"/>
        <v>94</v>
      </c>
      <c r="DA144" s="87">
        <f t="shared" si="287"/>
        <v>201</v>
      </c>
      <c r="DB144" s="87">
        <f t="shared" si="288"/>
        <v>393</v>
      </c>
      <c r="DC144" s="87">
        <f t="shared" si="289"/>
        <v>201</v>
      </c>
      <c r="DD144" s="87">
        <f t="shared" si="290"/>
        <v>152</v>
      </c>
      <c r="DE144" s="87">
        <f t="shared" si="291"/>
        <v>151</v>
      </c>
      <c r="DF144" s="87">
        <f t="shared" si="292"/>
        <v>166</v>
      </c>
      <c r="DG144" s="87">
        <f t="shared" si="293"/>
        <v>138</v>
      </c>
      <c r="DH144" s="87">
        <f t="shared" si="294"/>
        <v>231</v>
      </c>
      <c r="DI144" s="87">
        <f t="shared" si="295"/>
        <v>292</v>
      </c>
      <c r="DJ144" s="87">
        <f t="shared" si="296"/>
        <v>387</v>
      </c>
      <c r="DK144" s="86">
        <f t="shared" si="297"/>
        <v>101</v>
      </c>
      <c r="DL144" s="87">
        <f t="shared" si="298"/>
        <v>169</v>
      </c>
      <c r="DM144" s="87">
        <f t="shared" si="299"/>
        <v>126</v>
      </c>
      <c r="DN144" s="87">
        <f t="shared" si="300"/>
        <v>124</v>
      </c>
      <c r="DO144" s="87">
        <f t="shared" si="301"/>
        <v>245</v>
      </c>
      <c r="DP144" s="87">
        <f t="shared" si="302"/>
        <v>143</v>
      </c>
      <c r="DQ144" s="87">
        <f t="shared" si="303"/>
        <v>222</v>
      </c>
      <c r="DR144" s="87">
        <f t="shared" si="218"/>
        <v>143</v>
      </c>
      <c r="DS144" s="87">
        <f t="shared" si="243"/>
        <v>99</v>
      </c>
      <c r="DT144" s="87">
        <f t="shared" si="304"/>
        <v>32</v>
      </c>
      <c r="DU144" s="87">
        <f t="shared" si="305"/>
        <v>98.555555555555557</v>
      </c>
      <c r="DV144" s="87">
        <f t="shared" si="306"/>
        <v>0</v>
      </c>
      <c r="DW144" s="87">
        <f t="shared" si="307"/>
        <v>0</v>
      </c>
    </row>
    <row r="145" spans="1:127">
      <c r="A145" s="22" t="s">
        <v>15</v>
      </c>
      <c r="B145" s="26">
        <v>4902430729642</v>
      </c>
      <c r="C145" s="22" t="s">
        <v>16</v>
      </c>
      <c r="D145" s="22" t="s">
        <v>18</v>
      </c>
      <c r="E145" s="22">
        <v>130175</v>
      </c>
      <c r="F145" s="80" t="s">
        <v>249</v>
      </c>
      <c r="G145" s="25">
        <v>675</v>
      </c>
      <c r="H145" s="85">
        <f t="shared" si="248"/>
        <v>731700</v>
      </c>
      <c r="I145" s="85">
        <f t="shared" si="249"/>
        <v>1776600</v>
      </c>
      <c r="J145" s="85">
        <f t="shared" si="250"/>
        <v>2006775</v>
      </c>
      <c r="K145" s="85">
        <f t="shared" si="251"/>
        <v>1111725</v>
      </c>
      <c r="L145" s="85">
        <f t="shared" si="252"/>
        <v>1401300</v>
      </c>
      <c r="M145" s="86">
        <f t="shared" si="253"/>
        <v>1754325</v>
      </c>
      <c r="N145" s="87">
        <f t="shared" si="254"/>
        <v>3128625</v>
      </c>
      <c r="O145" s="87">
        <f t="shared" si="255"/>
        <v>936225</v>
      </c>
      <c r="P145" s="87">
        <f t="shared" si="256"/>
        <v>1715850</v>
      </c>
      <c r="Q145" s="87">
        <f t="shared" si="257"/>
        <v>3573450</v>
      </c>
      <c r="R145" s="87">
        <f t="shared" si="258"/>
        <v>509625</v>
      </c>
      <c r="S145" s="87">
        <f t="shared" si="259"/>
        <v>622350</v>
      </c>
      <c r="T145" s="87">
        <f t="shared" si="260"/>
        <v>641925</v>
      </c>
      <c r="U145" s="87">
        <f t="shared" si="261"/>
        <v>2361825</v>
      </c>
      <c r="V145" s="87">
        <f t="shared" si="262"/>
        <v>1192050</v>
      </c>
      <c r="W145" s="87">
        <f t="shared" si="263"/>
        <v>2518425</v>
      </c>
      <c r="X145" s="87">
        <f t="shared" si="264"/>
        <v>4626450</v>
      </c>
      <c r="Y145" s="86">
        <f t="shared" si="265"/>
        <v>2249100</v>
      </c>
      <c r="Z145" s="87">
        <f t="shared" si="266"/>
        <v>677700</v>
      </c>
      <c r="AA145" s="87">
        <f t="shared" si="267"/>
        <v>675</v>
      </c>
      <c r="AB145" s="87">
        <f t="shared" si="268"/>
        <v>1350</v>
      </c>
      <c r="AC145" s="87">
        <f t="shared" si="269"/>
        <v>0</v>
      </c>
      <c r="AD145" s="87">
        <f t="shared" si="270"/>
        <v>2700</v>
      </c>
      <c r="AE145" s="87">
        <f t="shared" si="271"/>
        <v>4725</v>
      </c>
      <c r="AF145" s="87">
        <f t="shared" si="272"/>
        <v>0</v>
      </c>
      <c r="AG145" s="87">
        <f t="shared" si="273"/>
        <v>0</v>
      </c>
      <c r="AH145" s="87">
        <f t="shared" si="274"/>
        <v>0</v>
      </c>
      <c r="AI145" s="87">
        <f t="shared" si="275"/>
        <v>525</v>
      </c>
      <c r="AJ145" s="87">
        <f t="shared" si="276"/>
        <v>0</v>
      </c>
      <c r="AK145" s="86">
        <f t="shared" si="277"/>
        <v>0</v>
      </c>
      <c r="AL145" s="85">
        <v>866</v>
      </c>
      <c r="AM145" s="85">
        <v>2088</v>
      </c>
      <c r="AN145" s="85">
        <v>1833</v>
      </c>
      <c r="AO145" s="85">
        <v>1369</v>
      </c>
      <c r="AP145" s="85">
        <v>1770</v>
      </c>
      <c r="AQ145" s="86">
        <v>1887</v>
      </c>
      <c r="AR145" s="87">
        <v>2668</v>
      </c>
      <c r="AS145" s="87">
        <v>1156</v>
      </c>
      <c r="AT145" s="87">
        <v>2085</v>
      </c>
      <c r="AU145" s="87">
        <v>4218</v>
      </c>
      <c r="AV145" s="87">
        <v>675</v>
      </c>
      <c r="AW145" s="87">
        <v>867</v>
      </c>
      <c r="AX145" s="87">
        <v>878</v>
      </c>
      <c r="AY145" s="87">
        <v>2085</v>
      </c>
      <c r="AZ145" s="87">
        <v>1673</v>
      </c>
      <c r="BA145" s="87">
        <v>2829</v>
      </c>
      <c r="BB145" s="87">
        <v>6336</v>
      </c>
      <c r="BC145" s="86">
        <v>3084</v>
      </c>
      <c r="BD145" s="87">
        <v>1004</v>
      </c>
      <c r="BE145" s="87">
        <v>3</v>
      </c>
      <c r="BF145" s="87">
        <v>2</v>
      </c>
      <c r="BG145" s="87">
        <v>0</v>
      </c>
      <c r="BH145" s="87">
        <v>4</v>
      </c>
      <c r="BI145" s="87">
        <v>7</v>
      </c>
      <c r="BJ145" s="40">
        <v>0</v>
      </c>
      <c r="BK145" s="40">
        <v>0</v>
      </c>
      <c r="BL145" s="40">
        <v>0</v>
      </c>
      <c r="BM145" s="40">
        <v>1</v>
      </c>
      <c r="BN145" s="87"/>
      <c r="BO145" s="86"/>
      <c r="BP145" s="21">
        <v>218</v>
      </c>
      <c r="BQ145" s="21">
        <v>544</v>
      </c>
      <c r="BR145" s="21">
        <v>1140</v>
      </c>
      <c r="BS145" s="21">
        <v>278</v>
      </c>
      <c r="BT145" s="21">
        <v>306</v>
      </c>
      <c r="BU145" s="42">
        <v>712</v>
      </c>
      <c r="BV145" s="21">
        <v>1967</v>
      </c>
      <c r="BW145" s="21">
        <v>231</v>
      </c>
      <c r="BX145" s="21">
        <v>457</v>
      </c>
      <c r="BY145" s="21">
        <v>1076</v>
      </c>
      <c r="BZ145" s="21">
        <v>80</v>
      </c>
      <c r="CA145" s="21">
        <v>55</v>
      </c>
      <c r="CB145" s="21">
        <v>73</v>
      </c>
      <c r="CC145" s="21">
        <v>1414</v>
      </c>
      <c r="CD145" s="21">
        <v>93</v>
      </c>
      <c r="CE145" s="21">
        <v>902</v>
      </c>
      <c r="CF145" s="21">
        <v>518</v>
      </c>
      <c r="CG145" s="42">
        <v>248</v>
      </c>
      <c r="CH145" s="21">
        <v>0</v>
      </c>
      <c r="CI145" s="21">
        <v>-2</v>
      </c>
      <c r="CJ145" s="21">
        <v>0</v>
      </c>
      <c r="CK145" s="21">
        <v>0</v>
      </c>
      <c r="CL145" s="21">
        <v>0</v>
      </c>
      <c r="CM145" s="21">
        <v>0</v>
      </c>
      <c r="CN145" s="21">
        <v>0</v>
      </c>
      <c r="CO145" s="21">
        <v>0</v>
      </c>
      <c r="CP145" s="21">
        <f t="shared" si="278"/>
        <v>0</v>
      </c>
      <c r="CQ145" s="344">
        <f t="shared" si="279"/>
        <v>-0.22222222222222221</v>
      </c>
      <c r="CR145" s="87"/>
      <c r="CS145" s="86"/>
      <c r="CT145" s="85">
        <f t="shared" si="280"/>
        <v>1084</v>
      </c>
      <c r="CU145" s="85">
        <f t="shared" si="281"/>
        <v>2632</v>
      </c>
      <c r="CV145" s="85">
        <f t="shared" si="282"/>
        <v>2973</v>
      </c>
      <c r="CW145" s="85">
        <f t="shared" si="283"/>
        <v>1647</v>
      </c>
      <c r="CX145" s="85">
        <f t="shared" si="284"/>
        <v>2076</v>
      </c>
      <c r="CY145" s="86">
        <f t="shared" si="285"/>
        <v>2599</v>
      </c>
      <c r="CZ145" s="87">
        <f t="shared" si="286"/>
        <v>4635</v>
      </c>
      <c r="DA145" s="87">
        <f t="shared" si="287"/>
        <v>1387</v>
      </c>
      <c r="DB145" s="87">
        <f t="shared" si="288"/>
        <v>2542</v>
      </c>
      <c r="DC145" s="87">
        <f t="shared" si="289"/>
        <v>5294</v>
      </c>
      <c r="DD145" s="87">
        <f t="shared" si="290"/>
        <v>755</v>
      </c>
      <c r="DE145" s="87">
        <f t="shared" si="291"/>
        <v>922</v>
      </c>
      <c r="DF145" s="87">
        <f t="shared" si="292"/>
        <v>951</v>
      </c>
      <c r="DG145" s="87">
        <f t="shared" si="293"/>
        <v>3499</v>
      </c>
      <c r="DH145" s="87">
        <f t="shared" si="294"/>
        <v>1766</v>
      </c>
      <c r="DI145" s="87">
        <f t="shared" si="295"/>
        <v>3731</v>
      </c>
      <c r="DJ145" s="87">
        <f t="shared" si="296"/>
        <v>6854</v>
      </c>
      <c r="DK145" s="86">
        <f t="shared" si="297"/>
        <v>3332</v>
      </c>
      <c r="DL145" s="87">
        <f t="shared" si="298"/>
        <v>1004</v>
      </c>
      <c r="DM145" s="87">
        <f t="shared" si="299"/>
        <v>1</v>
      </c>
      <c r="DN145" s="87">
        <f t="shared" si="300"/>
        <v>2</v>
      </c>
      <c r="DO145" s="87">
        <f t="shared" si="301"/>
        <v>0</v>
      </c>
      <c r="DP145" s="87">
        <f t="shared" si="302"/>
        <v>4</v>
      </c>
      <c r="DQ145" s="87">
        <f t="shared" si="303"/>
        <v>7</v>
      </c>
      <c r="DR145" s="87">
        <f t="shared" si="218"/>
        <v>0</v>
      </c>
      <c r="DS145" s="87">
        <f t="shared" si="243"/>
        <v>0</v>
      </c>
      <c r="DT145" s="87">
        <f t="shared" si="304"/>
        <v>0</v>
      </c>
      <c r="DU145" s="87">
        <f t="shared" si="305"/>
        <v>0.77777777777777779</v>
      </c>
      <c r="DV145" s="87">
        <f t="shared" si="306"/>
        <v>0</v>
      </c>
      <c r="DW145" s="87">
        <f t="shared" si="307"/>
        <v>0</v>
      </c>
    </row>
    <row r="146" spans="1:127">
      <c r="A146" s="22" t="s">
        <v>15</v>
      </c>
      <c r="B146" s="26">
        <v>4987176106438</v>
      </c>
      <c r="C146" s="22" t="s">
        <v>16</v>
      </c>
      <c r="D146" s="22" t="s">
        <v>18</v>
      </c>
      <c r="E146" s="22">
        <v>129914</v>
      </c>
      <c r="F146" s="80" t="s">
        <v>250</v>
      </c>
      <c r="G146" s="25">
        <v>552.19999999999993</v>
      </c>
      <c r="H146" s="85">
        <f t="shared" si="248"/>
        <v>149093.99999999997</v>
      </c>
      <c r="I146" s="85">
        <f t="shared" si="249"/>
        <v>294874.8</v>
      </c>
      <c r="J146" s="85">
        <f t="shared" si="250"/>
        <v>225297.59999999998</v>
      </c>
      <c r="K146" s="85">
        <f t="shared" si="251"/>
        <v>213149.19999999998</v>
      </c>
      <c r="L146" s="85">
        <f t="shared" si="252"/>
        <v>273338.99999999994</v>
      </c>
      <c r="M146" s="86">
        <f t="shared" si="253"/>
        <v>272786.8</v>
      </c>
      <c r="N146" s="87">
        <f t="shared" si="254"/>
        <v>357825.6</v>
      </c>
      <c r="O146" s="87">
        <f t="shared" si="255"/>
        <v>250146.59999999998</v>
      </c>
      <c r="P146" s="87">
        <f t="shared" si="256"/>
        <v>292665.99999999994</v>
      </c>
      <c r="Q146" s="87">
        <f t="shared" si="257"/>
        <v>469369.99999999994</v>
      </c>
      <c r="R146" s="87">
        <f t="shared" si="258"/>
        <v>149093.99999999997</v>
      </c>
      <c r="S146" s="87">
        <f t="shared" si="259"/>
        <v>126453.79999999999</v>
      </c>
      <c r="T146" s="87">
        <f t="shared" si="260"/>
        <v>124244.99999999999</v>
      </c>
      <c r="U146" s="87">
        <f t="shared" si="261"/>
        <v>229715.19999999998</v>
      </c>
      <c r="V146" s="87">
        <f t="shared" si="262"/>
        <v>159585.79999999999</v>
      </c>
      <c r="W146" s="87">
        <f t="shared" si="263"/>
        <v>120379.59999999999</v>
      </c>
      <c r="X146" s="87">
        <f t="shared" si="264"/>
        <v>180569.39999999997</v>
      </c>
      <c r="Y146" s="86">
        <f t="shared" si="265"/>
        <v>138049.99999999997</v>
      </c>
      <c r="Z146" s="87">
        <f t="shared" si="266"/>
        <v>184986.99999999997</v>
      </c>
      <c r="AA146" s="87">
        <f t="shared" si="267"/>
        <v>146885.19999999998</v>
      </c>
      <c r="AB146" s="87">
        <f t="shared" si="268"/>
        <v>167868.79999999999</v>
      </c>
      <c r="AC146" s="87">
        <f t="shared" si="269"/>
        <v>205970.59999999998</v>
      </c>
      <c r="AD146" s="87">
        <f t="shared" si="270"/>
        <v>136945.59999999998</v>
      </c>
      <c r="AE146" s="87">
        <f t="shared" si="271"/>
        <v>150750.59999999998</v>
      </c>
      <c r="AF146" s="87">
        <f t="shared" si="272"/>
        <v>123140.59999999999</v>
      </c>
      <c r="AG146" s="87">
        <f t="shared" si="273"/>
        <v>139706.59999999998</v>
      </c>
      <c r="AH146" s="87">
        <f t="shared" si="274"/>
        <v>102156.99999999999</v>
      </c>
      <c r="AI146" s="87">
        <f t="shared" si="275"/>
        <v>126699.22222222222</v>
      </c>
      <c r="AJ146" s="87">
        <f t="shared" si="276"/>
        <v>0</v>
      </c>
      <c r="AK146" s="86">
        <f t="shared" si="277"/>
        <v>0</v>
      </c>
      <c r="AL146" s="85">
        <v>229</v>
      </c>
      <c r="AM146" s="85">
        <v>483</v>
      </c>
      <c r="AN146" s="85">
        <v>324</v>
      </c>
      <c r="AO146" s="85">
        <v>329</v>
      </c>
      <c r="AP146" s="85">
        <v>432</v>
      </c>
      <c r="AQ146" s="86">
        <v>423</v>
      </c>
      <c r="AR146" s="87">
        <v>563</v>
      </c>
      <c r="AS146" s="87">
        <v>401</v>
      </c>
      <c r="AT146" s="87">
        <v>441</v>
      </c>
      <c r="AU146" s="87">
        <v>764</v>
      </c>
      <c r="AV146" s="87">
        <v>246</v>
      </c>
      <c r="AW146" s="87">
        <v>229</v>
      </c>
      <c r="AX146" s="87">
        <v>215</v>
      </c>
      <c r="AY146" s="87">
        <v>371</v>
      </c>
      <c r="AZ146" s="87">
        <v>278</v>
      </c>
      <c r="BA146" s="87">
        <v>192</v>
      </c>
      <c r="BB146" s="87">
        <v>288</v>
      </c>
      <c r="BC146" s="86">
        <v>226</v>
      </c>
      <c r="BD146" s="87">
        <v>307</v>
      </c>
      <c r="BE146" s="87">
        <v>245</v>
      </c>
      <c r="BF146" s="87">
        <v>245</v>
      </c>
      <c r="BG146" s="87">
        <v>341</v>
      </c>
      <c r="BH146" s="87">
        <v>231</v>
      </c>
      <c r="BI146" s="87">
        <v>262</v>
      </c>
      <c r="BJ146" s="40">
        <v>207</v>
      </c>
      <c r="BK146" s="40">
        <v>244</v>
      </c>
      <c r="BL146" s="40">
        <v>176</v>
      </c>
      <c r="BM146" s="40">
        <v>207</v>
      </c>
      <c r="BN146" s="87"/>
      <c r="BO146" s="86"/>
      <c r="BP146" s="21">
        <v>41</v>
      </c>
      <c r="BQ146" s="21">
        <v>51</v>
      </c>
      <c r="BR146" s="21">
        <v>84</v>
      </c>
      <c r="BS146" s="21">
        <v>57</v>
      </c>
      <c r="BT146" s="21">
        <v>63</v>
      </c>
      <c r="BU146" s="42">
        <v>71</v>
      </c>
      <c r="BV146" s="21">
        <v>85</v>
      </c>
      <c r="BW146" s="21">
        <v>52</v>
      </c>
      <c r="BX146" s="21">
        <v>89</v>
      </c>
      <c r="BY146" s="21">
        <v>86</v>
      </c>
      <c r="BZ146" s="21">
        <v>24</v>
      </c>
      <c r="CA146" s="21">
        <v>0</v>
      </c>
      <c r="CB146" s="21">
        <v>10</v>
      </c>
      <c r="CC146" s="21">
        <v>45</v>
      </c>
      <c r="CD146" s="21">
        <v>11</v>
      </c>
      <c r="CE146" s="21">
        <v>26</v>
      </c>
      <c r="CF146" s="21">
        <v>39</v>
      </c>
      <c r="CG146" s="42">
        <v>24</v>
      </c>
      <c r="CH146" s="21">
        <v>28</v>
      </c>
      <c r="CI146" s="21">
        <v>21</v>
      </c>
      <c r="CJ146" s="21">
        <v>59</v>
      </c>
      <c r="CK146" s="21">
        <v>32</v>
      </c>
      <c r="CL146" s="21">
        <v>17</v>
      </c>
      <c r="CM146" s="21">
        <v>11</v>
      </c>
      <c r="CN146" s="21">
        <v>16</v>
      </c>
      <c r="CO146" s="21">
        <v>9</v>
      </c>
      <c r="CP146" s="21">
        <f t="shared" si="278"/>
        <v>9</v>
      </c>
      <c r="CQ146" s="344">
        <f t="shared" si="279"/>
        <v>22.444444444444443</v>
      </c>
      <c r="CR146" s="87"/>
      <c r="CS146" s="86"/>
      <c r="CT146" s="85">
        <f t="shared" si="280"/>
        <v>270</v>
      </c>
      <c r="CU146" s="85">
        <f t="shared" si="281"/>
        <v>534</v>
      </c>
      <c r="CV146" s="85">
        <f t="shared" si="282"/>
        <v>408</v>
      </c>
      <c r="CW146" s="85">
        <f t="shared" si="283"/>
        <v>386</v>
      </c>
      <c r="CX146" s="85">
        <f t="shared" si="284"/>
        <v>495</v>
      </c>
      <c r="CY146" s="86">
        <f t="shared" si="285"/>
        <v>494</v>
      </c>
      <c r="CZ146" s="87">
        <f t="shared" si="286"/>
        <v>648</v>
      </c>
      <c r="DA146" s="87">
        <f t="shared" si="287"/>
        <v>453</v>
      </c>
      <c r="DB146" s="87">
        <f t="shared" si="288"/>
        <v>530</v>
      </c>
      <c r="DC146" s="87">
        <f t="shared" si="289"/>
        <v>850</v>
      </c>
      <c r="DD146" s="87">
        <f t="shared" si="290"/>
        <v>270</v>
      </c>
      <c r="DE146" s="87">
        <f t="shared" si="291"/>
        <v>229</v>
      </c>
      <c r="DF146" s="87">
        <f t="shared" si="292"/>
        <v>225</v>
      </c>
      <c r="DG146" s="87">
        <f t="shared" si="293"/>
        <v>416</v>
      </c>
      <c r="DH146" s="87">
        <f t="shared" si="294"/>
        <v>289</v>
      </c>
      <c r="DI146" s="87">
        <f t="shared" si="295"/>
        <v>218</v>
      </c>
      <c r="DJ146" s="87">
        <f t="shared" si="296"/>
        <v>327</v>
      </c>
      <c r="DK146" s="86">
        <f t="shared" si="297"/>
        <v>250</v>
      </c>
      <c r="DL146" s="87">
        <f t="shared" si="298"/>
        <v>335</v>
      </c>
      <c r="DM146" s="87">
        <f t="shared" si="299"/>
        <v>266</v>
      </c>
      <c r="DN146" s="87">
        <f t="shared" si="300"/>
        <v>304</v>
      </c>
      <c r="DO146" s="87">
        <f t="shared" si="301"/>
        <v>373</v>
      </c>
      <c r="DP146" s="87">
        <f t="shared" si="302"/>
        <v>248</v>
      </c>
      <c r="DQ146" s="87">
        <f t="shared" si="303"/>
        <v>273</v>
      </c>
      <c r="DR146" s="87">
        <f t="shared" si="218"/>
        <v>223</v>
      </c>
      <c r="DS146" s="87">
        <f t="shared" si="243"/>
        <v>253</v>
      </c>
      <c r="DT146" s="87">
        <f t="shared" si="304"/>
        <v>185</v>
      </c>
      <c r="DU146" s="87">
        <f t="shared" si="305"/>
        <v>229.44444444444446</v>
      </c>
      <c r="DV146" s="87">
        <f t="shared" si="306"/>
        <v>0</v>
      </c>
      <c r="DW146" s="87">
        <f t="shared" si="307"/>
        <v>0</v>
      </c>
    </row>
    <row r="147" spans="1:127">
      <c r="A147" s="22" t="s">
        <v>15</v>
      </c>
      <c r="B147" s="26">
        <v>4987176170279</v>
      </c>
      <c r="C147" s="22" t="s">
        <v>16</v>
      </c>
      <c r="D147" s="46" t="s">
        <v>106</v>
      </c>
      <c r="E147" s="22">
        <v>189036</v>
      </c>
      <c r="F147" s="80" t="s">
        <v>251</v>
      </c>
      <c r="G147" s="25">
        <v>550.28583333333336</v>
      </c>
      <c r="H147" s="85">
        <f t="shared" si="248"/>
        <v>318065.21166666667</v>
      </c>
      <c r="I147" s="85">
        <f t="shared" si="249"/>
        <v>348330.9325</v>
      </c>
      <c r="J147" s="85">
        <f t="shared" si="250"/>
        <v>159032.60583333333</v>
      </c>
      <c r="K147" s="85">
        <f t="shared" si="251"/>
        <v>165636.03583333333</v>
      </c>
      <c r="L147" s="85">
        <f t="shared" si="252"/>
        <v>192049.75583333333</v>
      </c>
      <c r="M147" s="86">
        <f t="shared" si="253"/>
        <v>121062.88333333333</v>
      </c>
      <c r="N147" s="87">
        <f t="shared" si="254"/>
        <v>103453.73666666666</v>
      </c>
      <c r="O147" s="87">
        <f t="shared" si="255"/>
        <v>78140.588333333333</v>
      </c>
      <c r="P147" s="87">
        <f t="shared" si="256"/>
        <v>45123.438333333339</v>
      </c>
      <c r="Q147" s="87">
        <f t="shared" si="257"/>
        <v>63833.156666666669</v>
      </c>
      <c r="R147" s="87">
        <f t="shared" si="258"/>
        <v>30816.006666666668</v>
      </c>
      <c r="S147" s="87">
        <f t="shared" si="259"/>
        <v>25313.148333333334</v>
      </c>
      <c r="T147" s="87">
        <f t="shared" si="260"/>
        <v>23662.290833333333</v>
      </c>
      <c r="U147" s="87">
        <f t="shared" si="261"/>
        <v>13757.145833333334</v>
      </c>
      <c r="V147" s="87">
        <f t="shared" si="262"/>
        <v>6603.43</v>
      </c>
      <c r="W147" s="87">
        <f t="shared" si="263"/>
        <v>8804.5733333333337</v>
      </c>
      <c r="X147" s="87">
        <f t="shared" si="264"/>
        <v>11556.002500000001</v>
      </c>
      <c r="Y147" s="86">
        <f t="shared" si="265"/>
        <v>5502.8583333333336</v>
      </c>
      <c r="Z147" s="87">
        <f t="shared" si="266"/>
        <v>1650.8575000000001</v>
      </c>
      <c r="AA147" s="87">
        <f t="shared" si="267"/>
        <v>0</v>
      </c>
      <c r="AB147" s="87">
        <f t="shared" si="268"/>
        <v>0</v>
      </c>
      <c r="AC147" s="87">
        <f t="shared" si="269"/>
        <v>0</v>
      </c>
      <c r="AD147" s="87">
        <f t="shared" si="270"/>
        <v>0</v>
      </c>
      <c r="AE147" s="87">
        <f t="shared" si="271"/>
        <v>550.28583333333336</v>
      </c>
      <c r="AF147" s="87">
        <f t="shared" si="272"/>
        <v>0</v>
      </c>
      <c r="AG147" s="87">
        <f t="shared" si="273"/>
        <v>0</v>
      </c>
      <c r="AH147" s="87">
        <f t="shared" si="274"/>
        <v>0</v>
      </c>
      <c r="AI147" s="87">
        <f t="shared" si="275"/>
        <v>0</v>
      </c>
      <c r="AJ147" s="87">
        <f t="shared" si="276"/>
        <v>0</v>
      </c>
      <c r="AK147" s="86">
        <f t="shared" si="277"/>
        <v>0</v>
      </c>
      <c r="AL147" s="85">
        <v>522</v>
      </c>
      <c r="AM147" s="85">
        <v>588</v>
      </c>
      <c r="AN147" s="85">
        <v>252</v>
      </c>
      <c r="AO147" s="85">
        <v>278</v>
      </c>
      <c r="AP147" s="85">
        <v>344</v>
      </c>
      <c r="AQ147" s="86">
        <v>220</v>
      </c>
      <c r="AR147" s="87">
        <v>188</v>
      </c>
      <c r="AS147" s="87">
        <v>142</v>
      </c>
      <c r="AT147" s="87">
        <v>82</v>
      </c>
      <c r="AU147" s="87">
        <v>116</v>
      </c>
      <c r="AV147" s="87">
        <v>56</v>
      </c>
      <c r="AW147" s="87">
        <v>46</v>
      </c>
      <c r="AX147" s="87">
        <v>43</v>
      </c>
      <c r="AY147" s="87">
        <v>25</v>
      </c>
      <c r="AZ147" s="87">
        <v>12</v>
      </c>
      <c r="BA147" s="87">
        <v>16</v>
      </c>
      <c r="BB147" s="87">
        <v>21</v>
      </c>
      <c r="BC147" s="86">
        <v>10</v>
      </c>
      <c r="BD147" s="87">
        <v>3</v>
      </c>
      <c r="BE147" s="87">
        <v>0</v>
      </c>
      <c r="BF147" s="87">
        <v>0</v>
      </c>
      <c r="BG147" s="87">
        <v>0</v>
      </c>
      <c r="BH147" s="87">
        <v>0</v>
      </c>
      <c r="BI147" s="87">
        <v>1</v>
      </c>
      <c r="BJ147" s="40">
        <v>0</v>
      </c>
      <c r="BK147" s="40">
        <v>0</v>
      </c>
      <c r="BL147" s="40">
        <v>0</v>
      </c>
      <c r="BM147" s="40">
        <v>0</v>
      </c>
      <c r="BN147" s="87"/>
      <c r="BO147" s="86"/>
      <c r="BP147" s="21">
        <v>56</v>
      </c>
      <c r="BQ147" s="21">
        <v>45</v>
      </c>
      <c r="BR147" s="21">
        <v>37</v>
      </c>
      <c r="BS147" s="21">
        <v>23</v>
      </c>
      <c r="BT147" s="21">
        <v>5</v>
      </c>
      <c r="BU147" s="42">
        <v>0</v>
      </c>
      <c r="BV147" s="21">
        <v>0</v>
      </c>
      <c r="BW147" s="21">
        <v>0</v>
      </c>
      <c r="BX147" s="21">
        <v>0</v>
      </c>
      <c r="BY147" s="21">
        <v>0</v>
      </c>
      <c r="BZ147" s="21">
        <v>0</v>
      </c>
      <c r="CA147" s="21">
        <v>0</v>
      </c>
      <c r="CB147" s="21">
        <v>0</v>
      </c>
      <c r="CC147" s="21">
        <v>0</v>
      </c>
      <c r="CD147" s="21">
        <v>0</v>
      </c>
      <c r="CE147" s="21">
        <v>0</v>
      </c>
      <c r="CF147" s="21">
        <v>0</v>
      </c>
      <c r="CG147" s="42">
        <v>0</v>
      </c>
      <c r="CH147" s="21">
        <v>0</v>
      </c>
      <c r="CI147" s="21">
        <v>0</v>
      </c>
      <c r="CJ147" s="21">
        <v>0</v>
      </c>
      <c r="CK147" s="21">
        <v>0</v>
      </c>
      <c r="CL147" s="21">
        <v>0</v>
      </c>
      <c r="CM147" s="21">
        <v>0</v>
      </c>
      <c r="CN147" s="21">
        <v>0</v>
      </c>
      <c r="CO147" s="21">
        <v>0</v>
      </c>
      <c r="CP147" s="21">
        <f t="shared" si="278"/>
        <v>0</v>
      </c>
      <c r="CQ147" s="344">
        <f t="shared" si="279"/>
        <v>0</v>
      </c>
      <c r="CR147" s="87"/>
      <c r="CS147" s="86"/>
      <c r="CT147" s="85">
        <f t="shared" si="280"/>
        <v>578</v>
      </c>
      <c r="CU147" s="85">
        <f t="shared" si="281"/>
        <v>633</v>
      </c>
      <c r="CV147" s="85">
        <f t="shared" si="282"/>
        <v>289</v>
      </c>
      <c r="CW147" s="85">
        <f t="shared" si="283"/>
        <v>301</v>
      </c>
      <c r="CX147" s="85">
        <f t="shared" si="284"/>
        <v>349</v>
      </c>
      <c r="CY147" s="86">
        <f t="shared" si="285"/>
        <v>220</v>
      </c>
      <c r="CZ147" s="87">
        <f t="shared" si="286"/>
        <v>188</v>
      </c>
      <c r="DA147" s="87">
        <f t="shared" si="287"/>
        <v>142</v>
      </c>
      <c r="DB147" s="87">
        <f t="shared" si="288"/>
        <v>82</v>
      </c>
      <c r="DC147" s="87">
        <f t="shared" si="289"/>
        <v>116</v>
      </c>
      <c r="DD147" s="87">
        <f t="shared" si="290"/>
        <v>56</v>
      </c>
      <c r="DE147" s="87">
        <f t="shared" si="291"/>
        <v>46</v>
      </c>
      <c r="DF147" s="87">
        <f t="shared" si="292"/>
        <v>43</v>
      </c>
      <c r="DG147" s="87">
        <f t="shared" si="293"/>
        <v>25</v>
      </c>
      <c r="DH147" s="87">
        <f t="shared" si="294"/>
        <v>12</v>
      </c>
      <c r="DI147" s="87">
        <f t="shared" si="295"/>
        <v>16</v>
      </c>
      <c r="DJ147" s="87">
        <f t="shared" si="296"/>
        <v>21</v>
      </c>
      <c r="DK147" s="86">
        <f t="shared" si="297"/>
        <v>10</v>
      </c>
      <c r="DL147" s="87">
        <f t="shared" si="298"/>
        <v>3</v>
      </c>
      <c r="DM147" s="87">
        <f t="shared" si="299"/>
        <v>0</v>
      </c>
      <c r="DN147" s="87">
        <f t="shared" si="300"/>
        <v>0</v>
      </c>
      <c r="DO147" s="87">
        <f t="shared" si="301"/>
        <v>0</v>
      </c>
      <c r="DP147" s="87">
        <f t="shared" si="302"/>
        <v>0</v>
      </c>
      <c r="DQ147" s="87">
        <f t="shared" si="303"/>
        <v>1</v>
      </c>
      <c r="DR147" s="87">
        <f t="shared" si="218"/>
        <v>0</v>
      </c>
      <c r="DS147" s="87">
        <f t="shared" si="243"/>
        <v>0</v>
      </c>
      <c r="DT147" s="87">
        <f t="shared" si="304"/>
        <v>0</v>
      </c>
      <c r="DU147" s="87">
        <f t="shared" si="305"/>
        <v>0</v>
      </c>
      <c r="DV147" s="87">
        <f t="shared" si="306"/>
        <v>0</v>
      </c>
      <c r="DW147" s="87">
        <f t="shared" si="307"/>
        <v>0</v>
      </c>
    </row>
    <row r="148" spans="1:127">
      <c r="A148" s="22" t="s">
        <v>15</v>
      </c>
      <c r="B148" s="26">
        <v>4902430396059</v>
      </c>
      <c r="C148" s="22" t="s">
        <v>16</v>
      </c>
      <c r="D148" s="46" t="s">
        <v>102</v>
      </c>
      <c r="E148" s="22">
        <v>102216</v>
      </c>
      <c r="F148" s="80" t="s">
        <v>252</v>
      </c>
      <c r="G148" s="25">
        <v>397.99833333333328</v>
      </c>
      <c r="H148" s="85">
        <f t="shared" si="248"/>
        <v>74425.688333333324</v>
      </c>
      <c r="I148" s="85">
        <f t="shared" si="249"/>
        <v>95519.599999999991</v>
      </c>
      <c r="J148" s="85">
        <f t="shared" si="250"/>
        <v>67659.71666666666</v>
      </c>
      <c r="K148" s="85">
        <f t="shared" si="251"/>
        <v>74027.689999999988</v>
      </c>
      <c r="L148" s="85">
        <f t="shared" si="252"/>
        <v>113827.52333333332</v>
      </c>
      <c r="M148" s="86">
        <f t="shared" si="253"/>
        <v>89151.626666666649</v>
      </c>
      <c r="N148" s="87">
        <f t="shared" si="254"/>
        <v>58505.75499999999</v>
      </c>
      <c r="O148" s="87">
        <f t="shared" si="255"/>
        <v>70445.704999999987</v>
      </c>
      <c r="P148" s="87">
        <f t="shared" si="256"/>
        <v>62087.739999999991</v>
      </c>
      <c r="Q148" s="87">
        <f t="shared" si="257"/>
        <v>86763.636666666658</v>
      </c>
      <c r="R148" s="87">
        <f t="shared" si="258"/>
        <v>101887.57333333332</v>
      </c>
      <c r="S148" s="87">
        <f t="shared" si="259"/>
        <v>112633.52833333332</v>
      </c>
      <c r="T148" s="87">
        <f t="shared" si="260"/>
        <v>140095.4133333333</v>
      </c>
      <c r="U148" s="87">
        <f t="shared" si="261"/>
        <v>115021.51833333331</v>
      </c>
      <c r="V148" s="87">
        <f t="shared" si="262"/>
        <v>68455.713333333319</v>
      </c>
      <c r="W148" s="87">
        <f t="shared" si="263"/>
        <v>76017.681666666656</v>
      </c>
      <c r="X148" s="87">
        <f t="shared" si="264"/>
        <v>105469.55833333332</v>
      </c>
      <c r="Y148" s="86">
        <f t="shared" si="265"/>
        <v>67659.71666666666</v>
      </c>
      <c r="Z148" s="87">
        <f t="shared" si="266"/>
        <v>79201.66833333332</v>
      </c>
      <c r="AA148" s="87">
        <f t="shared" si="267"/>
        <v>67261.718333333323</v>
      </c>
      <c r="AB148" s="87">
        <f t="shared" si="268"/>
        <v>80395.663333333316</v>
      </c>
      <c r="AC148" s="87">
        <f t="shared" si="269"/>
        <v>133727.43999999997</v>
      </c>
      <c r="AD148" s="87">
        <f t="shared" si="270"/>
        <v>85569.641666666648</v>
      </c>
      <c r="AE148" s="87">
        <f t="shared" si="271"/>
        <v>101887.57333333332</v>
      </c>
      <c r="AF148" s="87">
        <f t="shared" si="272"/>
        <v>101887.57333333332</v>
      </c>
      <c r="AG148" s="87">
        <f t="shared" si="273"/>
        <v>77609.674999999988</v>
      </c>
      <c r="AH148" s="87">
        <f t="shared" si="274"/>
        <v>45769.808333333327</v>
      </c>
      <c r="AI148" s="87">
        <f t="shared" si="275"/>
        <v>56515.763333333329</v>
      </c>
      <c r="AJ148" s="87">
        <f t="shared" si="276"/>
        <v>0</v>
      </c>
      <c r="AK148" s="86">
        <f t="shared" si="277"/>
        <v>0</v>
      </c>
      <c r="AL148" s="85">
        <v>173</v>
      </c>
      <c r="AM148" s="85">
        <v>233</v>
      </c>
      <c r="AN148" s="85">
        <v>145</v>
      </c>
      <c r="AO148" s="85">
        <v>169</v>
      </c>
      <c r="AP148" s="85">
        <v>261</v>
      </c>
      <c r="AQ148" s="86">
        <v>180</v>
      </c>
      <c r="AR148" s="87">
        <v>128</v>
      </c>
      <c r="AS148" s="87">
        <v>154</v>
      </c>
      <c r="AT148" s="87">
        <v>132</v>
      </c>
      <c r="AU148" s="87">
        <v>181</v>
      </c>
      <c r="AV148" s="87">
        <v>223</v>
      </c>
      <c r="AW148" s="87">
        <v>250</v>
      </c>
      <c r="AX148" s="87">
        <v>339</v>
      </c>
      <c r="AY148" s="87">
        <v>244</v>
      </c>
      <c r="AZ148" s="87">
        <v>149</v>
      </c>
      <c r="BA148" s="87">
        <v>159</v>
      </c>
      <c r="BB148" s="87">
        <v>221</v>
      </c>
      <c r="BC148" s="86">
        <v>151</v>
      </c>
      <c r="BD148" s="87">
        <v>179</v>
      </c>
      <c r="BE148" s="87">
        <v>147</v>
      </c>
      <c r="BF148" s="87">
        <v>163</v>
      </c>
      <c r="BG148" s="87">
        <v>291</v>
      </c>
      <c r="BH148" s="87">
        <v>183</v>
      </c>
      <c r="BI148" s="87">
        <v>240</v>
      </c>
      <c r="BJ148" s="40">
        <v>240</v>
      </c>
      <c r="BK148" s="40">
        <v>191</v>
      </c>
      <c r="BL148" s="40">
        <v>111</v>
      </c>
      <c r="BM148" s="40">
        <v>120</v>
      </c>
      <c r="BN148" s="87"/>
      <c r="BO148" s="86"/>
      <c r="BP148" s="21">
        <v>14</v>
      </c>
      <c r="BQ148" s="21">
        <v>7</v>
      </c>
      <c r="BR148" s="21">
        <v>25</v>
      </c>
      <c r="BS148" s="21">
        <v>17</v>
      </c>
      <c r="BT148" s="21">
        <v>25</v>
      </c>
      <c r="BU148" s="42">
        <v>44</v>
      </c>
      <c r="BV148" s="21">
        <v>19</v>
      </c>
      <c r="BW148" s="21">
        <v>23</v>
      </c>
      <c r="BX148" s="21">
        <v>24</v>
      </c>
      <c r="BY148" s="21">
        <v>37</v>
      </c>
      <c r="BZ148" s="21">
        <v>33</v>
      </c>
      <c r="CA148" s="21">
        <v>33</v>
      </c>
      <c r="CB148" s="21">
        <v>13</v>
      </c>
      <c r="CC148" s="21">
        <v>45</v>
      </c>
      <c r="CD148" s="21">
        <v>23</v>
      </c>
      <c r="CE148" s="21">
        <v>32</v>
      </c>
      <c r="CF148" s="21">
        <v>44</v>
      </c>
      <c r="CG148" s="42">
        <v>19</v>
      </c>
      <c r="CH148" s="21">
        <v>20</v>
      </c>
      <c r="CI148" s="21">
        <v>22</v>
      </c>
      <c r="CJ148" s="21">
        <v>39</v>
      </c>
      <c r="CK148" s="21">
        <v>45</v>
      </c>
      <c r="CL148" s="21">
        <v>32</v>
      </c>
      <c r="CM148" s="21">
        <v>16</v>
      </c>
      <c r="CN148" s="21">
        <v>16</v>
      </c>
      <c r="CO148" s="21">
        <v>4</v>
      </c>
      <c r="CP148" s="21">
        <f t="shared" si="278"/>
        <v>4</v>
      </c>
      <c r="CQ148" s="344">
        <f t="shared" si="279"/>
        <v>22</v>
      </c>
      <c r="CR148" s="87"/>
      <c r="CS148" s="86"/>
      <c r="CT148" s="85">
        <f t="shared" si="280"/>
        <v>187</v>
      </c>
      <c r="CU148" s="85">
        <f t="shared" si="281"/>
        <v>240</v>
      </c>
      <c r="CV148" s="85">
        <f t="shared" si="282"/>
        <v>170</v>
      </c>
      <c r="CW148" s="85">
        <f t="shared" si="283"/>
        <v>186</v>
      </c>
      <c r="CX148" s="85">
        <f t="shared" si="284"/>
        <v>286</v>
      </c>
      <c r="CY148" s="86">
        <f t="shared" si="285"/>
        <v>224</v>
      </c>
      <c r="CZ148" s="87">
        <f t="shared" si="286"/>
        <v>147</v>
      </c>
      <c r="DA148" s="87">
        <f t="shared" si="287"/>
        <v>177</v>
      </c>
      <c r="DB148" s="87">
        <f t="shared" si="288"/>
        <v>156</v>
      </c>
      <c r="DC148" s="87">
        <f t="shared" si="289"/>
        <v>218</v>
      </c>
      <c r="DD148" s="87">
        <f t="shared" si="290"/>
        <v>256</v>
      </c>
      <c r="DE148" s="87">
        <f t="shared" si="291"/>
        <v>283</v>
      </c>
      <c r="DF148" s="87">
        <f t="shared" si="292"/>
        <v>352</v>
      </c>
      <c r="DG148" s="87">
        <f t="shared" si="293"/>
        <v>289</v>
      </c>
      <c r="DH148" s="87">
        <f t="shared" si="294"/>
        <v>172</v>
      </c>
      <c r="DI148" s="87">
        <f t="shared" si="295"/>
        <v>191</v>
      </c>
      <c r="DJ148" s="87">
        <f t="shared" si="296"/>
        <v>265</v>
      </c>
      <c r="DK148" s="86">
        <f t="shared" si="297"/>
        <v>170</v>
      </c>
      <c r="DL148" s="87">
        <f t="shared" si="298"/>
        <v>199</v>
      </c>
      <c r="DM148" s="87">
        <f t="shared" si="299"/>
        <v>169</v>
      </c>
      <c r="DN148" s="87">
        <f t="shared" si="300"/>
        <v>202</v>
      </c>
      <c r="DO148" s="87">
        <f t="shared" si="301"/>
        <v>336</v>
      </c>
      <c r="DP148" s="87">
        <f t="shared" si="302"/>
        <v>215</v>
      </c>
      <c r="DQ148" s="87">
        <f t="shared" si="303"/>
        <v>256</v>
      </c>
      <c r="DR148" s="87">
        <f t="shared" si="218"/>
        <v>256</v>
      </c>
      <c r="DS148" s="87">
        <f t="shared" si="243"/>
        <v>195</v>
      </c>
      <c r="DT148" s="87">
        <f t="shared" si="304"/>
        <v>115</v>
      </c>
      <c r="DU148" s="87">
        <f t="shared" si="305"/>
        <v>142</v>
      </c>
      <c r="DV148" s="87">
        <f t="shared" si="306"/>
        <v>0</v>
      </c>
      <c r="DW148" s="87">
        <f t="shared" si="307"/>
        <v>0</v>
      </c>
    </row>
    <row r="149" spans="1:127">
      <c r="A149" s="22" t="s">
        <v>15</v>
      </c>
      <c r="B149" s="26">
        <v>4902430396066</v>
      </c>
      <c r="C149" s="22" t="s">
        <v>16</v>
      </c>
      <c r="D149" s="46" t="s">
        <v>102</v>
      </c>
      <c r="E149" s="22">
        <v>102193</v>
      </c>
      <c r="F149" s="80" t="s">
        <v>253</v>
      </c>
      <c r="G149" s="25">
        <v>398.6658333333333</v>
      </c>
      <c r="H149" s="85">
        <f t="shared" si="248"/>
        <v>128370.39833333332</v>
      </c>
      <c r="I149" s="85">
        <f t="shared" si="249"/>
        <v>127971.73249999998</v>
      </c>
      <c r="J149" s="85">
        <f t="shared" si="250"/>
        <v>112025.09916666665</v>
      </c>
      <c r="K149" s="85">
        <f t="shared" si="251"/>
        <v>118403.75249999999</v>
      </c>
      <c r="L149" s="85">
        <f t="shared" si="252"/>
        <v>162655.65999999997</v>
      </c>
      <c r="M149" s="86">
        <f t="shared" si="253"/>
        <v>107639.77499999999</v>
      </c>
      <c r="N149" s="87">
        <f t="shared" si="254"/>
        <v>92490.473333333328</v>
      </c>
      <c r="O149" s="87">
        <f t="shared" si="255"/>
        <v>118005.08666666666</v>
      </c>
      <c r="P149" s="87">
        <f t="shared" si="256"/>
        <v>80131.83249999999</v>
      </c>
      <c r="Q149" s="87">
        <f t="shared" si="257"/>
        <v>106443.7775</v>
      </c>
      <c r="R149" s="87">
        <f t="shared" si="258"/>
        <v>147107.69249999998</v>
      </c>
      <c r="S149" s="87">
        <f t="shared" si="259"/>
        <v>124782.40583333332</v>
      </c>
      <c r="T149" s="87">
        <f t="shared" si="260"/>
        <v>184980.94666666666</v>
      </c>
      <c r="U149" s="87">
        <f t="shared" si="261"/>
        <v>109234.43833333332</v>
      </c>
      <c r="V149" s="87">
        <f t="shared" si="262"/>
        <v>94085.136666666658</v>
      </c>
      <c r="W149" s="87">
        <f t="shared" si="263"/>
        <v>106842.44333333333</v>
      </c>
      <c r="X149" s="87">
        <f t="shared" si="264"/>
        <v>128769.06416666665</v>
      </c>
      <c r="Y149" s="86">
        <f t="shared" si="265"/>
        <v>95679.799999999988</v>
      </c>
      <c r="Z149" s="87">
        <f t="shared" si="266"/>
        <v>104849.11416666665</v>
      </c>
      <c r="AA149" s="87">
        <f t="shared" si="267"/>
        <v>91294.47583333333</v>
      </c>
      <c r="AB149" s="87">
        <f t="shared" si="268"/>
        <v>109234.43833333332</v>
      </c>
      <c r="AC149" s="87">
        <f t="shared" si="269"/>
        <v>158270.33583333332</v>
      </c>
      <c r="AD149" s="87">
        <f t="shared" si="270"/>
        <v>122390.41083333333</v>
      </c>
      <c r="AE149" s="87">
        <f t="shared" si="271"/>
        <v>135546.38333333333</v>
      </c>
      <c r="AF149" s="87">
        <f t="shared" si="272"/>
        <v>153885.01166666666</v>
      </c>
      <c r="AG149" s="87">
        <f t="shared" si="273"/>
        <v>123187.74249999999</v>
      </c>
      <c r="AH149" s="87">
        <f t="shared" si="274"/>
        <v>55414.550833333327</v>
      </c>
      <c r="AI149" s="87">
        <f t="shared" si="275"/>
        <v>92091.807499999995</v>
      </c>
      <c r="AJ149" s="87">
        <f t="shared" si="276"/>
        <v>0</v>
      </c>
      <c r="AK149" s="86">
        <f t="shared" si="277"/>
        <v>0</v>
      </c>
      <c r="AL149" s="85">
        <v>297</v>
      </c>
      <c r="AM149" s="85">
        <v>306</v>
      </c>
      <c r="AN149" s="85">
        <v>264</v>
      </c>
      <c r="AO149" s="85">
        <v>269</v>
      </c>
      <c r="AP149" s="85">
        <v>386</v>
      </c>
      <c r="AQ149" s="86">
        <v>244</v>
      </c>
      <c r="AR149" s="87">
        <v>214</v>
      </c>
      <c r="AS149" s="87">
        <v>283</v>
      </c>
      <c r="AT149" s="87">
        <v>175</v>
      </c>
      <c r="AU149" s="87">
        <v>240</v>
      </c>
      <c r="AV149" s="87">
        <v>343</v>
      </c>
      <c r="AW149" s="87">
        <v>298</v>
      </c>
      <c r="AX149" s="87">
        <v>445</v>
      </c>
      <c r="AY149" s="87">
        <v>249</v>
      </c>
      <c r="AZ149" s="87">
        <v>215</v>
      </c>
      <c r="BA149" s="87">
        <v>247</v>
      </c>
      <c r="BB149" s="87">
        <v>304</v>
      </c>
      <c r="BC149" s="86">
        <v>231</v>
      </c>
      <c r="BD149" s="87">
        <v>236</v>
      </c>
      <c r="BE149" s="87">
        <v>214</v>
      </c>
      <c r="BF149" s="87">
        <v>230</v>
      </c>
      <c r="BG149" s="87">
        <v>349</v>
      </c>
      <c r="BH149" s="87">
        <v>259</v>
      </c>
      <c r="BI149" s="87">
        <v>298</v>
      </c>
      <c r="BJ149" s="40">
        <v>342</v>
      </c>
      <c r="BK149" s="40">
        <v>308</v>
      </c>
      <c r="BL149" s="40">
        <v>138</v>
      </c>
      <c r="BM149" s="40">
        <v>201</v>
      </c>
      <c r="BN149" s="87"/>
      <c r="BO149" s="86"/>
      <c r="BP149" s="21">
        <v>25</v>
      </c>
      <c r="BQ149" s="21">
        <v>15</v>
      </c>
      <c r="BR149" s="21">
        <v>17</v>
      </c>
      <c r="BS149" s="21">
        <v>28</v>
      </c>
      <c r="BT149" s="21">
        <v>22</v>
      </c>
      <c r="BU149" s="42">
        <v>26</v>
      </c>
      <c r="BV149" s="21">
        <v>18</v>
      </c>
      <c r="BW149" s="21">
        <v>13</v>
      </c>
      <c r="BX149" s="21">
        <v>26</v>
      </c>
      <c r="BY149" s="21">
        <v>27</v>
      </c>
      <c r="BZ149" s="21">
        <v>26</v>
      </c>
      <c r="CA149" s="21">
        <v>15</v>
      </c>
      <c r="CB149" s="21">
        <v>19</v>
      </c>
      <c r="CC149" s="21">
        <v>25</v>
      </c>
      <c r="CD149" s="21">
        <v>21</v>
      </c>
      <c r="CE149" s="21">
        <v>21</v>
      </c>
      <c r="CF149" s="21">
        <v>19</v>
      </c>
      <c r="CG149" s="42">
        <v>9</v>
      </c>
      <c r="CH149" s="21">
        <v>27</v>
      </c>
      <c r="CI149" s="21">
        <v>15</v>
      </c>
      <c r="CJ149" s="21">
        <v>44</v>
      </c>
      <c r="CK149" s="21">
        <v>48</v>
      </c>
      <c r="CL149" s="21">
        <v>48</v>
      </c>
      <c r="CM149" s="21">
        <v>42</v>
      </c>
      <c r="CN149" s="21">
        <v>44</v>
      </c>
      <c r="CO149" s="21">
        <v>1</v>
      </c>
      <c r="CP149" s="21">
        <f t="shared" si="278"/>
        <v>1</v>
      </c>
      <c r="CQ149" s="344">
        <f t="shared" si="279"/>
        <v>30</v>
      </c>
      <c r="CR149" s="87"/>
      <c r="CS149" s="86"/>
      <c r="CT149" s="85">
        <f t="shared" si="280"/>
        <v>322</v>
      </c>
      <c r="CU149" s="85">
        <f t="shared" si="281"/>
        <v>321</v>
      </c>
      <c r="CV149" s="85">
        <f t="shared" si="282"/>
        <v>281</v>
      </c>
      <c r="CW149" s="85">
        <f t="shared" si="283"/>
        <v>297</v>
      </c>
      <c r="CX149" s="85">
        <f t="shared" si="284"/>
        <v>408</v>
      </c>
      <c r="CY149" s="86">
        <f t="shared" si="285"/>
        <v>270</v>
      </c>
      <c r="CZ149" s="87">
        <f t="shared" si="286"/>
        <v>232</v>
      </c>
      <c r="DA149" s="87">
        <f t="shared" si="287"/>
        <v>296</v>
      </c>
      <c r="DB149" s="87">
        <f t="shared" si="288"/>
        <v>201</v>
      </c>
      <c r="DC149" s="87">
        <f t="shared" si="289"/>
        <v>267</v>
      </c>
      <c r="DD149" s="87">
        <f t="shared" si="290"/>
        <v>369</v>
      </c>
      <c r="DE149" s="87">
        <f t="shared" si="291"/>
        <v>313</v>
      </c>
      <c r="DF149" s="87">
        <f t="shared" si="292"/>
        <v>464</v>
      </c>
      <c r="DG149" s="87">
        <f t="shared" si="293"/>
        <v>274</v>
      </c>
      <c r="DH149" s="87">
        <f t="shared" si="294"/>
        <v>236</v>
      </c>
      <c r="DI149" s="87">
        <f t="shared" si="295"/>
        <v>268</v>
      </c>
      <c r="DJ149" s="87">
        <f t="shared" si="296"/>
        <v>323</v>
      </c>
      <c r="DK149" s="86">
        <f t="shared" si="297"/>
        <v>240</v>
      </c>
      <c r="DL149" s="87">
        <f t="shared" si="298"/>
        <v>263</v>
      </c>
      <c r="DM149" s="87">
        <f t="shared" si="299"/>
        <v>229</v>
      </c>
      <c r="DN149" s="87">
        <f t="shared" si="300"/>
        <v>274</v>
      </c>
      <c r="DO149" s="87">
        <f t="shared" si="301"/>
        <v>397</v>
      </c>
      <c r="DP149" s="87">
        <f t="shared" si="302"/>
        <v>307</v>
      </c>
      <c r="DQ149" s="87">
        <f t="shared" si="303"/>
        <v>340</v>
      </c>
      <c r="DR149" s="87">
        <f t="shared" si="218"/>
        <v>386</v>
      </c>
      <c r="DS149" s="87">
        <f t="shared" si="243"/>
        <v>309</v>
      </c>
      <c r="DT149" s="87">
        <f t="shared" si="304"/>
        <v>139</v>
      </c>
      <c r="DU149" s="87">
        <f t="shared" si="305"/>
        <v>231</v>
      </c>
      <c r="DV149" s="87">
        <f t="shared" si="306"/>
        <v>0</v>
      </c>
      <c r="DW149" s="87">
        <f t="shared" si="307"/>
        <v>0</v>
      </c>
    </row>
    <row r="150" spans="1:127">
      <c r="A150" s="22" t="s">
        <v>15</v>
      </c>
      <c r="B150" s="26">
        <v>4902430396073</v>
      </c>
      <c r="C150" s="22" t="s">
        <v>16</v>
      </c>
      <c r="D150" s="46" t="s">
        <v>102</v>
      </c>
      <c r="E150" s="22">
        <v>102177</v>
      </c>
      <c r="F150" s="80" t="s">
        <v>254</v>
      </c>
      <c r="G150" s="25">
        <v>398.6658333333333</v>
      </c>
      <c r="H150" s="85">
        <f t="shared" si="248"/>
        <v>161858.32833333331</v>
      </c>
      <c r="I150" s="85">
        <f t="shared" si="249"/>
        <v>175014.30083333331</v>
      </c>
      <c r="J150" s="85">
        <f t="shared" si="250"/>
        <v>141127.70499999999</v>
      </c>
      <c r="K150" s="85">
        <f t="shared" si="251"/>
        <v>142722.36833333332</v>
      </c>
      <c r="L150" s="85">
        <f t="shared" si="252"/>
        <v>236010.17333333331</v>
      </c>
      <c r="M150" s="86">
        <f t="shared" si="253"/>
        <v>137141.04666666666</v>
      </c>
      <c r="N150" s="87">
        <f t="shared" si="254"/>
        <v>126377.06916666665</v>
      </c>
      <c r="O150" s="87">
        <f t="shared" si="255"/>
        <v>157871.66999999998</v>
      </c>
      <c r="P150" s="87">
        <f t="shared" si="256"/>
        <v>114815.76</v>
      </c>
      <c r="Q150" s="87">
        <f t="shared" si="257"/>
        <v>132357.05666666664</v>
      </c>
      <c r="R150" s="87">
        <f t="shared" si="258"/>
        <v>170628.97666666665</v>
      </c>
      <c r="S150" s="87">
        <f t="shared" si="259"/>
        <v>112423.76499999998</v>
      </c>
      <c r="T150" s="87">
        <f t="shared" si="260"/>
        <v>196542.25583333333</v>
      </c>
      <c r="U150" s="87">
        <f t="shared" si="261"/>
        <v>121593.07916666665</v>
      </c>
      <c r="V150" s="87">
        <f t="shared" si="262"/>
        <v>117207.75499999999</v>
      </c>
      <c r="W150" s="87">
        <f t="shared" si="263"/>
        <v>129566.39583333333</v>
      </c>
      <c r="X150" s="87">
        <f t="shared" si="264"/>
        <v>224050.1983333333</v>
      </c>
      <c r="Y150" s="86">
        <f t="shared" si="265"/>
        <v>134749.05166666667</v>
      </c>
      <c r="Z150" s="87">
        <f t="shared" si="266"/>
        <v>157871.66999999998</v>
      </c>
      <c r="AA150" s="87">
        <f t="shared" si="267"/>
        <v>123586.40833333333</v>
      </c>
      <c r="AB150" s="87">
        <f t="shared" si="268"/>
        <v>145114.36333333331</v>
      </c>
      <c r="AC150" s="87">
        <f t="shared" si="269"/>
        <v>218070.21083333332</v>
      </c>
      <c r="AD150" s="87">
        <f t="shared" si="270"/>
        <v>117606.42083333332</v>
      </c>
      <c r="AE150" s="87">
        <f t="shared" si="271"/>
        <v>160263.66499999998</v>
      </c>
      <c r="AF150" s="87">
        <f t="shared" si="272"/>
        <v>155878.34083333332</v>
      </c>
      <c r="AG150" s="87">
        <f t="shared" si="273"/>
        <v>131958.39083333331</v>
      </c>
      <c r="AH150" s="87">
        <f t="shared" si="274"/>
        <v>70962.518333333326</v>
      </c>
      <c r="AI150" s="87">
        <f t="shared" si="275"/>
        <v>141482.07462962961</v>
      </c>
      <c r="AJ150" s="87">
        <f t="shared" si="276"/>
        <v>0</v>
      </c>
      <c r="AK150" s="86">
        <f t="shared" si="277"/>
        <v>0</v>
      </c>
      <c r="AL150" s="85">
        <v>386</v>
      </c>
      <c r="AM150" s="85">
        <v>424</v>
      </c>
      <c r="AN150" s="85">
        <v>330</v>
      </c>
      <c r="AO150" s="85">
        <v>334</v>
      </c>
      <c r="AP150" s="85">
        <v>556</v>
      </c>
      <c r="AQ150" s="86">
        <v>320</v>
      </c>
      <c r="AR150" s="87">
        <v>296</v>
      </c>
      <c r="AS150" s="87">
        <v>373</v>
      </c>
      <c r="AT150" s="87">
        <v>260</v>
      </c>
      <c r="AU150" s="87">
        <v>299</v>
      </c>
      <c r="AV150" s="87">
        <v>395</v>
      </c>
      <c r="AW150" s="87">
        <v>278</v>
      </c>
      <c r="AX150" s="87">
        <v>479</v>
      </c>
      <c r="AY150" s="87">
        <v>288</v>
      </c>
      <c r="AZ150" s="87">
        <v>269</v>
      </c>
      <c r="BA150" s="87">
        <v>288</v>
      </c>
      <c r="BB150" s="87">
        <v>518</v>
      </c>
      <c r="BC150" s="86">
        <v>312</v>
      </c>
      <c r="BD150" s="87">
        <v>362</v>
      </c>
      <c r="BE150" s="87">
        <v>269</v>
      </c>
      <c r="BF150" s="87">
        <v>308</v>
      </c>
      <c r="BG150" s="87">
        <v>473</v>
      </c>
      <c r="BH150" s="87">
        <v>268</v>
      </c>
      <c r="BI150" s="87">
        <v>378</v>
      </c>
      <c r="BJ150" s="40">
        <v>364</v>
      </c>
      <c r="BK150" s="40">
        <v>329</v>
      </c>
      <c r="BL150" s="40">
        <v>176</v>
      </c>
      <c r="BM150" s="40">
        <v>323</v>
      </c>
      <c r="BN150" s="87"/>
      <c r="BO150" s="86"/>
      <c r="BP150" s="21">
        <v>20</v>
      </c>
      <c r="BQ150" s="21">
        <v>15</v>
      </c>
      <c r="BR150" s="21">
        <v>24</v>
      </c>
      <c r="BS150" s="21">
        <v>24</v>
      </c>
      <c r="BT150" s="21">
        <v>36</v>
      </c>
      <c r="BU150" s="42">
        <v>24</v>
      </c>
      <c r="BV150" s="21">
        <v>21</v>
      </c>
      <c r="BW150" s="21">
        <v>23</v>
      </c>
      <c r="BX150" s="21">
        <v>28</v>
      </c>
      <c r="BY150" s="21">
        <v>33</v>
      </c>
      <c r="BZ150" s="21">
        <v>33</v>
      </c>
      <c r="CA150" s="21">
        <v>4</v>
      </c>
      <c r="CB150" s="21">
        <v>14</v>
      </c>
      <c r="CC150" s="21">
        <v>17</v>
      </c>
      <c r="CD150" s="21">
        <v>25</v>
      </c>
      <c r="CE150" s="21">
        <v>37</v>
      </c>
      <c r="CF150" s="21">
        <v>44</v>
      </c>
      <c r="CG150" s="42">
        <v>26</v>
      </c>
      <c r="CH150" s="21">
        <v>34</v>
      </c>
      <c r="CI150" s="21">
        <v>41</v>
      </c>
      <c r="CJ150" s="21">
        <v>56</v>
      </c>
      <c r="CK150" s="21">
        <v>74</v>
      </c>
      <c r="CL150" s="21">
        <v>27</v>
      </c>
      <c r="CM150" s="21">
        <v>24</v>
      </c>
      <c r="CN150" s="21">
        <v>27</v>
      </c>
      <c r="CO150" s="21">
        <v>2</v>
      </c>
      <c r="CP150" s="21">
        <f t="shared" si="278"/>
        <v>2</v>
      </c>
      <c r="CQ150" s="344">
        <f t="shared" si="279"/>
        <v>31.888888888888889</v>
      </c>
      <c r="CR150" s="87"/>
      <c r="CS150" s="86"/>
      <c r="CT150" s="85">
        <f t="shared" si="280"/>
        <v>406</v>
      </c>
      <c r="CU150" s="85">
        <f t="shared" si="281"/>
        <v>439</v>
      </c>
      <c r="CV150" s="85">
        <f t="shared" si="282"/>
        <v>354</v>
      </c>
      <c r="CW150" s="85">
        <f t="shared" si="283"/>
        <v>358</v>
      </c>
      <c r="CX150" s="85">
        <f t="shared" si="284"/>
        <v>592</v>
      </c>
      <c r="CY150" s="86">
        <f t="shared" si="285"/>
        <v>344</v>
      </c>
      <c r="CZ150" s="87">
        <f t="shared" si="286"/>
        <v>317</v>
      </c>
      <c r="DA150" s="87">
        <f t="shared" si="287"/>
        <v>396</v>
      </c>
      <c r="DB150" s="87">
        <f t="shared" si="288"/>
        <v>288</v>
      </c>
      <c r="DC150" s="87">
        <f t="shared" si="289"/>
        <v>332</v>
      </c>
      <c r="DD150" s="87">
        <f t="shared" si="290"/>
        <v>428</v>
      </c>
      <c r="DE150" s="87">
        <f t="shared" si="291"/>
        <v>282</v>
      </c>
      <c r="DF150" s="87">
        <f t="shared" si="292"/>
        <v>493</v>
      </c>
      <c r="DG150" s="87">
        <f t="shared" si="293"/>
        <v>305</v>
      </c>
      <c r="DH150" s="87">
        <f t="shared" si="294"/>
        <v>294</v>
      </c>
      <c r="DI150" s="87">
        <f t="shared" si="295"/>
        <v>325</v>
      </c>
      <c r="DJ150" s="87">
        <f t="shared" si="296"/>
        <v>562</v>
      </c>
      <c r="DK150" s="86">
        <f t="shared" si="297"/>
        <v>338</v>
      </c>
      <c r="DL150" s="87">
        <f t="shared" si="298"/>
        <v>396</v>
      </c>
      <c r="DM150" s="87">
        <f t="shared" si="299"/>
        <v>310</v>
      </c>
      <c r="DN150" s="87">
        <f t="shared" si="300"/>
        <v>364</v>
      </c>
      <c r="DO150" s="87">
        <f t="shared" si="301"/>
        <v>547</v>
      </c>
      <c r="DP150" s="87">
        <f t="shared" si="302"/>
        <v>295</v>
      </c>
      <c r="DQ150" s="87">
        <f t="shared" si="303"/>
        <v>402</v>
      </c>
      <c r="DR150" s="87">
        <f t="shared" si="218"/>
        <v>391</v>
      </c>
      <c r="DS150" s="87">
        <f t="shared" si="243"/>
        <v>331</v>
      </c>
      <c r="DT150" s="87">
        <f t="shared" si="304"/>
        <v>178</v>
      </c>
      <c r="DU150" s="87">
        <f t="shared" si="305"/>
        <v>354.88888888888891</v>
      </c>
      <c r="DV150" s="87">
        <f t="shared" si="306"/>
        <v>0</v>
      </c>
      <c r="DW150" s="87">
        <f t="shared" si="307"/>
        <v>0</v>
      </c>
    </row>
    <row r="151" spans="1:127">
      <c r="A151" s="22" t="s">
        <v>15</v>
      </c>
      <c r="B151" s="26">
        <v>9300618556502</v>
      </c>
      <c r="C151" s="22" t="s">
        <v>16</v>
      </c>
      <c r="D151" s="46" t="s">
        <v>102</v>
      </c>
      <c r="E151" s="22">
        <v>343527</v>
      </c>
      <c r="F151" s="80" t="s">
        <v>255</v>
      </c>
      <c r="G151" s="25">
        <v>198.66666666666666</v>
      </c>
      <c r="H151" s="85">
        <f t="shared" si="248"/>
        <v>45097.333333333328</v>
      </c>
      <c r="I151" s="85">
        <f t="shared" si="249"/>
        <v>65957.333333333328</v>
      </c>
      <c r="J151" s="85">
        <f t="shared" si="250"/>
        <v>41521.333333333328</v>
      </c>
      <c r="K151" s="85">
        <f t="shared" si="251"/>
        <v>45693.333333333328</v>
      </c>
      <c r="L151" s="85">
        <f t="shared" si="252"/>
        <v>63772</v>
      </c>
      <c r="M151" s="86">
        <f t="shared" si="253"/>
        <v>37746.666666666664</v>
      </c>
      <c r="N151" s="87">
        <f t="shared" si="254"/>
        <v>40528</v>
      </c>
      <c r="O151" s="87">
        <f t="shared" si="255"/>
        <v>53838.666666666664</v>
      </c>
      <c r="P151" s="87">
        <f t="shared" si="256"/>
        <v>41124</v>
      </c>
      <c r="Q151" s="87">
        <f t="shared" si="257"/>
        <v>52448</v>
      </c>
      <c r="R151" s="87">
        <f t="shared" si="258"/>
        <v>62381.333333333328</v>
      </c>
      <c r="S151" s="87">
        <f t="shared" si="259"/>
        <v>60394.666666666664</v>
      </c>
      <c r="T151" s="87">
        <f t="shared" si="260"/>
        <v>71917.333333333328</v>
      </c>
      <c r="U151" s="87">
        <f t="shared" si="261"/>
        <v>48872</v>
      </c>
      <c r="V151" s="87">
        <f t="shared" si="262"/>
        <v>38342.666666666664</v>
      </c>
      <c r="W151" s="87">
        <f t="shared" si="263"/>
        <v>45296</v>
      </c>
      <c r="X151" s="87">
        <f t="shared" si="264"/>
        <v>47084</v>
      </c>
      <c r="Y151" s="86">
        <f t="shared" si="265"/>
        <v>31985.333333333332</v>
      </c>
      <c r="Z151" s="87">
        <f t="shared" si="266"/>
        <v>37548</v>
      </c>
      <c r="AA151" s="87">
        <f t="shared" si="267"/>
        <v>34568</v>
      </c>
      <c r="AB151" s="87">
        <f t="shared" si="268"/>
        <v>36952</v>
      </c>
      <c r="AC151" s="87">
        <f t="shared" si="269"/>
        <v>53838.666666666664</v>
      </c>
      <c r="AD151" s="87">
        <f t="shared" si="270"/>
        <v>49865.333333333328</v>
      </c>
      <c r="AE151" s="87">
        <f t="shared" si="271"/>
        <v>56024</v>
      </c>
      <c r="AF151" s="87">
        <f t="shared" si="272"/>
        <v>46488</v>
      </c>
      <c r="AG151" s="87">
        <f t="shared" si="273"/>
        <v>48673.333333333328</v>
      </c>
      <c r="AH151" s="87">
        <f t="shared" si="274"/>
        <v>37746.666666666664</v>
      </c>
      <c r="AI151" s="87">
        <f t="shared" si="275"/>
        <v>39843.703703703701</v>
      </c>
      <c r="AJ151" s="87">
        <f t="shared" si="276"/>
        <v>0</v>
      </c>
      <c r="AK151" s="86">
        <f t="shared" si="277"/>
        <v>0</v>
      </c>
      <c r="AL151" s="85">
        <v>214</v>
      </c>
      <c r="AM151" s="85">
        <v>317</v>
      </c>
      <c r="AN151" s="85">
        <v>198</v>
      </c>
      <c r="AO151" s="85">
        <v>224</v>
      </c>
      <c r="AP151" s="85">
        <v>308</v>
      </c>
      <c r="AQ151" s="86">
        <v>178</v>
      </c>
      <c r="AR151" s="87">
        <v>187</v>
      </c>
      <c r="AS151" s="87">
        <v>259</v>
      </c>
      <c r="AT151" s="87">
        <v>195</v>
      </c>
      <c r="AU151" s="87">
        <v>248</v>
      </c>
      <c r="AV151" s="87">
        <v>271</v>
      </c>
      <c r="AW151" s="87">
        <v>300</v>
      </c>
      <c r="AX151" s="87">
        <v>348</v>
      </c>
      <c r="AY151" s="87">
        <v>239</v>
      </c>
      <c r="AZ151" s="87">
        <v>184</v>
      </c>
      <c r="BA151" s="87">
        <v>218</v>
      </c>
      <c r="BB151" s="87">
        <v>219</v>
      </c>
      <c r="BC151" s="86">
        <v>150</v>
      </c>
      <c r="BD151" s="87">
        <v>183</v>
      </c>
      <c r="BE151" s="87">
        <v>164</v>
      </c>
      <c r="BF151" s="87">
        <v>174</v>
      </c>
      <c r="BG151" s="87">
        <v>258</v>
      </c>
      <c r="BH151" s="87">
        <v>244</v>
      </c>
      <c r="BI151" s="87">
        <v>267</v>
      </c>
      <c r="BJ151" s="40">
        <v>224</v>
      </c>
      <c r="BK151" s="40">
        <v>243</v>
      </c>
      <c r="BL151" s="40">
        <v>188</v>
      </c>
      <c r="BM151" s="40">
        <v>192</v>
      </c>
      <c r="BN151" s="87"/>
      <c r="BO151" s="86"/>
      <c r="BP151" s="21">
        <v>13</v>
      </c>
      <c r="BQ151" s="21">
        <v>15</v>
      </c>
      <c r="BR151" s="21">
        <v>11</v>
      </c>
      <c r="BS151" s="21">
        <v>6</v>
      </c>
      <c r="BT151" s="21">
        <v>13</v>
      </c>
      <c r="BU151" s="42">
        <v>12</v>
      </c>
      <c r="BV151" s="21">
        <v>17</v>
      </c>
      <c r="BW151" s="21">
        <v>12</v>
      </c>
      <c r="BX151" s="21">
        <v>12</v>
      </c>
      <c r="BY151" s="21">
        <v>16</v>
      </c>
      <c r="BZ151" s="21">
        <v>43</v>
      </c>
      <c r="CA151" s="21">
        <v>4</v>
      </c>
      <c r="CB151" s="21">
        <v>14</v>
      </c>
      <c r="CC151" s="21">
        <v>7</v>
      </c>
      <c r="CD151" s="21">
        <v>9</v>
      </c>
      <c r="CE151" s="21">
        <v>10</v>
      </c>
      <c r="CF151" s="21">
        <v>18</v>
      </c>
      <c r="CG151" s="42">
        <v>11</v>
      </c>
      <c r="CH151" s="21">
        <v>6</v>
      </c>
      <c r="CI151" s="21">
        <v>10</v>
      </c>
      <c r="CJ151" s="21">
        <v>12</v>
      </c>
      <c r="CK151" s="21">
        <v>13</v>
      </c>
      <c r="CL151" s="21">
        <v>7</v>
      </c>
      <c r="CM151" s="21">
        <v>15</v>
      </c>
      <c r="CN151" s="21">
        <v>10</v>
      </c>
      <c r="CO151" s="21">
        <v>2</v>
      </c>
      <c r="CP151" s="21">
        <f t="shared" si="278"/>
        <v>2</v>
      </c>
      <c r="CQ151" s="344">
        <f t="shared" si="279"/>
        <v>8.5555555555555554</v>
      </c>
      <c r="CR151" s="87"/>
      <c r="CS151" s="86"/>
      <c r="CT151" s="85">
        <f t="shared" si="280"/>
        <v>227</v>
      </c>
      <c r="CU151" s="85">
        <f t="shared" si="281"/>
        <v>332</v>
      </c>
      <c r="CV151" s="85">
        <f t="shared" si="282"/>
        <v>209</v>
      </c>
      <c r="CW151" s="85">
        <f t="shared" si="283"/>
        <v>230</v>
      </c>
      <c r="CX151" s="85">
        <f t="shared" si="284"/>
        <v>321</v>
      </c>
      <c r="CY151" s="86">
        <f t="shared" si="285"/>
        <v>190</v>
      </c>
      <c r="CZ151" s="87">
        <f t="shared" si="286"/>
        <v>204</v>
      </c>
      <c r="DA151" s="87">
        <f t="shared" si="287"/>
        <v>271</v>
      </c>
      <c r="DB151" s="87">
        <f t="shared" si="288"/>
        <v>207</v>
      </c>
      <c r="DC151" s="87">
        <f t="shared" si="289"/>
        <v>264</v>
      </c>
      <c r="DD151" s="87">
        <f t="shared" si="290"/>
        <v>314</v>
      </c>
      <c r="DE151" s="87">
        <f t="shared" si="291"/>
        <v>304</v>
      </c>
      <c r="DF151" s="87">
        <f t="shared" si="292"/>
        <v>362</v>
      </c>
      <c r="DG151" s="87">
        <f t="shared" si="293"/>
        <v>246</v>
      </c>
      <c r="DH151" s="87">
        <f t="shared" si="294"/>
        <v>193</v>
      </c>
      <c r="DI151" s="87">
        <f t="shared" si="295"/>
        <v>228</v>
      </c>
      <c r="DJ151" s="87">
        <f t="shared" si="296"/>
        <v>237</v>
      </c>
      <c r="DK151" s="86">
        <f t="shared" si="297"/>
        <v>161</v>
      </c>
      <c r="DL151" s="87">
        <f t="shared" si="298"/>
        <v>189</v>
      </c>
      <c r="DM151" s="87">
        <f t="shared" si="299"/>
        <v>174</v>
      </c>
      <c r="DN151" s="87">
        <f t="shared" si="300"/>
        <v>186</v>
      </c>
      <c r="DO151" s="87">
        <f t="shared" si="301"/>
        <v>271</v>
      </c>
      <c r="DP151" s="87">
        <f t="shared" si="302"/>
        <v>251</v>
      </c>
      <c r="DQ151" s="87">
        <f t="shared" si="303"/>
        <v>282</v>
      </c>
      <c r="DR151" s="87">
        <f t="shared" si="218"/>
        <v>234</v>
      </c>
      <c r="DS151" s="87">
        <f t="shared" si="243"/>
        <v>245</v>
      </c>
      <c r="DT151" s="87">
        <f t="shared" si="304"/>
        <v>190</v>
      </c>
      <c r="DU151" s="87">
        <f t="shared" si="305"/>
        <v>200.55555555555554</v>
      </c>
      <c r="DV151" s="87">
        <f t="shared" si="306"/>
        <v>0</v>
      </c>
      <c r="DW151" s="87">
        <f t="shared" si="307"/>
        <v>0</v>
      </c>
    </row>
    <row r="152" spans="1:127">
      <c r="A152" s="22" t="s">
        <v>15</v>
      </c>
      <c r="B152" s="26">
        <v>9300618556519</v>
      </c>
      <c r="C152" s="22" t="s">
        <v>16</v>
      </c>
      <c r="D152" s="46" t="s">
        <v>102</v>
      </c>
      <c r="E152" s="22">
        <v>857684</v>
      </c>
      <c r="F152" s="80" t="s">
        <v>256</v>
      </c>
      <c r="G152" s="25">
        <v>243.06666666666669</v>
      </c>
      <c r="H152" s="85">
        <f t="shared" si="248"/>
        <v>62711.200000000004</v>
      </c>
      <c r="I152" s="85">
        <f t="shared" si="249"/>
        <v>94066.8</v>
      </c>
      <c r="J152" s="85">
        <f t="shared" si="250"/>
        <v>59065.200000000004</v>
      </c>
      <c r="K152" s="85">
        <f t="shared" si="251"/>
        <v>51773.200000000004</v>
      </c>
      <c r="L152" s="85">
        <f t="shared" si="252"/>
        <v>80455.06666666668</v>
      </c>
      <c r="M152" s="86">
        <f t="shared" si="253"/>
        <v>50557.866666666669</v>
      </c>
      <c r="N152" s="87">
        <f t="shared" si="254"/>
        <v>36216.933333333334</v>
      </c>
      <c r="O152" s="87">
        <f t="shared" si="255"/>
        <v>52988.53333333334</v>
      </c>
      <c r="P152" s="87">
        <f t="shared" si="256"/>
        <v>45696.53333333334</v>
      </c>
      <c r="Q152" s="87">
        <f t="shared" si="257"/>
        <v>59065.200000000004</v>
      </c>
      <c r="R152" s="87">
        <f t="shared" si="258"/>
        <v>96011.333333333343</v>
      </c>
      <c r="S152" s="87">
        <f t="shared" si="259"/>
        <v>84344.133333333346</v>
      </c>
      <c r="T152" s="87">
        <f t="shared" si="260"/>
        <v>96254.400000000009</v>
      </c>
      <c r="U152" s="87">
        <f t="shared" si="261"/>
        <v>62711.200000000004</v>
      </c>
      <c r="V152" s="87">
        <f t="shared" si="262"/>
        <v>45939.600000000006</v>
      </c>
      <c r="W152" s="87">
        <f t="shared" si="263"/>
        <v>40835.200000000004</v>
      </c>
      <c r="X152" s="87">
        <f t="shared" si="264"/>
        <v>65141.866666666676</v>
      </c>
      <c r="Y152" s="86">
        <f t="shared" si="265"/>
        <v>39862.933333333334</v>
      </c>
      <c r="Z152" s="87">
        <f t="shared" si="266"/>
        <v>59551.333333333336</v>
      </c>
      <c r="AA152" s="87">
        <f t="shared" si="267"/>
        <v>50314.8</v>
      </c>
      <c r="AB152" s="87">
        <f t="shared" si="268"/>
        <v>53474.666666666672</v>
      </c>
      <c r="AC152" s="87">
        <f t="shared" si="269"/>
        <v>78024.400000000009</v>
      </c>
      <c r="AD152" s="87">
        <f t="shared" si="270"/>
        <v>78753.600000000006</v>
      </c>
      <c r="AE152" s="87">
        <f t="shared" si="271"/>
        <v>95768.266666666677</v>
      </c>
      <c r="AF152" s="87">
        <f t="shared" si="272"/>
        <v>74864.53333333334</v>
      </c>
      <c r="AG152" s="87">
        <f t="shared" si="273"/>
        <v>61738.933333333342</v>
      </c>
      <c r="AH152" s="87">
        <f t="shared" si="274"/>
        <v>48127.200000000004</v>
      </c>
      <c r="AI152" s="87">
        <f t="shared" si="275"/>
        <v>57471.762962962974</v>
      </c>
      <c r="AJ152" s="87">
        <f t="shared" si="276"/>
        <v>0</v>
      </c>
      <c r="AK152" s="86">
        <f t="shared" si="277"/>
        <v>0</v>
      </c>
      <c r="AL152" s="85">
        <v>247</v>
      </c>
      <c r="AM152" s="85">
        <v>371</v>
      </c>
      <c r="AN152" s="85">
        <v>228</v>
      </c>
      <c r="AO152" s="85">
        <v>200</v>
      </c>
      <c r="AP152" s="85">
        <v>324</v>
      </c>
      <c r="AQ152" s="86">
        <v>190</v>
      </c>
      <c r="AR152" s="87">
        <v>136</v>
      </c>
      <c r="AS152" s="87">
        <v>195</v>
      </c>
      <c r="AT152" s="87">
        <v>180</v>
      </c>
      <c r="AU152" s="87">
        <v>226</v>
      </c>
      <c r="AV152" s="87">
        <v>349</v>
      </c>
      <c r="AW152" s="87">
        <v>338</v>
      </c>
      <c r="AX152" s="87">
        <v>384</v>
      </c>
      <c r="AY152" s="87">
        <v>238</v>
      </c>
      <c r="AZ152" s="87">
        <v>175</v>
      </c>
      <c r="BA152" s="87">
        <v>151</v>
      </c>
      <c r="BB152" s="87">
        <v>252</v>
      </c>
      <c r="BC152" s="86">
        <v>155</v>
      </c>
      <c r="BD152" s="87">
        <v>229</v>
      </c>
      <c r="BE152" s="87">
        <v>202</v>
      </c>
      <c r="BF152" s="87">
        <v>199</v>
      </c>
      <c r="BG152" s="87">
        <v>308</v>
      </c>
      <c r="BH152" s="87">
        <v>302</v>
      </c>
      <c r="BI152" s="87">
        <v>372</v>
      </c>
      <c r="BJ152" s="40">
        <v>298</v>
      </c>
      <c r="BK152" s="40">
        <v>248</v>
      </c>
      <c r="BL152" s="40">
        <v>192</v>
      </c>
      <c r="BM152" s="40">
        <v>223</v>
      </c>
      <c r="BN152" s="87"/>
      <c r="BO152" s="86"/>
      <c r="BP152" s="21">
        <v>11</v>
      </c>
      <c r="BQ152" s="21">
        <v>16</v>
      </c>
      <c r="BR152" s="21">
        <v>15</v>
      </c>
      <c r="BS152" s="21">
        <v>13</v>
      </c>
      <c r="BT152" s="21">
        <v>7</v>
      </c>
      <c r="BU152" s="42">
        <v>18</v>
      </c>
      <c r="BV152" s="21">
        <v>13</v>
      </c>
      <c r="BW152" s="21">
        <v>23</v>
      </c>
      <c r="BX152" s="21">
        <v>8</v>
      </c>
      <c r="BY152" s="21">
        <v>17</v>
      </c>
      <c r="BZ152" s="21">
        <v>46</v>
      </c>
      <c r="CA152" s="21">
        <v>9</v>
      </c>
      <c r="CB152" s="21">
        <v>12</v>
      </c>
      <c r="CC152" s="21">
        <v>20</v>
      </c>
      <c r="CD152" s="21">
        <v>14</v>
      </c>
      <c r="CE152" s="21">
        <v>17</v>
      </c>
      <c r="CF152" s="21">
        <v>16</v>
      </c>
      <c r="CG152" s="42">
        <v>9</v>
      </c>
      <c r="CH152" s="21">
        <v>16</v>
      </c>
      <c r="CI152" s="21">
        <v>5</v>
      </c>
      <c r="CJ152" s="21">
        <v>21</v>
      </c>
      <c r="CK152" s="21">
        <v>13</v>
      </c>
      <c r="CL152" s="21">
        <v>22</v>
      </c>
      <c r="CM152" s="21">
        <v>22</v>
      </c>
      <c r="CN152" s="21">
        <v>10</v>
      </c>
      <c r="CO152" s="21">
        <v>6</v>
      </c>
      <c r="CP152" s="21">
        <f t="shared" si="278"/>
        <v>6</v>
      </c>
      <c r="CQ152" s="344">
        <f t="shared" si="279"/>
        <v>13.444444444444445</v>
      </c>
      <c r="CR152" s="87"/>
      <c r="CS152" s="86"/>
      <c r="CT152" s="85">
        <f t="shared" si="280"/>
        <v>258</v>
      </c>
      <c r="CU152" s="85">
        <f t="shared" si="281"/>
        <v>387</v>
      </c>
      <c r="CV152" s="85">
        <f t="shared" si="282"/>
        <v>243</v>
      </c>
      <c r="CW152" s="85">
        <f t="shared" si="283"/>
        <v>213</v>
      </c>
      <c r="CX152" s="85">
        <f t="shared" si="284"/>
        <v>331</v>
      </c>
      <c r="CY152" s="86">
        <f t="shared" si="285"/>
        <v>208</v>
      </c>
      <c r="CZ152" s="87">
        <f t="shared" si="286"/>
        <v>149</v>
      </c>
      <c r="DA152" s="87">
        <f t="shared" si="287"/>
        <v>218</v>
      </c>
      <c r="DB152" s="87">
        <f t="shared" si="288"/>
        <v>188</v>
      </c>
      <c r="DC152" s="87">
        <f t="shared" si="289"/>
        <v>243</v>
      </c>
      <c r="DD152" s="87">
        <f t="shared" si="290"/>
        <v>395</v>
      </c>
      <c r="DE152" s="87">
        <f t="shared" si="291"/>
        <v>347</v>
      </c>
      <c r="DF152" s="87">
        <f t="shared" si="292"/>
        <v>396</v>
      </c>
      <c r="DG152" s="87">
        <f t="shared" si="293"/>
        <v>258</v>
      </c>
      <c r="DH152" s="87">
        <f t="shared" si="294"/>
        <v>189</v>
      </c>
      <c r="DI152" s="87">
        <f t="shared" si="295"/>
        <v>168</v>
      </c>
      <c r="DJ152" s="87">
        <f t="shared" si="296"/>
        <v>268</v>
      </c>
      <c r="DK152" s="86">
        <f t="shared" si="297"/>
        <v>164</v>
      </c>
      <c r="DL152" s="87">
        <f t="shared" si="298"/>
        <v>245</v>
      </c>
      <c r="DM152" s="87">
        <f t="shared" si="299"/>
        <v>207</v>
      </c>
      <c r="DN152" s="87">
        <f t="shared" si="300"/>
        <v>220</v>
      </c>
      <c r="DO152" s="87">
        <f t="shared" si="301"/>
        <v>321</v>
      </c>
      <c r="DP152" s="87">
        <f t="shared" si="302"/>
        <v>324</v>
      </c>
      <c r="DQ152" s="87">
        <f t="shared" si="303"/>
        <v>394</v>
      </c>
      <c r="DR152" s="87">
        <f t="shared" si="218"/>
        <v>308</v>
      </c>
      <c r="DS152" s="87">
        <f t="shared" si="243"/>
        <v>254</v>
      </c>
      <c r="DT152" s="87">
        <f t="shared" si="304"/>
        <v>198</v>
      </c>
      <c r="DU152" s="87">
        <f t="shared" si="305"/>
        <v>236.44444444444446</v>
      </c>
      <c r="DV152" s="87">
        <f t="shared" si="306"/>
        <v>0</v>
      </c>
      <c r="DW152" s="87">
        <f t="shared" si="307"/>
        <v>0</v>
      </c>
    </row>
    <row r="153" spans="1:127">
      <c r="A153" s="22" t="s">
        <v>15</v>
      </c>
      <c r="B153" s="26">
        <v>4902430509695</v>
      </c>
      <c r="C153" s="22" t="s">
        <v>16</v>
      </c>
      <c r="D153" s="46" t="s">
        <v>102</v>
      </c>
      <c r="E153" s="22">
        <v>160746</v>
      </c>
      <c r="F153" s="80" t="s">
        <v>257</v>
      </c>
      <c r="G153" s="25">
        <v>214.22333333333333</v>
      </c>
      <c r="H153" s="85">
        <f t="shared" si="248"/>
        <v>79905.30333333333</v>
      </c>
      <c r="I153" s="85">
        <f t="shared" si="249"/>
        <v>106683.22</v>
      </c>
      <c r="J153" s="85">
        <f t="shared" si="250"/>
        <v>78191.516666666663</v>
      </c>
      <c r="K153" s="85">
        <f t="shared" si="251"/>
        <v>79476.856666666659</v>
      </c>
      <c r="L153" s="85">
        <f t="shared" si="252"/>
        <v>104326.76333333334</v>
      </c>
      <c r="M153" s="86">
        <f t="shared" si="253"/>
        <v>76906.176666666666</v>
      </c>
      <c r="N153" s="87">
        <f t="shared" si="254"/>
        <v>82904.429999999993</v>
      </c>
      <c r="O153" s="87">
        <f t="shared" si="255"/>
        <v>85475.11</v>
      </c>
      <c r="P153" s="87">
        <f t="shared" si="256"/>
        <v>67694.573333333334</v>
      </c>
      <c r="Q153" s="87">
        <f t="shared" si="257"/>
        <v>99185.403333333335</v>
      </c>
      <c r="R153" s="87">
        <f t="shared" si="258"/>
        <v>88045.79</v>
      </c>
      <c r="S153" s="87">
        <f t="shared" si="259"/>
        <v>100684.96666666666</v>
      </c>
      <c r="T153" s="87">
        <f t="shared" si="260"/>
        <v>107754.33666666667</v>
      </c>
      <c r="U153" s="87">
        <f t="shared" si="261"/>
        <v>105826.32666666666</v>
      </c>
      <c r="V153" s="87">
        <f t="shared" si="262"/>
        <v>88902.683333333334</v>
      </c>
      <c r="W153" s="87">
        <f t="shared" si="263"/>
        <v>106683.22</v>
      </c>
      <c r="X153" s="87">
        <f t="shared" si="264"/>
        <v>122107.3</v>
      </c>
      <c r="Y153" s="86">
        <f t="shared" si="265"/>
        <v>78405.740000000005</v>
      </c>
      <c r="Z153" s="87">
        <f t="shared" si="266"/>
        <v>93829.819999999992</v>
      </c>
      <c r="AA153" s="87">
        <f t="shared" si="267"/>
        <v>90402.246666666659</v>
      </c>
      <c r="AB153" s="87">
        <f t="shared" si="268"/>
        <v>107540.11333333333</v>
      </c>
      <c r="AC153" s="87">
        <f t="shared" si="269"/>
        <v>151670.12</v>
      </c>
      <c r="AD153" s="87">
        <f t="shared" si="270"/>
        <v>106683.22</v>
      </c>
      <c r="AE153" s="87">
        <f t="shared" si="271"/>
        <v>161738.61666666667</v>
      </c>
      <c r="AF153" s="87">
        <f t="shared" si="272"/>
        <v>105183.65666666666</v>
      </c>
      <c r="AG153" s="87">
        <f t="shared" si="273"/>
        <v>88474.236666666664</v>
      </c>
      <c r="AH153" s="87">
        <f t="shared" si="274"/>
        <v>73907.05</v>
      </c>
      <c r="AI153" s="87">
        <f t="shared" si="275"/>
        <v>104659.99962962963</v>
      </c>
      <c r="AJ153" s="87">
        <f t="shared" si="276"/>
        <v>0</v>
      </c>
      <c r="AK153" s="86">
        <f t="shared" si="277"/>
        <v>0</v>
      </c>
      <c r="AL153" s="85">
        <v>330</v>
      </c>
      <c r="AM153" s="85">
        <v>467</v>
      </c>
      <c r="AN153" s="85">
        <v>297</v>
      </c>
      <c r="AO153" s="85">
        <v>351</v>
      </c>
      <c r="AP153" s="85">
        <v>453</v>
      </c>
      <c r="AQ153" s="86">
        <v>322</v>
      </c>
      <c r="AR153" s="87">
        <v>350</v>
      </c>
      <c r="AS153" s="87">
        <v>348</v>
      </c>
      <c r="AT153" s="87">
        <v>263</v>
      </c>
      <c r="AU153" s="87">
        <v>413</v>
      </c>
      <c r="AV153" s="87">
        <v>342</v>
      </c>
      <c r="AW153" s="87">
        <v>438</v>
      </c>
      <c r="AX153" s="87">
        <v>466</v>
      </c>
      <c r="AY153" s="87">
        <v>328</v>
      </c>
      <c r="AZ153" s="87">
        <v>327</v>
      </c>
      <c r="BA153" s="87">
        <v>386</v>
      </c>
      <c r="BB153" s="87">
        <v>509</v>
      </c>
      <c r="BC153" s="86">
        <v>294</v>
      </c>
      <c r="BD153" s="87">
        <v>352</v>
      </c>
      <c r="BE153" s="87">
        <v>336</v>
      </c>
      <c r="BF153" s="87">
        <v>353</v>
      </c>
      <c r="BG153" s="87">
        <v>526</v>
      </c>
      <c r="BH153" s="87">
        <v>375</v>
      </c>
      <c r="BI153" s="87">
        <v>693</v>
      </c>
      <c r="BJ153" s="40">
        <v>391</v>
      </c>
      <c r="BK153" s="40">
        <v>386</v>
      </c>
      <c r="BL153" s="40">
        <v>318</v>
      </c>
      <c r="BM153" s="40">
        <v>395</v>
      </c>
      <c r="BN153" s="87"/>
      <c r="BO153" s="86"/>
      <c r="BP153" s="21">
        <v>43</v>
      </c>
      <c r="BQ153" s="21">
        <v>31</v>
      </c>
      <c r="BR153" s="21">
        <v>68</v>
      </c>
      <c r="BS153" s="21">
        <v>20</v>
      </c>
      <c r="BT153" s="21">
        <v>34</v>
      </c>
      <c r="BU153" s="42">
        <v>37</v>
      </c>
      <c r="BV153" s="21">
        <v>37</v>
      </c>
      <c r="BW153" s="21">
        <v>51</v>
      </c>
      <c r="BX153" s="21">
        <v>53</v>
      </c>
      <c r="BY153" s="21">
        <v>50</v>
      </c>
      <c r="BZ153" s="21">
        <v>69</v>
      </c>
      <c r="CA153" s="21">
        <v>32</v>
      </c>
      <c r="CB153" s="21">
        <v>37</v>
      </c>
      <c r="CC153" s="21">
        <v>166</v>
      </c>
      <c r="CD153" s="21">
        <v>88</v>
      </c>
      <c r="CE153" s="21">
        <v>112</v>
      </c>
      <c r="CF153" s="21">
        <v>61</v>
      </c>
      <c r="CG153" s="42">
        <v>72</v>
      </c>
      <c r="CH153" s="21">
        <v>86</v>
      </c>
      <c r="CI153" s="21">
        <v>86</v>
      </c>
      <c r="CJ153" s="21">
        <v>149</v>
      </c>
      <c r="CK153" s="21">
        <v>182</v>
      </c>
      <c r="CL153" s="21">
        <v>123</v>
      </c>
      <c r="CM153" s="21">
        <v>62</v>
      </c>
      <c r="CN153" s="21">
        <v>100</v>
      </c>
      <c r="CO153" s="21">
        <v>27</v>
      </c>
      <c r="CP153" s="21">
        <f t="shared" si="278"/>
        <v>27</v>
      </c>
      <c r="CQ153" s="344">
        <f t="shared" si="279"/>
        <v>93.555555555555557</v>
      </c>
      <c r="CR153" s="87"/>
      <c r="CS153" s="86"/>
      <c r="CT153" s="85">
        <f t="shared" si="280"/>
        <v>373</v>
      </c>
      <c r="CU153" s="85">
        <f t="shared" si="281"/>
        <v>498</v>
      </c>
      <c r="CV153" s="85">
        <f t="shared" si="282"/>
        <v>365</v>
      </c>
      <c r="CW153" s="85">
        <f t="shared" si="283"/>
        <v>371</v>
      </c>
      <c r="CX153" s="85">
        <f t="shared" si="284"/>
        <v>487</v>
      </c>
      <c r="CY153" s="86">
        <f t="shared" si="285"/>
        <v>359</v>
      </c>
      <c r="CZ153" s="87">
        <f t="shared" si="286"/>
        <v>387</v>
      </c>
      <c r="DA153" s="87">
        <f t="shared" si="287"/>
        <v>399</v>
      </c>
      <c r="DB153" s="87">
        <f t="shared" si="288"/>
        <v>316</v>
      </c>
      <c r="DC153" s="87">
        <f t="shared" si="289"/>
        <v>463</v>
      </c>
      <c r="DD153" s="87">
        <f t="shared" si="290"/>
        <v>411</v>
      </c>
      <c r="DE153" s="87">
        <f t="shared" si="291"/>
        <v>470</v>
      </c>
      <c r="DF153" s="87">
        <f t="shared" si="292"/>
        <v>503</v>
      </c>
      <c r="DG153" s="87">
        <f t="shared" si="293"/>
        <v>494</v>
      </c>
      <c r="DH153" s="87">
        <f t="shared" si="294"/>
        <v>415</v>
      </c>
      <c r="DI153" s="87">
        <f t="shared" si="295"/>
        <v>498</v>
      </c>
      <c r="DJ153" s="87">
        <f t="shared" si="296"/>
        <v>570</v>
      </c>
      <c r="DK153" s="86">
        <f t="shared" si="297"/>
        <v>366</v>
      </c>
      <c r="DL153" s="87">
        <f t="shared" si="298"/>
        <v>438</v>
      </c>
      <c r="DM153" s="87">
        <f t="shared" si="299"/>
        <v>422</v>
      </c>
      <c r="DN153" s="87">
        <f t="shared" si="300"/>
        <v>502</v>
      </c>
      <c r="DO153" s="87">
        <f t="shared" si="301"/>
        <v>708</v>
      </c>
      <c r="DP153" s="87">
        <f t="shared" si="302"/>
        <v>498</v>
      </c>
      <c r="DQ153" s="87">
        <f t="shared" si="303"/>
        <v>755</v>
      </c>
      <c r="DR153" s="87">
        <f t="shared" si="218"/>
        <v>491</v>
      </c>
      <c r="DS153" s="87">
        <f t="shared" si="243"/>
        <v>413</v>
      </c>
      <c r="DT153" s="87">
        <f t="shared" si="304"/>
        <v>345</v>
      </c>
      <c r="DU153" s="87">
        <f t="shared" si="305"/>
        <v>488.55555555555554</v>
      </c>
      <c r="DV153" s="87">
        <f t="shared" si="306"/>
        <v>0</v>
      </c>
      <c r="DW153" s="87">
        <f t="shared" si="307"/>
        <v>0</v>
      </c>
    </row>
    <row r="154" spans="1:127">
      <c r="A154" s="22" t="s">
        <v>15</v>
      </c>
      <c r="B154" s="26">
        <v>4902430056496</v>
      </c>
      <c r="C154" s="22" t="s">
        <v>16</v>
      </c>
      <c r="D154" s="46" t="s">
        <v>102</v>
      </c>
      <c r="E154" s="22">
        <v>343679</v>
      </c>
      <c r="F154" s="80" t="s">
        <v>258</v>
      </c>
      <c r="G154" s="25">
        <v>298</v>
      </c>
      <c r="H154" s="85">
        <f t="shared" si="248"/>
        <v>74500</v>
      </c>
      <c r="I154" s="85">
        <f t="shared" si="249"/>
        <v>126948</v>
      </c>
      <c r="J154" s="85">
        <f t="shared" si="250"/>
        <v>110260</v>
      </c>
      <c r="K154" s="85">
        <f t="shared" si="251"/>
        <v>97148</v>
      </c>
      <c r="L154" s="85">
        <f t="shared" si="252"/>
        <v>113240</v>
      </c>
      <c r="M154" s="86">
        <f t="shared" si="253"/>
        <v>77778</v>
      </c>
      <c r="N154" s="87">
        <f t="shared" si="254"/>
        <v>70626</v>
      </c>
      <c r="O154" s="87">
        <f t="shared" si="255"/>
        <v>83440</v>
      </c>
      <c r="P154" s="87">
        <f t="shared" si="256"/>
        <v>109366</v>
      </c>
      <c r="Q154" s="87">
        <f t="shared" si="257"/>
        <v>98340</v>
      </c>
      <c r="R154" s="87">
        <f t="shared" si="258"/>
        <v>74202</v>
      </c>
      <c r="S154" s="87">
        <f t="shared" si="259"/>
        <v>72116</v>
      </c>
      <c r="T154" s="87">
        <f t="shared" si="260"/>
        <v>76288</v>
      </c>
      <c r="U154" s="87">
        <f t="shared" si="261"/>
        <v>56322</v>
      </c>
      <c r="V154" s="87">
        <f t="shared" si="262"/>
        <v>39932</v>
      </c>
      <c r="W154" s="87">
        <f t="shared" si="263"/>
        <v>55726</v>
      </c>
      <c r="X154" s="87">
        <f t="shared" si="264"/>
        <v>71520</v>
      </c>
      <c r="Y154" s="86">
        <f t="shared" si="265"/>
        <v>43806</v>
      </c>
      <c r="Z154" s="87">
        <f t="shared" si="266"/>
        <v>45892</v>
      </c>
      <c r="AA154" s="87">
        <f t="shared" si="267"/>
        <v>42614</v>
      </c>
      <c r="AB154" s="87">
        <f t="shared" si="268"/>
        <v>47680</v>
      </c>
      <c r="AC154" s="87">
        <f t="shared" si="269"/>
        <v>73010</v>
      </c>
      <c r="AD154" s="87">
        <f t="shared" si="270"/>
        <v>56918</v>
      </c>
      <c r="AE154" s="87">
        <f t="shared" si="271"/>
        <v>62878</v>
      </c>
      <c r="AF154" s="87">
        <f t="shared" si="272"/>
        <v>49766</v>
      </c>
      <c r="AG154" s="87">
        <f t="shared" si="273"/>
        <v>47680</v>
      </c>
      <c r="AH154" s="87">
        <f t="shared" si="274"/>
        <v>39932</v>
      </c>
      <c r="AI154" s="87">
        <f t="shared" si="275"/>
        <v>58706</v>
      </c>
      <c r="AJ154" s="87">
        <f t="shared" si="276"/>
        <v>0</v>
      </c>
      <c r="AK154" s="86">
        <f t="shared" si="277"/>
        <v>0</v>
      </c>
      <c r="AL154" s="85">
        <v>237</v>
      </c>
      <c r="AM154" s="85">
        <v>409</v>
      </c>
      <c r="AN154" s="85">
        <v>276</v>
      </c>
      <c r="AO154" s="85">
        <v>279</v>
      </c>
      <c r="AP154" s="85">
        <v>337</v>
      </c>
      <c r="AQ154" s="86">
        <v>222</v>
      </c>
      <c r="AR154" s="87">
        <v>203</v>
      </c>
      <c r="AS154" s="87">
        <v>246</v>
      </c>
      <c r="AT154" s="87">
        <v>304</v>
      </c>
      <c r="AU154" s="87">
        <v>285</v>
      </c>
      <c r="AV154" s="87">
        <v>212</v>
      </c>
      <c r="AW154" s="87">
        <v>239</v>
      </c>
      <c r="AX154" s="87">
        <v>241</v>
      </c>
      <c r="AY154" s="87">
        <v>176</v>
      </c>
      <c r="AZ154" s="87">
        <v>130</v>
      </c>
      <c r="BA154" s="87">
        <v>174</v>
      </c>
      <c r="BB154" s="87">
        <v>233</v>
      </c>
      <c r="BC154" s="86">
        <v>141</v>
      </c>
      <c r="BD154" s="87">
        <v>142</v>
      </c>
      <c r="BE154" s="87">
        <v>135</v>
      </c>
      <c r="BF154" s="87">
        <v>146</v>
      </c>
      <c r="BG154" s="87">
        <v>232</v>
      </c>
      <c r="BH154" s="87">
        <v>184</v>
      </c>
      <c r="BI154" s="87">
        <v>203</v>
      </c>
      <c r="BJ154" s="40">
        <v>154</v>
      </c>
      <c r="BK154" s="40">
        <v>157</v>
      </c>
      <c r="BL154" s="40">
        <v>131</v>
      </c>
      <c r="BM154" s="40">
        <v>188</v>
      </c>
      <c r="BN154" s="87"/>
      <c r="BO154" s="86"/>
      <c r="BP154" s="21">
        <v>13</v>
      </c>
      <c r="BQ154" s="21">
        <v>17</v>
      </c>
      <c r="BR154" s="21">
        <v>94</v>
      </c>
      <c r="BS154" s="21">
        <v>47</v>
      </c>
      <c r="BT154" s="21">
        <v>43</v>
      </c>
      <c r="BU154" s="42">
        <v>39</v>
      </c>
      <c r="BV154" s="21">
        <v>34</v>
      </c>
      <c r="BW154" s="21">
        <v>34</v>
      </c>
      <c r="BX154" s="21">
        <v>63</v>
      </c>
      <c r="BY154" s="21">
        <v>45</v>
      </c>
      <c r="BZ154" s="21">
        <v>37</v>
      </c>
      <c r="CA154" s="21">
        <v>3</v>
      </c>
      <c r="CB154" s="21">
        <v>15</v>
      </c>
      <c r="CC154" s="21">
        <v>13</v>
      </c>
      <c r="CD154" s="21">
        <v>4</v>
      </c>
      <c r="CE154" s="21">
        <v>13</v>
      </c>
      <c r="CF154" s="21">
        <v>7</v>
      </c>
      <c r="CG154" s="42">
        <v>6</v>
      </c>
      <c r="CH154" s="21">
        <v>12</v>
      </c>
      <c r="CI154" s="21">
        <v>8</v>
      </c>
      <c r="CJ154" s="21">
        <v>14</v>
      </c>
      <c r="CK154" s="21">
        <v>13</v>
      </c>
      <c r="CL154" s="21">
        <v>7</v>
      </c>
      <c r="CM154" s="21">
        <v>8</v>
      </c>
      <c r="CN154" s="21">
        <v>13</v>
      </c>
      <c r="CO154" s="21">
        <v>3</v>
      </c>
      <c r="CP154" s="21">
        <f t="shared" si="278"/>
        <v>3</v>
      </c>
      <c r="CQ154" s="344">
        <f t="shared" si="279"/>
        <v>9</v>
      </c>
      <c r="CR154" s="87"/>
      <c r="CS154" s="86"/>
      <c r="CT154" s="85">
        <f t="shared" si="280"/>
        <v>250</v>
      </c>
      <c r="CU154" s="85">
        <f t="shared" si="281"/>
        <v>426</v>
      </c>
      <c r="CV154" s="85">
        <f t="shared" si="282"/>
        <v>370</v>
      </c>
      <c r="CW154" s="85">
        <f t="shared" si="283"/>
        <v>326</v>
      </c>
      <c r="CX154" s="85">
        <f t="shared" si="284"/>
        <v>380</v>
      </c>
      <c r="CY154" s="86">
        <f t="shared" si="285"/>
        <v>261</v>
      </c>
      <c r="CZ154" s="87">
        <f t="shared" si="286"/>
        <v>237</v>
      </c>
      <c r="DA154" s="87">
        <f t="shared" si="287"/>
        <v>280</v>
      </c>
      <c r="DB154" s="87">
        <f t="shared" si="288"/>
        <v>367</v>
      </c>
      <c r="DC154" s="87">
        <f t="shared" si="289"/>
        <v>330</v>
      </c>
      <c r="DD154" s="87">
        <f t="shared" si="290"/>
        <v>249</v>
      </c>
      <c r="DE154" s="87">
        <f t="shared" si="291"/>
        <v>242</v>
      </c>
      <c r="DF154" s="87">
        <f t="shared" si="292"/>
        <v>256</v>
      </c>
      <c r="DG154" s="87">
        <f t="shared" si="293"/>
        <v>189</v>
      </c>
      <c r="DH154" s="87">
        <f t="shared" si="294"/>
        <v>134</v>
      </c>
      <c r="DI154" s="87">
        <f t="shared" si="295"/>
        <v>187</v>
      </c>
      <c r="DJ154" s="87">
        <f t="shared" si="296"/>
        <v>240</v>
      </c>
      <c r="DK154" s="86">
        <f t="shared" si="297"/>
        <v>147</v>
      </c>
      <c r="DL154" s="87">
        <f t="shared" si="298"/>
        <v>154</v>
      </c>
      <c r="DM154" s="87">
        <f t="shared" si="299"/>
        <v>143</v>
      </c>
      <c r="DN154" s="87">
        <f t="shared" si="300"/>
        <v>160</v>
      </c>
      <c r="DO154" s="87">
        <f t="shared" si="301"/>
        <v>245</v>
      </c>
      <c r="DP154" s="87">
        <f t="shared" si="302"/>
        <v>191</v>
      </c>
      <c r="DQ154" s="87">
        <f t="shared" si="303"/>
        <v>211</v>
      </c>
      <c r="DR154" s="87">
        <f t="shared" si="218"/>
        <v>167</v>
      </c>
      <c r="DS154" s="87">
        <f t="shared" si="243"/>
        <v>160</v>
      </c>
      <c r="DT154" s="87">
        <f t="shared" si="304"/>
        <v>134</v>
      </c>
      <c r="DU154" s="87">
        <f t="shared" si="305"/>
        <v>197</v>
      </c>
      <c r="DV154" s="87">
        <f t="shared" si="306"/>
        <v>0</v>
      </c>
      <c r="DW154" s="87">
        <f t="shared" si="307"/>
        <v>0</v>
      </c>
    </row>
    <row r="155" spans="1:127">
      <c r="A155" s="22" t="s">
        <v>15</v>
      </c>
      <c r="B155" s="26">
        <v>4902430299534</v>
      </c>
      <c r="C155" s="22" t="s">
        <v>16</v>
      </c>
      <c r="D155" s="46" t="s">
        <v>102</v>
      </c>
      <c r="E155" s="22">
        <v>857671</v>
      </c>
      <c r="F155" s="80" t="s">
        <v>259</v>
      </c>
      <c r="G155" s="25">
        <v>243.06666666666669</v>
      </c>
      <c r="H155" s="85">
        <f t="shared" si="248"/>
        <v>53717.733333333337</v>
      </c>
      <c r="I155" s="85">
        <f t="shared" si="249"/>
        <v>69274</v>
      </c>
      <c r="J155" s="85">
        <f t="shared" si="250"/>
        <v>40349.066666666673</v>
      </c>
      <c r="K155" s="85">
        <f t="shared" si="251"/>
        <v>38161.466666666667</v>
      </c>
      <c r="L155" s="85">
        <f t="shared" si="252"/>
        <v>49828.666666666672</v>
      </c>
      <c r="M155" s="86">
        <f t="shared" si="253"/>
        <v>35730.800000000003</v>
      </c>
      <c r="N155" s="87">
        <f t="shared" si="254"/>
        <v>29411.066666666669</v>
      </c>
      <c r="O155" s="87">
        <f t="shared" si="255"/>
        <v>35730.800000000003</v>
      </c>
      <c r="P155" s="87">
        <f t="shared" si="256"/>
        <v>33786.26666666667</v>
      </c>
      <c r="Q155" s="87">
        <f t="shared" si="257"/>
        <v>48613.333333333336</v>
      </c>
      <c r="R155" s="87">
        <f t="shared" si="258"/>
        <v>75593.733333333337</v>
      </c>
      <c r="S155" s="87">
        <f t="shared" si="259"/>
        <v>79725.866666666669</v>
      </c>
      <c r="T155" s="87">
        <f t="shared" si="260"/>
        <v>103546.40000000001</v>
      </c>
      <c r="U155" s="87">
        <f t="shared" si="261"/>
        <v>63197.333333333343</v>
      </c>
      <c r="V155" s="87">
        <f t="shared" si="262"/>
        <v>56634.53333333334</v>
      </c>
      <c r="W155" s="87">
        <f t="shared" si="263"/>
        <v>50314.8</v>
      </c>
      <c r="X155" s="87">
        <f t="shared" si="264"/>
        <v>51044.000000000007</v>
      </c>
      <c r="Y155" s="86">
        <f t="shared" si="265"/>
        <v>37918.400000000001</v>
      </c>
      <c r="Z155" s="87">
        <f t="shared" si="266"/>
        <v>42779.733333333337</v>
      </c>
      <c r="AA155" s="87">
        <f t="shared" si="267"/>
        <v>36460.000000000007</v>
      </c>
      <c r="AB155" s="87">
        <f t="shared" si="268"/>
        <v>38647.600000000006</v>
      </c>
      <c r="AC155" s="87">
        <f t="shared" si="269"/>
        <v>57849.866666666676</v>
      </c>
      <c r="AD155" s="87">
        <f t="shared" si="270"/>
        <v>41807.466666666674</v>
      </c>
      <c r="AE155" s="87">
        <f t="shared" si="271"/>
        <v>49099.466666666674</v>
      </c>
      <c r="AF155" s="87">
        <f t="shared" si="272"/>
        <v>45939.600000000006</v>
      </c>
      <c r="AG155" s="87">
        <f t="shared" si="273"/>
        <v>39133.733333333337</v>
      </c>
      <c r="AH155" s="87">
        <f t="shared" si="274"/>
        <v>30140.26666666667</v>
      </c>
      <c r="AI155" s="87">
        <f t="shared" si="275"/>
        <v>39673.88148148149</v>
      </c>
      <c r="AJ155" s="87">
        <f t="shared" si="276"/>
        <v>0</v>
      </c>
      <c r="AK155" s="86">
        <f t="shared" si="277"/>
        <v>0</v>
      </c>
      <c r="AL155" s="85">
        <v>218</v>
      </c>
      <c r="AM155" s="85">
        <v>279</v>
      </c>
      <c r="AN155" s="85">
        <v>162</v>
      </c>
      <c r="AO155" s="85">
        <v>153</v>
      </c>
      <c r="AP155" s="85">
        <v>202</v>
      </c>
      <c r="AQ155" s="86">
        <v>144</v>
      </c>
      <c r="AR155" s="87">
        <v>118</v>
      </c>
      <c r="AS155" s="87">
        <v>145</v>
      </c>
      <c r="AT155" s="87">
        <v>132</v>
      </c>
      <c r="AU155" s="87">
        <v>190</v>
      </c>
      <c r="AV155" s="87">
        <v>294</v>
      </c>
      <c r="AW155" s="87">
        <v>323</v>
      </c>
      <c r="AX155" s="87">
        <v>423</v>
      </c>
      <c r="AY155" s="87">
        <v>258</v>
      </c>
      <c r="AZ155" s="87">
        <v>224</v>
      </c>
      <c r="BA155" s="87">
        <v>199</v>
      </c>
      <c r="BB155" s="87">
        <v>207</v>
      </c>
      <c r="BC155" s="86">
        <v>150</v>
      </c>
      <c r="BD155" s="87">
        <v>173</v>
      </c>
      <c r="BE155" s="87">
        <v>148</v>
      </c>
      <c r="BF155" s="87">
        <v>149</v>
      </c>
      <c r="BG155" s="87">
        <v>225</v>
      </c>
      <c r="BH155" s="87">
        <v>165</v>
      </c>
      <c r="BI155" s="87">
        <v>198</v>
      </c>
      <c r="BJ155" s="40">
        <v>185</v>
      </c>
      <c r="BK155" s="40">
        <v>159</v>
      </c>
      <c r="BL155" s="40">
        <v>122</v>
      </c>
      <c r="BM155" s="40">
        <v>158</v>
      </c>
      <c r="BN155" s="87"/>
      <c r="BO155" s="86"/>
      <c r="BP155" s="21">
        <v>3</v>
      </c>
      <c r="BQ155" s="21">
        <v>6</v>
      </c>
      <c r="BR155" s="21">
        <v>4</v>
      </c>
      <c r="BS155" s="21">
        <v>4</v>
      </c>
      <c r="BT155" s="21">
        <v>3</v>
      </c>
      <c r="BU155" s="42">
        <v>3</v>
      </c>
      <c r="BV155" s="21">
        <v>3</v>
      </c>
      <c r="BW155" s="21">
        <v>2</v>
      </c>
      <c r="BX155" s="21">
        <v>7</v>
      </c>
      <c r="BY155" s="21">
        <v>10</v>
      </c>
      <c r="BZ155" s="21">
        <v>17</v>
      </c>
      <c r="CA155" s="21">
        <v>5</v>
      </c>
      <c r="CB155" s="21">
        <v>3</v>
      </c>
      <c r="CC155" s="21">
        <v>2</v>
      </c>
      <c r="CD155" s="21">
        <v>9</v>
      </c>
      <c r="CE155" s="21">
        <v>8</v>
      </c>
      <c r="CF155" s="21">
        <v>3</v>
      </c>
      <c r="CG155" s="42">
        <v>6</v>
      </c>
      <c r="CH155" s="21">
        <v>3</v>
      </c>
      <c r="CI155" s="21">
        <v>2</v>
      </c>
      <c r="CJ155" s="21">
        <v>10</v>
      </c>
      <c r="CK155" s="21">
        <v>13</v>
      </c>
      <c r="CL155" s="21">
        <v>7</v>
      </c>
      <c r="CM155" s="21">
        <v>4</v>
      </c>
      <c r="CN155" s="21">
        <v>4</v>
      </c>
      <c r="CO155" s="21">
        <v>2</v>
      </c>
      <c r="CP155" s="21">
        <f t="shared" si="278"/>
        <v>2</v>
      </c>
      <c r="CQ155" s="344">
        <f t="shared" si="279"/>
        <v>5.2222222222222223</v>
      </c>
      <c r="CR155" s="87"/>
      <c r="CS155" s="86"/>
      <c r="CT155" s="85">
        <f t="shared" si="280"/>
        <v>221</v>
      </c>
      <c r="CU155" s="85">
        <f t="shared" si="281"/>
        <v>285</v>
      </c>
      <c r="CV155" s="85">
        <f t="shared" si="282"/>
        <v>166</v>
      </c>
      <c r="CW155" s="85">
        <f t="shared" si="283"/>
        <v>157</v>
      </c>
      <c r="CX155" s="85">
        <f t="shared" si="284"/>
        <v>205</v>
      </c>
      <c r="CY155" s="86">
        <f t="shared" si="285"/>
        <v>147</v>
      </c>
      <c r="CZ155" s="87">
        <f t="shared" si="286"/>
        <v>121</v>
      </c>
      <c r="DA155" s="87">
        <f t="shared" si="287"/>
        <v>147</v>
      </c>
      <c r="DB155" s="87">
        <f t="shared" si="288"/>
        <v>139</v>
      </c>
      <c r="DC155" s="87">
        <f t="shared" si="289"/>
        <v>200</v>
      </c>
      <c r="DD155" s="87">
        <f t="shared" si="290"/>
        <v>311</v>
      </c>
      <c r="DE155" s="87">
        <f t="shared" si="291"/>
        <v>328</v>
      </c>
      <c r="DF155" s="87">
        <f t="shared" si="292"/>
        <v>426</v>
      </c>
      <c r="DG155" s="87">
        <f t="shared" si="293"/>
        <v>260</v>
      </c>
      <c r="DH155" s="87">
        <f t="shared" si="294"/>
        <v>233</v>
      </c>
      <c r="DI155" s="87">
        <f t="shared" si="295"/>
        <v>207</v>
      </c>
      <c r="DJ155" s="87">
        <f t="shared" si="296"/>
        <v>210</v>
      </c>
      <c r="DK155" s="86">
        <f t="shared" si="297"/>
        <v>156</v>
      </c>
      <c r="DL155" s="87">
        <f t="shared" si="298"/>
        <v>176</v>
      </c>
      <c r="DM155" s="87">
        <f t="shared" si="299"/>
        <v>150</v>
      </c>
      <c r="DN155" s="87">
        <f t="shared" si="300"/>
        <v>159</v>
      </c>
      <c r="DO155" s="87">
        <f t="shared" si="301"/>
        <v>238</v>
      </c>
      <c r="DP155" s="87">
        <f t="shared" si="302"/>
        <v>172</v>
      </c>
      <c r="DQ155" s="87">
        <f t="shared" si="303"/>
        <v>202</v>
      </c>
      <c r="DR155" s="87">
        <f t="shared" si="218"/>
        <v>189</v>
      </c>
      <c r="DS155" s="87">
        <f t="shared" si="243"/>
        <v>161</v>
      </c>
      <c r="DT155" s="87">
        <f t="shared" si="304"/>
        <v>124</v>
      </c>
      <c r="DU155" s="87">
        <f t="shared" si="305"/>
        <v>163.22222222222223</v>
      </c>
      <c r="DV155" s="87">
        <f t="shared" si="306"/>
        <v>0</v>
      </c>
      <c r="DW155" s="87">
        <f t="shared" si="307"/>
        <v>0</v>
      </c>
    </row>
    <row r="156" spans="1:127">
      <c r="A156" s="22" t="s">
        <v>15</v>
      </c>
      <c r="B156" s="26">
        <v>4902430506250</v>
      </c>
      <c r="C156" s="22" t="s">
        <v>16</v>
      </c>
      <c r="D156" s="46" t="s">
        <v>102</v>
      </c>
      <c r="E156" s="22">
        <v>152282</v>
      </c>
      <c r="F156" s="80" t="s">
        <v>260</v>
      </c>
      <c r="G156" s="25">
        <v>265.33333333333331</v>
      </c>
      <c r="H156" s="85">
        <f t="shared" si="248"/>
        <v>48290.666666666664</v>
      </c>
      <c r="I156" s="85">
        <f t="shared" si="249"/>
        <v>64475.999999999993</v>
      </c>
      <c r="J156" s="85">
        <f t="shared" si="250"/>
        <v>53862.666666666664</v>
      </c>
      <c r="K156" s="85">
        <f t="shared" si="251"/>
        <v>50413.333333333328</v>
      </c>
      <c r="L156" s="85">
        <f t="shared" si="252"/>
        <v>79600</v>
      </c>
      <c r="M156" s="86">
        <f t="shared" si="253"/>
        <v>57842.666666666664</v>
      </c>
      <c r="N156" s="87">
        <f t="shared" si="254"/>
        <v>46433.333333333328</v>
      </c>
      <c r="O156" s="87">
        <f t="shared" si="255"/>
        <v>46964</v>
      </c>
      <c r="P156" s="87">
        <f t="shared" si="256"/>
        <v>51209.333333333328</v>
      </c>
      <c r="Q156" s="87">
        <f t="shared" si="257"/>
        <v>84906.666666666657</v>
      </c>
      <c r="R156" s="87">
        <f t="shared" si="258"/>
        <v>65537.333333333328</v>
      </c>
      <c r="S156" s="87">
        <f t="shared" si="259"/>
        <v>66068</v>
      </c>
      <c r="T156" s="87">
        <f t="shared" si="260"/>
        <v>60495.999999999993</v>
      </c>
      <c r="U156" s="87">
        <f t="shared" si="261"/>
        <v>18573.333333333332</v>
      </c>
      <c r="V156" s="87">
        <f t="shared" si="262"/>
        <v>16716</v>
      </c>
      <c r="W156" s="87">
        <f t="shared" si="263"/>
        <v>14858.666666666666</v>
      </c>
      <c r="X156" s="87">
        <f t="shared" si="264"/>
        <v>16981.333333333332</v>
      </c>
      <c r="Y156" s="86">
        <f t="shared" si="265"/>
        <v>8756</v>
      </c>
      <c r="Z156" s="87">
        <f t="shared" si="266"/>
        <v>9817.3333333333321</v>
      </c>
      <c r="AA156" s="87">
        <f t="shared" si="267"/>
        <v>8756</v>
      </c>
      <c r="AB156" s="87">
        <f t="shared" si="268"/>
        <v>10878.666666666666</v>
      </c>
      <c r="AC156" s="87">
        <f t="shared" si="269"/>
        <v>5306.6666666666661</v>
      </c>
      <c r="AD156" s="87">
        <f t="shared" si="270"/>
        <v>0</v>
      </c>
      <c r="AE156" s="87">
        <f t="shared" si="271"/>
        <v>265.33333333333331</v>
      </c>
      <c r="AF156" s="87">
        <f t="shared" si="272"/>
        <v>265.33333333333331</v>
      </c>
      <c r="AG156" s="87">
        <f t="shared" si="273"/>
        <v>796</v>
      </c>
      <c r="AH156" s="87">
        <f t="shared" si="274"/>
        <v>0</v>
      </c>
      <c r="AI156" s="87">
        <f t="shared" si="275"/>
        <v>0</v>
      </c>
      <c r="AJ156" s="87">
        <f t="shared" si="276"/>
        <v>0</v>
      </c>
      <c r="AK156" s="86">
        <f t="shared" si="277"/>
        <v>0</v>
      </c>
      <c r="AL156" s="85">
        <v>153</v>
      </c>
      <c r="AM156" s="85">
        <v>234</v>
      </c>
      <c r="AN156" s="85">
        <v>177</v>
      </c>
      <c r="AO156" s="85">
        <v>175</v>
      </c>
      <c r="AP156" s="85">
        <v>252</v>
      </c>
      <c r="AQ156" s="86">
        <v>182</v>
      </c>
      <c r="AR156" s="87">
        <v>162</v>
      </c>
      <c r="AS156" s="87">
        <v>157</v>
      </c>
      <c r="AT156" s="87">
        <v>159</v>
      </c>
      <c r="AU156" s="87">
        <v>255</v>
      </c>
      <c r="AV156" s="87">
        <v>199</v>
      </c>
      <c r="AW156" s="87">
        <v>235</v>
      </c>
      <c r="AX156" s="87">
        <v>217</v>
      </c>
      <c r="AY156" s="87">
        <v>66</v>
      </c>
      <c r="AZ156" s="87">
        <v>61</v>
      </c>
      <c r="BA156" s="87">
        <v>52</v>
      </c>
      <c r="BB156" s="87">
        <v>64</v>
      </c>
      <c r="BC156" s="86">
        <v>33</v>
      </c>
      <c r="BD156" s="87">
        <v>37</v>
      </c>
      <c r="BE156" s="87">
        <v>33</v>
      </c>
      <c r="BF156" s="87">
        <v>41</v>
      </c>
      <c r="BG156" s="87">
        <v>20</v>
      </c>
      <c r="BH156" s="87">
        <v>0</v>
      </c>
      <c r="BI156" s="87">
        <v>1</v>
      </c>
      <c r="BJ156" s="40">
        <v>1</v>
      </c>
      <c r="BK156" s="40">
        <v>3</v>
      </c>
      <c r="BL156" s="40">
        <v>0</v>
      </c>
      <c r="BM156" s="40">
        <v>0</v>
      </c>
      <c r="BN156" s="87"/>
      <c r="BO156" s="86"/>
      <c r="BP156" s="21">
        <v>29</v>
      </c>
      <c r="BQ156" s="21">
        <v>9</v>
      </c>
      <c r="BR156" s="21">
        <v>26</v>
      </c>
      <c r="BS156" s="21">
        <v>15</v>
      </c>
      <c r="BT156" s="21">
        <v>48</v>
      </c>
      <c r="BU156" s="42">
        <v>36</v>
      </c>
      <c r="BV156" s="21">
        <v>13</v>
      </c>
      <c r="BW156" s="21">
        <v>20</v>
      </c>
      <c r="BX156" s="21">
        <v>34</v>
      </c>
      <c r="BY156" s="21">
        <v>65</v>
      </c>
      <c r="BZ156" s="21">
        <v>48</v>
      </c>
      <c r="CA156" s="21">
        <v>14</v>
      </c>
      <c r="CB156" s="21">
        <v>11</v>
      </c>
      <c r="CC156" s="21">
        <v>4</v>
      </c>
      <c r="CD156" s="21">
        <v>2</v>
      </c>
      <c r="CE156" s="21">
        <v>4</v>
      </c>
      <c r="CF156" s="21">
        <v>0</v>
      </c>
      <c r="CG156" s="42">
        <v>0</v>
      </c>
      <c r="CH156" s="21">
        <v>0</v>
      </c>
      <c r="CI156" s="21">
        <v>0</v>
      </c>
      <c r="CJ156" s="21">
        <v>0</v>
      </c>
      <c r="CK156" s="21">
        <v>0</v>
      </c>
      <c r="CL156" s="21">
        <v>0</v>
      </c>
      <c r="CM156" s="21">
        <v>0</v>
      </c>
      <c r="CN156" s="21">
        <v>0</v>
      </c>
      <c r="CO156" s="21">
        <v>0</v>
      </c>
      <c r="CP156" s="21">
        <f t="shared" si="278"/>
        <v>0</v>
      </c>
      <c r="CQ156" s="344">
        <f t="shared" si="279"/>
        <v>0</v>
      </c>
      <c r="CR156" s="87"/>
      <c r="CS156" s="86"/>
      <c r="CT156" s="85">
        <f t="shared" si="280"/>
        <v>182</v>
      </c>
      <c r="CU156" s="85">
        <f t="shared" si="281"/>
        <v>243</v>
      </c>
      <c r="CV156" s="85">
        <f t="shared" si="282"/>
        <v>203</v>
      </c>
      <c r="CW156" s="85">
        <f t="shared" si="283"/>
        <v>190</v>
      </c>
      <c r="CX156" s="85">
        <f t="shared" si="284"/>
        <v>300</v>
      </c>
      <c r="CY156" s="86">
        <f t="shared" si="285"/>
        <v>218</v>
      </c>
      <c r="CZ156" s="87">
        <f t="shared" si="286"/>
        <v>175</v>
      </c>
      <c r="DA156" s="87">
        <f t="shared" si="287"/>
        <v>177</v>
      </c>
      <c r="DB156" s="87">
        <f t="shared" si="288"/>
        <v>193</v>
      </c>
      <c r="DC156" s="87">
        <f t="shared" si="289"/>
        <v>320</v>
      </c>
      <c r="DD156" s="87">
        <f t="shared" si="290"/>
        <v>247</v>
      </c>
      <c r="DE156" s="87">
        <f t="shared" si="291"/>
        <v>249</v>
      </c>
      <c r="DF156" s="87">
        <f t="shared" si="292"/>
        <v>228</v>
      </c>
      <c r="DG156" s="87">
        <f t="shared" si="293"/>
        <v>70</v>
      </c>
      <c r="DH156" s="87">
        <f t="shared" si="294"/>
        <v>63</v>
      </c>
      <c r="DI156" s="87">
        <f t="shared" si="295"/>
        <v>56</v>
      </c>
      <c r="DJ156" s="87">
        <f t="shared" si="296"/>
        <v>64</v>
      </c>
      <c r="DK156" s="86">
        <f t="shared" si="297"/>
        <v>33</v>
      </c>
      <c r="DL156" s="87">
        <f t="shared" si="298"/>
        <v>37</v>
      </c>
      <c r="DM156" s="87">
        <f t="shared" si="299"/>
        <v>33</v>
      </c>
      <c r="DN156" s="87">
        <f t="shared" si="300"/>
        <v>41</v>
      </c>
      <c r="DO156" s="87">
        <f t="shared" si="301"/>
        <v>20</v>
      </c>
      <c r="DP156" s="87">
        <f t="shared" si="302"/>
        <v>0</v>
      </c>
      <c r="DQ156" s="87">
        <f t="shared" si="303"/>
        <v>1</v>
      </c>
      <c r="DR156" s="87">
        <f t="shared" si="218"/>
        <v>1</v>
      </c>
      <c r="DS156" s="87">
        <f t="shared" si="243"/>
        <v>3</v>
      </c>
      <c r="DT156" s="87">
        <f t="shared" si="304"/>
        <v>0</v>
      </c>
      <c r="DU156" s="87">
        <f t="shared" si="305"/>
        <v>0</v>
      </c>
      <c r="DV156" s="87">
        <f t="shared" si="306"/>
        <v>0</v>
      </c>
      <c r="DW156" s="87">
        <f t="shared" si="307"/>
        <v>0</v>
      </c>
    </row>
    <row r="157" spans="1:127">
      <c r="A157" s="22" t="s">
        <v>15</v>
      </c>
      <c r="B157" s="26">
        <v>4902430056519</v>
      </c>
      <c r="C157" s="22" t="s">
        <v>16</v>
      </c>
      <c r="D157" s="46" t="s">
        <v>102</v>
      </c>
      <c r="E157" s="22">
        <v>343491</v>
      </c>
      <c r="F157" s="80" t="s">
        <v>261</v>
      </c>
      <c r="G157" s="25">
        <v>198.66666666666666</v>
      </c>
      <c r="H157" s="85">
        <f t="shared" si="248"/>
        <v>31190.666666666664</v>
      </c>
      <c r="I157" s="85">
        <f t="shared" si="249"/>
        <v>38541.333333333328</v>
      </c>
      <c r="J157" s="85">
        <f t="shared" si="250"/>
        <v>25230.666666666664</v>
      </c>
      <c r="K157" s="85">
        <f t="shared" si="251"/>
        <v>25032</v>
      </c>
      <c r="L157" s="85">
        <f t="shared" si="252"/>
        <v>39534.666666666664</v>
      </c>
      <c r="M157" s="86">
        <f t="shared" si="253"/>
        <v>19270.666666666664</v>
      </c>
      <c r="N157" s="87">
        <f t="shared" si="254"/>
        <v>24237.333333333332</v>
      </c>
      <c r="O157" s="87">
        <f t="shared" si="255"/>
        <v>30793.333333333332</v>
      </c>
      <c r="P157" s="87">
        <f t="shared" si="256"/>
        <v>19270.666666666664</v>
      </c>
      <c r="Q157" s="87">
        <f t="shared" si="257"/>
        <v>26422.666666666664</v>
      </c>
      <c r="R157" s="87">
        <f t="shared" si="258"/>
        <v>36753.333333333328</v>
      </c>
      <c r="S157" s="87">
        <f t="shared" si="259"/>
        <v>40329.333333333328</v>
      </c>
      <c r="T157" s="87">
        <f t="shared" si="260"/>
        <v>47878.666666666664</v>
      </c>
      <c r="U157" s="87">
        <f t="shared" si="261"/>
        <v>26422.666666666664</v>
      </c>
      <c r="V157" s="87">
        <f t="shared" si="262"/>
        <v>20661.333333333332</v>
      </c>
      <c r="W157" s="87">
        <f t="shared" si="263"/>
        <v>26621.333333333332</v>
      </c>
      <c r="X157" s="87">
        <f t="shared" si="264"/>
        <v>26621.333333333332</v>
      </c>
      <c r="Y157" s="86">
        <f t="shared" si="265"/>
        <v>19270.666666666664</v>
      </c>
      <c r="Z157" s="87">
        <f t="shared" si="266"/>
        <v>23442.666666666664</v>
      </c>
      <c r="AA157" s="87">
        <f t="shared" si="267"/>
        <v>26224</v>
      </c>
      <c r="AB157" s="87">
        <f t="shared" si="268"/>
        <v>23641.333333333332</v>
      </c>
      <c r="AC157" s="87">
        <f t="shared" si="269"/>
        <v>33773.333333333328</v>
      </c>
      <c r="AD157" s="87">
        <f t="shared" si="270"/>
        <v>24634.666666666664</v>
      </c>
      <c r="AE157" s="87">
        <f t="shared" si="271"/>
        <v>25826.666666666664</v>
      </c>
      <c r="AF157" s="87">
        <f t="shared" si="272"/>
        <v>22052</v>
      </c>
      <c r="AG157" s="87">
        <f t="shared" si="273"/>
        <v>22052</v>
      </c>
      <c r="AH157" s="87">
        <f t="shared" si="274"/>
        <v>19072</v>
      </c>
      <c r="AI157" s="87">
        <f t="shared" si="275"/>
        <v>22383.111111111109</v>
      </c>
      <c r="AJ157" s="87">
        <f t="shared" si="276"/>
        <v>0</v>
      </c>
      <c r="AK157" s="86">
        <f t="shared" si="277"/>
        <v>0</v>
      </c>
      <c r="AL157" s="85">
        <v>151</v>
      </c>
      <c r="AM157" s="85">
        <v>184</v>
      </c>
      <c r="AN157" s="85">
        <v>116</v>
      </c>
      <c r="AO157" s="85">
        <v>124</v>
      </c>
      <c r="AP157" s="85">
        <v>191</v>
      </c>
      <c r="AQ157" s="86">
        <v>89</v>
      </c>
      <c r="AR157" s="87">
        <v>117</v>
      </c>
      <c r="AS157" s="87">
        <v>148</v>
      </c>
      <c r="AT157" s="87">
        <v>93</v>
      </c>
      <c r="AU157" s="87">
        <v>126</v>
      </c>
      <c r="AV157" s="87">
        <v>173</v>
      </c>
      <c r="AW157" s="87">
        <v>200</v>
      </c>
      <c r="AX157" s="87">
        <v>226</v>
      </c>
      <c r="AY157" s="87">
        <v>129</v>
      </c>
      <c r="AZ157" s="87">
        <v>98</v>
      </c>
      <c r="BA157" s="87">
        <v>128</v>
      </c>
      <c r="BB157" s="87">
        <v>116</v>
      </c>
      <c r="BC157" s="86">
        <v>84</v>
      </c>
      <c r="BD157" s="87">
        <v>116</v>
      </c>
      <c r="BE157" s="87">
        <v>118</v>
      </c>
      <c r="BF157" s="87">
        <v>110</v>
      </c>
      <c r="BG157" s="87">
        <v>161</v>
      </c>
      <c r="BH157" s="87">
        <v>114</v>
      </c>
      <c r="BI157" s="87">
        <v>126</v>
      </c>
      <c r="BJ157" s="40">
        <v>105</v>
      </c>
      <c r="BK157" s="40">
        <v>108</v>
      </c>
      <c r="BL157" s="40">
        <v>93</v>
      </c>
      <c r="BM157" s="40">
        <v>106</v>
      </c>
      <c r="BN157" s="87"/>
      <c r="BO157" s="86"/>
      <c r="BP157" s="21">
        <v>6</v>
      </c>
      <c r="BQ157" s="21">
        <v>10</v>
      </c>
      <c r="BR157" s="21">
        <v>11</v>
      </c>
      <c r="BS157" s="21">
        <v>2</v>
      </c>
      <c r="BT157" s="21">
        <v>8</v>
      </c>
      <c r="BU157" s="42">
        <v>8</v>
      </c>
      <c r="BV157" s="21">
        <v>5</v>
      </c>
      <c r="BW157" s="21">
        <v>7</v>
      </c>
      <c r="BX157" s="21">
        <v>4</v>
      </c>
      <c r="BY157" s="21">
        <v>7</v>
      </c>
      <c r="BZ157" s="21">
        <v>12</v>
      </c>
      <c r="CA157" s="21">
        <v>3</v>
      </c>
      <c r="CB157" s="21">
        <v>15</v>
      </c>
      <c r="CC157" s="21">
        <v>4</v>
      </c>
      <c r="CD157" s="21">
        <v>6</v>
      </c>
      <c r="CE157" s="21">
        <v>6</v>
      </c>
      <c r="CF157" s="21">
        <v>18</v>
      </c>
      <c r="CG157" s="42">
        <v>13</v>
      </c>
      <c r="CH157" s="21">
        <v>2</v>
      </c>
      <c r="CI157" s="21">
        <v>14</v>
      </c>
      <c r="CJ157" s="21">
        <v>9</v>
      </c>
      <c r="CK157" s="21">
        <v>9</v>
      </c>
      <c r="CL157" s="21">
        <v>10</v>
      </c>
      <c r="CM157" s="21">
        <v>4</v>
      </c>
      <c r="CN157" s="21">
        <v>6</v>
      </c>
      <c r="CO157" s="21">
        <v>3</v>
      </c>
      <c r="CP157" s="21">
        <f t="shared" si="278"/>
        <v>3</v>
      </c>
      <c r="CQ157" s="344">
        <f t="shared" si="279"/>
        <v>6.666666666666667</v>
      </c>
      <c r="CR157" s="87"/>
      <c r="CS157" s="86"/>
      <c r="CT157" s="85">
        <f t="shared" si="280"/>
        <v>157</v>
      </c>
      <c r="CU157" s="85">
        <f t="shared" si="281"/>
        <v>194</v>
      </c>
      <c r="CV157" s="85">
        <f t="shared" si="282"/>
        <v>127</v>
      </c>
      <c r="CW157" s="85">
        <f t="shared" si="283"/>
        <v>126</v>
      </c>
      <c r="CX157" s="85">
        <f t="shared" si="284"/>
        <v>199</v>
      </c>
      <c r="CY157" s="86">
        <f t="shared" si="285"/>
        <v>97</v>
      </c>
      <c r="CZ157" s="87">
        <f t="shared" si="286"/>
        <v>122</v>
      </c>
      <c r="DA157" s="87">
        <f t="shared" si="287"/>
        <v>155</v>
      </c>
      <c r="DB157" s="87">
        <f t="shared" si="288"/>
        <v>97</v>
      </c>
      <c r="DC157" s="87">
        <f t="shared" si="289"/>
        <v>133</v>
      </c>
      <c r="DD157" s="87">
        <f t="shared" si="290"/>
        <v>185</v>
      </c>
      <c r="DE157" s="87">
        <f t="shared" si="291"/>
        <v>203</v>
      </c>
      <c r="DF157" s="87">
        <f t="shared" si="292"/>
        <v>241</v>
      </c>
      <c r="DG157" s="87">
        <f t="shared" si="293"/>
        <v>133</v>
      </c>
      <c r="DH157" s="87">
        <f t="shared" si="294"/>
        <v>104</v>
      </c>
      <c r="DI157" s="87">
        <f t="shared" si="295"/>
        <v>134</v>
      </c>
      <c r="DJ157" s="87">
        <f t="shared" si="296"/>
        <v>134</v>
      </c>
      <c r="DK157" s="86">
        <f t="shared" si="297"/>
        <v>97</v>
      </c>
      <c r="DL157" s="87">
        <f t="shared" si="298"/>
        <v>118</v>
      </c>
      <c r="DM157" s="87">
        <f t="shared" si="299"/>
        <v>132</v>
      </c>
      <c r="DN157" s="87">
        <f t="shared" si="300"/>
        <v>119</v>
      </c>
      <c r="DO157" s="87">
        <f t="shared" si="301"/>
        <v>170</v>
      </c>
      <c r="DP157" s="87">
        <f t="shared" si="302"/>
        <v>124</v>
      </c>
      <c r="DQ157" s="87">
        <f t="shared" si="303"/>
        <v>130</v>
      </c>
      <c r="DR157" s="87">
        <f t="shared" si="218"/>
        <v>111</v>
      </c>
      <c r="DS157" s="87">
        <f t="shared" si="243"/>
        <v>111</v>
      </c>
      <c r="DT157" s="87">
        <f t="shared" si="304"/>
        <v>96</v>
      </c>
      <c r="DU157" s="87">
        <f t="shared" si="305"/>
        <v>112.66666666666667</v>
      </c>
      <c r="DV157" s="87">
        <f t="shared" si="306"/>
        <v>0</v>
      </c>
      <c r="DW157" s="87">
        <f t="shared" si="307"/>
        <v>0</v>
      </c>
    </row>
    <row r="158" spans="1:127">
      <c r="A158" s="22" t="s">
        <v>15</v>
      </c>
      <c r="B158" s="26">
        <v>4902430265812</v>
      </c>
      <c r="C158" s="22" t="s">
        <v>16</v>
      </c>
      <c r="D158" s="46" t="s">
        <v>102</v>
      </c>
      <c r="E158" s="22">
        <v>939519</v>
      </c>
      <c r="F158" s="80" t="s">
        <v>262</v>
      </c>
      <c r="G158" s="25">
        <v>372</v>
      </c>
      <c r="H158" s="85">
        <f t="shared" si="248"/>
        <v>46500</v>
      </c>
      <c r="I158" s="85">
        <f t="shared" si="249"/>
        <v>54312</v>
      </c>
      <c r="J158" s="85">
        <f t="shared" si="250"/>
        <v>45012</v>
      </c>
      <c r="K158" s="85">
        <f t="shared" si="251"/>
        <v>36084</v>
      </c>
      <c r="L158" s="85">
        <f t="shared" si="252"/>
        <v>48732</v>
      </c>
      <c r="M158" s="86">
        <f t="shared" si="253"/>
        <v>56544</v>
      </c>
      <c r="N158" s="87">
        <f t="shared" si="254"/>
        <v>42408</v>
      </c>
      <c r="O158" s="87">
        <f t="shared" si="255"/>
        <v>71424</v>
      </c>
      <c r="P158" s="87">
        <f t="shared" si="256"/>
        <v>65100</v>
      </c>
      <c r="Q158" s="87">
        <f t="shared" si="257"/>
        <v>89652</v>
      </c>
      <c r="R158" s="87">
        <f t="shared" si="258"/>
        <v>56172</v>
      </c>
      <c r="S158" s="87">
        <f t="shared" si="259"/>
        <v>49476</v>
      </c>
      <c r="T158" s="87">
        <f t="shared" si="260"/>
        <v>47244</v>
      </c>
      <c r="U158" s="87">
        <f t="shared" si="261"/>
        <v>36828</v>
      </c>
      <c r="V158" s="87">
        <f t="shared" si="262"/>
        <v>28644</v>
      </c>
      <c r="W158" s="87">
        <f t="shared" si="263"/>
        <v>39804</v>
      </c>
      <c r="X158" s="87">
        <f t="shared" si="264"/>
        <v>56544</v>
      </c>
      <c r="Y158" s="86">
        <f t="shared" si="265"/>
        <v>34968</v>
      </c>
      <c r="Z158" s="87">
        <f t="shared" si="266"/>
        <v>44268</v>
      </c>
      <c r="AA158" s="87">
        <f t="shared" si="267"/>
        <v>34968</v>
      </c>
      <c r="AB158" s="87">
        <f t="shared" si="268"/>
        <v>39804</v>
      </c>
      <c r="AC158" s="87">
        <f t="shared" si="269"/>
        <v>45756</v>
      </c>
      <c r="AD158" s="87">
        <f t="shared" si="270"/>
        <v>24180</v>
      </c>
      <c r="AE158" s="87">
        <f t="shared" si="271"/>
        <v>35340</v>
      </c>
      <c r="AF158" s="87">
        <f t="shared" si="272"/>
        <v>35340</v>
      </c>
      <c r="AG158" s="87">
        <f t="shared" si="273"/>
        <v>38688</v>
      </c>
      <c r="AH158" s="87">
        <f t="shared" si="274"/>
        <v>20088</v>
      </c>
      <c r="AI158" s="87">
        <f t="shared" si="275"/>
        <v>35216</v>
      </c>
      <c r="AJ158" s="87">
        <f t="shared" si="276"/>
        <v>0</v>
      </c>
      <c r="AK158" s="86">
        <f t="shared" si="277"/>
        <v>0</v>
      </c>
      <c r="AL158" s="85">
        <v>119</v>
      </c>
      <c r="AM158" s="85">
        <v>136</v>
      </c>
      <c r="AN158" s="85">
        <v>105</v>
      </c>
      <c r="AO158" s="85">
        <v>82</v>
      </c>
      <c r="AP158" s="85">
        <v>116</v>
      </c>
      <c r="AQ158" s="86">
        <v>113</v>
      </c>
      <c r="AR158" s="87">
        <v>97</v>
      </c>
      <c r="AS158" s="87">
        <v>148</v>
      </c>
      <c r="AT158" s="87">
        <v>104</v>
      </c>
      <c r="AU158" s="87">
        <v>142</v>
      </c>
      <c r="AV158" s="87">
        <v>129</v>
      </c>
      <c r="AW158" s="87">
        <v>129</v>
      </c>
      <c r="AX158" s="87">
        <v>115</v>
      </c>
      <c r="AY158" s="87">
        <v>84</v>
      </c>
      <c r="AZ158" s="87">
        <v>61</v>
      </c>
      <c r="BA158" s="87">
        <v>92</v>
      </c>
      <c r="BB158" s="87">
        <v>139</v>
      </c>
      <c r="BC158" s="86">
        <v>85</v>
      </c>
      <c r="BD158" s="87">
        <v>107</v>
      </c>
      <c r="BE158" s="87">
        <v>86</v>
      </c>
      <c r="BF158" s="87">
        <v>78</v>
      </c>
      <c r="BG158" s="87">
        <v>116</v>
      </c>
      <c r="BH158" s="87">
        <v>59</v>
      </c>
      <c r="BI158" s="87">
        <v>86</v>
      </c>
      <c r="BJ158" s="40">
        <v>83</v>
      </c>
      <c r="BK158" s="40">
        <v>102</v>
      </c>
      <c r="BL158" s="40">
        <v>52</v>
      </c>
      <c r="BM158" s="40">
        <v>85</v>
      </c>
      <c r="BN158" s="87"/>
      <c r="BO158" s="86"/>
      <c r="BP158" s="21">
        <v>6</v>
      </c>
      <c r="BQ158" s="21">
        <v>10</v>
      </c>
      <c r="BR158" s="21">
        <v>16</v>
      </c>
      <c r="BS158" s="21">
        <v>15</v>
      </c>
      <c r="BT158" s="21">
        <v>15</v>
      </c>
      <c r="BU158" s="42">
        <v>39</v>
      </c>
      <c r="BV158" s="21">
        <v>17</v>
      </c>
      <c r="BW158" s="21">
        <v>44</v>
      </c>
      <c r="BX158" s="21">
        <v>71</v>
      </c>
      <c r="BY158" s="21">
        <v>99</v>
      </c>
      <c r="BZ158" s="21">
        <v>22</v>
      </c>
      <c r="CA158" s="21">
        <v>4</v>
      </c>
      <c r="CB158" s="21">
        <v>12</v>
      </c>
      <c r="CC158" s="21">
        <v>15</v>
      </c>
      <c r="CD158" s="21">
        <v>16</v>
      </c>
      <c r="CE158" s="21">
        <v>15</v>
      </c>
      <c r="CF158" s="21">
        <v>13</v>
      </c>
      <c r="CG158" s="42">
        <v>9</v>
      </c>
      <c r="CH158" s="21">
        <v>12</v>
      </c>
      <c r="CI158" s="21">
        <v>8</v>
      </c>
      <c r="CJ158" s="21">
        <v>29</v>
      </c>
      <c r="CK158" s="21">
        <v>7</v>
      </c>
      <c r="CL158" s="21">
        <v>6</v>
      </c>
      <c r="CM158" s="21">
        <v>9</v>
      </c>
      <c r="CN158" s="21">
        <v>12</v>
      </c>
      <c r="CO158" s="21">
        <v>2</v>
      </c>
      <c r="CP158" s="21">
        <f t="shared" si="278"/>
        <v>2</v>
      </c>
      <c r="CQ158" s="344">
        <f t="shared" si="279"/>
        <v>9.6666666666666661</v>
      </c>
      <c r="CR158" s="87"/>
      <c r="CS158" s="86"/>
      <c r="CT158" s="85">
        <f t="shared" si="280"/>
        <v>125</v>
      </c>
      <c r="CU158" s="85">
        <f t="shared" si="281"/>
        <v>146</v>
      </c>
      <c r="CV158" s="85">
        <f t="shared" si="282"/>
        <v>121</v>
      </c>
      <c r="CW158" s="85">
        <f t="shared" si="283"/>
        <v>97</v>
      </c>
      <c r="CX158" s="85">
        <f t="shared" si="284"/>
        <v>131</v>
      </c>
      <c r="CY158" s="86">
        <f t="shared" si="285"/>
        <v>152</v>
      </c>
      <c r="CZ158" s="87">
        <f t="shared" si="286"/>
        <v>114</v>
      </c>
      <c r="DA158" s="87">
        <f t="shared" si="287"/>
        <v>192</v>
      </c>
      <c r="DB158" s="87">
        <f t="shared" si="288"/>
        <v>175</v>
      </c>
      <c r="DC158" s="87">
        <f t="shared" si="289"/>
        <v>241</v>
      </c>
      <c r="DD158" s="87">
        <f t="shared" si="290"/>
        <v>151</v>
      </c>
      <c r="DE158" s="87">
        <f t="shared" si="291"/>
        <v>133</v>
      </c>
      <c r="DF158" s="87">
        <f t="shared" si="292"/>
        <v>127</v>
      </c>
      <c r="DG158" s="87">
        <f t="shared" si="293"/>
        <v>99</v>
      </c>
      <c r="DH158" s="87">
        <f t="shared" si="294"/>
        <v>77</v>
      </c>
      <c r="DI158" s="87">
        <f t="shared" si="295"/>
        <v>107</v>
      </c>
      <c r="DJ158" s="87">
        <f t="shared" si="296"/>
        <v>152</v>
      </c>
      <c r="DK158" s="86">
        <f t="shared" si="297"/>
        <v>94</v>
      </c>
      <c r="DL158" s="87">
        <f t="shared" si="298"/>
        <v>119</v>
      </c>
      <c r="DM158" s="87">
        <f t="shared" si="299"/>
        <v>94</v>
      </c>
      <c r="DN158" s="87">
        <f t="shared" si="300"/>
        <v>107</v>
      </c>
      <c r="DO158" s="87">
        <f t="shared" si="301"/>
        <v>123</v>
      </c>
      <c r="DP158" s="87">
        <f t="shared" si="302"/>
        <v>65</v>
      </c>
      <c r="DQ158" s="87">
        <f t="shared" si="303"/>
        <v>95</v>
      </c>
      <c r="DR158" s="87">
        <f t="shared" si="218"/>
        <v>95</v>
      </c>
      <c r="DS158" s="87">
        <f t="shared" si="243"/>
        <v>104</v>
      </c>
      <c r="DT158" s="87">
        <f t="shared" si="304"/>
        <v>54</v>
      </c>
      <c r="DU158" s="87">
        <f t="shared" si="305"/>
        <v>94.666666666666671</v>
      </c>
      <c r="DV158" s="87">
        <f t="shared" si="306"/>
        <v>0</v>
      </c>
      <c r="DW158" s="87">
        <f t="shared" si="307"/>
        <v>0</v>
      </c>
    </row>
    <row r="159" spans="1:127">
      <c r="A159" s="22" t="s">
        <v>15</v>
      </c>
      <c r="B159" s="26">
        <v>4902430849265</v>
      </c>
      <c r="C159" s="22" t="s">
        <v>16</v>
      </c>
      <c r="D159" s="22" t="s">
        <v>18</v>
      </c>
      <c r="E159" s="22">
        <v>108481</v>
      </c>
      <c r="F159" s="80" t="s">
        <v>263</v>
      </c>
      <c r="G159" s="25">
        <v>250</v>
      </c>
      <c r="H159" s="85">
        <f t="shared" si="248"/>
        <v>36750</v>
      </c>
      <c r="I159" s="85">
        <f t="shared" si="249"/>
        <v>60750</v>
      </c>
      <c r="J159" s="85">
        <f t="shared" si="250"/>
        <v>85250</v>
      </c>
      <c r="K159" s="85">
        <f t="shared" si="251"/>
        <v>40750</v>
      </c>
      <c r="L159" s="85">
        <f t="shared" si="252"/>
        <v>37500</v>
      </c>
      <c r="M159" s="86">
        <f t="shared" si="253"/>
        <v>20250</v>
      </c>
      <c r="N159" s="87">
        <f t="shared" si="254"/>
        <v>14750</v>
      </c>
      <c r="O159" s="87">
        <f t="shared" si="255"/>
        <v>7500</v>
      </c>
      <c r="P159" s="87">
        <f t="shared" si="256"/>
        <v>250</v>
      </c>
      <c r="Q159" s="87">
        <f t="shared" si="257"/>
        <v>250</v>
      </c>
      <c r="R159" s="87">
        <f t="shared" si="258"/>
        <v>0</v>
      </c>
      <c r="S159" s="87">
        <f t="shared" si="259"/>
        <v>0</v>
      </c>
      <c r="T159" s="87">
        <f t="shared" si="260"/>
        <v>250</v>
      </c>
      <c r="U159" s="87">
        <f t="shared" si="261"/>
        <v>0</v>
      </c>
      <c r="V159" s="87">
        <f t="shared" si="262"/>
        <v>0</v>
      </c>
      <c r="W159" s="87">
        <f t="shared" si="263"/>
        <v>250</v>
      </c>
      <c r="X159" s="87">
        <f t="shared" si="264"/>
        <v>0</v>
      </c>
      <c r="Y159" s="86">
        <f t="shared" si="265"/>
        <v>0</v>
      </c>
      <c r="Z159" s="87">
        <f t="shared" si="266"/>
        <v>0</v>
      </c>
      <c r="AA159" s="87">
        <f t="shared" si="267"/>
        <v>0</v>
      </c>
      <c r="AB159" s="87">
        <f t="shared" si="268"/>
        <v>0</v>
      </c>
      <c r="AC159" s="87">
        <f t="shared" si="269"/>
        <v>0</v>
      </c>
      <c r="AD159" s="87">
        <f t="shared" si="270"/>
        <v>0</v>
      </c>
      <c r="AE159" s="87">
        <f t="shared" si="271"/>
        <v>0</v>
      </c>
      <c r="AF159" s="87">
        <f t="shared" si="272"/>
        <v>500</v>
      </c>
      <c r="AG159" s="87">
        <f t="shared" si="273"/>
        <v>0</v>
      </c>
      <c r="AH159" s="87">
        <f t="shared" si="274"/>
        <v>0</v>
      </c>
      <c r="AI159" s="87">
        <f t="shared" si="275"/>
        <v>0</v>
      </c>
      <c r="AJ159" s="87">
        <f t="shared" si="276"/>
        <v>0</v>
      </c>
      <c r="AK159" s="86">
        <f t="shared" si="277"/>
        <v>0</v>
      </c>
      <c r="AL159" s="85">
        <v>100</v>
      </c>
      <c r="AM159" s="85">
        <v>195</v>
      </c>
      <c r="AN159" s="85">
        <v>176</v>
      </c>
      <c r="AO159" s="85">
        <v>163</v>
      </c>
      <c r="AP159" s="85">
        <v>149</v>
      </c>
      <c r="AQ159" s="86">
        <v>81</v>
      </c>
      <c r="AR159" s="87">
        <v>59</v>
      </c>
      <c r="AS159" s="87">
        <v>30</v>
      </c>
      <c r="AT159" s="87">
        <v>1</v>
      </c>
      <c r="AU159" s="87">
        <v>1</v>
      </c>
      <c r="AV159" s="87">
        <v>0</v>
      </c>
      <c r="AW159" s="87">
        <v>0</v>
      </c>
      <c r="AX159" s="87">
        <v>1</v>
      </c>
      <c r="AY159" s="87">
        <v>0</v>
      </c>
      <c r="AZ159" s="87">
        <v>0</v>
      </c>
      <c r="BA159" s="87">
        <v>1</v>
      </c>
      <c r="BB159" s="87">
        <v>0</v>
      </c>
      <c r="BC159" s="86">
        <v>0</v>
      </c>
      <c r="BD159" s="87">
        <v>0</v>
      </c>
      <c r="BE159" s="87">
        <v>0</v>
      </c>
      <c r="BF159" s="87">
        <v>0</v>
      </c>
      <c r="BG159" s="87">
        <v>0</v>
      </c>
      <c r="BH159" s="87">
        <v>0</v>
      </c>
      <c r="BI159" s="87">
        <v>0</v>
      </c>
      <c r="BJ159" s="40">
        <v>2</v>
      </c>
      <c r="BK159" s="40">
        <v>0</v>
      </c>
      <c r="BL159" s="40">
        <v>0</v>
      </c>
      <c r="BM159" s="40">
        <v>0</v>
      </c>
      <c r="BN159" s="87"/>
      <c r="BO159" s="86"/>
      <c r="BP159" s="21">
        <v>47</v>
      </c>
      <c r="BQ159" s="21">
        <v>48</v>
      </c>
      <c r="BR159" s="21">
        <v>165</v>
      </c>
      <c r="BS159" s="21">
        <v>0</v>
      </c>
      <c r="BT159" s="21">
        <v>1</v>
      </c>
      <c r="BU159" s="42">
        <v>0</v>
      </c>
      <c r="BV159" s="21">
        <v>0</v>
      </c>
      <c r="BW159" s="21">
        <v>0</v>
      </c>
      <c r="BX159" s="21">
        <v>0</v>
      </c>
      <c r="BY159" s="21">
        <v>0</v>
      </c>
      <c r="BZ159" s="21">
        <v>0</v>
      </c>
      <c r="CA159" s="21">
        <v>0</v>
      </c>
      <c r="CB159" s="21">
        <v>0</v>
      </c>
      <c r="CC159" s="21">
        <v>0</v>
      </c>
      <c r="CD159" s="21">
        <v>0</v>
      </c>
      <c r="CE159" s="21">
        <v>0</v>
      </c>
      <c r="CF159" s="21">
        <v>0</v>
      </c>
      <c r="CG159" s="42">
        <v>0</v>
      </c>
      <c r="CH159" s="21">
        <v>0</v>
      </c>
      <c r="CI159" s="21">
        <v>0</v>
      </c>
      <c r="CJ159" s="21">
        <v>0</v>
      </c>
      <c r="CK159" s="21">
        <v>0</v>
      </c>
      <c r="CL159" s="21">
        <v>0</v>
      </c>
      <c r="CM159" s="21">
        <v>0</v>
      </c>
      <c r="CN159" s="21">
        <v>0</v>
      </c>
      <c r="CO159" s="21">
        <v>0</v>
      </c>
      <c r="CP159" s="21">
        <f t="shared" si="278"/>
        <v>0</v>
      </c>
      <c r="CQ159" s="344">
        <f t="shared" si="279"/>
        <v>0</v>
      </c>
      <c r="CR159" s="87"/>
      <c r="CS159" s="86"/>
      <c r="CT159" s="85">
        <f t="shared" si="280"/>
        <v>147</v>
      </c>
      <c r="CU159" s="85">
        <f t="shared" si="281"/>
        <v>243</v>
      </c>
      <c r="CV159" s="85">
        <f t="shared" si="282"/>
        <v>341</v>
      </c>
      <c r="CW159" s="85">
        <f t="shared" si="283"/>
        <v>163</v>
      </c>
      <c r="CX159" s="85">
        <f t="shared" si="284"/>
        <v>150</v>
      </c>
      <c r="CY159" s="86">
        <f t="shared" si="285"/>
        <v>81</v>
      </c>
      <c r="CZ159" s="87">
        <f t="shared" si="286"/>
        <v>59</v>
      </c>
      <c r="DA159" s="87">
        <f t="shared" si="287"/>
        <v>30</v>
      </c>
      <c r="DB159" s="87">
        <f t="shared" si="288"/>
        <v>1</v>
      </c>
      <c r="DC159" s="87">
        <f t="shared" si="289"/>
        <v>1</v>
      </c>
      <c r="DD159" s="87">
        <f t="shared" si="290"/>
        <v>0</v>
      </c>
      <c r="DE159" s="87">
        <f t="shared" si="291"/>
        <v>0</v>
      </c>
      <c r="DF159" s="87">
        <f t="shared" si="292"/>
        <v>1</v>
      </c>
      <c r="DG159" s="87">
        <f t="shared" si="293"/>
        <v>0</v>
      </c>
      <c r="DH159" s="87">
        <f t="shared" si="294"/>
        <v>0</v>
      </c>
      <c r="DI159" s="87">
        <f t="shared" si="295"/>
        <v>1</v>
      </c>
      <c r="DJ159" s="87">
        <f t="shared" si="296"/>
        <v>0</v>
      </c>
      <c r="DK159" s="86">
        <f t="shared" si="297"/>
        <v>0</v>
      </c>
      <c r="DL159" s="87">
        <f t="shared" si="298"/>
        <v>0</v>
      </c>
      <c r="DM159" s="87">
        <f t="shared" si="299"/>
        <v>0</v>
      </c>
      <c r="DN159" s="87">
        <f t="shared" si="300"/>
        <v>0</v>
      </c>
      <c r="DO159" s="87">
        <f t="shared" si="301"/>
        <v>0</v>
      </c>
      <c r="DP159" s="87">
        <f t="shared" si="302"/>
        <v>0</v>
      </c>
      <c r="DQ159" s="87">
        <f t="shared" si="303"/>
        <v>0</v>
      </c>
      <c r="DR159" s="87">
        <f t="shared" si="218"/>
        <v>2</v>
      </c>
      <c r="DS159" s="87">
        <f t="shared" si="243"/>
        <v>0</v>
      </c>
      <c r="DT159" s="87">
        <f t="shared" si="304"/>
        <v>0</v>
      </c>
      <c r="DU159" s="87">
        <f t="shared" si="305"/>
        <v>0</v>
      </c>
      <c r="DV159" s="87">
        <f t="shared" si="306"/>
        <v>0</v>
      </c>
      <c r="DW159" s="87">
        <f t="shared" si="307"/>
        <v>0</v>
      </c>
    </row>
    <row r="160" spans="1:127">
      <c r="A160" s="22" t="s">
        <v>15</v>
      </c>
      <c r="B160" s="26">
        <v>4902430189088</v>
      </c>
      <c r="C160" s="22" t="s">
        <v>16</v>
      </c>
      <c r="D160" s="46" t="s">
        <v>102</v>
      </c>
      <c r="E160" s="22">
        <v>565105</v>
      </c>
      <c r="F160" s="80" t="s">
        <v>264</v>
      </c>
      <c r="G160" s="25">
        <v>304.66666666666669</v>
      </c>
      <c r="H160" s="85">
        <f t="shared" si="248"/>
        <v>47223.333333333336</v>
      </c>
      <c r="I160" s="85">
        <f t="shared" si="249"/>
        <v>54535.333333333336</v>
      </c>
      <c r="J160" s="85">
        <f t="shared" si="250"/>
        <v>79213.333333333343</v>
      </c>
      <c r="K160" s="85">
        <f t="shared" si="251"/>
        <v>70378</v>
      </c>
      <c r="L160" s="85">
        <f t="shared" si="252"/>
        <v>74338.666666666672</v>
      </c>
      <c r="M160" s="86">
        <f t="shared" si="253"/>
        <v>52402.666666666672</v>
      </c>
      <c r="N160" s="87">
        <f t="shared" si="254"/>
        <v>60933.333333333336</v>
      </c>
      <c r="O160" s="87">
        <f t="shared" si="255"/>
        <v>67331.333333333343</v>
      </c>
      <c r="P160" s="87">
        <f t="shared" si="256"/>
        <v>49051.333333333336</v>
      </c>
      <c r="Q160" s="87">
        <f t="shared" si="257"/>
        <v>54535.333333333336</v>
      </c>
      <c r="R160" s="87">
        <f t="shared" si="258"/>
        <v>37169.333333333336</v>
      </c>
      <c r="S160" s="87">
        <f t="shared" si="259"/>
        <v>39606.666666666672</v>
      </c>
      <c r="T160" s="87">
        <f t="shared" si="260"/>
        <v>39302</v>
      </c>
      <c r="U160" s="87">
        <f t="shared" si="261"/>
        <v>30162.000000000004</v>
      </c>
      <c r="V160" s="87">
        <f t="shared" si="262"/>
        <v>27724.666666666668</v>
      </c>
      <c r="W160" s="87">
        <f t="shared" si="263"/>
        <v>39911.333333333336</v>
      </c>
      <c r="X160" s="87">
        <f t="shared" si="264"/>
        <v>53316.666666666672</v>
      </c>
      <c r="Y160" s="86">
        <f t="shared" si="265"/>
        <v>39911.333333333336</v>
      </c>
      <c r="Z160" s="87">
        <f t="shared" si="266"/>
        <v>31380.666666666668</v>
      </c>
      <c r="AA160" s="87">
        <f t="shared" si="267"/>
        <v>32294.666666666668</v>
      </c>
      <c r="AB160" s="87">
        <f t="shared" si="268"/>
        <v>33208.666666666672</v>
      </c>
      <c r="AC160" s="87">
        <f t="shared" si="269"/>
        <v>43262.666666666672</v>
      </c>
      <c r="AD160" s="87">
        <f t="shared" si="270"/>
        <v>32904</v>
      </c>
      <c r="AE160" s="87">
        <f t="shared" si="271"/>
        <v>36255.333333333336</v>
      </c>
      <c r="AF160" s="87">
        <f t="shared" si="272"/>
        <v>28334</v>
      </c>
      <c r="AG160" s="87">
        <f t="shared" si="273"/>
        <v>31990.000000000004</v>
      </c>
      <c r="AH160" s="87">
        <f t="shared" si="274"/>
        <v>40825.333333333336</v>
      </c>
      <c r="AI160" s="87">
        <f t="shared" si="275"/>
        <v>46647.851851851854</v>
      </c>
      <c r="AJ160" s="87">
        <f t="shared" si="276"/>
        <v>0</v>
      </c>
      <c r="AK160" s="86">
        <f t="shared" si="277"/>
        <v>0</v>
      </c>
      <c r="AL160" s="85">
        <v>133</v>
      </c>
      <c r="AM160" s="85">
        <v>155</v>
      </c>
      <c r="AN160" s="85">
        <v>148</v>
      </c>
      <c r="AO160" s="85">
        <v>181</v>
      </c>
      <c r="AP160" s="85">
        <v>213</v>
      </c>
      <c r="AQ160" s="86">
        <v>122</v>
      </c>
      <c r="AR160" s="87">
        <v>188</v>
      </c>
      <c r="AS160" s="87">
        <v>193</v>
      </c>
      <c r="AT160" s="87">
        <v>133</v>
      </c>
      <c r="AU160" s="87">
        <v>138</v>
      </c>
      <c r="AV160" s="87">
        <v>105</v>
      </c>
      <c r="AW160" s="87">
        <v>112</v>
      </c>
      <c r="AX160" s="87">
        <v>127</v>
      </c>
      <c r="AY160" s="87">
        <v>80</v>
      </c>
      <c r="AZ160" s="87">
        <v>68</v>
      </c>
      <c r="BA160" s="87">
        <v>111</v>
      </c>
      <c r="BB160" s="87">
        <v>148</v>
      </c>
      <c r="BC160" s="86">
        <v>100</v>
      </c>
      <c r="BD160" s="87">
        <v>91</v>
      </c>
      <c r="BE160" s="87">
        <v>91</v>
      </c>
      <c r="BF160" s="87">
        <v>84</v>
      </c>
      <c r="BG160" s="87">
        <v>107</v>
      </c>
      <c r="BH160" s="87">
        <v>79</v>
      </c>
      <c r="BI160" s="87">
        <v>103</v>
      </c>
      <c r="BJ160" s="40">
        <v>77</v>
      </c>
      <c r="BK160" s="40">
        <v>93</v>
      </c>
      <c r="BL160" s="40">
        <v>122</v>
      </c>
      <c r="BM160" s="40">
        <v>134</v>
      </c>
      <c r="BN160" s="87"/>
      <c r="BO160" s="86"/>
      <c r="BP160" s="21">
        <v>22</v>
      </c>
      <c r="BQ160" s="21">
        <v>24</v>
      </c>
      <c r="BR160" s="21">
        <v>112</v>
      </c>
      <c r="BS160" s="21">
        <v>50</v>
      </c>
      <c r="BT160" s="21">
        <v>31</v>
      </c>
      <c r="BU160" s="42">
        <v>50</v>
      </c>
      <c r="BV160" s="21">
        <v>12</v>
      </c>
      <c r="BW160" s="21">
        <v>28</v>
      </c>
      <c r="BX160" s="21">
        <v>28</v>
      </c>
      <c r="BY160" s="21">
        <v>41</v>
      </c>
      <c r="BZ160" s="21">
        <v>17</v>
      </c>
      <c r="CA160" s="21">
        <v>18</v>
      </c>
      <c r="CB160" s="21">
        <v>2</v>
      </c>
      <c r="CC160" s="21">
        <v>19</v>
      </c>
      <c r="CD160" s="21">
        <v>23</v>
      </c>
      <c r="CE160" s="21">
        <v>20</v>
      </c>
      <c r="CF160" s="21">
        <v>27</v>
      </c>
      <c r="CG160" s="42">
        <v>31</v>
      </c>
      <c r="CH160" s="21">
        <v>12</v>
      </c>
      <c r="CI160" s="21">
        <v>15</v>
      </c>
      <c r="CJ160" s="21">
        <v>25</v>
      </c>
      <c r="CK160" s="21">
        <v>35</v>
      </c>
      <c r="CL160" s="21">
        <v>29</v>
      </c>
      <c r="CM160" s="21">
        <v>16</v>
      </c>
      <c r="CN160" s="21">
        <v>16</v>
      </c>
      <c r="CO160" s="21">
        <v>12</v>
      </c>
      <c r="CP160" s="21">
        <f t="shared" si="278"/>
        <v>12</v>
      </c>
      <c r="CQ160" s="344">
        <f t="shared" si="279"/>
        <v>19.111111111111111</v>
      </c>
      <c r="CR160" s="87"/>
      <c r="CS160" s="86"/>
      <c r="CT160" s="85">
        <f t="shared" si="280"/>
        <v>155</v>
      </c>
      <c r="CU160" s="85">
        <f t="shared" si="281"/>
        <v>179</v>
      </c>
      <c r="CV160" s="85">
        <f t="shared" si="282"/>
        <v>260</v>
      </c>
      <c r="CW160" s="85">
        <f t="shared" si="283"/>
        <v>231</v>
      </c>
      <c r="CX160" s="85">
        <f t="shared" si="284"/>
        <v>244</v>
      </c>
      <c r="CY160" s="86">
        <f t="shared" si="285"/>
        <v>172</v>
      </c>
      <c r="CZ160" s="87">
        <f t="shared" si="286"/>
        <v>200</v>
      </c>
      <c r="DA160" s="87">
        <f t="shared" si="287"/>
        <v>221</v>
      </c>
      <c r="DB160" s="87">
        <f t="shared" si="288"/>
        <v>161</v>
      </c>
      <c r="DC160" s="87">
        <f t="shared" si="289"/>
        <v>179</v>
      </c>
      <c r="DD160" s="87">
        <f t="shared" si="290"/>
        <v>122</v>
      </c>
      <c r="DE160" s="87">
        <f t="shared" si="291"/>
        <v>130</v>
      </c>
      <c r="DF160" s="87">
        <f t="shared" si="292"/>
        <v>129</v>
      </c>
      <c r="DG160" s="87">
        <f t="shared" si="293"/>
        <v>99</v>
      </c>
      <c r="DH160" s="87">
        <f t="shared" si="294"/>
        <v>91</v>
      </c>
      <c r="DI160" s="87">
        <f t="shared" si="295"/>
        <v>131</v>
      </c>
      <c r="DJ160" s="87">
        <f t="shared" si="296"/>
        <v>175</v>
      </c>
      <c r="DK160" s="86">
        <f t="shared" si="297"/>
        <v>131</v>
      </c>
      <c r="DL160" s="87">
        <f t="shared" si="298"/>
        <v>103</v>
      </c>
      <c r="DM160" s="87">
        <f t="shared" si="299"/>
        <v>106</v>
      </c>
      <c r="DN160" s="87">
        <f t="shared" si="300"/>
        <v>109</v>
      </c>
      <c r="DO160" s="87">
        <f t="shared" si="301"/>
        <v>142</v>
      </c>
      <c r="DP160" s="87">
        <f t="shared" si="302"/>
        <v>108</v>
      </c>
      <c r="DQ160" s="87">
        <f t="shared" si="303"/>
        <v>119</v>
      </c>
      <c r="DR160" s="87">
        <f t="shared" si="218"/>
        <v>93</v>
      </c>
      <c r="DS160" s="87">
        <f t="shared" si="243"/>
        <v>105</v>
      </c>
      <c r="DT160" s="87">
        <f t="shared" si="304"/>
        <v>134</v>
      </c>
      <c r="DU160" s="87">
        <f t="shared" si="305"/>
        <v>153.11111111111111</v>
      </c>
      <c r="DV160" s="87">
        <f t="shared" si="306"/>
        <v>0</v>
      </c>
      <c r="DW160" s="87">
        <f t="shared" si="307"/>
        <v>0</v>
      </c>
    </row>
    <row r="161" spans="1:127">
      <c r="A161" s="22" t="s">
        <v>15</v>
      </c>
      <c r="B161" s="26">
        <v>4987176101938</v>
      </c>
      <c r="C161" s="22" t="s">
        <v>16</v>
      </c>
      <c r="D161" s="22" t="s">
        <v>18</v>
      </c>
      <c r="E161" s="22">
        <v>120438</v>
      </c>
      <c r="F161" s="80" t="s">
        <v>265</v>
      </c>
      <c r="G161" s="25">
        <v>675</v>
      </c>
      <c r="H161" s="85">
        <f t="shared" si="248"/>
        <v>0</v>
      </c>
      <c r="I161" s="85">
        <f t="shared" si="249"/>
        <v>675</v>
      </c>
      <c r="J161" s="85">
        <f t="shared" si="250"/>
        <v>2025</v>
      </c>
      <c r="K161" s="85">
        <f t="shared" si="251"/>
        <v>0</v>
      </c>
      <c r="L161" s="85">
        <f t="shared" si="252"/>
        <v>0</v>
      </c>
      <c r="M161" s="86">
        <f t="shared" si="253"/>
        <v>0</v>
      </c>
      <c r="N161" s="87">
        <f t="shared" si="254"/>
        <v>0</v>
      </c>
      <c r="O161" s="87">
        <f t="shared" si="255"/>
        <v>0</v>
      </c>
      <c r="P161" s="87">
        <f t="shared" si="256"/>
        <v>0</v>
      </c>
      <c r="Q161" s="87">
        <f t="shared" si="257"/>
        <v>0</v>
      </c>
      <c r="R161" s="87">
        <f t="shared" si="258"/>
        <v>0</v>
      </c>
      <c r="S161" s="87">
        <f t="shared" si="259"/>
        <v>0</v>
      </c>
      <c r="T161" s="87">
        <f t="shared" si="260"/>
        <v>0</v>
      </c>
      <c r="U161" s="87">
        <f t="shared" si="261"/>
        <v>0</v>
      </c>
      <c r="V161" s="87">
        <f t="shared" si="262"/>
        <v>0</v>
      </c>
      <c r="W161" s="87">
        <f t="shared" si="263"/>
        <v>0</v>
      </c>
      <c r="X161" s="87">
        <f t="shared" si="264"/>
        <v>0</v>
      </c>
      <c r="Y161" s="86">
        <f t="shared" si="265"/>
        <v>0</v>
      </c>
      <c r="Z161" s="87">
        <f t="shared" si="266"/>
        <v>0</v>
      </c>
      <c r="AA161" s="87">
        <f t="shared" si="267"/>
        <v>0</v>
      </c>
      <c r="AB161" s="87">
        <f t="shared" si="268"/>
        <v>0</v>
      </c>
      <c r="AC161" s="87">
        <f t="shared" si="269"/>
        <v>0</v>
      </c>
      <c r="AD161" s="87">
        <f t="shared" si="270"/>
        <v>0</v>
      </c>
      <c r="AE161" s="87">
        <f t="shared" si="271"/>
        <v>0</v>
      </c>
      <c r="AF161" s="87">
        <f t="shared" si="272"/>
        <v>0</v>
      </c>
      <c r="AG161" s="87">
        <f t="shared" si="273"/>
        <v>0</v>
      </c>
      <c r="AH161" s="87">
        <f t="shared" si="274"/>
        <v>0</v>
      </c>
      <c r="AI161" s="87">
        <f t="shared" si="275"/>
        <v>0</v>
      </c>
      <c r="AJ161" s="87">
        <f t="shared" si="276"/>
        <v>0</v>
      </c>
      <c r="AK161" s="86">
        <f t="shared" si="277"/>
        <v>0</v>
      </c>
      <c r="AL161" s="85">
        <v>0</v>
      </c>
      <c r="AM161" s="85">
        <v>1</v>
      </c>
      <c r="AN161" s="85">
        <v>3</v>
      </c>
      <c r="AO161" s="85">
        <v>0</v>
      </c>
      <c r="AP161" s="85">
        <v>0</v>
      </c>
      <c r="AQ161" s="86">
        <v>0</v>
      </c>
      <c r="AR161" s="87">
        <v>0</v>
      </c>
      <c r="AS161" s="87">
        <v>0</v>
      </c>
      <c r="AT161" s="87">
        <v>0</v>
      </c>
      <c r="AU161" s="87">
        <v>0</v>
      </c>
      <c r="AV161" s="87">
        <v>0</v>
      </c>
      <c r="AW161" s="87">
        <v>0</v>
      </c>
      <c r="AX161" s="87">
        <v>0</v>
      </c>
      <c r="AY161" s="87">
        <v>0</v>
      </c>
      <c r="AZ161" s="87">
        <v>0</v>
      </c>
      <c r="BA161" s="87">
        <v>0</v>
      </c>
      <c r="BB161" s="87">
        <v>0</v>
      </c>
      <c r="BC161" s="86">
        <v>0</v>
      </c>
      <c r="BD161" s="87">
        <v>0</v>
      </c>
      <c r="BE161" s="87">
        <v>0</v>
      </c>
      <c r="BF161" s="87">
        <v>0</v>
      </c>
      <c r="BG161" s="87">
        <v>0</v>
      </c>
      <c r="BH161" s="87">
        <v>0</v>
      </c>
      <c r="BI161" s="87">
        <v>0</v>
      </c>
      <c r="BJ161" s="40">
        <v>0</v>
      </c>
      <c r="BK161" s="40">
        <v>0</v>
      </c>
      <c r="BL161" s="40">
        <v>0</v>
      </c>
      <c r="BM161" s="40">
        <v>0</v>
      </c>
      <c r="BN161" s="87"/>
      <c r="BO161" s="86"/>
      <c r="BP161" s="21">
        <v>0</v>
      </c>
      <c r="BQ161" s="21">
        <v>0</v>
      </c>
      <c r="BR161" s="21">
        <v>0</v>
      </c>
      <c r="BS161" s="21">
        <v>0</v>
      </c>
      <c r="BT161" s="21">
        <v>0</v>
      </c>
      <c r="BU161" s="42">
        <v>0</v>
      </c>
      <c r="BV161" s="21">
        <v>0</v>
      </c>
      <c r="BW161" s="21">
        <v>0</v>
      </c>
      <c r="BX161" s="21">
        <v>0</v>
      </c>
      <c r="BY161" s="21">
        <v>0</v>
      </c>
      <c r="BZ161" s="21">
        <v>0</v>
      </c>
      <c r="CA161" s="21">
        <v>0</v>
      </c>
      <c r="CB161" s="21">
        <v>0</v>
      </c>
      <c r="CC161" s="21">
        <v>0</v>
      </c>
      <c r="CD161" s="21">
        <v>0</v>
      </c>
      <c r="CE161" s="21">
        <v>0</v>
      </c>
      <c r="CF161" s="21">
        <v>0</v>
      </c>
      <c r="CG161" s="42">
        <v>0</v>
      </c>
      <c r="CH161" s="21">
        <v>0</v>
      </c>
      <c r="CI161" s="21">
        <v>0</v>
      </c>
      <c r="CJ161" s="21">
        <v>0</v>
      </c>
      <c r="CK161" s="21">
        <v>0</v>
      </c>
      <c r="CL161" s="21">
        <v>0</v>
      </c>
      <c r="CM161" s="21">
        <v>0</v>
      </c>
      <c r="CN161" s="21">
        <v>0</v>
      </c>
      <c r="CO161" s="21">
        <v>0</v>
      </c>
      <c r="CP161" s="21">
        <f t="shared" si="278"/>
        <v>0</v>
      </c>
      <c r="CQ161" s="344">
        <f t="shared" si="279"/>
        <v>0</v>
      </c>
      <c r="CR161" s="87"/>
      <c r="CS161" s="86"/>
      <c r="CT161" s="85">
        <f t="shared" si="280"/>
        <v>0</v>
      </c>
      <c r="CU161" s="85">
        <f t="shared" si="281"/>
        <v>1</v>
      </c>
      <c r="CV161" s="85">
        <f t="shared" si="282"/>
        <v>3</v>
      </c>
      <c r="CW161" s="85">
        <f t="shared" si="283"/>
        <v>0</v>
      </c>
      <c r="CX161" s="85">
        <f t="shared" si="284"/>
        <v>0</v>
      </c>
      <c r="CY161" s="86">
        <f t="shared" si="285"/>
        <v>0</v>
      </c>
      <c r="CZ161" s="87">
        <f t="shared" si="286"/>
        <v>0</v>
      </c>
      <c r="DA161" s="87">
        <f t="shared" si="287"/>
        <v>0</v>
      </c>
      <c r="DB161" s="87">
        <f t="shared" si="288"/>
        <v>0</v>
      </c>
      <c r="DC161" s="87">
        <f t="shared" si="289"/>
        <v>0</v>
      </c>
      <c r="DD161" s="87">
        <f t="shared" si="290"/>
        <v>0</v>
      </c>
      <c r="DE161" s="87">
        <f t="shared" si="291"/>
        <v>0</v>
      </c>
      <c r="DF161" s="87">
        <f t="shared" si="292"/>
        <v>0</v>
      </c>
      <c r="DG161" s="87">
        <f t="shared" si="293"/>
        <v>0</v>
      </c>
      <c r="DH161" s="87">
        <f t="shared" si="294"/>
        <v>0</v>
      </c>
      <c r="DI161" s="87">
        <f t="shared" si="295"/>
        <v>0</v>
      </c>
      <c r="DJ161" s="87">
        <f t="shared" si="296"/>
        <v>0</v>
      </c>
      <c r="DK161" s="86">
        <f t="shared" si="297"/>
        <v>0</v>
      </c>
      <c r="DL161" s="87">
        <f t="shared" si="298"/>
        <v>0</v>
      </c>
      <c r="DM161" s="87">
        <f t="shared" si="299"/>
        <v>0</v>
      </c>
      <c r="DN161" s="87">
        <f t="shared" si="300"/>
        <v>0</v>
      </c>
      <c r="DO161" s="87">
        <f t="shared" si="301"/>
        <v>0</v>
      </c>
      <c r="DP161" s="87">
        <f t="shared" si="302"/>
        <v>0</v>
      </c>
      <c r="DQ161" s="87">
        <f t="shared" si="303"/>
        <v>0</v>
      </c>
      <c r="DR161" s="87">
        <f t="shared" si="218"/>
        <v>0</v>
      </c>
      <c r="DS161" s="87">
        <f t="shared" si="243"/>
        <v>0</v>
      </c>
      <c r="DT161" s="87">
        <f t="shared" si="304"/>
        <v>0</v>
      </c>
      <c r="DU161" s="87">
        <f t="shared" si="305"/>
        <v>0</v>
      </c>
      <c r="DV161" s="87">
        <f t="shared" si="306"/>
        <v>0</v>
      </c>
      <c r="DW161" s="87">
        <f t="shared" si="307"/>
        <v>0</v>
      </c>
    </row>
    <row r="162" spans="1:127">
      <c r="A162" s="22" t="s">
        <v>15</v>
      </c>
      <c r="B162" s="26">
        <v>4987176126467</v>
      </c>
      <c r="C162" s="22" t="s">
        <v>16</v>
      </c>
      <c r="D162" s="22" t="s">
        <v>18</v>
      </c>
      <c r="E162" s="22">
        <v>137053</v>
      </c>
      <c r="F162" s="80" t="s">
        <v>266</v>
      </c>
      <c r="G162" s="25">
        <v>675</v>
      </c>
      <c r="H162" s="85">
        <f t="shared" si="248"/>
        <v>0</v>
      </c>
      <c r="I162" s="85">
        <f t="shared" si="249"/>
        <v>0</v>
      </c>
      <c r="J162" s="85">
        <f t="shared" si="250"/>
        <v>0</v>
      </c>
      <c r="K162" s="85">
        <f t="shared" si="251"/>
        <v>0</v>
      </c>
      <c r="L162" s="85">
        <f t="shared" si="252"/>
        <v>0</v>
      </c>
      <c r="M162" s="86">
        <f t="shared" si="253"/>
        <v>0</v>
      </c>
      <c r="N162" s="87">
        <f t="shared" si="254"/>
        <v>0</v>
      </c>
      <c r="O162" s="87">
        <f t="shared" si="255"/>
        <v>0</v>
      </c>
      <c r="P162" s="87">
        <f t="shared" si="256"/>
        <v>0</v>
      </c>
      <c r="Q162" s="87">
        <f t="shared" si="257"/>
        <v>0</v>
      </c>
      <c r="R162" s="87">
        <f t="shared" si="258"/>
        <v>0</v>
      </c>
      <c r="S162" s="87">
        <f t="shared" si="259"/>
        <v>0</v>
      </c>
      <c r="T162" s="87">
        <f t="shared" si="260"/>
        <v>0</v>
      </c>
      <c r="U162" s="87">
        <f t="shared" si="261"/>
        <v>0</v>
      </c>
      <c r="V162" s="87">
        <f t="shared" si="262"/>
        <v>675</v>
      </c>
      <c r="W162" s="87">
        <f t="shared" si="263"/>
        <v>132300</v>
      </c>
      <c r="X162" s="87">
        <f t="shared" si="264"/>
        <v>299025</v>
      </c>
      <c r="Y162" s="86">
        <f t="shared" si="265"/>
        <v>165375</v>
      </c>
      <c r="Z162" s="87">
        <f t="shared" si="266"/>
        <v>69525</v>
      </c>
      <c r="AA162" s="87">
        <f t="shared" si="267"/>
        <v>675</v>
      </c>
      <c r="AB162" s="87">
        <f t="shared" si="268"/>
        <v>675</v>
      </c>
      <c r="AC162" s="87">
        <f t="shared" si="269"/>
        <v>1350</v>
      </c>
      <c r="AD162" s="87">
        <f t="shared" si="270"/>
        <v>0</v>
      </c>
      <c r="AE162" s="87">
        <f t="shared" si="271"/>
        <v>675</v>
      </c>
      <c r="AF162" s="87">
        <f t="shared" si="272"/>
        <v>0</v>
      </c>
      <c r="AG162" s="87">
        <f t="shared" si="273"/>
        <v>0</v>
      </c>
      <c r="AH162" s="87">
        <f t="shared" si="274"/>
        <v>0</v>
      </c>
      <c r="AI162" s="87">
        <f t="shared" si="275"/>
        <v>675</v>
      </c>
      <c r="AJ162" s="87">
        <f t="shared" si="276"/>
        <v>0</v>
      </c>
      <c r="AK162" s="86">
        <f t="shared" si="277"/>
        <v>0</v>
      </c>
      <c r="AL162" s="85">
        <v>0</v>
      </c>
      <c r="AM162" s="85">
        <v>0</v>
      </c>
      <c r="AN162" s="85">
        <v>0</v>
      </c>
      <c r="AO162" s="85">
        <v>0</v>
      </c>
      <c r="AP162" s="85">
        <v>0</v>
      </c>
      <c r="AQ162" s="86">
        <v>0</v>
      </c>
      <c r="AR162" s="87">
        <v>0</v>
      </c>
      <c r="AS162" s="87">
        <v>0</v>
      </c>
      <c r="AT162" s="87">
        <v>0</v>
      </c>
      <c r="AU162" s="87">
        <v>0</v>
      </c>
      <c r="AV162" s="87">
        <v>0</v>
      </c>
      <c r="AW162" s="87">
        <v>0</v>
      </c>
      <c r="AX162" s="87">
        <v>0</v>
      </c>
      <c r="AY162" s="87">
        <v>0</v>
      </c>
      <c r="AZ162" s="87">
        <v>0</v>
      </c>
      <c r="BA162" s="87">
        <v>177</v>
      </c>
      <c r="BB162" s="87">
        <v>427</v>
      </c>
      <c r="BC162" s="86">
        <v>236</v>
      </c>
      <c r="BD162" s="87">
        <v>103</v>
      </c>
      <c r="BE162" s="87">
        <v>1</v>
      </c>
      <c r="BF162" s="87">
        <v>1</v>
      </c>
      <c r="BG162" s="87">
        <v>2</v>
      </c>
      <c r="BH162" s="87">
        <v>0</v>
      </c>
      <c r="BI162" s="87">
        <v>1</v>
      </c>
      <c r="BJ162" s="40">
        <v>0</v>
      </c>
      <c r="BK162" s="40">
        <v>0</v>
      </c>
      <c r="BL162" s="40">
        <v>0</v>
      </c>
      <c r="BM162" s="40">
        <v>1</v>
      </c>
      <c r="BN162" s="87"/>
      <c r="BO162" s="86"/>
      <c r="BP162" s="21">
        <v>0</v>
      </c>
      <c r="BQ162" s="21">
        <v>0</v>
      </c>
      <c r="BR162" s="21">
        <v>0</v>
      </c>
      <c r="BS162" s="21">
        <v>0</v>
      </c>
      <c r="BT162" s="21">
        <v>0</v>
      </c>
      <c r="BU162" s="42">
        <v>0</v>
      </c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1</v>
      </c>
      <c r="CE162" s="21">
        <v>19</v>
      </c>
      <c r="CF162" s="21">
        <v>16</v>
      </c>
      <c r="CG162" s="42">
        <v>9</v>
      </c>
      <c r="CH162" s="21">
        <v>0</v>
      </c>
      <c r="CI162" s="21">
        <v>0</v>
      </c>
      <c r="CJ162" s="21">
        <v>0</v>
      </c>
      <c r="CK162" s="21">
        <v>0</v>
      </c>
      <c r="CL162" s="21">
        <v>0</v>
      </c>
      <c r="CM162" s="21">
        <v>0</v>
      </c>
      <c r="CN162" s="21">
        <v>0</v>
      </c>
      <c r="CO162" s="21">
        <v>0</v>
      </c>
      <c r="CP162" s="21">
        <f t="shared" si="278"/>
        <v>0</v>
      </c>
      <c r="CQ162" s="344">
        <f t="shared" si="279"/>
        <v>0</v>
      </c>
      <c r="CR162" s="87"/>
      <c r="CS162" s="86"/>
      <c r="CT162" s="85">
        <f t="shared" si="280"/>
        <v>0</v>
      </c>
      <c r="CU162" s="85">
        <f t="shared" si="281"/>
        <v>0</v>
      </c>
      <c r="CV162" s="85">
        <f t="shared" si="282"/>
        <v>0</v>
      </c>
      <c r="CW162" s="85">
        <f t="shared" si="283"/>
        <v>0</v>
      </c>
      <c r="CX162" s="85">
        <f t="shared" si="284"/>
        <v>0</v>
      </c>
      <c r="CY162" s="86">
        <f t="shared" si="285"/>
        <v>0</v>
      </c>
      <c r="CZ162" s="87">
        <f t="shared" si="286"/>
        <v>0</v>
      </c>
      <c r="DA162" s="87">
        <f t="shared" si="287"/>
        <v>0</v>
      </c>
      <c r="DB162" s="87">
        <f t="shared" si="288"/>
        <v>0</v>
      </c>
      <c r="DC162" s="87">
        <f t="shared" si="289"/>
        <v>0</v>
      </c>
      <c r="DD162" s="87">
        <f t="shared" si="290"/>
        <v>0</v>
      </c>
      <c r="DE162" s="87">
        <f t="shared" si="291"/>
        <v>0</v>
      </c>
      <c r="DF162" s="87">
        <f t="shared" si="292"/>
        <v>0</v>
      </c>
      <c r="DG162" s="87">
        <f t="shared" si="293"/>
        <v>0</v>
      </c>
      <c r="DH162" s="87">
        <f t="shared" si="294"/>
        <v>1</v>
      </c>
      <c r="DI162" s="87">
        <f t="shared" si="295"/>
        <v>196</v>
      </c>
      <c r="DJ162" s="87">
        <f t="shared" si="296"/>
        <v>443</v>
      </c>
      <c r="DK162" s="86">
        <f t="shared" si="297"/>
        <v>245</v>
      </c>
      <c r="DL162" s="87">
        <f t="shared" si="298"/>
        <v>103</v>
      </c>
      <c r="DM162" s="87">
        <f t="shared" si="299"/>
        <v>1</v>
      </c>
      <c r="DN162" s="87">
        <f t="shared" si="300"/>
        <v>1</v>
      </c>
      <c r="DO162" s="87">
        <f t="shared" si="301"/>
        <v>2</v>
      </c>
      <c r="DP162" s="87">
        <f t="shared" si="302"/>
        <v>0</v>
      </c>
      <c r="DQ162" s="87">
        <f t="shared" si="303"/>
        <v>1</v>
      </c>
      <c r="DR162" s="87">
        <f t="shared" si="218"/>
        <v>0</v>
      </c>
      <c r="DS162" s="87">
        <f t="shared" si="243"/>
        <v>0</v>
      </c>
      <c r="DT162" s="87">
        <f t="shared" si="304"/>
        <v>0</v>
      </c>
      <c r="DU162" s="87">
        <f t="shared" si="305"/>
        <v>1</v>
      </c>
      <c r="DV162" s="87">
        <f t="shared" si="306"/>
        <v>0</v>
      </c>
      <c r="DW162" s="87">
        <f t="shared" si="307"/>
        <v>0</v>
      </c>
    </row>
    <row r="163" spans="1:127">
      <c r="A163" s="22" t="s">
        <v>15</v>
      </c>
      <c r="B163" s="26">
        <v>4902430529891</v>
      </c>
      <c r="C163" s="22" t="s">
        <v>16</v>
      </c>
      <c r="D163" s="46" t="s">
        <v>106</v>
      </c>
      <c r="E163" s="22">
        <v>167358</v>
      </c>
      <c r="F163" s="80" t="s">
        <v>267</v>
      </c>
      <c r="G163" s="25">
        <v>550.28583333333336</v>
      </c>
      <c r="H163" s="85">
        <f t="shared" si="248"/>
        <v>22011.433333333334</v>
      </c>
      <c r="I163" s="85">
        <f t="shared" si="249"/>
        <v>19810.29</v>
      </c>
      <c r="J163" s="85">
        <f t="shared" si="250"/>
        <v>12656.574166666667</v>
      </c>
      <c r="K163" s="85">
        <f t="shared" si="251"/>
        <v>9354.8591666666671</v>
      </c>
      <c r="L163" s="85">
        <f t="shared" si="252"/>
        <v>17609.146666666667</v>
      </c>
      <c r="M163" s="86">
        <f t="shared" si="253"/>
        <v>11005.716666666667</v>
      </c>
      <c r="N163" s="87">
        <f t="shared" si="254"/>
        <v>6053.1441666666669</v>
      </c>
      <c r="O163" s="87">
        <f t="shared" si="255"/>
        <v>4952.5725000000002</v>
      </c>
      <c r="P163" s="87">
        <f t="shared" si="256"/>
        <v>0</v>
      </c>
      <c r="Q163" s="87">
        <f t="shared" si="257"/>
        <v>550.28583333333336</v>
      </c>
      <c r="R163" s="87">
        <f t="shared" si="258"/>
        <v>0</v>
      </c>
      <c r="S163" s="87">
        <f t="shared" si="259"/>
        <v>0</v>
      </c>
      <c r="T163" s="87">
        <f t="shared" si="260"/>
        <v>0</v>
      </c>
      <c r="U163" s="87">
        <f t="shared" si="261"/>
        <v>0</v>
      </c>
      <c r="V163" s="87">
        <f t="shared" si="262"/>
        <v>0</v>
      </c>
      <c r="W163" s="87">
        <f t="shared" si="263"/>
        <v>0</v>
      </c>
      <c r="X163" s="87">
        <f t="shared" si="264"/>
        <v>0</v>
      </c>
      <c r="Y163" s="86">
        <f t="shared" si="265"/>
        <v>0</v>
      </c>
      <c r="Z163" s="87">
        <f t="shared" si="266"/>
        <v>0</v>
      </c>
      <c r="AA163" s="87">
        <f t="shared" si="267"/>
        <v>0</v>
      </c>
      <c r="AB163" s="87">
        <f t="shared" si="268"/>
        <v>0</v>
      </c>
      <c r="AC163" s="87">
        <f t="shared" si="269"/>
        <v>0</v>
      </c>
      <c r="AD163" s="87">
        <f t="shared" si="270"/>
        <v>0</v>
      </c>
      <c r="AE163" s="87">
        <f t="shared" si="271"/>
        <v>0</v>
      </c>
      <c r="AF163" s="87">
        <f t="shared" si="272"/>
        <v>0</v>
      </c>
      <c r="AG163" s="87">
        <f t="shared" si="273"/>
        <v>0</v>
      </c>
      <c r="AH163" s="87">
        <f t="shared" si="274"/>
        <v>0</v>
      </c>
      <c r="AI163" s="87">
        <f t="shared" si="275"/>
        <v>0</v>
      </c>
      <c r="AJ163" s="87">
        <f t="shared" si="276"/>
        <v>0</v>
      </c>
      <c r="AK163" s="86">
        <f t="shared" si="277"/>
        <v>0</v>
      </c>
      <c r="AL163" s="85">
        <v>40</v>
      </c>
      <c r="AM163" s="85">
        <v>36</v>
      </c>
      <c r="AN163" s="85">
        <v>23</v>
      </c>
      <c r="AO163" s="85">
        <v>17</v>
      </c>
      <c r="AP163" s="85">
        <v>32</v>
      </c>
      <c r="AQ163" s="86">
        <v>20</v>
      </c>
      <c r="AR163" s="87">
        <v>11</v>
      </c>
      <c r="AS163" s="87">
        <v>9</v>
      </c>
      <c r="AT163" s="87">
        <v>0</v>
      </c>
      <c r="AU163" s="87">
        <v>1</v>
      </c>
      <c r="AV163" s="87">
        <v>0</v>
      </c>
      <c r="AW163" s="87">
        <v>0</v>
      </c>
      <c r="AX163" s="87">
        <v>0</v>
      </c>
      <c r="AY163" s="87">
        <v>0</v>
      </c>
      <c r="AZ163" s="87">
        <v>0</v>
      </c>
      <c r="BA163" s="87">
        <v>0</v>
      </c>
      <c r="BB163" s="87">
        <v>0</v>
      </c>
      <c r="BC163" s="86">
        <v>0</v>
      </c>
      <c r="BD163" s="87">
        <v>0</v>
      </c>
      <c r="BE163" s="87">
        <v>0</v>
      </c>
      <c r="BF163" s="87">
        <v>0</v>
      </c>
      <c r="BG163" s="87">
        <v>0</v>
      </c>
      <c r="BH163" s="87">
        <v>0</v>
      </c>
      <c r="BI163" s="87">
        <v>0</v>
      </c>
      <c r="BJ163" s="40">
        <v>0</v>
      </c>
      <c r="BK163" s="40">
        <v>0</v>
      </c>
      <c r="BL163" s="40">
        <v>0</v>
      </c>
      <c r="BM163" s="40">
        <v>0</v>
      </c>
      <c r="BN163" s="87"/>
      <c r="BO163" s="86"/>
      <c r="BP163" s="21">
        <v>0</v>
      </c>
      <c r="BQ163" s="21">
        <v>0</v>
      </c>
      <c r="BR163" s="21">
        <v>0</v>
      </c>
      <c r="BS163" s="21">
        <v>0</v>
      </c>
      <c r="BT163" s="21">
        <v>0</v>
      </c>
      <c r="BU163" s="42">
        <v>0</v>
      </c>
      <c r="BV163" s="21">
        <v>0</v>
      </c>
      <c r="BW163" s="21">
        <v>0</v>
      </c>
      <c r="BX163" s="21">
        <v>0</v>
      </c>
      <c r="BY163" s="21">
        <v>0</v>
      </c>
      <c r="BZ163" s="21">
        <v>0</v>
      </c>
      <c r="CA163" s="21">
        <v>0</v>
      </c>
      <c r="CB163" s="21">
        <v>0</v>
      </c>
      <c r="CC163" s="21">
        <v>0</v>
      </c>
      <c r="CD163" s="21">
        <v>0</v>
      </c>
      <c r="CE163" s="21">
        <v>0</v>
      </c>
      <c r="CF163" s="21">
        <v>0</v>
      </c>
      <c r="CG163" s="42">
        <v>0</v>
      </c>
      <c r="CH163" s="21">
        <v>0</v>
      </c>
      <c r="CI163" s="21">
        <v>0</v>
      </c>
      <c r="CJ163" s="21">
        <v>0</v>
      </c>
      <c r="CK163" s="21">
        <v>0</v>
      </c>
      <c r="CL163" s="21">
        <v>0</v>
      </c>
      <c r="CM163" s="21">
        <v>0</v>
      </c>
      <c r="CN163" s="21">
        <v>0</v>
      </c>
      <c r="CO163" s="21">
        <v>0</v>
      </c>
      <c r="CP163" s="21">
        <f t="shared" si="278"/>
        <v>0</v>
      </c>
      <c r="CQ163" s="344">
        <f t="shared" si="279"/>
        <v>0</v>
      </c>
      <c r="CR163" s="87"/>
      <c r="CS163" s="86"/>
      <c r="CT163" s="85">
        <f t="shared" si="280"/>
        <v>40</v>
      </c>
      <c r="CU163" s="85">
        <f t="shared" si="281"/>
        <v>36</v>
      </c>
      <c r="CV163" s="85">
        <f t="shared" si="282"/>
        <v>23</v>
      </c>
      <c r="CW163" s="85">
        <f t="shared" si="283"/>
        <v>17</v>
      </c>
      <c r="CX163" s="85">
        <f t="shared" si="284"/>
        <v>32</v>
      </c>
      <c r="CY163" s="86">
        <f t="shared" si="285"/>
        <v>20</v>
      </c>
      <c r="CZ163" s="87">
        <f t="shared" si="286"/>
        <v>11</v>
      </c>
      <c r="DA163" s="87">
        <f t="shared" si="287"/>
        <v>9</v>
      </c>
      <c r="DB163" s="87">
        <f t="shared" si="288"/>
        <v>0</v>
      </c>
      <c r="DC163" s="87">
        <f t="shared" si="289"/>
        <v>1</v>
      </c>
      <c r="DD163" s="87">
        <f t="shared" si="290"/>
        <v>0</v>
      </c>
      <c r="DE163" s="87">
        <f t="shared" si="291"/>
        <v>0</v>
      </c>
      <c r="DF163" s="87">
        <f t="shared" si="292"/>
        <v>0</v>
      </c>
      <c r="DG163" s="87">
        <f t="shared" si="293"/>
        <v>0</v>
      </c>
      <c r="DH163" s="87">
        <f t="shared" si="294"/>
        <v>0</v>
      </c>
      <c r="DI163" s="87">
        <f t="shared" si="295"/>
        <v>0</v>
      </c>
      <c r="DJ163" s="87">
        <f t="shared" si="296"/>
        <v>0</v>
      </c>
      <c r="DK163" s="86">
        <f t="shared" si="297"/>
        <v>0</v>
      </c>
      <c r="DL163" s="87">
        <f t="shared" si="298"/>
        <v>0</v>
      </c>
      <c r="DM163" s="87">
        <f t="shared" si="299"/>
        <v>0</v>
      </c>
      <c r="DN163" s="87">
        <f t="shared" si="300"/>
        <v>0</v>
      </c>
      <c r="DO163" s="87">
        <f t="shared" si="301"/>
        <v>0</v>
      </c>
      <c r="DP163" s="87">
        <f t="shared" si="302"/>
        <v>0</v>
      </c>
      <c r="DQ163" s="87">
        <f t="shared" si="303"/>
        <v>0</v>
      </c>
      <c r="DR163" s="87">
        <f t="shared" si="218"/>
        <v>0</v>
      </c>
      <c r="DS163" s="87">
        <f t="shared" si="243"/>
        <v>0</v>
      </c>
      <c r="DT163" s="87">
        <f t="shared" si="304"/>
        <v>0</v>
      </c>
      <c r="DU163" s="87">
        <f t="shared" si="305"/>
        <v>0</v>
      </c>
      <c r="DV163" s="87">
        <f t="shared" si="306"/>
        <v>0</v>
      </c>
      <c r="DW163" s="87">
        <f t="shared" si="307"/>
        <v>0</v>
      </c>
    </row>
    <row r="164" spans="1:127">
      <c r="A164" s="22" t="s">
        <v>15</v>
      </c>
      <c r="B164" s="26">
        <v>4902430682602</v>
      </c>
      <c r="C164" s="22" t="s">
        <v>16</v>
      </c>
      <c r="D164" s="22" t="s">
        <v>18</v>
      </c>
      <c r="E164" s="22">
        <v>726865</v>
      </c>
      <c r="F164" s="80" t="s">
        <v>268</v>
      </c>
      <c r="G164" s="25">
        <v>481.57166666666666</v>
      </c>
      <c r="H164" s="85">
        <f t="shared" si="248"/>
        <v>481.57166666666666</v>
      </c>
      <c r="I164" s="85">
        <f t="shared" si="249"/>
        <v>0</v>
      </c>
      <c r="J164" s="85">
        <f t="shared" si="250"/>
        <v>1444.7149999999999</v>
      </c>
      <c r="K164" s="85">
        <f t="shared" si="251"/>
        <v>481.57166666666666</v>
      </c>
      <c r="L164" s="85">
        <f t="shared" si="252"/>
        <v>963.14333333333332</v>
      </c>
      <c r="M164" s="86">
        <f t="shared" si="253"/>
        <v>0</v>
      </c>
      <c r="N164" s="87">
        <f t="shared" si="254"/>
        <v>0</v>
      </c>
      <c r="O164" s="87">
        <f t="shared" si="255"/>
        <v>0</v>
      </c>
      <c r="P164" s="87">
        <f t="shared" si="256"/>
        <v>0</v>
      </c>
      <c r="Q164" s="87">
        <f t="shared" si="257"/>
        <v>0</v>
      </c>
      <c r="R164" s="87">
        <f t="shared" si="258"/>
        <v>0</v>
      </c>
      <c r="S164" s="87">
        <f t="shared" si="259"/>
        <v>0</v>
      </c>
      <c r="T164" s="87">
        <f t="shared" si="260"/>
        <v>0</v>
      </c>
      <c r="U164" s="87">
        <f t="shared" si="261"/>
        <v>0</v>
      </c>
      <c r="V164" s="87">
        <f t="shared" si="262"/>
        <v>0</v>
      </c>
      <c r="W164" s="87">
        <f t="shared" si="263"/>
        <v>0</v>
      </c>
      <c r="X164" s="87">
        <f t="shared" si="264"/>
        <v>0</v>
      </c>
      <c r="Y164" s="86">
        <f t="shared" si="265"/>
        <v>0</v>
      </c>
      <c r="Z164" s="87">
        <f t="shared" si="266"/>
        <v>0</v>
      </c>
      <c r="AA164" s="87">
        <f t="shared" si="267"/>
        <v>0</v>
      </c>
      <c r="AB164" s="87">
        <f t="shared" si="268"/>
        <v>0</v>
      </c>
      <c r="AC164" s="87">
        <f t="shared" si="269"/>
        <v>0</v>
      </c>
      <c r="AD164" s="87">
        <f t="shared" si="270"/>
        <v>0</v>
      </c>
      <c r="AE164" s="87">
        <f t="shared" si="271"/>
        <v>0</v>
      </c>
      <c r="AF164" s="87">
        <f t="shared" si="272"/>
        <v>0</v>
      </c>
      <c r="AG164" s="87">
        <f t="shared" si="273"/>
        <v>0</v>
      </c>
      <c r="AH164" s="87">
        <f t="shared" si="274"/>
        <v>0</v>
      </c>
      <c r="AI164" s="87">
        <f t="shared" si="275"/>
        <v>0</v>
      </c>
      <c r="AJ164" s="87">
        <f t="shared" si="276"/>
        <v>0</v>
      </c>
      <c r="AK164" s="86">
        <f t="shared" si="277"/>
        <v>0</v>
      </c>
      <c r="AL164" s="85">
        <v>1</v>
      </c>
      <c r="AM164" s="85">
        <v>0</v>
      </c>
      <c r="AN164" s="85">
        <v>3</v>
      </c>
      <c r="AO164" s="85">
        <v>1</v>
      </c>
      <c r="AP164" s="85">
        <v>2</v>
      </c>
      <c r="AQ164" s="86">
        <v>0</v>
      </c>
      <c r="AR164" s="87">
        <v>0</v>
      </c>
      <c r="AS164" s="87">
        <v>0</v>
      </c>
      <c r="AT164" s="87">
        <v>0</v>
      </c>
      <c r="AU164" s="87">
        <v>0</v>
      </c>
      <c r="AV164" s="87">
        <v>0</v>
      </c>
      <c r="AW164" s="87">
        <v>0</v>
      </c>
      <c r="AX164" s="87">
        <v>0</v>
      </c>
      <c r="AY164" s="87">
        <v>0</v>
      </c>
      <c r="AZ164" s="87">
        <v>0</v>
      </c>
      <c r="BA164" s="87">
        <v>0</v>
      </c>
      <c r="BB164" s="87">
        <v>0</v>
      </c>
      <c r="BC164" s="86">
        <v>0</v>
      </c>
      <c r="BD164" s="87">
        <v>0</v>
      </c>
      <c r="BE164" s="87">
        <v>0</v>
      </c>
      <c r="BF164" s="87">
        <v>0</v>
      </c>
      <c r="BG164" s="87">
        <v>0</v>
      </c>
      <c r="BH164" s="87">
        <v>0</v>
      </c>
      <c r="BI164" s="87">
        <v>0</v>
      </c>
      <c r="BJ164" s="40">
        <v>0</v>
      </c>
      <c r="BK164" s="40">
        <v>0</v>
      </c>
      <c r="BL164" s="40">
        <v>0</v>
      </c>
      <c r="BM164" s="40">
        <v>0</v>
      </c>
      <c r="BN164" s="87"/>
      <c r="BO164" s="86"/>
      <c r="BP164" s="21">
        <v>0</v>
      </c>
      <c r="BQ164" s="21">
        <v>0</v>
      </c>
      <c r="BR164" s="21">
        <v>0</v>
      </c>
      <c r="BS164" s="21">
        <v>0</v>
      </c>
      <c r="BT164" s="21">
        <v>0</v>
      </c>
      <c r="BU164" s="42">
        <v>0</v>
      </c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42">
        <v>0</v>
      </c>
      <c r="CH164" s="21">
        <v>0</v>
      </c>
      <c r="CI164" s="21">
        <v>0</v>
      </c>
      <c r="CJ164" s="21">
        <v>0</v>
      </c>
      <c r="CK164" s="21">
        <v>0</v>
      </c>
      <c r="CL164" s="21">
        <v>0</v>
      </c>
      <c r="CM164" s="21">
        <v>0</v>
      </c>
      <c r="CN164" s="21">
        <v>0</v>
      </c>
      <c r="CO164" s="21">
        <v>0</v>
      </c>
      <c r="CP164" s="21">
        <f t="shared" si="278"/>
        <v>0</v>
      </c>
      <c r="CQ164" s="344">
        <f t="shared" si="279"/>
        <v>0</v>
      </c>
      <c r="CR164" s="87"/>
      <c r="CS164" s="86"/>
      <c r="CT164" s="85">
        <f t="shared" si="280"/>
        <v>1</v>
      </c>
      <c r="CU164" s="85">
        <f t="shared" si="281"/>
        <v>0</v>
      </c>
      <c r="CV164" s="85">
        <f t="shared" si="282"/>
        <v>3</v>
      </c>
      <c r="CW164" s="85">
        <f t="shared" si="283"/>
        <v>1</v>
      </c>
      <c r="CX164" s="85">
        <f t="shared" si="284"/>
        <v>2</v>
      </c>
      <c r="CY164" s="86">
        <f t="shared" si="285"/>
        <v>0</v>
      </c>
      <c r="CZ164" s="87">
        <f t="shared" si="286"/>
        <v>0</v>
      </c>
      <c r="DA164" s="87">
        <f t="shared" si="287"/>
        <v>0</v>
      </c>
      <c r="DB164" s="87">
        <f t="shared" si="288"/>
        <v>0</v>
      </c>
      <c r="DC164" s="87">
        <f t="shared" si="289"/>
        <v>0</v>
      </c>
      <c r="DD164" s="87">
        <f t="shared" si="290"/>
        <v>0</v>
      </c>
      <c r="DE164" s="87">
        <f t="shared" si="291"/>
        <v>0</v>
      </c>
      <c r="DF164" s="87">
        <f t="shared" si="292"/>
        <v>0</v>
      </c>
      <c r="DG164" s="87">
        <f t="shared" si="293"/>
        <v>0</v>
      </c>
      <c r="DH164" s="87">
        <f t="shared" si="294"/>
        <v>0</v>
      </c>
      <c r="DI164" s="87">
        <f t="shared" si="295"/>
        <v>0</v>
      </c>
      <c r="DJ164" s="87">
        <f t="shared" si="296"/>
        <v>0</v>
      </c>
      <c r="DK164" s="86">
        <f t="shared" si="297"/>
        <v>0</v>
      </c>
      <c r="DL164" s="87">
        <f t="shared" si="298"/>
        <v>0</v>
      </c>
      <c r="DM164" s="87">
        <f t="shared" si="299"/>
        <v>0</v>
      </c>
      <c r="DN164" s="87">
        <f t="shared" si="300"/>
        <v>0</v>
      </c>
      <c r="DO164" s="87">
        <f t="shared" si="301"/>
        <v>0</v>
      </c>
      <c r="DP164" s="87">
        <f t="shared" si="302"/>
        <v>0</v>
      </c>
      <c r="DQ164" s="87">
        <f t="shared" si="303"/>
        <v>0</v>
      </c>
      <c r="DR164" s="87">
        <f t="shared" si="218"/>
        <v>0</v>
      </c>
      <c r="DS164" s="87">
        <f t="shared" si="243"/>
        <v>0</v>
      </c>
      <c r="DT164" s="87">
        <f t="shared" si="304"/>
        <v>0</v>
      </c>
      <c r="DU164" s="87">
        <f t="shared" si="305"/>
        <v>0</v>
      </c>
      <c r="DV164" s="87">
        <f t="shared" si="306"/>
        <v>0</v>
      </c>
      <c r="DW164" s="87">
        <f t="shared" si="307"/>
        <v>0</v>
      </c>
    </row>
    <row r="165" spans="1:127">
      <c r="A165" s="22" t="s">
        <v>15</v>
      </c>
      <c r="B165" s="26">
        <v>4902430529495</v>
      </c>
      <c r="C165" s="22" t="s">
        <v>16</v>
      </c>
      <c r="D165" s="22" t="s">
        <v>17</v>
      </c>
      <c r="E165" s="22">
        <v>167387</v>
      </c>
      <c r="F165" s="80" t="s">
        <v>269</v>
      </c>
      <c r="G165" s="25">
        <v>565.04750000000001</v>
      </c>
      <c r="H165" s="85">
        <f t="shared" si="248"/>
        <v>28817.422500000001</v>
      </c>
      <c r="I165" s="85">
        <f t="shared" si="249"/>
        <v>29947.517500000002</v>
      </c>
      <c r="J165" s="85">
        <f t="shared" si="250"/>
        <v>6780.57</v>
      </c>
      <c r="K165" s="85">
        <f t="shared" si="251"/>
        <v>8475.7124999999996</v>
      </c>
      <c r="L165" s="85">
        <f t="shared" si="252"/>
        <v>7910.665</v>
      </c>
      <c r="M165" s="86">
        <f t="shared" si="253"/>
        <v>1695.1424999999999</v>
      </c>
      <c r="N165" s="87">
        <f t="shared" si="254"/>
        <v>565.04750000000001</v>
      </c>
      <c r="O165" s="87">
        <f t="shared" si="255"/>
        <v>0</v>
      </c>
      <c r="P165" s="87">
        <f t="shared" si="256"/>
        <v>0</v>
      </c>
      <c r="Q165" s="87">
        <f t="shared" si="257"/>
        <v>0</v>
      </c>
      <c r="R165" s="87">
        <f t="shared" si="258"/>
        <v>0</v>
      </c>
      <c r="S165" s="87">
        <f t="shared" si="259"/>
        <v>0</v>
      </c>
      <c r="T165" s="87">
        <f t="shared" si="260"/>
        <v>0</v>
      </c>
      <c r="U165" s="87">
        <f t="shared" si="261"/>
        <v>0</v>
      </c>
      <c r="V165" s="87">
        <f t="shared" si="262"/>
        <v>0</v>
      </c>
      <c r="W165" s="87">
        <f t="shared" si="263"/>
        <v>0</v>
      </c>
      <c r="X165" s="87">
        <f t="shared" si="264"/>
        <v>0</v>
      </c>
      <c r="Y165" s="86">
        <f t="shared" si="265"/>
        <v>0</v>
      </c>
      <c r="Z165" s="87">
        <f t="shared" si="266"/>
        <v>0</v>
      </c>
      <c r="AA165" s="87">
        <f t="shared" si="267"/>
        <v>0</v>
      </c>
      <c r="AB165" s="87">
        <f t="shared" si="268"/>
        <v>0</v>
      </c>
      <c r="AC165" s="87">
        <f t="shared" si="269"/>
        <v>0</v>
      </c>
      <c r="AD165" s="87">
        <f t="shared" si="270"/>
        <v>0</v>
      </c>
      <c r="AE165" s="87">
        <f t="shared" si="271"/>
        <v>0</v>
      </c>
      <c r="AF165" s="87">
        <f t="shared" si="272"/>
        <v>0</v>
      </c>
      <c r="AG165" s="87">
        <f t="shared" si="273"/>
        <v>0</v>
      </c>
      <c r="AH165" s="87">
        <f t="shared" ref="AH165:AH196" si="308">DT165*$G165</f>
        <v>0</v>
      </c>
      <c r="AI165" s="87">
        <f t="shared" ref="AI165:AI196" si="309">DU165*$G165</f>
        <v>0</v>
      </c>
      <c r="AJ165" s="87">
        <f t="shared" ref="AJ165:AJ196" si="310">DV165*$G165</f>
        <v>0</v>
      </c>
      <c r="AK165" s="86">
        <f t="shared" ref="AK165:AK196" si="311">DW165*$G165</f>
        <v>0</v>
      </c>
      <c r="AL165" s="85">
        <v>51</v>
      </c>
      <c r="AM165" s="85">
        <v>53</v>
      </c>
      <c r="AN165" s="85">
        <v>12</v>
      </c>
      <c r="AO165" s="85">
        <v>15</v>
      </c>
      <c r="AP165" s="85">
        <v>14</v>
      </c>
      <c r="AQ165" s="86">
        <v>3</v>
      </c>
      <c r="AR165" s="87">
        <v>1</v>
      </c>
      <c r="AS165" s="87">
        <v>0</v>
      </c>
      <c r="AT165" s="87">
        <v>0</v>
      </c>
      <c r="AU165" s="87">
        <v>0</v>
      </c>
      <c r="AV165" s="87">
        <v>0</v>
      </c>
      <c r="AW165" s="87">
        <v>0</v>
      </c>
      <c r="AX165" s="87">
        <v>0</v>
      </c>
      <c r="AY165" s="87">
        <v>0</v>
      </c>
      <c r="AZ165" s="87">
        <v>0</v>
      </c>
      <c r="BA165" s="87">
        <v>0</v>
      </c>
      <c r="BB165" s="87">
        <v>0</v>
      </c>
      <c r="BC165" s="86">
        <v>0</v>
      </c>
      <c r="BD165" s="87">
        <v>0</v>
      </c>
      <c r="BE165" s="87">
        <v>0</v>
      </c>
      <c r="BF165" s="87">
        <v>0</v>
      </c>
      <c r="BG165" s="87">
        <v>0</v>
      </c>
      <c r="BH165" s="87">
        <v>0</v>
      </c>
      <c r="BI165" s="87">
        <v>0</v>
      </c>
      <c r="BJ165" s="40">
        <v>0</v>
      </c>
      <c r="BK165" s="40">
        <v>0</v>
      </c>
      <c r="BL165" s="40">
        <v>0</v>
      </c>
      <c r="BM165" s="40">
        <v>0</v>
      </c>
      <c r="BN165" s="87"/>
      <c r="BO165" s="86"/>
      <c r="BP165" s="21">
        <v>0</v>
      </c>
      <c r="BQ165" s="21">
        <v>0</v>
      </c>
      <c r="BR165" s="21">
        <v>0</v>
      </c>
      <c r="BS165" s="21">
        <v>0</v>
      </c>
      <c r="BT165" s="21">
        <v>0</v>
      </c>
      <c r="BU165" s="42">
        <v>0</v>
      </c>
      <c r="BV165" s="21">
        <v>0</v>
      </c>
      <c r="BW165" s="21">
        <v>0</v>
      </c>
      <c r="BX165" s="21">
        <v>0</v>
      </c>
      <c r="BY165" s="21">
        <v>0</v>
      </c>
      <c r="BZ165" s="21">
        <v>0</v>
      </c>
      <c r="CA165" s="21">
        <v>0</v>
      </c>
      <c r="CB165" s="21">
        <v>0</v>
      </c>
      <c r="CC165" s="21">
        <v>0</v>
      </c>
      <c r="CD165" s="21">
        <v>0</v>
      </c>
      <c r="CE165" s="21">
        <v>0</v>
      </c>
      <c r="CF165" s="21">
        <v>0</v>
      </c>
      <c r="CG165" s="42">
        <v>0</v>
      </c>
      <c r="CH165" s="21">
        <v>0</v>
      </c>
      <c r="CI165" s="21">
        <v>0</v>
      </c>
      <c r="CJ165" s="21">
        <v>0</v>
      </c>
      <c r="CK165" s="21">
        <v>0</v>
      </c>
      <c r="CL165" s="21">
        <v>0</v>
      </c>
      <c r="CM165" s="21">
        <v>0</v>
      </c>
      <c r="CN165" s="21">
        <v>0</v>
      </c>
      <c r="CO165" s="21">
        <v>0</v>
      </c>
      <c r="CP165" s="21">
        <f t="shared" si="278"/>
        <v>0</v>
      </c>
      <c r="CQ165" s="344">
        <f t="shared" si="279"/>
        <v>0</v>
      </c>
      <c r="CR165" s="87"/>
      <c r="CS165" s="86"/>
      <c r="CT165" s="85">
        <f t="shared" ref="CT165:CT196" si="312">AL165+BP165</f>
        <v>51</v>
      </c>
      <c r="CU165" s="85">
        <f t="shared" ref="CU165:CU196" si="313">AM165+BQ165</f>
        <v>53</v>
      </c>
      <c r="CV165" s="85">
        <f t="shared" ref="CV165:CV196" si="314">AN165+BR165</f>
        <v>12</v>
      </c>
      <c r="CW165" s="85">
        <f t="shared" ref="CW165:CW196" si="315">AO165+BS165</f>
        <v>15</v>
      </c>
      <c r="CX165" s="85">
        <f t="shared" ref="CX165:CX196" si="316">AP165+BT165</f>
        <v>14</v>
      </c>
      <c r="CY165" s="86">
        <f t="shared" ref="CY165:CY196" si="317">AQ165+BU165</f>
        <v>3</v>
      </c>
      <c r="CZ165" s="87">
        <f t="shared" ref="CZ165:CZ196" si="318">AR165+BV165</f>
        <v>1</v>
      </c>
      <c r="DA165" s="87">
        <f t="shared" ref="DA165:DA196" si="319">AS165+BW165</f>
        <v>0</v>
      </c>
      <c r="DB165" s="87">
        <f t="shared" ref="DB165:DB196" si="320">AT165+BX165</f>
        <v>0</v>
      </c>
      <c r="DC165" s="87">
        <f t="shared" ref="DC165:DC196" si="321">AU165+BY165</f>
        <v>0</v>
      </c>
      <c r="DD165" s="87">
        <f t="shared" ref="DD165:DD196" si="322">AV165+BZ165</f>
        <v>0</v>
      </c>
      <c r="DE165" s="87">
        <f t="shared" ref="DE165:DE196" si="323">AW165+CA165</f>
        <v>0</v>
      </c>
      <c r="DF165" s="87">
        <f t="shared" ref="DF165:DF196" si="324">AX165+CB165</f>
        <v>0</v>
      </c>
      <c r="DG165" s="87">
        <f t="shared" ref="DG165:DG196" si="325">AY165+CC165</f>
        <v>0</v>
      </c>
      <c r="DH165" s="87">
        <f t="shared" ref="DH165:DH196" si="326">AZ165+CD165</f>
        <v>0</v>
      </c>
      <c r="DI165" s="87">
        <f t="shared" ref="DI165:DI196" si="327">BA165+CE165</f>
        <v>0</v>
      </c>
      <c r="DJ165" s="87">
        <f t="shared" ref="DJ165:DJ196" si="328">BB165+CF165</f>
        <v>0</v>
      </c>
      <c r="DK165" s="86">
        <f t="shared" ref="DK165:DK196" si="329">BC165+CG165</f>
        <v>0</v>
      </c>
      <c r="DL165" s="87">
        <f t="shared" ref="DL165:DL196" si="330">BD165+CH165</f>
        <v>0</v>
      </c>
      <c r="DM165" s="87">
        <f t="shared" ref="DM165:DM196" si="331">BE165+CI165</f>
        <v>0</v>
      </c>
      <c r="DN165" s="87">
        <f t="shared" ref="DN165:DN196" si="332">BF165+CJ165</f>
        <v>0</v>
      </c>
      <c r="DO165" s="87">
        <f t="shared" ref="DO165:DO196" si="333">BG165+CK165</f>
        <v>0</v>
      </c>
      <c r="DP165" s="87">
        <f t="shared" ref="DP165:DP196" si="334">BH165+CL165</f>
        <v>0</v>
      </c>
      <c r="DQ165" s="87">
        <f t="shared" ref="DQ165:DQ196" si="335">BI165+CM165</f>
        <v>0</v>
      </c>
      <c r="DR165" s="87">
        <f t="shared" si="218"/>
        <v>0</v>
      </c>
      <c r="DS165" s="87">
        <f t="shared" si="243"/>
        <v>0</v>
      </c>
      <c r="DT165" s="87">
        <f t="shared" ref="DT165:DT197" si="336">BL165+CP165</f>
        <v>0</v>
      </c>
      <c r="DU165" s="87">
        <f t="shared" ref="DU165:DU197" si="337">BM165+CQ165</f>
        <v>0</v>
      </c>
      <c r="DV165" s="87">
        <f t="shared" ref="DV165:DV197" si="338">BN165+CR165</f>
        <v>0</v>
      </c>
      <c r="DW165" s="87">
        <f t="shared" ref="DW165:DW197" si="339">BO165+CS165</f>
        <v>0</v>
      </c>
    </row>
    <row r="166" spans="1:127">
      <c r="A166" s="22" t="s">
        <v>15</v>
      </c>
      <c r="B166" s="26">
        <v>4902430529907</v>
      </c>
      <c r="C166" s="22" t="s">
        <v>16</v>
      </c>
      <c r="D166" s="22" t="s">
        <v>17</v>
      </c>
      <c r="E166" s="22">
        <v>167361</v>
      </c>
      <c r="F166" s="80" t="s">
        <v>270</v>
      </c>
      <c r="G166" s="25">
        <v>488.38083333333333</v>
      </c>
      <c r="H166" s="85">
        <f t="shared" si="248"/>
        <v>976.76166666666666</v>
      </c>
      <c r="I166" s="85">
        <f t="shared" si="249"/>
        <v>0</v>
      </c>
      <c r="J166" s="85">
        <f t="shared" si="250"/>
        <v>0</v>
      </c>
      <c r="K166" s="85">
        <f t="shared" si="251"/>
        <v>0</v>
      </c>
      <c r="L166" s="85">
        <f t="shared" si="252"/>
        <v>0</v>
      </c>
      <c r="M166" s="86">
        <f t="shared" si="253"/>
        <v>0</v>
      </c>
      <c r="N166" s="87">
        <f t="shared" si="254"/>
        <v>0</v>
      </c>
      <c r="O166" s="87">
        <f t="shared" si="255"/>
        <v>0</v>
      </c>
      <c r="P166" s="87">
        <f t="shared" si="256"/>
        <v>0</v>
      </c>
      <c r="Q166" s="87">
        <f t="shared" si="257"/>
        <v>0</v>
      </c>
      <c r="R166" s="87">
        <f t="shared" si="258"/>
        <v>0</v>
      </c>
      <c r="S166" s="87">
        <f t="shared" si="259"/>
        <v>0</v>
      </c>
      <c r="T166" s="87">
        <f t="shared" si="260"/>
        <v>0</v>
      </c>
      <c r="U166" s="87">
        <f t="shared" si="261"/>
        <v>0</v>
      </c>
      <c r="V166" s="87">
        <f t="shared" si="262"/>
        <v>0</v>
      </c>
      <c r="W166" s="87">
        <f t="shared" si="263"/>
        <v>0</v>
      </c>
      <c r="X166" s="87">
        <f t="shared" si="264"/>
        <v>0</v>
      </c>
      <c r="Y166" s="86">
        <f t="shared" si="265"/>
        <v>0</v>
      </c>
      <c r="Z166" s="87">
        <f t="shared" si="266"/>
        <v>0</v>
      </c>
      <c r="AA166" s="87">
        <f t="shared" si="267"/>
        <v>0</v>
      </c>
      <c r="AB166" s="87">
        <f t="shared" si="268"/>
        <v>0</v>
      </c>
      <c r="AC166" s="87">
        <f t="shared" si="269"/>
        <v>0</v>
      </c>
      <c r="AD166" s="87">
        <f t="shared" si="270"/>
        <v>0</v>
      </c>
      <c r="AE166" s="87">
        <f t="shared" si="271"/>
        <v>0</v>
      </c>
      <c r="AF166" s="87">
        <f t="shared" si="272"/>
        <v>0</v>
      </c>
      <c r="AG166" s="87">
        <f t="shared" si="273"/>
        <v>0</v>
      </c>
      <c r="AH166" s="87">
        <f t="shared" si="308"/>
        <v>0</v>
      </c>
      <c r="AI166" s="87">
        <f t="shared" si="309"/>
        <v>0</v>
      </c>
      <c r="AJ166" s="87">
        <f t="shared" si="310"/>
        <v>0</v>
      </c>
      <c r="AK166" s="86">
        <f t="shared" si="311"/>
        <v>0</v>
      </c>
      <c r="AL166" s="85">
        <v>2</v>
      </c>
      <c r="AM166" s="85">
        <v>0</v>
      </c>
      <c r="AN166" s="85">
        <v>0</v>
      </c>
      <c r="AO166" s="85">
        <v>0</v>
      </c>
      <c r="AP166" s="85">
        <v>0</v>
      </c>
      <c r="AQ166" s="86">
        <v>0</v>
      </c>
      <c r="AR166" s="87">
        <v>0</v>
      </c>
      <c r="AS166" s="87">
        <v>0</v>
      </c>
      <c r="AT166" s="87">
        <v>0</v>
      </c>
      <c r="AU166" s="87">
        <v>0</v>
      </c>
      <c r="AV166" s="87">
        <v>0</v>
      </c>
      <c r="AW166" s="87">
        <v>0</v>
      </c>
      <c r="AX166" s="87">
        <v>0</v>
      </c>
      <c r="AY166" s="87">
        <v>0</v>
      </c>
      <c r="AZ166" s="87">
        <v>0</v>
      </c>
      <c r="BA166" s="87">
        <v>0</v>
      </c>
      <c r="BB166" s="87">
        <v>0</v>
      </c>
      <c r="BC166" s="86">
        <v>0</v>
      </c>
      <c r="BD166" s="87">
        <v>0</v>
      </c>
      <c r="BE166" s="87">
        <v>0</v>
      </c>
      <c r="BF166" s="87">
        <v>0</v>
      </c>
      <c r="BG166" s="87">
        <v>0</v>
      </c>
      <c r="BH166" s="87">
        <v>0</v>
      </c>
      <c r="BI166" s="87">
        <v>0</v>
      </c>
      <c r="BJ166" s="40">
        <v>0</v>
      </c>
      <c r="BK166" s="40">
        <v>0</v>
      </c>
      <c r="BL166" s="40">
        <v>0</v>
      </c>
      <c r="BM166" s="40">
        <v>0</v>
      </c>
      <c r="BN166" s="87"/>
      <c r="BO166" s="86"/>
      <c r="BP166" s="21">
        <v>0</v>
      </c>
      <c r="BQ166" s="21">
        <v>0</v>
      </c>
      <c r="BR166" s="21">
        <v>0</v>
      </c>
      <c r="BS166" s="21">
        <v>0</v>
      </c>
      <c r="BT166" s="21">
        <v>0</v>
      </c>
      <c r="BU166" s="42">
        <v>0</v>
      </c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42">
        <v>0</v>
      </c>
      <c r="CH166" s="21">
        <v>0</v>
      </c>
      <c r="CI166" s="21">
        <v>0</v>
      </c>
      <c r="CJ166" s="21">
        <v>0</v>
      </c>
      <c r="CK166" s="21">
        <v>0</v>
      </c>
      <c r="CL166" s="21">
        <v>0</v>
      </c>
      <c r="CM166" s="21">
        <v>0</v>
      </c>
      <c r="CN166" s="21">
        <v>0</v>
      </c>
      <c r="CO166" s="21">
        <v>0</v>
      </c>
      <c r="CP166" s="21">
        <f t="shared" si="278"/>
        <v>0</v>
      </c>
      <c r="CQ166" s="344">
        <f t="shared" si="279"/>
        <v>0</v>
      </c>
      <c r="CR166" s="87"/>
      <c r="CS166" s="86"/>
      <c r="CT166" s="85">
        <f t="shared" si="312"/>
        <v>2</v>
      </c>
      <c r="CU166" s="85">
        <f t="shared" si="313"/>
        <v>0</v>
      </c>
      <c r="CV166" s="85">
        <f t="shared" si="314"/>
        <v>0</v>
      </c>
      <c r="CW166" s="85">
        <f t="shared" si="315"/>
        <v>0</v>
      </c>
      <c r="CX166" s="85">
        <f t="shared" si="316"/>
        <v>0</v>
      </c>
      <c r="CY166" s="86">
        <f t="shared" si="317"/>
        <v>0</v>
      </c>
      <c r="CZ166" s="87">
        <f t="shared" si="318"/>
        <v>0</v>
      </c>
      <c r="DA166" s="87">
        <f t="shared" si="319"/>
        <v>0</v>
      </c>
      <c r="DB166" s="87">
        <f t="shared" si="320"/>
        <v>0</v>
      </c>
      <c r="DC166" s="87">
        <f t="shared" si="321"/>
        <v>0</v>
      </c>
      <c r="DD166" s="87">
        <f t="shared" si="322"/>
        <v>0</v>
      </c>
      <c r="DE166" s="87">
        <f t="shared" si="323"/>
        <v>0</v>
      </c>
      <c r="DF166" s="87">
        <f t="shared" si="324"/>
        <v>0</v>
      </c>
      <c r="DG166" s="87">
        <f t="shared" si="325"/>
        <v>0</v>
      </c>
      <c r="DH166" s="87">
        <f t="shared" si="326"/>
        <v>0</v>
      </c>
      <c r="DI166" s="87">
        <f t="shared" si="327"/>
        <v>0</v>
      </c>
      <c r="DJ166" s="87">
        <f t="shared" si="328"/>
        <v>0</v>
      </c>
      <c r="DK166" s="86">
        <f t="shared" si="329"/>
        <v>0</v>
      </c>
      <c r="DL166" s="87">
        <f t="shared" si="330"/>
        <v>0</v>
      </c>
      <c r="DM166" s="87">
        <f t="shared" si="331"/>
        <v>0</v>
      </c>
      <c r="DN166" s="87">
        <f t="shared" si="332"/>
        <v>0</v>
      </c>
      <c r="DO166" s="87">
        <f t="shared" si="333"/>
        <v>0</v>
      </c>
      <c r="DP166" s="87">
        <f t="shared" si="334"/>
        <v>0</v>
      </c>
      <c r="DQ166" s="87">
        <f t="shared" si="335"/>
        <v>0</v>
      </c>
      <c r="DR166" s="87">
        <f t="shared" si="218"/>
        <v>0</v>
      </c>
      <c r="DS166" s="87">
        <f t="shared" si="243"/>
        <v>0</v>
      </c>
      <c r="DT166" s="87">
        <f t="shared" si="336"/>
        <v>0</v>
      </c>
      <c r="DU166" s="87">
        <f t="shared" si="337"/>
        <v>0</v>
      </c>
      <c r="DV166" s="87">
        <f t="shared" si="338"/>
        <v>0</v>
      </c>
      <c r="DW166" s="87">
        <f t="shared" si="339"/>
        <v>0</v>
      </c>
    </row>
    <row r="167" spans="1:127">
      <c r="A167" s="22" t="s">
        <v>15</v>
      </c>
      <c r="B167" s="26">
        <v>4987176250353</v>
      </c>
      <c r="C167" s="22" t="s">
        <v>16</v>
      </c>
      <c r="D167" s="22" t="s">
        <v>18</v>
      </c>
      <c r="E167" s="22">
        <v>234863</v>
      </c>
      <c r="F167" s="80" t="s">
        <v>271</v>
      </c>
      <c r="G167" s="25">
        <v>281.93</v>
      </c>
      <c r="H167" s="85">
        <f t="shared" si="248"/>
        <v>0</v>
      </c>
      <c r="I167" s="85">
        <f t="shared" si="249"/>
        <v>0</v>
      </c>
      <c r="J167" s="85">
        <f t="shared" si="250"/>
        <v>0</v>
      </c>
      <c r="K167" s="85">
        <f t="shared" si="251"/>
        <v>0</v>
      </c>
      <c r="L167" s="85">
        <f t="shared" si="252"/>
        <v>60051.090000000004</v>
      </c>
      <c r="M167" s="86">
        <f t="shared" si="253"/>
        <v>122921.48</v>
      </c>
      <c r="N167" s="87">
        <f t="shared" si="254"/>
        <v>133070.96</v>
      </c>
      <c r="O167" s="87">
        <f t="shared" si="255"/>
        <v>75275.31</v>
      </c>
      <c r="P167" s="87">
        <f t="shared" si="256"/>
        <v>93882.69</v>
      </c>
      <c r="Q167" s="87">
        <f t="shared" si="257"/>
        <v>188893.1</v>
      </c>
      <c r="R167" s="87">
        <f t="shared" si="258"/>
        <v>58641.440000000002</v>
      </c>
      <c r="S167" s="87">
        <f t="shared" si="259"/>
        <v>47928.1</v>
      </c>
      <c r="T167" s="87">
        <f t="shared" si="260"/>
        <v>74429.52</v>
      </c>
      <c r="U167" s="87">
        <f t="shared" si="261"/>
        <v>97547.78</v>
      </c>
      <c r="V167" s="87">
        <f t="shared" si="262"/>
        <v>51593.19</v>
      </c>
      <c r="W167" s="87">
        <f t="shared" si="263"/>
        <v>48210.03</v>
      </c>
      <c r="X167" s="87">
        <f t="shared" si="264"/>
        <v>107697.26000000001</v>
      </c>
      <c r="Y167" s="86">
        <f t="shared" si="265"/>
        <v>110798.49</v>
      </c>
      <c r="Z167" s="87">
        <f t="shared" si="266"/>
        <v>94164.62</v>
      </c>
      <c r="AA167" s="87">
        <f t="shared" si="267"/>
        <v>47364.24</v>
      </c>
      <c r="AB167" s="87">
        <f t="shared" si="268"/>
        <v>72737.94</v>
      </c>
      <c r="AC167" s="87">
        <f t="shared" si="269"/>
        <v>94446.55</v>
      </c>
      <c r="AD167" s="87">
        <f t="shared" si="270"/>
        <v>42853.36</v>
      </c>
      <c r="AE167" s="87">
        <f t="shared" si="271"/>
        <v>48491.96</v>
      </c>
      <c r="AF167" s="87">
        <f t="shared" si="272"/>
        <v>71046.36</v>
      </c>
      <c r="AG167" s="87">
        <f t="shared" si="273"/>
        <v>50183.54</v>
      </c>
      <c r="AH167" s="87">
        <f t="shared" si="308"/>
        <v>12404.92</v>
      </c>
      <c r="AI167" s="87">
        <f t="shared" si="309"/>
        <v>29727.952222222222</v>
      </c>
      <c r="AJ167" s="87">
        <f t="shared" si="310"/>
        <v>0</v>
      </c>
      <c r="AK167" s="86">
        <f t="shared" si="311"/>
        <v>0</v>
      </c>
      <c r="AL167" s="85">
        <v>0</v>
      </c>
      <c r="AM167" s="85">
        <v>0</v>
      </c>
      <c r="AN167" s="85">
        <v>0</v>
      </c>
      <c r="AO167" s="85">
        <v>0</v>
      </c>
      <c r="AP167" s="85">
        <v>154</v>
      </c>
      <c r="AQ167" s="86">
        <v>330</v>
      </c>
      <c r="AR167" s="87">
        <v>421</v>
      </c>
      <c r="AS167" s="87">
        <v>228</v>
      </c>
      <c r="AT167" s="87">
        <v>270</v>
      </c>
      <c r="AU167" s="87">
        <v>551</v>
      </c>
      <c r="AV167" s="87">
        <v>178</v>
      </c>
      <c r="AW167" s="87">
        <v>159</v>
      </c>
      <c r="AX167" s="87">
        <v>252</v>
      </c>
      <c r="AY167" s="87">
        <v>304</v>
      </c>
      <c r="AZ167" s="87">
        <v>158</v>
      </c>
      <c r="BA167" s="87">
        <v>159</v>
      </c>
      <c r="BB167" s="87">
        <v>338</v>
      </c>
      <c r="BC167" s="86">
        <v>293</v>
      </c>
      <c r="BD167" s="87">
        <v>333</v>
      </c>
      <c r="BE167" s="87">
        <v>144</v>
      </c>
      <c r="BF167" s="87">
        <v>220</v>
      </c>
      <c r="BG167" s="87">
        <v>315</v>
      </c>
      <c r="BH167" s="87">
        <v>140</v>
      </c>
      <c r="BI167" s="87">
        <v>164</v>
      </c>
      <c r="BJ167" s="40">
        <v>215</v>
      </c>
      <c r="BK167" s="40">
        <v>174</v>
      </c>
      <c r="BL167" s="40">
        <v>40</v>
      </c>
      <c r="BM167" s="40">
        <v>89</v>
      </c>
      <c r="BN167" s="87"/>
      <c r="BO167" s="86"/>
      <c r="BP167" s="21">
        <v>0</v>
      </c>
      <c r="BQ167" s="21">
        <v>0</v>
      </c>
      <c r="BR167" s="21">
        <v>0</v>
      </c>
      <c r="BS167" s="21">
        <v>0</v>
      </c>
      <c r="BT167" s="21">
        <v>59</v>
      </c>
      <c r="BU167" s="42">
        <v>106</v>
      </c>
      <c r="BV167" s="21">
        <v>51</v>
      </c>
      <c r="BW167" s="21">
        <v>39</v>
      </c>
      <c r="BX167" s="21">
        <v>63</v>
      </c>
      <c r="BY167" s="21">
        <v>119</v>
      </c>
      <c r="BZ167" s="21">
        <v>30</v>
      </c>
      <c r="CA167" s="21">
        <v>11</v>
      </c>
      <c r="CB167" s="21">
        <v>12</v>
      </c>
      <c r="CC167" s="21">
        <v>42</v>
      </c>
      <c r="CD167" s="21">
        <v>25</v>
      </c>
      <c r="CE167" s="21">
        <v>12</v>
      </c>
      <c r="CF167" s="21">
        <v>44</v>
      </c>
      <c r="CG167" s="42">
        <v>100</v>
      </c>
      <c r="CH167" s="21">
        <v>1</v>
      </c>
      <c r="CI167" s="21">
        <v>24</v>
      </c>
      <c r="CJ167" s="21">
        <v>38</v>
      </c>
      <c r="CK167" s="21">
        <v>20</v>
      </c>
      <c r="CL167" s="21">
        <v>12</v>
      </c>
      <c r="CM167" s="21">
        <v>8</v>
      </c>
      <c r="CN167" s="21">
        <v>37</v>
      </c>
      <c r="CO167" s="21">
        <v>4</v>
      </c>
      <c r="CP167" s="21">
        <f t="shared" si="278"/>
        <v>4</v>
      </c>
      <c r="CQ167" s="344">
        <f t="shared" si="279"/>
        <v>16.444444444444443</v>
      </c>
      <c r="CR167" s="87"/>
      <c r="CS167" s="86"/>
      <c r="CT167" s="85">
        <f t="shared" si="312"/>
        <v>0</v>
      </c>
      <c r="CU167" s="85">
        <f t="shared" si="313"/>
        <v>0</v>
      </c>
      <c r="CV167" s="85">
        <f t="shared" si="314"/>
        <v>0</v>
      </c>
      <c r="CW167" s="85">
        <f t="shared" si="315"/>
        <v>0</v>
      </c>
      <c r="CX167" s="85">
        <f t="shared" si="316"/>
        <v>213</v>
      </c>
      <c r="CY167" s="86">
        <f t="shared" si="317"/>
        <v>436</v>
      </c>
      <c r="CZ167" s="87">
        <f t="shared" si="318"/>
        <v>472</v>
      </c>
      <c r="DA167" s="87">
        <f t="shared" si="319"/>
        <v>267</v>
      </c>
      <c r="DB167" s="87">
        <f t="shared" si="320"/>
        <v>333</v>
      </c>
      <c r="DC167" s="87">
        <f t="shared" si="321"/>
        <v>670</v>
      </c>
      <c r="DD167" s="87">
        <f t="shared" si="322"/>
        <v>208</v>
      </c>
      <c r="DE167" s="87">
        <f t="shared" si="323"/>
        <v>170</v>
      </c>
      <c r="DF167" s="87">
        <f t="shared" si="324"/>
        <v>264</v>
      </c>
      <c r="DG167" s="87">
        <f t="shared" si="325"/>
        <v>346</v>
      </c>
      <c r="DH167" s="87">
        <f t="shared" si="326"/>
        <v>183</v>
      </c>
      <c r="DI167" s="87">
        <f t="shared" si="327"/>
        <v>171</v>
      </c>
      <c r="DJ167" s="87">
        <f t="shared" si="328"/>
        <v>382</v>
      </c>
      <c r="DK167" s="86">
        <f t="shared" si="329"/>
        <v>393</v>
      </c>
      <c r="DL167" s="87">
        <f t="shared" si="330"/>
        <v>334</v>
      </c>
      <c r="DM167" s="87">
        <f t="shared" si="331"/>
        <v>168</v>
      </c>
      <c r="DN167" s="87">
        <f t="shared" si="332"/>
        <v>258</v>
      </c>
      <c r="DO167" s="87">
        <f t="shared" si="333"/>
        <v>335</v>
      </c>
      <c r="DP167" s="87">
        <f t="shared" si="334"/>
        <v>152</v>
      </c>
      <c r="DQ167" s="87">
        <f t="shared" si="335"/>
        <v>172</v>
      </c>
      <c r="DR167" s="87">
        <f t="shared" ref="DR167:DR230" si="340">BJ167+CN167</f>
        <v>252</v>
      </c>
      <c r="DS167" s="87">
        <f t="shared" si="243"/>
        <v>178</v>
      </c>
      <c r="DT167" s="87">
        <f t="shared" si="336"/>
        <v>44</v>
      </c>
      <c r="DU167" s="87">
        <f t="shared" si="337"/>
        <v>105.44444444444444</v>
      </c>
      <c r="DV167" s="87">
        <f t="shared" si="338"/>
        <v>0</v>
      </c>
      <c r="DW167" s="87">
        <f t="shared" si="339"/>
        <v>0</v>
      </c>
    </row>
    <row r="168" spans="1:127">
      <c r="A168" s="22" t="s">
        <v>15</v>
      </c>
      <c r="B168" s="26">
        <v>4902430682626</v>
      </c>
      <c r="C168" s="22" t="s">
        <v>16</v>
      </c>
      <c r="D168" s="22" t="s">
        <v>18</v>
      </c>
      <c r="E168" s="22">
        <v>726894</v>
      </c>
      <c r="F168" s="80" t="s">
        <v>272</v>
      </c>
      <c r="G168" s="25">
        <v>506.3341666666667</v>
      </c>
      <c r="H168" s="85">
        <f t="shared" si="248"/>
        <v>16202.693333333335</v>
      </c>
      <c r="I168" s="85">
        <f t="shared" si="249"/>
        <v>8607.6808333333338</v>
      </c>
      <c r="J168" s="85">
        <f t="shared" si="250"/>
        <v>0</v>
      </c>
      <c r="K168" s="85">
        <f t="shared" si="251"/>
        <v>0</v>
      </c>
      <c r="L168" s="85">
        <f t="shared" si="252"/>
        <v>0</v>
      </c>
      <c r="M168" s="86">
        <f t="shared" si="253"/>
        <v>0</v>
      </c>
      <c r="N168" s="87">
        <f t="shared" si="254"/>
        <v>0</v>
      </c>
      <c r="O168" s="87">
        <f t="shared" si="255"/>
        <v>1012.6683333333334</v>
      </c>
      <c r="P168" s="87">
        <f t="shared" si="256"/>
        <v>0</v>
      </c>
      <c r="Q168" s="87">
        <f t="shared" si="257"/>
        <v>0</v>
      </c>
      <c r="R168" s="87">
        <f t="shared" si="258"/>
        <v>0</v>
      </c>
      <c r="S168" s="87">
        <f t="shared" si="259"/>
        <v>0</v>
      </c>
      <c r="T168" s="87">
        <f t="shared" si="260"/>
        <v>0</v>
      </c>
      <c r="U168" s="87">
        <f t="shared" si="261"/>
        <v>0</v>
      </c>
      <c r="V168" s="87">
        <f t="shared" si="262"/>
        <v>0</v>
      </c>
      <c r="W168" s="87">
        <f t="shared" si="263"/>
        <v>0</v>
      </c>
      <c r="X168" s="87">
        <f t="shared" si="264"/>
        <v>0</v>
      </c>
      <c r="Y168" s="86">
        <f t="shared" si="265"/>
        <v>0</v>
      </c>
      <c r="Z168" s="87">
        <f t="shared" si="266"/>
        <v>0</v>
      </c>
      <c r="AA168" s="87">
        <f t="shared" si="267"/>
        <v>0</v>
      </c>
      <c r="AB168" s="87">
        <f t="shared" si="268"/>
        <v>0</v>
      </c>
      <c r="AC168" s="87">
        <f t="shared" si="269"/>
        <v>0</v>
      </c>
      <c r="AD168" s="87">
        <f t="shared" si="270"/>
        <v>0</v>
      </c>
      <c r="AE168" s="87">
        <f t="shared" si="271"/>
        <v>0</v>
      </c>
      <c r="AF168" s="87">
        <f t="shared" si="272"/>
        <v>0</v>
      </c>
      <c r="AG168" s="87">
        <f t="shared" si="273"/>
        <v>0</v>
      </c>
      <c r="AH168" s="87">
        <f t="shared" si="308"/>
        <v>0</v>
      </c>
      <c r="AI168" s="87">
        <f t="shared" si="309"/>
        <v>0</v>
      </c>
      <c r="AJ168" s="87">
        <f t="shared" si="310"/>
        <v>0</v>
      </c>
      <c r="AK168" s="86">
        <f t="shared" si="311"/>
        <v>0</v>
      </c>
      <c r="AL168" s="85">
        <v>32</v>
      </c>
      <c r="AM168" s="85">
        <v>17</v>
      </c>
      <c r="AN168" s="85">
        <v>0</v>
      </c>
      <c r="AO168" s="85">
        <v>0</v>
      </c>
      <c r="AP168" s="85">
        <v>0</v>
      </c>
      <c r="AQ168" s="86">
        <v>0</v>
      </c>
      <c r="AR168" s="87">
        <v>0</v>
      </c>
      <c r="AS168" s="87">
        <v>2</v>
      </c>
      <c r="AT168" s="87">
        <v>0</v>
      </c>
      <c r="AU168" s="87">
        <v>0</v>
      </c>
      <c r="AV168" s="87">
        <v>0</v>
      </c>
      <c r="AW168" s="87">
        <v>0</v>
      </c>
      <c r="AX168" s="87">
        <v>0</v>
      </c>
      <c r="AY168" s="87">
        <v>0</v>
      </c>
      <c r="AZ168" s="87">
        <v>0</v>
      </c>
      <c r="BA168" s="87">
        <v>0</v>
      </c>
      <c r="BB168" s="87">
        <v>0</v>
      </c>
      <c r="BC168" s="86">
        <v>0</v>
      </c>
      <c r="BD168" s="87">
        <v>0</v>
      </c>
      <c r="BE168" s="87">
        <v>0</v>
      </c>
      <c r="BF168" s="87">
        <v>0</v>
      </c>
      <c r="BG168" s="87">
        <v>0</v>
      </c>
      <c r="BH168" s="87">
        <v>0</v>
      </c>
      <c r="BI168" s="87">
        <v>0</v>
      </c>
      <c r="BJ168" s="40">
        <v>0</v>
      </c>
      <c r="BK168" s="40">
        <v>0</v>
      </c>
      <c r="BL168" s="40">
        <v>0</v>
      </c>
      <c r="BM168" s="40">
        <v>0</v>
      </c>
      <c r="BN168" s="87"/>
      <c r="BO168" s="86"/>
      <c r="BP168" s="21">
        <v>0</v>
      </c>
      <c r="BQ168" s="21">
        <v>0</v>
      </c>
      <c r="BR168" s="21">
        <v>0</v>
      </c>
      <c r="BS168" s="21">
        <v>0</v>
      </c>
      <c r="BT168" s="21">
        <v>0</v>
      </c>
      <c r="BU168" s="42">
        <v>0</v>
      </c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42">
        <v>0</v>
      </c>
      <c r="CH168" s="21">
        <v>0</v>
      </c>
      <c r="CI168" s="21">
        <v>0</v>
      </c>
      <c r="CJ168" s="21">
        <v>0</v>
      </c>
      <c r="CK168" s="21">
        <v>0</v>
      </c>
      <c r="CL168" s="21">
        <v>0</v>
      </c>
      <c r="CM168" s="21">
        <v>0</v>
      </c>
      <c r="CN168" s="21">
        <v>0</v>
      </c>
      <c r="CO168" s="21">
        <v>0</v>
      </c>
      <c r="CP168" s="21">
        <f t="shared" si="278"/>
        <v>0</v>
      </c>
      <c r="CQ168" s="344">
        <f t="shared" si="279"/>
        <v>0</v>
      </c>
      <c r="CR168" s="87"/>
      <c r="CS168" s="86"/>
      <c r="CT168" s="85">
        <f t="shared" si="312"/>
        <v>32</v>
      </c>
      <c r="CU168" s="85">
        <f t="shared" si="313"/>
        <v>17</v>
      </c>
      <c r="CV168" s="85">
        <f t="shared" si="314"/>
        <v>0</v>
      </c>
      <c r="CW168" s="85">
        <f t="shared" si="315"/>
        <v>0</v>
      </c>
      <c r="CX168" s="85">
        <f t="shared" si="316"/>
        <v>0</v>
      </c>
      <c r="CY168" s="86">
        <f t="shared" si="317"/>
        <v>0</v>
      </c>
      <c r="CZ168" s="87">
        <f t="shared" si="318"/>
        <v>0</v>
      </c>
      <c r="DA168" s="87">
        <f t="shared" si="319"/>
        <v>2</v>
      </c>
      <c r="DB168" s="87">
        <f t="shared" si="320"/>
        <v>0</v>
      </c>
      <c r="DC168" s="87">
        <f t="shared" si="321"/>
        <v>0</v>
      </c>
      <c r="DD168" s="87">
        <f t="shared" si="322"/>
        <v>0</v>
      </c>
      <c r="DE168" s="87">
        <f t="shared" si="323"/>
        <v>0</v>
      </c>
      <c r="DF168" s="87">
        <f t="shared" si="324"/>
        <v>0</v>
      </c>
      <c r="DG168" s="87">
        <f t="shared" si="325"/>
        <v>0</v>
      </c>
      <c r="DH168" s="87">
        <f t="shared" si="326"/>
        <v>0</v>
      </c>
      <c r="DI168" s="87">
        <f t="shared" si="327"/>
        <v>0</v>
      </c>
      <c r="DJ168" s="87">
        <f t="shared" si="328"/>
        <v>0</v>
      </c>
      <c r="DK168" s="86">
        <f t="shared" si="329"/>
        <v>0</v>
      </c>
      <c r="DL168" s="87">
        <f t="shared" si="330"/>
        <v>0</v>
      </c>
      <c r="DM168" s="87">
        <f t="shared" si="331"/>
        <v>0</v>
      </c>
      <c r="DN168" s="87">
        <f t="shared" si="332"/>
        <v>0</v>
      </c>
      <c r="DO168" s="87">
        <f t="shared" si="333"/>
        <v>0</v>
      </c>
      <c r="DP168" s="87">
        <f t="shared" si="334"/>
        <v>0</v>
      </c>
      <c r="DQ168" s="87">
        <f t="shared" si="335"/>
        <v>0</v>
      </c>
      <c r="DR168" s="87">
        <f t="shared" si="340"/>
        <v>0</v>
      </c>
      <c r="DS168" s="87">
        <f t="shared" si="243"/>
        <v>0</v>
      </c>
      <c r="DT168" s="87">
        <f t="shared" si="336"/>
        <v>0</v>
      </c>
      <c r="DU168" s="87">
        <f t="shared" si="337"/>
        <v>0</v>
      </c>
      <c r="DV168" s="87">
        <f t="shared" si="338"/>
        <v>0</v>
      </c>
      <c r="DW168" s="87">
        <f t="shared" si="339"/>
        <v>0</v>
      </c>
    </row>
    <row r="169" spans="1:127">
      <c r="A169" s="22" t="s">
        <v>15</v>
      </c>
      <c r="B169" s="26">
        <v>4987176104960</v>
      </c>
      <c r="C169" s="22" t="s">
        <v>16</v>
      </c>
      <c r="D169" s="46" t="s">
        <v>102</v>
      </c>
      <c r="E169" s="22">
        <v>125787</v>
      </c>
      <c r="F169" s="80" t="s">
        <v>273</v>
      </c>
      <c r="G169" s="25">
        <v>718.6</v>
      </c>
      <c r="H169" s="85">
        <f t="shared" si="248"/>
        <v>14372</v>
      </c>
      <c r="I169" s="85">
        <f t="shared" si="249"/>
        <v>21558</v>
      </c>
      <c r="J169" s="85">
        <f t="shared" si="250"/>
        <v>6467.4000000000005</v>
      </c>
      <c r="K169" s="85">
        <f t="shared" si="251"/>
        <v>1437.2</v>
      </c>
      <c r="L169" s="85">
        <f t="shared" si="252"/>
        <v>2874.4</v>
      </c>
      <c r="M169" s="86">
        <f t="shared" si="253"/>
        <v>718.6</v>
      </c>
      <c r="N169" s="87">
        <f t="shared" si="254"/>
        <v>718.6</v>
      </c>
      <c r="O169" s="87">
        <f t="shared" si="255"/>
        <v>0</v>
      </c>
      <c r="P169" s="87">
        <f t="shared" si="256"/>
        <v>0</v>
      </c>
      <c r="Q169" s="87">
        <f t="shared" si="257"/>
        <v>0</v>
      </c>
      <c r="R169" s="87">
        <f t="shared" si="258"/>
        <v>0</v>
      </c>
      <c r="S169" s="87">
        <f t="shared" si="259"/>
        <v>0</v>
      </c>
      <c r="T169" s="87">
        <f t="shared" si="260"/>
        <v>0</v>
      </c>
      <c r="U169" s="87">
        <f t="shared" si="261"/>
        <v>0</v>
      </c>
      <c r="V169" s="87">
        <f t="shared" si="262"/>
        <v>0</v>
      </c>
      <c r="W169" s="87">
        <f t="shared" si="263"/>
        <v>0</v>
      </c>
      <c r="X169" s="87">
        <f t="shared" si="264"/>
        <v>0</v>
      </c>
      <c r="Y169" s="86">
        <f t="shared" si="265"/>
        <v>0</v>
      </c>
      <c r="Z169" s="87">
        <f t="shared" si="266"/>
        <v>0</v>
      </c>
      <c r="AA169" s="87">
        <f t="shared" si="267"/>
        <v>0</v>
      </c>
      <c r="AB169" s="87">
        <f t="shared" si="268"/>
        <v>0</v>
      </c>
      <c r="AC169" s="87">
        <f t="shared" si="269"/>
        <v>0</v>
      </c>
      <c r="AD169" s="87">
        <f t="shared" si="270"/>
        <v>0</v>
      </c>
      <c r="AE169" s="87">
        <f t="shared" si="271"/>
        <v>0</v>
      </c>
      <c r="AF169" s="87">
        <f t="shared" si="272"/>
        <v>0</v>
      </c>
      <c r="AG169" s="87">
        <f t="shared" si="273"/>
        <v>0</v>
      </c>
      <c r="AH169" s="87">
        <f t="shared" si="308"/>
        <v>0</v>
      </c>
      <c r="AI169" s="87">
        <f t="shared" si="309"/>
        <v>0</v>
      </c>
      <c r="AJ169" s="87">
        <f t="shared" si="310"/>
        <v>0</v>
      </c>
      <c r="AK169" s="86">
        <f t="shared" si="311"/>
        <v>0</v>
      </c>
      <c r="AL169" s="85">
        <v>20</v>
      </c>
      <c r="AM169" s="85">
        <v>30</v>
      </c>
      <c r="AN169" s="85">
        <v>9</v>
      </c>
      <c r="AO169" s="85">
        <v>2</v>
      </c>
      <c r="AP169" s="85">
        <v>4</v>
      </c>
      <c r="AQ169" s="86">
        <v>1</v>
      </c>
      <c r="AR169" s="87">
        <v>1</v>
      </c>
      <c r="AS169" s="87">
        <v>0</v>
      </c>
      <c r="AT169" s="87">
        <v>0</v>
      </c>
      <c r="AU169" s="87">
        <v>0</v>
      </c>
      <c r="AV169" s="87">
        <v>0</v>
      </c>
      <c r="AW169" s="87">
        <v>0</v>
      </c>
      <c r="AX169" s="87">
        <v>0</v>
      </c>
      <c r="AY169" s="87">
        <v>0</v>
      </c>
      <c r="AZ169" s="87">
        <v>0</v>
      </c>
      <c r="BA169" s="87">
        <v>0</v>
      </c>
      <c r="BB169" s="87">
        <v>0</v>
      </c>
      <c r="BC169" s="86">
        <v>0</v>
      </c>
      <c r="BD169" s="87">
        <v>0</v>
      </c>
      <c r="BE169" s="87">
        <v>0</v>
      </c>
      <c r="BF169" s="87">
        <v>0</v>
      </c>
      <c r="BG169" s="87">
        <v>0</v>
      </c>
      <c r="BH169" s="87">
        <v>0</v>
      </c>
      <c r="BI169" s="87">
        <v>0</v>
      </c>
      <c r="BJ169" s="40">
        <v>0</v>
      </c>
      <c r="BK169" s="40">
        <v>0</v>
      </c>
      <c r="BL169" s="40">
        <v>0</v>
      </c>
      <c r="BM169" s="40">
        <v>0</v>
      </c>
      <c r="BN169" s="87"/>
      <c r="BO169" s="86"/>
      <c r="BP169" s="21">
        <v>0</v>
      </c>
      <c r="BQ169" s="21">
        <v>0</v>
      </c>
      <c r="BR169" s="21">
        <v>0</v>
      </c>
      <c r="BS169" s="21">
        <v>0</v>
      </c>
      <c r="BT169" s="21">
        <v>0</v>
      </c>
      <c r="BU169" s="42">
        <v>0</v>
      </c>
      <c r="BV169" s="21">
        <v>0</v>
      </c>
      <c r="BW169" s="21">
        <v>0</v>
      </c>
      <c r="BX169" s="21">
        <v>0</v>
      </c>
      <c r="BY169" s="21">
        <v>0</v>
      </c>
      <c r="BZ169" s="21">
        <v>0</v>
      </c>
      <c r="CA169" s="21">
        <v>0</v>
      </c>
      <c r="CB169" s="21">
        <v>0</v>
      </c>
      <c r="CC169" s="21">
        <v>0</v>
      </c>
      <c r="CD169" s="21">
        <v>0</v>
      </c>
      <c r="CE169" s="21">
        <v>0</v>
      </c>
      <c r="CF169" s="21">
        <v>0</v>
      </c>
      <c r="CG169" s="42">
        <v>0</v>
      </c>
      <c r="CH169" s="21">
        <v>0</v>
      </c>
      <c r="CI169" s="21">
        <v>0</v>
      </c>
      <c r="CJ169" s="21">
        <v>0</v>
      </c>
      <c r="CK169" s="21">
        <v>0</v>
      </c>
      <c r="CL169" s="21">
        <v>0</v>
      </c>
      <c r="CM169" s="21">
        <v>0</v>
      </c>
      <c r="CN169" s="21">
        <v>0</v>
      </c>
      <c r="CO169" s="21">
        <v>0</v>
      </c>
      <c r="CP169" s="21">
        <f t="shared" si="278"/>
        <v>0</v>
      </c>
      <c r="CQ169" s="344">
        <f t="shared" si="279"/>
        <v>0</v>
      </c>
      <c r="CR169" s="87"/>
      <c r="CS169" s="86"/>
      <c r="CT169" s="85">
        <f t="shared" si="312"/>
        <v>20</v>
      </c>
      <c r="CU169" s="85">
        <f t="shared" si="313"/>
        <v>30</v>
      </c>
      <c r="CV169" s="85">
        <f t="shared" si="314"/>
        <v>9</v>
      </c>
      <c r="CW169" s="85">
        <f t="shared" si="315"/>
        <v>2</v>
      </c>
      <c r="CX169" s="85">
        <f t="shared" si="316"/>
        <v>4</v>
      </c>
      <c r="CY169" s="86">
        <f t="shared" si="317"/>
        <v>1</v>
      </c>
      <c r="CZ169" s="87">
        <f t="shared" si="318"/>
        <v>1</v>
      </c>
      <c r="DA169" s="87">
        <f t="shared" si="319"/>
        <v>0</v>
      </c>
      <c r="DB169" s="87">
        <f t="shared" si="320"/>
        <v>0</v>
      </c>
      <c r="DC169" s="87">
        <f t="shared" si="321"/>
        <v>0</v>
      </c>
      <c r="DD169" s="87">
        <f t="shared" si="322"/>
        <v>0</v>
      </c>
      <c r="DE169" s="87">
        <f t="shared" si="323"/>
        <v>0</v>
      </c>
      <c r="DF169" s="87">
        <f t="shared" si="324"/>
        <v>0</v>
      </c>
      <c r="DG169" s="87">
        <f t="shared" si="325"/>
        <v>0</v>
      </c>
      <c r="DH169" s="87">
        <f t="shared" si="326"/>
        <v>0</v>
      </c>
      <c r="DI169" s="87">
        <f t="shared" si="327"/>
        <v>0</v>
      </c>
      <c r="DJ169" s="87">
        <f t="shared" si="328"/>
        <v>0</v>
      </c>
      <c r="DK169" s="86">
        <f t="shared" si="329"/>
        <v>0</v>
      </c>
      <c r="DL169" s="87">
        <f t="shared" si="330"/>
        <v>0</v>
      </c>
      <c r="DM169" s="87">
        <f t="shared" si="331"/>
        <v>0</v>
      </c>
      <c r="DN169" s="87">
        <f t="shared" si="332"/>
        <v>0</v>
      </c>
      <c r="DO169" s="87">
        <f t="shared" si="333"/>
        <v>0</v>
      </c>
      <c r="DP169" s="87">
        <f t="shared" si="334"/>
        <v>0</v>
      </c>
      <c r="DQ169" s="87">
        <f t="shared" si="335"/>
        <v>0</v>
      </c>
      <c r="DR169" s="87">
        <f t="shared" si="340"/>
        <v>0</v>
      </c>
      <c r="DS169" s="87">
        <f t="shared" si="243"/>
        <v>0</v>
      </c>
      <c r="DT169" s="87">
        <f t="shared" si="336"/>
        <v>0</v>
      </c>
      <c r="DU169" s="87">
        <f t="shared" si="337"/>
        <v>0</v>
      </c>
      <c r="DV169" s="87">
        <f t="shared" si="338"/>
        <v>0</v>
      </c>
      <c r="DW169" s="87">
        <f t="shared" si="339"/>
        <v>0</v>
      </c>
    </row>
    <row r="170" spans="1:127">
      <c r="A170" s="22" t="s">
        <v>15</v>
      </c>
      <c r="B170" s="26">
        <v>4987176104977</v>
      </c>
      <c r="C170" s="22" t="s">
        <v>16</v>
      </c>
      <c r="D170" s="46" t="s">
        <v>102</v>
      </c>
      <c r="E170" s="22">
        <v>125680</v>
      </c>
      <c r="F170" s="80" t="s">
        <v>274</v>
      </c>
      <c r="G170" s="25">
        <v>542.5</v>
      </c>
      <c r="H170" s="85">
        <f t="shared" si="248"/>
        <v>0</v>
      </c>
      <c r="I170" s="85">
        <f t="shared" si="249"/>
        <v>0</v>
      </c>
      <c r="J170" s="85">
        <f t="shared" si="250"/>
        <v>0</v>
      </c>
      <c r="K170" s="85">
        <f t="shared" si="251"/>
        <v>0</v>
      </c>
      <c r="L170" s="85">
        <f t="shared" si="252"/>
        <v>0</v>
      </c>
      <c r="M170" s="86">
        <f t="shared" si="253"/>
        <v>0</v>
      </c>
      <c r="N170" s="87">
        <f t="shared" si="254"/>
        <v>0</v>
      </c>
      <c r="O170" s="87">
        <f t="shared" si="255"/>
        <v>0</v>
      </c>
      <c r="P170" s="87">
        <f t="shared" si="256"/>
        <v>0</v>
      </c>
      <c r="Q170" s="87">
        <f t="shared" si="257"/>
        <v>0</v>
      </c>
      <c r="R170" s="87">
        <f t="shared" si="258"/>
        <v>0</v>
      </c>
      <c r="S170" s="87">
        <f t="shared" si="259"/>
        <v>0</v>
      </c>
      <c r="T170" s="87">
        <f t="shared" si="260"/>
        <v>0</v>
      </c>
      <c r="U170" s="87">
        <f t="shared" si="261"/>
        <v>0</v>
      </c>
      <c r="V170" s="87">
        <f t="shared" si="262"/>
        <v>0</v>
      </c>
      <c r="W170" s="87">
        <f t="shared" si="263"/>
        <v>0</v>
      </c>
      <c r="X170" s="87">
        <f t="shared" si="264"/>
        <v>0</v>
      </c>
      <c r="Y170" s="86">
        <f t="shared" si="265"/>
        <v>0</v>
      </c>
      <c r="Z170" s="87">
        <f t="shared" si="266"/>
        <v>0</v>
      </c>
      <c r="AA170" s="87">
        <f t="shared" si="267"/>
        <v>0</v>
      </c>
      <c r="AB170" s="87">
        <f t="shared" si="268"/>
        <v>0</v>
      </c>
      <c r="AC170" s="87">
        <f t="shared" si="269"/>
        <v>0</v>
      </c>
      <c r="AD170" s="87">
        <f t="shared" si="270"/>
        <v>0</v>
      </c>
      <c r="AE170" s="87">
        <f t="shared" si="271"/>
        <v>0</v>
      </c>
      <c r="AF170" s="87">
        <f t="shared" si="272"/>
        <v>0</v>
      </c>
      <c r="AG170" s="87">
        <f t="shared" si="273"/>
        <v>0</v>
      </c>
      <c r="AH170" s="87">
        <f t="shared" si="308"/>
        <v>0</v>
      </c>
      <c r="AI170" s="87">
        <f t="shared" si="309"/>
        <v>0</v>
      </c>
      <c r="AJ170" s="87">
        <f t="shared" si="310"/>
        <v>0</v>
      </c>
      <c r="AK170" s="86">
        <f t="shared" si="311"/>
        <v>0</v>
      </c>
      <c r="AL170" s="85">
        <v>0</v>
      </c>
      <c r="AM170" s="85">
        <v>0</v>
      </c>
      <c r="AN170" s="85">
        <v>0</v>
      </c>
      <c r="AO170" s="85">
        <v>0</v>
      </c>
      <c r="AP170" s="85">
        <v>0</v>
      </c>
      <c r="AQ170" s="86">
        <v>0</v>
      </c>
      <c r="AR170" s="87">
        <v>0</v>
      </c>
      <c r="AS170" s="87">
        <v>0</v>
      </c>
      <c r="AT170" s="87">
        <v>0</v>
      </c>
      <c r="AU170" s="87">
        <v>0</v>
      </c>
      <c r="AV170" s="87">
        <v>0</v>
      </c>
      <c r="AW170" s="87">
        <v>0</v>
      </c>
      <c r="AX170" s="87">
        <v>0</v>
      </c>
      <c r="AY170" s="87">
        <v>0</v>
      </c>
      <c r="AZ170" s="87">
        <v>0</v>
      </c>
      <c r="BA170" s="87">
        <v>0</v>
      </c>
      <c r="BB170" s="87">
        <v>0</v>
      </c>
      <c r="BC170" s="86">
        <v>0</v>
      </c>
      <c r="BD170" s="87">
        <v>0</v>
      </c>
      <c r="BE170" s="87">
        <v>0</v>
      </c>
      <c r="BF170" s="87">
        <v>0</v>
      </c>
      <c r="BG170" s="87">
        <v>0</v>
      </c>
      <c r="BH170" s="87">
        <v>0</v>
      </c>
      <c r="BI170" s="87">
        <v>0</v>
      </c>
      <c r="BJ170" s="40">
        <v>0</v>
      </c>
      <c r="BK170" s="40">
        <v>0</v>
      </c>
      <c r="BL170" s="40">
        <v>0</v>
      </c>
      <c r="BM170" s="40" t="s">
        <v>768</v>
      </c>
      <c r="BN170" s="87"/>
      <c r="BO170" s="86"/>
      <c r="BP170" s="21">
        <v>0</v>
      </c>
      <c r="BQ170" s="21">
        <v>0</v>
      </c>
      <c r="BR170" s="21">
        <v>0</v>
      </c>
      <c r="BS170" s="21">
        <v>0</v>
      </c>
      <c r="BT170" s="21">
        <v>0</v>
      </c>
      <c r="BU170" s="42">
        <v>0</v>
      </c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42">
        <v>0</v>
      </c>
      <c r="CH170" s="21">
        <v>0</v>
      </c>
      <c r="CI170" s="21">
        <v>0</v>
      </c>
      <c r="CJ170" s="21">
        <v>0</v>
      </c>
      <c r="CK170" s="21">
        <v>0</v>
      </c>
      <c r="CL170" s="21">
        <v>0</v>
      </c>
      <c r="CM170" s="21">
        <v>0</v>
      </c>
      <c r="CN170" s="21">
        <v>0</v>
      </c>
      <c r="CO170" s="21">
        <v>0</v>
      </c>
      <c r="CP170" s="21">
        <f t="shared" si="278"/>
        <v>0</v>
      </c>
      <c r="CQ170" s="344">
        <f t="shared" si="279"/>
        <v>0</v>
      </c>
      <c r="CR170" s="87"/>
      <c r="CS170" s="86"/>
      <c r="CT170" s="85">
        <f t="shared" si="312"/>
        <v>0</v>
      </c>
      <c r="CU170" s="85">
        <f t="shared" si="313"/>
        <v>0</v>
      </c>
      <c r="CV170" s="85">
        <f t="shared" si="314"/>
        <v>0</v>
      </c>
      <c r="CW170" s="85">
        <f t="shared" si="315"/>
        <v>0</v>
      </c>
      <c r="CX170" s="85">
        <f t="shared" si="316"/>
        <v>0</v>
      </c>
      <c r="CY170" s="86">
        <f t="shared" si="317"/>
        <v>0</v>
      </c>
      <c r="CZ170" s="87">
        <f t="shared" si="318"/>
        <v>0</v>
      </c>
      <c r="DA170" s="87">
        <f t="shared" si="319"/>
        <v>0</v>
      </c>
      <c r="DB170" s="87">
        <f t="shared" si="320"/>
        <v>0</v>
      </c>
      <c r="DC170" s="87">
        <f t="shared" si="321"/>
        <v>0</v>
      </c>
      <c r="DD170" s="87">
        <f t="shared" si="322"/>
        <v>0</v>
      </c>
      <c r="DE170" s="87">
        <f t="shared" si="323"/>
        <v>0</v>
      </c>
      <c r="DF170" s="87">
        <f t="shared" si="324"/>
        <v>0</v>
      </c>
      <c r="DG170" s="87">
        <f t="shared" si="325"/>
        <v>0</v>
      </c>
      <c r="DH170" s="87">
        <f t="shared" si="326"/>
        <v>0</v>
      </c>
      <c r="DI170" s="87">
        <f t="shared" si="327"/>
        <v>0</v>
      </c>
      <c r="DJ170" s="87">
        <f t="shared" si="328"/>
        <v>0</v>
      </c>
      <c r="DK170" s="86">
        <f t="shared" si="329"/>
        <v>0</v>
      </c>
      <c r="DL170" s="87">
        <f t="shared" si="330"/>
        <v>0</v>
      </c>
      <c r="DM170" s="87">
        <f t="shared" si="331"/>
        <v>0</v>
      </c>
      <c r="DN170" s="87">
        <f t="shared" si="332"/>
        <v>0</v>
      </c>
      <c r="DO170" s="87">
        <f t="shared" si="333"/>
        <v>0</v>
      </c>
      <c r="DP170" s="87">
        <f t="shared" si="334"/>
        <v>0</v>
      </c>
      <c r="DQ170" s="87">
        <f t="shared" si="335"/>
        <v>0</v>
      </c>
      <c r="DR170" s="87">
        <f t="shared" si="340"/>
        <v>0</v>
      </c>
      <c r="DS170" s="87">
        <f t="shared" ref="DS170:DS234" si="341">BK170+CO170</f>
        <v>0</v>
      </c>
      <c r="DT170" s="87">
        <f t="shared" si="336"/>
        <v>0</v>
      </c>
      <c r="DU170" s="87">
        <f t="shared" si="337"/>
        <v>0</v>
      </c>
      <c r="DV170" s="87">
        <f t="shared" si="338"/>
        <v>0</v>
      </c>
      <c r="DW170" s="87">
        <f t="shared" si="339"/>
        <v>0</v>
      </c>
    </row>
    <row r="171" spans="1:127">
      <c r="A171" s="22" t="s">
        <v>15</v>
      </c>
      <c r="B171" s="26">
        <v>4987176161710</v>
      </c>
      <c r="C171" s="22" t="s">
        <v>16</v>
      </c>
      <c r="D171" s="46" t="s">
        <v>102</v>
      </c>
      <c r="E171" s="22">
        <v>170273</v>
      </c>
      <c r="F171" s="80" t="s">
        <v>275</v>
      </c>
      <c r="G171" s="25">
        <v>542.5</v>
      </c>
      <c r="H171" s="85">
        <f t="shared" si="248"/>
        <v>0</v>
      </c>
      <c r="I171" s="85">
        <f t="shared" si="249"/>
        <v>542.5</v>
      </c>
      <c r="J171" s="85">
        <f t="shared" si="250"/>
        <v>0</v>
      </c>
      <c r="K171" s="85">
        <f t="shared" si="251"/>
        <v>0</v>
      </c>
      <c r="L171" s="85">
        <f t="shared" si="252"/>
        <v>0</v>
      </c>
      <c r="M171" s="86">
        <f t="shared" si="253"/>
        <v>0</v>
      </c>
      <c r="N171" s="87">
        <f t="shared" si="254"/>
        <v>0</v>
      </c>
      <c r="O171" s="87">
        <f t="shared" si="255"/>
        <v>0</v>
      </c>
      <c r="P171" s="87">
        <f t="shared" si="256"/>
        <v>0</v>
      </c>
      <c r="Q171" s="87">
        <f t="shared" si="257"/>
        <v>0</v>
      </c>
      <c r="R171" s="87">
        <f t="shared" si="258"/>
        <v>0</v>
      </c>
      <c r="S171" s="87">
        <f t="shared" si="259"/>
        <v>0</v>
      </c>
      <c r="T171" s="87">
        <f t="shared" si="260"/>
        <v>0</v>
      </c>
      <c r="U171" s="87">
        <f t="shared" si="261"/>
        <v>0</v>
      </c>
      <c r="V171" s="87">
        <f t="shared" si="262"/>
        <v>0</v>
      </c>
      <c r="W171" s="87">
        <f t="shared" si="263"/>
        <v>0</v>
      </c>
      <c r="X171" s="87">
        <f t="shared" si="264"/>
        <v>0</v>
      </c>
      <c r="Y171" s="86">
        <f t="shared" si="265"/>
        <v>0</v>
      </c>
      <c r="Z171" s="87">
        <f t="shared" si="266"/>
        <v>0</v>
      </c>
      <c r="AA171" s="87">
        <f t="shared" si="267"/>
        <v>0</v>
      </c>
      <c r="AB171" s="87">
        <f t="shared" si="268"/>
        <v>0</v>
      </c>
      <c r="AC171" s="87">
        <f t="shared" si="269"/>
        <v>0</v>
      </c>
      <c r="AD171" s="87">
        <f t="shared" si="270"/>
        <v>0</v>
      </c>
      <c r="AE171" s="87">
        <f t="shared" si="271"/>
        <v>0</v>
      </c>
      <c r="AF171" s="87">
        <f t="shared" si="272"/>
        <v>0</v>
      </c>
      <c r="AG171" s="87">
        <f t="shared" si="273"/>
        <v>0</v>
      </c>
      <c r="AH171" s="87">
        <f t="shared" si="308"/>
        <v>0</v>
      </c>
      <c r="AI171" s="87">
        <f t="shared" si="309"/>
        <v>0</v>
      </c>
      <c r="AJ171" s="87">
        <f t="shared" si="310"/>
        <v>0</v>
      </c>
      <c r="AK171" s="86">
        <f t="shared" si="311"/>
        <v>0</v>
      </c>
      <c r="AL171" s="85">
        <v>0</v>
      </c>
      <c r="AM171" s="85">
        <v>1</v>
      </c>
      <c r="AN171" s="85">
        <v>0</v>
      </c>
      <c r="AO171" s="85">
        <v>0</v>
      </c>
      <c r="AP171" s="85">
        <v>0</v>
      </c>
      <c r="AQ171" s="86">
        <v>0</v>
      </c>
      <c r="AR171" s="87">
        <v>0</v>
      </c>
      <c r="AS171" s="87">
        <v>0</v>
      </c>
      <c r="AT171" s="87">
        <v>0</v>
      </c>
      <c r="AU171" s="87">
        <v>0</v>
      </c>
      <c r="AV171" s="87">
        <v>0</v>
      </c>
      <c r="AW171" s="87">
        <v>0</v>
      </c>
      <c r="AX171" s="87">
        <v>0</v>
      </c>
      <c r="AY171" s="87">
        <v>0</v>
      </c>
      <c r="AZ171" s="87">
        <v>0</v>
      </c>
      <c r="BA171" s="87">
        <v>0</v>
      </c>
      <c r="BB171" s="87">
        <v>0</v>
      </c>
      <c r="BC171" s="86">
        <v>0</v>
      </c>
      <c r="BD171" s="87">
        <v>0</v>
      </c>
      <c r="BE171" s="87">
        <v>0</v>
      </c>
      <c r="BF171" s="87">
        <v>0</v>
      </c>
      <c r="BG171" s="87">
        <v>0</v>
      </c>
      <c r="BH171" s="87">
        <v>0</v>
      </c>
      <c r="BI171" s="87">
        <v>0</v>
      </c>
      <c r="BJ171" s="40">
        <v>0</v>
      </c>
      <c r="BK171" s="40">
        <v>0</v>
      </c>
      <c r="BL171" s="40">
        <v>0</v>
      </c>
      <c r="BM171" s="40">
        <v>0</v>
      </c>
      <c r="BN171" s="87"/>
      <c r="BO171" s="86"/>
      <c r="BP171" s="21">
        <v>0</v>
      </c>
      <c r="BQ171" s="21">
        <v>0</v>
      </c>
      <c r="BR171" s="21">
        <v>0</v>
      </c>
      <c r="BS171" s="21">
        <v>0</v>
      </c>
      <c r="BT171" s="21">
        <v>0</v>
      </c>
      <c r="BU171" s="42">
        <v>0</v>
      </c>
      <c r="BV171" s="21">
        <v>0</v>
      </c>
      <c r="BW171" s="21">
        <v>0</v>
      </c>
      <c r="BX171" s="21">
        <v>0</v>
      </c>
      <c r="BY171" s="21">
        <v>0</v>
      </c>
      <c r="BZ171" s="21">
        <v>0</v>
      </c>
      <c r="CA171" s="21">
        <v>0</v>
      </c>
      <c r="CB171" s="21">
        <v>0</v>
      </c>
      <c r="CC171" s="21">
        <v>0</v>
      </c>
      <c r="CD171" s="21">
        <v>0</v>
      </c>
      <c r="CE171" s="21">
        <v>0</v>
      </c>
      <c r="CF171" s="21">
        <v>0</v>
      </c>
      <c r="CG171" s="42">
        <v>0</v>
      </c>
      <c r="CH171" s="21">
        <v>0</v>
      </c>
      <c r="CI171" s="21">
        <v>0</v>
      </c>
      <c r="CJ171" s="21">
        <v>0</v>
      </c>
      <c r="CK171" s="21">
        <v>0</v>
      </c>
      <c r="CL171" s="21">
        <v>0</v>
      </c>
      <c r="CM171" s="21">
        <v>0</v>
      </c>
      <c r="CN171" s="21">
        <v>0</v>
      </c>
      <c r="CO171" s="21">
        <v>0</v>
      </c>
      <c r="CP171" s="21">
        <f t="shared" si="278"/>
        <v>0</v>
      </c>
      <c r="CQ171" s="344">
        <f t="shared" si="279"/>
        <v>0</v>
      </c>
      <c r="CR171" s="87"/>
      <c r="CS171" s="86"/>
      <c r="CT171" s="85">
        <f t="shared" si="312"/>
        <v>0</v>
      </c>
      <c r="CU171" s="85">
        <f t="shared" si="313"/>
        <v>1</v>
      </c>
      <c r="CV171" s="85">
        <f t="shared" si="314"/>
        <v>0</v>
      </c>
      <c r="CW171" s="85">
        <f t="shared" si="315"/>
        <v>0</v>
      </c>
      <c r="CX171" s="85">
        <f t="shared" si="316"/>
        <v>0</v>
      </c>
      <c r="CY171" s="86">
        <f t="shared" si="317"/>
        <v>0</v>
      </c>
      <c r="CZ171" s="87">
        <f t="shared" si="318"/>
        <v>0</v>
      </c>
      <c r="DA171" s="87">
        <f t="shared" si="319"/>
        <v>0</v>
      </c>
      <c r="DB171" s="87">
        <f t="shared" si="320"/>
        <v>0</v>
      </c>
      <c r="DC171" s="87">
        <f t="shared" si="321"/>
        <v>0</v>
      </c>
      <c r="DD171" s="87">
        <f t="shared" si="322"/>
        <v>0</v>
      </c>
      <c r="DE171" s="87">
        <f t="shared" si="323"/>
        <v>0</v>
      </c>
      <c r="DF171" s="87">
        <f t="shared" si="324"/>
        <v>0</v>
      </c>
      <c r="DG171" s="87">
        <f t="shared" si="325"/>
        <v>0</v>
      </c>
      <c r="DH171" s="87">
        <f t="shared" si="326"/>
        <v>0</v>
      </c>
      <c r="DI171" s="87">
        <f t="shared" si="327"/>
        <v>0</v>
      </c>
      <c r="DJ171" s="87">
        <f t="shared" si="328"/>
        <v>0</v>
      </c>
      <c r="DK171" s="86">
        <f t="shared" si="329"/>
        <v>0</v>
      </c>
      <c r="DL171" s="87">
        <f t="shared" si="330"/>
        <v>0</v>
      </c>
      <c r="DM171" s="87">
        <f t="shared" si="331"/>
        <v>0</v>
      </c>
      <c r="DN171" s="87">
        <f t="shared" si="332"/>
        <v>0</v>
      </c>
      <c r="DO171" s="87">
        <f t="shared" si="333"/>
        <v>0</v>
      </c>
      <c r="DP171" s="87">
        <f t="shared" si="334"/>
        <v>0</v>
      </c>
      <c r="DQ171" s="87">
        <f t="shared" si="335"/>
        <v>0</v>
      </c>
      <c r="DR171" s="87">
        <f t="shared" si="340"/>
        <v>0</v>
      </c>
      <c r="DS171" s="87">
        <f t="shared" si="341"/>
        <v>0</v>
      </c>
      <c r="DT171" s="87">
        <f t="shared" si="336"/>
        <v>0</v>
      </c>
      <c r="DU171" s="87">
        <f t="shared" si="337"/>
        <v>0</v>
      </c>
      <c r="DV171" s="87">
        <f t="shared" si="338"/>
        <v>0</v>
      </c>
      <c r="DW171" s="87">
        <f t="shared" si="339"/>
        <v>0</v>
      </c>
    </row>
    <row r="172" spans="1:127">
      <c r="A172" s="22" t="s">
        <v>15</v>
      </c>
      <c r="B172" s="26">
        <v>4987176161727</v>
      </c>
      <c r="C172" s="22" t="s">
        <v>16</v>
      </c>
      <c r="D172" s="46" t="s">
        <v>102</v>
      </c>
      <c r="E172" s="22">
        <v>170277</v>
      </c>
      <c r="F172" s="80" t="s">
        <v>276</v>
      </c>
      <c r="G172" s="25">
        <v>718.6</v>
      </c>
      <c r="H172" s="85">
        <f t="shared" si="248"/>
        <v>0</v>
      </c>
      <c r="I172" s="85">
        <f t="shared" si="249"/>
        <v>718.6</v>
      </c>
      <c r="J172" s="85">
        <f t="shared" si="250"/>
        <v>0</v>
      </c>
      <c r="K172" s="85">
        <f t="shared" si="251"/>
        <v>0</v>
      </c>
      <c r="L172" s="85">
        <f t="shared" si="252"/>
        <v>718.6</v>
      </c>
      <c r="M172" s="86">
        <f t="shared" si="253"/>
        <v>0</v>
      </c>
      <c r="N172" s="87">
        <f t="shared" si="254"/>
        <v>0</v>
      </c>
      <c r="O172" s="87">
        <f t="shared" si="255"/>
        <v>0</v>
      </c>
      <c r="P172" s="87">
        <f t="shared" si="256"/>
        <v>0</v>
      </c>
      <c r="Q172" s="87">
        <f t="shared" si="257"/>
        <v>0</v>
      </c>
      <c r="R172" s="87">
        <f t="shared" si="258"/>
        <v>0</v>
      </c>
      <c r="S172" s="87">
        <f t="shared" si="259"/>
        <v>0</v>
      </c>
      <c r="T172" s="87">
        <f t="shared" si="260"/>
        <v>0</v>
      </c>
      <c r="U172" s="87">
        <f t="shared" si="261"/>
        <v>0</v>
      </c>
      <c r="V172" s="87">
        <f t="shared" si="262"/>
        <v>0</v>
      </c>
      <c r="W172" s="87">
        <f t="shared" si="263"/>
        <v>0</v>
      </c>
      <c r="X172" s="87">
        <f t="shared" si="264"/>
        <v>0</v>
      </c>
      <c r="Y172" s="86">
        <f t="shared" si="265"/>
        <v>0</v>
      </c>
      <c r="Z172" s="87">
        <f t="shared" si="266"/>
        <v>0</v>
      </c>
      <c r="AA172" s="87">
        <f t="shared" si="267"/>
        <v>0</v>
      </c>
      <c r="AB172" s="87">
        <f t="shared" si="268"/>
        <v>0</v>
      </c>
      <c r="AC172" s="87">
        <f t="shared" si="269"/>
        <v>0</v>
      </c>
      <c r="AD172" s="87">
        <f t="shared" si="270"/>
        <v>0</v>
      </c>
      <c r="AE172" s="87">
        <f t="shared" si="271"/>
        <v>0</v>
      </c>
      <c r="AF172" s="87">
        <f t="shared" si="272"/>
        <v>0</v>
      </c>
      <c r="AG172" s="87">
        <f t="shared" si="273"/>
        <v>0</v>
      </c>
      <c r="AH172" s="87">
        <f t="shared" si="308"/>
        <v>0</v>
      </c>
      <c r="AI172" s="87">
        <f t="shared" si="309"/>
        <v>0</v>
      </c>
      <c r="AJ172" s="87">
        <f t="shared" si="310"/>
        <v>0</v>
      </c>
      <c r="AK172" s="86">
        <f t="shared" si="311"/>
        <v>0</v>
      </c>
      <c r="AL172" s="85">
        <v>0</v>
      </c>
      <c r="AM172" s="85">
        <v>1</v>
      </c>
      <c r="AN172" s="85">
        <v>0</v>
      </c>
      <c r="AO172" s="85">
        <v>0</v>
      </c>
      <c r="AP172" s="85">
        <v>1</v>
      </c>
      <c r="AQ172" s="86">
        <v>0</v>
      </c>
      <c r="AR172" s="87">
        <v>0</v>
      </c>
      <c r="AS172" s="87">
        <v>0</v>
      </c>
      <c r="AT172" s="87">
        <v>0</v>
      </c>
      <c r="AU172" s="87">
        <v>0</v>
      </c>
      <c r="AV172" s="87">
        <v>0</v>
      </c>
      <c r="AW172" s="87">
        <v>0</v>
      </c>
      <c r="AX172" s="87">
        <v>0</v>
      </c>
      <c r="AY172" s="87">
        <v>0</v>
      </c>
      <c r="AZ172" s="87">
        <v>0</v>
      </c>
      <c r="BA172" s="87">
        <v>0</v>
      </c>
      <c r="BB172" s="87">
        <v>0</v>
      </c>
      <c r="BC172" s="86">
        <v>0</v>
      </c>
      <c r="BD172" s="87">
        <v>0</v>
      </c>
      <c r="BE172" s="87">
        <v>0</v>
      </c>
      <c r="BF172" s="87">
        <v>0</v>
      </c>
      <c r="BG172" s="87">
        <v>0</v>
      </c>
      <c r="BH172" s="87">
        <v>0</v>
      </c>
      <c r="BI172" s="87">
        <v>0</v>
      </c>
      <c r="BJ172" s="40">
        <v>0</v>
      </c>
      <c r="BK172" s="40">
        <v>0</v>
      </c>
      <c r="BL172" s="40">
        <v>0</v>
      </c>
      <c r="BM172" s="40">
        <v>0</v>
      </c>
      <c r="BN172" s="87"/>
      <c r="BO172" s="86"/>
      <c r="BP172" s="21">
        <v>0</v>
      </c>
      <c r="BQ172" s="21">
        <v>0</v>
      </c>
      <c r="BR172" s="21">
        <v>0</v>
      </c>
      <c r="BS172" s="21">
        <v>0</v>
      </c>
      <c r="BT172" s="21">
        <v>0</v>
      </c>
      <c r="BU172" s="42">
        <v>0</v>
      </c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42">
        <v>0</v>
      </c>
      <c r="CH172" s="21">
        <v>0</v>
      </c>
      <c r="CI172" s="21">
        <v>0</v>
      </c>
      <c r="CJ172" s="21">
        <v>0</v>
      </c>
      <c r="CK172" s="21">
        <v>0</v>
      </c>
      <c r="CL172" s="21">
        <v>0</v>
      </c>
      <c r="CM172" s="21">
        <v>0</v>
      </c>
      <c r="CN172" s="21">
        <v>0</v>
      </c>
      <c r="CO172" s="21">
        <v>0</v>
      </c>
      <c r="CP172" s="21">
        <f t="shared" si="278"/>
        <v>0</v>
      </c>
      <c r="CQ172" s="344">
        <f t="shared" si="279"/>
        <v>0</v>
      </c>
      <c r="CR172" s="87"/>
      <c r="CS172" s="86"/>
      <c r="CT172" s="85">
        <f t="shared" si="312"/>
        <v>0</v>
      </c>
      <c r="CU172" s="85">
        <f t="shared" si="313"/>
        <v>1</v>
      </c>
      <c r="CV172" s="85">
        <f t="shared" si="314"/>
        <v>0</v>
      </c>
      <c r="CW172" s="85">
        <f t="shared" si="315"/>
        <v>0</v>
      </c>
      <c r="CX172" s="85">
        <f t="shared" si="316"/>
        <v>1</v>
      </c>
      <c r="CY172" s="86">
        <f t="shared" si="317"/>
        <v>0</v>
      </c>
      <c r="CZ172" s="87">
        <f t="shared" si="318"/>
        <v>0</v>
      </c>
      <c r="DA172" s="87">
        <f t="shared" si="319"/>
        <v>0</v>
      </c>
      <c r="DB172" s="87">
        <f t="shared" si="320"/>
        <v>0</v>
      </c>
      <c r="DC172" s="87">
        <f t="shared" si="321"/>
        <v>0</v>
      </c>
      <c r="DD172" s="87">
        <f t="shared" si="322"/>
        <v>0</v>
      </c>
      <c r="DE172" s="87">
        <f t="shared" si="323"/>
        <v>0</v>
      </c>
      <c r="DF172" s="87">
        <f t="shared" si="324"/>
        <v>0</v>
      </c>
      <c r="DG172" s="87">
        <f t="shared" si="325"/>
        <v>0</v>
      </c>
      <c r="DH172" s="87">
        <f t="shared" si="326"/>
        <v>0</v>
      </c>
      <c r="DI172" s="87">
        <f t="shared" si="327"/>
        <v>0</v>
      </c>
      <c r="DJ172" s="87">
        <f t="shared" si="328"/>
        <v>0</v>
      </c>
      <c r="DK172" s="86">
        <f t="shared" si="329"/>
        <v>0</v>
      </c>
      <c r="DL172" s="87">
        <f t="shared" si="330"/>
        <v>0</v>
      </c>
      <c r="DM172" s="87">
        <f t="shared" si="331"/>
        <v>0</v>
      </c>
      <c r="DN172" s="87">
        <f t="shared" si="332"/>
        <v>0</v>
      </c>
      <c r="DO172" s="87">
        <f t="shared" si="333"/>
        <v>0</v>
      </c>
      <c r="DP172" s="87">
        <f t="shared" si="334"/>
        <v>0</v>
      </c>
      <c r="DQ172" s="87">
        <f t="shared" si="335"/>
        <v>0</v>
      </c>
      <c r="DR172" s="87">
        <f t="shared" si="340"/>
        <v>0</v>
      </c>
      <c r="DS172" s="87">
        <f t="shared" si="341"/>
        <v>0</v>
      </c>
      <c r="DT172" s="87">
        <f t="shared" si="336"/>
        <v>0</v>
      </c>
      <c r="DU172" s="87">
        <f t="shared" si="337"/>
        <v>0</v>
      </c>
      <c r="DV172" s="87">
        <f t="shared" si="338"/>
        <v>0</v>
      </c>
      <c r="DW172" s="87">
        <f t="shared" si="339"/>
        <v>0</v>
      </c>
    </row>
    <row r="173" spans="1:127">
      <c r="A173" s="22" t="s">
        <v>15</v>
      </c>
      <c r="B173" s="26">
        <v>4987176161734</v>
      </c>
      <c r="C173" s="22" t="s">
        <v>16</v>
      </c>
      <c r="D173" s="22" t="s">
        <v>17</v>
      </c>
      <c r="E173" s="22">
        <v>176367</v>
      </c>
      <c r="F173" s="80" t="s">
        <v>277</v>
      </c>
      <c r="G173" s="25">
        <v>618</v>
      </c>
      <c r="H173" s="85">
        <f t="shared" si="248"/>
        <v>0</v>
      </c>
      <c r="I173" s="85">
        <f t="shared" si="249"/>
        <v>0</v>
      </c>
      <c r="J173" s="85">
        <f t="shared" si="250"/>
        <v>0</v>
      </c>
      <c r="K173" s="85">
        <f t="shared" si="251"/>
        <v>0</v>
      </c>
      <c r="L173" s="85">
        <f t="shared" si="252"/>
        <v>0</v>
      </c>
      <c r="M173" s="86">
        <f t="shared" si="253"/>
        <v>0</v>
      </c>
      <c r="N173" s="87">
        <f t="shared" si="254"/>
        <v>0</v>
      </c>
      <c r="O173" s="87">
        <f t="shared" si="255"/>
        <v>0</v>
      </c>
      <c r="P173" s="87">
        <f t="shared" si="256"/>
        <v>0</v>
      </c>
      <c r="Q173" s="87">
        <f t="shared" si="257"/>
        <v>0</v>
      </c>
      <c r="R173" s="87">
        <f t="shared" si="258"/>
        <v>0</v>
      </c>
      <c r="S173" s="87">
        <f t="shared" si="259"/>
        <v>0</v>
      </c>
      <c r="T173" s="87">
        <f t="shared" si="260"/>
        <v>0</v>
      </c>
      <c r="U173" s="87">
        <f t="shared" si="261"/>
        <v>0</v>
      </c>
      <c r="V173" s="87">
        <f t="shared" si="262"/>
        <v>0</v>
      </c>
      <c r="W173" s="87">
        <f t="shared" si="263"/>
        <v>1236</v>
      </c>
      <c r="X173" s="87">
        <f t="shared" si="264"/>
        <v>165624</v>
      </c>
      <c r="Y173" s="86">
        <f t="shared" si="265"/>
        <v>228042</v>
      </c>
      <c r="Z173" s="87">
        <f t="shared" si="266"/>
        <v>302202</v>
      </c>
      <c r="AA173" s="87">
        <f t="shared" si="267"/>
        <v>182928</v>
      </c>
      <c r="AB173" s="87">
        <f t="shared" si="268"/>
        <v>193434</v>
      </c>
      <c r="AC173" s="87">
        <f t="shared" si="269"/>
        <v>415914</v>
      </c>
      <c r="AD173" s="87">
        <f t="shared" si="270"/>
        <v>265122</v>
      </c>
      <c r="AE173" s="87">
        <f t="shared" si="271"/>
        <v>359676</v>
      </c>
      <c r="AF173" s="87">
        <f t="shared" si="272"/>
        <v>359676</v>
      </c>
      <c r="AG173" s="87">
        <f t="shared" si="273"/>
        <v>397992</v>
      </c>
      <c r="AH173" s="87">
        <f t="shared" si="308"/>
        <v>252762</v>
      </c>
      <c r="AI173" s="87">
        <f t="shared" si="309"/>
        <v>397511.33333333331</v>
      </c>
      <c r="AJ173" s="87">
        <f t="shared" si="310"/>
        <v>0</v>
      </c>
      <c r="AK173" s="86">
        <f t="shared" si="311"/>
        <v>0</v>
      </c>
      <c r="AL173" s="85">
        <v>0</v>
      </c>
      <c r="AM173" s="85">
        <v>0</v>
      </c>
      <c r="AN173" s="85">
        <v>0</v>
      </c>
      <c r="AO173" s="85">
        <v>0</v>
      </c>
      <c r="AP173" s="85">
        <v>0</v>
      </c>
      <c r="AQ173" s="86">
        <v>0</v>
      </c>
      <c r="AR173" s="87">
        <v>0</v>
      </c>
      <c r="AS173" s="87">
        <v>0</v>
      </c>
      <c r="AT173" s="87">
        <v>0</v>
      </c>
      <c r="AU173" s="87">
        <v>0</v>
      </c>
      <c r="AV173" s="87">
        <v>0</v>
      </c>
      <c r="AW173" s="87">
        <v>0</v>
      </c>
      <c r="AX173" s="87">
        <v>0</v>
      </c>
      <c r="AY173" s="87">
        <v>0</v>
      </c>
      <c r="AZ173" s="87">
        <v>0</v>
      </c>
      <c r="BA173" s="87">
        <v>0</v>
      </c>
      <c r="BB173" s="87">
        <v>207</v>
      </c>
      <c r="BC173" s="86">
        <v>347</v>
      </c>
      <c r="BD173" s="87">
        <v>464</v>
      </c>
      <c r="BE173" s="87">
        <v>279</v>
      </c>
      <c r="BF173" s="87">
        <v>251</v>
      </c>
      <c r="BG173" s="87">
        <v>589</v>
      </c>
      <c r="BH173" s="87">
        <v>360</v>
      </c>
      <c r="BI173" s="87">
        <v>548</v>
      </c>
      <c r="BJ173" s="40">
        <v>533</v>
      </c>
      <c r="BK173" s="40">
        <v>633</v>
      </c>
      <c r="BL173" s="40">
        <v>398</v>
      </c>
      <c r="BM173" s="40">
        <v>603</v>
      </c>
      <c r="BN173" s="87"/>
      <c r="BO173" s="86"/>
      <c r="BP173" s="21">
        <v>0</v>
      </c>
      <c r="BQ173" s="21">
        <v>0</v>
      </c>
      <c r="BR173" s="21">
        <v>0</v>
      </c>
      <c r="BS173" s="21">
        <v>0</v>
      </c>
      <c r="BT173" s="21">
        <v>0</v>
      </c>
      <c r="BU173" s="42">
        <v>0</v>
      </c>
      <c r="BV173" s="21">
        <v>0</v>
      </c>
      <c r="BW173" s="21">
        <v>0</v>
      </c>
      <c r="BX173" s="21">
        <v>0</v>
      </c>
      <c r="BY173" s="21">
        <v>0</v>
      </c>
      <c r="BZ173" s="21">
        <v>0</v>
      </c>
      <c r="CA173" s="21">
        <v>0</v>
      </c>
      <c r="CB173" s="21">
        <v>0</v>
      </c>
      <c r="CC173" s="21">
        <v>0</v>
      </c>
      <c r="CD173" s="21">
        <v>0</v>
      </c>
      <c r="CE173" s="21">
        <v>2</v>
      </c>
      <c r="CF173" s="21">
        <v>61</v>
      </c>
      <c r="CG173" s="42">
        <v>22</v>
      </c>
      <c r="CH173" s="21">
        <v>25</v>
      </c>
      <c r="CI173" s="21">
        <v>17</v>
      </c>
      <c r="CJ173" s="21">
        <v>62</v>
      </c>
      <c r="CK173" s="21">
        <v>84</v>
      </c>
      <c r="CL173" s="21">
        <v>69</v>
      </c>
      <c r="CM173" s="21">
        <v>34</v>
      </c>
      <c r="CN173" s="21">
        <v>49</v>
      </c>
      <c r="CO173" s="21">
        <v>11</v>
      </c>
      <c r="CP173" s="21">
        <f t="shared" si="278"/>
        <v>11</v>
      </c>
      <c r="CQ173" s="344">
        <f t="shared" si="279"/>
        <v>40.222222222222221</v>
      </c>
      <c r="CR173" s="87"/>
      <c r="CS173" s="86"/>
      <c r="CT173" s="85">
        <f t="shared" si="312"/>
        <v>0</v>
      </c>
      <c r="CU173" s="85">
        <f t="shared" si="313"/>
        <v>0</v>
      </c>
      <c r="CV173" s="85">
        <f t="shared" si="314"/>
        <v>0</v>
      </c>
      <c r="CW173" s="85">
        <f t="shared" si="315"/>
        <v>0</v>
      </c>
      <c r="CX173" s="85">
        <f t="shared" si="316"/>
        <v>0</v>
      </c>
      <c r="CY173" s="86">
        <f t="shared" si="317"/>
        <v>0</v>
      </c>
      <c r="CZ173" s="87">
        <f t="shared" si="318"/>
        <v>0</v>
      </c>
      <c r="DA173" s="87">
        <f t="shared" si="319"/>
        <v>0</v>
      </c>
      <c r="DB173" s="87">
        <f t="shared" si="320"/>
        <v>0</v>
      </c>
      <c r="DC173" s="87">
        <f t="shared" si="321"/>
        <v>0</v>
      </c>
      <c r="DD173" s="87">
        <f t="shared" si="322"/>
        <v>0</v>
      </c>
      <c r="DE173" s="87">
        <f t="shared" si="323"/>
        <v>0</v>
      </c>
      <c r="DF173" s="87">
        <f t="shared" si="324"/>
        <v>0</v>
      </c>
      <c r="DG173" s="87">
        <f t="shared" si="325"/>
        <v>0</v>
      </c>
      <c r="DH173" s="87">
        <f t="shared" si="326"/>
        <v>0</v>
      </c>
      <c r="DI173" s="87">
        <f t="shared" si="327"/>
        <v>2</v>
      </c>
      <c r="DJ173" s="87">
        <f t="shared" si="328"/>
        <v>268</v>
      </c>
      <c r="DK173" s="86">
        <f t="shared" si="329"/>
        <v>369</v>
      </c>
      <c r="DL173" s="87">
        <f t="shared" si="330"/>
        <v>489</v>
      </c>
      <c r="DM173" s="87">
        <f t="shared" si="331"/>
        <v>296</v>
      </c>
      <c r="DN173" s="87">
        <f t="shared" si="332"/>
        <v>313</v>
      </c>
      <c r="DO173" s="87">
        <f t="shared" si="333"/>
        <v>673</v>
      </c>
      <c r="DP173" s="87">
        <f t="shared" si="334"/>
        <v>429</v>
      </c>
      <c r="DQ173" s="87">
        <f t="shared" si="335"/>
        <v>582</v>
      </c>
      <c r="DR173" s="87">
        <f t="shared" si="340"/>
        <v>582</v>
      </c>
      <c r="DS173" s="87">
        <f t="shared" si="341"/>
        <v>644</v>
      </c>
      <c r="DT173" s="87">
        <f t="shared" si="336"/>
        <v>409</v>
      </c>
      <c r="DU173" s="87">
        <f t="shared" si="337"/>
        <v>643.22222222222217</v>
      </c>
      <c r="DV173" s="87">
        <f t="shared" si="338"/>
        <v>0</v>
      </c>
      <c r="DW173" s="87">
        <f t="shared" si="339"/>
        <v>0</v>
      </c>
    </row>
    <row r="174" spans="1:127">
      <c r="A174" s="22" t="s">
        <v>15</v>
      </c>
      <c r="B174" s="26">
        <v>4987176273949</v>
      </c>
      <c r="C174" s="22" t="s">
        <v>16</v>
      </c>
      <c r="D174" s="46" t="s">
        <v>106</v>
      </c>
      <c r="E174" s="22">
        <v>246347</v>
      </c>
      <c r="F174" s="80" t="s">
        <v>278</v>
      </c>
      <c r="G174" s="25">
        <v>982.24</v>
      </c>
      <c r="H174" s="85">
        <f t="shared" si="248"/>
        <v>0</v>
      </c>
      <c r="I174" s="85">
        <f t="shared" si="249"/>
        <v>0</v>
      </c>
      <c r="J174" s="85">
        <f t="shared" si="250"/>
        <v>0</v>
      </c>
      <c r="K174" s="85">
        <f t="shared" si="251"/>
        <v>0</v>
      </c>
      <c r="L174" s="85">
        <f t="shared" si="252"/>
        <v>0</v>
      </c>
      <c r="M174" s="86">
        <f t="shared" si="253"/>
        <v>0</v>
      </c>
      <c r="N174" s="87">
        <f t="shared" si="254"/>
        <v>0</v>
      </c>
      <c r="O174" s="87">
        <f t="shared" si="255"/>
        <v>417452</v>
      </c>
      <c r="P174" s="87">
        <f t="shared" si="256"/>
        <v>366375.52</v>
      </c>
      <c r="Q174" s="87">
        <f t="shared" si="257"/>
        <v>291725.28000000003</v>
      </c>
      <c r="R174" s="87">
        <f t="shared" si="258"/>
        <v>435132.32</v>
      </c>
      <c r="S174" s="87">
        <f t="shared" si="259"/>
        <v>556930.07999999996</v>
      </c>
      <c r="T174" s="87">
        <f t="shared" si="260"/>
        <v>834904</v>
      </c>
      <c r="U174" s="87">
        <f t="shared" si="261"/>
        <v>685603.52</v>
      </c>
      <c r="V174" s="87">
        <f t="shared" si="262"/>
        <v>511747.04</v>
      </c>
      <c r="W174" s="87">
        <f t="shared" si="263"/>
        <v>527462.88</v>
      </c>
      <c r="X174" s="87">
        <f t="shared" si="264"/>
        <v>701319.36</v>
      </c>
      <c r="Y174" s="86">
        <f t="shared" si="265"/>
        <v>335926.08</v>
      </c>
      <c r="Z174" s="87">
        <f t="shared" si="266"/>
        <v>378162.4</v>
      </c>
      <c r="AA174" s="87">
        <f t="shared" si="267"/>
        <v>226897.44</v>
      </c>
      <c r="AB174" s="87">
        <f t="shared" si="268"/>
        <v>265204.8</v>
      </c>
      <c r="AC174" s="87">
        <f t="shared" si="269"/>
        <v>416469.76000000001</v>
      </c>
      <c r="AD174" s="87">
        <f t="shared" si="270"/>
        <v>305476.64</v>
      </c>
      <c r="AE174" s="87">
        <f t="shared" si="271"/>
        <v>422363.2</v>
      </c>
      <c r="AF174" s="87">
        <f t="shared" si="272"/>
        <v>323156.96000000002</v>
      </c>
      <c r="AG174" s="87">
        <f t="shared" si="273"/>
        <v>347712.96</v>
      </c>
      <c r="AH174" s="87">
        <f t="shared" si="308"/>
        <v>250471.2</v>
      </c>
      <c r="AI174" s="87">
        <f t="shared" si="309"/>
        <v>328286.43555555557</v>
      </c>
      <c r="AJ174" s="87">
        <f t="shared" si="310"/>
        <v>0</v>
      </c>
      <c r="AK174" s="86">
        <f t="shared" si="311"/>
        <v>0</v>
      </c>
      <c r="AL174" s="85">
        <v>0</v>
      </c>
      <c r="AM174" s="85">
        <v>0</v>
      </c>
      <c r="AN174" s="85">
        <v>0</v>
      </c>
      <c r="AO174" s="85">
        <v>0</v>
      </c>
      <c r="AP174" s="85">
        <v>0</v>
      </c>
      <c r="AQ174" s="86">
        <v>0</v>
      </c>
      <c r="AR174" s="87">
        <v>0</v>
      </c>
      <c r="AS174" s="87">
        <v>277</v>
      </c>
      <c r="AT174" s="87">
        <v>346</v>
      </c>
      <c r="AU174" s="87">
        <v>294</v>
      </c>
      <c r="AV174" s="87">
        <v>303</v>
      </c>
      <c r="AW174" s="87">
        <v>527</v>
      </c>
      <c r="AX174" s="87">
        <v>772</v>
      </c>
      <c r="AY174" s="87">
        <v>621</v>
      </c>
      <c r="AZ174" s="87">
        <v>456</v>
      </c>
      <c r="BA174" s="87">
        <v>459</v>
      </c>
      <c r="BB174" s="87">
        <v>665</v>
      </c>
      <c r="BC174" s="86">
        <v>318</v>
      </c>
      <c r="BD174" s="87">
        <v>369</v>
      </c>
      <c r="BE174" s="87">
        <v>210</v>
      </c>
      <c r="BF174" s="87">
        <v>218</v>
      </c>
      <c r="BG174" s="87">
        <v>369</v>
      </c>
      <c r="BH174" s="87">
        <v>284</v>
      </c>
      <c r="BI174" s="87">
        <v>380</v>
      </c>
      <c r="BJ174" s="40">
        <v>284</v>
      </c>
      <c r="BK174" s="40">
        <v>342</v>
      </c>
      <c r="BL174" s="40">
        <v>243</v>
      </c>
      <c r="BM174" s="40">
        <v>302</v>
      </c>
      <c r="BN174" s="87"/>
      <c r="BO174" s="86"/>
      <c r="BP174" s="21">
        <v>0</v>
      </c>
      <c r="BQ174" s="21">
        <v>0</v>
      </c>
      <c r="BR174" s="21">
        <v>0</v>
      </c>
      <c r="BS174" s="21">
        <v>0</v>
      </c>
      <c r="BT174" s="21">
        <v>0</v>
      </c>
      <c r="BU174" s="42">
        <v>0</v>
      </c>
      <c r="BV174" s="21">
        <v>0</v>
      </c>
      <c r="BW174" s="21">
        <v>148</v>
      </c>
      <c r="BX174" s="21">
        <v>27</v>
      </c>
      <c r="BY174" s="21">
        <v>3</v>
      </c>
      <c r="BZ174" s="21">
        <v>140</v>
      </c>
      <c r="CA174" s="21">
        <v>40</v>
      </c>
      <c r="CB174" s="21">
        <v>78</v>
      </c>
      <c r="CC174" s="21">
        <v>77</v>
      </c>
      <c r="CD174" s="21">
        <v>65</v>
      </c>
      <c r="CE174" s="21">
        <v>78</v>
      </c>
      <c r="CF174" s="21">
        <v>49</v>
      </c>
      <c r="CG174" s="42">
        <v>24</v>
      </c>
      <c r="CH174" s="21">
        <v>16</v>
      </c>
      <c r="CI174" s="21">
        <v>21</v>
      </c>
      <c r="CJ174" s="21">
        <v>52</v>
      </c>
      <c r="CK174" s="21">
        <v>55</v>
      </c>
      <c r="CL174" s="21">
        <v>27</v>
      </c>
      <c r="CM174" s="21">
        <v>50</v>
      </c>
      <c r="CN174" s="21">
        <v>45</v>
      </c>
      <c r="CO174" s="21">
        <v>12</v>
      </c>
      <c r="CP174" s="21">
        <f t="shared" si="278"/>
        <v>12</v>
      </c>
      <c r="CQ174" s="344">
        <f t="shared" si="279"/>
        <v>32.222222222222221</v>
      </c>
      <c r="CR174" s="87"/>
      <c r="CS174" s="86"/>
      <c r="CT174" s="85">
        <f t="shared" si="312"/>
        <v>0</v>
      </c>
      <c r="CU174" s="85">
        <f t="shared" si="313"/>
        <v>0</v>
      </c>
      <c r="CV174" s="85">
        <f t="shared" si="314"/>
        <v>0</v>
      </c>
      <c r="CW174" s="85">
        <f t="shared" si="315"/>
        <v>0</v>
      </c>
      <c r="CX174" s="85">
        <f t="shared" si="316"/>
        <v>0</v>
      </c>
      <c r="CY174" s="86">
        <f t="shared" si="317"/>
        <v>0</v>
      </c>
      <c r="CZ174" s="87">
        <f t="shared" si="318"/>
        <v>0</v>
      </c>
      <c r="DA174" s="87">
        <f t="shared" si="319"/>
        <v>425</v>
      </c>
      <c r="DB174" s="87">
        <f t="shared" si="320"/>
        <v>373</v>
      </c>
      <c r="DC174" s="87">
        <f t="shared" si="321"/>
        <v>297</v>
      </c>
      <c r="DD174" s="87">
        <f t="shared" si="322"/>
        <v>443</v>
      </c>
      <c r="DE174" s="87">
        <f t="shared" si="323"/>
        <v>567</v>
      </c>
      <c r="DF174" s="87">
        <f t="shared" si="324"/>
        <v>850</v>
      </c>
      <c r="DG174" s="87">
        <f t="shared" si="325"/>
        <v>698</v>
      </c>
      <c r="DH174" s="87">
        <f t="shared" si="326"/>
        <v>521</v>
      </c>
      <c r="DI174" s="87">
        <f t="shared" si="327"/>
        <v>537</v>
      </c>
      <c r="DJ174" s="87">
        <f t="shared" si="328"/>
        <v>714</v>
      </c>
      <c r="DK174" s="86">
        <f t="shared" si="329"/>
        <v>342</v>
      </c>
      <c r="DL174" s="87">
        <f t="shared" si="330"/>
        <v>385</v>
      </c>
      <c r="DM174" s="87">
        <f t="shared" si="331"/>
        <v>231</v>
      </c>
      <c r="DN174" s="87">
        <f t="shared" si="332"/>
        <v>270</v>
      </c>
      <c r="DO174" s="87">
        <f t="shared" si="333"/>
        <v>424</v>
      </c>
      <c r="DP174" s="87">
        <f t="shared" si="334"/>
        <v>311</v>
      </c>
      <c r="DQ174" s="87">
        <f t="shared" si="335"/>
        <v>430</v>
      </c>
      <c r="DR174" s="87">
        <f t="shared" si="340"/>
        <v>329</v>
      </c>
      <c r="DS174" s="87">
        <f t="shared" si="341"/>
        <v>354</v>
      </c>
      <c r="DT174" s="87">
        <f t="shared" si="336"/>
        <v>255</v>
      </c>
      <c r="DU174" s="87">
        <f t="shared" si="337"/>
        <v>334.22222222222223</v>
      </c>
      <c r="DV174" s="87">
        <f t="shared" si="338"/>
        <v>0</v>
      </c>
      <c r="DW174" s="87">
        <f t="shared" si="339"/>
        <v>0</v>
      </c>
    </row>
    <row r="175" spans="1:127">
      <c r="A175" s="22" t="s">
        <v>15</v>
      </c>
      <c r="B175" s="26">
        <v>4987176271716</v>
      </c>
      <c r="C175" s="22" t="s">
        <v>16</v>
      </c>
      <c r="D175" s="46" t="s">
        <v>106</v>
      </c>
      <c r="E175" s="22">
        <v>246458</v>
      </c>
      <c r="F175" s="80" t="s">
        <v>279</v>
      </c>
      <c r="G175" s="25">
        <v>576.81000000000006</v>
      </c>
      <c r="H175" s="85">
        <f t="shared" si="248"/>
        <v>0</v>
      </c>
      <c r="I175" s="85">
        <f t="shared" si="249"/>
        <v>0</v>
      </c>
      <c r="J175" s="85">
        <f t="shared" si="250"/>
        <v>0</v>
      </c>
      <c r="K175" s="85">
        <f t="shared" si="251"/>
        <v>0</v>
      </c>
      <c r="L175" s="85">
        <f t="shared" si="252"/>
        <v>0</v>
      </c>
      <c r="M175" s="86">
        <f t="shared" si="253"/>
        <v>0</v>
      </c>
      <c r="N175" s="87">
        <f t="shared" si="254"/>
        <v>0</v>
      </c>
      <c r="O175" s="87">
        <f t="shared" si="255"/>
        <v>132089.49000000002</v>
      </c>
      <c r="P175" s="87">
        <f t="shared" si="256"/>
        <v>214573.32000000004</v>
      </c>
      <c r="Q175" s="87">
        <f t="shared" si="257"/>
        <v>343201.95</v>
      </c>
      <c r="R175" s="87">
        <f t="shared" si="258"/>
        <v>261871.74000000002</v>
      </c>
      <c r="S175" s="87">
        <f t="shared" si="259"/>
        <v>230724.00000000003</v>
      </c>
      <c r="T175" s="87">
        <f t="shared" si="260"/>
        <v>284367.33</v>
      </c>
      <c r="U175" s="87">
        <f t="shared" si="261"/>
        <v>193231.35</v>
      </c>
      <c r="V175" s="87">
        <f t="shared" si="262"/>
        <v>175350.24000000002</v>
      </c>
      <c r="W175" s="87">
        <f t="shared" si="263"/>
        <v>217457.37000000002</v>
      </c>
      <c r="X175" s="87">
        <f t="shared" si="264"/>
        <v>348393.24000000005</v>
      </c>
      <c r="Y175" s="86">
        <f t="shared" si="265"/>
        <v>261871.74000000002</v>
      </c>
      <c r="Z175" s="87">
        <f t="shared" si="266"/>
        <v>200153.07</v>
      </c>
      <c r="AA175" s="87">
        <f t="shared" si="267"/>
        <v>136127.16</v>
      </c>
      <c r="AB175" s="87">
        <f t="shared" si="268"/>
        <v>153431.46000000002</v>
      </c>
      <c r="AC175" s="87">
        <f t="shared" si="269"/>
        <v>338010.66000000003</v>
      </c>
      <c r="AD175" s="87">
        <f t="shared" si="270"/>
        <v>325320.84000000003</v>
      </c>
      <c r="AE175" s="87">
        <f t="shared" si="271"/>
        <v>262448.55000000005</v>
      </c>
      <c r="AF175" s="87">
        <f t="shared" si="272"/>
        <v>172466.19000000003</v>
      </c>
      <c r="AG175" s="87">
        <f t="shared" si="273"/>
        <v>177080.67</v>
      </c>
      <c r="AH175" s="87">
        <f t="shared" si="308"/>
        <v>196692.21000000002</v>
      </c>
      <c r="AI175" s="87">
        <f t="shared" si="309"/>
        <v>245400.61000000004</v>
      </c>
      <c r="AJ175" s="87">
        <f t="shared" si="310"/>
        <v>0</v>
      </c>
      <c r="AK175" s="86">
        <f t="shared" si="311"/>
        <v>0</v>
      </c>
      <c r="AL175" s="85">
        <v>0</v>
      </c>
      <c r="AM175" s="85">
        <v>0</v>
      </c>
      <c r="AN175" s="85">
        <v>0</v>
      </c>
      <c r="AO175" s="85">
        <v>0</v>
      </c>
      <c r="AP175" s="85">
        <v>0</v>
      </c>
      <c r="AQ175" s="86">
        <v>0</v>
      </c>
      <c r="AR175" s="87">
        <v>0</v>
      </c>
      <c r="AS175" s="87">
        <v>206</v>
      </c>
      <c r="AT175" s="87">
        <v>296</v>
      </c>
      <c r="AU175" s="87">
        <v>462</v>
      </c>
      <c r="AV175" s="87">
        <v>384</v>
      </c>
      <c r="AW175" s="87">
        <v>388</v>
      </c>
      <c r="AX175" s="87">
        <v>478</v>
      </c>
      <c r="AY175" s="87">
        <v>310</v>
      </c>
      <c r="AZ175" s="87">
        <v>288</v>
      </c>
      <c r="BA175" s="87">
        <v>339</v>
      </c>
      <c r="BB175" s="87">
        <v>540</v>
      </c>
      <c r="BC175" s="86">
        <v>433</v>
      </c>
      <c r="BD175" s="87">
        <v>321</v>
      </c>
      <c r="BE175" s="87">
        <v>221</v>
      </c>
      <c r="BF175" s="87">
        <v>230</v>
      </c>
      <c r="BG175" s="87">
        <v>468</v>
      </c>
      <c r="BH175" s="87">
        <v>506</v>
      </c>
      <c r="BI175" s="87">
        <v>436</v>
      </c>
      <c r="BJ175" s="40">
        <v>272</v>
      </c>
      <c r="BK175" s="40">
        <v>297</v>
      </c>
      <c r="BL175" s="40">
        <v>331</v>
      </c>
      <c r="BM175" s="40">
        <v>390</v>
      </c>
      <c r="BN175" s="87"/>
      <c r="BO175" s="86"/>
      <c r="BP175" s="21">
        <v>0</v>
      </c>
      <c r="BQ175" s="21">
        <v>0</v>
      </c>
      <c r="BR175" s="21">
        <v>0</v>
      </c>
      <c r="BS175" s="21">
        <v>0</v>
      </c>
      <c r="BT175" s="21">
        <v>0</v>
      </c>
      <c r="BU175" s="42">
        <v>0</v>
      </c>
      <c r="BV175" s="21">
        <v>0</v>
      </c>
      <c r="BW175" s="21">
        <v>23</v>
      </c>
      <c r="BX175" s="21">
        <v>76</v>
      </c>
      <c r="BY175" s="21">
        <v>133</v>
      </c>
      <c r="BZ175" s="21">
        <v>70</v>
      </c>
      <c r="CA175" s="21">
        <v>12</v>
      </c>
      <c r="CB175" s="21">
        <v>15</v>
      </c>
      <c r="CC175" s="21">
        <v>25</v>
      </c>
      <c r="CD175" s="21">
        <v>16</v>
      </c>
      <c r="CE175" s="21">
        <v>38</v>
      </c>
      <c r="CF175" s="21">
        <v>64</v>
      </c>
      <c r="CG175" s="42">
        <v>21</v>
      </c>
      <c r="CH175" s="21">
        <v>26</v>
      </c>
      <c r="CI175" s="21">
        <v>15</v>
      </c>
      <c r="CJ175" s="21">
        <v>36</v>
      </c>
      <c r="CK175" s="21">
        <v>118</v>
      </c>
      <c r="CL175" s="21">
        <v>58</v>
      </c>
      <c r="CM175" s="21">
        <v>19</v>
      </c>
      <c r="CN175" s="21">
        <v>27</v>
      </c>
      <c r="CO175" s="21">
        <v>10</v>
      </c>
      <c r="CP175" s="21">
        <f t="shared" si="278"/>
        <v>10</v>
      </c>
      <c r="CQ175" s="344">
        <f t="shared" si="279"/>
        <v>35.444444444444443</v>
      </c>
      <c r="CR175" s="87"/>
      <c r="CS175" s="86"/>
      <c r="CT175" s="85">
        <f t="shared" si="312"/>
        <v>0</v>
      </c>
      <c r="CU175" s="85">
        <f t="shared" si="313"/>
        <v>0</v>
      </c>
      <c r="CV175" s="85">
        <f t="shared" si="314"/>
        <v>0</v>
      </c>
      <c r="CW175" s="85">
        <f t="shared" si="315"/>
        <v>0</v>
      </c>
      <c r="CX175" s="85">
        <f t="shared" si="316"/>
        <v>0</v>
      </c>
      <c r="CY175" s="86">
        <f t="shared" si="317"/>
        <v>0</v>
      </c>
      <c r="CZ175" s="87">
        <f t="shared" si="318"/>
        <v>0</v>
      </c>
      <c r="DA175" s="87">
        <f t="shared" si="319"/>
        <v>229</v>
      </c>
      <c r="DB175" s="87">
        <f t="shared" si="320"/>
        <v>372</v>
      </c>
      <c r="DC175" s="87">
        <f t="shared" si="321"/>
        <v>595</v>
      </c>
      <c r="DD175" s="87">
        <f t="shared" si="322"/>
        <v>454</v>
      </c>
      <c r="DE175" s="87">
        <f t="shared" si="323"/>
        <v>400</v>
      </c>
      <c r="DF175" s="87">
        <f t="shared" si="324"/>
        <v>493</v>
      </c>
      <c r="DG175" s="87">
        <f t="shared" si="325"/>
        <v>335</v>
      </c>
      <c r="DH175" s="87">
        <f t="shared" si="326"/>
        <v>304</v>
      </c>
      <c r="DI175" s="87">
        <f t="shared" si="327"/>
        <v>377</v>
      </c>
      <c r="DJ175" s="87">
        <f t="shared" si="328"/>
        <v>604</v>
      </c>
      <c r="DK175" s="86">
        <f t="shared" si="329"/>
        <v>454</v>
      </c>
      <c r="DL175" s="87">
        <f t="shared" si="330"/>
        <v>347</v>
      </c>
      <c r="DM175" s="87">
        <f t="shared" si="331"/>
        <v>236</v>
      </c>
      <c r="DN175" s="87">
        <f t="shared" si="332"/>
        <v>266</v>
      </c>
      <c r="DO175" s="87">
        <f t="shared" si="333"/>
        <v>586</v>
      </c>
      <c r="DP175" s="87">
        <f t="shared" si="334"/>
        <v>564</v>
      </c>
      <c r="DQ175" s="87">
        <f t="shared" si="335"/>
        <v>455</v>
      </c>
      <c r="DR175" s="87">
        <f t="shared" si="340"/>
        <v>299</v>
      </c>
      <c r="DS175" s="87">
        <f t="shared" si="341"/>
        <v>307</v>
      </c>
      <c r="DT175" s="87">
        <f t="shared" si="336"/>
        <v>341</v>
      </c>
      <c r="DU175" s="87">
        <f t="shared" si="337"/>
        <v>425.44444444444446</v>
      </c>
      <c r="DV175" s="87">
        <f t="shared" si="338"/>
        <v>0</v>
      </c>
      <c r="DW175" s="87">
        <f t="shared" si="339"/>
        <v>0</v>
      </c>
    </row>
    <row r="176" spans="1:127">
      <c r="A176" s="22" t="s">
        <v>15</v>
      </c>
      <c r="B176" s="26">
        <v>4987176271709</v>
      </c>
      <c r="C176" s="22" t="s">
        <v>16</v>
      </c>
      <c r="D176" s="46" t="s">
        <v>106</v>
      </c>
      <c r="E176" s="22">
        <v>246558</v>
      </c>
      <c r="F176" s="80" t="s">
        <v>280</v>
      </c>
      <c r="G176" s="25">
        <v>736.53000000000009</v>
      </c>
      <c r="H176" s="85">
        <f t="shared" si="248"/>
        <v>0</v>
      </c>
      <c r="I176" s="85">
        <f t="shared" si="249"/>
        <v>0</v>
      </c>
      <c r="J176" s="85">
        <f t="shared" si="250"/>
        <v>0</v>
      </c>
      <c r="K176" s="85">
        <f t="shared" si="251"/>
        <v>0</v>
      </c>
      <c r="L176" s="85">
        <f t="shared" si="252"/>
        <v>0</v>
      </c>
      <c r="M176" s="86">
        <f t="shared" si="253"/>
        <v>0</v>
      </c>
      <c r="N176" s="87">
        <f t="shared" si="254"/>
        <v>0</v>
      </c>
      <c r="O176" s="87">
        <f t="shared" si="255"/>
        <v>119317.86000000002</v>
      </c>
      <c r="P176" s="87">
        <f t="shared" si="256"/>
        <v>218749.41000000003</v>
      </c>
      <c r="Q176" s="87">
        <f t="shared" si="257"/>
        <v>361636.23000000004</v>
      </c>
      <c r="R176" s="87">
        <f t="shared" si="258"/>
        <v>262204.68000000005</v>
      </c>
      <c r="S176" s="87">
        <f t="shared" si="259"/>
        <v>231270.42</v>
      </c>
      <c r="T176" s="87">
        <f t="shared" si="260"/>
        <v>293875.47000000003</v>
      </c>
      <c r="U176" s="87">
        <f t="shared" si="261"/>
        <v>214330.23000000004</v>
      </c>
      <c r="V176" s="87">
        <f t="shared" si="262"/>
        <v>164246.19000000003</v>
      </c>
      <c r="W176" s="87">
        <f t="shared" si="263"/>
        <v>155407.83000000002</v>
      </c>
      <c r="X176" s="87">
        <f t="shared" si="264"/>
        <v>216539.82000000004</v>
      </c>
      <c r="Y176" s="86">
        <f t="shared" si="265"/>
        <v>159090.48000000001</v>
      </c>
      <c r="Z176" s="87">
        <f t="shared" si="266"/>
        <v>152461.71000000002</v>
      </c>
      <c r="AA176" s="87">
        <f t="shared" si="267"/>
        <v>118581.33000000002</v>
      </c>
      <c r="AB176" s="87">
        <f t="shared" si="268"/>
        <v>100168.08000000002</v>
      </c>
      <c r="AC176" s="87">
        <f t="shared" si="269"/>
        <v>179713.32</v>
      </c>
      <c r="AD176" s="87">
        <f t="shared" si="270"/>
        <v>159827.01</v>
      </c>
      <c r="AE176" s="87">
        <f t="shared" si="271"/>
        <v>153198.24000000002</v>
      </c>
      <c r="AF176" s="87">
        <f t="shared" si="272"/>
        <v>111216.03000000001</v>
      </c>
      <c r="AG176" s="87">
        <f t="shared" si="273"/>
        <v>123737.04000000001</v>
      </c>
      <c r="AH176" s="87">
        <f t="shared" si="308"/>
        <v>125210.10000000002</v>
      </c>
      <c r="AI176" s="87">
        <f t="shared" si="309"/>
        <v>124391.73333333335</v>
      </c>
      <c r="AJ176" s="87">
        <f t="shared" si="310"/>
        <v>0</v>
      </c>
      <c r="AK176" s="86">
        <f t="shared" si="311"/>
        <v>0</v>
      </c>
      <c r="AL176" s="85">
        <v>0</v>
      </c>
      <c r="AM176" s="85">
        <v>0</v>
      </c>
      <c r="AN176" s="85">
        <v>0</v>
      </c>
      <c r="AO176" s="85">
        <v>0</v>
      </c>
      <c r="AP176" s="85">
        <v>0</v>
      </c>
      <c r="AQ176" s="86">
        <v>0</v>
      </c>
      <c r="AR176" s="87">
        <v>0</v>
      </c>
      <c r="AS176" s="87">
        <v>146</v>
      </c>
      <c r="AT176" s="87">
        <v>263</v>
      </c>
      <c r="AU176" s="87">
        <v>422</v>
      </c>
      <c r="AV176" s="87">
        <v>340</v>
      </c>
      <c r="AW176" s="87">
        <v>299</v>
      </c>
      <c r="AX176" s="87">
        <v>389</v>
      </c>
      <c r="AY176" s="87">
        <v>275</v>
      </c>
      <c r="AZ176" s="87">
        <v>215</v>
      </c>
      <c r="BA176" s="87">
        <v>208</v>
      </c>
      <c r="BB176" s="87">
        <v>280</v>
      </c>
      <c r="BC176" s="86">
        <v>203</v>
      </c>
      <c r="BD176" s="87">
        <v>202</v>
      </c>
      <c r="BE176" s="87">
        <v>152</v>
      </c>
      <c r="BF176" s="87">
        <v>129</v>
      </c>
      <c r="BG176" s="87">
        <v>215</v>
      </c>
      <c r="BH176" s="87">
        <v>206</v>
      </c>
      <c r="BI176" s="87">
        <v>199</v>
      </c>
      <c r="BJ176" s="40">
        <v>130</v>
      </c>
      <c r="BK176" s="40">
        <v>160</v>
      </c>
      <c r="BL176" s="40">
        <v>162</v>
      </c>
      <c r="BM176" s="40">
        <v>157</v>
      </c>
      <c r="BN176" s="87"/>
      <c r="BO176" s="86"/>
      <c r="BP176" s="21">
        <v>0</v>
      </c>
      <c r="BQ176" s="21">
        <v>0</v>
      </c>
      <c r="BR176" s="21">
        <v>0</v>
      </c>
      <c r="BS176" s="21">
        <v>0</v>
      </c>
      <c r="BT176" s="21">
        <v>0</v>
      </c>
      <c r="BU176" s="42">
        <v>0</v>
      </c>
      <c r="BV176" s="21">
        <v>0</v>
      </c>
      <c r="BW176" s="21">
        <v>16</v>
      </c>
      <c r="BX176" s="21">
        <v>34</v>
      </c>
      <c r="BY176" s="21">
        <v>69</v>
      </c>
      <c r="BZ176" s="21">
        <v>16</v>
      </c>
      <c r="CA176" s="21">
        <v>15</v>
      </c>
      <c r="CB176" s="21">
        <v>10</v>
      </c>
      <c r="CC176" s="21">
        <v>16</v>
      </c>
      <c r="CD176" s="21">
        <v>8</v>
      </c>
      <c r="CE176" s="21">
        <v>3</v>
      </c>
      <c r="CF176" s="21">
        <v>14</v>
      </c>
      <c r="CG176" s="42">
        <v>13</v>
      </c>
      <c r="CH176" s="21">
        <v>5</v>
      </c>
      <c r="CI176" s="21">
        <v>9</v>
      </c>
      <c r="CJ176" s="21">
        <v>7</v>
      </c>
      <c r="CK176" s="21">
        <v>29</v>
      </c>
      <c r="CL176" s="21">
        <v>11</v>
      </c>
      <c r="CM176" s="21">
        <v>9</v>
      </c>
      <c r="CN176" s="21">
        <v>21</v>
      </c>
      <c r="CO176" s="21">
        <v>8</v>
      </c>
      <c r="CP176" s="21">
        <f t="shared" si="278"/>
        <v>8</v>
      </c>
      <c r="CQ176" s="344">
        <f t="shared" si="279"/>
        <v>11.888888888888889</v>
      </c>
      <c r="CR176" s="87"/>
      <c r="CS176" s="86"/>
      <c r="CT176" s="85">
        <f t="shared" si="312"/>
        <v>0</v>
      </c>
      <c r="CU176" s="85">
        <f t="shared" si="313"/>
        <v>0</v>
      </c>
      <c r="CV176" s="85">
        <f t="shared" si="314"/>
        <v>0</v>
      </c>
      <c r="CW176" s="85">
        <f t="shared" si="315"/>
        <v>0</v>
      </c>
      <c r="CX176" s="85">
        <f t="shared" si="316"/>
        <v>0</v>
      </c>
      <c r="CY176" s="86">
        <f t="shared" si="317"/>
        <v>0</v>
      </c>
      <c r="CZ176" s="87">
        <f t="shared" si="318"/>
        <v>0</v>
      </c>
      <c r="DA176" s="87">
        <f t="shared" si="319"/>
        <v>162</v>
      </c>
      <c r="DB176" s="87">
        <f t="shared" si="320"/>
        <v>297</v>
      </c>
      <c r="DC176" s="87">
        <f t="shared" si="321"/>
        <v>491</v>
      </c>
      <c r="DD176" s="87">
        <f t="shared" si="322"/>
        <v>356</v>
      </c>
      <c r="DE176" s="87">
        <f t="shared" si="323"/>
        <v>314</v>
      </c>
      <c r="DF176" s="87">
        <f t="shared" si="324"/>
        <v>399</v>
      </c>
      <c r="DG176" s="87">
        <f t="shared" si="325"/>
        <v>291</v>
      </c>
      <c r="DH176" s="87">
        <f t="shared" si="326"/>
        <v>223</v>
      </c>
      <c r="DI176" s="87">
        <f t="shared" si="327"/>
        <v>211</v>
      </c>
      <c r="DJ176" s="87">
        <f t="shared" si="328"/>
        <v>294</v>
      </c>
      <c r="DK176" s="86">
        <f t="shared" si="329"/>
        <v>216</v>
      </c>
      <c r="DL176" s="87">
        <f t="shared" si="330"/>
        <v>207</v>
      </c>
      <c r="DM176" s="87">
        <f t="shared" si="331"/>
        <v>161</v>
      </c>
      <c r="DN176" s="87">
        <f t="shared" si="332"/>
        <v>136</v>
      </c>
      <c r="DO176" s="87">
        <f t="shared" si="333"/>
        <v>244</v>
      </c>
      <c r="DP176" s="87">
        <f t="shared" si="334"/>
        <v>217</v>
      </c>
      <c r="DQ176" s="87">
        <f t="shared" si="335"/>
        <v>208</v>
      </c>
      <c r="DR176" s="87">
        <f t="shared" si="340"/>
        <v>151</v>
      </c>
      <c r="DS176" s="87">
        <f t="shared" si="341"/>
        <v>168</v>
      </c>
      <c r="DT176" s="87">
        <f t="shared" si="336"/>
        <v>170</v>
      </c>
      <c r="DU176" s="87">
        <f t="shared" si="337"/>
        <v>168.88888888888889</v>
      </c>
      <c r="DV176" s="87">
        <f t="shared" si="338"/>
        <v>0</v>
      </c>
      <c r="DW176" s="87">
        <f t="shared" si="339"/>
        <v>0</v>
      </c>
    </row>
    <row r="177" spans="1:127" s="233" customFormat="1">
      <c r="A177" s="326" t="s">
        <v>15</v>
      </c>
      <c r="B177" s="327">
        <v>4987176320216</v>
      </c>
      <c r="C177" s="326" t="s">
        <v>16</v>
      </c>
      <c r="D177" s="326" t="s">
        <v>18</v>
      </c>
      <c r="E177" s="326">
        <v>268383</v>
      </c>
      <c r="F177" s="328" t="s">
        <v>752</v>
      </c>
      <c r="G177" s="329">
        <v>908.53000000000009</v>
      </c>
      <c r="H177" s="330">
        <f t="shared" si="248"/>
        <v>0</v>
      </c>
      <c r="I177" s="330">
        <f t="shared" si="249"/>
        <v>0</v>
      </c>
      <c r="J177" s="330">
        <f t="shared" si="250"/>
        <v>0</v>
      </c>
      <c r="K177" s="330">
        <f t="shared" si="251"/>
        <v>0</v>
      </c>
      <c r="L177" s="330">
        <f t="shared" si="252"/>
        <v>0</v>
      </c>
      <c r="M177" s="331">
        <f t="shared" si="253"/>
        <v>0</v>
      </c>
      <c r="N177" s="231">
        <f t="shared" si="254"/>
        <v>0</v>
      </c>
      <c r="O177" s="231">
        <f t="shared" si="255"/>
        <v>0</v>
      </c>
      <c r="P177" s="231">
        <f t="shared" si="256"/>
        <v>0</v>
      </c>
      <c r="Q177" s="231">
        <f t="shared" si="257"/>
        <v>0</v>
      </c>
      <c r="R177" s="231">
        <f t="shared" si="258"/>
        <v>0</v>
      </c>
      <c r="S177" s="231">
        <f t="shared" si="259"/>
        <v>0</v>
      </c>
      <c r="T177" s="231">
        <f t="shared" si="260"/>
        <v>0</v>
      </c>
      <c r="U177" s="231">
        <f t="shared" si="261"/>
        <v>0</v>
      </c>
      <c r="V177" s="231">
        <f t="shared" si="262"/>
        <v>0</v>
      </c>
      <c r="W177" s="231">
        <f t="shared" si="263"/>
        <v>0</v>
      </c>
      <c r="X177" s="231">
        <f t="shared" si="264"/>
        <v>0</v>
      </c>
      <c r="Y177" s="331">
        <f t="shared" si="265"/>
        <v>0</v>
      </c>
      <c r="Z177" s="231">
        <f t="shared" si="266"/>
        <v>162626.87000000002</v>
      </c>
      <c r="AA177" s="231">
        <f t="shared" si="267"/>
        <v>476978.25000000006</v>
      </c>
      <c r="AB177" s="231">
        <f t="shared" si="268"/>
        <v>638696.59000000008</v>
      </c>
      <c r="AC177" s="231">
        <f t="shared" si="269"/>
        <v>583276.26</v>
      </c>
      <c r="AD177" s="231">
        <f t="shared" si="270"/>
        <v>384308.19000000006</v>
      </c>
      <c r="AE177" s="231">
        <f t="shared" si="271"/>
        <v>338881.69000000006</v>
      </c>
      <c r="AF177" s="231">
        <f t="shared" si="272"/>
        <v>267107.82</v>
      </c>
      <c r="AG177" s="231">
        <f t="shared" si="273"/>
        <v>437002.93000000005</v>
      </c>
      <c r="AH177" s="231">
        <f t="shared" si="308"/>
        <v>346149.93000000005</v>
      </c>
      <c r="AI177" s="231">
        <f t="shared" si="309"/>
        <v>667567.65444444458</v>
      </c>
      <c r="AJ177" s="231">
        <f t="shared" si="310"/>
        <v>0</v>
      </c>
      <c r="AK177" s="331">
        <f t="shared" si="311"/>
        <v>0</v>
      </c>
      <c r="AL177" s="330">
        <v>0</v>
      </c>
      <c r="AM177" s="330">
        <v>0</v>
      </c>
      <c r="AN177" s="330">
        <v>0</v>
      </c>
      <c r="AO177" s="330">
        <v>0</v>
      </c>
      <c r="AP177" s="330">
        <v>0</v>
      </c>
      <c r="AQ177" s="331">
        <v>0</v>
      </c>
      <c r="AR177" s="231">
        <v>0</v>
      </c>
      <c r="AS177" s="231">
        <v>0</v>
      </c>
      <c r="AT177" s="231">
        <v>0</v>
      </c>
      <c r="AU177" s="231">
        <v>0</v>
      </c>
      <c r="AV177" s="231">
        <v>0</v>
      </c>
      <c r="AW177" s="231">
        <v>0</v>
      </c>
      <c r="AX177" s="231">
        <v>0</v>
      </c>
      <c r="AY177" s="231">
        <v>0</v>
      </c>
      <c r="AZ177" s="231">
        <v>0</v>
      </c>
      <c r="BA177" s="231">
        <v>0</v>
      </c>
      <c r="BB177" s="231">
        <v>0</v>
      </c>
      <c r="BC177" s="331">
        <v>0</v>
      </c>
      <c r="BD177" s="231">
        <v>125</v>
      </c>
      <c r="BE177" s="231">
        <v>466</v>
      </c>
      <c r="BF177" s="231">
        <v>612</v>
      </c>
      <c r="BG177" s="231">
        <v>563</v>
      </c>
      <c r="BH177" s="231">
        <v>384</v>
      </c>
      <c r="BI177" s="231">
        <v>349</v>
      </c>
      <c r="BJ177" s="332">
        <v>256</v>
      </c>
      <c r="BK177" s="332">
        <v>467</v>
      </c>
      <c r="BL177" s="40">
        <v>367</v>
      </c>
      <c r="BM177" s="40">
        <v>689</v>
      </c>
      <c r="BN177" s="231"/>
      <c r="BO177" s="331"/>
      <c r="BP177" s="21">
        <v>0</v>
      </c>
      <c r="BQ177" s="21">
        <v>0</v>
      </c>
      <c r="BR177" s="21">
        <v>0</v>
      </c>
      <c r="BS177" s="21">
        <v>0</v>
      </c>
      <c r="BT177" s="21">
        <v>0</v>
      </c>
      <c r="BU177" s="42">
        <v>0</v>
      </c>
      <c r="BV177" s="21">
        <v>0</v>
      </c>
      <c r="BW177" s="21">
        <v>0</v>
      </c>
      <c r="BX177" s="21">
        <v>0</v>
      </c>
      <c r="BY177" s="21">
        <v>0</v>
      </c>
      <c r="BZ177" s="21">
        <v>0</v>
      </c>
      <c r="CA177" s="21">
        <v>0</v>
      </c>
      <c r="CB177" s="21">
        <v>0</v>
      </c>
      <c r="CC177" s="21">
        <v>0</v>
      </c>
      <c r="CD177" s="21">
        <v>0</v>
      </c>
      <c r="CE177" s="21">
        <v>0</v>
      </c>
      <c r="CF177" s="21">
        <v>0</v>
      </c>
      <c r="CG177" s="42">
        <v>0</v>
      </c>
      <c r="CH177" s="21">
        <v>54</v>
      </c>
      <c r="CI177" s="21">
        <v>59</v>
      </c>
      <c r="CJ177" s="21">
        <v>91</v>
      </c>
      <c r="CK177" s="21">
        <v>79</v>
      </c>
      <c r="CL177" s="21">
        <v>39</v>
      </c>
      <c r="CM177" s="21">
        <v>24</v>
      </c>
      <c r="CN177" s="21">
        <v>38</v>
      </c>
      <c r="CO177" s="21">
        <v>14</v>
      </c>
      <c r="CP177" s="21">
        <f t="shared" si="278"/>
        <v>14</v>
      </c>
      <c r="CQ177" s="345">
        <f t="shared" si="279"/>
        <v>45.777777777777779</v>
      </c>
      <c r="CR177" s="231"/>
      <c r="CS177" s="331"/>
      <c r="CT177" s="330">
        <f t="shared" si="312"/>
        <v>0</v>
      </c>
      <c r="CU177" s="330">
        <f t="shared" si="313"/>
        <v>0</v>
      </c>
      <c r="CV177" s="330">
        <f t="shared" si="314"/>
        <v>0</v>
      </c>
      <c r="CW177" s="330">
        <f t="shared" si="315"/>
        <v>0</v>
      </c>
      <c r="CX177" s="330">
        <f t="shared" si="316"/>
        <v>0</v>
      </c>
      <c r="CY177" s="331">
        <f t="shared" si="317"/>
        <v>0</v>
      </c>
      <c r="CZ177" s="231">
        <f t="shared" si="318"/>
        <v>0</v>
      </c>
      <c r="DA177" s="231">
        <f t="shared" si="319"/>
        <v>0</v>
      </c>
      <c r="DB177" s="231">
        <f t="shared" si="320"/>
        <v>0</v>
      </c>
      <c r="DC177" s="231">
        <f t="shared" si="321"/>
        <v>0</v>
      </c>
      <c r="DD177" s="231">
        <f t="shared" si="322"/>
        <v>0</v>
      </c>
      <c r="DE177" s="231">
        <f t="shared" si="323"/>
        <v>0</v>
      </c>
      <c r="DF177" s="231">
        <f t="shared" si="324"/>
        <v>0</v>
      </c>
      <c r="DG177" s="231">
        <f t="shared" si="325"/>
        <v>0</v>
      </c>
      <c r="DH177" s="231">
        <f t="shared" si="326"/>
        <v>0</v>
      </c>
      <c r="DI177" s="231">
        <f t="shared" si="327"/>
        <v>0</v>
      </c>
      <c r="DJ177" s="231">
        <f t="shared" si="328"/>
        <v>0</v>
      </c>
      <c r="DK177" s="331">
        <f t="shared" si="329"/>
        <v>0</v>
      </c>
      <c r="DL177" s="231">
        <f t="shared" si="330"/>
        <v>179</v>
      </c>
      <c r="DM177" s="231">
        <f t="shared" si="331"/>
        <v>525</v>
      </c>
      <c r="DN177" s="231">
        <f t="shared" si="332"/>
        <v>703</v>
      </c>
      <c r="DO177" s="231">
        <f t="shared" si="333"/>
        <v>642</v>
      </c>
      <c r="DP177" s="231">
        <f t="shared" si="334"/>
        <v>423</v>
      </c>
      <c r="DQ177" s="231">
        <f t="shared" si="335"/>
        <v>373</v>
      </c>
      <c r="DR177" s="231">
        <f t="shared" si="340"/>
        <v>294</v>
      </c>
      <c r="DS177" s="231">
        <f t="shared" si="341"/>
        <v>481</v>
      </c>
      <c r="DT177" s="231">
        <f t="shared" si="336"/>
        <v>381</v>
      </c>
      <c r="DU177" s="231">
        <f t="shared" si="337"/>
        <v>734.77777777777783</v>
      </c>
      <c r="DV177" s="231">
        <f t="shared" si="338"/>
        <v>0</v>
      </c>
      <c r="DW177" s="231">
        <f t="shared" si="339"/>
        <v>0</v>
      </c>
    </row>
    <row r="178" spans="1:127" s="233" customFormat="1">
      <c r="A178" s="326" t="s">
        <v>15</v>
      </c>
      <c r="B178" s="327">
        <v>4987176320209</v>
      </c>
      <c r="C178" s="326" t="s">
        <v>16</v>
      </c>
      <c r="D178" s="326" t="s">
        <v>18</v>
      </c>
      <c r="E178" s="326">
        <v>268735</v>
      </c>
      <c r="F178" s="328" t="s">
        <v>753</v>
      </c>
      <c r="G178" s="329">
        <v>736.53000000000009</v>
      </c>
      <c r="H178" s="330">
        <f t="shared" si="248"/>
        <v>0</v>
      </c>
      <c r="I178" s="330">
        <f t="shared" si="249"/>
        <v>0</v>
      </c>
      <c r="J178" s="330">
        <f t="shared" si="250"/>
        <v>0</v>
      </c>
      <c r="K178" s="330">
        <f t="shared" si="251"/>
        <v>0</v>
      </c>
      <c r="L178" s="330">
        <f t="shared" si="252"/>
        <v>0</v>
      </c>
      <c r="M178" s="331">
        <f t="shared" si="253"/>
        <v>0</v>
      </c>
      <c r="N178" s="231">
        <f t="shared" si="254"/>
        <v>0</v>
      </c>
      <c r="O178" s="231">
        <f t="shared" si="255"/>
        <v>0</v>
      </c>
      <c r="P178" s="231">
        <f t="shared" si="256"/>
        <v>0</v>
      </c>
      <c r="Q178" s="231">
        <f t="shared" si="257"/>
        <v>0</v>
      </c>
      <c r="R178" s="231">
        <f t="shared" si="258"/>
        <v>0</v>
      </c>
      <c r="S178" s="231">
        <f t="shared" si="259"/>
        <v>0</v>
      </c>
      <c r="T178" s="231">
        <f t="shared" si="260"/>
        <v>0</v>
      </c>
      <c r="U178" s="231">
        <f t="shared" si="261"/>
        <v>0</v>
      </c>
      <c r="V178" s="231">
        <f t="shared" si="262"/>
        <v>0</v>
      </c>
      <c r="W178" s="231">
        <f t="shared" si="263"/>
        <v>0</v>
      </c>
      <c r="X178" s="231">
        <f t="shared" si="264"/>
        <v>0</v>
      </c>
      <c r="Y178" s="331">
        <f t="shared" si="265"/>
        <v>0</v>
      </c>
      <c r="Z178" s="231">
        <f t="shared" si="266"/>
        <v>1702120.8300000003</v>
      </c>
      <c r="AA178" s="231">
        <f t="shared" si="267"/>
        <v>2703065.1</v>
      </c>
      <c r="AB178" s="231">
        <f t="shared" si="268"/>
        <v>1300711.9800000002</v>
      </c>
      <c r="AC178" s="231">
        <f t="shared" si="269"/>
        <v>2641196.5800000005</v>
      </c>
      <c r="AD178" s="231">
        <f t="shared" si="270"/>
        <v>178240.26</v>
      </c>
      <c r="AE178" s="231">
        <f t="shared" si="271"/>
        <v>981057.96000000008</v>
      </c>
      <c r="AF178" s="231">
        <f t="shared" si="272"/>
        <v>807973.41000000015</v>
      </c>
      <c r="AG178" s="231">
        <f t="shared" si="273"/>
        <v>191497.80000000002</v>
      </c>
      <c r="AH178" s="231">
        <f t="shared" si="308"/>
        <v>180449.85000000003</v>
      </c>
      <c r="AI178" s="231">
        <f t="shared" si="309"/>
        <v>331274.82666666672</v>
      </c>
      <c r="AJ178" s="231">
        <f t="shared" si="310"/>
        <v>0</v>
      </c>
      <c r="AK178" s="331">
        <f t="shared" si="311"/>
        <v>0</v>
      </c>
      <c r="AL178" s="330">
        <v>0</v>
      </c>
      <c r="AM178" s="330">
        <v>0</v>
      </c>
      <c r="AN178" s="330">
        <v>0</v>
      </c>
      <c r="AO178" s="330">
        <v>0</v>
      </c>
      <c r="AP178" s="330">
        <v>0</v>
      </c>
      <c r="AQ178" s="331">
        <v>0</v>
      </c>
      <c r="AR178" s="231">
        <v>0</v>
      </c>
      <c r="AS178" s="231">
        <v>0</v>
      </c>
      <c r="AT178" s="231">
        <v>0</v>
      </c>
      <c r="AU178" s="231">
        <v>0</v>
      </c>
      <c r="AV178" s="231">
        <v>0</v>
      </c>
      <c r="AW178" s="231">
        <v>0</v>
      </c>
      <c r="AX178" s="231">
        <v>0</v>
      </c>
      <c r="AY178" s="231">
        <v>0</v>
      </c>
      <c r="AZ178" s="231">
        <v>0</v>
      </c>
      <c r="BA178" s="231">
        <v>0</v>
      </c>
      <c r="BB178" s="231">
        <v>0</v>
      </c>
      <c r="BC178" s="331">
        <v>0</v>
      </c>
      <c r="BD178" s="231">
        <v>2191</v>
      </c>
      <c r="BE178" s="231">
        <v>3647</v>
      </c>
      <c r="BF178" s="231">
        <v>1448</v>
      </c>
      <c r="BG178" s="231">
        <v>3532</v>
      </c>
      <c r="BH178" s="231">
        <v>232</v>
      </c>
      <c r="BI178" s="231">
        <v>1137</v>
      </c>
      <c r="BJ178" s="332">
        <v>1058</v>
      </c>
      <c r="BK178" s="332">
        <v>249</v>
      </c>
      <c r="BL178" s="40">
        <v>234</v>
      </c>
      <c r="BM178" s="40">
        <v>363</v>
      </c>
      <c r="BN178" s="231"/>
      <c r="BO178" s="331"/>
      <c r="BP178" s="21">
        <v>0</v>
      </c>
      <c r="BQ178" s="21">
        <v>0</v>
      </c>
      <c r="BR178" s="21">
        <v>0</v>
      </c>
      <c r="BS178" s="21">
        <v>0</v>
      </c>
      <c r="BT178" s="21">
        <v>0</v>
      </c>
      <c r="BU178" s="42">
        <v>0</v>
      </c>
      <c r="BV178" s="21">
        <v>0</v>
      </c>
      <c r="BW178" s="21">
        <v>0</v>
      </c>
      <c r="BX178" s="21">
        <v>0</v>
      </c>
      <c r="BY178" s="21">
        <v>0</v>
      </c>
      <c r="BZ178" s="21">
        <v>0</v>
      </c>
      <c r="CA178" s="21">
        <v>0</v>
      </c>
      <c r="CB178" s="21">
        <v>0</v>
      </c>
      <c r="CC178" s="21">
        <v>0</v>
      </c>
      <c r="CD178" s="21">
        <v>0</v>
      </c>
      <c r="CE178" s="21">
        <v>0</v>
      </c>
      <c r="CF178" s="21">
        <v>0</v>
      </c>
      <c r="CG178" s="42">
        <v>0</v>
      </c>
      <c r="CH178" s="21">
        <v>120</v>
      </c>
      <c r="CI178" s="21">
        <v>23</v>
      </c>
      <c r="CJ178" s="21">
        <v>318</v>
      </c>
      <c r="CK178" s="21">
        <v>54</v>
      </c>
      <c r="CL178" s="21">
        <v>10</v>
      </c>
      <c r="CM178" s="21">
        <v>195</v>
      </c>
      <c r="CN178" s="21">
        <v>39</v>
      </c>
      <c r="CO178" s="21">
        <v>11</v>
      </c>
      <c r="CP178" s="21">
        <f t="shared" si="278"/>
        <v>11</v>
      </c>
      <c r="CQ178" s="345">
        <f t="shared" si="279"/>
        <v>86.777777777777771</v>
      </c>
      <c r="CR178" s="231"/>
      <c r="CS178" s="331"/>
      <c r="CT178" s="330">
        <f t="shared" si="312"/>
        <v>0</v>
      </c>
      <c r="CU178" s="330">
        <f t="shared" si="313"/>
        <v>0</v>
      </c>
      <c r="CV178" s="330">
        <f t="shared" si="314"/>
        <v>0</v>
      </c>
      <c r="CW178" s="330">
        <f t="shared" si="315"/>
        <v>0</v>
      </c>
      <c r="CX178" s="330">
        <f t="shared" si="316"/>
        <v>0</v>
      </c>
      <c r="CY178" s="331">
        <f t="shared" si="317"/>
        <v>0</v>
      </c>
      <c r="CZ178" s="231">
        <f t="shared" si="318"/>
        <v>0</v>
      </c>
      <c r="DA178" s="231">
        <f t="shared" si="319"/>
        <v>0</v>
      </c>
      <c r="DB178" s="231">
        <f t="shared" si="320"/>
        <v>0</v>
      </c>
      <c r="DC178" s="231">
        <f t="shared" si="321"/>
        <v>0</v>
      </c>
      <c r="DD178" s="231">
        <f t="shared" si="322"/>
        <v>0</v>
      </c>
      <c r="DE178" s="231">
        <f t="shared" si="323"/>
        <v>0</v>
      </c>
      <c r="DF178" s="231">
        <f t="shared" si="324"/>
        <v>0</v>
      </c>
      <c r="DG178" s="231">
        <f t="shared" si="325"/>
        <v>0</v>
      </c>
      <c r="DH178" s="231">
        <f t="shared" si="326"/>
        <v>0</v>
      </c>
      <c r="DI178" s="231">
        <f t="shared" si="327"/>
        <v>0</v>
      </c>
      <c r="DJ178" s="231">
        <f t="shared" si="328"/>
        <v>0</v>
      </c>
      <c r="DK178" s="331">
        <f t="shared" si="329"/>
        <v>0</v>
      </c>
      <c r="DL178" s="231">
        <f t="shared" si="330"/>
        <v>2311</v>
      </c>
      <c r="DM178" s="231">
        <f t="shared" si="331"/>
        <v>3670</v>
      </c>
      <c r="DN178" s="231">
        <f t="shared" si="332"/>
        <v>1766</v>
      </c>
      <c r="DO178" s="231">
        <f t="shared" si="333"/>
        <v>3586</v>
      </c>
      <c r="DP178" s="231">
        <f t="shared" si="334"/>
        <v>242</v>
      </c>
      <c r="DQ178" s="231">
        <f t="shared" si="335"/>
        <v>1332</v>
      </c>
      <c r="DR178" s="231">
        <f t="shared" si="340"/>
        <v>1097</v>
      </c>
      <c r="DS178" s="231">
        <f t="shared" si="341"/>
        <v>260</v>
      </c>
      <c r="DT178" s="231">
        <f t="shared" si="336"/>
        <v>245</v>
      </c>
      <c r="DU178" s="231">
        <f t="shared" si="337"/>
        <v>449.77777777777777</v>
      </c>
      <c r="DV178" s="231">
        <f t="shared" si="338"/>
        <v>0</v>
      </c>
      <c r="DW178" s="231">
        <f t="shared" si="339"/>
        <v>0</v>
      </c>
    </row>
    <row r="179" spans="1:127">
      <c r="A179" s="22" t="s">
        <v>15</v>
      </c>
      <c r="B179" s="26">
        <v>4987176327895</v>
      </c>
      <c r="C179" s="22" t="s">
        <v>16</v>
      </c>
      <c r="D179" s="22" t="s">
        <v>18</v>
      </c>
      <c r="E179" s="22">
        <v>269219</v>
      </c>
      <c r="F179" s="80" t="s">
        <v>281</v>
      </c>
      <c r="G179" s="25">
        <v>736.53000000000009</v>
      </c>
      <c r="H179" s="85">
        <f t="shared" si="248"/>
        <v>0</v>
      </c>
      <c r="I179" s="85">
        <f t="shared" si="249"/>
        <v>0</v>
      </c>
      <c r="J179" s="85">
        <f t="shared" si="250"/>
        <v>0</v>
      </c>
      <c r="K179" s="85">
        <f t="shared" si="251"/>
        <v>0</v>
      </c>
      <c r="L179" s="85">
        <f t="shared" si="252"/>
        <v>0</v>
      </c>
      <c r="M179" s="86">
        <f t="shared" si="253"/>
        <v>0</v>
      </c>
      <c r="N179" s="87">
        <f t="shared" si="254"/>
        <v>0</v>
      </c>
      <c r="O179" s="87">
        <f t="shared" si="255"/>
        <v>0</v>
      </c>
      <c r="P179" s="87">
        <f t="shared" si="256"/>
        <v>0</v>
      </c>
      <c r="Q179" s="87">
        <f t="shared" si="257"/>
        <v>0</v>
      </c>
      <c r="R179" s="87">
        <f t="shared" si="258"/>
        <v>0</v>
      </c>
      <c r="S179" s="87">
        <f t="shared" si="259"/>
        <v>0</v>
      </c>
      <c r="T179" s="87">
        <f t="shared" si="260"/>
        <v>0</v>
      </c>
      <c r="U179" s="87">
        <f t="shared" si="261"/>
        <v>0</v>
      </c>
      <c r="V179" s="87">
        <f t="shared" si="262"/>
        <v>0</v>
      </c>
      <c r="W179" s="87">
        <f t="shared" si="263"/>
        <v>0</v>
      </c>
      <c r="X179" s="87">
        <f t="shared" si="264"/>
        <v>0</v>
      </c>
      <c r="Y179" s="86">
        <f t="shared" si="265"/>
        <v>6628.77</v>
      </c>
      <c r="Z179" s="87">
        <f t="shared" si="266"/>
        <v>184869.03000000003</v>
      </c>
      <c r="AA179" s="87">
        <f t="shared" si="267"/>
        <v>521463.24000000005</v>
      </c>
      <c r="AB179" s="87">
        <f t="shared" si="268"/>
        <v>564918.51</v>
      </c>
      <c r="AC179" s="87">
        <f t="shared" si="269"/>
        <v>478744.50000000006</v>
      </c>
      <c r="AD179" s="87">
        <f t="shared" si="270"/>
        <v>332175.03000000003</v>
      </c>
      <c r="AE179" s="87">
        <f t="shared" si="271"/>
        <v>276198.75000000006</v>
      </c>
      <c r="AF179" s="87">
        <f t="shared" si="272"/>
        <v>212857.17</v>
      </c>
      <c r="AG179" s="87">
        <f t="shared" si="273"/>
        <v>348378.69000000006</v>
      </c>
      <c r="AH179" s="87">
        <f t="shared" si="308"/>
        <v>296821.59000000003</v>
      </c>
      <c r="AI179" s="87">
        <f t="shared" si="309"/>
        <v>386187.2300000001</v>
      </c>
      <c r="AJ179" s="87">
        <f t="shared" si="310"/>
        <v>0</v>
      </c>
      <c r="AK179" s="86">
        <f t="shared" si="311"/>
        <v>0</v>
      </c>
      <c r="AL179" s="85">
        <v>0</v>
      </c>
      <c r="AM179" s="85">
        <v>0</v>
      </c>
      <c r="AN179" s="85">
        <v>0</v>
      </c>
      <c r="AO179" s="85">
        <v>0</v>
      </c>
      <c r="AP179" s="85">
        <v>0</v>
      </c>
      <c r="AQ179" s="86">
        <v>0</v>
      </c>
      <c r="AR179" s="87">
        <v>0</v>
      </c>
      <c r="AS179" s="87">
        <v>0</v>
      </c>
      <c r="AT179" s="87">
        <v>0</v>
      </c>
      <c r="AU179" s="87">
        <v>0</v>
      </c>
      <c r="AV179" s="87">
        <v>0</v>
      </c>
      <c r="AW179" s="87">
        <v>0</v>
      </c>
      <c r="AX179" s="87">
        <v>0</v>
      </c>
      <c r="AY179" s="87">
        <v>0</v>
      </c>
      <c r="AZ179" s="87">
        <v>0</v>
      </c>
      <c r="BA179" s="87">
        <v>0</v>
      </c>
      <c r="BB179" s="87">
        <v>0</v>
      </c>
      <c r="BC179" s="86">
        <v>0</v>
      </c>
      <c r="BD179" s="87">
        <v>163</v>
      </c>
      <c r="BE179" s="87">
        <v>622</v>
      </c>
      <c r="BF179" s="87">
        <v>649</v>
      </c>
      <c r="BG179" s="87">
        <v>536</v>
      </c>
      <c r="BH179" s="87">
        <v>395</v>
      </c>
      <c r="BI179" s="87">
        <v>347</v>
      </c>
      <c r="BJ179" s="40">
        <v>247</v>
      </c>
      <c r="BK179" s="40">
        <v>454</v>
      </c>
      <c r="BL179" s="40">
        <v>384</v>
      </c>
      <c r="BM179" s="40">
        <v>461</v>
      </c>
      <c r="BN179" s="87"/>
      <c r="BO179" s="86"/>
      <c r="BP179" s="21">
        <v>0</v>
      </c>
      <c r="BQ179" s="21">
        <v>0</v>
      </c>
      <c r="BR179" s="21">
        <v>0</v>
      </c>
      <c r="BS179" s="21">
        <v>0</v>
      </c>
      <c r="BT179" s="21">
        <v>0</v>
      </c>
      <c r="BU179" s="42">
        <v>0</v>
      </c>
      <c r="BV179" s="21">
        <v>0</v>
      </c>
      <c r="BW179" s="21">
        <v>0</v>
      </c>
      <c r="BX179" s="21">
        <v>0</v>
      </c>
      <c r="BY179" s="21">
        <v>0</v>
      </c>
      <c r="BZ179" s="21">
        <v>0</v>
      </c>
      <c r="CA179" s="21">
        <v>0</v>
      </c>
      <c r="CB179" s="21">
        <v>0</v>
      </c>
      <c r="CC179" s="21">
        <v>0</v>
      </c>
      <c r="CD179" s="21">
        <v>0</v>
      </c>
      <c r="CE179" s="21">
        <v>0</v>
      </c>
      <c r="CF179" s="21">
        <v>0</v>
      </c>
      <c r="CG179" s="42">
        <v>9</v>
      </c>
      <c r="CH179" s="21">
        <v>88</v>
      </c>
      <c r="CI179" s="21">
        <v>86</v>
      </c>
      <c r="CJ179" s="21">
        <v>118</v>
      </c>
      <c r="CK179" s="21">
        <v>114</v>
      </c>
      <c r="CL179" s="21">
        <v>56</v>
      </c>
      <c r="CM179" s="21">
        <v>28</v>
      </c>
      <c r="CN179" s="21">
        <v>42</v>
      </c>
      <c r="CO179" s="21">
        <v>19</v>
      </c>
      <c r="CP179" s="21">
        <f t="shared" si="278"/>
        <v>19</v>
      </c>
      <c r="CQ179" s="344">
        <f t="shared" si="279"/>
        <v>63.333333333333336</v>
      </c>
      <c r="CR179" s="87"/>
      <c r="CS179" s="86"/>
      <c r="CT179" s="85">
        <f t="shared" si="312"/>
        <v>0</v>
      </c>
      <c r="CU179" s="85">
        <f t="shared" si="313"/>
        <v>0</v>
      </c>
      <c r="CV179" s="85">
        <f t="shared" si="314"/>
        <v>0</v>
      </c>
      <c r="CW179" s="85">
        <f t="shared" si="315"/>
        <v>0</v>
      </c>
      <c r="CX179" s="85">
        <f t="shared" si="316"/>
        <v>0</v>
      </c>
      <c r="CY179" s="86">
        <f t="shared" si="317"/>
        <v>0</v>
      </c>
      <c r="CZ179" s="87">
        <f t="shared" si="318"/>
        <v>0</v>
      </c>
      <c r="DA179" s="87">
        <f t="shared" si="319"/>
        <v>0</v>
      </c>
      <c r="DB179" s="87">
        <f t="shared" si="320"/>
        <v>0</v>
      </c>
      <c r="DC179" s="87">
        <f t="shared" si="321"/>
        <v>0</v>
      </c>
      <c r="DD179" s="87">
        <f t="shared" si="322"/>
        <v>0</v>
      </c>
      <c r="DE179" s="87">
        <f t="shared" si="323"/>
        <v>0</v>
      </c>
      <c r="DF179" s="87">
        <f t="shared" si="324"/>
        <v>0</v>
      </c>
      <c r="DG179" s="87">
        <f t="shared" si="325"/>
        <v>0</v>
      </c>
      <c r="DH179" s="87">
        <f t="shared" si="326"/>
        <v>0</v>
      </c>
      <c r="DI179" s="87">
        <f t="shared" si="327"/>
        <v>0</v>
      </c>
      <c r="DJ179" s="87">
        <f t="shared" si="328"/>
        <v>0</v>
      </c>
      <c r="DK179" s="86">
        <f t="shared" si="329"/>
        <v>9</v>
      </c>
      <c r="DL179" s="87">
        <f t="shared" si="330"/>
        <v>251</v>
      </c>
      <c r="DM179" s="87">
        <f t="shared" si="331"/>
        <v>708</v>
      </c>
      <c r="DN179" s="87">
        <f t="shared" si="332"/>
        <v>767</v>
      </c>
      <c r="DO179" s="87">
        <f t="shared" si="333"/>
        <v>650</v>
      </c>
      <c r="DP179" s="87">
        <f t="shared" si="334"/>
        <v>451</v>
      </c>
      <c r="DQ179" s="87">
        <f t="shared" si="335"/>
        <v>375</v>
      </c>
      <c r="DR179" s="87">
        <f t="shared" si="340"/>
        <v>289</v>
      </c>
      <c r="DS179" s="87">
        <f t="shared" si="341"/>
        <v>473</v>
      </c>
      <c r="DT179" s="87">
        <f t="shared" si="336"/>
        <v>403</v>
      </c>
      <c r="DU179" s="87">
        <f t="shared" si="337"/>
        <v>524.33333333333337</v>
      </c>
      <c r="DV179" s="87">
        <f t="shared" si="338"/>
        <v>0</v>
      </c>
      <c r="DW179" s="87">
        <f t="shared" si="339"/>
        <v>0</v>
      </c>
    </row>
    <row r="180" spans="1:127">
      <c r="A180" s="22" t="s">
        <v>15</v>
      </c>
      <c r="B180" s="26">
        <v>4987176344717</v>
      </c>
      <c r="C180" s="22" t="s">
        <v>16</v>
      </c>
      <c r="D180" s="22" t="s">
        <v>18</v>
      </c>
      <c r="E180" s="22">
        <v>267276</v>
      </c>
      <c r="F180" s="80" t="s">
        <v>282</v>
      </c>
      <c r="G180" s="25">
        <v>106.43</v>
      </c>
      <c r="H180" s="85">
        <f t="shared" si="248"/>
        <v>0</v>
      </c>
      <c r="I180" s="85">
        <f t="shared" si="249"/>
        <v>0</v>
      </c>
      <c r="J180" s="85">
        <f t="shared" si="250"/>
        <v>0</v>
      </c>
      <c r="K180" s="85">
        <f t="shared" si="251"/>
        <v>0</v>
      </c>
      <c r="L180" s="85">
        <f t="shared" si="252"/>
        <v>0</v>
      </c>
      <c r="M180" s="86">
        <f t="shared" si="253"/>
        <v>0</v>
      </c>
      <c r="N180" s="87">
        <f t="shared" si="254"/>
        <v>0</v>
      </c>
      <c r="O180" s="87">
        <f t="shared" si="255"/>
        <v>0</v>
      </c>
      <c r="P180" s="87">
        <f t="shared" si="256"/>
        <v>0</v>
      </c>
      <c r="Q180" s="87">
        <f t="shared" si="257"/>
        <v>0</v>
      </c>
      <c r="R180" s="87">
        <f t="shared" si="258"/>
        <v>0</v>
      </c>
      <c r="S180" s="87">
        <f t="shared" si="259"/>
        <v>0</v>
      </c>
      <c r="T180" s="87">
        <f t="shared" si="260"/>
        <v>0</v>
      </c>
      <c r="U180" s="87">
        <f t="shared" si="261"/>
        <v>0</v>
      </c>
      <c r="V180" s="87">
        <f t="shared" si="262"/>
        <v>0</v>
      </c>
      <c r="W180" s="87">
        <f t="shared" si="263"/>
        <v>0</v>
      </c>
      <c r="X180" s="87">
        <f t="shared" si="264"/>
        <v>0</v>
      </c>
      <c r="Y180" s="86">
        <f t="shared" si="265"/>
        <v>0</v>
      </c>
      <c r="Z180" s="87">
        <f t="shared" si="266"/>
        <v>0</v>
      </c>
      <c r="AA180" s="87">
        <f t="shared" si="267"/>
        <v>0</v>
      </c>
      <c r="AB180" s="87">
        <f t="shared" si="268"/>
        <v>0</v>
      </c>
      <c r="AC180" s="87">
        <f t="shared" si="269"/>
        <v>129525.31000000001</v>
      </c>
      <c r="AD180" s="87">
        <f t="shared" si="270"/>
        <v>173587.33000000002</v>
      </c>
      <c r="AE180" s="87">
        <f t="shared" si="271"/>
        <v>35547.620000000003</v>
      </c>
      <c r="AF180" s="87">
        <f t="shared" si="272"/>
        <v>27458.940000000002</v>
      </c>
      <c r="AG180" s="87">
        <f t="shared" si="273"/>
        <v>27139.65</v>
      </c>
      <c r="AH180" s="87">
        <f t="shared" si="308"/>
        <v>26501.070000000003</v>
      </c>
      <c r="AI180" s="87">
        <f t="shared" si="309"/>
        <v>34613.40111111111</v>
      </c>
      <c r="AJ180" s="87">
        <f t="shared" si="310"/>
        <v>0</v>
      </c>
      <c r="AK180" s="86">
        <f t="shared" si="311"/>
        <v>0</v>
      </c>
      <c r="AL180" s="85">
        <v>0</v>
      </c>
      <c r="AM180" s="85">
        <v>0</v>
      </c>
      <c r="AN180" s="85">
        <v>0</v>
      </c>
      <c r="AO180" s="85">
        <v>0</v>
      </c>
      <c r="AP180" s="85">
        <v>0</v>
      </c>
      <c r="AQ180" s="86">
        <v>0</v>
      </c>
      <c r="AR180" s="87">
        <v>0</v>
      </c>
      <c r="AS180" s="87">
        <v>0</v>
      </c>
      <c r="AT180" s="87">
        <v>0</v>
      </c>
      <c r="AU180" s="87">
        <v>0</v>
      </c>
      <c r="AV180" s="87">
        <v>0</v>
      </c>
      <c r="AW180" s="87">
        <v>0</v>
      </c>
      <c r="AX180" s="87">
        <v>0</v>
      </c>
      <c r="AY180" s="87">
        <v>0</v>
      </c>
      <c r="AZ180" s="87">
        <v>0</v>
      </c>
      <c r="BA180" s="87">
        <v>0</v>
      </c>
      <c r="BB180" s="87">
        <v>0</v>
      </c>
      <c r="BC180" s="86">
        <v>0</v>
      </c>
      <c r="BD180" s="87">
        <v>0</v>
      </c>
      <c r="BE180" s="87">
        <v>0</v>
      </c>
      <c r="BF180" s="87">
        <v>0</v>
      </c>
      <c r="BG180" s="87">
        <v>1044</v>
      </c>
      <c r="BH180" s="87">
        <v>1604</v>
      </c>
      <c r="BI180" s="87">
        <v>334</v>
      </c>
      <c r="BJ180" s="40">
        <v>258</v>
      </c>
      <c r="BK180" s="40">
        <v>255</v>
      </c>
      <c r="BL180" s="40">
        <v>249</v>
      </c>
      <c r="BM180" s="40">
        <v>303</v>
      </c>
      <c r="BN180" s="87"/>
      <c r="BO180" s="86"/>
      <c r="BP180" s="21">
        <v>0</v>
      </c>
      <c r="BQ180" s="21">
        <v>0</v>
      </c>
      <c r="BR180" s="21">
        <v>0</v>
      </c>
      <c r="BS180" s="21">
        <v>0</v>
      </c>
      <c r="BT180" s="21">
        <v>0</v>
      </c>
      <c r="BU180" s="42">
        <v>0</v>
      </c>
      <c r="BV180" s="21">
        <v>0</v>
      </c>
      <c r="BW180" s="21">
        <v>0</v>
      </c>
      <c r="BX180" s="21">
        <v>0</v>
      </c>
      <c r="BY180" s="21">
        <v>0</v>
      </c>
      <c r="BZ180" s="21">
        <v>0</v>
      </c>
      <c r="CA180" s="21">
        <v>0</v>
      </c>
      <c r="CB180" s="21">
        <v>0</v>
      </c>
      <c r="CC180" s="21">
        <v>0</v>
      </c>
      <c r="CD180" s="21">
        <v>0</v>
      </c>
      <c r="CE180" s="21">
        <v>0</v>
      </c>
      <c r="CF180" s="21">
        <v>0</v>
      </c>
      <c r="CG180" s="42">
        <v>0</v>
      </c>
      <c r="CH180" s="21">
        <v>0</v>
      </c>
      <c r="CI180" s="21">
        <v>0</v>
      </c>
      <c r="CJ180" s="21">
        <v>0</v>
      </c>
      <c r="CK180" s="21">
        <v>173</v>
      </c>
      <c r="CL180" s="21">
        <v>27</v>
      </c>
      <c r="CM180" s="21">
        <v>0</v>
      </c>
      <c r="CN180" s="21">
        <v>0</v>
      </c>
      <c r="CO180" s="21">
        <v>0</v>
      </c>
      <c r="CP180" s="21">
        <f t="shared" si="278"/>
        <v>0</v>
      </c>
      <c r="CQ180" s="344">
        <f t="shared" si="279"/>
        <v>22.222222222222221</v>
      </c>
      <c r="CR180" s="87"/>
      <c r="CS180" s="86"/>
      <c r="CT180" s="85">
        <f t="shared" si="312"/>
        <v>0</v>
      </c>
      <c r="CU180" s="85">
        <f t="shared" si="313"/>
        <v>0</v>
      </c>
      <c r="CV180" s="85">
        <f t="shared" si="314"/>
        <v>0</v>
      </c>
      <c r="CW180" s="85">
        <f t="shared" si="315"/>
        <v>0</v>
      </c>
      <c r="CX180" s="85">
        <f t="shared" si="316"/>
        <v>0</v>
      </c>
      <c r="CY180" s="86">
        <f t="shared" si="317"/>
        <v>0</v>
      </c>
      <c r="CZ180" s="87">
        <f t="shared" si="318"/>
        <v>0</v>
      </c>
      <c r="DA180" s="87">
        <f t="shared" si="319"/>
        <v>0</v>
      </c>
      <c r="DB180" s="87">
        <f t="shared" si="320"/>
        <v>0</v>
      </c>
      <c r="DC180" s="87">
        <f t="shared" si="321"/>
        <v>0</v>
      </c>
      <c r="DD180" s="87">
        <f t="shared" si="322"/>
        <v>0</v>
      </c>
      <c r="DE180" s="87">
        <f t="shared" si="323"/>
        <v>0</v>
      </c>
      <c r="DF180" s="87">
        <f t="shared" si="324"/>
        <v>0</v>
      </c>
      <c r="DG180" s="87">
        <f t="shared" si="325"/>
        <v>0</v>
      </c>
      <c r="DH180" s="87">
        <f t="shared" si="326"/>
        <v>0</v>
      </c>
      <c r="DI180" s="87">
        <f t="shared" si="327"/>
        <v>0</v>
      </c>
      <c r="DJ180" s="87">
        <f t="shared" si="328"/>
        <v>0</v>
      </c>
      <c r="DK180" s="86">
        <f t="shared" si="329"/>
        <v>0</v>
      </c>
      <c r="DL180" s="87">
        <f t="shared" si="330"/>
        <v>0</v>
      </c>
      <c r="DM180" s="87">
        <f t="shared" si="331"/>
        <v>0</v>
      </c>
      <c r="DN180" s="87">
        <f t="shared" si="332"/>
        <v>0</v>
      </c>
      <c r="DO180" s="87">
        <f t="shared" si="333"/>
        <v>1217</v>
      </c>
      <c r="DP180" s="87">
        <f t="shared" si="334"/>
        <v>1631</v>
      </c>
      <c r="DQ180" s="87">
        <f t="shared" si="335"/>
        <v>334</v>
      </c>
      <c r="DR180" s="87">
        <f t="shared" si="340"/>
        <v>258</v>
      </c>
      <c r="DS180" s="87">
        <f t="shared" si="341"/>
        <v>255</v>
      </c>
      <c r="DT180" s="87">
        <f t="shared" si="336"/>
        <v>249</v>
      </c>
      <c r="DU180" s="87">
        <f t="shared" si="337"/>
        <v>325.22222222222223</v>
      </c>
      <c r="DV180" s="87">
        <f t="shared" si="338"/>
        <v>0</v>
      </c>
      <c r="DW180" s="87">
        <f t="shared" si="339"/>
        <v>0</v>
      </c>
    </row>
    <row r="181" spans="1:127">
      <c r="A181" s="22" t="s">
        <v>15</v>
      </c>
      <c r="B181" s="26">
        <v>4987176351531</v>
      </c>
      <c r="C181" s="22" t="s">
        <v>16</v>
      </c>
      <c r="D181" s="22" t="s">
        <v>19</v>
      </c>
      <c r="E181" s="22">
        <v>273126</v>
      </c>
      <c r="F181" s="80" t="s">
        <v>283</v>
      </c>
      <c r="G181" s="25">
        <v>982.2399999999999</v>
      </c>
      <c r="H181" s="85">
        <f t="shared" si="248"/>
        <v>0</v>
      </c>
      <c r="I181" s="85">
        <f t="shared" si="249"/>
        <v>0</v>
      </c>
      <c r="J181" s="85">
        <f t="shared" si="250"/>
        <v>0</v>
      </c>
      <c r="K181" s="85">
        <f t="shared" si="251"/>
        <v>0</v>
      </c>
      <c r="L181" s="85">
        <f t="shared" si="252"/>
        <v>0</v>
      </c>
      <c r="M181" s="86">
        <f t="shared" si="253"/>
        <v>0</v>
      </c>
      <c r="N181" s="87">
        <f t="shared" si="254"/>
        <v>0</v>
      </c>
      <c r="O181" s="87">
        <f t="shared" si="255"/>
        <v>0</v>
      </c>
      <c r="P181" s="87">
        <f t="shared" si="256"/>
        <v>0</v>
      </c>
      <c r="Q181" s="87">
        <f t="shared" si="257"/>
        <v>0</v>
      </c>
      <c r="R181" s="87">
        <f t="shared" si="258"/>
        <v>0</v>
      </c>
      <c r="S181" s="87">
        <f t="shared" si="259"/>
        <v>0</v>
      </c>
      <c r="T181" s="87">
        <f t="shared" si="260"/>
        <v>0</v>
      </c>
      <c r="U181" s="87">
        <f t="shared" si="261"/>
        <v>0</v>
      </c>
      <c r="V181" s="87">
        <f t="shared" si="262"/>
        <v>0</v>
      </c>
      <c r="W181" s="87">
        <f t="shared" si="263"/>
        <v>0</v>
      </c>
      <c r="X181" s="87">
        <f t="shared" si="264"/>
        <v>0</v>
      </c>
      <c r="Y181" s="86">
        <f t="shared" si="265"/>
        <v>0</v>
      </c>
      <c r="Z181" s="87">
        <f t="shared" si="266"/>
        <v>0</v>
      </c>
      <c r="AA181" s="87">
        <f t="shared" si="267"/>
        <v>0</v>
      </c>
      <c r="AB181" s="87">
        <f t="shared" si="268"/>
        <v>20627.039999999997</v>
      </c>
      <c r="AC181" s="87">
        <f t="shared" si="269"/>
        <v>189572.31999999998</v>
      </c>
      <c r="AD181" s="87">
        <f t="shared" si="270"/>
        <v>1402638.7199999997</v>
      </c>
      <c r="AE181" s="87">
        <f t="shared" si="271"/>
        <v>2644190.0799999996</v>
      </c>
      <c r="AF181" s="87">
        <f t="shared" si="272"/>
        <v>550054.39999999991</v>
      </c>
      <c r="AG181" s="87">
        <f t="shared" si="273"/>
        <v>1351562.2399999998</v>
      </c>
      <c r="AH181" s="87">
        <f t="shared" si="308"/>
        <v>770076.15999999992</v>
      </c>
      <c r="AI181" s="87">
        <f t="shared" si="309"/>
        <v>1009415.3066666666</v>
      </c>
      <c r="AJ181" s="87">
        <f t="shared" si="310"/>
        <v>0</v>
      </c>
      <c r="AK181" s="86">
        <f t="shared" si="311"/>
        <v>0</v>
      </c>
      <c r="AL181" s="85">
        <v>0</v>
      </c>
      <c r="AM181" s="85">
        <v>0</v>
      </c>
      <c r="AN181" s="85">
        <v>0</v>
      </c>
      <c r="AO181" s="85">
        <v>0</v>
      </c>
      <c r="AP181" s="85">
        <v>0</v>
      </c>
      <c r="AQ181" s="86">
        <v>0</v>
      </c>
      <c r="AR181" s="87">
        <v>0</v>
      </c>
      <c r="AS181" s="87">
        <v>0</v>
      </c>
      <c r="AT181" s="87">
        <v>0</v>
      </c>
      <c r="AU181" s="87">
        <v>0</v>
      </c>
      <c r="AV181" s="87">
        <v>0</v>
      </c>
      <c r="AW181" s="87">
        <v>0</v>
      </c>
      <c r="AX181" s="87">
        <v>0</v>
      </c>
      <c r="AY181" s="87">
        <v>0</v>
      </c>
      <c r="AZ181" s="87">
        <v>0</v>
      </c>
      <c r="BA181" s="87">
        <v>0</v>
      </c>
      <c r="BB181" s="87">
        <v>0</v>
      </c>
      <c r="BC181" s="86">
        <v>0</v>
      </c>
      <c r="BD181" s="87">
        <v>0</v>
      </c>
      <c r="BE181" s="87">
        <v>0</v>
      </c>
      <c r="BF181" s="87">
        <v>9</v>
      </c>
      <c r="BG181" s="87">
        <v>173</v>
      </c>
      <c r="BH181" s="87">
        <v>1102</v>
      </c>
      <c r="BI181" s="87">
        <v>2656</v>
      </c>
      <c r="BJ181" s="40">
        <v>515</v>
      </c>
      <c r="BK181" s="40">
        <v>1327</v>
      </c>
      <c r="BL181" s="40">
        <v>735</v>
      </c>
      <c r="BM181" s="40">
        <v>968</v>
      </c>
      <c r="BN181" s="87"/>
      <c r="BO181" s="86"/>
      <c r="BP181" s="21">
        <v>0</v>
      </c>
      <c r="BQ181" s="21">
        <v>0</v>
      </c>
      <c r="BR181" s="21">
        <v>0</v>
      </c>
      <c r="BS181" s="21">
        <v>0</v>
      </c>
      <c r="BT181" s="21">
        <v>0</v>
      </c>
      <c r="BU181" s="42">
        <v>0</v>
      </c>
      <c r="BV181" s="21">
        <v>0</v>
      </c>
      <c r="BW181" s="21">
        <v>0</v>
      </c>
      <c r="BX181" s="21">
        <v>0</v>
      </c>
      <c r="BY181" s="21">
        <v>0</v>
      </c>
      <c r="BZ181" s="21">
        <v>0</v>
      </c>
      <c r="CA181" s="21">
        <v>0</v>
      </c>
      <c r="CB181" s="21">
        <v>0</v>
      </c>
      <c r="CC181" s="21">
        <v>0</v>
      </c>
      <c r="CD181" s="21">
        <v>0</v>
      </c>
      <c r="CE181" s="21">
        <v>0</v>
      </c>
      <c r="CF181" s="21">
        <v>0</v>
      </c>
      <c r="CG181" s="42">
        <v>0</v>
      </c>
      <c r="CH181" s="21">
        <v>0</v>
      </c>
      <c r="CI181" s="21">
        <v>0</v>
      </c>
      <c r="CJ181" s="21">
        <v>12</v>
      </c>
      <c r="CK181" s="21">
        <v>20</v>
      </c>
      <c r="CL181" s="21">
        <v>326</v>
      </c>
      <c r="CM181" s="21">
        <v>36</v>
      </c>
      <c r="CN181" s="21">
        <v>45</v>
      </c>
      <c r="CO181" s="21">
        <v>49</v>
      </c>
      <c r="CP181" s="21">
        <f t="shared" si="278"/>
        <v>49</v>
      </c>
      <c r="CQ181" s="344">
        <f t="shared" si="279"/>
        <v>59.666666666666664</v>
      </c>
      <c r="CR181" s="87"/>
      <c r="CS181" s="86"/>
      <c r="CT181" s="85">
        <f t="shared" si="312"/>
        <v>0</v>
      </c>
      <c r="CU181" s="85">
        <f t="shared" si="313"/>
        <v>0</v>
      </c>
      <c r="CV181" s="85">
        <f t="shared" si="314"/>
        <v>0</v>
      </c>
      <c r="CW181" s="85">
        <f t="shared" si="315"/>
        <v>0</v>
      </c>
      <c r="CX181" s="85">
        <f t="shared" si="316"/>
        <v>0</v>
      </c>
      <c r="CY181" s="86">
        <f t="shared" si="317"/>
        <v>0</v>
      </c>
      <c r="CZ181" s="87">
        <f t="shared" si="318"/>
        <v>0</v>
      </c>
      <c r="DA181" s="87">
        <f t="shared" si="319"/>
        <v>0</v>
      </c>
      <c r="DB181" s="87">
        <f t="shared" si="320"/>
        <v>0</v>
      </c>
      <c r="DC181" s="87">
        <f t="shared" si="321"/>
        <v>0</v>
      </c>
      <c r="DD181" s="87">
        <f t="shared" si="322"/>
        <v>0</v>
      </c>
      <c r="DE181" s="87">
        <f t="shared" si="323"/>
        <v>0</v>
      </c>
      <c r="DF181" s="87">
        <f t="shared" si="324"/>
        <v>0</v>
      </c>
      <c r="DG181" s="87">
        <f t="shared" si="325"/>
        <v>0</v>
      </c>
      <c r="DH181" s="87">
        <f t="shared" si="326"/>
        <v>0</v>
      </c>
      <c r="DI181" s="87">
        <f t="shared" si="327"/>
        <v>0</v>
      </c>
      <c r="DJ181" s="87">
        <f t="shared" si="328"/>
        <v>0</v>
      </c>
      <c r="DK181" s="86">
        <f t="shared" si="329"/>
        <v>0</v>
      </c>
      <c r="DL181" s="87">
        <f t="shared" si="330"/>
        <v>0</v>
      </c>
      <c r="DM181" s="87">
        <f t="shared" si="331"/>
        <v>0</v>
      </c>
      <c r="DN181" s="87">
        <f t="shared" si="332"/>
        <v>21</v>
      </c>
      <c r="DO181" s="87">
        <f t="shared" si="333"/>
        <v>193</v>
      </c>
      <c r="DP181" s="87">
        <f t="shared" si="334"/>
        <v>1428</v>
      </c>
      <c r="DQ181" s="87">
        <f t="shared" si="335"/>
        <v>2692</v>
      </c>
      <c r="DR181" s="87">
        <f t="shared" si="340"/>
        <v>560</v>
      </c>
      <c r="DS181" s="87">
        <f t="shared" si="341"/>
        <v>1376</v>
      </c>
      <c r="DT181" s="87">
        <f t="shared" si="336"/>
        <v>784</v>
      </c>
      <c r="DU181" s="87">
        <f t="shared" si="337"/>
        <v>1027.6666666666667</v>
      </c>
      <c r="DV181" s="87">
        <f t="shared" si="338"/>
        <v>0</v>
      </c>
      <c r="DW181" s="87">
        <f t="shared" si="339"/>
        <v>0</v>
      </c>
    </row>
    <row r="182" spans="1:127">
      <c r="A182" s="22" t="s">
        <v>15</v>
      </c>
      <c r="B182" s="26">
        <v>4987176288417</v>
      </c>
      <c r="C182" s="22" t="s">
        <v>16</v>
      </c>
      <c r="D182" s="22" t="s">
        <v>19</v>
      </c>
      <c r="E182" s="22">
        <v>273156</v>
      </c>
      <c r="F182" s="80" t="s">
        <v>284</v>
      </c>
      <c r="G182" s="25">
        <v>982.2399999999999</v>
      </c>
      <c r="H182" s="85">
        <f t="shared" si="248"/>
        <v>0</v>
      </c>
      <c r="I182" s="85">
        <f t="shared" si="249"/>
        <v>0</v>
      </c>
      <c r="J182" s="85">
        <f t="shared" si="250"/>
        <v>0</v>
      </c>
      <c r="K182" s="85">
        <f t="shared" si="251"/>
        <v>0</v>
      </c>
      <c r="L182" s="85">
        <f t="shared" si="252"/>
        <v>0</v>
      </c>
      <c r="M182" s="86">
        <f t="shared" si="253"/>
        <v>0</v>
      </c>
      <c r="N182" s="87">
        <f t="shared" si="254"/>
        <v>0</v>
      </c>
      <c r="O182" s="87">
        <f t="shared" si="255"/>
        <v>0</v>
      </c>
      <c r="P182" s="87">
        <f t="shared" si="256"/>
        <v>0</v>
      </c>
      <c r="Q182" s="87">
        <f t="shared" si="257"/>
        <v>0</v>
      </c>
      <c r="R182" s="87">
        <f t="shared" si="258"/>
        <v>0</v>
      </c>
      <c r="S182" s="87">
        <f t="shared" si="259"/>
        <v>0</v>
      </c>
      <c r="T182" s="87">
        <f t="shared" si="260"/>
        <v>0</v>
      </c>
      <c r="U182" s="87">
        <f t="shared" si="261"/>
        <v>0</v>
      </c>
      <c r="V182" s="87">
        <f t="shared" si="262"/>
        <v>0</v>
      </c>
      <c r="W182" s="87">
        <f t="shared" si="263"/>
        <v>0</v>
      </c>
      <c r="X182" s="87">
        <f t="shared" si="264"/>
        <v>0</v>
      </c>
      <c r="Y182" s="86">
        <f t="shared" si="265"/>
        <v>0</v>
      </c>
      <c r="Z182" s="87">
        <f t="shared" si="266"/>
        <v>0</v>
      </c>
      <c r="AA182" s="87">
        <f t="shared" si="267"/>
        <v>0</v>
      </c>
      <c r="AB182" s="87">
        <f t="shared" si="268"/>
        <v>10804.64</v>
      </c>
      <c r="AC182" s="87">
        <f t="shared" si="269"/>
        <v>57952.159999999996</v>
      </c>
      <c r="AD182" s="87">
        <f t="shared" si="270"/>
        <v>187607.83999999997</v>
      </c>
      <c r="AE182" s="87">
        <f t="shared" si="271"/>
        <v>330032.63999999996</v>
      </c>
      <c r="AF182" s="87">
        <f t="shared" si="272"/>
        <v>96259.51999999999</v>
      </c>
      <c r="AG182" s="87">
        <f t="shared" si="273"/>
        <v>134566.87999999998</v>
      </c>
      <c r="AH182" s="87">
        <f t="shared" si="308"/>
        <v>84472.639999999985</v>
      </c>
      <c r="AI182" s="87">
        <f t="shared" si="309"/>
        <v>95932.106666666659</v>
      </c>
      <c r="AJ182" s="87">
        <f t="shared" si="310"/>
        <v>0</v>
      </c>
      <c r="AK182" s="86">
        <f t="shared" si="311"/>
        <v>0</v>
      </c>
      <c r="AL182" s="85">
        <v>0</v>
      </c>
      <c r="AM182" s="85">
        <v>0</v>
      </c>
      <c r="AN182" s="85">
        <v>0</v>
      </c>
      <c r="AO182" s="85">
        <v>0</v>
      </c>
      <c r="AP182" s="85">
        <v>0</v>
      </c>
      <c r="AQ182" s="86">
        <v>0</v>
      </c>
      <c r="AR182" s="87">
        <v>0</v>
      </c>
      <c r="AS182" s="87">
        <v>0</v>
      </c>
      <c r="AT182" s="87">
        <v>0</v>
      </c>
      <c r="AU182" s="87">
        <v>0</v>
      </c>
      <c r="AV182" s="87">
        <v>0</v>
      </c>
      <c r="AW182" s="87">
        <v>0</v>
      </c>
      <c r="AX182" s="87">
        <v>0</v>
      </c>
      <c r="AY182" s="87">
        <v>0</v>
      </c>
      <c r="AZ182" s="87">
        <v>0</v>
      </c>
      <c r="BA182" s="87">
        <v>0</v>
      </c>
      <c r="BB182" s="87">
        <v>0</v>
      </c>
      <c r="BC182" s="86">
        <v>0</v>
      </c>
      <c r="BD182" s="87">
        <v>0</v>
      </c>
      <c r="BE182" s="87">
        <v>0</v>
      </c>
      <c r="BF182" s="87">
        <v>6</v>
      </c>
      <c r="BG182" s="87">
        <v>52</v>
      </c>
      <c r="BH182" s="87">
        <v>154</v>
      </c>
      <c r="BI182" s="87">
        <v>327</v>
      </c>
      <c r="BJ182" s="40">
        <v>88</v>
      </c>
      <c r="BK182" s="40">
        <v>132</v>
      </c>
      <c r="BL182" s="40">
        <v>81</v>
      </c>
      <c r="BM182" s="40">
        <v>89</v>
      </c>
      <c r="BN182" s="87"/>
      <c r="BO182" s="86"/>
      <c r="BP182" s="21">
        <v>0</v>
      </c>
      <c r="BQ182" s="21">
        <v>0</v>
      </c>
      <c r="BR182" s="21">
        <v>0</v>
      </c>
      <c r="BS182" s="21">
        <v>0</v>
      </c>
      <c r="BT182" s="21">
        <v>0</v>
      </c>
      <c r="BU182" s="42">
        <v>0</v>
      </c>
      <c r="BV182" s="21">
        <v>0</v>
      </c>
      <c r="BW182" s="21">
        <v>0</v>
      </c>
      <c r="BX182" s="21">
        <v>0</v>
      </c>
      <c r="BY182" s="21">
        <v>0</v>
      </c>
      <c r="BZ182" s="21">
        <v>0</v>
      </c>
      <c r="CA182" s="21">
        <v>0</v>
      </c>
      <c r="CB182" s="21">
        <v>0</v>
      </c>
      <c r="CC182" s="21">
        <v>0</v>
      </c>
      <c r="CD182" s="21">
        <v>0</v>
      </c>
      <c r="CE182" s="21">
        <v>0</v>
      </c>
      <c r="CF182" s="21">
        <v>0</v>
      </c>
      <c r="CG182" s="42">
        <v>0</v>
      </c>
      <c r="CH182" s="21">
        <v>0</v>
      </c>
      <c r="CI182" s="21">
        <v>0</v>
      </c>
      <c r="CJ182" s="21">
        <v>5</v>
      </c>
      <c r="CK182" s="21">
        <v>7</v>
      </c>
      <c r="CL182" s="21">
        <v>37</v>
      </c>
      <c r="CM182" s="21">
        <v>9</v>
      </c>
      <c r="CN182" s="21">
        <v>10</v>
      </c>
      <c r="CO182" s="21">
        <v>5</v>
      </c>
      <c r="CP182" s="21">
        <f t="shared" si="278"/>
        <v>5</v>
      </c>
      <c r="CQ182" s="344">
        <f t="shared" si="279"/>
        <v>8.6666666666666661</v>
      </c>
      <c r="CR182" s="87"/>
      <c r="CS182" s="86"/>
      <c r="CT182" s="85">
        <f t="shared" si="312"/>
        <v>0</v>
      </c>
      <c r="CU182" s="85">
        <f t="shared" si="313"/>
        <v>0</v>
      </c>
      <c r="CV182" s="85">
        <f t="shared" si="314"/>
        <v>0</v>
      </c>
      <c r="CW182" s="85">
        <f t="shared" si="315"/>
        <v>0</v>
      </c>
      <c r="CX182" s="85">
        <f t="shared" si="316"/>
        <v>0</v>
      </c>
      <c r="CY182" s="86">
        <f t="shared" si="317"/>
        <v>0</v>
      </c>
      <c r="CZ182" s="87">
        <f t="shared" si="318"/>
        <v>0</v>
      </c>
      <c r="DA182" s="87">
        <f t="shared" si="319"/>
        <v>0</v>
      </c>
      <c r="DB182" s="87">
        <f t="shared" si="320"/>
        <v>0</v>
      </c>
      <c r="DC182" s="87">
        <f t="shared" si="321"/>
        <v>0</v>
      </c>
      <c r="DD182" s="87">
        <f t="shared" si="322"/>
        <v>0</v>
      </c>
      <c r="DE182" s="87">
        <f t="shared" si="323"/>
        <v>0</v>
      </c>
      <c r="DF182" s="87">
        <f t="shared" si="324"/>
        <v>0</v>
      </c>
      <c r="DG182" s="87">
        <f t="shared" si="325"/>
        <v>0</v>
      </c>
      <c r="DH182" s="87">
        <f t="shared" si="326"/>
        <v>0</v>
      </c>
      <c r="DI182" s="87">
        <f t="shared" si="327"/>
        <v>0</v>
      </c>
      <c r="DJ182" s="87">
        <f t="shared" si="328"/>
        <v>0</v>
      </c>
      <c r="DK182" s="86">
        <f t="shared" si="329"/>
        <v>0</v>
      </c>
      <c r="DL182" s="87">
        <f t="shared" si="330"/>
        <v>0</v>
      </c>
      <c r="DM182" s="87">
        <f t="shared" si="331"/>
        <v>0</v>
      </c>
      <c r="DN182" s="87">
        <f t="shared" si="332"/>
        <v>11</v>
      </c>
      <c r="DO182" s="87">
        <f t="shared" si="333"/>
        <v>59</v>
      </c>
      <c r="DP182" s="87">
        <f t="shared" si="334"/>
        <v>191</v>
      </c>
      <c r="DQ182" s="87">
        <f t="shared" si="335"/>
        <v>336</v>
      </c>
      <c r="DR182" s="87">
        <f t="shared" si="340"/>
        <v>98</v>
      </c>
      <c r="DS182" s="87">
        <f t="shared" si="341"/>
        <v>137</v>
      </c>
      <c r="DT182" s="87">
        <f t="shared" si="336"/>
        <v>86</v>
      </c>
      <c r="DU182" s="87">
        <f t="shared" si="337"/>
        <v>97.666666666666671</v>
      </c>
      <c r="DV182" s="87">
        <f t="shared" si="338"/>
        <v>0</v>
      </c>
      <c r="DW182" s="87">
        <f t="shared" si="339"/>
        <v>0</v>
      </c>
    </row>
    <row r="183" spans="1:127">
      <c r="A183" s="22" t="s">
        <v>15</v>
      </c>
      <c r="B183" s="26">
        <v>4987176288387</v>
      </c>
      <c r="C183" s="22" t="s">
        <v>16</v>
      </c>
      <c r="D183" s="22" t="s">
        <v>19</v>
      </c>
      <c r="E183" s="22">
        <v>273171</v>
      </c>
      <c r="F183" s="80" t="s">
        <v>285</v>
      </c>
      <c r="G183" s="25">
        <v>982.2399999999999</v>
      </c>
      <c r="H183" s="85">
        <f t="shared" si="248"/>
        <v>0</v>
      </c>
      <c r="I183" s="85">
        <f t="shared" si="249"/>
        <v>0</v>
      </c>
      <c r="J183" s="85">
        <f t="shared" si="250"/>
        <v>0</v>
      </c>
      <c r="K183" s="85">
        <f t="shared" si="251"/>
        <v>0</v>
      </c>
      <c r="L183" s="85">
        <f t="shared" si="252"/>
        <v>0</v>
      </c>
      <c r="M183" s="86">
        <f t="shared" si="253"/>
        <v>0</v>
      </c>
      <c r="N183" s="87">
        <f t="shared" si="254"/>
        <v>0</v>
      </c>
      <c r="O183" s="87">
        <f t="shared" si="255"/>
        <v>0</v>
      </c>
      <c r="P183" s="87">
        <f t="shared" si="256"/>
        <v>0</v>
      </c>
      <c r="Q183" s="87">
        <f t="shared" si="257"/>
        <v>0</v>
      </c>
      <c r="R183" s="87">
        <f t="shared" si="258"/>
        <v>0</v>
      </c>
      <c r="S183" s="87">
        <f t="shared" si="259"/>
        <v>0</v>
      </c>
      <c r="T183" s="87">
        <f t="shared" si="260"/>
        <v>0</v>
      </c>
      <c r="U183" s="87">
        <f t="shared" si="261"/>
        <v>0</v>
      </c>
      <c r="V183" s="87">
        <f t="shared" si="262"/>
        <v>0</v>
      </c>
      <c r="W183" s="87">
        <f t="shared" si="263"/>
        <v>0</v>
      </c>
      <c r="X183" s="87">
        <f t="shared" si="264"/>
        <v>0</v>
      </c>
      <c r="Y183" s="86">
        <f t="shared" si="265"/>
        <v>0</v>
      </c>
      <c r="Z183" s="87">
        <f t="shared" si="266"/>
        <v>0</v>
      </c>
      <c r="AA183" s="87">
        <f t="shared" si="267"/>
        <v>0</v>
      </c>
      <c r="AB183" s="87">
        <f t="shared" si="268"/>
        <v>22591.519999999997</v>
      </c>
      <c r="AC183" s="87">
        <f t="shared" si="269"/>
        <v>207252.63999999998</v>
      </c>
      <c r="AD183" s="87">
        <f t="shared" si="270"/>
        <v>1126629.2799999998</v>
      </c>
      <c r="AE183" s="87">
        <f t="shared" si="271"/>
        <v>1945817.4399999997</v>
      </c>
      <c r="AF183" s="87">
        <f t="shared" si="272"/>
        <v>519604.95999999996</v>
      </c>
      <c r="AG183" s="87">
        <f t="shared" si="273"/>
        <v>1294592.3199999998</v>
      </c>
      <c r="AH183" s="87">
        <f t="shared" si="308"/>
        <v>757307.03999999992</v>
      </c>
      <c r="AI183" s="87">
        <f t="shared" si="309"/>
        <v>1066385.2266666666</v>
      </c>
      <c r="AJ183" s="87">
        <f t="shared" si="310"/>
        <v>0</v>
      </c>
      <c r="AK183" s="86">
        <f t="shared" si="311"/>
        <v>0</v>
      </c>
      <c r="AL183" s="85">
        <v>0</v>
      </c>
      <c r="AM183" s="85">
        <v>0</v>
      </c>
      <c r="AN183" s="85">
        <v>0</v>
      </c>
      <c r="AO183" s="85">
        <v>0</v>
      </c>
      <c r="AP183" s="85">
        <v>0</v>
      </c>
      <c r="AQ183" s="86">
        <v>0</v>
      </c>
      <c r="AR183" s="87">
        <v>0</v>
      </c>
      <c r="AS183" s="87">
        <v>0</v>
      </c>
      <c r="AT183" s="87">
        <v>0</v>
      </c>
      <c r="AU183" s="87">
        <v>0</v>
      </c>
      <c r="AV183" s="87">
        <v>0</v>
      </c>
      <c r="AW183" s="87">
        <v>0</v>
      </c>
      <c r="AX183" s="87">
        <v>0</v>
      </c>
      <c r="AY183" s="87">
        <v>0</v>
      </c>
      <c r="AZ183" s="87">
        <v>0</v>
      </c>
      <c r="BA183" s="87">
        <v>0</v>
      </c>
      <c r="BB183" s="87">
        <v>0</v>
      </c>
      <c r="BC183" s="86">
        <v>0</v>
      </c>
      <c r="BD183" s="87">
        <v>0</v>
      </c>
      <c r="BE183" s="87">
        <v>0</v>
      </c>
      <c r="BF183" s="87">
        <v>11</v>
      </c>
      <c r="BG183" s="87">
        <v>152</v>
      </c>
      <c r="BH183" s="87">
        <v>703</v>
      </c>
      <c r="BI183" s="87">
        <v>1881</v>
      </c>
      <c r="BJ183" s="40">
        <v>377</v>
      </c>
      <c r="BK183" s="40">
        <v>1181</v>
      </c>
      <c r="BL183" s="40">
        <v>634</v>
      </c>
      <c r="BM183" s="40">
        <v>970</v>
      </c>
      <c r="BN183" s="87"/>
      <c r="BO183" s="86"/>
      <c r="BP183" s="21">
        <v>0</v>
      </c>
      <c r="BQ183" s="21">
        <v>0</v>
      </c>
      <c r="BR183" s="21">
        <v>0</v>
      </c>
      <c r="BS183" s="21">
        <v>0</v>
      </c>
      <c r="BT183" s="21">
        <v>0</v>
      </c>
      <c r="BU183" s="42">
        <v>0</v>
      </c>
      <c r="BV183" s="21">
        <v>0</v>
      </c>
      <c r="BW183" s="21">
        <v>0</v>
      </c>
      <c r="BX183" s="21">
        <v>0</v>
      </c>
      <c r="BY183" s="21">
        <v>0</v>
      </c>
      <c r="BZ183" s="21">
        <v>0</v>
      </c>
      <c r="CA183" s="21">
        <v>0</v>
      </c>
      <c r="CB183" s="21">
        <v>0</v>
      </c>
      <c r="CC183" s="21">
        <v>0</v>
      </c>
      <c r="CD183" s="21">
        <v>0</v>
      </c>
      <c r="CE183" s="21">
        <v>0</v>
      </c>
      <c r="CF183" s="21">
        <v>0</v>
      </c>
      <c r="CG183" s="42">
        <v>0</v>
      </c>
      <c r="CH183" s="21">
        <v>0</v>
      </c>
      <c r="CI183" s="21">
        <v>0</v>
      </c>
      <c r="CJ183" s="21">
        <v>12</v>
      </c>
      <c r="CK183" s="21">
        <v>59</v>
      </c>
      <c r="CL183" s="21">
        <v>444</v>
      </c>
      <c r="CM183" s="21">
        <v>100</v>
      </c>
      <c r="CN183" s="21">
        <v>152</v>
      </c>
      <c r="CO183" s="21">
        <v>137</v>
      </c>
      <c r="CP183" s="21">
        <f t="shared" si="278"/>
        <v>137</v>
      </c>
      <c r="CQ183" s="344">
        <f t="shared" si="279"/>
        <v>115.66666666666667</v>
      </c>
      <c r="CR183" s="87"/>
      <c r="CS183" s="86"/>
      <c r="CT183" s="85">
        <f t="shared" si="312"/>
        <v>0</v>
      </c>
      <c r="CU183" s="85">
        <f t="shared" si="313"/>
        <v>0</v>
      </c>
      <c r="CV183" s="85">
        <f t="shared" si="314"/>
        <v>0</v>
      </c>
      <c r="CW183" s="85">
        <f t="shared" si="315"/>
        <v>0</v>
      </c>
      <c r="CX183" s="85">
        <f t="shared" si="316"/>
        <v>0</v>
      </c>
      <c r="CY183" s="86">
        <f t="shared" si="317"/>
        <v>0</v>
      </c>
      <c r="CZ183" s="87">
        <f t="shared" si="318"/>
        <v>0</v>
      </c>
      <c r="DA183" s="87">
        <f t="shared" si="319"/>
        <v>0</v>
      </c>
      <c r="DB183" s="87">
        <f t="shared" si="320"/>
        <v>0</v>
      </c>
      <c r="DC183" s="87">
        <f t="shared" si="321"/>
        <v>0</v>
      </c>
      <c r="DD183" s="87">
        <f t="shared" si="322"/>
        <v>0</v>
      </c>
      <c r="DE183" s="87">
        <f t="shared" si="323"/>
        <v>0</v>
      </c>
      <c r="DF183" s="87">
        <f t="shared" si="324"/>
        <v>0</v>
      </c>
      <c r="DG183" s="87">
        <f t="shared" si="325"/>
        <v>0</v>
      </c>
      <c r="DH183" s="87">
        <f t="shared" si="326"/>
        <v>0</v>
      </c>
      <c r="DI183" s="87">
        <f t="shared" si="327"/>
        <v>0</v>
      </c>
      <c r="DJ183" s="87">
        <f t="shared" si="328"/>
        <v>0</v>
      </c>
      <c r="DK183" s="86">
        <f t="shared" si="329"/>
        <v>0</v>
      </c>
      <c r="DL183" s="87">
        <f t="shared" si="330"/>
        <v>0</v>
      </c>
      <c r="DM183" s="87">
        <f t="shared" si="331"/>
        <v>0</v>
      </c>
      <c r="DN183" s="87">
        <f t="shared" si="332"/>
        <v>23</v>
      </c>
      <c r="DO183" s="87">
        <f t="shared" si="333"/>
        <v>211</v>
      </c>
      <c r="DP183" s="87">
        <f t="shared" si="334"/>
        <v>1147</v>
      </c>
      <c r="DQ183" s="87">
        <f t="shared" si="335"/>
        <v>1981</v>
      </c>
      <c r="DR183" s="87">
        <f t="shared" si="340"/>
        <v>529</v>
      </c>
      <c r="DS183" s="87">
        <f t="shared" si="341"/>
        <v>1318</v>
      </c>
      <c r="DT183" s="87">
        <f t="shared" si="336"/>
        <v>771</v>
      </c>
      <c r="DU183" s="87">
        <f t="shared" si="337"/>
        <v>1085.6666666666667</v>
      </c>
      <c r="DV183" s="87">
        <f t="shared" si="338"/>
        <v>0</v>
      </c>
      <c r="DW183" s="87">
        <f t="shared" si="339"/>
        <v>0</v>
      </c>
    </row>
    <row r="184" spans="1:127">
      <c r="A184" s="22" t="s">
        <v>15</v>
      </c>
      <c r="B184" s="26">
        <v>4987176288431</v>
      </c>
      <c r="C184" s="22" t="s">
        <v>16</v>
      </c>
      <c r="D184" s="22" t="s">
        <v>19</v>
      </c>
      <c r="E184" s="22">
        <v>273195</v>
      </c>
      <c r="F184" s="80" t="s">
        <v>286</v>
      </c>
      <c r="G184" s="25">
        <v>828.67000000000007</v>
      </c>
      <c r="H184" s="85">
        <f t="shared" si="248"/>
        <v>0</v>
      </c>
      <c r="I184" s="85">
        <f t="shared" si="249"/>
        <v>0</v>
      </c>
      <c r="J184" s="85">
        <f t="shared" si="250"/>
        <v>0</v>
      </c>
      <c r="K184" s="85">
        <f t="shared" si="251"/>
        <v>0</v>
      </c>
      <c r="L184" s="85">
        <f t="shared" si="252"/>
        <v>0</v>
      </c>
      <c r="M184" s="86">
        <f t="shared" si="253"/>
        <v>0</v>
      </c>
      <c r="N184" s="87">
        <f t="shared" si="254"/>
        <v>0</v>
      </c>
      <c r="O184" s="87">
        <f t="shared" si="255"/>
        <v>0</v>
      </c>
      <c r="P184" s="87">
        <f t="shared" si="256"/>
        <v>0</v>
      </c>
      <c r="Q184" s="87">
        <f t="shared" si="257"/>
        <v>0</v>
      </c>
      <c r="R184" s="87">
        <f t="shared" si="258"/>
        <v>0</v>
      </c>
      <c r="S184" s="87">
        <f t="shared" si="259"/>
        <v>0</v>
      </c>
      <c r="T184" s="87">
        <f t="shared" si="260"/>
        <v>0</v>
      </c>
      <c r="U184" s="87">
        <f t="shared" si="261"/>
        <v>0</v>
      </c>
      <c r="V184" s="87">
        <f t="shared" si="262"/>
        <v>0</v>
      </c>
      <c r="W184" s="87">
        <f t="shared" si="263"/>
        <v>0</v>
      </c>
      <c r="X184" s="87">
        <f t="shared" si="264"/>
        <v>0</v>
      </c>
      <c r="Y184" s="86">
        <f t="shared" si="265"/>
        <v>0</v>
      </c>
      <c r="Z184" s="87">
        <f t="shared" si="266"/>
        <v>0</v>
      </c>
      <c r="AA184" s="87">
        <f t="shared" si="267"/>
        <v>0</v>
      </c>
      <c r="AB184" s="87">
        <f t="shared" si="268"/>
        <v>15744.730000000001</v>
      </c>
      <c r="AC184" s="87">
        <f t="shared" si="269"/>
        <v>92811.040000000008</v>
      </c>
      <c r="AD184" s="87">
        <f t="shared" si="270"/>
        <v>217111.54</v>
      </c>
      <c r="AE184" s="87">
        <f t="shared" si="271"/>
        <v>328153.32</v>
      </c>
      <c r="AF184" s="87">
        <f t="shared" si="272"/>
        <v>121814.49</v>
      </c>
      <c r="AG184" s="87">
        <f t="shared" si="273"/>
        <v>125129.17000000001</v>
      </c>
      <c r="AH184" s="87">
        <f t="shared" si="308"/>
        <v>84524.340000000011</v>
      </c>
      <c r="AI184" s="87">
        <f t="shared" si="309"/>
        <v>96862.315555555557</v>
      </c>
      <c r="AJ184" s="87">
        <f t="shared" si="310"/>
        <v>0</v>
      </c>
      <c r="AK184" s="86">
        <f t="shared" si="311"/>
        <v>0</v>
      </c>
      <c r="AL184" s="85">
        <v>0</v>
      </c>
      <c r="AM184" s="85">
        <v>0</v>
      </c>
      <c r="AN184" s="85">
        <v>0</v>
      </c>
      <c r="AO184" s="85">
        <v>0</v>
      </c>
      <c r="AP184" s="85">
        <v>0</v>
      </c>
      <c r="AQ184" s="86">
        <v>0</v>
      </c>
      <c r="AR184" s="87">
        <v>0</v>
      </c>
      <c r="AS184" s="87">
        <v>0</v>
      </c>
      <c r="AT184" s="87">
        <v>0</v>
      </c>
      <c r="AU184" s="87">
        <v>0</v>
      </c>
      <c r="AV184" s="87">
        <v>0</v>
      </c>
      <c r="AW184" s="87">
        <v>0</v>
      </c>
      <c r="AX184" s="87">
        <v>0</v>
      </c>
      <c r="AY184" s="87">
        <v>0</v>
      </c>
      <c r="AZ184" s="87">
        <v>0</v>
      </c>
      <c r="BA184" s="87">
        <v>0</v>
      </c>
      <c r="BB184" s="87">
        <v>0</v>
      </c>
      <c r="BC184" s="86">
        <v>0</v>
      </c>
      <c r="BD184" s="87">
        <v>0</v>
      </c>
      <c r="BE184" s="87">
        <v>0</v>
      </c>
      <c r="BF184" s="87">
        <v>10</v>
      </c>
      <c r="BG184" s="87">
        <v>94</v>
      </c>
      <c r="BH184" s="87">
        <v>183</v>
      </c>
      <c r="BI184" s="87">
        <v>369</v>
      </c>
      <c r="BJ184" s="40">
        <v>119</v>
      </c>
      <c r="BK184" s="40">
        <v>142</v>
      </c>
      <c r="BL184" s="40">
        <v>93</v>
      </c>
      <c r="BM184" s="40">
        <v>97</v>
      </c>
      <c r="BN184" s="87"/>
      <c r="BO184" s="86"/>
      <c r="BP184" s="21">
        <v>0</v>
      </c>
      <c r="BQ184" s="21">
        <v>0</v>
      </c>
      <c r="BR184" s="21">
        <v>0</v>
      </c>
      <c r="BS184" s="21">
        <v>0</v>
      </c>
      <c r="BT184" s="21">
        <v>0</v>
      </c>
      <c r="BU184" s="42">
        <v>0</v>
      </c>
      <c r="BV184" s="21">
        <v>0</v>
      </c>
      <c r="BW184" s="21">
        <v>0</v>
      </c>
      <c r="BX184" s="21">
        <v>0</v>
      </c>
      <c r="BY184" s="21">
        <v>0</v>
      </c>
      <c r="BZ184" s="21">
        <v>0</v>
      </c>
      <c r="CA184" s="21">
        <v>0</v>
      </c>
      <c r="CB184" s="21">
        <v>0</v>
      </c>
      <c r="CC184" s="21">
        <v>0</v>
      </c>
      <c r="CD184" s="21">
        <v>0</v>
      </c>
      <c r="CE184" s="21">
        <v>0</v>
      </c>
      <c r="CF184" s="21">
        <v>0</v>
      </c>
      <c r="CG184" s="42">
        <v>0</v>
      </c>
      <c r="CH184" s="21">
        <v>0</v>
      </c>
      <c r="CI184" s="21">
        <v>0</v>
      </c>
      <c r="CJ184" s="21">
        <v>9</v>
      </c>
      <c r="CK184" s="21">
        <v>18</v>
      </c>
      <c r="CL184" s="21">
        <v>79</v>
      </c>
      <c r="CM184" s="21">
        <v>27</v>
      </c>
      <c r="CN184" s="21">
        <v>28</v>
      </c>
      <c r="CO184" s="21">
        <v>9</v>
      </c>
      <c r="CP184" s="21">
        <f t="shared" si="278"/>
        <v>9</v>
      </c>
      <c r="CQ184" s="344">
        <f t="shared" si="279"/>
        <v>19.888888888888889</v>
      </c>
      <c r="CR184" s="87"/>
      <c r="CS184" s="86"/>
      <c r="CT184" s="85">
        <f t="shared" si="312"/>
        <v>0</v>
      </c>
      <c r="CU184" s="85">
        <f t="shared" si="313"/>
        <v>0</v>
      </c>
      <c r="CV184" s="85">
        <f t="shared" si="314"/>
        <v>0</v>
      </c>
      <c r="CW184" s="85">
        <f t="shared" si="315"/>
        <v>0</v>
      </c>
      <c r="CX184" s="85">
        <f t="shared" si="316"/>
        <v>0</v>
      </c>
      <c r="CY184" s="86">
        <f t="shared" si="317"/>
        <v>0</v>
      </c>
      <c r="CZ184" s="87">
        <f t="shared" si="318"/>
        <v>0</v>
      </c>
      <c r="DA184" s="87">
        <f t="shared" si="319"/>
        <v>0</v>
      </c>
      <c r="DB184" s="87">
        <f t="shared" si="320"/>
        <v>0</v>
      </c>
      <c r="DC184" s="87">
        <f t="shared" si="321"/>
        <v>0</v>
      </c>
      <c r="DD184" s="87">
        <f t="shared" si="322"/>
        <v>0</v>
      </c>
      <c r="DE184" s="87">
        <f t="shared" si="323"/>
        <v>0</v>
      </c>
      <c r="DF184" s="87">
        <f t="shared" si="324"/>
        <v>0</v>
      </c>
      <c r="DG184" s="87">
        <f t="shared" si="325"/>
        <v>0</v>
      </c>
      <c r="DH184" s="87">
        <f t="shared" si="326"/>
        <v>0</v>
      </c>
      <c r="DI184" s="87">
        <f t="shared" si="327"/>
        <v>0</v>
      </c>
      <c r="DJ184" s="87">
        <f t="shared" si="328"/>
        <v>0</v>
      </c>
      <c r="DK184" s="86">
        <f t="shared" si="329"/>
        <v>0</v>
      </c>
      <c r="DL184" s="87">
        <f t="shared" si="330"/>
        <v>0</v>
      </c>
      <c r="DM184" s="87">
        <f t="shared" si="331"/>
        <v>0</v>
      </c>
      <c r="DN184" s="87">
        <f t="shared" si="332"/>
        <v>19</v>
      </c>
      <c r="DO184" s="87">
        <f t="shared" si="333"/>
        <v>112</v>
      </c>
      <c r="DP184" s="87">
        <f t="shared" si="334"/>
        <v>262</v>
      </c>
      <c r="DQ184" s="87">
        <f t="shared" si="335"/>
        <v>396</v>
      </c>
      <c r="DR184" s="87">
        <f t="shared" si="340"/>
        <v>147</v>
      </c>
      <c r="DS184" s="87">
        <f t="shared" si="341"/>
        <v>151</v>
      </c>
      <c r="DT184" s="87">
        <f t="shared" si="336"/>
        <v>102</v>
      </c>
      <c r="DU184" s="87">
        <f t="shared" si="337"/>
        <v>116.88888888888889</v>
      </c>
      <c r="DV184" s="87">
        <f t="shared" si="338"/>
        <v>0</v>
      </c>
      <c r="DW184" s="87">
        <f t="shared" si="339"/>
        <v>0</v>
      </c>
    </row>
    <row r="185" spans="1:127">
      <c r="A185" s="22" t="s">
        <v>15</v>
      </c>
      <c r="B185" s="26">
        <v>4987176346094</v>
      </c>
      <c r="C185" s="22" t="s">
        <v>16</v>
      </c>
      <c r="D185" s="22" t="s">
        <v>19</v>
      </c>
      <c r="E185" s="22">
        <v>273000</v>
      </c>
      <c r="F185" s="80" t="s">
        <v>287</v>
      </c>
      <c r="G185" s="25">
        <v>1043.67</v>
      </c>
      <c r="H185" s="85">
        <f t="shared" si="248"/>
        <v>0</v>
      </c>
      <c r="I185" s="85">
        <f t="shared" si="249"/>
        <v>0</v>
      </c>
      <c r="J185" s="85">
        <f t="shared" si="250"/>
        <v>0</v>
      </c>
      <c r="K185" s="85">
        <f t="shared" si="251"/>
        <v>0</v>
      </c>
      <c r="L185" s="85">
        <f t="shared" si="252"/>
        <v>0</v>
      </c>
      <c r="M185" s="86">
        <f t="shared" si="253"/>
        <v>0</v>
      </c>
      <c r="N185" s="87">
        <f t="shared" si="254"/>
        <v>0</v>
      </c>
      <c r="O185" s="87">
        <f t="shared" si="255"/>
        <v>0</v>
      </c>
      <c r="P185" s="87">
        <f t="shared" si="256"/>
        <v>0</v>
      </c>
      <c r="Q185" s="87">
        <f t="shared" si="257"/>
        <v>0</v>
      </c>
      <c r="R185" s="87">
        <f t="shared" si="258"/>
        <v>0</v>
      </c>
      <c r="S185" s="87">
        <f t="shared" si="259"/>
        <v>0</v>
      </c>
      <c r="T185" s="87">
        <f t="shared" si="260"/>
        <v>0</v>
      </c>
      <c r="U185" s="87">
        <f t="shared" si="261"/>
        <v>0</v>
      </c>
      <c r="V185" s="87">
        <f t="shared" si="262"/>
        <v>0</v>
      </c>
      <c r="W185" s="87">
        <f t="shared" si="263"/>
        <v>0</v>
      </c>
      <c r="X185" s="87">
        <f t="shared" si="264"/>
        <v>0</v>
      </c>
      <c r="Y185" s="86">
        <f t="shared" si="265"/>
        <v>0</v>
      </c>
      <c r="Z185" s="87">
        <f t="shared" si="266"/>
        <v>0</v>
      </c>
      <c r="AA185" s="87">
        <f t="shared" si="267"/>
        <v>0</v>
      </c>
      <c r="AB185" s="87">
        <f t="shared" si="268"/>
        <v>87668.28</v>
      </c>
      <c r="AC185" s="87">
        <f t="shared" si="269"/>
        <v>441472.41000000003</v>
      </c>
      <c r="AD185" s="87">
        <f t="shared" si="270"/>
        <v>865202.43</v>
      </c>
      <c r="AE185" s="87">
        <f t="shared" si="271"/>
        <v>1313980.53</v>
      </c>
      <c r="AF185" s="87">
        <f t="shared" si="272"/>
        <v>1038451.65</v>
      </c>
      <c r="AG185" s="87">
        <f t="shared" si="273"/>
        <v>643944.39</v>
      </c>
      <c r="AH185" s="87">
        <f t="shared" si="308"/>
        <v>364240.83</v>
      </c>
      <c r="AI185" s="87">
        <f t="shared" si="309"/>
        <v>482987.28333333338</v>
      </c>
      <c r="AJ185" s="87">
        <f t="shared" si="310"/>
        <v>0</v>
      </c>
      <c r="AK185" s="86">
        <f t="shared" si="311"/>
        <v>0</v>
      </c>
      <c r="AL185" s="85">
        <v>0</v>
      </c>
      <c r="AM185" s="85">
        <v>0</v>
      </c>
      <c r="AN185" s="85">
        <v>0</v>
      </c>
      <c r="AO185" s="85">
        <v>0</v>
      </c>
      <c r="AP185" s="85">
        <v>0</v>
      </c>
      <c r="AQ185" s="86">
        <v>0</v>
      </c>
      <c r="AR185" s="87">
        <v>0</v>
      </c>
      <c r="AS185" s="87">
        <v>0</v>
      </c>
      <c r="AT185" s="87">
        <v>0</v>
      </c>
      <c r="AU185" s="87">
        <v>0</v>
      </c>
      <c r="AV185" s="87">
        <v>0</v>
      </c>
      <c r="AW185" s="87">
        <v>0</v>
      </c>
      <c r="AX185" s="87">
        <v>0</v>
      </c>
      <c r="AY185" s="87">
        <v>0</v>
      </c>
      <c r="AZ185" s="87">
        <v>0</v>
      </c>
      <c r="BA185" s="87">
        <v>0</v>
      </c>
      <c r="BB185" s="87">
        <v>0</v>
      </c>
      <c r="BC185" s="86">
        <v>0</v>
      </c>
      <c r="BD185" s="87">
        <v>0</v>
      </c>
      <c r="BE185" s="87">
        <v>0</v>
      </c>
      <c r="BF185" s="87">
        <v>44</v>
      </c>
      <c r="BG185" s="87">
        <v>322</v>
      </c>
      <c r="BH185" s="87">
        <v>441</v>
      </c>
      <c r="BI185" s="87">
        <v>831</v>
      </c>
      <c r="BJ185" s="40">
        <v>637</v>
      </c>
      <c r="BK185" s="40">
        <v>560</v>
      </c>
      <c r="BL185" s="40">
        <v>292</v>
      </c>
      <c r="BM185" s="40">
        <v>304</v>
      </c>
      <c r="BN185" s="87"/>
      <c r="BO185" s="86"/>
      <c r="BP185" s="21">
        <v>0</v>
      </c>
      <c r="BQ185" s="21">
        <v>0</v>
      </c>
      <c r="BR185" s="21">
        <v>0</v>
      </c>
      <c r="BS185" s="21">
        <v>0</v>
      </c>
      <c r="BT185" s="21">
        <v>0</v>
      </c>
      <c r="BU185" s="42">
        <v>0</v>
      </c>
      <c r="BV185" s="21">
        <v>0</v>
      </c>
      <c r="BW185" s="21">
        <v>0</v>
      </c>
      <c r="BX185" s="21">
        <v>0</v>
      </c>
      <c r="BY185" s="21">
        <v>0</v>
      </c>
      <c r="BZ185" s="21">
        <v>0</v>
      </c>
      <c r="CA185" s="21">
        <v>0</v>
      </c>
      <c r="CB185" s="21">
        <v>0</v>
      </c>
      <c r="CC185" s="21">
        <v>0</v>
      </c>
      <c r="CD185" s="21">
        <v>0</v>
      </c>
      <c r="CE185" s="21">
        <v>0</v>
      </c>
      <c r="CF185" s="21">
        <v>0</v>
      </c>
      <c r="CG185" s="42">
        <v>0</v>
      </c>
      <c r="CH185" s="21">
        <v>0</v>
      </c>
      <c r="CI185" s="21">
        <v>0</v>
      </c>
      <c r="CJ185" s="21">
        <v>40</v>
      </c>
      <c r="CK185" s="21">
        <v>101</v>
      </c>
      <c r="CL185" s="21">
        <v>388</v>
      </c>
      <c r="CM185" s="21">
        <v>428</v>
      </c>
      <c r="CN185" s="21">
        <v>358</v>
      </c>
      <c r="CO185" s="21">
        <v>57</v>
      </c>
      <c r="CP185" s="21">
        <f t="shared" si="278"/>
        <v>57</v>
      </c>
      <c r="CQ185" s="344">
        <f t="shared" si="279"/>
        <v>158.77777777777777</v>
      </c>
      <c r="CR185" s="87"/>
      <c r="CS185" s="86"/>
      <c r="CT185" s="85">
        <f t="shared" si="312"/>
        <v>0</v>
      </c>
      <c r="CU185" s="85">
        <f t="shared" si="313"/>
        <v>0</v>
      </c>
      <c r="CV185" s="85">
        <f t="shared" si="314"/>
        <v>0</v>
      </c>
      <c r="CW185" s="85">
        <f t="shared" si="315"/>
        <v>0</v>
      </c>
      <c r="CX185" s="85">
        <f t="shared" si="316"/>
        <v>0</v>
      </c>
      <c r="CY185" s="86">
        <f t="shared" si="317"/>
        <v>0</v>
      </c>
      <c r="CZ185" s="87">
        <f t="shared" si="318"/>
        <v>0</v>
      </c>
      <c r="DA185" s="87">
        <f t="shared" si="319"/>
        <v>0</v>
      </c>
      <c r="DB185" s="87">
        <f t="shared" si="320"/>
        <v>0</v>
      </c>
      <c r="DC185" s="87">
        <f t="shared" si="321"/>
        <v>0</v>
      </c>
      <c r="DD185" s="87">
        <f t="shared" si="322"/>
        <v>0</v>
      </c>
      <c r="DE185" s="87">
        <f t="shared" si="323"/>
        <v>0</v>
      </c>
      <c r="DF185" s="87">
        <f t="shared" si="324"/>
        <v>0</v>
      </c>
      <c r="DG185" s="87">
        <f t="shared" si="325"/>
        <v>0</v>
      </c>
      <c r="DH185" s="87">
        <f t="shared" si="326"/>
        <v>0</v>
      </c>
      <c r="DI185" s="87">
        <f t="shared" si="327"/>
        <v>0</v>
      </c>
      <c r="DJ185" s="87">
        <f t="shared" si="328"/>
        <v>0</v>
      </c>
      <c r="DK185" s="86">
        <f t="shared" si="329"/>
        <v>0</v>
      </c>
      <c r="DL185" s="87">
        <f t="shared" si="330"/>
        <v>0</v>
      </c>
      <c r="DM185" s="87">
        <f t="shared" si="331"/>
        <v>0</v>
      </c>
      <c r="DN185" s="87">
        <f t="shared" si="332"/>
        <v>84</v>
      </c>
      <c r="DO185" s="87">
        <f t="shared" si="333"/>
        <v>423</v>
      </c>
      <c r="DP185" s="87">
        <f t="shared" si="334"/>
        <v>829</v>
      </c>
      <c r="DQ185" s="87">
        <f t="shared" si="335"/>
        <v>1259</v>
      </c>
      <c r="DR185" s="87">
        <f t="shared" si="340"/>
        <v>995</v>
      </c>
      <c r="DS185" s="87">
        <f t="shared" si="341"/>
        <v>617</v>
      </c>
      <c r="DT185" s="87">
        <f t="shared" si="336"/>
        <v>349</v>
      </c>
      <c r="DU185" s="87">
        <f t="shared" si="337"/>
        <v>462.77777777777777</v>
      </c>
      <c r="DV185" s="87">
        <f t="shared" si="338"/>
        <v>0</v>
      </c>
      <c r="DW185" s="87">
        <f t="shared" si="339"/>
        <v>0</v>
      </c>
    </row>
    <row r="186" spans="1:127">
      <c r="A186" s="22" t="s">
        <v>15</v>
      </c>
      <c r="B186" s="26">
        <v>4987176357526</v>
      </c>
      <c r="C186" s="22" t="s">
        <v>16</v>
      </c>
      <c r="D186" s="22" t="s">
        <v>19</v>
      </c>
      <c r="E186" s="22">
        <v>282336</v>
      </c>
      <c r="F186" s="80" t="s">
        <v>765</v>
      </c>
      <c r="G186" s="25">
        <v>293.40000000000003</v>
      </c>
      <c r="H186" s="38">
        <f t="shared" si="248"/>
        <v>0</v>
      </c>
      <c r="I186" s="38">
        <f t="shared" si="249"/>
        <v>0</v>
      </c>
      <c r="J186" s="38">
        <f t="shared" si="250"/>
        <v>0</v>
      </c>
      <c r="K186" s="38">
        <f t="shared" si="251"/>
        <v>0</v>
      </c>
      <c r="L186" s="38">
        <f t="shared" si="252"/>
        <v>0</v>
      </c>
      <c r="M186" s="39">
        <f t="shared" si="253"/>
        <v>0</v>
      </c>
      <c r="N186" s="40">
        <f t="shared" si="254"/>
        <v>0</v>
      </c>
      <c r="O186" s="40">
        <f t="shared" si="255"/>
        <v>0</v>
      </c>
      <c r="P186" s="40">
        <f t="shared" si="256"/>
        <v>0</v>
      </c>
      <c r="Q186" s="40">
        <f t="shared" si="257"/>
        <v>0</v>
      </c>
      <c r="R186" s="40">
        <f t="shared" si="258"/>
        <v>0</v>
      </c>
      <c r="S186" s="40">
        <f t="shared" si="259"/>
        <v>0</v>
      </c>
      <c r="T186" s="40">
        <f t="shared" si="260"/>
        <v>0</v>
      </c>
      <c r="U186" s="40">
        <f t="shared" si="261"/>
        <v>0</v>
      </c>
      <c r="V186" s="40">
        <f t="shared" si="262"/>
        <v>0</v>
      </c>
      <c r="W186" s="40">
        <f t="shared" si="263"/>
        <v>0</v>
      </c>
      <c r="X186" s="40">
        <f t="shared" si="264"/>
        <v>0</v>
      </c>
      <c r="Y186" s="39">
        <f t="shared" si="265"/>
        <v>0</v>
      </c>
      <c r="Z186" s="40">
        <f t="shared" si="266"/>
        <v>0</v>
      </c>
      <c r="AA186" s="40">
        <f t="shared" si="267"/>
        <v>0</v>
      </c>
      <c r="AB186" s="40">
        <f t="shared" si="268"/>
        <v>0</v>
      </c>
      <c r="AC186" s="40">
        <f t="shared" si="269"/>
        <v>0</v>
      </c>
      <c r="AD186" s="40">
        <f t="shared" si="270"/>
        <v>0</v>
      </c>
      <c r="AE186" s="40">
        <f t="shared" si="271"/>
        <v>0</v>
      </c>
      <c r="AF186" s="40">
        <f t="shared" si="272"/>
        <v>0</v>
      </c>
      <c r="AG186" s="40">
        <f t="shared" si="273"/>
        <v>0</v>
      </c>
      <c r="AH186" s="40">
        <f t="shared" si="308"/>
        <v>7041.6</v>
      </c>
      <c r="AI186" s="40">
        <f t="shared" si="309"/>
        <v>19364.400000000001</v>
      </c>
      <c r="AJ186" s="40">
        <f t="shared" si="310"/>
        <v>0</v>
      </c>
      <c r="AK186" s="39">
        <f t="shared" si="311"/>
        <v>0</v>
      </c>
      <c r="AL186" s="38">
        <v>0</v>
      </c>
      <c r="AM186" s="38">
        <v>0</v>
      </c>
      <c r="AN186" s="38">
        <v>0</v>
      </c>
      <c r="AO186" s="38">
        <v>0</v>
      </c>
      <c r="AP186" s="38">
        <v>0</v>
      </c>
      <c r="AQ186" s="39">
        <v>0</v>
      </c>
      <c r="AR186" s="40">
        <v>0</v>
      </c>
      <c r="AS186" s="40">
        <v>0</v>
      </c>
      <c r="AT186" s="40">
        <v>0</v>
      </c>
      <c r="AU186" s="40">
        <v>0</v>
      </c>
      <c r="AV186" s="40">
        <v>0</v>
      </c>
      <c r="AW186" s="40">
        <v>0</v>
      </c>
      <c r="AX186" s="40">
        <v>0</v>
      </c>
      <c r="AY186" s="40">
        <v>0</v>
      </c>
      <c r="AZ186" s="40">
        <v>0</v>
      </c>
      <c r="BA186" s="40">
        <v>0</v>
      </c>
      <c r="BB186" s="40">
        <v>0</v>
      </c>
      <c r="BC186" s="39">
        <v>0</v>
      </c>
      <c r="BD186" s="40">
        <v>0</v>
      </c>
      <c r="BE186" s="40">
        <v>0</v>
      </c>
      <c r="BF186" s="40">
        <v>0</v>
      </c>
      <c r="BG186" s="40">
        <v>0</v>
      </c>
      <c r="BH186" s="40">
        <v>0</v>
      </c>
      <c r="BI186" s="40">
        <v>0</v>
      </c>
      <c r="BJ186" s="40">
        <v>0</v>
      </c>
      <c r="BK186" s="40">
        <v>0</v>
      </c>
      <c r="BL186" s="40">
        <v>24</v>
      </c>
      <c r="BM186" s="40">
        <v>66</v>
      </c>
      <c r="BN186" s="40"/>
      <c r="BO186" s="39"/>
      <c r="BP186" s="21">
        <v>0</v>
      </c>
      <c r="BQ186" s="21">
        <v>0</v>
      </c>
      <c r="BR186" s="21">
        <v>0</v>
      </c>
      <c r="BS186" s="21">
        <v>0</v>
      </c>
      <c r="BT186" s="21">
        <v>0</v>
      </c>
      <c r="BU186" s="42">
        <v>0</v>
      </c>
      <c r="BV186" s="21">
        <v>0</v>
      </c>
      <c r="BW186" s="21">
        <v>0</v>
      </c>
      <c r="BX186" s="21">
        <v>0</v>
      </c>
      <c r="BY186" s="21">
        <v>0</v>
      </c>
      <c r="BZ186" s="21">
        <v>0</v>
      </c>
      <c r="CA186" s="21">
        <v>0</v>
      </c>
      <c r="CB186" s="21">
        <v>0</v>
      </c>
      <c r="CC186" s="21">
        <v>0</v>
      </c>
      <c r="CD186" s="21">
        <v>0</v>
      </c>
      <c r="CE186" s="21">
        <v>0</v>
      </c>
      <c r="CF186" s="21">
        <v>0</v>
      </c>
      <c r="CG186" s="42">
        <v>0</v>
      </c>
      <c r="CH186" s="21">
        <v>0</v>
      </c>
      <c r="CI186" s="21">
        <v>0</v>
      </c>
      <c r="CJ186" s="21">
        <v>0</v>
      </c>
      <c r="CK186" s="21">
        <v>0</v>
      </c>
      <c r="CL186" s="21">
        <v>0</v>
      </c>
      <c r="CM186" s="21">
        <v>0</v>
      </c>
      <c r="CN186" s="21">
        <v>0</v>
      </c>
      <c r="CO186" s="21">
        <v>0</v>
      </c>
      <c r="CP186" s="21">
        <f t="shared" si="278"/>
        <v>0</v>
      </c>
      <c r="CQ186" s="343">
        <f t="shared" si="279"/>
        <v>0</v>
      </c>
      <c r="CR186" s="40"/>
      <c r="CS186" s="39"/>
      <c r="CT186" s="38">
        <f t="shared" si="312"/>
        <v>0</v>
      </c>
      <c r="CU186" s="38">
        <f t="shared" si="313"/>
        <v>0</v>
      </c>
      <c r="CV186" s="38">
        <f t="shared" si="314"/>
        <v>0</v>
      </c>
      <c r="CW186" s="38">
        <f t="shared" si="315"/>
        <v>0</v>
      </c>
      <c r="CX186" s="38">
        <f t="shared" si="316"/>
        <v>0</v>
      </c>
      <c r="CY186" s="39">
        <f t="shared" si="317"/>
        <v>0</v>
      </c>
      <c r="CZ186" s="40">
        <f t="shared" si="318"/>
        <v>0</v>
      </c>
      <c r="DA186" s="40">
        <f t="shared" si="319"/>
        <v>0</v>
      </c>
      <c r="DB186" s="40">
        <f t="shared" si="320"/>
        <v>0</v>
      </c>
      <c r="DC186" s="40">
        <f t="shared" si="321"/>
        <v>0</v>
      </c>
      <c r="DD186" s="40">
        <f t="shared" si="322"/>
        <v>0</v>
      </c>
      <c r="DE186" s="40">
        <f t="shared" si="323"/>
        <v>0</v>
      </c>
      <c r="DF186" s="40">
        <f t="shared" si="324"/>
        <v>0</v>
      </c>
      <c r="DG186" s="40">
        <f t="shared" si="325"/>
        <v>0</v>
      </c>
      <c r="DH186" s="40">
        <f t="shared" si="326"/>
        <v>0</v>
      </c>
      <c r="DI186" s="40">
        <f t="shared" si="327"/>
        <v>0</v>
      </c>
      <c r="DJ186" s="40">
        <f t="shared" si="328"/>
        <v>0</v>
      </c>
      <c r="DK186" s="39">
        <f t="shared" si="329"/>
        <v>0</v>
      </c>
      <c r="DL186" s="40">
        <f t="shared" si="330"/>
        <v>0</v>
      </c>
      <c r="DM186" s="40">
        <f t="shared" si="331"/>
        <v>0</v>
      </c>
      <c r="DN186" s="40">
        <f t="shared" si="332"/>
        <v>0</v>
      </c>
      <c r="DO186" s="40">
        <f t="shared" si="333"/>
        <v>0</v>
      </c>
      <c r="DP186" s="40">
        <f t="shared" si="334"/>
        <v>0</v>
      </c>
      <c r="DQ186" s="40">
        <f t="shared" si="335"/>
        <v>0</v>
      </c>
      <c r="DR186" s="40">
        <f t="shared" si="340"/>
        <v>0</v>
      </c>
      <c r="DS186" s="40">
        <f t="shared" ref="DS186" si="342">BK186+CO186</f>
        <v>0</v>
      </c>
      <c r="DT186" s="40">
        <f t="shared" ref="DT186" si="343">BL186+CP186</f>
        <v>24</v>
      </c>
      <c r="DU186" s="40">
        <f t="shared" ref="DU186" si="344">BM186+CQ186</f>
        <v>66</v>
      </c>
      <c r="DV186" s="40">
        <f t="shared" ref="DV186" si="345">BN186+CR186</f>
        <v>0</v>
      </c>
      <c r="DW186" s="40">
        <f t="shared" ref="DW186" si="346">BO186+CS186</f>
        <v>0</v>
      </c>
    </row>
    <row r="187" spans="1:127">
      <c r="A187" s="22" t="s">
        <v>126</v>
      </c>
      <c r="B187" s="26">
        <v>4902430435482</v>
      </c>
      <c r="C187" s="22" t="s">
        <v>127</v>
      </c>
      <c r="D187" s="22" t="s">
        <v>122</v>
      </c>
      <c r="E187" s="22">
        <v>145172</v>
      </c>
      <c r="F187" s="80" t="s">
        <v>288</v>
      </c>
      <c r="G187" s="25">
        <v>52.468333333333334</v>
      </c>
      <c r="H187" s="85">
        <f t="shared" si="248"/>
        <v>30641.506666666668</v>
      </c>
      <c r="I187" s="85">
        <f t="shared" si="249"/>
        <v>60758.33</v>
      </c>
      <c r="J187" s="85">
        <f t="shared" si="250"/>
        <v>35101.315000000002</v>
      </c>
      <c r="K187" s="85">
        <f t="shared" si="251"/>
        <v>30956.316666666666</v>
      </c>
      <c r="L187" s="85">
        <f t="shared" si="252"/>
        <v>51943.65</v>
      </c>
      <c r="M187" s="86">
        <f t="shared" si="253"/>
        <v>57505.293333333335</v>
      </c>
      <c r="N187" s="87">
        <f t="shared" si="254"/>
        <v>38092.01</v>
      </c>
      <c r="O187" s="87">
        <f t="shared" si="255"/>
        <v>61650.291666666664</v>
      </c>
      <c r="P187" s="87">
        <f t="shared" si="256"/>
        <v>63066.936666666668</v>
      </c>
      <c r="Q187" s="87">
        <f t="shared" si="257"/>
        <v>41502.451666666668</v>
      </c>
      <c r="R187" s="87">
        <f t="shared" si="258"/>
        <v>73560.603333333333</v>
      </c>
      <c r="S187" s="87">
        <f t="shared" si="259"/>
        <v>48690.613333333335</v>
      </c>
      <c r="T187" s="87">
        <f t="shared" si="260"/>
        <v>56928.14166666667</v>
      </c>
      <c r="U187" s="87">
        <f t="shared" si="261"/>
        <v>56036.18</v>
      </c>
      <c r="V187" s="87">
        <f t="shared" si="262"/>
        <v>42079.603333333333</v>
      </c>
      <c r="W187" s="87">
        <f t="shared" si="263"/>
        <v>45122.76666666667</v>
      </c>
      <c r="X187" s="87">
        <f t="shared" si="264"/>
        <v>48638.144999999997</v>
      </c>
      <c r="Y187" s="86">
        <f t="shared" si="265"/>
        <v>37934.605000000003</v>
      </c>
      <c r="Z187" s="87">
        <f t="shared" si="266"/>
        <v>56508.394999999997</v>
      </c>
      <c r="AA187" s="87">
        <f t="shared" si="267"/>
        <v>41345.046666666669</v>
      </c>
      <c r="AB187" s="87">
        <f t="shared" si="268"/>
        <v>31638.404999999999</v>
      </c>
      <c r="AC187" s="87">
        <f t="shared" si="269"/>
        <v>52363.396666666667</v>
      </c>
      <c r="AD187" s="87">
        <f t="shared" si="270"/>
        <v>41082.705000000002</v>
      </c>
      <c r="AE187" s="87">
        <f t="shared" si="271"/>
        <v>43758.590000000004</v>
      </c>
      <c r="AF187" s="231">
        <f t="shared" si="272"/>
        <v>36517.96</v>
      </c>
      <c r="AG187" s="87">
        <f t="shared" si="273"/>
        <v>41869.730000000003</v>
      </c>
      <c r="AH187" s="87">
        <f t="shared" si="308"/>
        <v>33107.518333333333</v>
      </c>
      <c r="AI187" s="87">
        <f t="shared" si="309"/>
        <v>49046.232037037043</v>
      </c>
      <c r="AJ187" s="87">
        <f t="shared" si="310"/>
        <v>0</v>
      </c>
      <c r="AK187" s="86">
        <f t="shared" si="311"/>
        <v>0</v>
      </c>
      <c r="AL187" s="85">
        <v>458</v>
      </c>
      <c r="AM187" s="85">
        <v>986</v>
      </c>
      <c r="AN187" s="85">
        <v>487</v>
      </c>
      <c r="AO187" s="85">
        <v>469</v>
      </c>
      <c r="AP187" s="85">
        <v>763</v>
      </c>
      <c r="AQ187" s="86">
        <v>691</v>
      </c>
      <c r="AR187" s="87">
        <v>493</v>
      </c>
      <c r="AS187" s="87">
        <v>869</v>
      </c>
      <c r="AT187" s="87">
        <v>770</v>
      </c>
      <c r="AU187" s="87">
        <v>566</v>
      </c>
      <c r="AV187" s="87">
        <v>913</v>
      </c>
      <c r="AW187" s="87">
        <v>686</v>
      </c>
      <c r="AX187" s="87">
        <v>938</v>
      </c>
      <c r="AY187" s="87">
        <v>639</v>
      </c>
      <c r="AZ187" s="87">
        <v>615</v>
      </c>
      <c r="BA187" s="87">
        <v>705</v>
      </c>
      <c r="BB187" s="87">
        <v>583</v>
      </c>
      <c r="BC187" s="86">
        <v>537</v>
      </c>
      <c r="BD187" s="87">
        <v>821</v>
      </c>
      <c r="BE187" s="87">
        <v>651</v>
      </c>
      <c r="BF187" s="87">
        <v>458</v>
      </c>
      <c r="BG187" s="87">
        <v>739</v>
      </c>
      <c r="BH187" s="87">
        <v>605</v>
      </c>
      <c r="BI187" s="87">
        <v>712</v>
      </c>
      <c r="BJ187" s="40">
        <v>584</v>
      </c>
      <c r="BK187" s="40">
        <v>733</v>
      </c>
      <c r="BL187" s="40">
        <v>566</v>
      </c>
      <c r="BM187" s="40">
        <v>786</v>
      </c>
      <c r="BN187" s="87"/>
      <c r="BO187" s="86"/>
      <c r="BP187" s="21">
        <v>126</v>
      </c>
      <c r="BQ187" s="21">
        <v>172</v>
      </c>
      <c r="BR187" s="21">
        <v>182</v>
      </c>
      <c r="BS187" s="21">
        <v>121</v>
      </c>
      <c r="BT187" s="21">
        <v>227</v>
      </c>
      <c r="BU187" s="42">
        <v>405</v>
      </c>
      <c r="BV187" s="21">
        <v>233</v>
      </c>
      <c r="BW187" s="21">
        <v>306</v>
      </c>
      <c r="BX187" s="21">
        <v>432</v>
      </c>
      <c r="BY187" s="21">
        <v>225</v>
      </c>
      <c r="BZ187" s="21">
        <v>489</v>
      </c>
      <c r="CA187" s="21">
        <v>242</v>
      </c>
      <c r="CB187" s="21">
        <v>147</v>
      </c>
      <c r="CC187" s="21">
        <v>429</v>
      </c>
      <c r="CD187" s="21">
        <v>187</v>
      </c>
      <c r="CE187" s="21">
        <v>155</v>
      </c>
      <c r="CF187" s="21">
        <v>344</v>
      </c>
      <c r="CG187" s="42">
        <v>186</v>
      </c>
      <c r="CH187" s="21">
        <v>256</v>
      </c>
      <c r="CI187" s="21">
        <v>137</v>
      </c>
      <c r="CJ187" s="21">
        <v>145</v>
      </c>
      <c r="CK187" s="21">
        <v>259</v>
      </c>
      <c r="CL187" s="21">
        <v>178</v>
      </c>
      <c r="CM187" s="21">
        <v>122</v>
      </c>
      <c r="CN187" s="21">
        <v>112</v>
      </c>
      <c r="CO187" s="21">
        <v>65</v>
      </c>
      <c r="CP187" s="21">
        <f t="shared" si="278"/>
        <v>65</v>
      </c>
      <c r="CQ187" s="344">
        <f t="shared" si="279"/>
        <v>148.77777777777777</v>
      </c>
      <c r="CR187" s="87"/>
      <c r="CS187" s="86"/>
      <c r="CT187" s="85">
        <f t="shared" si="312"/>
        <v>584</v>
      </c>
      <c r="CU187" s="85">
        <f t="shared" si="313"/>
        <v>1158</v>
      </c>
      <c r="CV187" s="85">
        <f t="shared" si="314"/>
        <v>669</v>
      </c>
      <c r="CW187" s="85">
        <f t="shared" si="315"/>
        <v>590</v>
      </c>
      <c r="CX187" s="85">
        <f t="shared" si="316"/>
        <v>990</v>
      </c>
      <c r="CY187" s="86">
        <f t="shared" si="317"/>
        <v>1096</v>
      </c>
      <c r="CZ187" s="87">
        <f t="shared" si="318"/>
        <v>726</v>
      </c>
      <c r="DA187" s="87">
        <f t="shared" si="319"/>
        <v>1175</v>
      </c>
      <c r="DB187" s="87">
        <f t="shared" si="320"/>
        <v>1202</v>
      </c>
      <c r="DC187" s="87">
        <f t="shared" si="321"/>
        <v>791</v>
      </c>
      <c r="DD187" s="87">
        <f t="shared" si="322"/>
        <v>1402</v>
      </c>
      <c r="DE187" s="87">
        <f t="shared" si="323"/>
        <v>928</v>
      </c>
      <c r="DF187" s="87">
        <f t="shared" si="324"/>
        <v>1085</v>
      </c>
      <c r="DG187" s="87">
        <f t="shared" si="325"/>
        <v>1068</v>
      </c>
      <c r="DH187" s="87">
        <f t="shared" si="326"/>
        <v>802</v>
      </c>
      <c r="DI187" s="87">
        <f t="shared" si="327"/>
        <v>860</v>
      </c>
      <c r="DJ187" s="87">
        <f t="shared" si="328"/>
        <v>927</v>
      </c>
      <c r="DK187" s="86">
        <f t="shared" si="329"/>
        <v>723</v>
      </c>
      <c r="DL187" s="87">
        <f t="shared" si="330"/>
        <v>1077</v>
      </c>
      <c r="DM187" s="87">
        <f t="shared" si="331"/>
        <v>788</v>
      </c>
      <c r="DN187" s="87">
        <f t="shared" si="332"/>
        <v>603</v>
      </c>
      <c r="DO187" s="87">
        <f t="shared" si="333"/>
        <v>998</v>
      </c>
      <c r="DP187" s="87">
        <f t="shared" si="334"/>
        <v>783</v>
      </c>
      <c r="DQ187" s="87">
        <f t="shared" si="335"/>
        <v>834</v>
      </c>
      <c r="DR187" s="87">
        <f t="shared" si="340"/>
        <v>696</v>
      </c>
      <c r="DS187" s="87">
        <f t="shared" si="341"/>
        <v>798</v>
      </c>
      <c r="DT187" s="87">
        <f t="shared" si="336"/>
        <v>631</v>
      </c>
      <c r="DU187" s="87">
        <f t="shared" si="337"/>
        <v>934.77777777777783</v>
      </c>
      <c r="DV187" s="87">
        <f t="shared" si="338"/>
        <v>0</v>
      </c>
      <c r="DW187" s="87">
        <f t="shared" si="339"/>
        <v>0</v>
      </c>
    </row>
    <row r="188" spans="1:127">
      <c r="A188" s="22" t="s">
        <v>126</v>
      </c>
      <c r="B188" s="26">
        <v>4902430435499</v>
      </c>
      <c r="C188" s="22" t="s">
        <v>127</v>
      </c>
      <c r="D188" s="22" t="s">
        <v>122</v>
      </c>
      <c r="E188" s="22">
        <v>145185</v>
      </c>
      <c r="F188" s="80" t="s">
        <v>289</v>
      </c>
      <c r="G188" s="25">
        <v>52.468333333333334</v>
      </c>
      <c r="H188" s="85">
        <f t="shared" si="248"/>
        <v>41292.578333333331</v>
      </c>
      <c r="I188" s="85">
        <f t="shared" si="249"/>
        <v>71147.06</v>
      </c>
      <c r="J188" s="85">
        <f t="shared" si="250"/>
        <v>43601.184999999998</v>
      </c>
      <c r="K188" s="85">
        <f t="shared" si="251"/>
        <v>39928.401666666665</v>
      </c>
      <c r="L188" s="85">
        <f t="shared" si="252"/>
        <v>72458.768333333341</v>
      </c>
      <c r="M188" s="86">
        <f t="shared" si="253"/>
        <v>67894.023333333331</v>
      </c>
      <c r="N188" s="87">
        <f t="shared" si="254"/>
        <v>53832.51</v>
      </c>
      <c r="O188" s="87">
        <f t="shared" si="255"/>
        <v>82847.498333333337</v>
      </c>
      <c r="P188" s="87">
        <f t="shared" si="256"/>
        <v>74977.248333333337</v>
      </c>
      <c r="Q188" s="87">
        <f t="shared" si="257"/>
        <v>54409.661666666667</v>
      </c>
      <c r="R188" s="87">
        <f t="shared" si="258"/>
        <v>86782.623333333337</v>
      </c>
      <c r="S188" s="87">
        <f t="shared" si="259"/>
        <v>67211.934999999998</v>
      </c>
      <c r="T188" s="87">
        <f t="shared" si="260"/>
        <v>81168.511666666673</v>
      </c>
      <c r="U188" s="87">
        <f t="shared" si="261"/>
        <v>64903.328333333331</v>
      </c>
      <c r="V188" s="87">
        <f t="shared" si="262"/>
        <v>52258.46</v>
      </c>
      <c r="W188" s="87">
        <f t="shared" si="263"/>
        <v>57347.888333333336</v>
      </c>
      <c r="X188" s="87">
        <f t="shared" si="264"/>
        <v>58659.596666666665</v>
      </c>
      <c r="Y188" s="86">
        <f t="shared" si="265"/>
        <v>49949.853333333333</v>
      </c>
      <c r="Z188" s="87">
        <f t="shared" si="266"/>
        <v>71199.528333333335</v>
      </c>
      <c r="AA188" s="87">
        <f t="shared" si="267"/>
        <v>65847.758333333331</v>
      </c>
      <c r="AB188" s="87">
        <f t="shared" si="268"/>
        <v>45962.26</v>
      </c>
      <c r="AC188" s="87">
        <f t="shared" si="269"/>
        <v>65585.416666666672</v>
      </c>
      <c r="AD188" s="87">
        <f t="shared" si="270"/>
        <v>59079.343333333331</v>
      </c>
      <c r="AE188" s="87">
        <f t="shared" si="271"/>
        <v>60863.26666666667</v>
      </c>
      <c r="AF188" s="231">
        <f t="shared" si="272"/>
        <v>49530.106666666667</v>
      </c>
      <c r="AG188" s="87">
        <f t="shared" si="273"/>
        <v>56928.14166666667</v>
      </c>
      <c r="AH188" s="87">
        <f t="shared" si="308"/>
        <v>50474.536666666667</v>
      </c>
      <c r="AI188" s="87">
        <f t="shared" si="309"/>
        <v>65072.392962962964</v>
      </c>
      <c r="AJ188" s="87">
        <f t="shared" si="310"/>
        <v>0</v>
      </c>
      <c r="AK188" s="86">
        <f t="shared" si="311"/>
        <v>0</v>
      </c>
      <c r="AL188" s="85">
        <v>697</v>
      </c>
      <c r="AM188" s="85">
        <v>1152</v>
      </c>
      <c r="AN188" s="85">
        <v>670</v>
      </c>
      <c r="AO188" s="85">
        <v>660</v>
      </c>
      <c r="AP188" s="85">
        <v>1223</v>
      </c>
      <c r="AQ188" s="86">
        <v>1011</v>
      </c>
      <c r="AR188" s="87">
        <v>770</v>
      </c>
      <c r="AS188" s="87">
        <v>1323</v>
      </c>
      <c r="AT188" s="87">
        <v>1144</v>
      </c>
      <c r="AU188" s="87">
        <v>865</v>
      </c>
      <c r="AV188" s="87">
        <v>1355</v>
      </c>
      <c r="AW188" s="87">
        <v>1071</v>
      </c>
      <c r="AX188" s="87">
        <v>1413</v>
      </c>
      <c r="AY188" s="87">
        <v>912</v>
      </c>
      <c r="AZ188" s="87">
        <v>807</v>
      </c>
      <c r="BA188" s="87">
        <v>971</v>
      </c>
      <c r="BB188" s="87">
        <v>821</v>
      </c>
      <c r="BC188" s="86">
        <v>729</v>
      </c>
      <c r="BD188" s="87">
        <v>1085</v>
      </c>
      <c r="BE188" s="87">
        <v>1083</v>
      </c>
      <c r="BF188" s="87">
        <v>701</v>
      </c>
      <c r="BG188" s="87">
        <v>991</v>
      </c>
      <c r="BH188" s="87">
        <v>920</v>
      </c>
      <c r="BI188" s="87">
        <v>1029</v>
      </c>
      <c r="BJ188" s="40">
        <v>855</v>
      </c>
      <c r="BK188" s="40">
        <v>1007</v>
      </c>
      <c r="BL188" s="40">
        <v>884</v>
      </c>
      <c r="BM188" s="40">
        <v>1078</v>
      </c>
      <c r="BN188" s="87"/>
      <c r="BO188" s="86"/>
      <c r="BP188" s="21">
        <v>90</v>
      </c>
      <c r="BQ188" s="21">
        <v>204</v>
      </c>
      <c r="BR188" s="21">
        <v>161</v>
      </c>
      <c r="BS188" s="21">
        <v>101</v>
      </c>
      <c r="BT188" s="21">
        <v>158</v>
      </c>
      <c r="BU188" s="42">
        <v>283</v>
      </c>
      <c r="BV188" s="21">
        <v>256</v>
      </c>
      <c r="BW188" s="21">
        <v>256</v>
      </c>
      <c r="BX188" s="21">
        <v>285</v>
      </c>
      <c r="BY188" s="21">
        <v>172</v>
      </c>
      <c r="BZ188" s="21">
        <v>299</v>
      </c>
      <c r="CA188" s="21">
        <v>210</v>
      </c>
      <c r="CB188" s="21">
        <v>134</v>
      </c>
      <c r="CC188" s="21">
        <v>325</v>
      </c>
      <c r="CD188" s="21">
        <v>189</v>
      </c>
      <c r="CE188" s="21">
        <v>122</v>
      </c>
      <c r="CF188" s="21">
        <v>297</v>
      </c>
      <c r="CG188" s="42">
        <v>223</v>
      </c>
      <c r="CH188" s="21">
        <v>272</v>
      </c>
      <c r="CI188" s="21">
        <v>172</v>
      </c>
      <c r="CJ188" s="21">
        <v>175</v>
      </c>
      <c r="CK188" s="21">
        <v>259</v>
      </c>
      <c r="CL188" s="21">
        <v>206</v>
      </c>
      <c r="CM188" s="21">
        <v>131</v>
      </c>
      <c r="CN188" s="21">
        <v>89</v>
      </c>
      <c r="CO188" s="21">
        <v>78</v>
      </c>
      <c r="CP188" s="21">
        <f t="shared" si="278"/>
        <v>78</v>
      </c>
      <c r="CQ188" s="344">
        <f t="shared" si="279"/>
        <v>162.22222222222223</v>
      </c>
      <c r="CR188" s="87"/>
      <c r="CS188" s="86"/>
      <c r="CT188" s="85">
        <f t="shared" si="312"/>
        <v>787</v>
      </c>
      <c r="CU188" s="85">
        <f t="shared" si="313"/>
        <v>1356</v>
      </c>
      <c r="CV188" s="85">
        <f t="shared" si="314"/>
        <v>831</v>
      </c>
      <c r="CW188" s="85">
        <f t="shared" si="315"/>
        <v>761</v>
      </c>
      <c r="CX188" s="85">
        <f t="shared" si="316"/>
        <v>1381</v>
      </c>
      <c r="CY188" s="86">
        <f t="shared" si="317"/>
        <v>1294</v>
      </c>
      <c r="CZ188" s="87">
        <f t="shared" si="318"/>
        <v>1026</v>
      </c>
      <c r="DA188" s="87">
        <f t="shared" si="319"/>
        <v>1579</v>
      </c>
      <c r="DB188" s="87">
        <f t="shared" si="320"/>
        <v>1429</v>
      </c>
      <c r="DC188" s="87">
        <f t="shared" si="321"/>
        <v>1037</v>
      </c>
      <c r="DD188" s="87">
        <f t="shared" si="322"/>
        <v>1654</v>
      </c>
      <c r="DE188" s="87">
        <f t="shared" si="323"/>
        <v>1281</v>
      </c>
      <c r="DF188" s="87">
        <f t="shared" si="324"/>
        <v>1547</v>
      </c>
      <c r="DG188" s="87">
        <f t="shared" si="325"/>
        <v>1237</v>
      </c>
      <c r="DH188" s="87">
        <f t="shared" si="326"/>
        <v>996</v>
      </c>
      <c r="DI188" s="87">
        <f t="shared" si="327"/>
        <v>1093</v>
      </c>
      <c r="DJ188" s="87">
        <f t="shared" si="328"/>
        <v>1118</v>
      </c>
      <c r="DK188" s="86">
        <f t="shared" si="329"/>
        <v>952</v>
      </c>
      <c r="DL188" s="87">
        <f t="shared" si="330"/>
        <v>1357</v>
      </c>
      <c r="DM188" s="87">
        <f t="shared" si="331"/>
        <v>1255</v>
      </c>
      <c r="DN188" s="87">
        <f t="shared" si="332"/>
        <v>876</v>
      </c>
      <c r="DO188" s="87">
        <f t="shared" si="333"/>
        <v>1250</v>
      </c>
      <c r="DP188" s="87">
        <f t="shared" si="334"/>
        <v>1126</v>
      </c>
      <c r="DQ188" s="87">
        <f t="shared" si="335"/>
        <v>1160</v>
      </c>
      <c r="DR188" s="87">
        <f t="shared" si="340"/>
        <v>944</v>
      </c>
      <c r="DS188" s="87">
        <f t="shared" si="341"/>
        <v>1085</v>
      </c>
      <c r="DT188" s="87">
        <f t="shared" si="336"/>
        <v>962</v>
      </c>
      <c r="DU188" s="87">
        <f t="shared" si="337"/>
        <v>1240.2222222222222</v>
      </c>
      <c r="DV188" s="87">
        <f t="shared" si="338"/>
        <v>0</v>
      </c>
      <c r="DW188" s="87">
        <f t="shared" si="339"/>
        <v>0</v>
      </c>
    </row>
    <row r="189" spans="1:127">
      <c r="A189" s="22" t="s">
        <v>126</v>
      </c>
      <c r="B189" s="26">
        <v>4902430587211</v>
      </c>
      <c r="C189" s="22" t="s">
        <v>127</v>
      </c>
      <c r="D189" s="22" t="s">
        <v>124</v>
      </c>
      <c r="E189" s="22">
        <v>194354</v>
      </c>
      <c r="F189" s="80" t="s">
        <v>290</v>
      </c>
      <c r="G189" s="25">
        <v>49.108333333333327</v>
      </c>
      <c r="H189" s="85">
        <f t="shared" si="248"/>
        <v>11638.674999999999</v>
      </c>
      <c r="I189" s="85">
        <f t="shared" si="249"/>
        <v>27598.883333333331</v>
      </c>
      <c r="J189" s="85">
        <f t="shared" si="250"/>
        <v>25929.199999999997</v>
      </c>
      <c r="K189" s="85">
        <f t="shared" si="251"/>
        <v>22393.399999999998</v>
      </c>
      <c r="L189" s="85">
        <f t="shared" si="252"/>
        <v>32215.066666666662</v>
      </c>
      <c r="M189" s="86">
        <f t="shared" si="253"/>
        <v>16942.374999999996</v>
      </c>
      <c r="N189" s="87">
        <f t="shared" si="254"/>
        <v>17089.699999999997</v>
      </c>
      <c r="O189" s="87">
        <f t="shared" si="255"/>
        <v>27746.208333333328</v>
      </c>
      <c r="P189" s="87">
        <f t="shared" si="256"/>
        <v>17728.10833333333</v>
      </c>
      <c r="Q189" s="87">
        <f t="shared" si="257"/>
        <v>24603.274999999998</v>
      </c>
      <c r="R189" s="87">
        <f t="shared" si="258"/>
        <v>87560.158333333326</v>
      </c>
      <c r="S189" s="87">
        <f t="shared" si="259"/>
        <v>17482.566666666666</v>
      </c>
      <c r="T189" s="87">
        <f t="shared" si="260"/>
        <v>11245.808333333332</v>
      </c>
      <c r="U189" s="87">
        <f t="shared" si="261"/>
        <v>6482.2999999999993</v>
      </c>
      <c r="V189" s="87">
        <f t="shared" si="262"/>
        <v>1866.1166666666663</v>
      </c>
      <c r="W189" s="87">
        <f t="shared" si="263"/>
        <v>2160.7666666666664</v>
      </c>
      <c r="X189" s="87">
        <f t="shared" si="264"/>
        <v>196.43333333333331</v>
      </c>
      <c r="Y189" s="86">
        <f t="shared" si="265"/>
        <v>0</v>
      </c>
      <c r="Z189" s="87">
        <f t="shared" si="266"/>
        <v>0</v>
      </c>
      <c r="AA189" s="87">
        <f t="shared" si="267"/>
        <v>0</v>
      </c>
      <c r="AB189" s="87">
        <f t="shared" si="268"/>
        <v>49.108333333333327</v>
      </c>
      <c r="AC189" s="87">
        <f t="shared" si="269"/>
        <v>49.108333333333327</v>
      </c>
      <c r="AD189" s="87">
        <f t="shared" si="270"/>
        <v>0</v>
      </c>
      <c r="AE189" s="87">
        <f t="shared" si="271"/>
        <v>0</v>
      </c>
      <c r="AF189" s="231">
        <f t="shared" si="272"/>
        <v>0</v>
      </c>
      <c r="AG189" s="87">
        <f t="shared" si="273"/>
        <v>0</v>
      </c>
      <c r="AH189" s="87">
        <f t="shared" si="308"/>
        <v>49.108333333333327</v>
      </c>
      <c r="AI189" s="87">
        <f t="shared" si="309"/>
        <v>0</v>
      </c>
      <c r="AJ189" s="87">
        <f t="shared" si="310"/>
        <v>0</v>
      </c>
      <c r="AK189" s="86">
        <f t="shared" si="311"/>
        <v>0</v>
      </c>
      <c r="AL189" s="85">
        <v>199</v>
      </c>
      <c r="AM189" s="85">
        <v>487</v>
      </c>
      <c r="AN189" s="85">
        <v>386</v>
      </c>
      <c r="AO189" s="85">
        <v>372</v>
      </c>
      <c r="AP189" s="85">
        <v>531</v>
      </c>
      <c r="AQ189" s="86">
        <v>264</v>
      </c>
      <c r="AR189" s="87">
        <v>279</v>
      </c>
      <c r="AS189" s="87">
        <v>376</v>
      </c>
      <c r="AT189" s="87">
        <v>187</v>
      </c>
      <c r="AU189" s="87">
        <v>234</v>
      </c>
      <c r="AV189" s="87">
        <v>572</v>
      </c>
      <c r="AW189" s="87">
        <v>352</v>
      </c>
      <c r="AX189" s="87">
        <v>229</v>
      </c>
      <c r="AY189" s="87">
        <v>132</v>
      </c>
      <c r="AZ189" s="87">
        <v>38</v>
      </c>
      <c r="BA189" s="87">
        <v>44</v>
      </c>
      <c r="BB189" s="87">
        <v>4</v>
      </c>
      <c r="BC189" s="86">
        <v>0</v>
      </c>
      <c r="BD189" s="87">
        <v>0</v>
      </c>
      <c r="BE189" s="87">
        <v>0</v>
      </c>
      <c r="BF189" s="87">
        <v>1</v>
      </c>
      <c r="BG189" s="87">
        <v>1</v>
      </c>
      <c r="BH189" s="87">
        <v>0</v>
      </c>
      <c r="BI189" s="87">
        <v>0</v>
      </c>
      <c r="BJ189" s="40">
        <v>0</v>
      </c>
      <c r="BK189" s="40">
        <v>0</v>
      </c>
      <c r="BL189" s="40">
        <v>1</v>
      </c>
      <c r="BM189" s="40">
        <v>0</v>
      </c>
      <c r="BN189" s="87"/>
      <c r="BO189" s="86"/>
      <c r="BP189" s="21">
        <v>38</v>
      </c>
      <c r="BQ189" s="21">
        <v>75</v>
      </c>
      <c r="BR189" s="21">
        <v>142</v>
      </c>
      <c r="BS189" s="21">
        <v>84</v>
      </c>
      <c r="BT189" s="21">
        <v>125</v>
      </c>
      <c r="BU189" s="42">
        <v>81</v>
      </c>
      <c r="BV189" s="21">
        <v>69</v>
      </c>
      <c r="BW189" s="21">
        <v>189</v>
      </c>
      <c r="BX189" s="21">
        <v>174</v>
      </c>
      <c r="BY189" s="21">
        <v>267</v>
      </c>
      <c r="BZ189" s="21">
        <v>1211</v>
      </c>
      <c r="CA189" s="21">
        <v>4</v>
      </c>
      <c r="CB189" s="21">
        <v>0</v>
      </c>
      <c r="CC189" s="21">
        <v>0</v>
      </c>
      <c r="CD189" s="21">
        <v>0</v>
      </c>
      <c r="CE189" s="21">
        <v>0</v>
      </c>
      <c r="CF189" s="21">
        <v>0</v>
      </c>
      <c r="CG189" s="42">
        <v>0</v>
      </c>
      <c r="CH189" s="21">
        <v>0</v>
      </c>
      <c r="CI189" s="21">
        <v>0</v>
      </c>
      <c r="CJ189" s="21">
        <v>0</v>
      </c>
      <c r="CK189" s="21">
        <v>0</v>
      </c>
      <c r="CL189" s="21">
        <v>0</v>
      </c>
      <c r="CM189" s="21">
        <v>0</v>
      </c>
      <c r="CN189" s="21">
        <v>0</v>
      </c>
      <c r="CO189" s="21">
        <v>0</v>
      </c>
      <c r="CP189" s="21">
        <f t="shared" si="278"/>
        <v>0</v>
      </c>
      <c r="CQ189" s="344">
        <f t="shared" si="279"/>
        <v>0</v>
      </c>
      <c r="CR189" s="87"/>
      <c r="CS189" s="86"/>
      <c r="CT189" s="85">
        <f t="shared" si="312"/>
        <v>237</v>
      </c>
      <c r="CU189" s="85">
        <f t="shared" si="313"/>
        <v>562</v>
      </c>
      <c r="CV189" s="85">
        <f t="shared" si="314"/>
        <v>528</v>
      </c>
      <c r="CW189" s="85">
        <f t="shared" si="315"/>
        <v>456</v>
      </c>
      <c r="CX189" s="85">
        <f t="shared" si="316"/>
        <v>656</v>
      </c>
      <c r="CY189" s="86">
        <f t="shared" si="317"/>
        <v>345</v>
      </c>
      <c r="CZ189" s="87">
        <f t="shared" si="318"/>
        <v>348</v>
      </c>
      <c r="DA189" s="87">
        <f t="shared" si="319"/>
        <v>565</v>
      </c>
      <c r="DB189" s="87">
        <f t="shared" si="320"/>
        <v>361</v>
      </c>
      <c r="DC189" s="87">
        <f t="shared" si="321"/>
        <v>501</v>
      </c>
      <c r="DD189" s="87">
        <f t="shared" si="322"/>
        <v>1783</v>
      </c>
      <c r="DE189" s="87">
        <f t="shared" si="323"/>
        <v>356</v>
      </c>
      <c r="DF189" s="87">
        <f t="shared" si="324"/>
        <v>229</v>
      </c>
      <c r="DG189" s="87">
        <f t="shared" si="325"/>
        <v>132</v>
      </c>
      <c r="DH189" s="87">
        <f t="shared" si="326"/>
        <v>38</v>
      </c>
      <c r="DI189" s="87">
        <f t="shared" si="327"/>
        <v>44</v>
      </c>
      <c r="DJ189" s="87">
        <f t="shared" si="328"/>
        <v>4</v>
      </c>
      <c r="DK189" s="86">
        <f t="shared" si="329"/>
        <v>0</v>
      </c>
      <c r="DL189" s="87">
        <f t="shared" si="330"/>
        <v>0</v>
      </c>
      <c r="DM189" s="87">
        <f t="shared" si="331"/>
        <v>0</v>
      </c>
      <c r="DN189" s="87">
        <f t="shared" si="332"/>
        <v>1</v>
      </c>
      <c r="DO189" s="87">
        <f t="shared" si="333"/>
        <v>1</v>
      </c>
      <c r="DP189" s="87">
        <f t="shared" si="334"/>
        <v>0</v>
      </c>
      <c r="DQ189" s="87">
        <f t="shared" si="335"/>
        <v>0</v>
      </c>
      <c r="DR189" s="87">
        <f t="shared" si="340"/>
        <v>0</v>
      </c>
      <c r="DS189" s="87">
        <f t="shared" si="341"/>
        <v>0</v>
      </c>
      <c r="DT189" s="87">
        <f t="shared" si="336"/>
        <v>1</v>
      </c>
      <c r="DU189" s="87">
        <f t="shared" si="337"/>
        <v>0</v>
      </c>
      <c r="DV189" s="87">
        <f t="shared" si="338"/>
        <v>0</v>
      </c>
      <c r="DW189" s="87">
        <f t="shared" si="339"/>
        <v>0</v>
      </c>
    </row>
    <row r="190" spans="1:127">
      <c r="A190" s="22" t="s">
        <v>126</v>
      </c>
      <c r="B190" s="26">
        <v>4902430587228</v>
      </c>
      <c r="C190" s="22" t="s">
        <v>127</v>
      </c>
      <c r="D190" s="22" t="s">
        <v>124</v>
      </c>
      <c r="E190" s="22">
        <v>194406</v>
      </c>
      <c r="F190" s="80" t="s">
        <v>291</v>
      </c>
      <c r="G190" s="25">
        <v>49.308333333333337</v>
      </c>
      <c r="H190" s="85">
        <f t="shared" si="248"/>
        <v>11488.841666666667</v>
      </c>
      <c r="I190" s="85">
        <f t="shared" si="249"/>
        <v>29880.850000000002</v>
      </c>
      <c r="J190" s="85">
        <f t="shared" si="250"/>
        <v>24062.466666666667</v>
      </c>
      <c r="K190" s="85">
        <f t="shared" si="251"/>
        <v>21301.200000000001</v>
      </c>
      <c r="L190" s="85">
        <f t="shared" si="252"/>
        <v>31113.558333333334</v>
      </c>
      <c r="M190" s="86">
        <f t="shared" si="253"/>
        <v>16123.825000000001</v>
      </c>
      <c r="N190" s="87">
        <f t="shared" si="254"/>
        <v>14496.650000000001</v>
      </c>
      <c r="O190" s="87">
        <f t="shared" si="255"/>
        <v>25344.483333333334</v>
      </c>
      <c r="P190" s="87">
        <f t="shared" si="256"/>
        <v>12524.316666666668</v>
      </c>
      <c r="Q190" s="87">
        <f t="shared" si="257"/>
        <v>17849.616666666669</v>
      </c>
      <c r="R190" s="87">
        <f t="shared" si="258"/>
        <v>65629.391666666677</v>
      </c>
      <c r="S190" s="87">
        <f t="shared" si="259"/>
        <v>15334.891666666668</v>
      </c>
      <c r="T190" s="87">
        <f t="shared" si="260"/>
        <v>11242.300000000001</v>
      </c>
      <c r="U190" s="87">
        <f t="shared" si="261"/>
        <v>6311.4666666666672</v>
      </c>
      <c r="V190" s="87">
        <f t="shared" si="262"/>
        <v>3007.8083333333334</v>
      </c>
      <c r="W190" s="87">
        <f t="shared" si="263"/>
        <v>1775.1000000000001</v>
      </c>
      <c r="X190" s="87">
        <f t="shared" si="264"/>
        <v>690.31666666666672</v>
      </c>
      <c r="Y190" s="86">
        <f t="shared" si="265"/>
        <v>0</v>
      </c>
      <c r="Z190" s="87">
        <f t="shared" si="266"/>
        <v>0</v>
      </c>
      <c r="AA190" s="87">
        <f t="shared" si="267"/>
        <v>0</v>
      </c>
      <c r="AB190" s="87">
        <f t="shared" si="268"/>
        <v>0</v>
      </c>
      <c r="AC190" s="87">
        <f t="shared" si="269"/>
        <v>0</v>
      </c>
      <c r="AD190" s="87">
        <f t="shared" si="270"/>
        <v>0</v>
      </c>
      <c r="AE190" s="87">
        <f t="shared" si="271"/>
        <v>0</v>
      </c>
      <c r="AF190" s="231">
        <f t="shared" si="272"/>
        <v>0</v>
      </c>
      <c r="AG190" s="87">
        <f t="shared" si="273"/>
        <v>0</v>
      </c>
      <c r="AH190" s="87">
        <f t="shared" si="308"/>
        <v>0</v>
      </c>
      <c r="AI190" s="87">
        <f t="shared" si="309"/>
        <v>0</v>
      </c>
      <c r="AJ190" s="87">
        <f t="shared" si="310"/>
        <v>0</v>
      </c>
      <c r="AK190" s="86">
        <f t="shared" si="311"/>
        <v>0</v>
      </c>
      <c r="AL190" s="85">
        <v>179</v>
      </c>
      <c r="AM190" s="85">
        <v>485</v>
      </c>
      <c r="AN190" s="85">
        <v>312</v>
      </c>
      <c r="AO190" s="85">
        <v>297</v>
      </c>
      <c r="AP190" s="85">
        <v>458</v>
      </c>
      <c r="AQ190" s="86">
        <v>189</v>
      </c>
      <c r="AR190" s="87">
        <v>195</v>
      </c>
      <c r="AS190" s="87">
        <v>340</v>
      </c>
      <c r="AT190" s="87">
        <v>123</v>
      </c>
      <c r="AU190" s="87">
        <v>154</v>
      </c>
      <c r="AV190" s="87">
        <v>374</v>
      </c>
      <c r="AW190" s="87">
        <v>308</v>
      </c>
      <c r="AX190" s="87">
        <v>228</v>
      </c>
      <c r="AY190" s="87">
        <v>128</v>
      </c>
      <c r="AZ190" s="87">
        <v>61</v>
      </c>
      <c r="BA190" s="87">
        <v>36</v>
      </c>
      <c r="BB190" s="87">
        <v>14</v>
      </c>
      <c r="BC190" s="86">
        <v>0</v>
      </c>
      <c r="BD190" s="87">
        <v>0</v>
      </c>
      <c r="BE190" s="87">
        <v>0</v>
      </c>
      <c r="BF190" s="87">
        <v>0</v>
      </c>
      <c r="BG190" s="87">
        <v>0</v>
      </c>
      <c r="BH190" s="87">
        <v>0</v>
      </c>
      <c r="BI190" s="87">
        <v>0</v>
      </c>
      <c r="BJ190" s="40">
        <v>0</v>
      </c>
      <c r="BK190" s="40">
        <v>0</v>
      </c>
      <c r="BL190" s="40">
        <v>0</v>
      </c>
      <c r="BM190" s="40">
        <v>0</v>
      </c>
      <c r="BN190" s="87"/>
      <c r="BO190" s="86"/>
      <c r="BP190" s="21">
        <v>54</v>
      </c>
      <c r="BQ190" s="21">
        <v>121</v>
      </c>
      <c r="BR190" s="21">
        <v>176</v>
      </c>
      <c r="BS190" s="21">
        <v>135</v>
      </c>
      <c r="BT190" s="21">
        <v>173</v>
      </c>
      <c r="BU190" s="42">
        <v>138</v>
      </c>
      <c r="BV190" s="21">
        <v>99</v>
      </c>
      <c r="BW190" s="21">
        <v>174</v>
      </c>
      <c r="BX190" s="21">
        <v>131</v>
      </c>
      <c r="BY190" s="21">
        <v>208</v>
      </c>
      <c r="BZ190" s="21">
        <v>957</v>
      </c>
      <c r="CA190" s="21">
        <v>3</v>
      </c>
      <c r="CB190" s="21">
        <v>0</v>
      </c>
      <c r="CC190" s="21">
        <v>0</v>
      </c>
      <c r="CD190" s="21">
        <v>0</v>
      </c>
      <c r="CE190" s="21">
        <v>0</v>
      </c>
      <c r="CF190" s="21">
        <v>0</v>
      </c>
      <c r="CG190" s="42">
        <v>0</v>
      </c>
      <c r="CH190" s="21">
        <v>0</v>
      </c>
      <c r="CI190" s="21">
        <v>0</v>
      </c>
      <c r="CJ190" s="21">
        <v>0</v>
      </c>
      <c r="CK190" s="21">
        <v>0</v>
      </c>
      <c r="CL190" s="21">
        <v>0</v>
      </c>
      <c r="CM190" s="21">
        <v>0</v>
      </c>
      <c r="CN190" s="21">
        <v>0</v>
      </c>
      <c r="CO190" s="21">
        <v>0</v>
      </c>
      <c r="CP190" s="21">
        <f t="shared" si="278"/>
        <v>0</v>
      </c>
      <c r="CQ190" s="344">
        <f t="shared" si="279"/>
        <v>0</v>
      </c>
      <c r="CR190" s="87"/>
      <c r="CS190" s="86"/>
      <c r="CT190" s="85">
        <f t="shared" si="312"/>
        <v>233</v>
      </c>
      <c r="CU190" s="85">
        <f t="shared" si="313"/>
        <v>606</v>
      </c>
      <c r="CV190" s="85">
        <f t="shared" si="314"/>
        <v>488</v>
      </c>
      <c r="CW190" s="85">
        <f t="shared" si="315"/>
        <v>432</v>
      </c>
      <c r="CX190" s="85">
        <f t="shared" si="316"/>
        <v>631</v>
      </c>
      <c r="CY190" s="86">
        <f t="shared" si="317"/>
        <v>327</v>
      </c>
      <c r="CZ190" s="87">
        <f t="shared" si="318"/>
        <v>294</v>
      </c>
      <c r="DA190" s="87">
        <f t="shared" si="319"/>
        <v>514</v>
      </c>
      <c r="DB190" s="87">
        <f t="shared" si="320"/>
        <v>254</v>
      </c>
      <c r="DC190" s="87">
        <f t="shared" si="321"/>
        <v>362</v>
      </c>
      <c r="DD190" s="87">
        <f t="shared" si="322"/>
        <v>1331</v>
      </c>
      <c r="DE190" s="87">
        <f t="shared" si="323"/>
        <v>311</v>
      </c>
      <c r="DF190" s="87">
        <f t="shared" si="324"/>
        <v>228</v>
      </c>
      <c r="DG190" s="87">
        <f t="shared" si="325"/>
        <v>128</v>
      </c>
      <c r="DH190" s="87">
        <f t="shared" si="326"/>
        <v>61</v>
      </c>
      <c r="DI190" s="87">
        <f t="shared" si="327"/>
        <v>36</v>
      </c>
      <c r="DJ190" s="87">
        <f t="shared" si="328"/>
        <v>14</v>
      </c>
      <c r="DK190" s="86">
        <f t="shared" si="329"/>
        <v>0</v>
      </c>
      <c r="DL190" s="87">
        <f t="shared" si="330"/>
        <v>0</v>
      </c>
      <c r="DM190" s="87">
        <f t="shared" si="331"/>
        <v>0</v>
      </c>
      <c r="DN190" s="87">
        <f t="shared" si="332"/>
        <v>0</v>
      </c>
      <c r="DO190" s="87">
        <f t="shared" si="333"/>
        <v>0</v>
      </c>
      <c r="DP190" s="87">
        <f t="shared" si="334"/>
        <v>0</v>
      </c>
      <c r="DQ190" s="87">
        <f t="shared" si="335"/>
        <v>0</v>
      </c>
      <c r="DR190" s="87">
        <f t="shared" si="340"/>
        <v>0</v>
      </c>
      <c r="DS190" s="87">
        <f t="shared" si="341"/>
        <v>0</v>
      </c>
      <c r="DT190" s="87">
        <f t="shared" si="336"/>
        <v>0</v>
      </c>
      <c r="DU190" s="87">
        <f t="shared" si="337"/>
        <v>0</v>
      </c>
      <c r="DV190" s="87">
        <f t="shared" si="338"/>
        <v>0</v>
      </c>
      <c r="DW190" s="87">
        <f t="shared" si="339"/>
        <v>0</v>
      </c>
    </row>
    <row r="191" spans="1:127">
      <c r="A191" s="22" t="s">
        <v>126</v>
      </c>
      <c r="B191" s="26">
        <v>6903148222508</v>
      </c>
      <c r="C191" s="22" t="s">
        <v>127</v>
      </c>
      <c r="D191" s="22" t="s">
        <v>20</v>
      </c>
      <c r="E191" s="22">
        <v>726386</v>
      </c>
      <c r="F191" s="80" t="s">
        <v>292</v>
      </c>
      <c r="G191" s="25">
        <v>100.74000000000001</v>
      </c>
      <c r="H191" s="85">
        <f t="shared" si="248"/>
        <v>124010.94000000002</v>
      </c>
      <c r="I191" s="85">
        <f t="shared" si="249"/>
        <v>277740.18000000005</v>
      </c>
      <c r="J191" s="85">
        <f t="shared" si="250"/>
        <v>225758.34000000003</v>
      </c>
      <c r="K191" s="85">
        <f t="shared" si="251"/>
        <v>306148.86000000004</v>
      </c>
      <c r="L191" s="85">
        <f t="shared" si="252"/>
        <v>205509.6</v>
      </c>
      <c r="M191" s="86">
        <f t="shared" si="253"/>
        <v>162292.14000000001</v>
      </c>
      <c r="N191" s="87">
        <f t="shared" si="254"/>
        <v>227571.66000000003</v>
      </c>
      <c r="O191" s="87">
        <f t="shared" si="255"/>
        <v>269378.76</v>
      </c>
      <c r="P191" s="87">
        <f t="shared" si="256"/>
        <v>143856.72</v>
      </c>
      <c r="Q191" s="87">
        <f t="shared" si="257"/>
        <v>364074.36000000004</v>
      </c>
      <c r="R191" s="87">
        <f t="shared" si="258"/>
        <v>399434.10000000003</v>
      </c>
      <c r="S191" s="87">
        <f t="shared" si="259"/>
        <v>275624.64</v>
      </c>
      <c r="T191" s="87">
        <f t="shared" si="260"/>
        <v>242581.92</v>
      </c>
      <c r="U191" s="87">
        <f t="shared" si="261"/>
        <v>1020496.2000000001</v>
      </c>
      <c r="V191" s="87">
        <f t="shared" si="262"/>
        <v>393893.4</v>
      </c>
      <c r="W191" s="87">
        <f t="shared" si="263"/>
        <v>351381.12000000005</v>
      </c>
      <c r="X191" s="87">
        <f t="shared" si="264"/>
        <v>334356.06000000006</v>
      </c>
      <c r="Y191" s="86">
        <f t="shared" si="265"/>
        <v>214173.24000000002</v>
      </c>
      <c r="Z191" s="87">
        <f t="shared" si="266"/>
        <v>436204.2</v>
      </c>
      <c r="AA191" s="87">
        <f t="shared" si="267"/>
        <v>245704.86000000002</v>
      </c>
      <c r="AB191" s="87">
        <f t="shared" si="268"/>
        <v>225859.08000000002</v>
      </c>
      <c r="AC191" s="87">
        <f t="shared" si="269"/>
        <v>389763.06000000006</v>
      </c>
      <c r="AD191" s="87">
        <f t="shared" si="270"/>
        <v>253562.58000000002</v>
      </c>
      <c r="AE191" s="87">
        <f t="shared" si="271"/>
        <v>730264.26</v>
      </c>
      <c r="AF191" s="231">
        <f t="shared" si="272"/>
        <v>534727.92000000004</v>
      </c>
      <c r="AG191" s="87">
        <f t="shared" si="273"/>
        <v>356821.08</v>
      </c>
      <c r="AH191" s="87">
        <f t="shared" si="308"/>
        <v>304436.28000000003</v>
      </c>
      <c r="AI191" s="87">
        <f t="shared" si="309"/>
        <v>397408.10666666669</v>
      </c>
      <c r="AJ191" s="87">
        <f t="shared" si="310"/>
        <v>0</v>
      </c>
      <c r="AK191" s="86">
        <f t="shared" si="311"/>
        <v>0</v>
      </c>
      <c r="AL191" s="85">
        <v>1124</v>
      </c>
      <c r="AM191" s="85">
        <v>2590</v>
      </c>
      <c r="AN191" s="85">
        <v>1349</v>
      </c>
      <c r="AO191" s="85">
        <v>2788</v>
      </c>
      <c r="AP191" s="85">
        <v>1971</v>
      </c>
      <c r="AQ191" s="86">
        <v>1453</v>
      </c>
      <c r="AR191" s="87">
        <v>2096</v>
      </c>
      <c r="AS191" s="87">
        <v>2490</v>
      </c>
      <c r="AT191" s="87">
        <v>1309</v>
      </c>
      <c r="AU191" s="87">
        <v>2668</v>
      </c>
      <c r="AV191" s="87">
        <v>1912</v>
      </c>
      <c r="AW191" s="87">
        <v>2577</v>
      </c>
      <c r="AX191" s="87">
        <v>2286</v>
      </c>
      <c r="AY191" s="87">
        <v>4127</v>
      </c>
      <c r="AZ191" s="87">
        <v>3705</v>
      </c>
      <c r="BA191" s="87">
        <v>2820</v>
      </c>
      <c r="BB191" s="87">
        <v>2557</v>
      </c>
      <c r="BC191" s="86">
        <v>1812</v>
      </c>
      <c r="BD191" s="87">
        <v>3510</v>
      </c>
      <c r="BE191" s="87">
        <v>2211</v>
      </c>
      <c r="BF191" s="87">
        <v>1874</v>
      </c>
      <c r="BG191" s="87">
        <v>2924</v>
      </c>
      <c r="BH191" s="87">
        <v>2191</v>
      </c>
      <c r="BI191" s="87">
        <v>6145</v>
      </c>
      <c r="BJ191" s="40">
        <v>5133</v>
      </c>
      <c r="BK191" s="40">
        <v>3316</v>
      </c>
      <c r="BL191" s="40">
        <v>2796</v>
      </c>
      <c r="BM191" s="40">
        <v>3454</v>
      </c>
      <c r="BN191" s="87"/>
      <c r="BO191" s="86"/>
      <c r="BP191" s="21">
        <v>107</v>
      </c>
      <c r="BQ191" s="21">
        <v>167</v>
      </c>
      <c r="BR191" s="21">
        <v>892</v>
      </c>
      <c r="BS191" s="21">
        <v>251</v>
      </c>
      <c r="BT191" s="21">
        <v>69</v>
      </c>
      <c r="BU191" s="42">
        <v>158</v>
      </c>
      <c r="BV191" s="21">
        <v>163</v>
      </c>
      <c r="BW191" s="21">
        <v>184</v>
      </c>
      <c r="BX191" s="21">
        <v>119</v>
      </c>
      <c r="BY191" s="21">
        <v>946</v>
      </c>
      <c r="BZ191" s="21">
        <v>2053</v>
      </c>
      <c r="CA191" s="21">
        <v>159</v>
      </c>
      <c r="CB191" s="21">
        <v>122</v>
      </c>
      <c r="CC191" s="21">
        <v>6003</v>
      </c>
      <c r="CD191" s="21">
        <v>205</v>
      </c>
      <c r="CE191" s="21">
        <v>668</v>
      </c>
      <c r="CF191" s="21">
        <v>762</v>
      </c>
      <c r="CG191" s="42">
        <v>314</v>
      </c>
      <c r="CH191" s="21">
        <v>820</v>
      </c>
      <c r="CI191" s="21">
        <v>228</v>
      </c>
      <c r="CJ191" s="21">
        <v>368</v>
      </c>
      <c r="CK191" s="21">
        <v>945</v>
      </c>
      <c r="CL191" s="21">
        <v>326</v>
      </c>
      <c r="CM191" s="21">
        <v>1104</v>
      </c>
      <c r="CN191" s="21">
        <v>175</v>
      </c>
      <c r="CO191" s="21">
        <v>226</v>
      </c>
      <c r="CP191" s="21">
        <f t="shared" si="278"/>
        <v>226</v>
      </c>
      <c r="CQ191" s="344">
        <f t="shared" si="279"/>
        <v>490.88888888888891</v>
      </c>
      <c r="CR191" s="87"/>
      <c r="CS191" s="86"/>
      <c r="CT191" s="85">
        <f t="shared" si="312"/>
        <v>1231</v>
      </c>
      <c r="CU191" s="85">
        <f t="shared" si="313"/>
        <v>2757</v>
      </c>
      <c r="CV191" s="85">
        <f t="shared" si="314"/>
        <v>2241</v>
      </c>
      <c r="CW191" s="85">
        <f t="shared" si="315"/>
        <v>3039</v>
      </c>
      <c r="CX191" s="85">
        <f t="shared" si="316"/>
        <v>2040</v>
      </c>
      <c r="CY191" s="86">
        <f t="shared" si="317"/>
        <v>1611</v>
      </c>
      <c r="CZ191" s="87">
        <f t="shared" si="318"/>
        <v>2259</v>
      </c>
      <c r="DA191" s="87">
        <f t="shared" si="319"/>
        <v>2674</v>
      </c>
      <c r="DB191" s="87">
        <f t="shared" si="320"/>
        <v>1428</v>
      </c>
      <c r="DC191" s="87">
        <f t="shared" si="321"/>
        <v>3614</v>
      </c>
      <c r="DD191" s="87">
        <f t="shared" si="322"/>
        <v>3965</v>
      </c>
      <c r="DE191" s="87">
        <f t="shared" si="323"/>
        <v>2736</v>
      </c>
      <c r="DF191" s="87">
        <f t="shared" si="324"/>
        <v>2408</v>
      </c>
      <c r="DG191" s="87">
        <f t="shared" si="325"/>
        <v>10130</v>
      </c>
      <c r="DH191" s="87">
        <f t="shared" si="326"/>
        <v>3910</v>
      </c>
      <c r="DI191" s="87">
        <f t="shared" si="327"/>
        <v>3488</v>
      </c>
      <c r="DJ191" s="87">
        <f t="shared" si="328"/>
        <v>3319</v>
      </c>
      <c r="DK191" s="86">
        <f t="shared" si="329"/>
        <v>2126</v>
      </c>
      <c r="DL191" s="87">
        <f t="shared" si="330"/>
        <v>4330</v>
      </c>
      <c r="DM191" s="87">
        <f t="shared" si="331"/>
        <v>2439</v>
      </c>
      <c r="DN191" s="87">
        <f t="shared" si="332"/>
        <v>2242</v>
      </c>
      <c r="DO191" s="87">
        <f t="shared" si="333"/>
        <v>3869</v>
      </c>
      <c r="DP191" s="87">
        <f t="shared" si="334"/>
        <v>2517</v>
      </c>
      <c r="DQ191" s="87">
        <f t="shared" si="335"/>
        <v>7249</v>
      </c>
      <c r="DR191" s="87">
        <f t="shared" si="340"/>
        <v>5308</v>
      </c>
      <c r="DS191" s="87">
        <f t="shared" si="341"/>
        <v>3542</v>
      </c>
      <c r="DT191" s="87">
        <f t="shared" si="336"/>
        <v>3022</v>
      </c>
      <c r="DU191" s="87">
        <f t="shared" si="337"/>
        <v>3944.8888888888887</v>
      </c>
      <c r="DV191" s="87">
        <f t="shared" si="338"/>
        <v>0</v>
      </c>
      <c r="DW191" s="86">
        <f t="shared" si="339"/>
        <v>0</v>
      </c>
    </row>
    <row r="192" spans="1:127">
      <c r="A192" s="22" t="s">
        <v>126</v>
      </c>
      <c r="B192" s="26">
        <v>6903148222539</v>
      </c>
      <c r="C192" s="22" t="s">
        <v>127</v>
      </c>
      <c r="D192" s="22" t="s">
        <v>20</v>
      </c>
      <c r="E192" s="22">
        <v>726412</v>
      </c>
      <c r="F192" s="80" t="s">
        <v>293</v>
      </c>
      <c r="G192" s="25">
        <v>100.74000000000001</v>
      </c>
      <c r="H192" s="85">
        <f t="shared" si="248"/>
        <v>214475.46000000002</v>
      </c>
      <c r="I192" s="85">
        <f t="shared" si="249"/>
        <v>397923.00000000006</v>
      </c>
      <c r="J192" s="85">
        <f t="shared" si="250"/>
        <v>355108.50000000006</v>
      </c>
      <c r="K192" s="85">
        <f t="shared" si="251"/>
        <v>445371.54000000004</v>
      </c>
      <c r="L192" s="85">
        <f t="shared" si="252"/>
        <v>297384.48000000004</v>
      </c>
      <c r="M192" s="86">
        <f t="shared" si="253"/>
        <v>270285.42000000004</v>
      </c>
      <c r="N192" s="87">
        <f t="shared" si="254"/>
        <v>347150.04000000004</v>
      </c>
      <c r="O192" s="87">
        <f t="shared" si="255"/>
        <v>389763.06000000006</v>
      </c>
      <c r="P192" s="87">
        <f t="shared" si="256"/>
        <v>222030.96000000002</v>
      </c>
      <c r="Q192" s="87">
        <f t="shared" si="257"/>
        <v>521027.28</v>
      </c>
      <c r="R192" s="87">
        <f t="shared" si="258"/>
        <v>685737.18</v>
      </c>
      <c r="S192" s="87">
        <f t="shared" si="259"/>
        <v>392986.74000000005</v>
      </c>
      <c r="T192" s="87">
        <f t="shared" si="260"/>
        <v>360145.50000000006</v>
      </c>
      <c r="U192" s="87">
        <f t="shared" si="261"/>
        <v>331233.12000000005</v>
      </c>
      <c r="V192" s="87">
        <f t="shared" si="262"/>
        <v>279150.54000000004</v>
      </c>
      <c r="W192" s="87">
        <f t="shared" si="263"/>
        <v>473981.70000000007</v>
      </c>
      <c r="X192" s="87">
        <f t="shared" si="264"/>
        <v>422906.52</v>
      </c>
      <c r="Y192" s="86">
        <f t="shared" si="265"/>
        <v>272803.92000000004</v>
      </c>
      <c r="Z192" s="87">
        <f t="shared" si="266"/>
        <v>545104.14</v>
      </c>
      <c r="AA192" s="87">
        <f t="shared" si="267"/>
        <v>320957.64</v>
      </c>
      <c r="AB192" s="87">
        <f t="shared" si="268"/>
        <v>291239.34000000003</v>
      </c>
      <c r="AC192" s="87">
        <f t="shared" si="269"/>
        <v>525359.10000000009</v>
      </c>
      <c r="AD192" s="87">
        <f t="shared" si="270"/>
        <v>369010.62000000005</v>
      </c>
      <c r="AE192" s="87">
        <f t="shared" si="271"/>
        <v>1025835.42</v>
      </c>
      <c r="AF192" s="231">
        <f t="shared" si="272"/>
        <v>681103.14</v>
      </c>
      <c r="AG192" s="87">
        <f t="shared" si="273"/>
        <v>455042.58</v>
      </c>
      <c r="AH192" s="87">
        <f t="shared" si="308"/>
        <v>400642.98000000004</v>
      </c>
      <c r="AI192" s="87">
        <f t="shared" si="309"/>
        <v>524452.44000000006</v>
      </c>
      <c r="AJ192" s="87">
        <f t="shared" si="310"/>
        <v>0</v>
      </c>
      <c r="AK192" s="86">
        <f t="shared" si="311"/>
        <v>0</v>
      </c>
      <c r="AL192" s="85">
        <v>1910</v>
      </c>
      <c r="AM192" s="85">
        <v>3639</v>
      </c>
      <c r="AN192" s="85">
        <v>2194</v>
      </c>
      <c r="AO192" s="85">
        <v>3798</v>
      </c>
      <c r="AP192" s="85">
        <v>2729</v>
      </c>
      <c r="AQ192" s="86">
        <v>2259</v>
      </c>
      <c r="AR192" s="87">
        <v>3021</v>
      </c>
      <c r="AS192" s="87">
        <v>3334</v>
      </c>
      <c r="AT192" s="87">
        <v>1868</v>
      </c>
      <c r="AU192" s="87">
        <v>3390</v>
      </c>
      <c r="AV192" s="87">
        <v>2653</v>
      </c>
      <c r="AW192" s="87">
        <v>3630</v>
      </c>
      <c r="AX192" s="87">
        <v>3384</v>
      </c>
      <c r="AY192" s="87">
        <v>2108</v>
      </c>
      <c r="AZ192" s="87">
        <v>2441</v>
      </c>
      <c r="BA192" s="87">
        <v>3757</v>
      </c>
      <c r="BB192" s="87">
        <v>3166</v>
      </c>
      <c r="BC192" s="86">
        <v>2181</v>
      </c>
      <c r="BD192" s="87">
        <v>4235</v>
      </c>
      <c r="BE192" s="87">
        <v>2842</v>
      </c>
      <c r="BF192" s="87">
        <v>2444</v>
      </c>
      <c r="BG192" s="87">
        <v>3650</v>
      </c>
      <c r="BH192" s="87">
        <v>3052</v>
      </c>
      <c r="BI192" s="87">
        <v>8324</v>
      </c>
      <c r="BJ192" s="40">
        <v>6503</v>
      </c>
      <c r="BK192" s="40">
        <v>4146</v>
      </c>
      <c r="BL192" s="40">
        <v>3606</v>
      </c>
      <c r="BM192" s="40">
        <v>4428</v>
      </c>
      <c r="BN192" s="87"/>
      <c r="BO192" s="86"/>
      <c r="BP192" s="21">
        <v>219</v>
      </c>
      <c r="BQ192" s="21">
        <v>311</v>
      </c>
      <c r="BR192" s="21">
        <v>1331</v>
      </c>
      <c r="BS192" s="21">
        <v>623</v>
      </c>
      <c r="BT192" s="21">
        <v>223</v>
      </c>
      <c r="BU192" s="42">
        <v>424</v>
      </c>
      <c r="BV192" s="21">
        <v>425</v>
      </c>
      <c r="BW192" s="21">
        <v>535</v>
      </c>
      <c r="BX192" s="21">
        <v>336</v>
      </c>
      <c r="BY192" s="21">
        <v>1782</v>
      </c>
      <c r="BZ192" s="21">
        <v>4154</v>
      </c>
      <c r="CA192" s="21">
        <v>271</v>
      </c>
      <c r="CB192" s="21">
        <v>191</v>
      </c>
      <c r="CC192" s="21">
        <v>1180</v>
      </c>
      <c r="CD192" s="21">
        <v>330</v>
      </c>
      <c r="CE192" s="21">
        <v>948</v>
      </c>
      <c r="CF192" s="21">
        <v>1032</v>
      </c>
      <c r="CG192" s="42">
        <v>527</v>
      </c>
      <c r="CH192" s="21">
        <v>1176</v>
      </c>
      <c r="CI192" s="21">
        <v>344</v>
      </c>
      <c r="CJ192" s="21">
        <v>447</v>
      </c>
      <c r="CK192" s="21">
        <v>1565</v>
      </c>
      <c r="CL192" s="21">
        <v>611</v>
      </c>
      <c r="CM192" s="21">
        <v>1859</v>
      </c>
      <c r="CN192" s="21">
        <v>258</v>
      </c>
      <c r="CO192" s="21">
        <v>371</v>
      </c>
      <c r="CP192" s="21">
        <f t="shared" si="278"/>
        <v>371</v>
      </c>
      <c r="CQ192" s="344">
        <f t="shared" si="279"/>
        <v>778</v>
      </c>
      <c r="CR192" s="87"/>
      <c r="CS192" s="86"/>
      <c r="CT192" s="85">
        <f t="shared" si="312"/>
        <v>2129</v>
      </c>
      <c r="CU192" s="85">
        <f t="shared" si="313"/>
        <v>3950</v>
      </c>
      <c r="CV192" s="85">
        <f t="shared" si="314"/>
        <v>3525</v>
      </c>
      <c r="CW192" s="85">
        <f t="shared" si="315"/>
        <v>4421</v>
      </c>
      <c r="CX192" s="85">
        <f t="shared" si="316"/>
        <v>2952</v>
      </c>
      <c r="CY192" s="86">
        <f t="shared" si="317"/>
        <v>2683</v>
      </c>
      <c r="CZ192" s="87">
        <f t="shared" si="318"/>
        <v>3446</v>
      </c>
      <c r="DA192" s="87">
        <f t="shared" si="319"/>
        <v>3869</v>
      </c>
      <c r="DB192" s="87">
        <f t="shared" si="320"/>
        <v>2204</v>
      </c>
      <c r="DC192" s="87">
        <f t="shared" si="321"/>
        <v>5172</v>
      </c>
      <c r="DD192" s="87">
        <f t="shared" si="322"/>
        <v>6807</v>
      </c>
      <c r="DE192" s="87">
        <f t="shared" si="323"/>
        <v>3901</v>
      </c>
      <c r="DF192" s="87">
        <f t="shared" si="324"/>
        <v>3575</v>
      </c>
      <c r="DG192" s="87">
        <f t="shared" si="325"/>
        <v>3288</v>
      </c>
      <c r="DH192" s="87">
        <f t="shared" si="326"/>
        <v>2771</v>
      </c>
      <c r="DI192" s="87">
        <f t="shared" si="327"/>
        <v>4705</v>
      </c>
      <c r="DJ192" s="87">
        <f t="shared" si="328"/>
        <v>4198</v>
      </c>
      <c r="DK192" s="86">
        <f t="shared" si="329"/>
        <v>2708</v>
      </c>
      <c r="DL192" s="87">
        <f t="shared" si="330"/>
        <v>5411</v>
      </c>
      <c r="DM192" s="87">
        <f t="shared" si="331"/>
        <v>3186</v>
      </c>
      <c r="DN192" s="87">
        <f t="shared" si="332"/>
        <v>2891</v>
      </c>
      <c r="DO192" s="87">
        <f t="shared" si="333"/>
        <v>5215</v>
      </c>
      <c r="DP192" s="87">
        <f t="shared" si="334"/>
        <v>3663</v>
      </c>
      <c r="DQ192" s="87">
        <f t="shared" si="335"/>
        <v>10183</v>
      </c>
      <c r="DR192" s="87">
        <f t="shared" si="340"/>
        <v>6761</v>
      </c>
      <c r="DS192" s="87">
        <f t="shared" si="341"/>
        <v>4517</v>
      </c>
      <c r="DT192" s="87">
        <f t="shared" si="336"/>
        <v>3977</v>
      </c>
      <c r="DU192" s="87">
        <f t="shared" si="337"/>
        <v>5206</v>
      </c>
      <c r="DV192" s="87">
        <f t="shared" si="338"/>
        <v>0</v>
      </c>
      <c r="DW192" s="86">
        <f t="shared" si="339"/>
        <v>0</v>
      </c>
    </row>
    <row r="193" spans="1:127">
      <c r="A193" s="22" t="s">
        <v>126</v>
      </c>
      <c r="B193" s="26">
        <v>6903148345023</v>
      </c>
      <c r="C193" s="22" t="s">
        <v>127</v>
      </c>
      <c r="D193" s="22" t="s">
        <v>20</v>
      </c>
      <c r="E193" s="22">
        <v>275383</v>
      </c>
      <c r="F193" s="80" t="s">
        <v>294</v>
      </c>
      <c r="G193" s="25">
        <v>100.74000000000001</v>
      </c>
      <c r="H193" s="85">
        <f t="shared" si="248"/>
        <v>0</v>
      </c>
      <c r="I193" s="85">
        <f t="shared" si="249"/>
        <v>0</v>
      </c>
      <c r="J193" s="85">
        <f t="shared" si="250"/>
        <v>0</v>
      </c>
      <c r="K193" s="85">
        <f t="shared" si="251"/>
        <v>0</v>
      </c>
      <c r="L193" s="85">
        <f t="shared" si="252"/>
        <v>0</v>
      </c>
      <c r="M193" s="86">
        <f t="shared" si="253"/>
        <v>0</v>
      </c>
      <c r="N193" s="87">
        <f t="shared" si="254"/>
        <v>0</v>
      </c>
      <c r="O193" s="87">
        <f t="shared" si="255"/>
        <v>0</v>
      </c>
      <c r="P193" s="87">
        <f t="shared" si="256"/>
        <v>0</v>
      </c>
      <c r="Q193" s="87">
        <f t="shared" si="257"/>
        <v>0</v>
      </c>
      <c r="R193" s="87">
        <f t="shared" si="258"/>
        <v>0</v>
      </c>
      <c r="S193" s="87">
        <f t="shared" si="259"/>
        <v>0</v>
      </c>
      <c r="T193" s="87">
        <f t="shared" si="260"/>
        <v>0</v>
      </c>
      <c r="U193" s="87">
        <f t="shared" si="261"/>
        <v>0</v>
      </c>
      <c r="V193" s="87">
        <f t="shared" si="262"/>
        <v>0</v>
      </c>
      <c r="W193" s="87">
        <f t="shared" si="263"/>
        <v>0</v>
      </c>
      <c r="X193" s="87">
        <f t="shared" si="264"/>
        <v>0</v>
      </c>
      <c r="Y193" s="86">
        <f t="shared" si="265"/>
        <v>0</v>
      </c>
      <c r="Z193" s="87">
        <f t="shared" si="266"/>
        <v>0</v>
      </c>
      <c r="AA193" s="87">
        <f t="shared" si="267"/>
        <v>0</v>
      </c>
      <c r="AB193" s="87">
        <f t="shared" si="268"/>
        <v>0</v>
      </c>
      <c r="AC193" s="87">
        <f t="shared" si="269"/>
        <v>503.70000000000005</v>
      </c>
      <c r="AD193" s="87">
        <f t="shared" si="270"/>
        <v>36467.880000000005</v>
      </c>
      <c r="AE193" s="87">
        <f t="shared" si="271"/>
        <v>384020.88000000006</v>
      </c>
      <c r="AF193" s="231">
        <f t="shared" si="272"/>
        <v>359541.06000000006</v>
      </c>
      <c r="AG193" s="87">
        <f t="shared" si="273"/>
        <v>116354.70000000001</v>
      </c>
      <c r="AH193" s="87">
        <f t="shared" si="308"/>
        <v>71323.920000000013</v>
      </c>
      <c r="AI193" s="87">
        <f t="shared" si="309"/>
        <v>89860.08</v>
      </c>
      <c r="AJ193" s="87">
        <f t="shared" si="310"/>
        <v>0</v>
      </c>
      <c r="AK193" s="86">
        <f t="shared" si="311"/>
        <v>0</v>
      </c>
      <c r="AL193" s="85">
        <v>0</v>
      </c>
      <c r="AM193" s="85">
        <v>0</v>
      </c>
      <c r="AN193" s="85">
        <v>0</v>
      </c>
      <c r="AO193" s="85">
        <v>0</v>
      </c>
      <c r="AP193" s="85">
        <v>0</v>
      </c>
      <c r="AQ193" s="86">
        <v>0</v>
      </c>
      <c r="AR193" s="87">
        <v>0</v>
      </c>
      <c r="AS193" s="87">
        <v>0</v>
      </c>
      <c r="AT193" s="87">
        <v>0</v>
      </c>
      <c r="AU193" s="87">
        <v>0</v>
      </c>
      <c r="AV193" s="87">
        <v>0</v>
      </c>
      <c r="AW193" s="87">
        <v>0</v>
      </c>
      <c r="AX193" s="87">
        <v>0</v>
      </c>
      <c r="AY193" s="87">
        <v>0</v>
      </c>
      <c r="AZ193" s="87">
        <v>0</v>
      </c>
      <c r="BA193" s="87">
        <v>0</v>
      </c>
      <c r="BB193" s="87">
        <v>0</v>
      </c>
      <c r="BC193" s="86">
        <v>0</v>
      </c>
      <c r="BD193" s="87">
        <v>0</v>
      </c>
      <c r="BE193" s="87">
        <v>0</v>
      </c>
      <c r="BF193" s="87">
        <v>0</v>
      </c>
      <c r="BG193" s="87">
        <v>0</v>
      </c>
      <c r="BH193" s="87">
        <v>292</v>
      </c>
      <c r="BI193" s="87">
        <v>3589</v>
      </c>
      <c r="BJ193" s="40">
        <v>3528</v>
      </c>
      <c r="BK193" s="40">
        <v>1104</v>
      </c>
      <c r="BL193" s="40">
        <v>657</v>
      </c>
      <c r="BM193" s="40">
        <v>843</v>
      </c>
      <c r="BN193" s="87"/>
      <c r="BO193" s="86"/>
      <c r="BP193" s="21">
        <v>0</v>
      </c>
      <c r="BQ193" s="21">
        <v>0</v>
      </c>
      <c r="BR193" s="21">
        <v>0</v>
      </c>
      <c r="BS193" s="21">
        <v>0</v>
      </c>
      <c r="BT193" s="21">
        <v>0</v>
      </c>
      <c r="BU193" s="42">
        <v>0</v>
      </c>
      <c r="BV193" s="21">
        <v>0</v>
      </c>
      <c r="BW193" s="21">
        <v>0</v>
      </c>
      <c r="BX193" s="21">
        <v>0</v>
      </c>
      <c r="BY193" s="21">
        <v>0</v>
      </c>
      <c r="BZ193" s="21">
        <v>0</v>
      </c>
      <c r="CA193" s="21">
        <v>0</v>
      </c>
      <c r="CB193" s="21">
        <v>0</v>
      </c>
      <c r="CC193" s="21">
        <v>0</v>
      </c>
      <c r="CD193" s="21">
        <v>0</v>
      </c>
      <c r="CE193" s="21">
        <v>0</v>
      </c>
      <c r="CF193" s="21">
        <v>0</v>
      </c>
      <c r="CG193" s="42">
        <v>0</v>
      </c>
      <c r="CH193" s="21">
        <v>0</v>
      </c>
      <c r="CI193" s="21">
        <v>0</v>
      </c>
      <c r="CJ193" s="21">
        <v>0</v>
      </c>
      <c r="CK193" s="21">
        <v>5</v>
      </c>
      <c r="CL193" s="21">
        <v>70</v>
      </c>
      <c r="CM193" s="21">
        <v>223</v>
      </c>
      <c r="CN193" s="21">
        <v>41</v>
      </c>
      <c r="CO193" s="21">
        <v>51</v>
      </c>
      <c r="CP193" s="21">
        <f t="shared" si="278"/>
        <v>51</v>
      </c>
      <c r="CQ193" s="344">
        <f t="shared" si="279"/>
        <v>49</v>
      </c>
      <c r="CR193" s="87"/>
      <c r="CS193" s="86"/>
      <c r="CT193" s="85">
        <f t="shared" si="312"/>
        <v>0</v>
      </c>
      <c r="CU193" s="85">
        <f t="shared" si="313"/>
        <v>0</v>
      </c>
      <c r="CV193" s="85">
        <f t="shared" si="314"/>
        <v>0</v>
      </c>
      <c r="CW193" s="85">
        <f t="shared" si="315"/>
        <v>0</v>
      </c>
      <c r="CX193" s="85">
        <f t="shared" si="316"/>
        <v>0</v>
      </c>
      <c r="CY193" s="86">
        <f t="shared" si="317"/>
        <v>0</v>
      </c>
      <c r="CZ193" s="87">
        <f t="shared" si="318"/>
        <v>0</v>
      </c>
      <c r="DA193" s="87">
        <f t="shared" si="319"/>
        <v>0</v>
      </c>
      <c r="DB193" s="87">
        <f t="shared" si="320"/>
        <v>0</v>
      </c>
      <c r="DC193" s="87">
        <f t="shared" si="321"/>
        <v>0</v>
      </c>
      <c r="DD193" s="87">
        <f t="shared" si="322"/>
        <v>0</v>
      </c>
      <c r="DE193" s="87">
        <f t="shared" si="323"/>
        <v>0</v>
      </c>
      <c r="DF193" s="87">
        <f t="shared" si="324"/>
        <v>0</v>
      </c>
      <c r="DG193" s="87">
        <f t="shared" si="325"/>
        <v>0</v>
      </c>
      <c r="DH193" s="87">
        <f t="shared" si="326"/>
        <v>0</v>
      </c>
      <c r="DI193" s="87">
        <f t="shared" si="327"/>
        <v>0</v>
      </c>
      <c r="DJ193" s="87">
        <f t="shared" si="328"/>
        <v>0</v>
      </c>
      <c r="DK193" s="86">
        <f t="shared" si="329"/>
        <v>0</v>
      </c>
      <c r="DL193" s="87">
        <f t="shared" si="330"/>
        <v>0</v>
      </c>
      <c r="DM193" s="87">
        <f t="shared" si="331"/>
        <v>0</v>
      </c>
      <c r="DN193" s="87">
        <f t="shared" si="332"/>
        <v>0</v>
      </c>
      <c r="DO193" s="87">
        <f t="shared" si="333"/>
        <v>5</v>
      </c>
      <c r="DP193" s="87">
        <f t="shared" si="334"/>
        <v>362</v>
      </c>
      <c r="DQ193" s="87">
        <f t="shared" si="335"/>
        <v>3812</v>
      </c>
      <c r="DR193" s="87">
        <f t="shared" si="340"/>
        <v>3569</v>
      </c>
      <c r="DS193" s="87">
        <f t="shared" si="341"/>
        <v>1155</v>
      </c>
      <c r="DT193" s="87">
        <f t="shared" si="336"/>
        <v>708</v>
      </c>
      <c r="DU193" s="87">
        <f t="shared" si="337"/>
        <v>892</v>
      </c>
      <c r="DV193" s="87">
        <f t="shared" si="338"/>
        <v>0</v>
      </c>
      <c r="DW193" s="86">
        <f t="shared" si="339"/>
        <v>0</v>
      </c>
    </row>
    <row r="194" spans="1:127">
      <c r="A194" s="22" t="s">
        <v>126</v>
      </c>
      <c r="B194" s="26">
        <v>6903148285015</v>
      </c>
      <c r="C194" s="22" t="s">
        <v>127</v>
      </c>
      <c r="D194" s="22" t="s">
        <v>20</v>
      </c>
      <c r="E194" s="22">
        <v>290690</v>
      </c>
      <c r="F194" s="80" t="s">
        <v>295</v>
      </c>
      <c r="G194" s="25">
        <v>100.74000000000001</v>
      </c>
      <c r="H194" s="85">
        <f t="shared" si="248"/>
        <v>167933.58000000002</v>
      </c>
      <c r="I194" s="85">
        <f t="shared" si="249"/>
        <v>268572.84000000003</v>
      </c>
      <c r="J194" s="85">
        <f t="shared" si="250"/>
        <v>271998</v>
      </c>
      <c r="K194" s="85">
        <f t="shared" si="251"/>
        <v>312495.48000000004</v>
      </c>
      <c r="L194" s="85">
        <f t="shared" si="252"/>
        <v>179619.42</v>
      </c>
      <c r="M194" s="86">
        <f t="shared" si="253"/>
        <v>165515.82</v>
      </c>
      <c r="N194" s="87">
        <f t="shared" si="254"/>
        <v>193924.50000000003</v>
      </c>
      <c r="O194" s="87">
        <f t="shared" si="255"/>
        <v>218706.54</v>
      </c>
      <c r="P194" s="87">
        <f t="shared" si="256"/>
        <v>143353.02000000002</v>
      </c>
      <c r="Q194" s="87">
        <f t="shared" si="257"/>
        <v>329117.58</v>
      </c>
      <c r="R194" s="87">
        <f t="shared" si="258"/>
        <v>367298.04000000004</v>
      </c>
      <c r="S194" s="87">
        <f t="shared" si="259"/>
        <v>240667.86000000002</v>
      </c>
      <c r="T194" s="87">
        <f t="shared" si="260"/>
        <v>206114.04</v>
      </c>
      <c r="U194" s="87">
        <f t="shared" si="261"/>
        <v>210748.08000000002</v>
      </c>
      <c r="V194" s="87">
        <f t="shared" si="262"/>
        <v>166120.26</v>
      </c>
      <c r="W194" s="87">
        <f t="shared" si="263"/>
        <v>292649.7</v>
      </c>
      <c r="X194" s="87">
        <f t="shared" si="264"/>
        <v>239559.72000000003</v>
      </c>
      <c r="Y194" s="86">
        <f t="shared" si="265"/>
        <v>150908.52000000002</v>
      </c>
      <c r="Z194" s="87">
        <f t="shared" si="266"/>
        <v>320050.98000000004</v>
      </c>
      <c r="AA194" s="87">
        <f t="shared" si="267"/>
        <v>182137.92</v>
      </c>
      <c r="AB194" s="87">
        <f t="shared" si="268"/>
        <v>163400.28000000003</v>
      </c>
      <c r="AC194" s="87">
        <f t="shared" si="269"/>
        <v>550745.58000000007</v>
      </c>
      <c r="AD194" s="87">
        <f t="shared" si="270"/>
        <v>387949.74000000005</v>
      </c>
      <c r="AE194" s="87">
        <f t="shared" si="271"/>
        <v>236638.26</v>
      </c>
      <c r="AF194" s="231">
        <f t="shared" si="272"/>
        <v>160781.04</v>
      </c>
      <c r="AG194" s="87">
        <f t="shared" si="273"/>
        <v>240567.12000000002</v>
      </c>
      <c r="AH194" s="87">
        <f t="shared" si="308"/>
        <v>204502.2</v>
      </c>
      <c r="AI194" s="87">
        <f t="shared" si="309"/>
        <v>291026.66666666669</v>
      </c>
      <c r="AJ194" s="87">
        <f t="shared" si="310"/>
        <v>0</v>
      </c>
      <c r="AK194" s="86">
        <f t="shared" si="311"/>
        <v>0</v>
      </c>
      <c r="AL194" s="85">
        <v>1504</v>
      </c>
      <c r="AM194" s="85">
        <v>2401</v>
      </c>
      <c r="AN194" s="85">
        <v>1409</v>
      </c>
      <c r="AO194" s="85">
        <v>2661</v>
      </c>
      <c r="AP194" s="85">
        <v>1601</v>
      </c>
      <c r="AQ194" s="86">
        <v>1320</v>
      </c>
      <c r="AR194" s="87">
        <v>1601</v>
      </c>
      <c r="AS194" s="87">
        <v>1840</v>
      </c>
      <c r="AT194" s="87">
        <v>1137</v>
      </c>
      <c r="AU194" s="87">
        <v>2136</v>
      </c>
      <c r="AV194" s="87">
        <v>1603</v>
      </c>
      <c r="AW194" s="87">
        <v>2207</v>
      </c>
      <c r="AX194" s="87">
        <v>1918</v>
      </c>
      <c r="AY194" s="87">
        <v>1315</v>
      </c>
      <c r="AZ194" s="87">
        <v>1413</v>
      </c>
      <c r="BA194" s="87">
        <v>2273</v>
      </c>
      <c r="BB194" s="87">
        <v>1774</v>
      </c>
      <c r="BC194" s="86">
        <v>1196</v>
      </c>
      <c r="BD194" s="87">
        <v>2414</v>
      </c>
      <c r="BE194" s="87">
        <v>1588</v>
      </c>
      <c r="BF194" s="87">
        <v>1326</v>
      </c>
      <c r="BG194" s="87">
        <v>2825</v>
      </c>
      <c r="BH194" s="87">
        <v>3545</v>
      </c>
      <c r="BI194" s="87">
        <v>1992</v>
      </c>
      <c r="BJ194" s="40">
        <v>1466</v>
      </c>
      <c r="BK194" s="40">
        <v>2176</v>
      </c>
      <c r="BL194" s="40">
        <v>1818</v>
      </c>
      <c r="BM194" s="40">
        <v>2318</v>
      </c>
      <c r="BN194" s="87"/>
      <c r="BO194" s="86"/>
      <c r="BP194" s="21">
        <v>163</v>
      </c>
      <c r="BQ194" s="21">
        <v>265</v>
      </c>
      <c r="BR194" s="21">
        <v>1291</v>
      </c>
      <c r="BS194" s="21">
        <v>441</v>
      </c>
      <c r="BT194" s="21">
        <v>182</v>
      </c>
      <c r="BU194" s="42">
        <v>323</v>
      </c>
      <c r="BV194" s="21">
        <v>324</v>
      </c>
      <c r="BW194" s="21">
        <v>331</v>
      </c>
      <c r="BX194" s="21">
        <v>286</v>
      </c>
      <c r="BY194" s="21">
        <v>1131</v>
      </c>
      <c r="BZ194" s="21">
        <v>2043</v>
      </c>
      <c r="CA194" s="21">
        <v>182</v>
      </c>
      <c r="CB194" s="21">
        <v>128</v>
      </c>
      <c r="CC194" s="21">
        <v>777</v>
      </c>
      <c r="CD194" s="21">
        <v>236</v>
      </c>
      <c r="CE194" s="21">
        <v>632</v>
      </c>
      <c r="CF194" s="21">
        <v>604</v>
      </c>
      <c r="CG194" s="42">
        <v>302</v>
      </c>
      <c r="CH194" s="21">
        <v>763</v>
      </c>
      <c r="CI194" s="21">
        <v>220</v>
      </c>
      <c r="CJ194" s="21">
        <v>296</v>
      </c>
      <c r="CK194" s="21">
        <v>2642</v>
      </c>
      <c r="CL194" s="21">
        <v>306</v>
      </c>
      <c r="CM194" s="21">
        <v>357</v>
      </c>
      <c r="CN194" s="21">
        <v>130</v>
      </c>
      <c r="CO194" s="21">
        <v>212</v>
      </c>
      <c r="CP194" s="21">
        <f t="shared" si="278"/>
        <v>212</v>
      </c>
      <c r="CQ194" s="344">
        <f t="shared" si="279"/>
        <v>570.88888888888891</v>
      </c>
      <c r="CR194" s="87"/>
      <c r="CS194" s="86"/>
      <c r="CT194" s="85">
        <f t="shared" si="312"/>
        <v>1667</v>
      </c>
      <c r="CU194" s="85">
        <f t="shared" si="313"/>
        <v>2666</v>
      </c>
      <c r="CV194" s="85">
        <f t="shared" si="314"/>
        <v>2700</v>
      </c>
      <c r="CW194" s="85">
        <f t="shared" si="315"/>
        <v>3102</v>
      </c>
      <c r="CX194" s="85">
        <f t="shared" si="316"/>
        <v>1783</v>
      </c>
      <c r="CY194" s="86">
        <f t="shared" si="317"/>
        <v>1643</v>
      </c>
      <c r="CZ194" s="87">
        <f t="shared" si="318"/>
        <v>1925</v>
      </c>
      <c r="DA194" s="87">
        <f t="shared" si="319"/>
        <v>2171</v>
      </c>
      <c r="DB194" s="87">
        <f t="shared" si="320"/>
        <v>1423</v>
      </c>
      <c r="DC194" s="87">
        <f t="shared" si="321"/>
        <v>3267</v>
      </c>
      <c r="DD194" s="87">
        <f t="shared" si="322"/>
        <v>3646</v>
      </c>
      <c r="DE194" s="87">
        <f t="shared" si="323"/>
        <v>2389</v>
      </c>
      <c r="DF194" s="87">
        <f t="shared" si="324"/>
        <v>2046</v>
      </c>
      <c r="DG194" s="87">
        <f t="shared" si="325"/>
        <v>2092</v>
      </c>
      <c r="DH194" s="87">
        <f t="shared" si="326"/>
        <v>1649</v>
      </c>
      <c r="DI194" s="87">
        <f t="shared" si="327"/>
        <v>2905</v>
      </c>
      <c r="DJ194" s="87">
        <f t="shared" si="328"/>
        <v>2378</v>
      </c>
      <c r="DK194" s="86">
        <f t="shared" si="329"/>
        <v>1498</v>
      </c>
      <c r="DL194" s="87">
        <f t="shared" si="330"/>
        <v>3177</v>
      </c>
      <c r="DM194" s="87">
        <f t="shared" si="331"/>
        <v>1808</v>
      </c>
      <c r="DN194" s="87">
        <f t="shared" si="332"/>
        <v>1622</v>
      </c>
      <c r="DO194" s="87">
        <f t="shared" si="333"/>
        <v>5467</v>
      </c>
      <c r="DP194" s="87">
        <f t="shared" si="334"/>
        <v>3851</v>
      </c>
      <c r="DQ194" s="87">
        <f t="shared" si="335"/>
        <v>2349</v>
      </c>
      <c r="DR194" s="87">
        <f t="shared" si="340"/>
        <v>1596</v>
      </c>
      <c r="DS194" s="87">
        <f t="shared" si="341"/>
        <v>2388</v>
      </c>
      <c r="DT194" s="87">
        <f t="shared" si="336"/>
        <v>2030</v>
      </c>
      <c r="DU194" s="87">
        <f t="shared" si="337"/>
        <v>2888.8888888888887</v>
      </c>
      <c r="DV194" s="87">
        <f t="shared" si="338"/>
        <v>0</v>
      </c>
      <c r="DW194" s="86">
        <f t="shared" si="339"/>
        <v>0</v>
      </c>
    </row>
    <row r="195" spans="1:127">
      <c r="A195" s="22" t="s">
        <v>126</v>
      </c>
      <c r="B195" s="26">
        <v>8001841269696</v>
      </c>
      <c r="C195" s="22" t="s">
        <v>127</v>
      </c>
      <c r="D195" s="22" t="s">
        <v>20</v>
      </c>
      <c r="E195" s="22">
        <v>353931</v>
      </c>
      <c r="F195" s="80" t="s">
        <v>296</v>
      </c>
      <c r="G195" s="25">
        <v>100.74000000000001</v>
      </c>
      <c r="H195" s="85">
        <f t="shared" ref="H195:H258" si="347">CT195*$G195</f>
        <v>30322.74</v>
      </c>
      <c r="I195" s="85">
        <f t="shared" ref="I195:I258" si="348">CU195*$G195</f>
        <v>68200.98000000001</v>
      </c>
      <c r="J195" s="85">
        <f t="shared" ref="J195:J258" si="349">CV195*$G195</f>
        <v>52183.320000000007</v>
      </c>
      <c r="K195" s="85">
        <f t="shared" ref="K195:K258" si="350">CW195*$G195</f>
        <v>55608.480000000003</v>
      </c>
      <c r="L195" s="85">
        <f t="shared" ref="L195:L258" si="351">CX195*$G195</f>
        <v>44426.340000000004</v>
      </c>
      <c r="M195" s="86">
        <f t="shared" ref="M195:M258" si="352">CY195*$G195</f>
        <v>48657.420000000006</v>
      </c>
      <c r="N195" s="87">
        <f t="shared" ref="N195:N258" si="353">CZ195*$G195</f>
        <v>57522.540000000008</v>
      </c>
      <c r="O195" s="87">
        <f t="shared" ref="O195:O258" si="354">DA195*$G195</f>
        <v>64372.860000000008</v>
      </c>
      <c r="P195" s="87">
        <f t="shared" ref="P195:P258" si="355">DB195*$G195</f>
        <v>40698.960000000006</v>
      </c>
      <c r="Q195" s="87">
        <f t="shared" ref="Q195:Q258" si="356">DC195*$G195</f>
        <v>92076.360000000015</v>
      </c>
      <c r="R195" s="87">
        <f t="shared" ref="R195:R258" si="357">DD195*$G195</f>
        <v>27401.280000000002</v>
      </c>
      <c r="S195" s="87">
        <f t="shared" ref="S195:S258" si="358">DE195*$G195</f>
        <v>18838.38</v>
      </c>
      <c r="T195" s="87">
        <f t="shared" ref="T195:T258" si="359">DF195*$G195</f>
        <v>14607.300000000001</v>
      </c>
      <c r="U195" s="87">
        <f t="shared" ref="U195:U258" si="360">DG195*$G195</f>
        <v>6850.3200000000006</v>
      </c>
      <c r="V195" s="87">
        <f t="shared" ref="V195:V258" si="361">DH195*$G195</f>
        <v>75857.22</v>
      </c>
      <c r="W195" s="87">
        <f t="shared" ref="W195:W258" si="362">DI195*$G195</f>
        <v>71827.62000000001</v>
      </c>
      <c r="X195" s="87">
        <f t="shared" ref="X195:X258" si="363">DJ195*$G195</f>
        <v>18334.68</v>
      </c>
      <c r="Y195" s="86">
        <f t="shared" ref="Y195:Y258" si="364">DK195*$G195</f>
        <v>3928.8600000000006</v>
      </c>
      <c r="Z195" s="87">
        <f t="shared" ref="Z195:Z258" si="365">DL195*$G195</f>
        <v>0</v>
      </c>
      <c r="AA195" s="87">
        <f t="shared" ref="AA195:AA258" si="366">DM195*$G195</f>
        <v>0</v>
      </c>
      <c r="AB195" s="87">
        <f t="shared" ref="AB195:AB258" si="367">DN195*$G195</f>
        <v>0</v>
      </c>
      <c r="AC195" s="87">
        <f t="shared" ref="AC195:AC258" si="368">DO195*$G195</f>
        <v>302.22000000000003</v>
      </c>
      <c r="AD195" s="87">
        <f t="shared" ref="AD195:AD258" si="369">DP195*$G195</f>
        <v>0</v>
      </c>
      <c r="AE195" s="87">
        <f t="shared" ref="AE195:AE258" si="370">DQ195*$G195</f>
        <v>0</v>
      </c>
      <c r="AF195" s="231">
        <f t="shared" ref="AF195:AF258" si="371">DR195*$G195</f>
        <v>0</v>
      </c>
      <c r="AG195" s="87">
        <f t="shared" ref="AG195:AG258" si="372">DS195*$G195</f>
        <v>0</v>
      </c>
      <c r="AH195" s="87">
        <f t="shared" si="308"/>
        <v>0</v>
      </c>
      <c r="AI195" s="87">
        <f t="shared" si="309"/>
        <v>0</v>
      </c>
      <c r="AJ195" s="87">
        <f t="shared" si="310"/>
        <v>0</v>
      </c>
      <c r="AK195" s="86">
        <f t="shared" si="311"/>
        <v>0</v>
      </c>
      <c r="AL195" s="85">
        <v>234</v>
      </c>
      <c r="AM195" s="85">
        <v>555</v>
      </c>
      <c r="AN195" s="85">
        <v>312</v>
      </c>
      <c r="AO195" s="85">
        <v>354</v>
      </c>
      <c r="AP195" s="85">
        <v>349</v>
      </c>
      <c r="AQ195" s="86">
        <v>333</v>
      </c>
      <c r="AR195" s="87">
        <v>451</v>
      </c>
      <c r="AS195" s="87">
        <v>470</v>
      </c>
      <c r="AT195" s="87">
        <v>235</v>
      </c>
      <c r="AU195" s="87">
        <v>534</v>
      </c>
      <c r="AV195" s="87">
        <v>264</v>
      </c>
      <c r="AW195" s="87">
        <v>187</v>
      </c>
      <c r="AX195" s="87">
        <v>145</v>
      </c>
      <c r="AY195" s="87">
        <v>68</v>
      </c>
      <c r="AZ195" s="87">
        <v>753</v>
      </c>
      <c r="BA195" s="87">
        <v>713</v>
      </c>
      <c r="BB195" s="87">
        <v>182</v>
      </c>
      <c r="BC195" s="86">
        <v>39</v>
      </c>
      <c r="BD195" s="87">
        <v>0</v>
      </c>
      <c r="BE195" s="87">
        <v>0</v>
      </c>
      <c r="BF195" s="87">
        <v>0</v>
      </c>
      <c r="BG195" s="87">
        <v>3</v>
      </c>
      <c r="BH195" s="87">
        <v>0</v>
      </c>
      <c r="BI195" s="87">
        <v>0</v>
      </c>
      <c r="BJ195" s="40">
        <v>0</v>
      </c>
      <c r="BK195" s="40">
        <v>0</v>
      </c>
      <c r="BL195" s="40">
        <v>0</v>
      </c>
      <c r="BM195" s="40">
        <v>0</v>
      </c>
      <c r="BN195" s="87"/>
      <c r="BO195" s="86"/>
      <c r="BP195" s="21">
        <v>67</v>
      </c>
      <c r="BQ195" s="21">
        <v>122</v>
      </c>
      <c r="BR195" s="21">
        <v>206</v>
      </c>
      <c r="BS195" s="21">
        <v>198</v>
      </c>
      <c r="BT195" s="21">
        <v>92</v>
      </c>
      <c r="BU195" s="42">
        <v>150</v>
      </c>
      <c r="BV195" s="21">
        <v>120</v>
      </c>
      <c r="BW195" s="21">
        <v>169</v>
      </c>
      <c r="BX195" s="21">
        <v>169</v>
      </c>
      <c r="BY195" s="21">
        <v>380</v>
      </c>
      <c r="BZ195" s="21">
        <v>8</v>
      </c>
      <c r="CA195" s="21">
        <v>0</v>
      </c>
      <c r="CB195" s="21">
        <v>0</v>
      </c>
      <c r="CC195" s="21">
        <v>0</v>
      </c>
      <c r="CD195" s="21">
        <v>0</v>
      </c>
      <c r="CE195" s="21">
        <v>0</v>
      </c>
      <c r="CF195" s="21">
        <v>0</v>
      </c>
      <c r="CG195" s="42">
        <v>0</v>
      </c>
      <c r="CH195" s="21">
        <v>0</v>
      </c>
      <c r="CI195" s="21">
        <v>0</v>
      </c>
      <c r="CJ195" s="21">
        <v>0</v>
      </c>
      <c r="CK195" s="21">
        <v>0</v>
      </c>
      <c r="CL195" s="21">
        <v>0</v>
      </c>
      <c r="CM195" s="21">
        <v>0</v>
      </c>
      <c r="CN195" s="21">
        <v>0</v>
      </c>
      <c r="CO195" s="21">
        <v>0</v>
      </c>
      <c r="CP195" s="21">
        <f t="shared" si="278"/>
        <v>0</v>
      </c>
      <c r="CQ195" s="344">
        <f t="shared" si="279"/>
        <v>0</v>
      </c>
      <c r="CR195" s="87"/>
      <c r="CS195" s="86"/>
      <c r="CT195" s="85">
        <f t="shared" si="312"/>
        <v>301</v>
      </c>
      <c r="CU195" s="85">
        <f t="shared" si="313"/>
        <v>677</v>
      </c>
      <c r="CV195" s="85">
        <f t="shared" si="314"/>
        <v>518</v>
      </c>
      <c r="CW195" s="85">
        <f t="shared" si="315"/>
        <v>552</v>
      </c>
      <c r="CX195" s="85">
        <f t="shared" si="316"/>
        <v>441</v>
      </c>
      <c r="CY195" s="86">
        <f t="shared" si="317"/>
        <v>483</v>
      </c>
      <c r="CZ195" s="87">
        <f t="shared" si="318"/>
        <v>571</v>
      </c>
      <c r="DA195" s="87">
        <f t="shared" si="319"/>
        <v>639</v>
      </c>
      <c r="DB195" s="87">
        <f t="shared" si="320"/>
        <v>404</v>
      </c>
      <c r="DC195" s="87">
        <f t="shared" si="321"/>
        <v>914</v>
      </c>
      <c r="DD195" s="87">
        <f t="shared" si="322"/>
        <v>272</v>
      </c>
      <c r="DE195" s="87">
        <f t="shared" si="323"/>
        <v>187</v>
      </c>
      <c r="DF195" s="87">
        <f t="shared" si="324"/>
        <v>145</v>
      </c>
      <c r="DG195" s="87">
        <f t="shared" si="325"/>
        <v>68</v>
      </c>
      <c r="DH195" s="87">
        <f t="shared" si="326"/>
        <v>753</v>
      </c>
      <c r="DI195" s="87">
        <f t="shared" si="327"/>
        <v>713</v>
      </c>
      <c r="DJ195" s="87">
        <f t="shared" si="328"/>
        <v>182</v>
      </c>
      <c r="DK195" s="86">
        <f t="shared" si="329"/>
        <v>39</v>
      </c>
      <c r="DL195" s="87">
        <f t="shared" si="330"/>
        <v>0</v>
      </c>
      <c r="DM195" s="87">
        <f t="shared" si="331"/>
        <v>0</v>
      </c>
      <c r="DN195" s="87">
        <f t="shared" si="332"/>
        <v>0</v>
      </c>
      <c r="DO195" s="87">
        <f t="shared" si="333"/>
        <v>3</v>
      </c>
      <c r="DP195" s="87">
        <f t="shared" si="334"/>
        <v>0</v>
      </c>
      <c r="DQ195" s="87">
        <f t="shared" si="335"/>
        <v>0</v>
      </c>
      <c r="DR195" s="87">
        <f t="shared" si="340"/>
        <v>0</v>
      </c>
      <c r="DS195" s="87">
        <f t="shared" si="341"/>
        <v>0</v>
      </c>
      <c r="DT195" s="87">
        <f t="shared" si="336"/>
        <v>0</v>
      </c>
      <c r="DU195" s="87">
        <f t="shared" si="337"/>
        <v>0</v>
      </c>
      <c r="DV195" s="87">
        <f t="shared" si="338"/>
        <v>0</v>
      </c>
      <c r="DW195" s="86">
        <f t="shared" si="339"/>
        <v>0</v>
      </c>
    </row>
    <row r="196" spans="1:127">
      <c r="A196" s="22" t="s">
        <v>126</v>
      </c>
      <c r="B196" s="26">
        <v>8001841269672</v>
      </c>
      <c r="C196" s="22" t="s">
        <v>127</v>
      </c>
      <c r="D196" s="22" t="s">
        <v>20</v>
      </c>
      <c r="E196" s="22">
        <v>353957</v>
      </c>
      <c r="F196" s="80" t="s">
        <v>297</v>
      </c>
      <c r="G196" s="25">
        <v>100.74000000000001</v>
      </c>
      <c r="H196" s="85">
        <f t="shared" si="347"/>
        <v>28710.9</v>
      </c>
      <c r="I196" s="85">
        <f t="shared" si="348"/>
        <v>69309.12000000001</v>
      </c>
      <c r="J196" s="85">
        <f t="shared" si="349"/>
        <v>49664.820000000007</v>
      </c>
      <c r="K196" s="85">
        <f t="shared" si="350"/>
        <v>57220.320000000007</v>
      </c>
      <c r="L196" s="85">
        <f t="shared" si="351"/>
        <v>47952.240000000005</v>
      </c>
      <c r="M196" s="86">
        <f t="shared" si="352"/>
        <v>45836.700000000004</v>
      </c>
      <c r="N196" s="87">
        <f t="shared" si="353"/>
        <v>60544.740000000005</v>
      </c>
      <c r="O196" s="87">
        <f t="shared" si="354"/>
        <v>65178.780000000006</v>
      </c>
      <c r="P196" s="87">
        <f t="shared" si="355"/>
        <v>34553.82</v>
      </c>
      <c r="Q196" s="87">
        <f t="shared" si="356"/>
        <v>94997.82</v>
      </c>
      <c r="R196" s="87">
        <f t="shared" si="357"/>
        <v>66790.62000000001</v>
      </c>
      <c r="S196" s="87">
        <f t="shared" si="358"/>
        <v>52687.020000000004</v>
      </c>
      <c r="T196" s="87">
        <f t="shared" si="359"/>
        <v>34654.560000000005</v>
      </c>
      <c r="U196" s="87">
        <f t="shared" si="360"/>
        <v>11988.060000000001</v>
      </c>
      <c r="V196" s="87">
        <f t="shared" si="361"/>
        <v>82103.100000000006</v>
      </c>
      <c r="W196" s="87">
        <f t="shared" si="362"/>
        <v>89557.860000000015</v>
      </c>
      <c r="X196" s="87">
        <f t="shared" si="363"/>
        <v>21961.320000000003</v>
      </c>
      <c r="Y196" s="86">
        <f t="shared" si="364"/>
        <v>5238.4800000000005</v>
      </c>
      <c r="Z196" s="87">
        <f t="shared" si="365"/>
        <v>402.96000000000004</v>
      </c>
      <c r="AA196" s="87">
        <f t="shared" si="366"/>
        <v>100.74000000000001</v>
      </c>
      <c r="AB196" s="87">
        <f t="shared" si="367"/>
        <v>0</v>
      </c>
      <c r="AC196" s="87">
        <f t="shared" si="368"/>
        <v>0</v>
      </c>
      <c r="AD196" s="87">
        <f t="shared" si="369"/>
        <v>100.74000000000001</v>
      </c>
      <c r="AE196" s="87">
        <f t="shared" si="370"/>
        <v>302.22000000000003</v>
      </c>
      <c r="AF196" s="231">
        <f t="shared" si="371"/>
        <v>0</v>
      </c>
      <c r="AG196" s="87">
        <f t="shared" si="372"/>
        <v>100.74000000000001</v>
      </c>
      <c r="AH196" s="87">
        <f t="shared" si="308"/>
        <v>0</v>
      </c>
      <c r="AI196" s="87">
        <f t="shared" si="309"/>
        <v>0</v>
      </c>
      <c r="AJ196" s="87">
        <f t="shared" si="310"/>
        <v>0</v>
      </c>
      <c r="AK196" s="86">
        <f t="shared" si="311"/>
        <v>0</v>
      </c>
      <c r="AL196" s="85">
        <v>203</v>
      </c>
      <c r="AM196" s="85">
        <v>578</v>
      </c>
      <c r="AN196" s="85">
        <v>356</v>
      </c>
      <c r="AO196" s="85">
        <v>428</v>
      </c>
      <c r="AP196" s="85">
        <v>418</v>
      </c>
      <c r="AQ196" s="86">
        <v>332</v>
      </c>
      <c r="AR196" s="87">
        <v>488</v>
      </c>
      <c r="AS196" s="87">
        <v>541</v>
      </c>
      <c r="AT196" s="87">
        <v>254</v>
      </c>
      <c r="AU196" s="87">
        <v>618</v>
      </c>
      <c r="AV196" s="87">
        <v>496</v>
      </c>
      <c r="AW196" s="87">
        <v>511</v>
      </c>
      <c r="AX196" s="87">
        <v>343</v>
      </c>
      <c r="AY196" s="87">
        <v>119</v>
      </c>
      <c r="AZ196" s="87">
        <v>815</v>
      </c>
      <c r="BA196" s="87">
        <v>889</v>
      </c>
      <c r="BB196" s="87">
        <v>218</v>
      </c>
      <c r="BC196" s="86">
        <v>52</v>
      </c>
      <c r="BD196" s="87">
        <v>4</v>
      </c>
      <c r="BE196" s="87">
        <v>1</v>
      </c>
      <c r="BF196" s="87">
        <v>0</v>
      </c>
      <c r="BG196" s="87">
        <v>0</v>
      </c>
      <c r="BH196" s="87">
        <v>1</v>
      </c>
      <c r="BI196" s="87">
        <v>3</v>
      </c>
      <c r="BJ196" s="40">
        <v>0</v>
      </c>
      <c r="BK196" s="40">
        <v>1</v>
      </c>
      <c r="BL196" s="40">
        <v>0</v>
      </c>
      <c r="BM196" s="40">
        <v>0</v>
      </c>
      <c r="BN196" s="87"/>
      <c r="BO196" s="86"/>
      <c r="BP196" s="21">
        <v>82</v>
      </c>
      <c r="BQ196" s="21">
        <v>110</v>
      </c>
      <c r="BR196" s="21">
        <v>137</v>
      </c>
      <c r="BS196" s="21">
        <v>140</v>
      </c>
      <c r="BT196" s="21">
        <v>58</v>
      </c>
      <c r="BU196" s="42">
        <v>123</v>
      </c>
      <c r="BV196" s="21">
        <v>113</v>
      </c>
      <c r="BW196" s="21">
        <v>106</v>
      </c>
      <c r="BX196" s="21">
        <v>89</v>
      </c>
      <c r="BY196" s="21">
        <v>325</v>
      </c>
      <c r="BZ196" s="21">
        <v>167</v>
      </c>
      <c r="CA196" s="21">
        <v>12</v>
      </c>
      <c r="CB196" s="21">
        <v>1</v>
      </c>
      <c r="CC196" s="21">
        <v>0</v>
      </c>
      <c r="CD196" s="21">
        <v>0</v>
      </c>
      <c r="CE196" s="21">
        <v>0</v>
      </c>
      <c r="CF196" s="21">
        <v>0</v>
      </c>
      <c r="CG196" s="42">
        <v>0</v>
      </c>
      <c r="CH196" s="21">
        <v>0</v>
      </c>
      <c r="CI196" s="21">
        <v>0</v>
      </c>
      <c r="CJ196" s="21">
        <v>0</v>
      </c>
      <c r="CK196" s="21">
        <v>0</v>
      </c>
      <c r="CL196" s="21">
        <v>0</v>
      </c>
      <c r="CM196" s="21">
        <v>0</v>
      </c>
      <c r="CN196" s="21">
        <v>0</v>
      </c>
      <c r="CO196" s="21">
        <v>0</v>
      </c>
      <c r="CP196" s="21">
        <f t="shared" si="278"/>
        <v>0</v>
      </c>
      <c r="CQ196" s="344">
        <f t="shared" si="279"/>
        <v>0</v>
      </c>
      <c r="CR196" s="87"/>
      <c r="CS196" s="86"/>
      <c r="CT196" s="85">
        <f t="shared" si="312"/>
        <v>285</v>
      </c>
      <c r="CU196" s="85">
        <f t="shared" si="313"/>
        <v>688</v>
      </c>
      <c r="CV196" s="85">
        <f t="shared" si="314"/>
        <v>493</v>
      </c>
      <c r="CW196" s="85">
        <f t="shared" si="315"/>
        <v>568</v>
      </c>
      <c r="CX196" s="85">
        <f t="shared" si="316"/>
        <v>476</v>
      </c>
      <c r="CY196" s="86">
        <f t="shared" si="317"/>
        <v>455</v>
      </c>
      <c r="CZ196" s="87">
        <f t="shared" si="318"/>
        <v>601</v>
      </c>
      <c r="DA196" s="87">
        <f t="shared" si="319"/>
        <v>647</v>
      </c>
      <c r="DB196" s="87">
        <f t="shared" si="320"/>
        <v>343</v>
      </c>
      <c r="DC196" s="87">
        <f t="shared" si="321"/>
        <v>943</v>
      </c>
      <c r="DD196" s="87">
        <f t="shared" si="322"/>
        <v>663</v>
      </c>
      <c r="DE196" s="87">
        <f t="shared" si="323"/>
        <v>523</v>
      </c>
      <c r="DF196" s="87">
        <f t="shared" si="324"/>
        <v>344</v>
      </c>
      <c r="DG196" s="87">
        <f t="shared" si="325"/>
        <v>119</v>
      </c>
      <c r="DH196" s="87">
        <f t="shared" si="326"/>
        <v>815</v>
      </c>
      <c r="DI196" s="87">
        <f t="shared" si="327"/>
        <v>889</v>
      </c>
      <c r="DJ196" s="87">
        <f t="shared" si="328"/>
        <v>218</v>
      </c>
      <c r="DK196" s="86">
        <f t="shared" si="329"/>
        <v>52</v>
      </c>
      <c r="DL196" s="87">
        <f t="shared" si="330"/>
        <v>4</v>
      </c>
      <c r="DM196" s="87">
        <f t="shared" si="331"/>
        <v>1</v>
      </c>
      <c r="DN196" s="87">
        <f t="shared" si="332"/>
        <v>0</v>
      </c>
      <c r="DO196" s="87">
        <f t="shared" si="333"/>
        <v>0</v>
      </c>
      <c r="DP196" s="87">
        <f t="shared" si="334"/>
        <v>1</v>
      </c>
      <c r="DQ196" s="87">
        <f t="shared" si="335"/>
        <v>3</v>
      </c>
      <c r="DR196" s="87">
        <f t="shared" si="340"/>
        <v>0</v>
      </c>
      <c r="DS196" s="87">
        <f t="shared" si="341"/>
        <v>1</v>
      </c>
      <c r="DT196" s="87">
        <f t="shared" si="336"/>
        <v>0</v>
      </c>
      <c r="DU196" s="87">
        <f t="shared" si="337"/>
        <v>0</v>
      </c>
      <c r="DV196" s="87">
        <f t="shared" si="338"/>
        <v>0</v>
      </c>
      <c r="DW196" s="86">
        <f t="shared" si="339"/>
        <v>0</v>
      </c>
    </row>
    <row r="197" spans="1:127">
      <c r="A197" s="22" t="s">
        <v>126</v>
      </c>
      <c r="B197" s="26">
        <v>4902430836982</v>
      </c>
      <c r="C197" s="22" t="s">
        <v>127</v>
      </c>
      <c r="D197" s="22" t="s">
        <v>47</v>
      </c>
      <c r="E197" s="22">
        <v>100337</v>
      </c>
      <c r="F197" s="80" t="s">
        <v>298</v>
      </c>
      <c r="G197" s="25">
        <v>105.89999999999999</v>
      </c>
      <c r="H197" s="85">
        <f t="shared" si="347"/>
        <v>69788.099999999991</v>
      </c>
      <c r="I197" s="85">
        <f t="shared" si="348"/>
        <v>143176.79999999999</v>
      </c>
      <c r="J197" s="85">
        <f t="shared" si="349"/>
        <v>177700.19999999998</v>
      </c>
      <c r="K197" s="85">
        <f t="shared" si="350"/>
        <v>67352.399999999994</v>
      </c>
      <c r="L197" s="85">
        <f t="shared" si="351"/>
        <v>69576.299999999988</v>
      </c>
      <c r="M197" s="86">
        <f t="shared" si="352"/>
        <v>60680.7</v>
      </c>
      <c r="N197" s="87">
        <f t="shared" si="353"/>
        <v>71588.399999999994</v>
      </c>
      <c r="O197" s="87">
        <f t="shared" si="354"/>
        <v>94250.999999999985</v>
      </c>
      <c r="P197" s="87">
        <f t="shared" si="355"/>
        <v>76459.799999999988</v>
      </c>
      <c r="Q197" s="87">
        <f t="shared" si="356"/>
        <v>81331.199999999997</v>
      </c>
      <c r="R197" s="87">
        <f t="shared" si="357"/>
        <v>150589.79999999999</v>
      </c>
      <c r="S197" s="87">
        <f t="shared" si="358"/>
        <v>94886.399999999994</v>
      </c>
      <c r="T197" s="87">
        <f t="shared" si="359"/>
        <v>144235.79999999999</v>
      </c>
      <c r="U197" s="87">
        <f t="shared" si="360"/>
        <v>126656.4</v>
      </c>
      <c r="V197" s="87">
        <f t="shared" si="361"/>
        <v>87791.099999999991</v>
      </c>
      <c r="W197" s="87">
        <f t="shared" si="362"/>
        <v>79319.099999999991</v>
      </c>
      <c r="X197" s="87">
        <f t="shared" si="363"/>
        <v>815747.7</v>
      </c>
      <c r="Y197" s="86">
        <f t="shared" si="364"/>
        <v>660392.39999999991</v>
      </c>
      <c r="Z197" s="87">
        <f t="shared" si="365"/>
        <v>191255.4</v>
      </c>
      <c r="AA197" s="87">
        <f t="shared" si="366"/>
        <v>111406.79999999999</v>
      </c>
      <c r="AB197" s="87">
        <f t="shared" si="367"/>
        <v>91073.999999999985</v>
      </c>
      <c r="AC197" s="87">
        <f t="shared" si="368"/>
        <v>105582.29999999999</v>
      </c>
      <c r="AD197" s="87">
        <f t="shared" si="369"/>
        <v>84720</v>
      </c>
      <c r="AE197" s="87">
        <f t="shared" si="370"/>
        <v>97851.599999999991</v>
      </c>
      <c r="AF197" s="231">
        <f t="shared" si="371"/>
        <v>82496.099999999991</v>
      </c>
      <c r="AG197" s="87">
        <f t="shared" si="372"/>
        <v>147942.29999999999</v>
      </c>
      <c r="AH197" s="87">
        <f t="shared" ref="AH197:AH228" si="373">DT197*$G197</f>
        <v>100816.79999999999</v>
      </c>
      <c r="AI197" s="87">
        <f t="shared" ref="AI197:AI228" si="374">DU197*$G197</f>
        <v>96639.633333333331</v>
      </c>
      <c r="AJ197" s="87">
        <f t="shared" ref="AJ197:AJ228" si="375">DV197*$G197</f>
        <v>0</v>
      </c>
      <c r="AK197" s="86">
        <f t="shared" ref="AK197:AK228" si="376">DW197*$G197</f>
        <v>0</v>
      </c>
      <c r="AL197" s="85">
        <v>547</v>
      </c>
      <c r="AM197" s="85">
        <v>1191</v>
      </c>
      <c r="AN197" s="85">
        <v>521</v>
      </c>
      <c r="AO197" s="85">
        <v>573</v>
      </c>
      <c r="AP197" s="85">
        <v>579</v>
      </c>
      <c r="AQ197" s="86">
        <v>452</v>
      </c>
      <c r="AR197" s="87">
        <v>598</v>
      </c>
      <c r="AS197" s="87">
        <v>799</v>
      </c>
      <c r="AT197" s="87">
        <v>607</v>
      </c>
      <c r="AU197" s="87">
        <v>654</v>
      </c>
      <c r="AV197" s="87">
        <v>866</v>
      </c>
      <c r="AW197" s="87">
        <v>833</v>
      </c>
      <c r="AX197" s="87">
        <v>1204</v>
      </c>
      <c r="AY197" s="87">
        <v>887</v>
      </c>
      <c r="AZ197" s="87">
        <v>735</v>
      </c>
      <c r="BA197" s="87">
        <v>667</v>
      </c>
      <c r="BB197" s="87">
        <v>6392</v>
      </c>
      <c r="BC197" s="86">
        <v>6193</v>
      </c>
      <c r="BD197" s="87">
        <v>1451</v>
      </c>
      <c r="BE197" s="87">
        <v>917</v>
      </c>
      <c r="BF197" s="87">
        <v>758</v>
      </c>
      <c r="BG197" s="87">
        <v>850</v>
      </c>
      <c r="BH197" s="87">
        <v>685</v>
      </c>
      <c r="BI197" s="87">
        <v>878</v>
      </c>
      <c r="BJ197" s="40">
        <v>692</v>
      </c>
      <c r="BK197" s="40">
        <v>1303</v>
      </c>
      <c r="BL197" s="40">
        <v>858</v>
      </c>
      <c r="BM197" s="40">
        <v>782</v>
      </c>
      <c r="BN197" s="87"/>
      <c r="BO197" s="86"/>
      <c r="BP197" s="21">
        <v>112</v>
      </c>
      <c r="BQ197" s="21">
        <v>161</v>
      </c>
      <c r="BR197" s="21">
        <v>1157</v>
      </c>
      <c r="BS197" s="21">
        <v>63</v>
      </c>
      <c r="BT197" s="21">
        <v>78</v>
      </c>
      <c r="BU197" s="42">
        <v>121</v>
      </c>
      <c r="BV197" s="21">
        <v>78</v>
      </c>
      <c r="BW197" s="21">
        <v>91</v>
      </c>
      <c r="BX197" s="21">
        <v>115</v>
      </c>
      <c r="BY197" s="21">
        <v>114</v>
      </c>
      <c r="BZ197" s="21">
        <v>556</v>
      </c>
      <c r="CA197" s="21">
        <v>63</v>
      </c>
      <c r="CB197" s="21">
        <v>158</v>
      </c>
      <c r="CC197" s="21">
        <v>309</v>
      </c>
      <c r="CD197" s="21">
        <v>94</v>
      </c>
      <c r="CE197" s="21">
        <v>82</v>
      </c>
      <c r="CF197" s="21">
        <v>1311</v>
      </c>
      <c r="CG197" s="42">
        <v>43</v>
      </c>
      <c r="CH197" s="21">
        <v>355</v>
      </c>
      <c r="CI197" s="21">
        <v>135</v>
      </c>
      <c r="CJ197" s="21">
        <v>102</v>
      </c>
      <c r="CK197" s="21">
        <v>147</v>
      </c>
      <c r="CL197" s="21">
        <v>115</v>
      </c>
      <c r="CM197" s="21">
        <v>46</v>
      </c>
      <c r="CN197" s="21">
        <v>87</v>
      </c>
      <c r="CO197" s="21">
        <v>94</v>
      </c>
      <c r="CP197" s="21">
        <f t="shared" ref="CP197:CP260" si="377">CO197</f>
        <v>94</v>
      </c>
      <c r="CQ197" s="344">
        <f t="shared" ref="CQ197:CQ260" si="378">AVERAGE(CH197:CP197)</f>
        <v>130.55555555555554</v>
      </c>
      <c r="CR197" s="87"/>
      <c r="CS197" s="86"/>
      <c r="CT197" s="85">
        <f t="shared" ref="CT197:CT228" si="379">AL197+BP197</f>
        <v>659</v>
      </c>
      <c r="CU197" s="85">
        <f t="shared" ref="CU197:CU228" si="380">AM197+BQ197</f>
        <v>1352</v>
      </c>
      <c r="CV197" s="85">
        <f t="shared" ref="CV197:CV228" si="381">AN197+BR197</f>
        <v>1678</v>
      </c>
      <c r="CW197" s="85">
        <f t="shared" ref="CW197:CW228" si="382">AO197+BS197</f>
        <v>636</v>
      </c>
      <c r="CX197" s="85">
        <f t="shared" ref="CX197:CX228" si="383">AP197+BT197</f>
        <v>657</v>
      </c>
      <c r="CY197" s="86">
        <f t="shared" ref="CY197:CY228" si="384">AQ197+BU197</f>
        <v>573</v>
      </c>
      <c r="CZ197" s="87">
        <f t="shared" ref="CZ197:CZ228" si="385">AR197+BV197</f>
        <v>676</v>
      </c>
      <c r="DA197" s="87">
        <f t="shared" ref="DA197:DA228" si="386">AS197+BW197</f>
        <v>890</v>
      </c>
      <c r="DB197" s="87">
        <f t="shared" ref="DB197:DB228" si="387">AT197+BX197</f>
        <v>722</v>
      </c>
      <c r="DC197" s="87">
        <f t="shared" ref="DC197:DC228" si="388">AU197+BY197</f>
        <v>768</v>
      </c>
      <c r="DD197" s="87">
        <f t="shared" ref="DD197:DD228" si="389">AV197+BZ197</f>
        <v>1422</v>
      </c>
      <c r="DE197" s="87">
        <f t="shared" ref="DE197:DE228" si="390">AW197+CA197</f>
        <v>896</v>
      </c>
      <c r="DF197" s="87">
        <f t="shared" ref="DF197:DF228" si="391">AX197+CB197</f>
        <v>1362</v>
      </c>
      <c r="DG197" s="87">
        <f t="shared" ref="DG197:DG228" si="392">AY197+CC197</f>
        <v>1196</v>
      </c>
      <c r="DH197" s="87">
        <f t="shared" ref="DH197:DH228" si="393">AZ197+CD197</f>
        <v>829</v>
      </c>
      <c r="DI197" s="87">
        <f t="shared" ref="DI197:DI228" si="394">BA197+CE197</f>
        <v>749</v>
      </c>
      <c r="DJ197" s="87">
        <f t="shared" ref="DJ197:DJ228" si="395">BB197+CF197</f>
        <v>7703</v>
      </c>
      <c r="DK197" s="86">
        <f t="shared" ref="DK197:DK228" si="396">BC197+CG197</f>
        <v>6236</v>
      </c>
      <c r="DL197" s="87">
        <f t="shared" ref="DL197:DL228" si="397">BD197+CH197</f>
        <v>1806</v>
      </c>
      <c r="DM197" s="87">
        <f t="shared" ref="DM197:DM228" si="398">BE197+CI197</f>
        <v>1052</v>
      </c>
      <c r="DN197" s="87">
        <f t="shared" ref="DN197:DN228" si="399">BF197+CJ197</f>
        <v>860</v>
      </c>
      <c r="DO197" s="87">
        <f t="shared" ref="DO197:DO228" si="400">BG197+CK197</f>
        <v>997</v>
      </c>
      <c r="DP197" s="87">
        <f t="shared" ref="DP197:DP228" si="401">BH197+CL197</f>
        <v>800</v>
      </c>
      <c r="DQ197" s="87">
        <f t="shared" ref="DQ197:DQ228" si="402">BI197+CM197</f>
        <v>924</v>
      </c>
      <c r="DR197" s="87">
        <f t="shared" si="340"/>
        <v>779</v>
      </c>
      <c r="DS197" s="87">
        <f t="shared" si="341"/>
        <v>1397</v>
      </c>
      <c r="DT197" s="87">
        <f t="shared" si="336"/>
        <v>952</v>
      </c>
      <c r="DU197" s="87">
        <f t="shared" si="337"/>
        <v>912.55555555555554</v>
      </c>
      <c r="DV197" s="87">
        <f t="shared" si="338"/>
        <v>0</v>
      </c>
      <c r="DW197" s="87">
        <f t="shared" si="339"/>
        <v>0</v>
      </c>
    </row>
    <row r="198" spans="1:127">
      <c r="A198" s="22" t="s">
        <v>126</v>
      </c>
      <c r="B198" s="26">
        <v>4902430836999</v>
      </c>
      <c r="C198" s="22" t="s">
        <v>127</v>
      </c>
      <c r="D198" s="22" t="s">
        <v>47</v>
      </c>
      <c r="E198" s="22">
        <v>100340</v>
      </c>
      <c r="F198" s="80" t="s">
        <v>299</v>
      </c>
      <c r="G198" s="25">
        <v>105.89999999999999</v>
      </c>
      <c r="H198" s="85">
        <f t="shared" si="347"/>
        <v>137670</v>
      </c>
      <c r="I198" s="85">
        <f t="shared" si="348"/>
        <v>269939.09999999998</v>
      </c>
      <c r="J198" s="85">
        <f t="shared" si="349"/>
        <v>382616.69999999995</v>
      </c>
      <c r="K198" s="85">
        <f t="shared" si="350"/>
        <v>132904.5</v>
      </c>
      <c r="L198" s="85">
        <f t="shared" si="351"/>
        <v>139999.79999999999</v>
      </c>
      <c r="M198" s="86">
        <f t="shared" si="352"/>
        <v>103676.09999999999</v>
      </c>
      <c r="N198" s="87">
        <f t="shared" si="353"/>
        <v>136081.5</v>
      </c>
      <c r="O198" s="87">
        <f t="shared" si="354"/>
        <v>166474.79999999999</v>
      </c>
      <c r="P198" s="87">
        <f t="shared" si="355"/>
        <v>149001.29999999999</v>
      </c>
      <c r="Q198" s="87">
        <f t="shared" si="356"/>
        <v>158638.19999999998</v>
      </c>
      <c r="R198" s="87">
        <f t="shared" si="357"/>
        <v>276081.3</v>
      </c>
      <c r="S198" s="87">
        <f t="shared" si="358"/>
        <v>190090.49999999997</v>
      </c>
      <c r="T198" s="87">
        <f t="shared" si="359"/>
        <v>272163</v>
      </c>
      <c r="U198" s="87">
        <f t="shared" si="360"/>
        <v>251088.9</v>
      </c>
      <c r="V198" s="87">
        <f t="shared" si="361"/>
        <v>145612.5</v>
      </c>
      <c r="W198" s="87">
        <f t="shared" si="362"/>
        <v>150695.69999999998</v>
      </c>
      <c r="X198" s="87">
        <f t="shared" si="363"/>
        <v>1248031.5</v>
      </c>
      <c r="Y198" s="86">
        <f t="shared" si="364"/>
        <v>1010180.1</v>
      </c>
      <c r="Z198" s="87">
        <f t="shared" si="365"/>
        <v>271315.8</v>
      </c>
      <c r="AA198" s="87">
        <f t="shared" si="366"/>
        <v>157155.59999999998</v>
      </c>
      <c r="AB198" s="87">
        <f t="shared" si="367"/>
        <v>161709.29999999999</v>
      </c>
      <c r="AC198" s="87">
        <f t="shared" si="368"/>
        <v>185960.4</v>
      </c>
      <c r="AD198" s="87">
        <f t="shared" si="369"/>
        <v>148471.79999999999</v>
      </c>
      <c r="AE198" s="87">
        <f t="shared" si="370"/>
        <v>152284.19999999998</v>
      </c>
      <c r="AF198" s="231">
        <f t="shared" si="371"/>
        <v>127291.79999999999</v>
      </c>
      <c r="AG198" s="87">
        <f t="shared" si="372"/>
        <v>210529.19999999998</v>
      </c>
      <c r="AH198" s="87">
        <f t="shared" si="373"/>
        <v>149954.4</v>
      </c>
      <c r="AI198" s="87">
        <f t="shared" si="374"/>
        <v>143647.46666666665</v>
      </c>
      <c r="AJ198" s="87">
        <f t="shared" si="375"/>
        <v>0</v>
      </c>
      <c r="AK198" s="86">
        <f t="shared" si="376"/>
        <v>0</v>
      </c>
      <c r="AL198" s="85">
        <v>1062</v>
      </c>
      <c r="AM198" s="85">
        <v>2254</v>
      </c>
      <c r="AN198" s="85">
        <v>1046</v>
      </c>
      <c r="AO198" s="85">
        <v>1073</v>
      </c>
      <c r="AP198" s="85">
        <v>1169</v>
      </c>
      <c r="AQ198" s="86">
        <v>728</v>
      </c>
      <c r="AR198" s="87">
        <v>1106</v>
      </c>
      <c r="AS198" s="87">
        <v>1362</v>
      </c>
      <c r="AT198" s="87">
        <v>1188</v>
      </c>
      <c r="AU198" s="87">
        <v>1220</v>
      </c>
      <c r="AV198" s="87">
        <v>1382</v>
      </c>
      <c r="AW198" s="87">
        <v>1689</v>
      </c>
      <c r="AX198" s="87">
        <v>2176</v>
      </c>
      <c r="AY198" s="87">
        <v>1640</v>
      </c>
      <c r="AZ198" s="87">
        <v>1222</v>
      </c>
      <c r="BA198" s="87">
        <v>1258</v>
      </c>
      <c r="BB198" s="87">
        <v>9424</v>
      </c>
      <c r="BC198" s="86">
        <v>9325</v>
      </c>
      <c r="BD198" s="87">
        <v>1939</v>
      </c>
      <c r="BE198" s="87">
        <v>1279</v>
      </c>
      <c r="BF198" s="87">
        <v>1259</v>
      </c>
      <c r="BG198" s="87">
        <v>1444</v>
      </c>
      <c r="BH198" s="87">
        <v>1113</v>
      </c>
      <c r="BI198" s="87">
        <v>1344</v>
      </c>
      <c r="BJ198" s="40">
        <v>1062</v>
      </c>
      <c r="BK198" s="40">
        <v>1822</v>
      </c>
      <c r="BL198" s="40">
        <v>1250</v>
      </c>
      <c r="BM198" s="40">
        <v>1105</v>
      </c>
      <c r="BN198" s="87"/>
      <c r="BO198" s="86"/>
      <c r="BP198" s="21">
        <v>238</v>
      </c>
      <c r="BQ198" s="21">
        <v>295</v>
      </c>
      <c r="BR198" s="21">
        <v>2567</v>
      </c>
      <c r="BS198" s="21">
        <v>182</v>
      </c>
      <c r="BT198" s="21">
        <v>153</v>
      </c>
      <c r="BU198" s="42">
        <v>251</v>
      </c>
      <c r="BV198" s="21">
        <v>179</v>
      </c>
      <c r="BW198" s="21">
        <v>210</v>
      </c>
      <c r="BX198" s="21">
        <v>219</v>
      </c>
      <c r="BY198" s="21">
        <v>278</v>
      </c>
      <c r="BZ198" s="21">
        <v>1225</v>
      </c>
      <c r="CA198" s="21">
        <v>106</v>
      </c>
      <c r="CB198" s="21">
        <v>394</v>
      </c>
      <c r="CC198" s="21">
        <v>731</v>
      </c>
      <c r="CD198" s="21">
        <v>153</v>
      </c>
      <c r="CE198" s="21">
        <v>165</v>
      </c>
      <c r="CF198" s="21">
        <v>2361</v>
      </c>
      <c r="CG198" s="42">
        <v>214</v>
      </c>
      <c r="CH198" s="21">
        <v>623</v>
      </c>
      <c r="CI198" s="21">
        <v>205</v>
      </c>
      <c r="CJ198" s="21">
        <v>268</v>
      </c>
      <c r="CK198" s="21">
        <v>312</v>
      </c>
      <c r="CL198" s="21">
        <v>289</v>
      </c>
      <c r="CM198" s="21">
        <v>94</v>
      </c>
      <c r="CN198" s="21">
        <v>140</v>
      </c>
      <c r="CO198" s="21">
        <v>166</v>
      </c>
      <c r="CP198" s="21">
        <f t="shared" si="377"/>
        <v>166</v>
      </c>
      <c r="CQ198" s="344">
        <f t="shared" si="378"/>
        <v>251.44444444444446</v>
      </c>
      <c r="CR198" s="87"/>
      <c r="CS198" s="86"/>
      <c r="CT198" s="85">
        <f t="shared" si="379"/>
        <v>1300</v>
      </c>
      <c r="CU198" s="85">
        <f t="shared" si="380"/>
        <v>2549</v>
      </c>
      <c r="CV198" s="85">
        <f t="shared" si="381"/>
        <v>3613</v>
      </c>
      <c r="CW198" s="85">
        <f t="shared" si="382"/>
        <v>1255</v>
      </c>
      <c r="CX198" s="85">
        <f t="shared" si="383"/>
        <v>1322</v>
      </c>
      <c r="CY198" s="86">
        <f t="shared" si="384"/>
        <v>979</v>
      </c>
      <c r="CZ198" s="87">
        <f t="shared" si="385"/>
        <v>1285</v>
      </c>
      <c r="DA198" s="87">
        <f t="shared" si="386"/>
        <v>1572</v>
      </c>
      <c r="DB198" s="87">
        <f t="shared" si="387"/>
        <v>1407</v>
      </c>
      <c r="DC198" s="87">
        <f t="shared" si="388"/>
        <v>1498</v>
      </c>
      <c r="DD198" s="87">
        <f t="shared" si="389"/>
        <v>2607</v>
      </c>
      <c r="DE198" s="87">
        <f t="shared" si="390"/>
        <v>1795</v>
      </c>
      <c r="DF198" s="87">
        <f t="shared" si="391"/>
        <v>2570</v>
      </c>
      <c r="DG198" s="87">
        <f t="shared" si="392"/>
        <v>2371</v>
      </c>
      <c r="DH198" s="87">
        <f t="shared" si="393"/>
        <v>1375</v>
      </c>
      <c r="DI198" s="87">
        <f t="shared" si="394"/>
        <v>1423</v>
      </c>
      <c r="DJ198" s="87">
        <f t="shared" si="395"/>
        <v>11785</v>
      </c>
      <c r="DK198" s="86">
        <f t="shared" si="396"/>
        <v>9539</v>
      </c>
      <c r="DL198" s="87">
        <f t="shared" si="397"/>
        <v>2562</v>
      </c>
      <c r="DM198" s="87">
        <f t="shared" si="398"/>
        <v>1484</v>
      </c>
      <c r="DN198" s="87">
        <f t="shared" si="399"/>
        <v>1527</v>
      </c>
      <c r="DO198" s="87">
        <f t="shared" si="400"/>
        <v>1756</v>
      </c>
      <c r="DP198" s="87">
        <f t="shared" si="401"/>
        <v>1402</v>
      </c>
      <c r="DQ198" s="87">
        <f t="shared" si="402"/>
        <v>1438</v>
      </c>
      <c r="DR198" s="87">
        <f t="shared" si="340"/>
        <v>1202</v>
      </c>
      <c r="DS198" s="87">
        <f t="shared" si="341"/>
        <v>1988</v>
      </c>
      <c r="DT198" s="87">
        <f t="shared" ref="DT198:DT229" si="403">BL198+CP198</f>
        <v>1416</v>
      </c>
      <c r="DU198" s="87">
        <f t="shared" ref="DU198:DU229" si="404">BM198+CQ198</f>
        <v>1356.4444444444443</v>
      </c>
      <c r="DV198" s="87">
        <f t="shared" ref="DV198:DV229" si="405">BN198+CR198</f>
        <v>0</v>
      </c>
      <c r="DW198" s="87">
        <f t="shared" ref="DW198:DW229" si="406">BO198+CS198</f>
        <v>0</v>
      </c>
    </row>
    <row r="199" spans="1:127">
      <c r="A199" s="22" t="s">
        <v>126</v>
      </c>
      <c r="B199" s="26">
        <v>4987176160003</v>
      </c>
      <c r="C199" s="22" t="s">
        <v>127</v>
      </c>
      <c r="D199" s="22" t="s">
        <v>47</v>
      </c>
      <c r="E199" s="22">
        <v>169382</v>
      </c>
      <c r="F199" s="80" t="s">
        <v>300</v>
      </c>
      <c r="G199" s="25">
        <v>105.89999999999999</v>
      </c>
      <c r="H199" s="85">
        <f t="shared" si="347"/>
        <v>131633.69999999998</v>
      </c>
      <c r="I199" s="85">
        <f t="shared" si="348"/>
        <v>199939.19999999998</v>
      </c>
      <c r="J199" s="85">
        <f t="shared" si="349"/>
        <v>148471.79999999999</v>
      </c>
      <c r="K199" s="85">
        <f t="shared" si="350"/>
        <v>104205.59999999999</v>
      </c>
      <c r="L199" s="85">
        <f t="shared" si="351"/>
        <v>109712.4</v>
      </c>
      <c r="M199" s="86">
        <f t="shared" si="352"/>
        <v>95945.4</v>
      </c>
      <c r="N199" s="87">
        <f t="shared" si="353"/>
        <v>130998.29999999999</v>
      </c>
      <c r="O199" s="87">
        <f t="shared" si="354"/>
        <v>168698.69999999998</v>
      </c>
      <c r="P199" s="87">
        <f t="shared" si="355"/>
        <v>143600.4</v>
      </c>
      <c r="Q199" s="87">
        <f t="shared" si="356"/>
        <v>164145</v>
      </c>
      <c r="R199" s="87">
        <f t="shared" si="357"/>
        <v>244734.9</v>
      </c>
      <c r="S199" s="87">
        <f t="shared" si="358"/>
        <v>166792.5</v>
      </c>
      <c r="T199" s="87">
        <f t="shared" si="359"/>
        <v>242934.59999999998</v>
      </c>
      <c r="U199" s="87">
        <f t="shared" si="360"/>
        <v>234568.49999999997</v>
      </c>
      <c r="V199" s="87">
        <f t="shared" si="361"/>
        <v>136928.69999999998</v>
      </c>
      <c r="W199" s="87">
        <f t="shared" si="362"/>
        <v>150378</v>
      </c>
      <c r="X199" s="87">
        <f t="shared" si="363"/>
        <v>1277683.5</v>
      </c>
      <c r="Y199" s="86">
        <f t="shared" si="364"/>
        <v>913281.6</v>
      </c>
      <c r="Z199" s="87">
        <f t="shared" si="365"/>
        <v>300544.19999999995</v>
      </c>
      <c r="AA199" s="87">
        <f t="shared" si="366"/>
        <v>217942.19999999998</v>
      </c>
      <c r="AB199" s="87">
        <f t="shared" si="367"/>
        <v>182571.59999999998</v>
      </c>
      <c r="AC199" s="87">
        <f t="shared" si="368"/>
        <v>210423.3</v>
      </c>
      <c r="AD199" s="87">
        <f t="shared" si="369"/>
        <v>179924.09999999998</v>
      </c>
      <c r="AE199" s="87">
        <f t="shared" si="370"/>
        <v>181088.99999999997</v>
      </c>
      <c r="AF199" s="231">
        <f t="shared" si="371"/>
        <v>151966.5</v>
      </c>
      <c r="AG199" s="87">
        <f t="shared" si="372"/>
        <v>277669.8</v>
      </c>
      <c r="AH199" s="87">
        <f t="shared" si="373"/>
        <v>190302.3</v>
      </c>
      <c r="AI199" s="87">
        <f t="shared" si="374"/>
        <v>159403.03333333333</v>
      </c>
      <c r="AJ199" s="87">
        <f t="shared" si="375"/>
        <v>0</v>
      </c>
      <c r="AK199" s="86">
        <f t="shared" si="376"/>
        <v>0</v>
      </c>
      <c r="AL199" s="85">
        <v>780</v>
      </c>
      <c r="AM199" s="85">
        <v>1526</v>
      </c>
      <c r="AN199" s="85">
        <v>770</v>
      </c>
      <c r="AO199" s="85">
        <v>810</v>
      </c>
      <c r="AP199" s="85">
        <v>875</v>
      </c>
      <c r="AQ199" s="86">
        <v>659</v>
      </c>
      <c r="AR199" s="87">
        <v>1061</v>
      </c>
      <c r="AS199" s="87">
        <v>1365</v>
      </c>
      <c r="AT199" s="87">
        <v>1085</v>
      </c>
      <c r="AU199" s="87">
        <v>1235</v>
      </c>
      <c r="AV199" s="87">
        <v>1448</v>
      </c>
      <c r="AW199" s="87">
        <v>1455</v>
      </c>
      <c r="AX199" s="87">
        <v>1847</v>
      </c>
      <c r="AY199" s="87">
        <v>1441</v>
      </c>
      <c r="AZ199" s="87">
        <v>1192</v>
      </c>
      <c r="BA199" s="87">
        <v>1224</v>
      </c>
      <c r="BB199" s="87">
        <v>9033</v>
      </c>
      <c r="BC199" s="86">
        <v>8355</v>
      </c>
      <c r="BD199" s="87">
        <v>2093</v>
      </c>
      <c r="BE199" s="87">
        <v>1635</v>
      </c>
      <c r="BF199" s="87">
        <v>1478</v>
      </c>
      <c r="BG199" s="87">
        <v>1663</v>
      </c>
      <c r="BH199" s="87">
        <v>1376</v>
      </c>
      <c r="BI199" s="87">
        <v>1587</v>
      </c>
      <c r="BJ199" s="40">
        <v>1275</v>
      </c>
      <c r="BK199" s="40">
        <v>2407</v>
      </c>
      <c r="BL199" s="40">
        <v>1582</v>
      </c>
      <c r="BM199" s="40">
        <v>1197</v>
      </c>
      <c r="BN199" s="87"/>
      <c r="BO199" s="86"/>
      <c r="BP199" s="21">
        <v>463</v>
      </c>
      <c r="BQ199" s="21">
        <v>362</v>
      </c>
      <c r="BR199" s="21">
        <v>632</v>
      </c>
      <c r="BS199" s="21">
        <v>174</v>
      </c>
      <c r="BT199" s="21">
        <v>161</v>
      </c>
      <c r="BU199" s="42">
        <v>247</v>
      </c>
      <c r="BV199" s="21">
        <v>176</v>
      </c>
      <c r="BW199" s="21">
        <v>228</v>
      </c>
      <c r="BX199" s="21">
        <v>271</v>
      </c>
      <c r="BY199" s="21">
        <v>315</v>
      </c>
      <c r="BZ199" s="21">
        <v>863</v>
      </c>
      <c r="CA199" s="21">
        <v>120</v>
      </c>
      <c r="CB199" s="21">
        <v>447</v>
      </c>
      <c r="CC199" s="21">
        <v>774</v>
      </c>
      <c r="CD199" s="21">
        <v>101</v>
      </c>
      <c r="CE199" s="21">
        <v>196</v>
      </c>
      <c r="CF199" s="21">
        <v>3032</v>
      </c>
      <c r="CG199" s="42">
        <v>269</v>
      </c>
      <c r="CH199" s="21">
        <v>745</v>
      </c>
      <c r="CI199" s="21">
        <v>423</v>
      </c>
      <c r="CJ199" s="21">
        <v>246</v>
      </c>
      <c r="CK199" s="21">
        <v>324</v>
      </c>
      <c r="CL199" s="21">
        <v>323</v>
      </c>
      <c r="CM199" s="21">
        <v>123</v>
      </c>
      <c r="CN199" s="21">
        <v>160</v>
      </c>
      <c r="CO199" s="21">
        <v>215</v>
      </c>
      <c r="CP199" s="21">
        <f t="shared" si="377"/>
        <v>215</v>
      </c>
      <c r="CQ199" s="344">
        <f t="shared" si="378"/>
        <v>308.22222222222223</v>
      </c>
      <c r="CR199" s="87"/>
      <c r="CS199" s="86"/>
      <c r="CT199" s="85">
        <f t="shared" si="379"/>
        <v>1243</v>
      </c>
      <c r="CU199" s="85">
        <f t="shared" si="380"/>
        <v>1888</v>
      </c>
      <c r="CV199" s="85">
        <f t="shared" si="381"/>
        <v>1402</v>
      </c>
      <c r="CW199" s="85">
        <f t="shared" si="382"/>
        <v>984</v>
      </c>
      <c r="CX199" s="85">
        <f t="shared" si="383"/>
        <v>1036</v>
      </c>
      <c r="CY199" s="86">
        <f t="shared" si="384"/>
        <v>906</v>
      </c>
      <c r="CZ199" s="87">
        <f t="shared" si="385"/>
        <v>1237</v>
      </c>
      <c r="DA199" s="87">
        <f t="shared" si="386"/>
        <v>1593</v>
      </c>
      <c r="DB199" s="87">
        <f t="shared" si="387"/>
        <v>1356</v>
      </c>
      <c r="DC199" s="87">
        <f t="shared" si="388"/>
        <v>1550</v>
      </c>
      <c r="DD199" s="87">
        <f t="shared" si="389"/>
        <v>2311</v>
      </c>
      <c r="DE199" s="87">
        <f t="shared" si="390"/>
        <v>1575</v>
      </c>
      <c r="DF199" s="87">
        <f t="shared" si="391"/>
        <v>2294</v>
      </c>
      <c r="DG199" s="87">
        <f t="shared" si="392"/>
        <v>2215</v>
      </c>
      <c r="DH199" s="87">
        <f t="shared" si="393"/>
        <v>1293</v>
      </c>
      <c r="DI199" s="87">
        <f t="shared" si="394"/>
        <v>1420</v>
      </c>
      <c r="DJ199" s="87">
        <f t="shared" si="395"/>
        <v>12065</v>
      </c>
      <c r="DK199" s="86">
        <f t="shared" si="396"/>
        <v>8624</v>
      </c>
      <c r="DL199" s="87">
        <f t="shared" si="397"/>
        <v>2838</v>
      </c>
      <c r="DM199" s="87">
        <f t="shared" si="398"/>
        <v>2058</v>
      </c>
      <c r="DN199" s="87">
        <f t="shared" si="399"/>
        <v>1724</v>
      </c>
      <c r="DO199" s="87">
        <f t="shared" si="400"/>
        <v>1987</v>
      </c>
      <c r="DP199" s="87">
        <f t="shared" si="401"/>
        <v>1699</v>
      </c>
      <c r="DQ199" s="87">
        <f t="shared" si="402"/>
        <v>1710</v>
      </c>
      <c r="DR199" s="87">
        <f t="shared" si="340"/>
        <v>1435</v>
      </c>
      <c r="DS199" s="87">
        <f t="shared" si="341"/>
        <v>2622</v>
      </c>
      <c r="DT199" s="87">
        <f t="shared" si="403"/>
        <v>1797</v>
      </c>
      <c r="DU199" s="87">
        <f t="shared" si="404"/>
        <v>1505.2222222222222</v>
      </c>
      <c r="DV199" s="87">
        <f t="shared" si="405"/>
        <v>0</v>
      </c>
      <c r="DW199" s="87">
        <f t="shared" si="406"/>
        <v>0</v>
      </c>
    </row>
    <row r="200" spans="1:127">
      <c r="A200" s="22" t="s">
        <v>126</v>
      </c>
      <c r="B200" s="26">
        <v>4902430920063</v>
      </c>
      <c r="C200" s="22" t="s">
        <v>127</v>
      </c>
      <c r="D200" s="22" t="s">
        <v>47</v>
      </c>
      <c r="E200" s="22">
        <v>353960</v>
      </c>
      <c r="F200" s="80" t="s">
        <v>301</v>
      </c>
      <c r="G200" s="25">
        <v>45</v>
      </c>
      <c r="H200" s="85">
        <f t="shared" si="347"/>
        <v>4185</v>
      </c>
      <c r="I200" s="85">
        <f t="shared" si="348"/>
        <v>495</v>
      </c>
      <c r="J200" s="85">
        <f t="shared" si="349"/>
        <v>1440</v>
      </c>
      <c r="K200" s="85">
        <f t="shared" si="350"/>
        <v>1440</v>
      </c>
      <c r="L200" s="85">
        <f t="shared" si="351"/>
        <v>-90</v>
      </c>
      <c r="M200" s="86">
        <f t="shared" si="352"/>
        <v>45</v>
      </c>
      <c r="N200" s="87">
        <f t="shared" si="353"/>
        <v>0</v>
      </c>
      <c r="O200" s="87">
        <f t="shared" si="354"/>
        <v>0</v>
      </c>
      <c r="P200" s="87">
        <f t="shared" si="355"/>
        <v>0</v>
      </c>
      <c r="Q200" s="87">
        <f t="shared" si="356"/>
        <v>0</v>
      </c>
      <c r="R200" s="87">
        <f t="shared" si="357"/>
        <v>0</v>
      </c>
      <c r="S200" s="87">
        <f t="shared" si="358"/>
        <v>0</v>
      </c>
      <c r="T200" s="87">
        <f t="shared" si="359"/>
        <v>0</v>
      </c>
      <c r="U200" s="87">
        <f t="shared" si="360"/>
        <v>0</v>
      </c>
      <c r="V200" s="87">
        <f t="shared" si="361"/>
        <v>0</v>
      </c>
      <c r="W200" s="87">
        <f t="shared" si="362"/>
        <v>0</v>
      </c>
      <c r="X200" s="87">
        <f t="shared" si="363"/>
        <v>0</v>
      </c>
      <c r="Y200" s="86">
        <f t="shared" si="364"/>
        <v>0</v>
      </c>
      <c r="Z200" s="87">
        <f t="shared" si="365"/>
        <v>0</v>
      </c>
      <c r="AA200" s="87">
        <f t="shared" si="366"/>
        <v>0</v>
      </c>
      <c r="AB200" s="87">
        <f t="shared" si="367"/>
        <v>0</v>
      </c>
      <c r="AC200" s="87">
        <f t="shared" si="368"/>
        <v>0</v>
      </c>
      <c r="AD200" s="87">
        <f t="shared" si="369"/>
        <v>0</v>
      </c>
      <c r="AE200" s="87">
        <f t="shared" si="370"/>
        <v>0</v>
      </c>
      <c r="AF200" s="231">
        <f t="shared" si="371"/>
        <v>0</v>
      </c>
      <c r="AG200" s="87">
        <f t="shared" si="372"/>
        <v>0</v>
      </c>
      <c r="AH200" s="87">
        <f t="shared" si="373"/>
        <v>0</v>
      </c>
      <c r="AI200" s="87">
        <f t="shared" si="374"/>
        <v>0</v>
      </c>
      <c r="AJ200" s="87">
        <f t="shared" si="375"/>
        <v>0</v>
      </c>
      <c r="AK200" s="86">
        <f t="shared" si="376"/>
        <v>0</v>
      </c>
      <c r="AL200" s="85">
        <v>86</v>
      </c>
      <c r="AM200" s="85">
        <v>11</v>
      </c>
      <c r="AN200" s="85">
        <v>32</v>
      </c>
      <c r="AO200" s="85">
        <v>32</v>
      </c>
      <c r="AP200" s="85">
        <v>-2</v>
      </c>
      <c r="AQ200" s="86">
        <v>1</v>
      </c>
      <c r="AR200" s="87">
        <v>0</v>
      </c>
      <c r="AS200" s="87">
        <v>0</v>
      </c>
      <c r="AT200" s="87">
        <v>0</v>
      </c>
      <c r="AU200" s="87">
        <v>0</v>
      </c>
      <c r="AV200" s="87">
        <v>0</v>
      </c>
      <c r="AW200" s="87">
        <v>0</v>
      </c>
      <c r="AX200" s="87">
        <v>0</v>
      </c>
      <c r="AY200" s="87">
        <v>0</v>
      </c>
      <c r="AZ200" s="87">
        <v>0</v>
      </c>
      <c r="BA200" s="87">
        <v>0</v>
      </c>
      <c r="BB200" s="87">
        <v>0</v>
      </c>
      <c r="BC200" s="86">
        <v>0</v>
      </c>
      <c r="BD200" s="87">
        <v>0</v>
      </c>
      <c r="BE200" s="87">
        <v>0</v>
      </c>
      <c r="BF200" s="87">
        <v>0</v>
      </c>
      <c r="BG200" s="87">
        <v>0</v>
      </c>
      <c r="BH200" s="87">
        <v>0</v>
      </c>
      <c r="BI200" s="87">
        <v>0</v>
      </c>
      <c r="BJ200" s="40">
        <v>0</v>
      </c>
      <c r="BK200" s="40">
        <v>0</v>
      </c>
      <c r="BL200" s="40">
        <v>0</v>
      </c>
      <c r="BM200" s="40">
        <v>0</v>
      </c>
      <c r="BN200" s="87"/>
      <c r="BO200" s="86"/>
      <c r="BP200" s="21">
        <v>7</v>
      </c>
      <c r="BQ200" s="21">
        <v>0</v>
      </c>
      <c r="BR200" s="21">
        <v>0</v>
      </c>
      <c r="BS200" s="21">
        <v>0</v>
      </c>
      <c r="BT200" s="21">
        <v>0</v>
      </c>
      <c r="BU200" s="42">
        <v>0</v>
      </c>
      <c r="BV200" s="21">
        <v>0</v>
      </c>
      <c r="BW200" s="21">
        <v>0</v>
      </c>
      <c r="BX200" s="21">
        <v>0</v>
      </c>
      <c r="BY200" s="21">
        <v>0</v>
      </c>
      <c r="BZ200" s="21">
        <v>0</v>
      </c>
      <c r="CA200" s="21">
        <v>0</v>
      </c>
      <c r="CB200" s="21">
        <v>0</v>
      </c>
      <c r="CC200" s="21">
        <v>0</v>
      </c>
      <c r="CD200" s="21">
        <v>0</v>
      </c>
      <c r="CE200" s="21">
        <v>0</v>
      </c>
      <c r="CF200" s="21">
        <v>0</v>
      </c>
      <c r="CG200" s="42">
        <v>0</v>
      </c>
      <c r="CH200" s="21">
        <v>0</v>
      </c>
      <c r="CI200" s="21">
        <v>0</v>
      </c>
      <c r="CJ200" s="21">
        <v>0</v>
      </c>
      <c r="CK200" s="21">
        <v>0</v>
      </c>
      <c r="CL200" s="21">
        <v>0</v>
      </c>
      <c r="CM200" s="21">
        <v>0</v>
      </c>
      <c r="CN200" s="21">
        <v>0</v>
      </c>
      <c r="CO200" s="21">
        <v>0</v>
      </c>
      <c r="CP200" s="21">
        <f t="shared" si="377"/>
        <v>0</v>
      </c>
      <c r="CQ200" s="344">
        <f t="shared" si="378"/>
        <v>0</v>
      </c>
      <c r="CR200" s="87"/>
      <c r="CS200" s="86"/>
      <c r="CT200" s="85">
        <f t="shared" si="379"/>
        <v>93</v>
      </c>
      <c r="CU200" s="85">
        <f t="shared" si="380"/>
        <v>11</v>
      </c>
      <c r="CV200" s="85">
        <f t="shared" si="381"/>
        <v>32</v>
      </c>
      <c r="CW200" s="85">
        <f t="shared" si="382"/>
        <v>32</v>
      </c>
      <c r="CX200" s="85">
        <f t="shared" si="383"/>
        <v>-2</v>
      </c>
      <c r="CY200" s="86">
        <f t="shared" si="384"/>
        <v>1</v>
      </c>
      <c r="CZ200" s="87">
        <f t="shared" si="385"/>
        <v>0</v>
      </c>
      <c r="DA200" s="87">
        <f t="shared" si="386"/>
        <v>0</v>
      </c>
      <c r="DB200" s="87">
        <f t="shared" si="387"/>
        <v>0</v>
      </c>
      <c r="DC200" s="87">
        <f t="shared" si="388"/>
        <v>0</v>
      </c>
      <c r="DD200" s="87">
        <f t="shared" si="389"/>
        <v>0</v>
      </c>
      <c r="DE200" s="87">
        <f t="shared" si="390"/>
        <v>0</v>
      </c>
      <c r="DF200" s="87">
        <f t="shared" si="391"/>
        <v>0</v>
      </c>
      <c r="DG200" s="87">
        <f t="shared" si="392"/>
        <v>0</v>
      </c>
      <c r="DH200" s="87">
        <f t="shared" si="393"/>
        <v>0</v>
      </c>
      <c r="DI200" s="87">
        <f t="shared" si="394"/>
        <v>0</v>
      </c>
      <c r="DJ200" s="87">
        <f t="shared" si="395"/>
        <v>0</v>
      </c>
      <c r="DK200" s="86">
        <f t="shared" si="396"/>
        <v>0</v>
      </c>
      <c r="DL200" s="87">
        <f t="shared" si="397"/>
        <v>0</v>
      </c>
      <c r="DM200" s="87">
        <f t="shared" si="398"/>
        <v>0</v>
      </c>
      <c r="DN200" s="87">
        <f t="shared" si="399"/>
        <v>0</v>
      </c>
      <c r="DO200" s="87">
        <f t="shared" si="400"/>
        <v>0</v>
      </c>
      <c r="DP200" s="87">
        <f t="shared" si="401"/>
        <v>0</v>
      </c>
      <c r="DQ200" s="87">
        <f t="shared" si="402"/>
        <v>0</v>
      </c>
      <c r="DR200" s="87">
        <f t="shared" si="340"/>
        <v>0</v>
      </c>
      <c r="DS200" s="87">
        <f t="shared" si="341"/>
        <v>0</v>
      </c>
      <c r="DT200" s="87">
        <f t="shared" si="403"/>
        <v>0</v>
      </c>
      <c r="DU200" s="87">
        <f t="shared" si="404"/>
        <v>0</v>
      </c>
      <c r="DV200" s="87">
        <f t="shared" si="405"/>
        <v>0</v>
      </c>
      <c r="DW200" s="87">
        <f t="shared" si="406"/>
        <v>0</v>
      </c>
    </row>
    <row r="201" spans="1:127">
      <c r="A201" s="22" t="s">
        <v>126</v>
      </c>
      <c r="B201" s="26">
        <v>4987176051899</v>
      </c>
      <c r="C201" s="22" t="s">
        <v>127</v>
      </c>
      <c r="D201" s="22" t="s">
        <v>20</v>
      </c>
      <c r="E201" s="22">
        <v>364090</v>
      </c>
      <c r="F201" s="80" t="s">
        <v>302</v>
      </c>
      <c r="G201" s="25">
        <v>64.599999999999994</v>
      </c>
      <c r="H201" s="85">
        <f t="shared" si="347"/>
        <v>836892.99999999988</v>
      </c>
      <c r="I201" s="85">
        <f t="shared" si="348"/>
        <v>99419.4</v>
      </c>
      <c r="J201" s="85">
        <f t="shared" si="349"/>
        <v>205750.99999999997</v>
      </c>
      <c r="K201" s="85">
        <f t="shared" si="350"/>
        <v>59948.799999999996</v>
      </c>
      <c r="L201" s="85">
        <f t="shared" si="351"/>
        <v>151939.19999999998</v>
      </c>
      <c r="M201" s="86">
        <f t="shared" si="352"/>
        <v>130362.79999999999</v>
      </c>
      <c r="N201" s="87">
        <f t="shared" si="353"/>
        <v>191280.59999999998</v>
      </c>
      <c r="O201" s="87">
        <f t="shared" si="354"/>
        <v>151680.79999999999</v>
      </c>
      <c r="P201" s="87">
        <f t="shared" si="355"/>
        <v>189148.79999999999</v>
      </c>
      <c r="Q201" s="87">
        <f t="shared" si="356"/>
        <v>28940.799999999996</v>
      </c>
      <c r="R201" s="87">
        <f t="shared" si="357"/>
        <v>3940.5999999999995</v>
      </c>
      <c r="S201" s="87">
        <f t="shared" si="358"/>
        <v>3294.6</v>
      </c>
      <c r="T201" s="87">
        <f t="shared" si="359"/>
        <v>6201.5999999999995</v>
      </c>
      <c r="U201" s="87">
        <f t="shared" si="360"/>
        <v>4651.2</v>
      </c>
      <c r="V201" s="87">
        <f t="shared" si="361"/>
        <v>3100.7999999999997</v>
      </c>
      <c r="W201" s="87">
        <f t="shared" si="362"/>
        <v>2390.1999999999998</v>
      </c>
      <c r="X201" s="87">
        <f t="shared" si="363"/>
        <v>1679.6</v>
      </c>
      <c r="Y201" s="86">
        <f t="shared" si="364"/>
        <v>193.79999999999998</v>
      </c>
      <c r="Z201" s="87">
        <f t="shared" si="365"/>
        <v>646</v>
      </c>
      <c r="AA201" s="87">
        <f t="shared" si="366"/>
        <v>64.599999999999994</v>
      </c>
      <c r="AB201" s="87">
        <f t="shared" si="367"/>
        <v>64.599999999999994</v>
      </c>
      <c r="AC201" s="87">
        <f t="shared" si="368"/>
        <v>0</v>
      </c>
      <c r="AD201" s="87">
        <f t="shared" si="369"/>
        <v>64.599999999999994</v>
      </c>
      <c r="AE201" s="87">
        <f t="shared" si="370"/>
        <v>0</v>
      </c>
      <c r="AF201" s="231">
        <f t="shared" si="371"/>
        <v>193.79999999999998</v>
      </c>
      <c r="AG201" s="87">
        <f t="shared" si="372"/>
        <v>323</v>
      </c>
      <c r="AH201" s="87">
        <f t="shared" si="373"/>
        <v>0</v>
      </c>
      <c r="AI201" s="87">
        <f t="shared" si="374"/>
        <v>0</v>
      </c>
      <c r="AJ201" s="87">
        <f t="shared" si="375"/>
        <v>0</v>
      </c>
      <c r="AK201" s="86">
        <f t="shared" si="376"/>
        <v>0</v>
      </c>
      <c r="AL201" s="85">
        <v>12878</v>
      </c>
      <c r="AM201" s="85">
        <v>899</v>
      </c>
      <c r="AN201" s="85">
        <v>690</v>
      </c>
      <c r="AO201" s="85">
        <v>614</v>
      </c>
      <c r="AP201" s="85">
        <v>1874</v>
      </c>
      <c r="AQ201" s="86">
        <v>1017</v>
      </c>
      <c r="AR201" s="87">
        <v>1928</v>
      </c>
      <c r="AS201" s="87">
        <v>1226</v>
      </c>
      <c r="AT201" s="87">
        <v>1126</v>
      </c>
      <c r="AU201" s="87">
        <v>447</v>
      </c>
      <c r="AV201" s="87">
        <v>61</v>
      </c>
      <c r="AW201" s="87">
        <v>51</v>
      </c>
      <c r="AX201" s="87">
        <v>96</v>
      </c>
      <c r="AY201" s="87">
        <v>72</v>
      </c>
      <c r="AZ201" s="87">
        <v>48</v>
      </c>
      <c r="BA201" s="87">
        <v>37</v>
      </c>
      <c r="BB201" s="87">
        <v>26</v>
      </c>
      <c r="BC201" s="86">
        <v>3</v>
      </c>
      <c r="BD201" s="87">
        <v>10</v>
      </c>
      <c r="BE201" s="87">
        <v>1</v>
      </c>
      <c r="BF201" s="87">
        <v>1</v>
      </c>
      <c r="BG201" s="87">
        <v>0</v>
      </c>
      <c r="BH201" s="87">
        <v>1</v>
      </c>
      <c r="BI201" s="87">
        <v>0</v>
      </c>
      <c r="BJ201" s="40">
        <v>3</v>
      </c>
      <c r="BK201" s="40">
        <v>5</v>
      </c>
      <c r="BL201" s="40">
        <v>0</v>
      </c>
      <c r="BM201" s="40">
        <v>0</v>
      </c>
      <c r="BN201" s="87"/>
      <c r="BO201" s="86"/>
      <c r="BP201" s="21">
        <v>77</v>
      </c>
      <c r="BQ201" s="21">
        <v>640</v>
      </c>
      <c r="BR201" s="21">
        <v>2495</v>
      </c>
      <c r="BS201" s="21">
        <v>314</v>
      </c>
      <c r="BT201" s="21">
        <v>478</v>
      </c>
      <c r="BU201" s="42">
        <v>1001</v>
      </c>
      <c r="BV201" s="21">
        <v>1033</v>
      </c>
      <c r="BW201" s="21">
        <v>1122</v>
      </c>
      <c r="BX201" s="21">
        <v>1802</v>
      </c>
      <c r="BY201" s="21">
        <v>1</v>
      </c>
      <c r="BZ201" s="21">
        <v>0</v>
      </c>
      <c r="CA201" s="21">
        <v>0</v>
      </c>
      <c r="CB201" s="21">
        <v>0</v>
      </c>
      <c r="CC201" s="21">
        <v>0</v>
      </c>
      <c r="CD201" s="21">
        <v>0</v>
      </c>
      <c r="CE201" s="21">
        <v>0</v>
      </c>
      <c r="CF201" s="21">
        <v>0</v>
      </c>
      <c r="CG201" s="42">
        <v>0</v>
      </c>
      <c r="CH201" s="21">
        <v>0</v>
      </c>
      <c r="CI201" s="21">
        <v>0</v>
      </c>
      <c r="CJ201" s="21">
        <v>0</v>
      </c>
      <c r="CK201" s="21">
        <v>0</v>
      </c>
      <c r="CL201" s="21">
        <v>0</v>
      </c>
      <c r="CM201" s="21">
        <v>0</v>
      </c>
      <c r="CN201" s="21">
        <v>0</v>
      </c>
      <c r="CO201" s="21">
        <v>0</v>
      </c>
      <c r="CP201" s="21">
        <f t="shared" si="377"/>
        <v>0</v>
      </c>
      <c r="CQ201" s="344">
        <f t="shared" si="378"/>
        <v>0</v>
      </c>
      <c r="CR201" s="87"/>
      <c r="CS201" s="86"/>
      <c r="CT201" s="85">
        <f t="shared" si="379"/>
        <v>12955</v>
      </c>
      <c r="CU201" s="85">
        <f t="shared" si="380"/>
        <v>1539</v>
      </c>
      <c r="CV201" s="85">
        <f t="shared" si="381"/>
        <v>3185</v>
      </c>
      <c r="CW201" s="85">
        <f t="shared" si="382"/>
        <v>928</v>
      </c>
      <c r="CX201" s="85">
        <f t="shared" si="383"/>
        <v>2352</v>
      </c>
      <c r="CY201" s="86">
        <f t="shared" si="384"/>
        <v>2018</v>
      </c>
      <c r="CZ201" s="87">
        <f t="shared" si="385"/>
        <v>2961</v>
      </c>
      <c r="DA201" s="87">
        <f t="shared" si="386"/>
        <v>2348</v>
      </c>
      <c r="DB201" s="87">
        <f t="shared" si="387"/>
        <v>2928</v>
      </c>
      <c r="DC201" s="87">
        <f t="shared" si="388"/>
        <v>448</v>
      </c>
      <c r="DD201" s="87">
        <f t="shared" si="389"/>
        <v>61</v>
      </c>
      <c r="DE201" s="87">
        <f t="shared" si="390"/>
        <v>51</v>
      </c>
      <c r="DF201" s="87">
        <f t="shared" si="391"/>
        <v>96</v>
      </c>
      <c r="DG201" s="87">
        <f t="shared" si="392"/>
        <v>72</v>
      </c>
      <c r="DH201" s="87">
        <f t="shared" si="393"/>
        <v>48</v>
      </c>
      <c r="DI201" s="87">
        <f t="shared" si="394"/>
        <v>37</v>
      </c>
      <c r="DJ201" s="87">
        <f t="shared" si="395"/>
        <v>26</v>
      </c>
      <c r="DK201" s="86">
        <f t="shared" si="396"/>
        <v>3</v>
      </c>
      <c r="DL201" s="87">
        <f t="shared" si="397"/>
        <v>10</v>
      </c>
      <c r="DM201" s="87">
        <f t="shared" si="398"/>
        <v>1</v>
      </c>
      <c r="DN201" s="87">
        <f t="shared" si="399"/>
        <v>1</v>
      </c>
      <c r="DO201" s="87">
        <f t="shared" si="400"/>
        <v>0</v>
      </c>
      <c r="DP201" s="87">
        <f t="shared" si="401"/>
        <v>1</v>
      </c>
      <c r="DQ201" s="87">
        <f t="shared" si="402"/>
        <v>0</v>
      </c>
      <c r="DR201" s="87">
        <f t="shared" si="340"/>
        <v>3</v>
      </c>
      <c r="DS201" s="87">
        <f t="shared" si="341"/>
        <v>5</v>
      </c>
      <c r="DT201" s="87">
        <f t="shared" si="403"/>
        <v>0</v>
      </c>
      <c r="DU201" s="87">
        <f t="shared" si="404"/>
        <v>0</v>
      </c>
      <c r="DV201" s="87">
        <f t="shared" si="405"/>
        <v>0</v>
      </c>
      <c r="DW201" s="86">
        <f t="shared" si="406"/>
        <v>0</v>
      </c>
    </row>
    <row r="202" spans="1:127">
      <c r="A202" s="22" t="s">
        <v>126</v>
      </c>
      <c r="B202" s="26">
        <v>4987176075420</v>
      </c>
      <c r="C202" s="22" t="s">
        <v>127</v>
      </c>
      <c r="D202" s="22" t="s">
        <v>124</v>
      </c>
      <c r="E202" s="22">
        <v>109267</v>
      </c>
      <c r="F202" s="80" t="s">
        <v>303</v>
      </c>
      <c r="G202" s="25">
        <v>69.22</v>
      </c>
      <c r="H202" s="85">
        <f t="shared" si="347"/>
        <v>77111.08</v>
      </c>
      <c r="I202" s="85">
        <f t="shared" si="348"/>
        <v>54199.26</v>
      </c>
      <c r="J202" s="85">
        <f t="shared" si="349"/>
        <v>72473.34</v>
      </c>
      <c r="K202" s="85">
        <f t="shared" si="350"/>
        <v>61398.14</v>
      </c>
      <c r="L202" s="85">
        <f t="shared" si="351"/>
        <v>69220</v>
      </c>
      <c r="M202" s="86">
        <f t="shared" si="352"/>
        <v>59598.42</v>
      </c>
      <c r="N202" s="87">
        <f t="shared" si="353"/>
        <v>32464.18</v>
      </c>
      <c r="O202" s="87">
        <f t="shared" si="354"/>
        <v>44231.58</v>
      </c>
      <c r="P202" s="87">
        <f t="shared" si="355"/>
        <v>39455.4</v>
      </c>
      <c r="Q202" s="87">
        <f t="shared" si="356"/>
        <v>72265.679999999993</v>
      </c>
      <c r="R202" s="87">
        <f t="shared" si="357"/>
        <v>85694.36</v>
      </c>
      <c r="S202" s="87">
        <f t="shared" si="358"/>
        <v>98569.279999999999</v>
      </c>
      <c r="T202" s="87">
        <f t="shared" si="359"/>
        <v>38209.440000000002</v>
      </c>
      <c r="U202" s="87">
        <f t="shared" si="360"/>
        <v>15989.82</v>
      </c>
      <c r="V202" s="87">
        <f t="shared" si="361"/>
        <v>5329.94</v>
      </c>
      <c r="W202" s="87">
        <f t="shared" si="362"/>
        <v>69.22</v>
      </c>
      <c r="X202" s="87">
        <f t="shared" si="363"/>
        <v>0</v>
      </c>
      <c r="Y202" s="86">
        <f t="shared" si="364"/>
        <v>0</v>
      </c>
      <c r="Z202" s="87">
        <f t="shared" si="365"/>
        <v>0</v>
      </c>
      <c r="AA202" s="87">
        <f t="shared" si="366"/>
        <v>0</v>
      </c>
      <c r="AB202" s="87">
        <f t="shared" si="367"/>
        <v>0</v>
      </c>
      <c r="AC202" s="87">
        <f t="shared" si="368"/>
        <v>0</v>
      </c>
      <c r="AD202" s="87">
        <f t="shared" si="369"/>
        <v>0</v>
      </c>
      <c r="AE202" s="87">
        <f t="shared" si="370"/>
        <v>0</v>
      </c>
      <c r="AF202" s="231">
        <f t="shared" si="371"/>
        <v>0</v>
      </c>
      <c r="AG202" s="87">
        <f t="shared" si="372"/>
        <v>0</v>
      </c>
      <c r="AH202" s="87">
        <f t="shared" si="373"/>
        <v>0</v>
      </c>
      <c r="AI202" s="87">
        <f t="shared" si="374"/>
        <v>0</v>
      </c>
      <c r="AJ202" s="87">
        <f t="shared" si="375"/>
        <v>0</v>
      </c>
      <c r="AK202" s="86">
        <f t="shared" si="376"/>
        <v>0</v>
      </c>
      <c r="AL202" s="85">
        <v>959</v>
      </c>
      <c r="AM202" s="85">
        <v>715</v>
      </c>
      <c r="AN202" s="85">
        <v>955</v>
      </c>
      <c r="AO202" s="85">
        <v>834</v>
      </c>
      <c r="AP202" s="85">
        <v>907</v>
      </c>
      <c r="AQ202" s="86">
        <v>730</v>
      </c>
      <c r="AR202" s="87">
        <v>427</v>
      </c>
      <c r="AS202" s="87">
        <v>577</v>
      </c>
      <c r="AT202" s="87">
        <v>502</v>
      </c>
      <c r="AU202" s="87">
        <v>933</v>
      </c>
      <c r="AV202" s="87">
        <v>1026</v>
      </c>
      <c r="AW202" s="87">
        <v>1422</v>
      </c>
      <c r="AX202" s="87">
        <v>552</v>
      </c>
      <c r="AY202" s="87">
        <v>231</v>
      </c>
      <c r="AZ202" s="87">
        <v>77</v>
      </c>
      <c r="BA202" s="87">
        <v>1</v>
      </c>
      <c r="BB202" s="87">
        <v>0</v>
      </c>
      <c r="BC202" s="86">
        <v>0</v>
      </c>
      <c r="BD202" s="87">
        <v>0</v>
      </c>
      <c r="BE202" s="87">
        <v>0</v>
      </c>
      <c r="BF202" s="87">
        <v>0</v>
      </c>
      <c r="BG202" s="87">
        <v>0</v>
      </c>
      <c r="BH202" s="87">
        <v>0</v>
      </c>
      <c r="BI202" s="87">
        <v>0</v>
      </c>
      <c r="BJ202" s="40">
        <v>0</v>
      </c>
      <c r="BK202" s="40">
        <v>0</v>
      </c>
      <c r="BL202" s="40">
        <v>0</v>
      </c>
      <c r="BM202" s="40">
        <v>0</v>
      </c>
      <c r="BN202" s="87"/>
      <c r="BO202" s="86"/>
      <c r="BP202" s="21">
        <v>155</v>
      </c>
      <c r="BQ202" s="21">
        <v>68</v>
      </c>
      <c r="BR202" s="21">
        <v>92</v>
      </c>
      <c r="BS202" s="21">
        <v>53</v>
      </c>
      <c r="BT202" s="21">
        <v>93</v>
      </c>
      <c r="BU202" s="42">
        <v>131</v>
      </c>
      <c r="BV202" s="21">
        <v>42</v>
      </c>
      <c r="BW202" s="21">
        <v>62</v>
      </c>
      <c r="BX202" s="21">
        <v>68</v>
      </c>
      <c r="BY202" s="21">
        <v>111</v>
      </c>
      <c r="BZ202" s="21">
        <v>212</v>
      </c>
      <c r="CA202" s="21">
        <v>2</v>
      </c>
      <c r="CB202" s="21">
        <v>0</v>
      </c>
      <c r="CC202" s="21">
        <v>0</v>
      </c>
      <c r="CD202" s="21">
        <v>0</v>
      </c>
      <c r="CE202" s="21">
        <v>0</v>
      </c>
      <c r="CF202" s="21">
        <v>0</v>
      </c>
      <c r="CG202" s="42">
        <v>0</v>
      </c>
      <c r="CH202" s="21">
        <v>0</v>
      </c>
      <c r="CI202" s="21">
        <v>0</v>
      </c>
      <c r="CJ202" s="21">
        <v>0</v>
      </c>
      <c r="CK202" s="21">
        <v>0</v>
      </c>
      <c r="CL202" s="21">
        <v>0</v>
      </c>
      <c r="CM202" s="21">
        <v>0</v>
      </c>
      <c r="CN202" s="21">
        <v>0</v>
      </c>
      <c r="CO202" s="21">
        <v>0</v>
      </c>
      <c r="CP202" s="21">
        <f t="shared" si="377"/>
        <v>0</v>
      </c>
      <c r="CQ202" s="344">
        <f t="shared" si="378"/>
        <v>0</v>
      </c>
      <c r="CR202" s="87"/>
      <c r="CS202" s="86"/>
      <c r="CT202" s="85">
        <f t="shared" si="379"/>
        <v>1114</v>
      </c>
      <c r="CU202" s="85">
        <f t="shared" si="380"/>
        <v>783</v>
      </c>
      <c r="CV202" s="85">
        <f t="shared" si="381"/>
        <v>1047</v>
      </c>
      <c r="CW202" s="85">
        <f t="shared" si="382"/>
        <v>887</v>
      </c>
      <c r="CX202" s="85">
        <f t="shared" si="383"/>
        <v>1000</v>
      </c>
      <c r="CY202" s="86">
        <f t="shared" si="384"/>
        <v>861</v>
      </c>
      <c r="CZ202" s="87">
        <f t="shared" si="385"/>
        <v>469</v>
      </c>
      <c r="DA202" s="87">
        <f t="shared" si="386"/>
        <v>639</v>
      </c>
      <c r="DB202" s="87">
        <f t="shared" si="387"/>
        <v>570</v>
      </c>
      <c r="DC202" s="87">
        <f t="shared" si="388"/>
        <v>1044</v>
      </c>
      <c r="DD202" s="87">
        <f t="shared" si="389"/>
        <v>1238</v>
      </c>
      <c r="DE202" s="87">
        <f t="shared" si="390"/>
        <v>1424</v>
      </c>
      <c r="DF202" s="87">
        <f t="shared" si="391"/>
        <v>552</v>
      </c>
      <c r="DG202" s="87">
        <f t="shared" si="392"/>
        <v>231</v>
      </c>
      <c r="DH202" s="87">
        <f t="shared" si="393"/>
        <v>77</v>
      </c>
      <c r="DI202" s="87">
        <f t="shared" si="394"/>
        <v>1</v>
      </c>
      <c r="DJ202" s="87">
        <f t="shared" si="395"/>
        <v>0</v>
      </c>
      <c r="DK202" s="86">
        <f t="shared" si="396"/>
        <v>0</v>
      </c>
      <c r="DL202" s="87">
        <f t="shared" si="397"/>
        <v>0</v>
      </c>
      <c r="DM202" s="87">
        <f t="shared" si="398"/>
        <v>0</v>
      </c>
      <c r="DN202" s="87">
        <f t="shared" si="399"/>
        <v>0</v>
      </c>
      <c r="DO202" s="87">
        <f t="shared" si="400"/>
        <v>0</v>
      </c>
      <c r="DP202" s="87">
        <f t="shared" si="401"/>
        <v>0</v>
      </c>
      <c r="DQ202" s="87">
        <f t="shared" si="402"/>
        <v>0</v>
      </c>
      <c r="DR202" s="87">
        <f t="shared" si="340"/>
        <v>0</v>
      </c>
      <c r="DS202" s="87">
        <f t="shared" si="341"/>
        <v>0</v>
      </c>
      <c r="DT202" s="87">
        <f t="shared" si="403"/>
        <v>0</v>
      </c>
      <c r="DU202" s="87">
        <f t="shared" si="404"/>
        <v>0</v>
      </c>
      <c r="DV202" s="87">
        <f t="shared" si="405"/>
        <v>0</v>
      </c>
      <c r="DW202" s="87">
        <f t="shared" si="406"/>
        <v>0</v>
      </c>
    </row>
    <row r="203" spans="1:127">
      <c r="A203" s="22" t="s">
        <v>126</v>
      </c>
      <c r="B203" s="26">
        <v>4987176074027</v>
      </c>
      <c r="C203" s="22" t="s">
        <v>127</v>
      </c>
      <c r="D203" s="22" t="s">
        <v>124</v>
      </c>
      <c r="E203" s="22">
        <v>109269</v>
      </c>
      <c r="F203" s="80" t="s">
        <v>304</v>
      </c>
      <c r="G203" s="25">
        <v>69.22</v>
      </c>
      <c r="H203" s="85">
        <f t="shared" si="347"/>
        <v>52261.1</v>
      </c>
      <c r="I203" s="85">
        <f t="shared" si="348"/>
        <v>37171.14</v>
      </c>
      <c r="J203" s="85">
        <f t="shared" si="349"/>
        <v>50184.5</v>
      </c>
      <c r="K203" s="85">
        <f t="shared" si="350"/>
        <v>41532</v>
      </c>
      <c r="L203" s="85">
        <f t="shared" si="351"/>
        <v>46169.74</v>
      </c>
      <c r="M203" s="86">
        <f t="shared" si="352"/>
        <v>41878.1</v>
      </c>
      <c r="N203" s="87">
        <f t="shared" si="353"/>
        <v>23534.799999999999</v>
      </c>
      <c r="O203" s="87">
        <f t="shared" si="354"/>
        <v>33017.94</v>
      </c>
      <c r="P203" s="87">
        <f t="shared" si="355"/>
        <v>31495.1</v>
      </c>
      <c r="Q203" s="87">
        <f t="shared" si="356"/>
        <v>55722.1</v>
      </c>
      <c r="R203" s="87">
        <f t="shared" si="357"/>
        <v>69635.319999999992</v>
      </c>
      <c r="S203" s="87">
        <f t="shared" si="358"/>
        <v>79464.56</v>
      </c>
      <c r="T203" s="87">
        <f t="shared" si="359"/>
        <v>29072.399999999998</v>
      </c>
      <c r="U203" s="87">
        <f t="shared" si="360"/>
        <v>12874.92</v>
      </c>
      <c r="V203" s="87">
        <f t="shared" si="361"/>
        <v>3322.56</v>
      </c>
      <c r="W203" s="87">
        <f t="shared" si="362"/>
        <v>69.22</v>
      </c>
      <c r="X203" s="87">
        <f t="shared" si="363"/>
        <v>0</v>
      </c>
      <c r="Y203" s="86">
        <f t="shared" si="364"/>
        <v>0</v>
      </c>
      <c r="Z203" s="87">
        <f t="shared" si="365"/>
        <v>69.22</v>
      </c>
      <c r="AA203" s="87">
        <f t="shared" si="366"/>
        <v>0</v>
      </c>
      <c r="AB203" s="87">
        <f t="shared" si="367"/>
        <v>0</v>
      </c>
      <c r="AC203" s="87">
        <f t="shared" si="368"/>
        <v>0</v>
      </c>
      <c r="AD203" s="87">
        <f t="shared" si="369"/>
        <v>0</v>
      </c>
      <c r="AE203" s="87">
        <f t="shared" si="370"/>
        <v>0</v>
      </c>
      <c r="AF203" s="231">
        <f t="shared" si="371"/>
        <v>0</v>
      </c>
      <c r="AG203" s="87">
        <f t="shared" si="372"/>
        <v>0</v>
      </c>
      <c r="AH203" s="87">
        <f t="shared" si="373"/>
        <v>0</v>
      </c>
      <c r="AI203" s="87">
        <f t="shared" si="374"/>
        <v>0</v>
      </c>
      <c r="AJ203" s="87">
        <f t="shared" si="375"/>
        <v>0</v>
      </c>
      <c r="AK203" s="86">
        <f t="shared" si="376"/>
        <v>0</v>
      </c>
      <c r="AL203" s="85">
        <v>755</v>
      </c>
      <c r="AM203" s="85">
        <v>537</v>
      </c>
      <c r="AN203" s="85">
        <v>725</v>
      </c>
      <c r="AO203" s="85">
        <v>600</v>
      </c>
      <c r="AP203" s="85">
        <v>667</v>
      </c>
      <c r="AQ203" s="86">
        <v>605</v>
      </c>
      <c r="AR203" s="87">
        <v>340</v>
      </c>
      <c r="AS203" s="87">
        <v>477</v>
      </c>
      <c r="AT203" s="87">
        <v>455</v>
      </c>
      <c r="AU203" s="87">
        <v>805</v>
      </c>
      <c r="AV203" s="87">
        <v>1006</v>
      </c>
      <c r="AW203" s="87">
        <v>1148</v>
      </c>
      <c r="AX203" s="87">
        <v>420</v>
      </c>
      <c r="AY203" s="87">
        <v>186</v>
      </c>
      <c r="AZ203" s="87">
        <v>48</v>
      </c>
      <c r="BA203" s="87">
        <v>1</v>
      </c>
      <c r="BB203" s="87">
        <v>0</v>
      </c>
      <c r="BC203" s="86">
        <v>0</v>
      </c>
      <c r="BD203" s="87">
        <v>1</v>
      </c>
      <c r="BE203" s="87">
        <v>0</v>
      </c>
      <c r="BF203" s="87">
        <v>0</v>
      </c>
      <c r="BG203" s="87">
        <v>0</v>
      </c>
      <c r="BH203" s="87">
        <v>0</v>
      </c>
      <c r="BI203" s="87">
        <v>0</v>
      </c>
      <c r="BJ203" s="40">
        <v>0</v>
      </c>
      <c r="BK203" s="40">
        <v>0</v>
      </c>
      <c r="BL203" s="40">
        <v>0</v>
      </c>
      <c r="BM203" s="40">
        <v>0</v>
      </c>
      <c r="BN203" s="87"/>
      <c r="BO203" s="86"/>
      <c r="BP203" s="21">
        <v>0</v>
      </c>
      <c r="BQ203" s="21">
        <v>0</v>
      </c>
      <c r="BR203" s="21">
        <v>0</v>
      </c>
      <c r="BS203" s="21">
        <v>0</v>
      </c>
      <c r="BT203" s="21">
        <v>0</v>
      </c>
      <c r="BU203" s="42">
        <v>0</v>
      </c>
      <c r="BV203" s="21">
        <v>0</v>
      </c>
      <c r="BW203" s="21">
        <v>0</v>
      </c>
      <c r="BX203" s="21">
        <v>0</v>
      </c>
      <c r="BY203" s="21">
        <v>0</v>
      </c>
      <c r="BZ203" s="21">
        <v>0</v>
      </c>
      <c r="CA203" s="21">
        <v>0</v>
      </c>
      <c r="CB203" s="21">
        <v>0</v>
      </c>
      <c r="CC203" s="21">
        <v>0</v>
      </c>
      <c r="CD203" s="21">
        <v>0</v>
      </c>
      <c r="CE203" s="21">
        <v>0</v>
      </c>
      <c r="CF203" s="21">
        <v>0</v>
      </c>
      <c r="CG203" s="42">
        <v>0</v>
      </c>
      <c r="CH203" s="21">
        <v>0</v>
      </c>
      <c r="CI203" s="21">
        <v>0</v>
      </c>
      <c r="CJ203" s="21">
        <v>0</v>
      </c>
      <c r="CK203" s="21">
        <v>0</v>
      </c>
      <c r="CL203" s="21">
        <v>0</v>
      </c>
      <c r="CM203" s="21">
        <v>0</v>
      </c>
      <c r="CN203" s="21">
        <v>0</v>
      </c>
      <c r="CO203" s="21">
        <v>0</v>
      </c>
      <c r="CP203" s="21">
        <f t="shared" si="377"/>
        <v>0</v>
      </c>
      <c r="CQ203" s="344">
        <f t="shared" si="378"/>
        <v>0</v>
      </c>
      <c r="CR203" s="87"/>
      <c r="CS203" s="86"/>
      <c r="CT203" s="85">
        <f t="shared" si="379"/>
        <v>755</v>
      </c>
      <c r="CU203" s="85">
        <f t="shared" si="380"/>
        <v>537</v>
      </c>
      <c r="CV203" s="85">
        <f t="shared" si="381"/>
        <v>725</v>
      </c>
      <c r="CW203" s="85">
        <f t="shared" si="382"/>
        <v>600</v>
      </c>
      <c r="CX203" s="85">
        <f t="shared" si="383"/>
        <v>667</v>
      </c>
      <c r="CY203" s="86">
        <f t="shared" si="384"/>
        <v>605</v>
      </c>
      <c r="CZ203" s="87">
        <f t="shared" si="385"/>
        <v>340</v>
      </c>
      <c r="DA203" s="87">
        <f t="shared" si="386"/>
        <v>477</v>
      </c>
      <c r="DB203" s="87">
        <f t="shared" si="387"/>
        <v>455</v>
      </c>
      <c r="DC203" s="87">
        <f t="shared" si="388"/>
        <v>805</v>
      </c>
      <c r="DD203" s="87">
        <f t="shared" si="389"/>
        <v>1006</v>
      </c>
      <c r="DE203" s="87">
        <f t="shared" si="390"/>
        <v>1148</v>
      </c>
      <c r="DF203" s="87">
        <f t="shared" si="391"/>
        <v>420</v>
      </c>
      <c r="DG203" s="87">
        <f t="shared" si="392"/>
        <v>186</v>
      </c>
      <c r="DH203" s="87">
        <f t="shared" si="393"/>
        <v>48</v>
      </c>
      <c r="DI203" s="87">
        <f t="shared" si="394"/>
        <v>1</v>
      </c>
      <c r="DJ203" s="87">
        <f t="shared" si="395"/>
        <v>0</v>
      </c>
      <c r="DK203" s="86">
        <f t="shared" si="396"/>
        <v>0</v>
      </c>
      <c r="DL203" s="87">
        <f t="shared" si="397"/>
        <v>1</v>
      </c>
      <c r="DM203" s="87">
        <f t="shared" si="398"/>
        <v>0</v>
      </c>
      <c r="DN203" s="87">
        <f t="shared" si="399"/>
        <v>0</v>
      </c>
      <c r="DO203" s="87">
        <f t="shared" si="400"/>
        <v>0</v>
      </c>
      <c r="DP203" s="87">
        <f t="shared" si="401"/>
        <v>0</v>
      </c>
      <c r="DQ203" s="87">
        <f t="shared" si="402"/>
        <v>0</v>
      </c>
      <c r="DR203" s="87">
        <f t="shared" si="340"/>
        <v>0</v>
      </c>
      <c r="DS203" s="87">
        <f t="shared" si="341"/>
        <v>0</v>
      </c>
      <c r="DT203" s="87">
        <f t="shared" si="403"/>
        <v>0</v>
      </c>
      <c r="DU203" s="87">
        <f t="shared" si="404"/>
        <v>0</v>
      </c>
      <c r="DV203" s="87">
        <f t="shared" si="405"/>
        <v>0</v>
      </c>
      <c r="DW203" s="87">
        <f t="shared" si="406"/>
        <v>0</v>
      </c>
    </row>
    <row r="204" spans="1:127">
      <c r="A204" s="22" t="s">
        <v>126</v>
      </c>
      <c r="B204" s="26">
        <v>4987176075581</v>
      </c>
      <c r="C204" s="22" t="s">
        <v>127</v>
      </c>
      <c r="D204" s="22" t="s">
        <v>124</v>
      </c>
      <c r="E204" s="22">
        <v>109270</v>
      </c>
      <c r="F204" s="80" t="s">
        <v>305</v>
      </c>
      <c r="G204" s="25">
        <v>48.19</v>
      </c>
      <c r="H204" s="85">
        <f t="shared" si="347"/>
        <v>108234.73999999999</v>
      </c>
      <c r="I204" s="85">
        <f t="shared" si="348"/>
        <v>90404.44</v>
      </c>
      <c r="J204" s="85">
        <f t="shared" si="349"/>
        <v>112764.59999999999</v>
      </c>
      <c r="K204" s="85">
        <f t="shared" si="350"/>
        <v>106499.9</v>
      </c>
      <c r="L204" s="85">
        <f t="shared" si="351"/>
        <v>107126.37</v>
      </c>
      <c r="M204" s="86">
        <f t="shared" si="352"/>
        <v>102500.12999999999</v>
      </c>
      <c r="N204" s="87">
        <f t="shared" si="353"/>
        <v>75176.399999999994</v>
      </c>
      <c r="O204" s="87">
        <f t="shared" si="354"/>
        <v>87561.23</v>
      </c>
      <c r="P204" s="87">
        <f t="shared" si="355"/>
        <v>92524.799999999988</v>
      </c>
      <c r="Q204" s="87">
        <f t="shared" si="356"/>
        <v>108957.59</v>
      </c>
      <c r="R204" s="87">
        <f t="shared" si="357"/>
        <v>116957.12999999999</v>
      </c>
      <c r="S204" s="87">
        <f t="shared" si="358"/>
        <v>85874.58</v>
      </c>
      <c r="T204" s="87">
        <f t="shared" si="359"/>
        <v>22649.3</v>
      </c>
      <c r="U204" s="87">
        <f t="shared" si="360"/>
        <v>6698.41</v>
      </c>
      <c r="V204" s="87">
        <f t="shared" si="361"/>
        <v>3276.92</v>
      </c>
      <c r="W204" s="87">
        <f t="shared" si="362"/>
        <v>0</v>
      </c>
      <c r="X204" s="87">
        <f t="shared" si="363"/>
        <v>0</v>
      </c>
      <c r="Y204" s="86">
        <f t="shared" si="364"/>
        <v>0</v>
      </c>
      <c r="Z204" s="87">
        <f t="shared" si="365"/>
        <v>0</v>
      </c>
      <c r="AA204" s="87">
        <f t="shared" si="366"/>
        <v>0</v>
      </c>
      <c r="AB204" s="87">
        <f t="shared" si="367"/>
        <v>0</v>
      </c>
      <c r="AC204" s="87">
        <f t="shared" si="368"/>
        <v>0</v>
      </c>
      <c r="AD204" s="87">
        <f t="shared" si="369"/>
        <v>0</v>
      </c>
      <c r="AE204" s="87">
        <f t="shared" si="370"/>
        <v>0</v>
      </c>
      <c r="AF204" s="231">
        <f t="shared" si="371"/>
        <v>0</v>
      </c>
      <c r="AG204" s="87">
        <f t="shared" si="372"/>
        <v>48.19</v>
      </c>
      <c r="AH204" s="87">
        <f t="shared" si="373"/>
        <v>0</v>
      </c>
      <c r="AI204" s="87">
        <f t="shared" si="374"/>
        <v>0</v>
      </c>
      <c r="AJ204" s="87">
        <f t="shared" si="375"/>
        <v>0</v>
      </c>
      <c r="AK204" s="86">
        <f t="shared" si="376"/>
        <v>0</v>
      </c>
      <c r="AL204" s="85">
        <v>1502</v>
      </c>
      <c r="AM204" s="85">
        <v>1443</v>
      </c>
      <c r="AN204" s="85">
        <v>1530</v>
      </c>
      <c r="AO204" s="85">
        <v>1648</v>
      </c>
      <c r="AP204" s="85">
        <v>1696</v>
      </c>
      <c r="AQ204" s="86">
        <v>1354</v>
      </c>
      <c r="AR204" s="87">
        <v>1047</v>
      </c>
      <c r="AS204" s="87">
        <v>1367</v>
      </c>
      <c r="AT204" s="87">
        <v>1262</v>
      </c>
      <c r="AU204" s="87">
        <v>1676</v>
      </c>
      <c r="AV204" s="87">
        <v>1551</v>
      </c>
      <c r="AW204" s="87">
        <v>1496</v>
      </c>
      <c r="AX204" s="87">
        <v>473</v>
      </c>
      <c r="AY204" s="87">
        <v>135</v>
      </c>
      <c r="AZ204" s="87">
        <v>68</v>
      </c>
      <c r="BA204" s="87">
        <v>0</v>
      </c>
      <c r="BB204" s="87">
        <v>0</v>
      </c>
      <c r="BC204" s="86">
        <v>0</v>
      </c>
      <c r="BD204" s="87">
        <v>0</v>
      </c>
      <c r="BE204" s="87">
        <v>0</v>
      </c>
      <c r="BF204" s="87">
        <v>0</v>
      </c>
      <c r="BG204" s="87">
        <v>0</v>
      </c>
      <c r="BH204" s="87">
        <v>0</v>
      </c>
      <c r="BI204" s="87">
        <v>0</v>
      </c>
      <c r="BJ204" s="40">
        <v>0</v>
      </c>
      <c r="BK204" s="40">
        <v>1</v>
      </c>
      <c r="BL204" s="40">
        <v>0</v>
      </c>
      <c r="BM204" s="40">
        <v>0</v>
      </c>
      <c r="BN204" s="87"/>
      <c r="BO204" s="86"/>
      <c r="BP204" s="21">
        <v>744</v>
      </c>
      <c r="BQ204" s="21">
        <v>433</v>
      </c>
      <c r="BR204" s="21">
        <v>810</v>
      </c>
      <c r="BS204" s="21">
        <v>562</v>
      </c>
      <c r="BT204" s="21">
        <v>527</v>
      </c>
      <c r="BU204" s="42">
        <v>773</v>
      </c>
      <c r="BV204" s="21">
        <v>513</v>
      </c>
      <c r="BW204" s="21">
        <v>450</v>
      </c>
      <c r="BX204" s="21">
        <v>658</v>
      </c>
      <c r="BY204" s="21">
        <v>585</v>
      </c>
      <c r="BZ204" s="21">
        <v>876</v>
      </c>
      <c r="CA204" s="21">
        <v>286</v>
      </c>
      <c r="CB204" s="21">
        <v>-3</v>
      </c>
      <c r="CC204" s="21">
        <v>4</v>
      </c>
      <c r="CD204" s="21">
        <v>0</v>
      </c>
      <c r="CE204" s="21">
        <v>0</v>
      </c>
      <c r="CF204" s="21">
        <v>0</v>
      </c>
      <c r="CG204" s="42">
        <v>0</v>
      </c>
      <c r="CH204" s="21">
        <v>0</v>
      </c>
      <c r="CI204" s="21">
        <v>0</v>
      </c>
      <c r="CJ204" s="21">
        <v>0</v>
      </c>
      <c r="CK204" s="21">
        <v>0</v>
      </c>
      <c r="CL204" s="21">
        <v>0</v>
      </c>
      <c r="CM204" s="21">
        <v>0</v>
      </c>
      <c r="CN204" s="21">
        <v>0</v>
      </c>
      <c r="CO204" s="21">
        <v>0</v>
      </c>
      <c r="CP204" s="21">
        <f t="shared" si="377"/>
        <v>0</v>
      </c>
      <c r="CQ204" s="344">
        <f t="shared" si="378"/>
        <v>0</v>
      </c>
      <c r="CR204" s="87"/>
      <c r="CS204" s="86"/>
      <c r="CT204" s="85">
        <f t="shared" si="379"/>
        <v>2246</v>
      </c>
      <c r="CU204" s="85">
        <f t="shared" si="380"/>
        <v>1876</v>
      </c>
      <c r="CV204" s="85">
        <f t="shared" si="381"/>
        <v>2340</v>
      </c>
      <c r="CW204" s="85">
        <f t="shared" si="382"/>
        <v>2210</v>
      </c>
      <c r="CX204" s="85">
        <f t="shared" si="383"/>
        <v>2223</v>
      </c>
      <c r="CY204" s="86">
        <f t="shared" si="384"/>
        <v>2127</v>
      </c>
      <c r="CZ204" s="87">
        <f t="shared" si="385"/>
        <v>1560</v>
      </c>
      <c r="DA204" s="87">
        <f t="shared" si="386"/>
        <v>1817</v>
      </c>
      <c r="DB204" s="87">
        <f t="shared" si="387"/>
        <v>1920</v>
      </c>
      <c r="DC204" s="87">
        <f t="shared" si="388"/>
        <v>2261</v>
      </c>
      <c r="DD204" s="87">
        <f t="shared" si="389"/>
        <v>2427</v>
      </c>
      <c r="DE204" s="87">
        <f t="shared" si="390"/>
        <v>1782</v>
      </c>
      <c r="DF204" s="87">
        <f t="shared" si="391"/>
        <v>470</v>
      </c>
      <c r="DG204" s="87">
        <f t="shared" si="392"/>
        <v>139</v>
      </c>
      <c r="DH204" s="87">
        <f t="shared" si="393"/>
        <v>68</v>
      </c>
      <c r="DI204" s="87">
        <f t="shared" si="394"/>
        <v>0</v>
      </c>
      <c r="DJ204" s="87">
        <f t="shared" si="395"/>
        <v>0</v>
      </c>
      <c r="DK204" s="86">
        <f t="shared" si="396"/>
        <v>0</v>
      </c>
      <c r="DL204" s="87">
        <f t="shared" si="397"/>
        <v>0</v>
      </c>
      <c r="DM204" s="87">
        <f t="shared" si="398"/>
        <v>0</v>
      </c>
      <c r="DN204" s="87">
        <f t="shared" si="399"/>
        <v>0</v>
      </c>
      <c r="DO204" s="87">
        <f t="shared" si="400"/>
        <v>0</v>
      </c>
      <c r="DP204" s="87">
        <f t="shared" si="401"/>
        <v>0</v>
      </c>
      <c r="DQ204" s="87">
        <f t="shared" si="402"/>
        <v>0</v>
      </c>
      <c r="DR204" s="87">
        <f t="shared" si="340"/>
        <v>0</v>
      </c>
      <c r="DS204" s="87">
        <f t="shared" si="341"/>
        <v>1</v>
      </c>
      <c r="DT204" s="87">
        <f t="shared" si="403"/>
        <v>0</v>
      </c>
      <c r="DU204" s="87">
        <f t="shared" si="404"/>
        <v>0</v>
      </c>
      <c r="DV204" s="87">
        <f t="shared" si="405"/>
        <v>0</v>
      </c>
      <c r="DW204" s="87">
        <f t="shared" si="406"/>
        <v>0</v>
      </c>
    </row>
    <row r="205" spans="1:127">
      <c r="A205" s="22" t="s">
        <v>126</v>
      </c>
      <c r="B205" s="26">
        <v>4987176076083</v>
      </c>
      <c r="C205" s="22" t="s">
        <v>127</v>
      </c>
      <c r="D205" s="22" t="s">
        <v>124</v>
      </c>
      <c r="E205" s="22">
        <v>109263</v>
      </c>
      <c r="F205" s="80" t="s">
        <v>306</v>
      </c>
      <c r="G205" s="25">
        <v>121.79</v>
      </c>
      <c r="H205" s="85">
        <f t="shared" si="347"/>
        <v>83304.36</v>
      </c>
      <c r="I205" s="85">
        <f t="shared" si="348"/>
        <v>85618.37000000001</v>
      </c>
      <c r="J205" s="85">
        <f t="shared" si="349"/>
        <v>115335.13</v>
      </c>
      <c r="K205" s="85">
        <f t="shared" si="350"/>
        <v>77580.23000000001</v>
      </c>
      <c r="L205" s="85">
        <f t="shared" si="351"/>
        <v>79285.290000000008</v>
      </c>
      <c r="M205" s="86">
        <f t="shared" si="352"/>
        <v>84278.680000000008</v>
      </c>
      <c r="N205" s="87">
        <f t="shared" si="353"/>
        <v>55658.030000000006</v>
      </c>
      <c r="O205" s="87">
        <f t="shared" si="354"/>
        <v>66862.710000000006</v>
      </c>
      <c r="P205" s="87">
        <f t="shared" si="355"/>
        <v>134943.32</v>
      </c>
      <c r="Q205" s="87">
        <f t="shared" si="356"/>
        <v>142372.51</v>
      </c>
      <c r="R205" s="87">
        <f t="shared" si="357"/>
        <v>165269.03</v>
      </c>
      <c r="S205" s="87">
        <f t="shared" si="358"/>
        <v>44453.350000000006</v>
      </c>
      <c r="T205" s="87">
        <f t="shared" si="359"/>
        <v>10961.1</v>
      </c>
      <c r="U205" s="87">
        <f t="shared" si="360"/>
        <v>4384.4400000000005</v>
      </c>
      <c r="V205" s="87">
        <f t="shared" si="361"/>
        <v>487.16</v>
      </c>
      <c r="W205" s="87">
        <f t="shared" si="362"/>
        <v>0</v>
      </c>
      <c r="X205" s="87">
        <f t="shared" si="363"/>
        <v>0</v>
      </c>
      <c r="Y205" s="86">
        <f t="shared" si="364"/>
        <v>0</v>
      </c>
      <c r="Z205" s="87">
        <f t="shared" si="365"/>
        <v>0</v>
      </c>
      <c r="AA205" s="87">
        <f t="shared" si="366"/>
        <v>121.79</v>
      </c>
      <c r="AB205" s="87">
        <f t="shared" si="367"/>
        <v>0</v>
      </c>
      <c r="AC205" s="87">
        <f t="shared" si="368"/>
        <v>0</v>
      </c>
      <c r="AD205" s="87">
        <f t="shared" si="369"/>
        <v>0</v>
      </c>
      <c r="AE205" s="87">
        <f t="shared" si="370"/>
        <v>0</v>
      </c>
      <c r="AF205" s="231">
        <f t="shared" si="371"/>
        <v>0</v>
      </c>
      <c r="AG205" s="87">
        <f t="shared" si="372"/>
        <v>0</v>
      </c>
      <c r="AH205" s="87">
        <f t="shared" si="373"/>
        <v>0</v>
      </c>
      <c r="AI205" s="87">
        <f t="shared" si="374"/>
        <v>0</v>
      </c>
      <c r="AJ205" s="87">
        <f t="shared" si="375"/>
        <v>0</v>
      </c>
      <c r="AK205" s="86">
        <f t="shared" si="376"/>
        <v>0</v>
      </c>
      <c r="AL205" s="85">
        <v>434</v>
      </c>
      <c r="AM205" s="85">
        <v>514</v>
      </c>
      <c r="AN205" s="85">
        <v>471</v>
      </c>
      <c r="AO205" s="85">
        <v>436</v>
      </c>
      <c r="AP205" s="85">
        <v>436</v>
      </c>
      <c r="AQ205" s="86">
        <v>406</v>
      </c>
      <c r="AR205" s="87">
        <v>303</v>
      </c>
      <c r="AS205" s="87">
        <v>387</v>
      </c>
      <c r="AT205" s="87">
        <v>849</v>
      </c>
      <c r="AU205" s="87">
        <v>771</v>
      </c>
      <c r="AV205" s="87">
        <v>744</v>
      </c>
      <c r="AW205" s="87">
        <v>365</v>
      </c>
      <c r="AX205" s="87">
        <v>90</v>
      </c>
      <c r="AY205" s="87">
        <v>36</v>
      </c>
      <c r="AZ205" s="87">
        <v>4</v>
      </c>
      <c r="BA205" s="87">
        <v>0</v>
      </c>
      <c r="BB205" s="87">
        <v>0</v>
      </c>
      <c r="BC205" s="86">
        <v>0</v>
      </c>
      <c r="BD205" s="87">
        <v>0</v>
      </c>
      <c r="BE205" s="87">
        <v>1</v>
      </c>
      <c r="BF205" s="87">
        <v>0</v>
      </c>
      <c r="BG205" s="87">
        <v>0</v>
      </c>
      <c r="BH205" s="87">
        <v>0</v>
      </c>
      <c r="BI205" s="87">
        <v>0</v>
      </c>
      <c r="BJ205" s="40">
        <v>0</v>
      </c>
      <c r="BK205" s="40">
        <v>0</v>
      </c>
      <c r="BL205" s="40">
        <v>0</v>
      </c>
      <c r="BM205" s="40">
        <v>0</v>
      </c>
      <c r="BN205" s="87"/>
      <c r="BO205" s="86"/>
      <c r="BP205" s="21">
        <v>250</v>
      </c>
      <c r="BQ205" s="21">
        <v>189</v>
      </c>
      <c r="BR205" s="21">
        <v>476</v>
      </c>
      <c r="BS205" s="21">
        <v>201</v>
      </c>
      <c r="BT205" s="21">
        <v>215</v>
      </c>
      <c r="BU205" s="42">
        <v>286</v>
      </c>
      <c r="BV205" s="21">
        <v>154</v>
      </c>
      <c r="BW205" s="21">
        <v>162</v>
      </c>
      <c r="BX205" s="21">
        <v>259</v>
      </c>
      <c r="BY205" s="21">
        <v>398</v>
      </c>
      <c r="BZ205" s="21">
        <v>613</v>
      </c>
      <c r="CA205" s="21">
        <v>0</v>
      </c>
      <c r="CB205" s="21">
        <v>0</v>
      </c>
      <c r="CC205" s="21">
        <v>0</v>
      </c>
      <c r="CD205" s="21">
        <v>0</v>
      </c>
      <c r="CE205" s="21">
        <v>0</v>
      </c>
      <c r="CF205" s="21">
        <v>0</v>
      </c>
      <c r="CG205" s="42">
        <v>0</v>
      </c>
      <c r="CH205" s="21">
        <v>0</v>
      </c>
      <c r="CI205" s="21">
        <v>0</v>
      </c>
      <c r="CJ205" s="21">
        <v>0</v>
      </c>
      <c r="CK205" s="21">
        <v>0</v>
      </c>
      <c r="CL205" s="21">
        <v>0</v>
      </c>
      <c r="CM205" s="21">
        <v>0</v>
      </c>
      <c r="CN205" s="21">
        <v>0</v>
      </c>
      <c r="CO205" s="21">
        <v>0</v>
      </c>
      <c r="CP205" s="21">
        <f t="shared" si="377"/>
        <v>0</v>
      </c>
      <c r="CQ205" s="344">
        <f t="shared" si="378"/>
        <v>0</v>
      </c>
      <c r="CR205" s="87"/>
      <c r="CS205" s="86"/>
      <c r="CT205" s="85">
        <f t="shared" si="379"/>
        <v>684</v>
      </c>
      <c r="CU205" s="85">
        <f t="shared" si="380"/>
        <v>703</v>
      </c>
      <c r="CV205" s="85">
        <f t="shared" si="381"/>
        <v>947</v>
      </c>
      <c r="CW205" s="85">
        <f t="shared" si="382"/>
        <v>637</v>
      </c>
      <c r="CX205" s="85">
        <f t="shared" si="383"/>
        <v>651</v>
      </c>
      <c r="CY205" s="86">
        <f t="shared" si="384"/>
        <v>692</v>
      </c>
      <c r="CZ205" s="87">
        <f t="shared" si="385"/>
        <v>457</v>
      </c>
      <c r="DA205" s="87">
        <f t="shared" si="386"/>
        <v>549</v>
      </c>
      <c r="DB205" s="87">
        <f t="shared" si="387"/>
        <v>1108</v>
      </c>
      <c r="DC205" s="87">
        <f t="shared" si="388"/>
        <v>1169</v>
      </c>
      <c r="DD205" s="87">
        <f t="shared" si="389"/>
        <v>1357</v>
      </c>
      <c r="DE205" s="87">
        <f t="shared" si="390"/>
        <v>365</v>
      </c>
      <c r="DF205" s="87">
        <f t="shared" si="391"/>
        <v>90</v>
      </c>
      <c r="DG205" s="87">
        <f t="shared" si="392"/>
        <v>36</v>
      </c>
      <c r="DH205" s="87">
        <f t="shared" si="393"/>
        <v>4</v>
      </c>
      <c r="DI205" s="87">
        <f t="shared" si="394"/>
        <v>0</v>
      </c>
      <c r="DJ205" s="87">
        <f t="shared" si="395"/>
        <v>0</v>
      </c>
      <c r="DK205" s="86">
        <f t="shared" si="396"/>
        <v>0</v>
      </c>
      <c r="DL205" s="87">
        <f t="shared" si="397"/>
        <v>0</v>
      </c>
      <c r="DM205" s="87">
        <f t="shared" si="398"/>
        <v>1</v>
      </c>
      <c r="DN205" s="87">
        <f t="shared" si="399"/>
        <v>0</v>
      </c>
      <c r="DO205" s="87">
        <f t="shared" si="400"/>
        <v>0</v>
      </c>
      <c r="DP205" s="87">
        <f t="shared" si="401"/>
        <v>0</v>
      </c>
      <c r="DQ205" s="87">
        <f t="shared" si="402"/>
        <v>0</v>
      </c>
      <c r="DR205" s="87">
        <f t="shared" si="340"/>
        <v>0</v>
      </c>
      <c r="DS205" s="87">
        <f t="shared" si="341"/>
        <v>0</v>
      </c>
      <c r="DT205" s="87">
        <f t="shared" si="403"/>
        <v>0</v>
      </c>
      <c r="DU205" s="87">
        <f t="shared" si="404"/>
        <v>0</v>
      </c>
      <c r="DV205" s="87">
        <f t="shared" si="405"/>
        <v>0</v>
      </c>
      <c r="DW205" s="87">
        <f t="shared" si="406"/>
        <v>0</v>
      </c>
    </row>
    <row r="206" spans="1:127">
      <c r="A206" s="22" t="s">
        <v>126</v>
      </c>
      <c r="B206" s="26">
        <v>4987176076076</v>
      </c>
      <c r="C206" s="22" t="s">
        <v>127</v>
      </c>
      <c r="D206" s="22" t="s">
        <v>124</v>
      </c>
      <c r="E206" s="22">
        <v>109264</v>
      </c>
      <c r="F206" s="80" t="s">
        <v>307</v>
      </c>
      <c r="G206" s="25">
        <v>121.79</v>
      </c>
      <c r="H206" s="85">
        <f t="shared" si="347"/>
        <v>107296.99</v>
      </c>
      <c r="I206" s="85">
        <f t="shared" si="348"/>
        <v>101085.70000000001</v>
      </c>
      <c r="J206" s="85">
        <f t="shared" si="349"/>
        <v>125930.86</v>
      </c>
      <c r="K206" s="85">
        <f t="shared" si="350"/>
        <v>94143.67</v>
      </c>
      <c r="L206" s="85">
        <f t="shared" si="351"/>
        <v>104130.45000000001</v>
      </c>
      <c r="M206" s="86">
        <f t="shared" si="352"/>
        <v>98162.74</v>
      </c>
      <c r="N206" s="87">
        <f t="shared" si="353"/>
        <v>61747.530000000006</v>
      </c>
      <c r="O206" s="87">
        <f t="shared" si="354"/>
        <v>79650.66</v>
      </c>
      <c r="P206" s="87">
        <f t="shared" si="355"/>
        <v>146269.79</v>
      </c>
      <c r="Q206" s="87">
        <f t="shared" si="356"/>
        <v>182563.21000000002</v>
      </c>
      <c r="R206" s="87">
        <f t="shared" si="357"/>
        <v>186582.28</v>
      </c>
      <c r="S206" s="87">
        <f t="shared" si="358"/>
        <v>34588.36</v>
      </c>
      <c r="T206" s="87">
        <f t="shared" si="359"/>
        <v>11691.84</v>
      </c>
      <c r="U206" s="87">
        <f t="shared" si="360"/>
        <v>4749.8100000000004</v>
      </c>
      <c r="V206" s="87">
        <f t="shared" si="361"/>
        <v>1096.1100000000001</v>
      </c>
      <c r="W206" s="87">
        <f t="shared" si="362"/>
        <v>0</v>
      </c>
      <c r="X206" s="87">
        <f t="shared" si="363"/>
        <v>0</v>
      </c>
      <c r="Y206" s="86">
        <f t="shared" si="364"/>
        <v>0</v>
      </c>
      <c r="Z206" s="87">
        <f t="shared" si="365"/>
        <v>0</v>
      </c>
      <c r="AA206" s="87">
        <f t="shared" si="366"/>
        <v>0</v>
      </c>
      <c r="AB206" s="87">
        <f t="shared" si="367"/>
        <v>0</v>
      </c>
      <c r="AC206" s="87">
        <f t="shared" si="368"/>
        <v>0</v>
      </c>
      <c r="AD206" s="87">
        <f t="shared" si="369"/>
        <v>0</v>
      </c>
      <c r="AE206" s="87">
        <f t="shared" si="370"/>
        <v>0</v>
      </c>
      <c r="AF206" s="231">
        <f t="shared" si="371"/>
        <v>0</v>
      </c>
      <c r="AG206" s="87">
        <f t="shared" si="372"/>
        <v>0</v>
      </c>
      <c r="AH206" s="87">
        <f t="shared" si="373"/>
        <v>0</v>
      </c>
      <c r="AI206" s="87">
        <f t="shared" si="374"/>
        <v>0</v>
      </c>
      <c r="AJ206" s="87">
        <f t="shared" si="375"/>
        <v>0</v>
      </c>
      <c r="AK206" s="86">
        <f t="shared" si="376"/>
        <v>0</v>
      </c>
      <c r="AL206" s="85">
        <v>477</v>
      </c>
      <c r="AM206" s="85">
        <v>574</v>
      </c>
      <c r="AN206" s="85">
        <v>524</v>
      </c>
      <c r="AO206" s="85">
        <v>511</v>
      </c>
      <c r="AP206" s="85">
        <v>587</v>
      </c>
      <c r="AQ206" s="86">
        <v>432</v>
      </c>
      <c r="AR206" s="87">
        <v>319</v>
      </c>
      <c r="AS206" s="87">
        <v>411</v>
      </c>
      <c r="AT206" s="87">
        <v>848</v>
      </c>
      <c r="AU206" s="87">
        <v>805</v>
      </c>
      <c r="AV206" s="87">
        <v>745</v>
      </c>
      <c r="AW206" s="87">
        <v>284</v>
      </c>
      <c r="AX206" s="87">
        <v>96</v>
      </c>
      <c r="AY206" s="87">
        <v>39</v>
      </c>
      <c r="AZ206" s="87">
        <v>9</v>
      </c>
      <c r="BA206" s="87">
        <v>0</v>
      </c>
      <c r="BB206" s="87">
        <v>0</v>
      </c>
      <c r="BC206" s="86">
        <v>0</v>
      </c>
      <c r="BD206" s="87">
        <v>0</v>
      </c>
      <c r="BE206" s="87">
        <v>0</v>
      </c>
      <c r="BF206" s="87">
        <v>0</v>
      </c>
      <c r="BG206" s="87">
        <v>0</v>
      </c>
      <c r="BH206" s="87">
        <v>0</v>
      </c>
      <c r="BI206" s="87">
        <v>0</v>
      </c>
      <c r="BJ206" s="40">
        <v>0</v>
      </c>
      <c r="BK206" s="40">
        <v>0</v>
      </c>
      <c r="BL206" s="40">
        <v>0</v>
      </c>
      <c r="BM206" s="40">
        <v>0</v>
      </c>
      <c r="BN206" s="87"/>
      <c r="BO206" s="86"/>
      <c r="BP206" s="21">
        <v>404</v>
      </c>
      <c r="BQ206" s="21">
        <v>256</v>
      </c>
      <c r="BR206" s="21">
        <v>510</v>
      </c>
      <c r="BS206" s="21">
        <v>262</v>
      </c>
      <c r="BT206" s="21">
        <v>268</v>
      </c>
      <c r="BU206" s="42">
        <v>374</v>
      </c>
      <c r="BV206" s="21">
        <v>188</v>
      </c>
      <c r="BW206" s="21">
        <v>243</v>
      </c>
      <c r="BX206" s="21">
        <v>353</v>
      </c>
      <c r="BY206" s="21">
        <v>694</v>
      </c>
      <c r="BZ206" s="21">
        <v>787</v>
      </c>
      <c r="CA206" s="21">
        <v>0</v>
      </c>
      <c r="CB206" s="21">
        <v>0</v>
      </c>
      <c r="CC206" s="21">
        <v>0</v>
      </c>
      <c r="CD206" s="21">
        <v>0</v>
      </c>
      <c r="CE206" s="21">
        <v>0</v>
      </c>
      <c r="CF206" s="21">
        <v>0</v>
      </c>
      <c r="CG206" s="42">
        <v>0</v>
      </c>
      <c r="CH206" s="21">
        <v>0</v>
      </c>
      <c r="CI206" s="21">
        <v>0</v>
      </c>
      <c r="CJ206" s="21">
        <v>0</v>
      </c>
      <c r="CK206" s="21">
        <v>0</v>
      </c>
      <c r="CL206" s="21">
        <v>0</v>
      </c>
      <c r="CM206" s="21">
        <v>0</v>
      </c>
      <c r="CN206" s="21">
        <v>0</v>
      </c>
      <c r="CO206" s="21">
        <v>0</v>
      </c>
      <c r="CP206" s="21">
        <f t="shared" si="377"/>
        <v>0</v>
      </c>
      <c r="CQ206" s="344">
        <f t="shared" si="378"/>
        <v>0</v>
      </c>
      <c r="CR206" s="87"/>
      <c r="CS206" s="86"/>
      <c r="CT206" s="85">
        <f t="shared" si="379"/>
        <v>881</v>
      </c>
      <c r="CU206" s="85">
        <f t="shared" si="380"/>
        <v>830</v>
      </c>
      <c r="CV206" s="85">
        <f t="shared" si="381"/>
        <v>1034</v>
      </c>
      <c r="CW206" s="85">
        <f t="shared" si="382"/>
        <v>773</v>
      </c>
      <c r="CX206" s="85">
        <f t="shared" si="383"/>
        <v>855</v>
      </c>
      <c r="CY206" s="86">
        <f t="shared" si="384"/>
        <v>806</v>
      </c>
      <c r="CZ206" s="87">
        <f t="shared" si="385"/>
        <v>507</v>
      </c>
      <c r="DA206" s="87">
        <f t="shared" si="386"/>
        <v>654</v>
      </c>
      <c r="DB206" s="87">
        <f t="shared" si="387"/>
        <v>1201</v>
      </c>
      <c r="DC206" s="87">
        <f t="shared" si="388"/>
        <v>1499</v>
      </c>
      <c r="DD206" s="87">
        <f t="shared" si="389"/>
        <v>1532</v>
      </c>
      <c r="DE206" s="87">
        <f t="shared" si="390"/>
        <v>284</v>
      </c>
      <c r="DF206" s="87">
        <f t="shared" si="391"/>
        <v>96</v>
      </c>
      <c r="DG206" s="87">
        <f t="shared" si="392"/>
        <v>39</v>
      </c>
      <c r="DH206" s="87">
        <f t="shared" si="393"/>
        <v>9</v>
      </c>
      <c r="DI206" s="87">
        <f t="shared" si="394"/>
        <v>0</v>
      </c>
      <c r="DJ206" s="87">
        <f t="shared" si="395"/>
        <v>0</v>
      </c>
      <c r="DK206" s="86">
        <f t="shared" si="396"/>
        <v>0</v>
      </c>
      <c r="DL206" s="87">
        <f t="shared" si="397"/>
        <v>0</v>
      </c>
      <c r="DM206" s="87">
        <f t="shared" si="398"/>
        <v>0</v>
      </c>
      <c r="DN206" s="87">
        <f t="shared" si="399"/>
        <v>0</v>
      </c>
      <c r="DO206" s="87">
        <f t="shared" si="400"/>
        <v>0</v>
      </c>
      <c r="DP206" s="87">
        <f t="shared" si="401"/>
        <v>0</v>
      </c>
      <c r="DQ206" s="87">
        <f t="shared" si="402"/>
        <v>0</v>
      </c>
      <c r="DR206" s="87">
        <f t="shared" si="340"/>
        <v>0</v>
      </c>
      <c r="DS206" s="87">
        <f t="shared" si="341"/>
        <v>0</v>
      </c>
      <c r="DT206" s="87">
        <f t="shared" si="403"/>
        <v>0</v>
      </c>
      <c r="DU206" s="87">
        <f t="shared" si="404"/>
        <v>0</v>
      </c>
      <c r="DV206" s="87">
        <f t="shared" si="405"/>
        <v>0</v>
      </c>
      <c r="DW206" s="87">
        <f t="shared" si="406"/>
        <v>0</v>
      </c>
    </row>
    <row r="207" spans="1:127">
      <c r="A207" s="22" t="s">
        <v>126</v>
      </c>
      <c r="B207" s="26">
        <v>4902430900812</v>
      </c>
      <c r="C207" s="22" t="s">
        <v>127</v>
      </c>
      <c r="D207" s="22" t="s">
        <v>124</v>
      </c>
      <c r="E207" s="22">
        <v>109272</v>
      </c>
      <c r="F207" s="80" t="s">
        <v>308</v>
      </c>
      <c r="G207" s="25">
        <v>133.63</v>
      </c>
      <c r="H207" s="85">
        <f t="shared" si="347"/>
        <v>66013.22</v>
      </c>
      <c r="I207" s="85">
        <f t="shared" si="348"/>
        <v>82316.08</v>
      </c>
      <c r="J207" s="85">
        <f t="shared" si="349"/>
        <v>87260.39</v>
      </c>
      <c r="K207" s="85">
        <f t="shared" si="350"/>
        <v>73630.13</v>
      </c>
      <c r="L207" s="85">
        <f t="shared" si="351"/>
        <v>87527.65</v>
      </c>
      <c r="M207" s="86">
        <f t="shared" si="352"/>
        <v>72160.2</v>
      </c>
      <c r="N207" s="87">
        <f t="shared" si="353"/>
        <v>63741.509999999995</v>
      </c>
      <c r="O207" s="87">
        <f t="shared" si="354"/>
        <v>77906.289999999994</v>
      </c>
      <c r="P207" s="87">
        <f t="shared" si="355"/>
        <v>69621.23</v>
      </c>
      <c r="Q207" s="87">
        <f t="shared" si="356"/>
        <v>86592.239999999991</v>
      </c>
      <c r="R207" s="87">
        <f t="shared" si="357"/>
        <v>167037.5</v>
      </c>
      <c r="S207" s="87">
        <f t="shared" si="358"/>
        <v>32071.199999999997</v>
      </c>
      <c r="T207" s="87">
        <f t="shared" si="359"/>
        <v>18841.829999999998</v>
      </c>
      <c r="U207" s="87">
        <f t="shared" si="360"/>
        <v>8685.9499999999989</v>
      </c>
      <c r="V207" s="87">
        <f t="shared" si="361"/>
        <v>1336.3</v>
      </c>
      <c r="W207" s="87">
        <f t="shared" si="362"/>
        <v>267.26</v>
      </c>
      <c r="X207" s="87">
        <f t="shared" si="363"/>
        <v>267.26</v>
      </c>
      <c r="Y207" s="86">
        <f t="shared" si="364"/>
        <v>0</v>
      </c>
      <c r="Z207" s="87">
        <f t="shared" si="365"/>
        <v>267.26</v>
      </c>
      <c r="AA207" s="87">
        <f t="shared" si="366"/>
        <v>267.26</v>
      </c>
      <c r="AB207" s="87">
        <f t="shared" si="367"/>
        <v>133.63</v>
      </c>
      <c r="AC207" s="87">
        <f t="shared" si="368"/>
        <v>0</v>
      </c>
      <c r="AD207" s="87">
        <f t="shared" si="369"/>
        <v>0</v>
      </c>
      <c r="AE207" s="87">
        <f t="shared" si="370"/>
        <v>0</v>
      </c>
      <c r="AF207" s="231">
        <f t="shared" si="371"/>
        <v>0</v>
      </c>
      <c r="AG207" s="87">
        <f t="shared" si="372"/>
        <v>0</v>
      </c>
      <c r="AH207" s="87">
        <f t="shared" si="373"/>
        <v>0</v>
      </c>
      <c r="AI207" s="87">
        <f t="shared" si="374"/>
        <v>133.63</v>
      </c>
      <c r="AJ207" s="87">
        <f t="shared" si="375"/>
        <v>0</v>
      </c>
      <c r="AK207" s="86">
        <f t="shared" si="376"/>
        <v>0</v>
      </c>
      <c r="AL207" s="85">
        <v>254</v>
      </c>
      <c r="AM207" s="85">
        <v>418</v>
      </c>
      <c r="AN207" s="85">
        <v>265</v>
      </c>
      <c r="AO207" s="85">
        <v>308</v>
      </c>
      <c r="AP207" s="85">
        <v>416</v>
      </c>
      <c r="AQ207" s="86">
        <v>286</v>
      </c>
      <c r="AR207" s="87">
        <v>314</v>
      </c>
      <c r="AS207" s="87">
        <v>343</v>
      </c>
      <c r="AT207" s="87">
        <v>241</v>
      </c>
      <c r="AU207" s="87">
        <v>302</v>
      </c>
      <c r="AV207" s="87">
        <v>465</v>
      </c>
      <c r="AW207" s="87">
        <v>240</v>
      </c>
      <c r="AX207" s="87">
        <v>141</v>
      </c>
      <c r="AY207" s="87">
        <v>65</v>
      </c>
      <c r="AZ207" s="87">
        <v>10</v>
      </c>
      <c r="BA207" s="87">
        <v>2</v>
      </c>
      <c r="BB207" s="87">
        <v>2</v>
      </c>
      <c r="BC207" s="86">
        <v>0</v>
      </c>
      <c r="BD207" s="87">
        <v>2</v>
      </c>
      <c r="BE207" s="87">
        <v>2</v>
      </c>
      <c r="BF207" s="87">
        <v>1</v>
      </c>
      <c r="BG207" s="87">
        <v>0</v>
      </c>
      <c r="BH207" s="87">
        <v>0</v>
      </c>
      <c r="BI207" s="87">
        <v>0</v>
      </c>
      <c r="BJ207" s="40">
        <v>0</v>
      </c>
      <c r="BK207" s="40">
        <v>0</v>
      </c>
      <c r="BL207" s="40">
        <v>0</v>
      </c>
      <c r="BM207" s="40">
        <v>1</v>
      </c>
      <c r="BN207" s="87"/>
      <c r="BO207" s="86"/>
      <c r="BP207" s="21">
        <v>240</v>
      </c>
      <c r="BQ207" s="21">
        <v>198</v>
      </c>
      <c r="BR207" s="21">
        <v>388</v>
      </c>
      <c r="BS207" s="21">
        <v>243</v>
      </c>
      <c r="BT207" s="21">
        <v>239</v>
      </c>
      <c r="BU207" s="42">
        <v>254</v>
      </c>
      <c r="BV207" s="21">
        <v>163</v>
      </c>
      <c r="BW207" s="21">
        <v>240</v>
      </c>
      <c r="BX207" s="21">
        <v>280</v>
      </c>
      <c r="BY207" s="21">
        <v>346</v>
      </c>
      <c r="BZ207" s="21">
        <v>785</v>
      </c>
      <c r="CA207" s="21">
        <v>0</v>
      </c>
      <c r="CB207" s="21">
        <v>0</v>
      </c>
      <c r="CC207" s="21">
        <v>0</v>
      </c>
      <c r="CD207" s="21">
        <v>0</v>
      </c>
      <c r="CE207" s="21">
        <v>0</v>
      </c>
      <c r="CF207" s="21">
        <v>0</v>
      </c>
      <c r="CG207" s="42">
        <v>0</v>
      </c>
      <c r="CH207" s="21">
        <v>0</v>
      </c>
      <c r="CI207" s="21">
        <v>0</v>
      </c>
      <c r="CJ207" s="21">
        <v>0</v>
      </c>
      <c r="CK207" s="21">
        <v>0</v>
      </c>
      <c r="CL207" s="21">
        <v>0</v>
      </c>
      <c r="CM207" s="21">
        <v>0</v>
      </c>
      <c r="CN207" s="21">
        <v>0</v>
      </c>
      <c r="CO207" s="21">
        <v>0</v>
      </c>
      <c r="CP207" s="21">
        <f t="shared" si="377"/>
        <v>0</v>
      </c>
      <c r="CQ207" s="344">
        <f t="shared" si="378"/>
        <v>0</v>
      </c>
      <c r="CR207" s="87"/>
      <c r="CS207" s="86"/>
      <c r="CT207" s="85">
        <f t="shared" si="379"/>
        <v>494</v>
      </c>
      <c r="CU207" s="85">
        <f t="shared" si="380"/>
        <v>616</v>
      </c>
      <c r="CV207" s="85">
        <f t="shared" si="381"/>
        <v>653</v>
      </c>
      <c r="CW207" s="85">
        <f t="shared" si="382"/>
        <v>551</v>
      </c>
      <c r="CX207" s="85">
        <f t="shared" si="383"/>
        <v>655</v>
      </c>
      <c r="CY207" s="86">
        <f t="shared" si="384"/>
        <v>540</v>
      </c>
      <c r="CZ207" s="87">
        <f t="shared" si="385"/>
        <v>477</v>
      </c>
      <c r="DA207" s="87">
        <f t="shared" si="386"/>
        <v>583</v>
      </c>
      <c r="DB207" s="87">
        <f t="shared" si="387"/>
        <v>521</v>
      </c>
      <c r="DC207" s="87">
        <f t="shared" si="388"/>
        <v>648</v>
      </c>
      <c r="DD207" s="87">
        <f t="shared" si="389"/>
        <v>1250</v>
      </c>
      <c r="DE207" s="87">
        <f t="shared" si="390"/>
        <v>240</v>
      </c>
      <c r="DF207" s="87">
        <f t="shared" si="391"/>
        <v>141</v>
      </c>
      <c r="DG207" s="87">
        <f t="shared" si="392"/>
        <v>65</v>
      </c>
      <c r="DH207" s="87">
        <f t="shared" si="393"/>
        <v>10</v>
      </c>
      <c r="DI207" s="87">
        <f t="shared" si="394"/>
        <v>2</v>
      </c>
      <c r="DJ207" s="87">
        <f t="shared" si="395"/>
        <v>2</v>
      </c>
      <c r="DK207" s="86">
        <f t="shared" si="396"/>
        <v>0</v>
      </c>
      <c r="DL207" s="87">
        <f t="shared" si="397"/>
        <v>2</v>
      </c>
      <c r="DM207" s="87">
        <f t="shared" si="398"/>
        <v>2</v>
      </c>
      <c r="DN207" s="87">
        <f t="shared" si="399"/>
        <v>1</v>
      </c>
      <c r="DO207" s="87">
        <f t="shared" si="400"/>
        <v>0</v>
      </c>
      <c r="DP207" s="87">
        <f t="shared" si="401"/>
        <v>0</v>
      </c>
      <c r="DQ207" s="87">
        <f t="shared" si="402"/>
        <v>0</v>
      </c>
      <c r="DR207" s="87">
        <f t="shared" si="340"/>
        <v>0</v>
      </c>
      <c r="DS207" s="87">
        <f t="shared" si="341"/>
        <v>0</v>
      </c>
      <c r="DT207" s="87">
        <f t="shared" si="403"/>
        <v>0</v>
      </c>
      <c r="DU207" s="87">
        <f t="shared" si="404"/>
        <v>1</v>
      </c>
      <c r="DV207" s="87">
        <f t="shared" si="405"/>
        <v>0</v>
      </c>
      <c r="DW207" s="87">
        <f t="shared" si="406"/>
        <v>0</v>
      </c>
    </row>
    <row r="208" spans="1:127">
      <c r="A208" s="22" t="s">
        <v>126</v>
      </c>
      <c r="B208" s="26">
        <v>4902430900782</v>
      </c>
      <c r="C208" s="22" t="s">
        <v>127</v>
      </c>
      <c r="D208" s="22" t="s">
        <v>124</v>
      </c>
      <c r="E208" s="22">
        <v>109282</v>
      </c>
      <c r="F208" s="80" t="s">
        <v>309</v>
      </c>
      <c r="G208" s="25">
        <v>132.62</v>
      </c>
      <c r="H208" s="85">
        <f t="shared" si="347"/>
        <v>47875.82</v>
      </c>
      <c r="I208" s="85">
        <f t="shared" si="348"/>
        <v>64453.32</v>
      </c>
      <c r="J208" s="85">
        <f t="shared" si="349"/>
        <v>76256.5</v>
      </c>
      <c r="K208" s="85">
        <f t="shared" si="350"/>
        <v>55833.020000000004</v>
      </c>
      <c r="L208" s="85">
        <f t="shared" si="351"/>
        <v>62729.26</v>
      </c>
      <c r="M208" s="86">
        <f t="shared" si="352"/>
        <v>50528.22</v>
      </c>
      <c r="N208" s="87">
        <f t="shared" si="353"/>
        <v>55302.54</v>
      </c>
      <c r="O208" s="87">
        <f t="shared" si="354"/>
        <v>35011.68</v>
      </c>
      <c r="P208" s="87">
        <f t="shared" si="355"/>
        <v>36735.74</v>
      </c>
      <c r="Q208" s="87">
        <f t="shared" si="356"/>
        <v>12201.04</v>
      </c>
      <c r="R208" s="87">
        <f t="shared" si="357"/>
        <v>19229.900000000001</v>
      </c>
      <c r="S208" s="87">
        <f t="shared" si="358"/>
        <v>10211.74</v>
      </c>
      <c r="T208" s="87">
        <f t="shared" si="359"/>
        <v>1060.96</v>
      </c>
      <c r="U208" s="87">
        <f t="shared" si="360"/>
        <v>0</v>
      </c>
      <c r="V208" s="87">
        <f t="shared" si="361"/>
        <v>0</v>
      </c>
      <c r="W208" s="87">
        <f t="shared" si="362"/>
        <v>397.86</v>
      </c>
      <c r="X208" s="87">
        <f t="shared" si="363"/>
        <v>0</v>
      </c>
      <c r="Y208" s="86">
        <f t="shared" si="364"/>
        <v>0</v>
      </c>
      <c r="Z208" s="87">
        <f t="shared" si="365"/>
        <v>0</v>
      </c>
      <c r="AA208" s="87">
        <f t="shared" si="366"/>
        <v>0</v>
      </c>
      <c r="AB208" s="87">
        <f t="shared" si="367"/>
        <v>132.62</v>
      </c>
      <c r="AC208" s="87">
        <f t="shared" si="368"/>
        <v>0</v>
      </c>
      <c r="AD208" s="87">
        <f t="shared" si="369"/>
        <v>0</v>
      </c>
      <c r="AE208" s="87">
        <f t="shared" si="370"/>
        <v>0</v>
      </c>
      <c r="AF208" s="231">
        <f t="shared" si="371"/>
        <v>0</v>
      </c>
      <c r="AG208" s="87">
        <f t="shared" si="372"/>
        <v>0</v>
      </c>
      <c r="AH208" s="87">
        <f t="shared" si="373"/>
        <v>0</v>
      </c>
      <c r="AI208" s="87">
        <f t="shared" si="374"/>
        <v>0</v>
      </c>
      <c r="AJ208" s="87">
        <f t="shared" si="375"/>
        <v>0</v>
      </c>
      <c r="AK208" s="86">
        <f t="shared" si="376"/>
        <v>0</v>
      </c>
      <c r="AL208" s="85">
        <v>141</v>
      </c>
      <c r="AM208" s="85">
        <v>268</v>
      </c>
      <c r="AN208" s="85">
        <v>198</v>
      </c>
      <c r="AO208" s="85">
        <v>202</v>
      </c>
      <c r="AP208" s="85">
        <v>265</v>
      </c>
      <c r="AQ208" s="86">
        <v>143</v>
      </c>
      <c r="AR208" s="87">
        <v>180</v>
      </c>
      <c r="AS208" s="87">
        <v>180</v>
      </c>
      <c r="AT208" s="87">
        <v>107</v>
      </c>
      <c r="AU208" s="87">
        <v>92</v>
      </c>
      <c r="AV208" s="87">
        <v>145</v>
      </c>
      <c r="AW208" s="87">
        <v>77</v>
      </c>
      <c r="AX208" s="87">
        <v>8</v>
      </c>
      <c r="AY208" s="87">
        <v>0</v>
      </c>
      <c r="AZ208" s="87">
        <v>0</v>
      </c>
      <c r="BA208" s="87">
        <v>3</v>
      </c>
      <c r="BB208" s="87">
        <v>0</v>
      </c>
      <c r="BC208" s="86">
        <v>0</v>
      </c>
      <c r="BD208" s="87">
        <v>0</v>
      </c>
      <c r="BE208" s="87">
        <v>0</v>
      </c>
      <c r="BF208" s="87">
        <v>1</v>
      </c>
      <c r="BG208" s="87">
        <v>0</v>
      </c>
      <c r="BH208" s="87">
        <v>0</v>
      </c>
      <c r="BI208" s="87">
        <v>0</v>
      </c>
      <c r="BJ208" s="40">
        <v>0</v>
      </c>
      <c r="BK208" s="40">
        <v>0</v>
      </c>
      <c r="BL208" s="40">
        <v>0</v>
      </c>
      <c r="BM208" s="40">
        <v>0</v>
      </c>
      <c r="BN208" s="87"/>
      <c r="BO208" s="86"/>
      <c r="BP208" s="21">
        <v>220</v>
      </c>
      <c r="BQ208" s="21">
        <v>218</v>
      </c>
      <c r="BR208" s="21">
        <v>377</v>
      </c>
      <c r="BS208" s="21">
        <v>219</v>
      </c>
      <c r="BT208" s="21">
        <v>208</v>
      </c>
      <c r="BU208" s="42">
        <v>238</v>
      </c>
      <c r="BV208" s="21">
        <v>237</v>
      </c>
      <c r="BW208" s="21">
        <v>84</v>
      </c>
      <c r="BX208" s="21">
        <v>170</v>
      </c>
      <c r="BY208" s="21">
        <v>0</v>
      </c>
      <c r="BZ208" s="21">
        <v>0</v>
      </c>
      <c r="CA208" s="21">
        <v>0</v>
      </c>
      <c r="CB208" s="21">
        <v>0</v>
      </c>
      <c r="CC208" s="21">
        <v>0</v>
      </c>
      <c r="CD208" s="21">
        <v>0</v>
      </c>
      <c r="CE208" s="21">
        <v>0</v>
      </c>
      <c r="CF208" s="21">
        <v>0</v>
      </c>
      <c r="CG208" s="42">
        <v>0</v>
      </c>
      <c r="CH208" s="21">
        <v>0</v>
      </c>
      <c r="CI208" s="21">
        <v>0</v>
      </c>
      <c r="CJ208" s="21">
        <v>0</v>
      </c>
      <c r="CK208" s="21">
        <v>0</v>
      </c>
      <c r="CL208" s="21">
        <v>0</v>
      </c>
      <c r="CM208" s="21">
        <v>0</v>
      </c>
      <c r="CN208" s="21">
        <v>0</v>
      </c>
      <c r="CO208" s="21">
        <v>0</v>
      </c>
      <c r="CP208" s="21">
        <f t="shared" si="377"/>
        <v>0</v>
      </c>
      <c r="CQ208" s="344">
        <f t="shared" si="378"/>
        <v>0</v>
      </c>
      <c r="CR208" s="87"/>
      <c r="CS208" s="86"/>
      <c r="CT208" s="85">
        <f t="shared" si="379"/>
        <v>361</v>
      </c>
      <c r="CU208" s="85">
        <f t="shared" si="380"/>
        <v>486</v>
      </c>
      <c r="CV208" s="85">
        <f t="shared" si="381"/>
        <v>575</v>
      </c>
      <c r="CW208" s="85">
        <f t="shared" si="382"/>
        <v>421</v>
      </c>
      <c r="CX208" s="85">
        <f t="shared" si="383"/>
        <v>473</v>
      </c>
      <c r="CY208" s="86">
        <f t="shared" si="384"/>
        <v>381</v>
      </c>
      <c r="CZ208" s="87">
        <f t="shared" si="385"/>
        <v>417</v>
      </c>
      <c r="DA208" s="87">
        <f t="shared" si="386"/>
        <v>264</v>
      </c>
      <c r="DB208" s="87">
        <f t="shared" si="387"/>
        <v>277</v>
      </c>
      <c r="DC208" s="87">
        <f t="shared" si="388"/>
        <v>92</v>
      </c>
      <c r="DD208" s="87">
        <f t="shared" si="389"/>
        <v>145</v>
      </c>
      <c r="DE208" s="87">
        <f t="shared" si="390"/>
        <v>77</v>
      </c>
      <c r="DF208" s="87">
        <f t="shared" si="391"/>
        <v>8</v>
      </c>
      <c r="DG208" s="87">
        <f t="shared" si="392"/>
        <v>0</v>
      </c>
      <c r="DH208" s="87">
        <f t="shared" si="393"/>
        <v>0</v>
      </c>
      <c r="DI208" s="87">
        <f t="shared" si="394"/>
        <v>3</v>
      </c>
      <c r="DJ208" s="87">
        <f t="shared" si="395"/>
        <v>0</v>
      </c>
      <c r="DK208" s="86">
        <f t="shared" si="396"/>
        <v>0</v>
      </c>
      <c r="DL208" s="87">
        <f t="shared" si="397"/>
        <v>0</v>
      </c>
      <c r="DM208" s="87">
        <f t="shared" si="398"/>
        <v>0</v>
      </c>
      <c r="DN208" s="87">
        <f t="shared" si="399"/>
        <v>1</v>
      </c>
      <c r="DO208" s="87">
        <f t="shared" si="400"/>
        <v>0</v>
      </c>
      <c r="DP208" s="87">
        <f t="shared" si="401"/>
        <v>0</v>
      </c>
      <c r="DQ208" s="87">
        <f t="shared" si="402"/>
        <v>0</v>
      </c>
      <c r="DR208" s="87">
        <f t="shared" si="340"/>
        <v>0</v>
      </c>
      <c r="DS208" s="87">
        <f t="shared" si="341"/>
        <v>0</v>
      </c>
      <c r="DT208" s="87">
        <f t="shared" si="403"/>
        <v>0</v>
      </c>
      <c r="DU208" s="87">
        <f t="shared" si="404"/>
        <v>0</v>
      </c>
      <c r="DV208" s="87">
        <f t="shared" si="405"/>
        <v>0</v>
      </c>
      <c r="DW208" s="87">
        <f t="shared" si="406"/>
        <v>0</v>
      </c>
    </row>
    <row r="209" spans="1:127">
      <c r="A209" s="22" t="s">
        <v>126</v>
      </c>
      <c r="B209" s="26">
        <v>4902430871259</v>
      </c>
      <c r="C209" s="22" t="s">
        <v>127</v>
      </c>
      <c r="D209" s="22" t="s">
        <v>47</v>
      </c>
      <c r="E209" s="22">
        <v>117636</v>
      </c>
      <c r="F209" s="80" t="s">
        <v>310</v>
      </c>
      <c r="G209" s="25">
        <v>146.95000000000002</v>
      </c>
      <c r="H209" s="85">
        <f t="shared" si="347"/>
        <v>69213.450000000012</v>
      </c>
      <c r="I209" s="85">
        <f t="shared" si="348"/>
        <v>170462.00000000003</v>
      </c>
      <c r="J209" s="85">
        <f t="shared" si="349"/>
        <v>65686.650000000009</v>
      </c>
      <c r="K209" s="85">
        <f t="shared" si="350"/>
        <v>51432.500000000007</v>
      </c>
      <c r="L209" s="85">
        <f t="shared" si="351"/>
        <v>60837.30000000001</v>
      </c>
      <c r="M209" s="86">
        <f t="shared" si="352"/>
        <v>40999.050000000003</v>
      </c>
      <c r="N209" s="87">
        <f t="shared" si="353"/>
        <v>37619.200000000004</v>
      </c>
      <c r="O209" s="87">
        <f t="shared" si="354"/>
        <v>33063.750000000007</v>
      </c>
      <c r="P209" s="87">
        <f t="shared" si="355"/>
        <v>9404.8000000000011</v>
      </c>
      <c r="Q209" s="87">
        <f t="shared" si="356"/>
        <v>11315.150000000001</v>
      </c>
      <c r="R209" s="87">
        <f t="shared" si="357"/>
        <v>8229.2000000000007</v>
      </c>
      <c r="S209" s="87">
        <f t="shared" si="358"/>
        <v>8229.2000000000007</v>
      </c>
      <c r="T209" s="87">
        <f t="shared" si="359"/>
        <v>7641.4000000000005</v>
      </c>
      <c r="U209" s="87">
        <f t="shared" si="360"/>
        <v>9110.9000000000015</v>
      </c>
      <c r="V209" s="87">
        <f t="shared" si="361"/>
        <v>2498.15</v>
      </c>
      <c r="W209" s="87">
        <f t="shared" si="362"/>
        <v>0</v>
      </c>
      <c r="X209" s="87">
        <f t="shared" si="363"/>
        <v>0</v>
      </c>
      <c r="Y209" s="86">
        <f t="shared" si="364"/>
        <v>0</v>
      </c>
      <c r="Z209" s="87">
        <f t="shared" si="365"/>
        <v>0</v>
      </c>
      <c r="AA209" s="87">
        <f t="shared" si="366"/>
        <v>146.95000000000002</v>
      </c>
      <c r="AB209" s="87">
        <f t="shared" si="367"/>
        <v>0</v>
      </c>
      <c r="AC209" s="87">
        <f t="shared" si="368"/>
        <v>0</v>
      </c>
      <c r="AD209" s="87">
        <f t="shared" si="369"/>
        <v>0</v>
      </c>
      <c r="AE209" s="87">
        <f t="shared" si="370"/>
        <v>0</v>
      </c>
      <c r="AF209" s="231">
        <f t="shared" si="371"/>
        <v>0</v>
      </c>
      <c r="AG209" s="87">
        <f t="shared" si="372"/>
        <v>0</v>
      </c>
      <c r="AH209" s="87">
        <f t="shared" si="373"/>
        <v>0</v>
      </c>
      <c r="AI209" s="87">
        <f t="shared" si="374"/>
        <v>0</v>
      </c>
      <c r="AJ209" s="87">
        <f t="shared" si="375"/>
        <v>0</v>
      </c>
      <c r="AK209" s="86">
        <f t="shared" si="376"/>
        <v>0</v>
      </c>
      <c r="AL209" s="85">
        <v>352</v>
      </c>
      <c r="AM209" s="85">
        <v>937</v>
      </c>
      <c r="AN209" s="85">
        <v>383</v>
      </c>
      <c r="AO209" s="85">
        <v>303</v>
      </c>
      <c r="AP209" s="85">
        <v>379</v>
      </c>
      <c r="AQ209" s="86">
        <v>239</v>
      </c>
      <c r="AR209" s="87">
        <v>201</v>
      </c>
      <c r="AS209" s="87">
        <v>225</v>
      </c>
      <c r="AT209" s="87">
        <v>64</v>
      </c>
      <c r="AU209" s="87">
        <v>77</v>
      </c>
      <c r="AV209" s="87">
        <v>56</v>
      </c>
      <c r="AW209" s="87">
        <v>56</v>
      </c>
      <c r="AX209" s="87">
        <v>52</v>
      </c>
      <c r="AY209" s="87">
        <v>62</v>
      </c>
      <c r="AZ209" s="87">
        <v>17</v>
      </c>
      <c r="BA209" s="87">
        <v>0</v>
      </c>
      <c r="BB209" s="87">
        <v>0</v>
      </c>
      <c r="BC209" s="86">
        <v>0</v>
      </c>
      <c r="BD209" s="87">
        <v>0</v>
      </c>
      <c r="BE209" s="87">
        <v>1</v>
      </c>
      <c r="BF209" s="87">
        <v>0</v>
      </c>
      <c r="BG209" s="87">
        <v>0</v>
      </c>
      <c r="BH209" s="87">
        <v>0</v>
      </c>
      <c r="BI209" s="87">
        <v>0</v>
      </c>
      <c r="BJ209" s="40">
        <v>0</v>
      </c>
      <c r="BK209" s="40">
        <v>0</v>
      </c>
      <c r="BL209" s="40">
        <v>0</v>
      </c>
      <c r="BM209" s="40">
        <v>0</v>
      </c>
      <c r="BN209" s="87"/>
      <c r="BO209" s="86"/>
      <c r="BP209" s="21">
        <v>119</v>
      </c>
      <c r="BQ209" s="21">
        <v>223</v>
      </c>
      <c r="BR209" s="21">
        <v>64</v>
      </c>
      <c r="BS209" s="21">
        <v>47</v>
      </c>
      <c r="BT209" s="21">
        <v>35</v>
      </c>
      <c r="BU209" s="42">
        <v>40</v>
      </c>
      <c r="BV209" s="21">
        <v>55</v>
      </c>
      <c r="BW209" s="21">
        <v>0</v>
      </c>
      <c r="BX209" s="21">
        <v>0</v>
      </c>
      <c r="BY209" s="21">
        <v>0</v>
      </c>
      <c r="BZ209" s="21">
        <v>0</v>
      </c>
      <c r="CA209" s="21">
        <v>0</v>
      </c>
      <c r="CB209" s="21">
        <v>0</v>
      </c>
      <c r="CC209" s="21">
        <v>0</v>
      </c>
      <c r="CD209" s="21">
        <v>0</v>
      </c>
      <c r="CE209" s="21">
        <v>0</v>
      </c>
      <c r="CF209" s="21">
        <v>0</v>
      </c>
      <c r="CG209" s="42">
        <v>0</v>
      </c>
      <c r="CH209" s="21">
        <v>0</v>
      </c>
      <c r="CI209" s="21">
        <v>0</v>
      </c>
      <c r="CJ209" s="21">
        <v>0</v>
      </c>
      <c r="CK209" s="21">
        <v>0</v>
      </c>
      <c r="CL209" s="21">
        <v>0</v>
      </c>
      <c r="CM209" s="21">
        <v>0</v>
      </c>
      <c r="CN209" s="21">
        <v>0</v>
      </c>
      <c r="CO209" s="21">
        <v>0</v>
      </c>
      <c r="CP209" s="21">
        <f t="shared" si="377"/>
        <v>0</v>
      </c>
      <c r="CQ209" s="344">
        <f t="shared" si="378"/>
        <v>0</v>
      </c>
      <c r="CR209" s="87"/>
      <c r="CS209" s="86"/>
      <c r="CT209" s="85">
        <f t="shared" si="379"/>
        <v>471</v>
      </c>
      <c r="CU209" s="85">
        <f t="shared" si="380"/>
        <v>1160</v>
      </c>
      <c r="CV209" s="85">
        <f t="shared" si="381"/>
        <v>447</v>
      </c>
      <c r="CW209" s="85">
        <f t="shared" si="382"/>
        <v>350</v>
      </c>
      <c r="CX209" s="85">
        <f t="shared" si="383"/>
        <v>414</v>
      </c>
      <c r="CY209" s="86">
        <f t="shared" si="384"/>
        <v>279</v>
      </c>
      <c r="CZ209" s="87">
        <f t="shared" si="385"/>
        <v>256</v>
      </c>
      <c r="DA209" s="87">
        <f t="shared" si="386"/>
        <v>225</v>
      </c>
      <c r="DB209" s="87">
        <f t="shared" si="387"/>
        <v>64</v>
      </c>
      <c r="DC209" s="87">
        <f t="shared" si="388"/>
        <v>77</v>
      </c>
      <c r="DD209" s="87">
        <f t="shared" si="389"/>
        <v>56</v>
      </c>
      <c r="DE209" s="87">
        <f t="shared" si="390"/>
        <v>56</v>
      </c>
      <c r="DF209" s="87">
        <f t="shared" si="391"/>
        <v>52</v>
      </c>
      <c r="DG209" s="87">
        <f t="shared" si="392"/>
        <v>62</v>
      </c>
      <c r="DH209" s="87">
        <f t="shared" si="393"/>
        <v>17</v>
      </c>
      <c r="DI209" s="87">
        <f t="shared" si="394"/>
        <v>0</v>
      </c>
      <c r="DJ209" s="87">
        <f t="shared" si="395"/>
        <v>0</v>
      </c>
      <c r="DK209" s="86">
        <f t="shared" si="396"/>
        <v>0</v>
      </c>
      <c r="DL209" s="87">
        <f t="shared" si="397"/>
        <v>0</v>
      </c>
      <c r="DM209" s="87">
        <f t="shared" si="398"/>
        <v>1</v>
      </c>
      <c r="DN209" s="87">
        <f t="shared" si="399"/>
        <v>0</v>
      </c>
      <c r="DO209" s="87">
        <f t="shared" si="400"/>
        <v>0</v>
      </c>
      <c r="DP209" s="87">
        <f t="shared" si="401"/>
        <v>0</v>
      </c>
      <c r="DQ209" s="87">
        <f t="shared" si="402"/>
        <v>0</v>
      </c>
      <c r="DR209" s="87">
        <f t="shared" si="340"/>
        <v>0</v>
      </c>
      <c r="DS209" s="87">
        <f t="shared" si="341"/>
        <v>0</v>
      </c>
      <c r="DT209" s="87">
        <f t="shared" si="403"/>
        <v>0</v>
      </c>
      <c r="DU209" s="87">
        <f t="shared" si="404"/>
        <v>0</v>
      </c>
      <c r="DV209" s="87">
        <f t="shared" si="405"/>
        <v>0</v>
      </c>
      <c r="DW209" s="87">
        <f t="shared" si="406"/>
        <v>0</v>
      </c>
    </row>
    <row r="210" spans="1:127">
      <c r="A210" s="22" t="s">
        <v>126</v>
      </c>
      <c r="B210" s="26">
        <v>4902430871143</v>
      </c>
      <c r="C210" s="22" t="s">
        <v>127</v>
      </c>
      <c r="D210" s="22" t="s">
        <v>47</v>
      </c>
      <c r="E210" s="22">
        <v>121757</v>
      </c>
      <c r="F210" s="80" t="s">
        <v>311</v>
      </c>
      <c r="G210" s="25">
        <v>64.59</v>
      </c>
      <c r="H210" s="85">
        <f t="shared" si="347"/>
        <v>129.18</v>
      </c>
      <c r="I210" s="85">
        <f t="shared" si="348"/>
        <v>0</v>
      </c>
      <c r="J210" s="85">
        <f t="shared" si="349"/>
        <v>0</v>
      </c>
      <c r="K210" s="85">
        <f t="shared" si="350"/>
        <v>0</v>
      </c>
      <c r="L210" s="85">
        <f t="shared" si="351"/>
        <v>0</v>
      </c>
      <c r="M210" s="86">
        <f t="shared" si="352"/>
        <v>0</v>
      </c>
      <c r="N210" s="87">
        <f t="shared" si="353"/>
        <v>0</v>
      </c>
      <c r="O210" s="87">
        <f t="shared" si="354"/>
        <v>0</v>
      </c>
      <c r="P210" s="87">
        <f t="shared" si="355"/>
        <v>0</v>
      </c>
      <c r="Q210" s="87">
        <f t="shared" si="356"/>
        <v>0</v>
      </c>
      <c r="R210" s="87">
        <f t="shared" si="357"/>
        <v>0</v>
      </c>
      <c r="S210" s="87">
        <f t="shared" si="358"/>
        <v>0</v>
      </c>
      <c r="T210" s="87">
        <f t="shared" si="359"/>
        <v>0</v>
      </c>
      <c r="U210" s="87">
        <f t="shared" si="360"/>
        <v>0</v>
      </c>
      <c r="V210" s="87">
        <f t="shared" si="361"/>
        <v>0</v>
      </c>
      <c r="W210" s="87">
        <f t="shared" si="362"/>
        <v>0</v>
      </c>
      <c r="X210" s="87">
        <f t="shared" si="363"/>
        <v>0</v>
      </c>
      <c r="Y210" s="86">
        <f t="shared" si="364"/>
        <v>0</v>
      </c>
      <c r="Z210" s="87">
        <f t="shared" si="365"/>
        <v>0</v>
      </c>
      <c r="AA210" s="87">
        <f t="shared" si="366"/>
        <v>0</v>
      </c>
      <c r="AB210" s="87">
        <f t="shared" si="367"/>
        <v>0</v>
      </c>
      <c r="AC210" s="87">
        <f t="shared" si="368"/>
        <v>0</v>
      </c>
      <c r="AD210" s="87">
        <f t="shared" si="369"/>
        <v>0</v>
      </c>
      <c r="AE210" s="87">
        <f t="shared" si="370"/>
        <v>0</v>
      </c>
      <c r="AF210" s="231">
        <f t="shared" si="371"/>
        <v>0</v>
      </c>
      <c r="AG210" s="87">
        <f t="shared" si="372"/>
        <v>0</v>
      </c>
      <c r="AH210" s="87">
        <f t="shared" si="373"/>
        <v>0</v>
      </c>
      <c r="AI210" s="87">
        <f t="shared" si="374"/>
        <v>0</v>
      </c>
      <c r="AJ210" s="87">
        <f t="shared" si="375"/>
        <v>0</v>
      </c>
      <c r="AK210" s="86">
        <f t="shared" si="376"/>
        <v>0</v>
      </c>
      <c r="AL210" s="85">
        <v>2</v>
      </c>
      <c r="AM210" s="85">
        <v>0</v>
      </c>
      <c r="AN210" s="85">
        <v>0</v>
      </c>
      <c r="AO210" s="85">
        <v>0</v>
      </c>
      <c r="AP210" s="85">
        <v>0</v>
      </c>
      <c r="AQ210" s="86">
        <v>0</v>
      </c>
      <c r="AR210" s="87">
        <v>0</v>
      </c>
      <c r="AS210" s="87">
        <v>0</v>
      </c>
      <c r="AT210" s="87">
        <v>0</v>
      </c>
      <c r="AU210" s="87">
        <v>0</v>
      </c>
      <c r="AV210" s="87">
        <v>0</v>
      </c>
      <c r="AW210" s="87">
        <v>0</v>
      </c>
      <c r="AX210" s="87">
        <v>0</v>
      </c>
      <c r="AY210" s="87">
        <v>0</v>
      </c>
      <c r="AZ210" s="87">
        <v>0</v>
      </c>
      <c r="BA210" s="87">
        <v>0</v>
      </c>
      <c r="BB210" s="87">
        <v>0</v>
      </c>
      <c r="BC210" s="86">
        <v>0</v>
      </c>
      <c r="BD210" s="87">
        <v>0</v>
      </c>
      <c r="BE210" s="87">
        <v>0</v>
      </c>
      <c r="BF210" s="87">
        <v>0</v>
      </c>
      <c r="BG210" s="87">
        <v>0</v>
      </c>
      <c r="BH210" s="87">
        <v>0</v>
      </c>
      <c r="BI210" s="87">
        <v>0</v>
      </c>
      <c r="BJ210" s="40">
        <v>0</v>
      </c>
      <c r="BK210" s="40">
        <v>0</v>
      </c>
      <c r="BL210" s="40">
        <v>0</v>
      </c>
      <c r="BM210" s="40" t="s">
        <v>768</v>
      </c>
      <c r="BN210" s="87"/>
      <c r="BO210" s="86"/>
      <c r="BP210" s="21">
        <v>0</v>
      </c>
      <c r="BQ210" s="21">
        <v>0</v>
      </c>
      <c r="BR210" s="21">
        <v>0</v>
      </c>
      <c r="BS210" s="21">
        <v>0</v>
      </c>
      <c r="BT210" s="21">
        <v>0</v>
      </c>
      <c r="BU210" s="42">
        <v>0</v>
      </c>
      <c r="BV210" s="21">
        <v>0</v>
      </c>
      <c r="BW210" s="21">
        <v>0</v>
      </c>
      <c r="BX210" s="21">
        <v>0</v>
      </c>
      <c r="BY210" s="21">
        <v>0</v>
      </c>
      <c r="BZ210" s="21">
        <v>0</v>
      </c>
      <c r="CA210" s="21">
        <v>0</v>
      </c>
      <c r="CB210" s="21">
        <v>0</v>
      </c>
      <c r="CC210" s="21">
        <v>0</v>
      </c>
      <c r="CD210" s="21">
        <v>0</v>
      </c>
      <c r="CE210" s="21">
        <v>0</v>
      </c>
      <c r="CF210" s="21">
        <v>0</v>
      </c>
      <c r="CG210" s="42">
        <v>0</v>
      </c>
      <c r="CH210" s="21">
        <v>0</v>
      </c>
      <c r="CI210" s="21">
        <v>0</v>
      </c>
      <c r="CJ210" s="21">
        <v>0</v>
      </c>
      <c r="CK210" s="21">
        <v>0</v>
      </c>
      <c r="CL210" s="21">
        <v>0</v>
      </c>
      <c r="CM210" s="21">
        <v>0</v>
      </c>
      <c r="CN210" s="21">
        <v>0</v>
      </c>
      <c r="CO210" s="21">
        <v>0</v>
      </c>
      <c r="CP210" s="21">
        <f t="shared" si="377"/>
        <v>0</v>
      </c>
      <c r="CQ210" s="344">
        <f t="shared" si="378"/>
        <v>0</v>
      </c>
      <c r="CR210" s="87"/>
      <c r="CS210" s="86"/>
      <c r="CT210" s="85">
        <f t="shared" si="379"/>
        <v>2</v>
      </c>
      <c r="CU210" s="85">
        <f t="shared" si="380"/>
        <v>0</v>
      </c>
      <c r="CV210" s="85">
        <f t="shared" si="381"/>
        <v>0</v>
      </c>
      <c r="CW210" s="85">
        <f t="shared" si="382"/>
        <v>0</v>
      </c>
      <c r="CX210" s="85">
        <f t="shared" si="383"/>
        <v>0</v>
      </c>
      <c r="CY210" s="86">
        <f t="shared" si="384"/>
        <v>0</v>
      </c>
      <c r="CZ210" s="87">
        <f t="shared" si="385"/>
        <v>0</v>
      </c>
      <c r="DA210" s="87">
        <f t="shared" si="386"/>
        <v>0</v>
      </c>
      <c r="DB210" s="87">
        <f t="shared" si="387"/>
        <v>0</v>
      </c>
      <c r="DC210" s="87">
        <f t="shared" si="388"/>
        <v>0</v>
      </c>
      <c r="DD210" s="87">
        <f t="shared" si="389"/>
        <v>0</v>
      </c>
      <c r="DE210" s="87">
        <f t="shared" si="390"/>
        <v>0</v>
      </c>
      <c r="DF210" s="87">
        <f t="shared" si="391"/>
        <v>0</v>
      </c>
      <c r="DG210" s="87">
        <f t="shared" si="392"/>
        <v>0</v>
      </c>
      <c r="DH210" s="87">
        <f t="shared" si="393"/>
        <v>0</v>
      </c>
      <c r="DI210" s="87">
        <f t="shared" si="394"/>
        <v>0</v>
      </c>
      <c r="DJ210" s="87">
        <f t="shared" si="395"/>
        <v>0</v>
      </c>
      <c r="DK210" s="86">
        <f t="shared" si="396"/>
        <v>0</v>
      </c>
      <c r="DL210" s="87">
        <f t="shared" si="397"/>
        <v>0</v>
      </c>
      <c r="DM210" s="87">
        <f t="shared" si="398"/>
        <v>0</v>
      </c>
      <c r="DN210" s="87">
        <f t="shared" si="399"/>
        <v>0</v>
      </c>
      <c r="DO210" s="87">
        <f t="shared" si="400"/>
        <v>0</v>
      </c>
      <c r="DP210" s="87">
        <f t="shared" si="401"/>
        <v>0</v>
      </c>
      <c r="DQ210" s="87">
        <f t="shared" si="402"/>
        <v>0</v>
      </c>
      <c r="DR210" s="87">
        <f t="shared" si="340"/>
        <v>0</v>
      </c>
      <c r="DS210" s="87">
        <f t="shared" si="341"/>
        <v>0</v>
      </c>
      <c r="DT210" s="87">
        <f t="shared" si="403"/>
        <v>0</v>
      </c>
      <c r="DU210" s="87">
        <f t="shared" si="404"/>
        <v>0</v>
      </c>
      <c r="DV210" s="87">
        <f t="shared" si="405"/>
        <v>0</v>
      </c>
      <c r="DW210" s="87">
        <f t="shared" si="406"/>
        <v>0</v>
      </c>
    </row>
    <row r="211" spans="1:127">
      <c r="A211" s="22" t="s">
        <v>126</v>
      </c>
      <c r="B211" s="26">
        <v>4987176098108</v>
      </c>
      <c r="C211" s="22" t="s">
        <v>127</v>
      </c>
      <c r="D211" s="22" t="s">
        <v>124</v>
      </c>
      <c r="E211" s="22">
        <v>131496</v>
      </c>
      <c r="F211" s="80" t="s">
        <v>312</v>
      </c>
      <c r="G211" s="25">
        <v>60.839999999999996</v>
      </c>
      <c r="H211" s="85">
        <f t="shared" si="347"/>
        <v>0</v>
      </c>
      <c r="I211" s="85">
        <f t="shared" si="348"/>
        <v>0</v>
      </c>
      <c r="J211" s="85">
        <f t="shared" si="349"/>
        <v>60.839999999999996</v>
      </c>
      <c r="K211" s="85">
        <f t="shared" si="350"/>
        <v>0</v>
      </c>
      <c r="L211" s="85">
        <f t="shared" si="351"/>
        <v>0</v>
      </c>
      <c r="M211" s="86">
        <f t="shared" si="352"/>
        <v>0</v>
      </c>
      <c r="N211" s="87">
        <f t="shared" si="353"/>
        <v>0</v>
      </c>
      <c r="O211" s="87">
        <f t="shared" si="354"/>
        <v>0</v>
      </c>
      <c r="P211" s="87">
        <f t="shared" si="355"/>
        <v>0</v>
      </c>
      <c r="Q211" s="87">
        <f t="shared" si="356"/>
        <v>0</v>
      </c>
      <c r="R211" s="87">
        <f t="shared" si="357"/>
        <v>0</v>
      </c>
      <c r="S211" s="87">
        <f t="shared" si="358"/>
        <v>0</v>
      </c>
      <c r="T211" s="87">
        <f t="shared" si="359"/>
        <v>0</v>
      </c>
      <c r="U211" s="87">
        <f t="shared" si="360"/>
        <v>0</v>
      </c>
      <c r="V211" s="87">
        <f t="shared" si="361"/>
        <v>0</v>
      </c>
      <c r="W211" s="87">
        <f t="shared" si="362"/>
        <v>0</v>
      </c>
      <c r="X211" s="87">
        <f t="shared" si="363"/>
        <v>0</v>
      </c>
      <c r="Y211" s="86">
        <f t="shared" si="364"/>
        <v>0</v>
      </c>
      <c r="Z211" s="87">
        <f t="shared" si="365"/>
        <v>0</v>
      </c>
      <c r="AA211" s="87">
        <f t="shared" si="366"/>
        <v>0</v>
      </c>
      <c r="AB211" s="87">
        <f t="shared" si="367"/>
        <v>0</v>
      </c>
      <c r="AC211" s="87">
        <f t="shared" si="368"/>
        <v>0</v>
      </c>
      <c r="AD211" s="87">
        <f t="shared" si="369"/>
        <v>0</v>
      </c>
      <c r="AE211" s="87">
        <f t="shared" si="370"/>
        <v>0</v>
      </c>
      <c r="AF211" s="231">
        <f t="shared" si="371"/>
        <v>0</v>
      </c>
      <c r="AG211" s="87">
        <f t="shared" si="372"/>
        <v>0</v>
      </c>
      <c r="AH211" s="87">
        <f t="shared" si="373"/>
        <v>0</v>
      </c>
      <c r="AI211" s="87">
        <f t="shared" si="374"/>
        <v>0</v>
      </c>
      <c r="AJ211" s="87">
        <f t="shared" si="375"/>
        <v>0</v>
      </c>
      <c r="AK211" s="86">
        <f t="shared" si="376"/>
        <v>0</v>
      </c>
      <c r="AL211" s="85">
        <v>0</v>
      </c>
      <c r="AM211" s="85">
        <v>0</v>
      </c>
      <c r="AN211" s="85">
        <v>1</v>
      </c>
      <c r="AO211" s="85">
        <v>0</v>
      </c>
      <c r="AP211" s="85">
        <v>0</v>
      </c>
      <c r="AQ211" s="86">
        <v>0</v>
      </c>
      <c r="AR211" s="87">
        <v>0</v>
      </c>
      <c r="AS211" s="87">
        <v>0</v>
      </c>
      <c r="AT211" s="87">
        <v>0</v>
      </c>
      <c r="AU211" s="87">
        <v>0</v>
      </c>
      <c r="AV211" s="87">
        <v>0</v>
      </c>
      <c r="AW211" s="87">
        <v>0</v>
      </c>
      <c r="AX211" s="87">
        <v>0</v>
      </c>
      <c r="AY211" s="87">
        <v>0</v>
      </c>
      <c r="AZ211" s="87">
        <v>0</v>
      </c>
      <c r="BA211" s="87">
        <v>0</v>
      </c>
      <c r="BB211" s="87">
        <v>0</v>
      </c>
      <c r="BC211" s="86">
        <v>0</v>
      </c>
      <c r="BD211" s="87">
        <v>0</v>
      </c>
      <c r="BE211" s="87">
        <v>0</v>
      </c>
      <c r="BF211" s="87">
        <v>0</v>
      </c>
      <c r="BG211" s="87">
        <v>0</v>
      </c>
      <c r="BH211" s="87">
        <v>0</v>
      </c>
      <c r="BI211" s="87">
        <v>0</v>
      </c>
      <c r="BJ211" s="40">
        <v>0</v>
      </c>
      <c r="BK211" s="40">
        <v>0</v>
      </c>
      <c r="BL211" s="40">
        <v>0</v>
      </c>
      <c r="BM211" s="40" t="s">
        <v>768</v>
      </c>
      <c r="BN211" s="87"/>
      <c r="BO211" s="86"/>
      <c r="BP211" s="21">
        <v>0</v>
      </c>
      <c r="BQ211" s="21">
        <v>0</v>
      </c>
      <c r="BR211" s="21">
        <v>0</v>
      </c>
      <c r="BS211" s="21">
        <v>0</v>
      </c>
      <c r="BT211" s="21">
        <v>0</v>
      </c>
      <c r="BU211" s="42">
        <v>0</v>
      </c>
      <c r="BV211" s="21">
        <v>0</v>
      </c>
      <c r="BW211" s="21">
        <v>0</v>
      </c>
      <c r="BX211" s="21">
        <v>0</v>
      </c>
      <c r="BY211" s="21">
        <v>0</v>
      </c>
      <c r="BZ211" s="21">
        <v>0</v>
      </c>
      <c r="CA211" s="21">
        <v>0</v>
      </c>
      <c r="CB211" s="21">
        <v>0</v>
      </c>
      <c r="CC211" s="21">
        <v>0</v>
      </c>
      <c r="CD211" s="21">
        <v>0</v>
      </c>
      <c r="CE211" s="21">
        <v>0</v>
      </c>
      <c r="CF211" s="21">
        <v>0</v>
      </c>
      <c r="CG211" s="42">
        <v>0</v>
      </c>
      <c r="CH211" s="21">
        <v>0</v>
      </c>
      <c r="CI211" s="21">
        <v>0</v>
      </c>
      <c r="CJ211" s="21">
        <v>0</v>
      </c>
      <c r="CK211" s="21">
        <v>0</v>
      </c>
      <c r="CL211" s="21">
        <v>0</v>
      </c>
      <c r="CM211" s="21">
        <v>0</v>
      </c>
      <c r="CN211" s="21">
        <v>0</v>
      </c>
      <c r="CO211" s="21">
        <v>0</v>
      </c>
      <c r="CP211" s="21">
        <f t="shared" si="377"/>
        <v>0</v>
      </c>
      <c r="CQ211" s="344">
        <f t="shared" si="378"/>
        <v>0</v>
      </c>
      <c r="CR211" s="87"/>
      <c r="CS211" s="86"/>
      <c r="CT211" s="85">
        <f t="shared" si="379"/>
        <v>0</v>
      </c>
      <c r="CU211" s="85">
        <f t="shared" si="380"/>
        <v>0</v>
      </c>
      <c r="CV211" s="85">
        <f t="shared" si="381"/>
        <v>1</v>
      </c>
      <c r="CW211" s="85">
        <f t="shared" si="382"/>
        <v>0</v>
      </c>
      <c r="CX211" s="85">
        <f t="shared" si="383"/>
        <v>0</v>
      </c>
      <c r="CY211" s="86">
        <f t="shared" si="384"/>
        <v>0</v>
      </c>
      <c r="CZ211" s="87">
        <f t="shared" si="385"/>
        <v>0</v>
      </c>
      <c r="DA211" s="87">
        <f t="shared" si="386"/>
        <v>0</v>
      </c>
      <c r="DB211" s="87">
        <f t="shared" si="387"/>
        <v>0</v>
      </c>
      <c r="DC211" s="87">
        <f t="shared" si="388"/>
        <v>0</v>
      </c>
      <c r="DD211" s="87">
        <f t="shared" si="389"/>
        <v>0</v>
      </c>
      <c r="DE211" s="87">
        <f t="shared" si="390"/>
        <v>0</v>
      </c>
      <c r="DF211" s="87">
        <f t="shared" si="391"/>
        <v>0</v>
      </c>
      <c r="DG211" s="87">
        <f t="shared" si="392"/>
        <v>0</v>
      </c>
      <c r="DH211" s="87">
        <f t="shared" si="393"/>
        <v>0</v>
      </c>
      <c r="DI211" s="87">
        <f t="shared" si="394"/>
        <v>0</v>
      </c>
      <c r="DJ211" s="87">
        <f t="shared" si="395"/>
        <v>0</v>
      </c>
      <c r="DK211" s="86">
        <f t="shared" si="396"/>
        <v>0</v>
      </c>
      <c r="DL211" s="87">
        <f t="shared" si="397"/>
        <v>0</v>
      </c>
      <c r="DM211" s="87">
        <f t="shared" si="398"/>
        <v>0</v>
      </c>
      <c r="DN211" s="87">
        <f t="shared" si="399"/>
        <v>0</v>
      </c>
      <c r="DO211" s="87">
        <f t="shared" si="400"/>
        <v>0</v>
      </c>
      <c r="DP211" s="87">
        <f t="shared" si="401"/>
        <v>0</v>
      </c>
      <c r="DQ211" s="87">
        <f t="shared" si="402"/>
        <v>0</v>
      </c>
      <c r="DR211" s="87">
        <f t="shared" si="340"/>
        <v>0</v>
      </c>
      <c r="DS211" s="87">
        <f t="shared" si="341"/>
        <v>0</v>
      </c>
      <c r="DT211" s="87">
        <f t="shared" si="403"/>
        <v>0</v>
      </c>
      <c r="DU211" s="87">
        <f t="shared" si="404"/>
        <v>0</v>
      </c>
      <c r="DV211" s="87">
        <f t="shared" si="405"/>
        <v>0</v>
      </c>
      <c r="DW211" s="87">
        <f t="shared" si="406"/>
        <v>0</v>
      </c>
    </row>
    <row r="212" spans="1:127">
      <c r="A212" s="22" t="s">
        <v>126</v>
      </c>
      <c r="B212" s="26">
        <v>4987176122865</v>
      </c>
      <c r="C212" s="22" t="s">
        <v>127</v>
      </c>
      <c r="D212" s="22" t="s">
        <v>125</v>
      </c>
      <c r="E212" s="22">
        <v>144349</v>
      </c>
      <c r="F212" s="80" t="s">
        <v>313</v>
      </c>
      <c r="G212" s="25">
        <v>68.989999999999995</v>
      </c>
      <c r="H212" s="85">
        <f t="shared" si="347"/>
        <v>33253.18</v>
      </c>
      <c r="I212" s="85">
        <f t="shared" si="348"/>
        <v>35598.839999999997</v>
      </c>
      <c r="J212" s="85">
        <f t="shared" si="349"/>
        <v>27113.07</v>
      </c>
      <c r="K212" s="85">
        <f t="shared" si="350"/>
        <v>23801.55</v>
      </c>
      <c r="L212" s="85">
        <f t="shared" si="351"/>
        <v>25250.339999999997</v>
      </c>
      <c r="M212" s="86">
        <f t="shared" si="352"/>
        <v>22421.75</v>
      </c>
      <c r="N212" s="87">
        <f t="shared" si="353"/>
        <v>28975.8</v>
      </c>
      <c r="O212" s="87">
        <f t="shared" si="354"/>
        <v>26216.199999999997</v>
      </c>
      <c r="P212" s="87">
        <f t="shared" si="355"/>
        <v>23111.649999999998</v>
      </c>
      <c r="Q212" s="87">
        <f t="shared" si="356"/>
        <v>32908.229999999996</v>
      </c>
      <c r="R212" s="87">
        <f t="shared" si="357"/>
        <v>28078.929999999997</v>
      </c>
      <c r="S212" s="87">
        <f t="shared" si="358"/>
        <v>32977.22</v>
      </c>
      <c r="T212" s="87">
        <f t="shared" si="359"/>
        <v>26975.089999999997</v>
      </c>
      <c r="U212" s="87">
        <f t="shared" si="360"/>
        <v>26147.21</v>
      </c>
      <c r="V212" s="87">
        <f t="shared" si="361"/>
        <v>18075.379999999997</v>
      </c>
      <c r="W212" s="87">
        <f t="shared" si="362"/>
        <v>16005.679999999998</v>
      </c>
      <c r="X212" s="87">
        <f t="shared" si="363"/>
        <v>18834.269999999997</v>
      </c>
      <c r="Y212" s="86">
        <f t="shared" si="364"/>
        <v>20352.05</v>
      </c>
      <c r="Z212" s="87">
        <f t="shared" si="365"/>
        <v>28078.929999999997</v>
      </c>
      <c r="AA212" s="87">
        <f t="shared" si="366"/>
        <v>13039.109999999999</v>
      </c>
      <c r="AB212" s="87">
        <f t="shared" si="367"/>
        <v>620.91</v>
      </c>
      <c r="AC212" s="87">
        <f t="shared" si="368"/>
        <v>0</v>
      </c>
      <c r="AD212" s="87">
        <f t="shared" si="369"/>
        <v>0</v>
      </c>
      <c r="AE212" s="87">
        <f t="shared" si="370"/>
        <v>0</v>
      </c>
      <c r="AF212" s="231">
        <f t="shared" si="371"/>
        <v>0</v>
      </c>
      <c r="AG212" s="87">
        <f t="shared" si="372"/>
        <v>0</v>
      </c>
      <c r="AH212" s="87">
        <f t="shared" si="373"/>
        <v>0</v>
      </c>
      <c r="AI212" s="87">
        <f t="shared" si="374"/>
        <v>0</v>
      </c>
      <c r="AJ212" s="87">
        <f t="shared" si="375"/>
        <v>0</v>
      </c>
      <c r="AK212" s="86">
        <f t="shared" si="376"/>
        <v>0</v>
      </c>
      <c r="AL212" s="85">
        <v>482</v>
      </c>
      <c r="AM212" s="85">
        <v>516</v>
      </c>
      <c r="AN212" s="85">
        <v>393</v>
      </c>
      <c r="AO212" s="85">
        <v>345</v>
      </c>
      <c r="AP212" s="85">
        <v>366</v>
      </c>
      <c r="AQ212" s="86">
        <v>325</v>
      </c>
      <c r="AR212" s="87">
        <v>420</v>
      </c>
      <c r="AS212" s="87">
        <v>380</v>
      </c>
      <c r="AT212" s="87">
        <v>335</v>
      </c>
      <c r="AU212" s="87">
        <v>477</v>
      </c>
      <c r="AV212" s="87">
        <v>407</v>
      </c>
      <c r="AW212" s="87">
        <v>478</v>
      </c>
      <c r="AX212" s="87">
        <v>391</v>
      </c>
      <c r="AY212" s="87">
        <v>379</v>
      </c>
      <c r="AZ212" s="87">
        <v>262</v>
      </c>
      <c r="BA212" s="87">
        <v>232</v>
      </c>
      <c r="BB212" s="87">
        <v>273</v>
      </c>
      <c r="BC212" s="86">
        <v>295</v>
      </c>
      <c r="BD212" s="87">
        <v>407</v>
      </c>
      <c r="BE212" s="87">
        <v>189</v>
      </c>
      <c r="BF212" s="87">
        <v>9</v>
      </c>
      <c r="BG212" s="87">
        <v>0</v>
      </c>
      <c r="BH212" s="87">
        <v>0</v>
      </c>
      <c r="BI212" s="87">
        <v>0</v>
      </c>
      <c r="BJ212" s="40">
        <v>0</v>
      </c>
      <c r="BK212" s="40">
        <v>0</v>
      </c>
      <c r="BL212" s="40">
        <v>0</v>
      </c>
      <c r="BM212" s="40">
        <v>0</v>
      </c>
      <c r="BN212" s="87"/>
      <c r="BO212" s="86"/>
      <c r="BP212" s="21">
        <v>0</v>
      </c>
      <c r="BQ212" s="21">
        <v>0</v>
      </c>
      <c r="BR212" s="21">
        <v>0</v>
      </c>
      <c r="BS212" s="21">
        <v>0</v>
      </c>
      <c r="BT212" s="21">
        <v>0</v>
      </c>
      <c r="BU212" s="42">
        <v>0</v>
      </c>
      <c r="BV212" s="21">
        <v>0</v>
      </c>
      <c r="BW212" s="21">
        <v>0</v>
      </c>
      <c r="BX212" s="21">
        <v>0</v>
      </c>
      <c r="BY212" s="21">
        <v>0</v>
      </c>
      <c r="BZ212" s="21">
        <v>0</v>
      </c>
      <c r="CA212" s="21">
        <v>0</v>
      </c>
      <c r="CB212" s="21">
        <v>0</v>
      </c>
      <c r="CC212" s="21">
        <v>0</v>
      </c>
      <c r="CD212" s="21">
        <v>0</v>
      </c>
      <c r="CE212" s="21">
        <v>0</v>
      </c>
      <c r="CF212" s="21">
        <v>0</v>
      </c>
      <c r="CG212" s="42">
        <v>0</v>
      </c>
      <c r="CH212" s="21">
        <v>0</v>
      </c>
      <c r="CI212" s="21">
        <v>0</v>
      </c>
      <c r="CJ212" s="21">
        <v>0</v>
      </c>
      <c r="CK212" s="21">
        <v>0</v>
      </c>
      <c r="CL212" s="21">
        <v>0</v>
      </c>
      <c r="CM212" s="21">
        <v>0</v>
      </c>
      <c r="CN212" s="21">
        <v>0</v>
      </c>
      <c r="CO212" s="21">
        <v>0</v>
      </c>
      <c r="CP212" s="21">
        <f t="shared" si="377"/>
        <v>0</v>
      </c>
      <c r="CQ212" s="344">
        <f t="shared" si="378"/>
        <v>0</v>
      </c>
      <c r="CR212" s="87"/>
      <c r="CS212" s="86"/>
      <c r="CT212" s="85">
        <f t="shared" si="379"/>
        <v>482</v>
      </c>
      <c r="CU212" s="85">
        <f t="shared" si="380"/>
        <v>516</v>
      </c>
      <c r="CV212" s="85">
        <f t="shared" si="381"/>
        <v>393</v>
      </c>
      <c r="CW212" s="85">
        <f t="shared" si="382"/>
        <v>345</v>
      </c>
      <c r="CX212" s="85">
        <f t="shared" si="383"/>
        <v>366</v>
      </c>
      <c r="CY212" s="86">
        <f t="shared" si="384"/>
        <v>325</v>
      </c>
      <c r="CZ212" s="87">
        <f t="shared" si="385"/>
        <v>420</v>
      </c>
      <c r="DA212" s="87">
        <f t="shared" si="386"/>
        <v>380</v>
      </c>
      <c r="DB212" s="87">
        <f t="shared" si="387"/>
        <v>335</v>
      </c>
      <c r="DC212" s="87">
        <f t="shared" si="388"/>
        <v>477</v>
      </c>
      <c r="DD212" s="87">
        <f t="shared" si="389"/>
        <v>407</v>
      </c>
      <c r="DE212" s="87">
        <f t="shared" si="390"/>
        <v>478</v>
      </c>
      <c r="DF212" s="87">
        <f t="shared" si="391"/>
        <v>391</v>
      </c>
      <c r="DG212" s="87">
        <f t="shared" si="392"/>
        <v>379</v>
      </c>
      <c r="DH212" s="87">
        <f t="shared" si="393"/>
        <v>262</v>
      </c>
      <c r="DI212" s="87">
        <f t="shared" si="394"/>
        <v>232</v>
      </c>
      <c r="DJ212" s="87">
        <f t="shared" si="395"/>
        <v>273</v>
      </c>
      <c r="DK212" s="86">
        <f t="shared" si="396"/>
        <v>295</v>
      </c>
      <c r="DL212" s="87">
        <f t="shared" si="397"/>
        <v>407</v>
      </c>
      <c r="DM212" s="87">
        <f t="shared" si="398"/>
        <v>189</v>
      </c>
      <c r="DN212" s="87">
        <f t="shared" si="399"/>
        <v>9</v>
      </c>
      <c r="DO212" s="87">
        <f t="shared" si="400"/>
        <v>0</v>
      </c>
      <c r="DP212" s="87">
        <f t="shared" si="401"/>
        <v>0</v>
      </c>
      <c r="DQ212" s="87">
        <f t="shared" si="402"/>
        <v>0</v>
      </c>
      <c r="DR212" s="87">
        <f t="shared" si="340"/>
        <v>0</v>
      </c>
      <c r="DS212" s="87">
        <f t="shared" si="341"/>
        <v>0</v>
      </c>
      <c r="DT212" s="87">
        <f t="shared" si="403"/>
        <v>0</v>
      </c>
      <c r="DU212" s="87">
        <f t="shared" si="404"/>
        <v>0</v>
      </c>
      <c r="DV212" s="87">
        <f t="shared" si="405"/>
        <v>0</v>
      </c>
      <c r="DW212" s="87">
        <f t="shared" si="406"/>
        <v>0</v>
      </c>
    </row>
    <row r="213" spans="1:127">
      <c r="A213" s="22" t="s">
        <v>126</v>
      </c>
      <c r="B213" s="26">
        <v>4987176122933</v>
      </c>
      <c r="C213" s="22" t="s">
        <v>127</v>
      </c>
      <c r="D213" s="22" t="s">
        <v>125</v>
      </c>
      <c r="E213" s="22">
        <v>144370</v>
      </c>
      <c r="F213" s="80" t="s">
        <v>314</v>
      </c>
      <c r="G213" s="25">
        <v>132.68</v>
      </c>
      <c r="H213" s="85">
        <f t="shared" si="347"/>
        <v>49091.600000000006</v>
      </c>
      <c r="I213" s="85">
        <f t="shared" si="348"/>
        <v>43253.68</v>
      </c>
      <c r="J213" s="85">
        <f t="shared" si="349"/>
        <v>54133.440000000002</v>
      </c>
      <c r="K213" s="85">
        <f t="shared" si="350"/>
        <v>35690.92</v>
      </c>
      <c r="L213" s="85">
        <f t="shared" si="351"/>
        <v>42590.28</v>
      </c>
      <c r="M213" s="86">
        <f t="shared" si="352"/>
        <v>42192.240000000005</v>
      </c>
      <c r="N213" s="87">
        <f t="shared" si="353"/>
        <v>51612.520000000004</v>
      </c>
      <c r="O213" s="87">
        <f t="shared" si="354"/>
        <v>45774.600000000006</v>
      </c>
      <c r="P213" s="87">
        <f t="shared" si="355"/>
        <v>55194.880000000005</v>
      </c>
      <c r="Q213" s="87">
        <f t="shared" si="356"/>
        <v>47632.12</v>
      </c>
      <c r="R213" s="87">
        <f t="shared" si="357"/>
        <v>69922.36</v>
      </c>
      <c r="S213" s="87">
        <f t="shared" si="358"/>
        <v>58909.920000000006</v>
      </c>
      <c r="T213" s="87">
        <f t="shared" si="359"/>
        <v>49356.959999999999</v>
      </c>
      <c r="U213" s="87">
        <f t="shared" si="360"/>
        <v>70851.12000000001</v>
      </c>
      <c r="V213" s="87">
        <f t="shared" si="361"/>
        <v>48162.840000000004</v>
      </c>
      <c r="W213" s="87">
        <f t="shared" si="362"/>
        <v>38477.200000000004</v>
      </c>
      <c r="X213" s="87">
        <f t="shared" si="363"/>
        <v>55725.600000000006</v>
      </c>
      <c r="Y213" s="86">
        <f t="shared" si="364"/>
        <v>47234.080000000002</v>
      </c>
      <c r="Z213" s="87">
        <f t="shared" si="365"/>
        <v>41263.480000000003</v>
      </c>
      <c r="AA213" s="87">
        <f t="shared" si="366"/>
        <v>97121.760000000009</v>
      </c>
      <c r="AB213" s="87">
        <f t="shared" si="367"/>
        <v>24943.84</v>
      </c>
      <c r="AC213" s="87">
        <f t="shared" si="368"/>
        <v>7695.4400000000005</v>
      </c>
      <c r="AD213" s="87">
        <f t="shared" si="369"/>
        <v>4378.4400000000005</v>
      </c>
      <c r="AE213" s="87">
        <f t="shared" si="370"/>
        <v>6501.3200000000006</v>
      </c>
      <c r="AF213" s="231">
        <f t="shared" si="371"/>
        <v>4511.12</v>
      </c>
      <c r="AG213" s="87">
        <f t="shared" si="372"/>
        <v>3582.36</v>
      </c>
      <c r="AH213" s="87">
        <f t="shared" si="373"/>
        <v>3184.32</v>
      </c>
      <c r="AI213" s="87">
        <f t="shared" si="374"/>
        <v>18265.613333333338</v>
      </c>
      <c r="AJ213" s="87">
        <f t="shared" si="375"/>
        <v>0</v>
      </c>
      <c r="AK213" s="86">
        <f t="shared" si="376"/>
        <v>0</v>
      </c>
      <c r="AL213" s="85">
        <v>156</v>
      </c>
      <c r="AM213" s="85">
        <v>185</v>
      </c>
      <c r="AN213" s="85">
        <v>137</v>
      </c>
      <c r="AO213" s="85">
        <v>152</v>
      </c>
      <c r="AP213" s="85">
        <v>127</v>
      </c>
      <c r="AQ213" s="86">
        <v>144</v>
      </c>
      <c r="AR213" s="87">
        <v>147</v>
      </c>
      <c r="AS213" s="87">
        <v>166</v>
      </c>
      <c r="AT213" s="87">
        <v>147</v>
      </c>
      <c r="AU213" s="87">
        <v>173</v>
      </c>
      <c r="AV213" s="87">
        <v>222</v>
      </c>
      <c r="AW213" s="87">
        <v>269</v>
      </c>
      <c r="AX213" s="87">
        <v>216</v>
      </c>
      <c r="AY213" s="87">
        <v>227</v>
      </c>
      <c r="AZ213" s="87">
        <v>183</v>
      </c>
      <c r="BA213" s="87">
        <v>163</v>
      </c>
      <c r="BB213" s="87">
        <v>160</v>
      </c>
      <c r="BC213" s="86">
        <v>149</v>
      </c>
      <c r="BD213" s="87">
        <v>188</v>
      </c>
      <c r="BE213" s="87">
        <v>148</v>
      </c>
      <c r="BF213" s="87">
        <v>187</v>
      </c>
      <c r="BG213" s="87">
        <v>58</v>
      </c>
      <c r="BH213" s="87">
        <v>33</v>
      </c>
      <c r="BI213" s="87">
        <v>49</v>
      </c>
      <c r="BJ213" s="40">
        <v>34</v>
      </c>
      <c r="BK213" s="40">
        <v>27</v>
      </c>
      <c r="BL213" s="40">
        <v>24</v>
      </c>
      <c r="BM213" s="40">
        <v>59</v>
      </c>
      <c r="BN213" s="87"/>
      <c r="BO213" s="86"/>
      <c r="BP213" s="21">
        <v>214</v>
      </c>
      <c r="BQ213" s="21">
        <v>141</v>
      </c>
      <c r="BR213" s="21">
        <v>271</v>
      </c>
      <c r="BS213" s="21">
        <v>117</v>
      </c>
      <c r="BT213" s="21">
        <v>194</v>
      </c>
      <c r="BU213" s="42">
        <v>174</v>
      </c>
      <c r="BV213" s="21">
        <v>242</v>
      </c>
      <c r="BW213" s="21">
        <v>179</v>
      </c>
      <c r="BX213" s="21">
        <v>269</v>
      </c>
      <c r="BY213" s="21">
        <v>186</v>
      </c>
      <c r="BZ213" s="21">
        <v>305</v>
      </c>
      <c r="CA213" s="21">
        <v>175</v>
      </c>
      <c r="CB213" s="21">
        <v>156</v>
      </c>
      <c r="CC213" s="21">
        <v>307</v>
      </c>
      <c r="CD213" s="21">
        <v>180</v>
      </c>
      <c r="CE213" s="21">
        <v>127</v>
      </c>
      <c r="CF213" s="21">
        <v>260</v>
      </c>
      <c r="CG213" s="42">
        <v>207</v>
      </c>
      <c r="CH213" s="21">
        <v>123</v>
      </c>
      <c r="CI213" s="21">
        <v>584</v>
      </c>
      <c r="CJ213" s="21">
        <v>1</v>
      </c>
      <c r="CK213" s="21">
        <v>0</v>
      </c>
      <c r="CL213" s="21">
        <v>0</v>
      </c>
      <c r="CM213" s="21">
        <v>0</v>
      </c>
      <c r="CN213" s="21">
        <v>0</v>
      </c>
      <c r="CO213" s="21">
        <v>0</v>
      </c>
      <c r="CP213" s="21">
        <f t="shared" si="377"/>
        <v>0</v>
      </c>
      <c r="CQ213" s="344">
        <f t="shared" si="378"/>
        <v>78.666666666666671</v>
      </c>
      <c r="CR213" s="87"/>
      <c r="CS213" s="86"/>
      <c r="CT213" s="85">
        <f t="shared" si="379"/>
        <v>370</v>
      </c>
      <c r="CU213" s="85">
        <f t="shared" si="380"/>
        <v>326</v>
      </c>
      <c r="CV213" s="85">
        <f t="shared" si="381"/>
        <v>408</v>
      </c>
      <c r="CW213" s="85">
        <f t="shared" si="382"/>
        <v>269</v>
      </c>
      <c r="CX213" s="85">
        <f t="shared" si="383"/>
        <v>321</v>
      </c>
      <c r="CY213" s="86">
        <f t="shared" si="384"/>
        <v>318</v>
      </c>
      <c r="CZ213" s="87">
        <f t="shared" si="385"/>
        <v>389</v>
      </c>
      <c r="DA213" s="87">
        <f t="shared" si="386"/>
        <v>345</v>
      </c>
      <c r="DB213" s="87">
        <f t="shared" si="387"/>
        <v>416</v>
      </c>
      <c r="DC213" s="87">
        <f t="shared" si="388"/>
        <v>359</v>
      </c>
      <c r="DD213" s="87">
        <f t="shared" si="389"/>
        <v>527</v>
      </c>
      <c r="DE213" s="87">
        <f t="shared" si="390"/>
        <v>444</v>
      </c>
      <c r="DF213" s="87">
        <f t="shared" si="391"/>
        <v>372</v>
      </c>
      <c r="DG213" s="87">
        <f t="shared" si="392"/>
        <v>534</v>
      </c>
      <c r="DH213" s="87">
        <f t="shared" si="393"/>
        <v>363</v>
      </c>
      <c r="DI213" s="87">
        <f t="shared" si="394"/>
        <v>290</v>
      </c>
      <c r="DJ213" s="87">
        <f t="shared" si="395"/>
        <v>420</v>
      </c>
      <c r="DK213" s="86">
        <f t="shared" si="396"/>
        <v>356</v>
      </c>
      <c r="DL213" s="87">
        <f t="shared" si="397"/>
        <v>311</v>
      </c>
      <c r="DM213" s="87">
        <f t="shared" si="398"/>
        <v>732</v>
      </c>
      <c r="DN213" s="87">
        <f t="shared" si="399"/>
        <v>188</v>
      </c>
      <c r="DO213" s="87">
        <f t="shared" si="400"/>
        <v>58</v>
      </c>
      <c r="DP213" s="87">
        <f t="shared" si="401"/>
        <v>33</v>
      </c>
      <c r="DQ213" s="87">
        <f t="shared" si="402"/>
        <v>49</v>
      </c>
      <c r="DR213" s="87">
        <f t="shared" si="340"/>
        <v>34</v>
      </c>
      <c r="DS213" s="87">
        <f t="shared" si="341"/>
        <v>27</v>
      </c>
      <c r="DT213" s="87">
        <f t="shared" si="403"/>
        <v>24</v>
      </c>
      <c r="DU213" s="87">
        <f t="shared" si="404"/>
        <v>137.66666666666669</v>
      </c>
      <c r="DV213" s="87">
        <f t="shared" si="405"/>
        <v>0</v>
      </c>
      <c r="DW213" s="87">
        <f t="shared" si="406"/>
        <v>0</v>
      </c>
    </row>
    <row r="214" spans="1:127">
      <c r="A214" s="22" t="s">
        <v>126</v>
      </c>
      <c r="B214" s="26">
        <v>4987176122841</v>
      </c>
      <c r="C214" s="22" t="s">
        <v>127</v>
      </c>
      <c r="D214" s="22" t="s">
        <v>125</v>
      </c>
      <c r="E214" s="22">
        <v>144474</v>
      </c>
      <c r="F214" s="80" t="s">
        <v>315</v>
      </c>
      <c r="G214" s="25">
        <v>68.989999999999995</v>
      </c>
      <c r="H214" s="85">
        <f t="shared" si="347"/>
        <v>16143.659999999998</v>
      </c>
      <c r="I214" s="85">
        <f t="shared" si="348"/>
        <v>18351.34</v>
      </c>
      <c r="J214" s="85">
        <f t="shared" si="349"/>
        <v>11452.339999999998</v>
      </c>
      <c r="K214" s="85">
        <f t="shared" si="350"/>
        <v>13384.06</v>
      </c>
      <c r="L214" s="85">
        <f t="shared" si="351"/>
        <v>10624.46</v>
      </c>
      <c r="M214" s="86">
        <f t="shared" si="352"/>
        <v>10210.519999999999</v>
      </c>
      <c r="N214" s="87">
        <f t="shared" si="353"/>
        <v>10003.549999999999</v>
      </c>
      <c r="O214" s="87">
        <f t="shared" si="354"/>
        <v>9520.619999999999</v>
      </c>
      <c r="P214" s="87">
        <f t="shared" si="355"/>
        <v>9106.6799999999985</v>
      </c>
      <c r="Q214" s="87">
        <f t="shared" si="356"/>
        <v>15384.769999999999</v>
      </c>
      <c r="R214" s="87">
        <f t="shared" si="357"/>
        <v>11038.4</v>
      </c>
      <c r="S214" s="87">
        <f t="shared" si="358"/>
        <v>11521.33</v>
      </c>
      <c r="T214" s="87">
        <f t="shared" si="359"/>
        <v>12004.259999999998</v>
      </c>
      <c r="U214" s="87">
        <f t="shared" si="360"/>
        <v>12211.23</v>
      </c>
      <c r="V214" s="87">
        <f t="shared" si="361"/>
        <v>8140.82</v>
      </c>
      <c r="W214" s="87">
        <f t="shared" si="362"/>
        <v>7864.86</v>
      </c>
      <c r="X214" s="87">
        <f t="shared" si="363"/>
        <v>8416.7799999999988</v>
      </c>
      <c r="Y214" s="86">
        <f t="shared" si="364"/>
        <v>8278.7999999999993</v>
      </c>
      <c r="Z214" s="87">
        <f t="shared" si="365"/>
        <v>8968.6999999999989</v>
      </c>
      <c r="AA214" s="87">
        <f t="shared" si="366"/>
        <v>6002.1299999999992</v>
      </c>
      <c r="AB214" s="87">
        <f t="shared" si="367"/>
        <v>68.989999999999995</v>
      </c>
      <c r="AC214" s="87">
        <f t="shared" si="368"/>
        <v>0</v>
      </c>
      <c r="AD214" s="87">
        <f t="shared" si="369"/>
        <v>0</v>
      </c>
      <c r="AE214" s="87">
        <f t="shared" si="370"/>
        <v>0</v>
      </c>
      <c r="AF214" s="231">
        <f t="shared" si="371"/>
        <v>0</v>
      </c>
      <c r="AG214" s="87">
        <f t="shared" si="372"/>
        <v>0</v>
      </c>
      <c r="AH214" s="87">
        <f t="shared" si="373"/>
        <v>0</v>
      </c>
      <c r="AI214" s="87">
        <f t="shared" si="374"/>
        <v>0</v>
      </c>
      <c r="AJ214" s="87">
        <f t="shared" si="375"/>
        <v>0</v>
      </c>
      <c r="AK214" s="86">
        <f t="shared" si="376"/>
        <v>0</v>
      </c>
      <c r="AL214" s="85">
        <v>234</v>
      </c>
      <c r="AM214" s="85">
        <v>266</v>
      </c>
      <c r="AN214" s="85">
        <v>166</v>
      </c>
      <c r="AO214" s="85">
        <v>194</v>
      </c>
      <c r="AP214" s="85">
        <v>154</v>
      </c>
      <c r="AQ214" s="86">
        <v>148</v>
      </c>
      <c r="AR214" s="87">
        <v>145</v>
      </c>
      <c r="AS214" s="87">
        <v>138</v>
      </c>
      <c r="AT214" s="87">
        <v>132</v>
      </c>
      <c r="AU214" s="87">
        <v>223</v>
      </c>
      <c r="AV214" s="87">
        <v>160</v>
      </c>
      <c r="AW214" s="87">
        <v>167</v>
      </c>
      <c r="AX214" s="87">
        <v>174</v>
      </c>
      <c r="AY214" s="87">
        <v>177</v>
      </c>
      <c r="AZ214" s="87">
        <v>118</v>
      </c>
      <c r="BA214" s="87">
        <v>114</v>
      </c>
      <c r="BB214" s="87">
        <v>122</v>
      </c>
      <c r="BC214" s="86">
        <v>120</v>
      </c>
      <c r="BD214" s="87">
        <v>130</v>
      </c>
      <c r="BE214" s="87">
        <v>87</v>
      </c>
      <c r="BF214" s="87">
        <v>1</v>
      </c>
      <c r="BG214" s="87">
        <v>0</v>
      </c>
      <c r="BH214" s="87">
        <v>0</v>
      </c>
      <c r="BI214" s="87">
        <v>0</v>
      </c>
      <c r="BJ214" s="40">
        <v>0</v>
      </c>
      <c r="BK214" s="40">
        <v>0</v>
      </c>
      <c r="BL214" s="40">
        <v>0</v>
      </c>
      <c r="BM214" s="40">
        <v>0</v>
      </c>
      <c r="BN214" s="87"/>
      <c r="BO214" s="86"/>
      <c r="BP214" s="21">
        <v>0</v>
      </c>
      <c r="BQ214" s="21">
        <v>0</v>
      </c>
      <c r="BR214" s="21">
        <v>0</v>
      </c>
      <c r="BS214" s="21">
        <v>0</v>
      </c>
      <c r="BT214" s="21">
        <v>0</v>
      </c>
      <c r="BU214" s="42">
        <v>0</v>
      </c>
      <c r="BV214" s="21">
        <v>0</v>
      </c>
      <c r="BW214" s="21">
        <v>0</v>
      </c>
      <c r="BX214" s="21">
        <v>0</v>
      </c>
      <c r="BY214" s="21">
        <v>0</v>
      </c>
      <c r="BZ214" s="21">
        <v>0</v>
      </c>
      <c r="CA214" s="21">
        <v>0</v>
      </c>
      <c r="CB214" s="21">
        <v>0</v>
      </c>
      <c r="CC214" s="21">
        <v>0</v>
      </c>
      <c r="CD214" s="21">
        <v>0</v>
      </c>
      <c r="CE214" s="21">
        <v>0</v>
      </c>
      <c r="CF214" s="21">
        <v>0</v>
      </c>
      <c r="CG214" s="42">
        <v>0</v>
      </c>
      <c r="CH214" s="21">
        <v>0</v>
      </c>
      <c r="CI214" s="21">
        <v>0</v>
      </c>
      <c r="CJ214" s="21">
        <v>0</v>
      </c>
      <c r="CK214" s="21">
        <v>0</v>
      </c>
      <c r="CL214" s="21">
        <v>0</v>
      </c>
      <c r="CM214" s="21">
        <v>0</v>
      </c>
      <c r="CN214" s="21">
        <v>0</v>
      </c>
      <c r="CO214" s="21">
        <v>0</v>
      </c>
      <c r="CP214" s="21">
        <f t="shared" si="377"/>
        <v>0</v>
      </c>
      <c r="CQ214" s="344">
        <f t="shared" si="378"/>
        <v>0</v>
      </c>
      <c r="CR214" s="87"/>
      <c r="CS214" s="86"/>
      <c r="CT214" s="85">
        <f t="shared" si="379"/>
        <v>234</v>
      </c>
      <c r="CU214" s="85">
        <f t="shared" si="380"/>
        <v>266</v>
      </c>
      <c r="CV214" s="85">
        <f t="shared" si="381"/>
        <v>166</v>
      </c>
      <c r="CW214" s="85">
        <f t="shared" si="382"/>
        <v>194</v>
      </c>
      <c r="CX214" s="85">
        <f t="shared" si="383"/>
        <v>154</v>
      </c>
      <c r="CY214" s="86">
        <f t="shared" si="384"/>
        <v>148</v>
      </c>
      <c r="CZ214" s="87">
        <f t="shared" si="385"/>
        <v>145</v>
      </c>
      <c r="DA214" s="87">
        <f t="shared" si="386"/>
        <v>138</v>
      </c>
      <c r="DB214" s="87">
        <f t="shared" si="387"/>
        <v>132</v>
      </c>
      <c r="DC214" s="87">
        <f t="shared" si="388"/>
        <v>223</v>
      </c>
      <c r="DD214" s="87">
        <f t="shared" si="389"/>
        <v>160</v>
      </c>
      <c r="DE214" s="87">
        <f t="shared" si="390"/>
        <v>167</v>
      </c>
      <c r="DF214" s="87">
        <f t="shared" si="391"/>
        <v>174</v>
      </c>
      <c r="DG214" s="87">
        <f t="shared" si="392"/>
        <v>177</v>
      </c>
      <c r="DH214" s="87">
        <f t="shared" si="393"/>
        <v>118</v>
      </c>
      <c r="DI214" s="87">
        <f t="shared" si="394"/>
        <v>114</v>
      </c>
      <c r="DJ214" s="87">
        <f t="shared" si="395"/>
        <v>122</v>
      </c>
      <c r="DK214" s="86">
        <f t="shared" si="396"/>
        <v>120</v>
      </c>
      <c r="DL214" s="87">
        <f t="shared" si="397"/>
        <v>130</v>
      </c>
      <c r="DM214" s="87">
        <f t="shared" si="398"/>
        <v>87</v>
      </c>
      <c r="DN214" s="87">
        <f t="shared" si="399"/>
        <v>1</v>
      </c>
      <c r="DO214" s="87">
        <f t="shared" si="400"/>
        <v>0</v>
      </c>
      <c r="DP214" s="87">
        <f t="shared" si="401"/>
        <v>0</v>
      </c>
      <c r="DQ214" s="87">
        <f t="shared" si="402"/>
        <v>0</v>
      </c>
      <c r="DR214" s="87">
        <f t="shared" si="340"/>
        <v>0</v>
      </c>
      <c r="DS214" s="87">
        <f t="shared" si="341"/>
        <v>0</v>
      </c>
      <c r="DT214" s="87">
        <f t="shared" si="403"/>
        <v>0</v>
      </c>
      <c r="DU214" s="87">
        <f t="shared" si="404"/>
        <v>0</v>
      </c>
      <c r="DV214" s="87">
        <f t="shared" si="405"/>
        <v>0</v>
      </c>
      <c r="DW214" s="87">
        <f t="shared" si="406"/>
        <v>0</v>
      </c>
    </row>
    <row r="215" spans="1:127">
      <c r="A215" s="22" t="s">
        <v>126</v>
      </c>
      <c r="B215" s="26">
        <v>4987176122919</v>
      </c>
      <c r="C215" s="22" t="s">
        <v>127</v>
      </c>
      <c r="D215" s="22" t="s">
        <v>125</v>
      </c>
      <c r="E215" s="22">
        <v>144493</v>
      </c>
      <c r="F215" s="80" t="s">
        <v>316</v>
      </c>
      <c r="G215" s="25">
        <v>132.68</v>
      </c>
      <c r="H215" s="85">
        <f t="shared" si="347"/>
        <v>21096.120000000003</v>
      </c>
      <c r="I215" s="85">
        <f t="shared" si="348"/>
        <v>24015.08</v>
      </c>
      <c r="J215" s="85">
        <f t="shared" si="349"/>
        <v>24678.48</v>
      </c>
      <c r="K215" s="85">
        <f t="shared" si="350"/>
        <v>16452.32</v>
      </c>
      <c r="L215" s="85">
        <f t="shared" si="351"/>
        <v>15656.240000000002</v>
      </c>
      <c r="M215" s="86">
        <f t="shared" si="352"/>
        <v>18177.16</v>
      </c>
      <c r="N215" s="87">
        <f t="shared" si="353"/>
        <v>13135.320000000002</v>
      </c>
      <c r="O215" s="87">
        <f t="shared" si="354"/>
        <v>16319.640000000001</v>
      </c>
      <c r="P215" s="87">
        <f t="shared" si="355"/>
        <v>26536</v>
      </c>
      <c r="Q215" s="87">
        <f t="shared" si="356"/>
        <v>22953.64</v>
      </c>
      <c r="R215" s="87">
        <f t="shared" si="357"/>
        <v>29720.32</v>
      </c>
      <c r="S215" s="87">
        <f t="shared" si="358"/>
        <v>22290.240000000002</v>
      </c>
      <c r="T215" s="87">
        <f t="shared" si="359"/>
        <v>20300.04</v>
      </c>
      <c r="U215" s="87">
        <f t="shared" si="360"/>
        <v>28393.52</v>
      </c>
      <c r="V215" s="87">
        <f t="shared" si="361"/>
        <v>20963.440000000002</v>
      </c>
      <c r="W215" s="87">
        <f t="shared" si="362"/>
        <v>14992.84</v>
      </c>
      <c r="X215" s="87">
        <f t="shared" si="363"/>
        <v>28128.16</v>
      </c>
      <c r="Y215" s="86">
        <f t="shared" si="364"/>
        <v>21494.16</v>
      </c>
      <c r="Z215" s="87">
        <f t="shared" si="365"/>
        <v>21494.16</v>
      </c>
      <c r="AA215" s="87">
        <f t="shared" si="366"/>
        <v>36221.64</v>
      </c>
      <c r="AB215" s="87">
        <f t="shared" si="367"/>
        <v>12339.24</v>
      </c>
      <c r="AC215" s="87">
        <f t="shared" si="368"/>
        <v>6634</v>
      </c>
      <c r="AD215" s="87">
        <f t="shared" si="369"/>
        <v>3847.7200000000003</v>
      </c>
      <c r="AE215" s="87">
        <f t="shared" si="370"/>
        <v>4643.8</v>
      </c>
      <c r="AF215" s="231">
        <f t="shared" si="371"/>
        <v>3051.6400000000003</v>
      </c>
      <c r="AG215" s="87">
        <f t="shared" si="372"/>
        <v>3051.6400000000003</v>
      </c>
      <c r="AH215" s="87">
        <f t="shared" si="373"/>
        <v>3317</v>
      </c>
      <c r="AI215" s="87">
        <f t="shared" si="374"/>
        <v>9862.5466666666671</v>
      </c>
      <c r="AJ215" s="87">
        <f t="shared" si="375"/>
        <v>0</v>
      </c>
      <c r="AK215" s="86">
        <f t="shared" si="376"/>
        <v>0</v>
      </c>
      <c r="AL215" s="85">
        <v>74</v>
      </c>
      <c r="AM215" s="85">
        <v>120</v>
      </c>
      <c r="AN215" s="85">
        <v>82</v>
      </c>
      <c r="AO215" s="85">
        <v>71</v>
      </c>
      <c r="AP215" s="85">
        <v>77</v>
      </c>
      <c r="AQ215" s="86">
        <v>79</v>
      </c>
      <c r="AR215" s="87">
        <v>55</v>
      </c>
      <c r="AS215" s="87">
        <v>74</v>
      </c>
      <c r="AT215" s="87">
        <v>108</v>
      </c>
      <c r="AU215" s="87">
        <v>114</v>
      </c>
      <c r="AV215" s="87">
        <v>114</v>
      </c>
      <c r="AW215" s="87">
        <v>143</v>
      </c>
      <c r="AX215" s="87">
        <v>113</v>
      </c>
      <c r="AY215" s="87">
        <v>150</v>
      </c>
      <c r="AZ215" s="87">
        <v>99</v>
      </c>
      <c r="BA215" s="87">
        <v>75</v>
      </c>
      <c r="BB215" s="87">
        <v>119</v>
      </c>
      <c r="BC215" s="86">
        <v>108</v>
      </c>
      <c r="BD215" s="87">
        <v>123</v>
      </c>
      <c r="BE215" s="87">
        <v>89</v>
      </c>
      <c r="BF215" s="87">
        <v>88</v>
      </c>
      <c r="BG215" s="87">
        <v>50</v>
      </c>
      <c r="BH215" s="87">
        <v>29</v>
      </c>
      <c r="BI215" s="87">
        <v>35</v>
      </c>
      <c r="BJ215" s="40">
        <v>23</v>
      </c>
      <c r="BK215" s="40">
        <v>23</v>
      </c>
      <c r="BL215" s="40">
        <v>25</v>
      </c>
      <c r="BM215" s="40">
        <v>49</v>
      </c>
      <c r="BN215" s="87"/>
      <c r="BO215" s="86"/>
      <c r="BP215" s="21">
        <v>85</v>
      </c>
      <c r="BQ215" s="21">
        <v>61</v>
      </c>
      <c r="BR215" s="21">
        <v>104</v>
      </c>
      <c r="BS215" s="21">
        <v>53</v>
      </c>
      <c r="BT215" s="21">
        <v>41</v>
      </c>
      <c r="BU215" s="42">
        <v>58</v>
      </c>
      <c r="BV215" s="21">
        <v>44</v>
      </c>
      <c r="BW215" s="21">
        <v>49</v>
      </c>
      <c r="BX215" s="21">
        <v>92</v>
      </c>
      <c r="BY215" s="21">
        <v>59</v>
      </c>
      <c r="BZ215" s="21">
        <v>110</v>
      </c>
      <c r="CA215" s="21">
        <v>25</v>
      </c>
      <c r="CB215" s="21">
        <v>40</v>
      </c>
      <c r="CC215" s="21">
        <v>64</v>
      </c>
      <c r="CD215" s="21">
        <v>59</v>
      </c>
      <c r="CE215" s="21">
        <v>38</v>
      </c>
      <c r="CF215" s="21">
        <v>93</v>
      </c>
      <c r="CG215" s="42">
        <v>54</v>
      </c>
      <c r="CH215" s="21">
        <v>39</v>
      </c>
      <c r="CI215" s="21">
        <v>184</v>
      </c>
      <c r="CJ215" s="21">
        <v>5</v>
      </c>
      <c r="CK215" s="21">
        <v>0</v>
      </c>
      <c r="CL215" s="21">
        <v>0</v>
      </c>
      <c r="CM215" s="21">
        <v>0</v>
      </c>
      <c r="CN215" s="21">
        <v>0</v>
      </c>
      <c r="CO215" s="21">
        <v>0</v>
      </c>
      <c r="CP215" s="21">
        <f t="shared" si="377"/>
        <v>0</v>
      </c>
      <c r="CQ215" s="344">
        <f t="shared" si="378"/>
        <v>25.333333333333332</v>
      </c>
      <c r="CR215" s="87"/>
      <c r="CS215" s="86"/>
      <c r="CT215" s="85">
        <f t="shared" si="379"/>
        <v>159</v>
      </c>
      <c r="CU215" s="85">
        <f t="shared" si="380"/>
        <v>181</v>
      </c>
      <c r="CV215" s="85">
        <f t="shared" si="381"/>
        <v>186</v>
      </c>
      <c r="CW215" s="85">
        <f t="shared" si="382"/>
        <v>124</v>
      </c>
      <c r="CX215" s="85">
        <f t="shared" si="383"/>
        <v>118</v>
      </c>
      <c r="CY215" s="86">
        <f t="shared" si="384"/>
        <v>137</v>
      </c>
      <c r="CZ215" s="87">
        <f t="shared" si="385"/>
        <v>99</v>
      </c>
      <c r="DA215" s="87">
        <f t="shared" si="386"/>
        <v>123</v>
      </c>
      <c r="DB215" s="87">
        <f t="shared" si="387"/>
        <v>200</v>
      </c>
      <c r="DC215" s="87">
        <f t="shared" si="388"/>
        <v>173</v>
      </c>
      <c r="DD215" s="87">
        <f t="shared" si="389"/>
        <v>224</v>
      </c>
      <c r="DE215" s="87">
        <f t="shared" si="390"/>
        <v>168</v>
      </c>
      <c r="DF215" s="87">
        <f t="shared" si="391"/>
        <v>153</v>
      </c>
      <c r="DG215" s="87">
        <f t="shared" si="392"/>
        <v>214</v>
      </c>
      <c r="DH215" s="87">
        <f t="shared" si="393"/>
        <v>158</v>
      </c>
      <c r="DI215" s="87">
        <f t="shared" si="394"/>
        <v>113</v>
      </c>
      <c r="DJ215" s="87">
        <f t="shared" si="395"/>
        <v>212</v>
      </c>
      <c r="DK215" s="86">
        <f t="shared" si="396"/>
        <v>162</v>
      </c>
      <c r="DL215" s="87">
        <f t="shared" si="397"/>
        <v>162</v>
      </c>
      <c r="DM215" s="87">
        <f t="shared" si="398"/>
        <v>273</v>
      </c>
      <c r="DN215" s="87">
        <f t="shared" si="399"/>
        <v>93</v>
      </c>
      <c r="DO215" s="87">
        <f t="shared" si="400"/>
        <v>50</v>
      </c>
      <c r="DP215" s="87">
        <f t="shared" si="401"/>
        <v>29</v>
      </c>
      <c r="DQ215" s="87">
        <f t="shared" si="402"/>
        <v>35</v>
      </c>
      <c r="DR215" s="87">
        <f t="shared" si="340"/>
        <v>23</v>
      </c>
      <c r="DS215" s="87">
        <f t="shared" si="341"/>
        <v>23</v>
      </c>
      <c r="DT215" s="87">
        <f t="shared" si="403"/>
        <v>25</v>
      </c>
      <c r="DU215" s="87">
        <f t="shared" si="404"/>
        <v>74.333333333333329</v>
      </c>
      <c r="DV215" s="87">
        <f t="shared" si="405"/>
        <v>0</v>
      </c>
      <c r="DW215" s="87">
        <f t="shared" si="406"/>
        <v>0</v>
      </c>
    </row>
    <row r="216" spans="1:127">
      <c r="A216" s="22" t="s">
        <v>126</v>
      </c>
      <c r="B216" s="26">
        <v>4987176122858</v>
      </c>
      <c r="C216" s="22" t="s">
        <v>127</v>
      </c>
      <c r="D216" s="22" t="s">
        <v>125</v>
      </c>
      <c r="E216" s="22">
        <v>144501</v>
      </c>
      <c r="F216" s="80" t="s">
        <v>317</v>
      </c>
      <c r="G216" s="25">
        <v>68.989999999999995</v>
      </c>
      <c r="H216" s="85">
        <f t="shared" si="347"/>
        <v>0</v>
      </c>
      <c r="I216" s="85">
        <f t="shared" si="348"/>
        <v>0</v>
      </c>
      <c r="J216" s="85">
        <f t="shared" si="349"/>
        <v>0</v>
      </c>
      <c r="K216" s="85">
        <f t="shared" si="350"/>
        <v>0</v>
      </c>
      <c r="L216" s="85">
        <f t="shared" si="351"/>
        <v>0</v>
      </c>
      <c r="M216" s="86">
        <f t="shared" si="352"/>
        <v>0</v>
      </c>
      <c r="N216" s="87">
        <f t="shared" si="353"/>
        <v>68.989999999999995</v>
      </c>
      <c r="O216" s="87">
        <f t="shared" si="354"/>
        <v>206.96999999999997</v>
      </c>
      <c r="P216" s="87">
        <f t="shared" si="355"/>
        <v>0</v>
      </c>
      <c r="Q216" s="87">
        <f t="shared" si="356"/>
        <v>0</v>
      </c>
      <c r="R216" s="87">
        <f t="shared" si="357"/>
        <v>68.989999999999995</v>
      </c>
      <c r="S216" s="87">
        <f t="shared" si="358"/>
        <v>0</v>
      </c>
      <c r="T216" s="87">
        <f t="shared" si="359"/>
        <v>0</v>
      </c>
      <c r="U216" s="87">
        <f t="shared" si="360"/>
        <v>0</v>
      </c>
      <c r="V216" s="87">
        <f t="shared" si="361"/>
        <v>0</v>
      </c>
      <c r="W216" s="87">
        <f t="shared" si="362"/>
        <v>0</v>
      </c>
      <c r="X216" s="87">
        <f t="shared" si="363"/>
        <v>0</v>
      </c>
      <c r="Y216" s="86">
        <f t="shared" si="364"/>
        <v>0</v>
      </c>
      <c r="Z216" s="87">
        <f t="shared" si="365"/>
        <v>0</v>
      </c>
      <c r="AA216" s="87">
        <f t="shared" si="366"/>
        <v>0</v>
      </c>
      <c r="AB216" s="87">
        <f t="shared" si="367"/>
        <v>0</v>
      </c>
      <c r="AC216" s="87">
        <f t="shared" si="368"/>
        <v>0</v>
      </c>
      <c r="AD216" s="87">
        <f t="shared" si="369"/>
        <v>0</v>
      </c>
      <c r="AE216" s="87">
        <f t="shared" si="370"/>
        <v>0</v>
      </c>
      <c r="AF216" s="231">
        <f t="shared" si="371"/>
        <v>0</v>
      </c>
      <c r="AG216" s="87">
        <f t="shared" si="372"/>
        <v>0</v>
      </c>
      <c r="AH216" s="87">
        <f t="shared" si="373"/>
        <v>0</v>
      </c>
      <c r="AI216" s="87">
        <f t="shared" si="374"/>
        <v>0</v>
      </c>
      <c r="AJ216" s="87">
        <f t="shared" si="375"/>
        <v>0</v>
      </c>
      <c r="AK216" s="86">
        <f t="shared" si="376"/>
        <v>0</v>
      </c>
      <c r="AL216" s="85">
        <v>0</v>
      </c>
      <c r="AM216" s="85">
        <v>0</v>
      </c>
      <c r="AN216" s="85">
        <v>0</v>
      </c>
      <c r="AO216" s="85">
        <v>0</v>
      </c>
      <c r="AP216" s="85">
        <v>0</v>
      </c>
      <c r="AQ216" s="86">
        <v>0</v>
      </c>
      <c r="AR216" s="87">
        <v>1</v>
      </c>
      <c r="AS216" s="87">
        <v>3</v>
      </c>
      <c r="AT216" s="87">
        <v>0</v>
      </c>
      <c r="AU216" s="87">
        <v>0</v>
      </c>
      <c r="AV216" s="87">
        <v>1</v>
      </c>
      <c r="AW216" s="87">
        <v>0</v>
      </c>
      <c r="AX216" s="87">
        <v>0</v>
      </c>
      <c r="AY216" s="87">
        <v>0</v>
      </c>
      <c r="AZ216" s="87">
        <v>0</v>
      </c>
      <c r="BA216" s="87">
        <v>0</v>
      </c>
      <c r="BB216" s="87">
        <v>0</v>
      </c>
      <c r="BC216" s="86">
        <v>0</v>
      </c>
      <c r="BD216" s="87">
        <v>0</v>
      </c>
      <c r="BE216" s="87">
        <v>0</v>
      </c>
      <c r="BF216" s="87">
        <v>0</v>
      </c>
      <c r="BG216" s="87">
        <v>0</v>
      </c>
      <c r="BH216" s="87">
        <v>0</v>
      </c>
      <c r="BI216" s="87">
        <v>0</v>
      </c>
      <c r="BJ216" s="40">
        <v>0</v>
      </c>
      <c r="BK216" s="40">
        <v>0</v>
      </c>
      <c r="BL216" s="40">
        <v>0</v>
      </c>
      <c r="BM216" s="40" t="s">
        <v>768</v>
      </c>
      <c r="BN216" s="87"/>
      <c r="BO216" s="86"/>
      <c r="BP216" s="21">
        <v>0</v>
      </c>
      <c r="BQ216" s="21">
        <v>0</v>
      </c>
      <c r="BR216" s="21">
        <v>0</v>
      </c>
      <c r="BS216" s="21">
        <v>0</v>
      </c>
      <c r="BT216" s="21">
        <v>0</v>
      </c>
      <c r="BU216" s="42">
        <v>0</v>
      </c>
      <c r="BV216" s="21">
        <v>0</v>
      </c>
      <c r="BW216" s="21">
        <v>0</v>
      </c>
      <c r="BX216" s="21">
        <v>0</v>
      </c>
      <c r="BY216" s="21">
        <v>0</v>
      </c>
      <c r="BZ216" s="21">
        <v>0</v>
      </c>
      <c r="CA216" s="21">
        <v>0</v>
      </c>
      <c r="CB216" s="21">
        <v>0</v>
      </c>
      <c r="CC216" s="21">
        <v>0</v>
      </c>
      <c r="CD216" s="21">
        <v>0</v>
      </c>
      <c r="CE216" s="21">
        <v>0</v>
      </c>
      <c r="CF216" s="21">
        <v>0</v>
      </c>
      <c r="CG216" s="42">
        <v>0</v>
      </c>
      <c r="CH216" s="21">
        <v>0</v>
      </c>
      <c r="CI216" s="21">
        <v>0</v>
      </c>
      <c r="CJ216" s="21">
        <v>0</v>
      </c>
      <c r="CK216" s="21">
        <v>0</v>
      </c>
      <c r="CL216" s="21">
        <v>0</v>
      </c>
      <c r="CM216" s="21">
        <v>0</v>
      </c>
      <c r="CN216" s="21">
        <v>0</v>
      </c>
      <c r="CO216" s="21">
        <v>0</v>
      </c>
      <c r="CP216" s="21">
        <f t="shared" si="377"/>
        <v>0</v>
      </c>
      <c r="CQ216" s="344">
        <f t="shared" si="378"/>
        <v>0</v>
      </c>
      <c r="CR216" s="87"/>
      <c r="CS216" s="86"/>
      <c r="CT216" s="85">
        <f t="shared" si="379"/>
        <v>0</v>
      </c>
      <c r="CU216" s="85">
        <f t="shared" si="380"/>
        <v>0</v>
      </c>
      <c r="CV216" s="85">
        <f t="shared" si="381"/>
        <v>0</v>
      </c>
      <c r="CW216" s="85">
        <f t="shared" si="382"/>
        <v>0</v>
      </c>
      <c r="CX216" s="85">
        <f t="shared" si="383"/>
        <v>0</v>
      </c>
      <c r="CY216" s="86">
        <f t="shared" si="384"/>
        <v>0</v>
      </c>
      <c r="CZ216" s="87">
        <f t="shared" si="385"/>
        <v>1</v>
      </c>
      <c r="DA216" s="87">
        <f t="shared" si="386"/>
        <v>3</v>
      </c>
      <c r="DB216" s="87">
        <f t="shared" si="387"/>
        <v>0</v>
      </c>
      <c r="DC216" s="87">
        <f t="shared" si="388"/>
        <v>0</v>
      </c>
      <c r="DD216" s="87">
        <f t="shared" si="389"/>
        <v>1</v>
      </c>
      <c r="DE216" s="87">
        <f t="shared" si="390"/>
        <v>0</v>
      </c>
      <c r="DF216" s="87">
        <f t="shared" si="391"/>
        <v>0</v>
      </c>
      <c r="DG216" s="87">
        <f t="shared" si="392"/>
        <v>0</v>
      </c>
      <c r="DH216" s="87">
        <f t="shared" si="393"/>
        <v>0</v>
      </c>
      <c r="DI216" s="87">
        <f t="shared" si="394"/>
        <v>0</v>
      </c>
      <c r="DJ216" s="87">
        <f t="shared" si="395"/>
        <v>0</v>
      </c>
      <c r="DK216" s="86">
        <f t="shared" si="396"/>
        <v>0</v>
      </c>
      <c r="DL216" s="87">
        <f t="shared" si="397"/>
        <v>0</v>
      </c>
      <c r="DM216" s="87">
        <f t="shared" si="398"/>
        <v>0</v>
      </c>
      <c r="DN216" s="87">
        <f t="shared" si="399"/>
        <v>0</v>
      </c>
      <c r="DO216" s="87">
        <f t="shared" si="400"/>
        <v>0</v>
      </c>
      <c r="DP216" s="87">
        <f t="shared" si="401"/>
        <v>0</v>
      </c>
      <c r="DQ216" s="87">
        <f t="shared" si="402"/>
        <v>0</v>
      </c>
      <c r="DR216" s="87">
        <f t="shared" si="340"/>
        <v>0</v>
      </c>
      <c r="DS216" s="87">
        <f t="shared" si="341"/>
        <v>0</v>
      </c>
      <c r="DT216" s="87">
        <f t="shared" si="403"/>
        <v>0</v>
      </c>
      <c r="DU216" s="87">
        <f t="shared" si="404"/>
        <v>0</v>
      </c>
      <c r="DV216" s="87">
        <f t="shared" si="405"/>
        <v>0</v>
      </c>
      <c r="DW216" s="87">
        <f t="shared" si="406"/>
        <v>0</v>
      </c>
    </row>
    <row r="217" spans="1:127">
      <c r="A217" s="22" t="s">
        <v>126</v>
      </c>
      <c r="B217" s="26">
        <v>4987176122902</v>
      </c>
      <c r="C217" s="22" t="s">
        <v>127</v>
      </c>
      <c r="D217" s="22" t="s">
        <v>125</v>
      </c>
      <c r="E217" s="22">
        <v>144364</v>
      </c>
      <c r="F217" s="80" t="s">
        <v>318</v>
      </c>
      <c r="G217" s="25">
        <v>132.68</v>
      </c>
      <c r="H217" s="85">
        <f t="shared" si="347"/>
        <v>0</v>
      </c>
      <c r="I217" s="85">
        <f t="shared" si="348"/>
        <v>0</v>
      </c>
      <c r="J217" s="85">
        <f t="shared" si="349"/>
        <v>0</v>
      </c>
      <c r="K217" s="85">
        <f t="shared" si="350"/>
        <v>0</v>
      </c>
      <c r="L217" s="85">
        <f t="shared" si="351"/>
        <v>0</v>
      </c>
      <c r="M217" s="86">
        <f t="shared" si="352"/>
        <v>0</v>
      </c>
      <c r="N217" s="87">
        <f t="shared" si="353"/>
        <v>132.68</v>
      </c>
      <c r="O217" s="87">
        <f t="shared" si="354"/>
        <v>0</v>
      </c>
      <c r="P217" s="87">
        <f t="shared" si="355"/>
        <v>0</v>
      </c>
      <c r="Q217" s="87">
        <f t="shared" si="356"/>
        <v>0</v>
      </c>
      <c r="R217" s="87">
        <f t="shared" si="357"/>
        <v>132.68</v>
      </c>
      <c r="S217" s="87">
        <f t="shared" si="358"/>
        <v>0</v>
      </c>
      <c r="T217" s="87">
        <f t="shared" si="359"/>
        <v>0</v>
      </c>
      <c r="U217" s="87">
        <f t="shared" si="360"/>
        <v>0</v>
      </c>
      <c r="V217" s="87">
        <f t="shared" si="361"/>
        <v>0</v>
      </c>
      <c r="W217" s="87">
        <f t="shared" si="362"/>
        <v>0</v>
      </c>
      <c r="X217" s="87">
        <f t="shared" si="363"/>
        <v>0</v>
      </c>
      <c r="Y217" s="86">
        <f t="shared" si="364"/>
        <v>0</v>
      </c>
      <c r="Z217" s="87">
        <f t="shared" si="365"/>
        <v>0</v>
      </c>
      <c r="AA217" s="87">
        <f t="shared" si="366"/>
        <v>0</v>
      </c>
      <c r="AB217" s="87">
        <f t="shared" si="367"/>
        <v>0</v>
      </c>
      <c r="AC217" s="87">
        <f t="shared" si="368"/>
        <v>0</v>
      </c>
      <c r="AD217" s="87">
        <f t="shared" si="369"/>
        <v>0</v>
      </c>
      <c r="AE217" s="87">
        <f t="shared" si="370"/>
        <v>0</v>
      </c>
      <c r="AF217" s="231">
        <f t="shared" si="371"/>
        <v>0</v>
      </c>
      <c r="AG217" s="87">
        <f t="shared" si="372"/>
        <v>0</v>
      </c>
      <c r="AH217" s="87">
        <f t="shared" si="373"/>
        <v>0</v>
      </c>
      <c r="AI217" s="87">
        <f t="shared" si="374"/>
        <v>0</v>
      </c>
      <c r="AJ217" s="87">
        <f t="shared" si="375"/>
        <v>0</v>
      </c>
      <c r="AK217" s="86">
        <f t="shared" si="376"/>
        <v>0</v>
      </c>
      <c r="AL217" s="85">
        <v>0</v>
      </c>
      <c r="AM217" s="85">
        <v>0</v>
      </c>
      <c r="AN217" s="85">
        <v>0</v>
      </c>
      <c r="AO217" s="85">
        <v>0</v>
      </c>
      <c r="AP217" s="85">
        <v>0</v>
      </c>
      <c r="AQ217" s="86">
        <v>0</v>
      </c>
      <c r="AR217" s="87">
        <v>1</v>
      </c>
      <c r="AS217" s="87">
        <v>0</v>
      </c>
      <c r="AT217" s="87">
        <v>0</v>
      </c>
      <c r="AU217" s="87">
        <v>0</v>
      </c>
      <c r="AV217" s="87">
        <v>1</v>
      </c>
      <c r="AW217" s="87">
        <v>0</v>
      </c>
      <c r="AX217" s="87">
        <v>0</v>
      </c>
      <c r="AY217" s="87">
        <v>0</v>
      </c>
      <c r="AZ217" s="87">
        <v>0</v>
      </c>
      <c r="BA217" s="87">
        <v>0</v>
      </c>
      <c r="BB217" s="87">
        <v>0</v>
      </c>
      <c r="BC217" s="86">
        <v>0</v>
      </c>
      <c r="BD217" s="87">
        <v>0</v>
      </c>
      <c r="BE217" s="87">
        <v>0</v>
      </c>
      <c r="BF217" s="87">
        <v>0</v>
      </c>
      <c r="BG217" s="87">
        <v>0</v>
      </c>
      <c r="BH217" s="87">
        <v>0</v>
      </c>
      <c r="BI217" s="87">
        <v>0</v>
      </c>
      <c r="BJ217" s="40">
        <v>0</v>
      </c>
      <c r="BK217" s="40">
        <v>0</v>
      </c>
      <c r="BL217" s="40">
        <v>0</v>
      </c>
      <c r="BM217" s="40" t="s">
        <v>768</v>
      </c>
      <c r="BN217" s="87"/>
      <c r="BO217" s="86"/>
      <c r="BP217" s="21">
        <v>0</v>
      </c>
      <c r="BQ217" s="21">
        <v>0</v>
      </c>
      <c r="BR217" s="21">
        <v>0</v>
      </c>
      <c r="BS217" s="21">
        <v>0</v>
      </c>
      <c r="BT217" s="21">
        <v>0</v>
      </c>
      <c r="BU217" s="42">
        <v>0</v>
      </c>
      <c r="BV217" s="21">
        <v>0</v>
      </c>
      <c r="BW217" s="21">
        <v>0</v>
      </c>
      <c r="BX217" s="21">
        <v>0</v>
      </c>
      <c r="BY217" s="21">
        <v>0</v>
      </c>
      <c r="BZ217" s="21">
        <v>0</v>
      </c>
      <c r="CA217" s="21">
        <v>0</v>
      </c>
      <c r="CB217" s="21">
        <v>0</v>
      </c>
      <c r="CC217" s="21">
        <v>0</v>
      </c>
      <c r="CD217" s="21">
        <v>0</v>
      </c>
      <c r="CE217" s="21">
        <v>0</v>
      </c>
      <c r="CF217" s="21">
        <v>0</v>
      </c>
      <c r="CG217" s="42">
        <v>0</v>
      </c>
      <c r="CH217" s="21">
        <v>0</v>
      </c>
      <c r="CI217" s="21">
        <v>0</v>
      </c>
      <c r="CJ217" s="21">
        <v>0</v>
      </c>
      <c r="CK217" s="21">
        <v>0</v>
      </c>
      <c r="CL217" s="21">
        <v>0</v>
      </c>
      <c r="CM217" s="21">
        <v>0</v>
      </c>
      <c r="CN217" s="21">
        <v>0</v>
      </c>
      <c r="CO217" s="21">
        <v>0</v>
      </c>
      <c r="CP217" s="21">
        <f t="shared" si="377"/>
        <v>0</v>
      </c>
      <c r="CQ217" s="344">
        <f t="shared" si="378"/>
        <v>0</v>
      </c>
      <c r="CR217" s="87"/>
      <c r="CS217" s="86"/>
      <c r="CT217" s="85">
        <f t="shared" si="379"/>
        <v>0</v>
      </c>
      <c r="CU217" s="85">
        <f t="shared" si="380"/>
        <v>0</v>
      </c>
      <c r="CV217" s="85">
        <f t="shared" si="381"/>
        <v>0</v>
      </c>
      <c r="CW217" s="85">
        <f t="shared" si="382"/>
        <v>0</v>
      </c>
      <c r="CX217" s="85">
        <f t="shared" si="383"/>
        <v>0</v>
      </c>
      <c r="CY217" s="86">
        <f t="shared" si="384"/>
        <v>0</v>
      </c>
      <c r="CZ217" s="87">
        <f t="shared" si="385"/>
        <v>1</v>
      </c>
      <c r="DA217" s="87">
        <f t="shared" si="386"/>
        <v>0</v>
      </c>
      <c r="DB217" s="87">
        <f t="shared" si="387"/>
        <v>0</v>
      </c>
      <c r="DC217" s="87">
        <f t="shared" si="388"/>
        <v>0</v>
      </c>
      <c r="DD217" s="87">
        <f t="shared" si="389"/>
        <v>1</v>
      </c>
      <c r="DE217" s="87">
        <f t="shared" si="390"/>
        <v>0</v>
      </c>
      <c r="DF217" s="87">
        <f t="shared" si="391"/>
        <v>0</v>
      </c>
      <c r="DG217" s="87">
        <f t="shared" si="392"/>
        <v>0</v>
      </c>
      <c r="DH217" s="87">
        <f t="shared" si="393"/>
        <v>0</v>
      </c>
      <c r="DI217" s="87">
        <f t="shared" si="394"/>
        <v>0</v>
      </c>
      <c r="DJ217" s="87">
        <f t="shared" si="395"/>
        <v>0</v>
      </c>
      <c r="DK217" s="86">
        <f t="shared" si="396"/>
        <v>0</v>
      </c>
      <c r="DL217" s="87">
        <f t="shared" si="397"/>
        <v>0</v>
      </c>
      <c r="DM217" s="87">
        <f t="shared" si="398"/>
        <v>0</v>
      </c>
      <c r="DN217" s="87">
        <f t="shared" si="399"/>
        <v>0</v>
      </c>
      <c r="DO217" s="87">
        <f t="shared" si="400"/>
        <v>0</v>
      </c>
      <c r="DP217" s="87">
        <f t="shared" si="401"/>
        <v>0</v>
      </c>
      <c r="DQ217" s="87">
        <f t="shared" si="402"/>
        <v>0</v>
      </c>
      <c r="DR217" s="87">
        <f t="shared" si="340"/>
        <v>0</v>
      </c>
      <c r="DS217" s="87">
        <f t="shared" si="341"/>
        <v>0</v>
      </c>
      <c r="DT217" s="87">
        <f t="shared" si="403"/>
        <v>0</v>
      </c>
      <c r="DU217" s="87">
        <f t="shared" si="404"/>
        <v>0</v>
      </c>
      <c r="DV217" s="87">
        <f t="shared" si="405"/>
        <v>0</v>
      </c>
      <c r="DW217" s="87">
        <f t="shared" si="406"/>
        <v>0</v>
      </c>
    </row>
    <row r="218" spans="1:127">
      <c r="A218" s="22" t="s">
        <v>126</v>
      </c>
      <c r="B218" s="26">
        <v>4987176122926</v>
      </c>
      <c r="C218" s="22" t="s">
        <v>127</v>
      </c>
      <c r="D218" s="22" t="s">
        <v>125</v>
      </c>
      <c r="E218" s="22">
        <v>144510</v>
      </c>
      <c r="F218" s="80" t="s">
        <v>319</v>
      </c>
      <c r="G218" s="25">
        <v>42.79</v>
      </c>
      <c r="H218" s="85">
        <f t="shared" si="347"/>
        <v>18870.39</v>
      </c>
      <c r="I218" s="85">
        <f t="shared" si="348"/>
        <v>27257.23</v>
      </c>
      <c r="J218" s="85">
        <f t="shared" si="349"/>
        <v>13992.33</v>
      </c>
      <c r="K218" s="85">
        <f t="shared" si="350"/>
        <v>12280.73</v>
      </c>
      <c r="L218" s="85">
        <f t="shared" si="351"/>
        <v>4664.1099999999997</v>
      </c>
      <c r="M218" s="86">
        <f t="shared" si="352"/>
        <v>3465.99</v>
      </c>
      <c r="N218" s="87">
        <f t="shared" si="353"/>
        <v>813.01</v>
      </c>
      <c r="O218" s="87">
        <f t="shared" si="354"/>
        <v>1240.9100000000001</v>
      </c>
      <c r="P218" s="87">
        <f t="shared" si="355"/>
        <v>299.52999999999997</v>
      </c>
      <c r="Q218" s="87">
        <f t="shared" si="356"/>
        <v>42.79</v>
      </c>
      <c r="R218" s="87">
        <f t="shared" si="357"/>
        <v>85.58</v>
      </c>
      <c r="S218" s="87">
        <f t="shared" si="358"/>
        <v>0</v>
      </c>
      <c r="T218" s="87">
        <f t="shared" si="359"/>
        <v>42.79</v>
      </c>
      <c r="U218" s="87">
        <f t="shared" si="360"/>
        <v>0</v>
      </c>
      <c r="V218" s="87">
        <f t="shared" si="361"/>
        <v>42.79</v>
      </c>
      <c r="W218" s="87">
        <f t="shared" si="362"/>
        <v>0</v>
      </c>
      <c r="X218" s="87">
        <f t="shared" si="363"/>
        <v>0</v>
      </c>
      <c r="Y218" s="86">
        <f t="shared" si="364"/>
        <v>0</v>
      </c>
      <c r="Z218" s="87">
        <f t="shared" si="365"/>
        <v>0</v>
      </c>
      <c r="AA218" s="87">
        <f t="shared" si="366"/>
        <v>0</v>
      </c>
      <c r="AB218" s="87">
        <f t="shared" si="367"/>
        <v>0</v>
      </c>
      <c r="AC218" s="87">
        <f t="shared" si="368"/>
        <v>0</v>
      </c>
      <c r="AD218" s="87">
        <f t="shared" si="369"/>
        <v>0</v>
      </c>
      <c r="AE218" s="87">
        <f t="shared" si="370"/>
        <v>0</v>
      </c>
      <c r="AF218" s="231">
        <f t="shared" si="371"/>
        <v>0</v>
      </c>
      <c r="AG218" s="87">
        <f t="shared" si="372"/>
        <v>0</v>
      </c>
      <c r="AH218" s="87">
        <f t="shared" si="373"/>
        <v>0</v>
      </c>
      <c r="AI218" s="87">
        <f t="shared" si="374"/>
        <v>0</v>
      </c>
      <c r="AJ218" s="87">
        <f t="shared" si="375"/>
        <v>0</v>
      </c>
      <c r="AK218" s="86">
        <f t="shared" si="376"/>
        <v>0</v>
      </c>
      <c r="AL218" s="85">
        <v>185</v>
      </c>
      <c r="AM218" s="85">
        <v>142</v>
      </c>
      <c r="AN218" s="85">
        <v>97</v>
      </c>
      <c r="AO218" s="85">
        <v>81</v>
      </c>
      <c r="AP218" s="85">
        <v>42</v>
      </c>
      <c r="AQ218" s="86">
        <v>15</v>
      </c>
      <c r="AR218" s="87">
        <v>18</v>
      </c>
      <c r="AS218" s="87">
        <v>29</v>
      </c>
      <c r="AT218" s="87">
        <v>7</v>
      </c>
      <c r="AU218" s="87">
        <v>1</v>
      </c>
      <c r="AV218" s="87">
        <v>2</v>
      </c>
      <c r="AW218" s="87">
        <v>0</v>
      </c>
      <c r="AX218" s="87">
        <v>1</v>
      </c>
      <c r="AY218" s="87">
        <v>0</v>
      </c>
      <c r="AZ218" s="87">
        <v>1</v>
      </c>
      <c r="BA218" s="87">
        <v>0</v>
      </c>
      <c r="BB218" s="87">
        <v>0</v>
      </c>
      <c r="BC218" s="86">
        <v>0</v>
      </c>
      <c r="BD218" s="87">
        <v>0</v>
      </c>
      <c r="BE218" s="87">
        <v>0</v>
      </c>
      <c r="BF218" s="87">
        <v>0</v>
      </c>
      <c r="BG218" s="87">
        <v>0</v>
      </c>
      <c r="BH218" s="87">
        <v>0</v>
      </c>
      <c r="BI218" s="87">
        <v>0</v>
      </c>
      <c r="BJ218" s="40">
        <v>0</v>
      </c>
      <c r="BK218" s="40">
        <v>0</v>
      </c>
      <c r="BL218" s="40">
        <v>0</v>
      </c>
      <c r="BM218" s="40">
        <v>0</v>
      </c>
      <c r="BN218" s="87"/>
      <c r="BO218" s="86"/>
      <c r="BP218" s="21">
        <v>256</v>
      </c>
      <c r="BQ218" s="21">
        <v>495</v>
      </c>
      <c r="BR218" s="21">
        <v>230</v>
      </c>
      <c r="BS218" s="21">
        <v>206</v>
      </c>
      <c r="BT218" s="21">
        <v>67</v>
      </c>
      <c r="BU218" s="42">
        <v>66</v>
      </c>
      <c r="BV218" s="21">
        <v>1</v>
      </c>
      <c r="BW218" s="21">
        <v>0</v>
      </c>
      <c r="BX218" s="21">
        <v>0</v>
      </c>
      <c r="BY218" s="21">
        <v>0</v>
      </c>
      <c r="BZ218" s="21">
        <v>0</v>
      </c>
      <c r="CA218" s="21">
        <v>0</v>
      </c>
      <c r="CB218" s="21">
        <v>0</v>
      </c>
      <c r="CC218" s="21">
        <v>0</v>
      </c>
      <c r="CD218" s="21">
        <v>0</v>
      </c>
      <c r="CE218" s="21">
        <v>0</v>
      </c>
      <c r="CF218" s="21">
        <v>0</v>
      </c>
      <c r="CG218" s="42">
        <v>0</v>
      </c>
      <c r="CH218" s="21">
        <v>0</v>
      </c>
      <c r="CI218" s="21">
        <v>0</v>
      </c>
      <c r="CJ218" s="21">
        <v>0</v>
      </c>
      <c r="CK218" s="21">
        <v>0</v>
      </c>
      <c r="CL218" s="21">
        <v>0</v>
      </c>
      <c r="CM218" s="21">
        <v>0</v>
      </c>
      <c r="CN218" s="21">
        <v>0</v>
      </c>
      <c r="CO218" s="21">
        <v>0</v>
      </c>
      <c r="CP218" s="21">
        <f t="shared" si="377"/>
        <v>0</v>
      </c>
      <c r="CQ218" s="344">
        <f t="shared" si="378"/>
        <v>0</v>
      </c>
      <c r="CR218" s="87"/>
      <c r="CS218" s="86"/>
      <c r="CT218" s="85">
        <f t="shared" si="379"/>
        <v>441</v>
      </c>
      <c r="CU218" s="85">
        <f t="shared" si="380"/>
        <v>637</v>
      </c>
      <c r="CV218" s="85">
        <f t="shared" si="381"/>
        <v>327</v>
      </c>
      <c r="CW218" s="85">
        <f t="shared" si="382"/>
        <v>287</v>
      </c>
      <c r="CX218" s="85">
        <f t="shared" si="383"/>
        <v>109</v>
      </c>
      <c r="CY218" s="86">
        <f t="shared" si="384"/>
        <v>81</v>
      </c>
      <c r="CZ218" s="87">
        <f t="shared" si="385"/>
        <v>19</v>
      </c>
      <c r="DA218" s="87">
        <f t="shared" si="386"/>
        <v>29</v>
      </c>
      <c r="DB218" s="87">
        <f t="shared" si="387"/>
        <v>7</v>
      </c>
      <c r="DC218" s="87">
        <f t="shared" si="388"/>
        <v>1</v>
      </c>
      <c r="DD218" s="87">
        <f t="shared" si="389"/>
        <v>2</v>
      </c>
      <c r="DE218" s="87">
        <f t="shared" si="390"/>
        <v>0</v>
      </c>
      <c r="DF218" s="87">
        <f t="shared" si="391"/>
        <v>1</v>
      </c>
      <c r="DG218" s="87">
        <f t="shared" si="392"/>
        <v>0</v>
      </c>
      <c r="DH218" s="87">
        <f t="shared" si="393"/>
        <v>1</v>
      </c>
      <c r="DI218" s="87">
        <f t="shared" si="394"/>
        <v>0</v>
      </c>
      <c r="DJ218" s="87">
        <f t="shared" si="395"/>
        <v>0</v>
      </c>
      <c r="DK218" s="86">
        <f t="shared" si="396"/>
        <v>0</v>
      </c>
      <c r="DL218" s="87">
        <f t="shared" si="397"/>
        <v>0</v>
      </c>
      <c r="DM218" s="87">
        <f t="shared" si="398"/>
        <v>0</v>
      </c>
      <c r="DN218" s="87">
        <f t="shared" si="399"/>
        <v>0</v>
      </c>
      <c r="DO218" s="87">
        <f t="shared" si="400"/>
        <v>0</v>
      </c>
      <c r="DP218" s="87">
        <f t="shared" si="401"/>
        <v>0</v>
      </c>
      <c r="DQ218" s="87">
        <f t="shared" si="402"/>
        <v>0</v>
      </c>
      <c r="DR218" s="87">
        <f t="shared" si="340"/>
        <v>0</v>
      </c>
      <c r="DS218" s="87">
        <f t="shared" si="341"/>
        <v>0</v>
      </c>
      <c r="DT218" s="87">
        <f t="shared" si="403"/>
        <v>0</v>
      </c>
      <c r="DU218" s="87">
        <f t="shared" si="404"/>
        <v>0</v>
      </c>
      <c r="DV218" s="87">
        <f t="shared" si="405"/>
        <v>0</v>
      </c>
      <c r="DW218" s="87">
        <f t="shared" si="406"/>
        <v>0</v>
      </c>
    </row>
    <row r="219" spans="1:127">
      <c r="A219" s="22" t="s">
        <v>126</v>
      </c>
      <c r="B219" s="26">
        <v>4987176219978</v>
      </c>
      <c r="C219" s="22" t="s">
        <v>127</v>
      </c>
      <c r="D219" s="22" t="s">
        <v>47</v>
      </c>
      <c r="E219" s="22">
        <v>224806</v>
      </c>
      <c r="F219" s="80" t="s">
        <v>320</v>
      </c>
      <c r="G219" s="25">
        <v>47</v>
      </c>
      <c r="H219" s="85">
        <f t="shared" si="347"/>
        <v>44321</v>
      </c>
      <c r="I219" s="85">
        <f t="shared" si="348"/>
        <v>17484</v>
      </c>
      <c r="J219" s="85">
        <f t="shared" si="349"/>
        <v>15181</v>
      </c>
      <c r="K219" s="85">
        <f t="shared" si="350"/>
        <v>14664</v>
      </c>
      <c r="L219" s="85">
        <f t="shared" si="351"/>
        <v>321668</v>
      </c>
      <c r="M219" s="86">
        <f t="shared" si="352"/>
        <v>363028</v>
      </c>
      <c r="N219" s="87">
        <f t="shared" si="353"/>
        <v>33558</v>
      </c>
      <c r="O219" s="87">
        <f t="shared" si="354"/>
        <v>38070</v>
      </c>
      <c r="P219" s="87">
        <f t="shared" si="355"/>
        <v>23876</v>
      </c>
      <c r="Q219" s="87">
        <f t="shared" si="356"/>
        <v>22889</v>
      </c>
      <c r="R219" s="87">
        <f t="shared" si="357"/>
        <v>26649</v>
      </c>
      <c r="S219" s="87">
        <f t="shared" si="358"/>
        <v>33417</v>
      </c>
      <c r="T219" s="87">
        <f t="shared" si="359"/>
        <v>9165</v>
      </c>
      <c r="U219" s="87">
        <f t="shared" si="360"/>
        <v>19505</v>
      </c>
      <c r="V219" s="87">
        <f t="shared" si="361"/>
        <v>17343</v>
      </c>
      <c r="W219" s="87">
        <f t="shared" si="362"/>
        <v>31349</v>
      </c>
      <c r="X219" s="87">
        <f t="shared" si="363"/>
        <v>33370</v>
      </c>
      <c r="Y219" s="86">
        <f t="shared" si="364"/>
        <v>21620</v>
      </c>
      <c r="Z219" s="87">
        <f t="shared" si="365"/>
        <v>23688</v>
      </c>
      <c r="AA219" s="87">
        <f t="shared" si="366"/>
        <v>17061</v>
      </c>
      <c r="AB219" s="87">
        <f t="shared" si="367"/>
        <v>31537</v>
      </c>
      <c r="AC219" s="87">
        <f t="shared" si="368"/>
        <v>51794</v>
      </c>
      <c r="AD219" s="87">
        <f t="shared" si="369"/>
        <v>13489</v>
      </c>
      <c r="AE219" s="87">
        <f t="shared" si="370"/>
        <v>43710</v>
      </c>
      <c r="AF219" s="231">
        <f t="shared" si="371"/>
        <v>24017</v>
      </c>
      <c r="AG219" s="87">
        <f t="shared" si="372"/>
        <v>8742</v>
      </c>
      <c r="AH219" s="87">
        <f t="shared" si="373"/>
        <v>14664</v>
      </c>
      <c r="AI219" s="87">
        <f t="shared" si="374"/>
        <v>27944.111111111109</v>
      </c>
      <c r="AJ219" s="87">
        <f t="shared" si="375"/>
        <v>0</v>
      </c>
      <c r="AK219" s="86">
        <f t="shared" si="376"/>
        <v>0</v>
      </c>
      <c r="AL219" s="85">
        <v>943</v>
      </c>
      <c r="AM219" s="85">
        <v>372</v>
      </c>
      <c r="AN219" s="85">
        <v>323</v>
      </c>
      <c r="AO219" s="85">
        <v>312</v>
      </c>
      <c r="AP219" s="85">
        <v>6841</v>
      </c>
      <c r="AQ219" s="86">
        <v>7711</v>
      </c>
      <c r="AR219" s="87">
        <v>700</v>
      </c>
      <c r="AS219" s="87">
        <v>747</v>
      </c>
      <c r="AT219" s="87">
        <v>414</v>
      </c>
      <c r="AU219" s="87">
        <v>416</v>
      </c>
      <c r="AV219" s="87">
        <v>414</v>
      </c>
      <c r="AW219" s="87">
        <v>697</v>
      </c>
      <c r="AX219" s="87">
        <v>177</v>
      </c>
      <c r="AY219" s="87">
        <v>264</v>
      </c>
      <c r="AZ219" s="87">
        <v>196</v>
      </c>
      <c r="BA219" s="87">
        <v>616</v>
      </c>
      <c r="BB219" s="87">
        <v>681</v>
      </c>
      <c r="BC219" s="86">
        <v>334</v>
      </c>
      <c r="BD219" s="87">
        <v>491</v>
      </c>
      <c r="BE219" s="87">
        <v>194</v>
      </c>
      <c r="BF219" s="87">
        <v>588</v>
      </c>
      <c r="BG219" s="87">
        <v>850</v>
      </c>
      <c r="BH219" s="87">
        <v>249</v>
      </c>
      <c r="BI219" s="87">
        <v>569</v>
      </c>
      <c r="BJ219" s="40">
        <v>497</v>
      </c>
      <c r="BK219" s="40">
        <v>185</v>
      </c>
      <c r="BL219" s="40">
        <v>311</v>
      </c>
      <c r="BM219" s="40">
        <v>491</v>
      </c>
      <c r="BN219" s="87"/>
      <c r="BO219" s="86"/>
      <c r="BP219" s="21">
        <v>0</v>
      </c>
      <c r="BQ219" s="21">
        <v>0</v>
      </c>
      <c r="BR219" s="21">
        <v>0</v>
      </c>
      <c r="BS219" s="21">
        <v>0</v>
      </c>
      <c r="BT219" s="21">
        <v>3</v>
      </c>
      <c r="BU219" s="42">
        <v>13</v>
      </c>
      <c r="BV219" s="21">
        <v>14</v>
      </c>
      <c r="BW219" s="21">
        <v>63</v>
      </c>
      <c r="BX219" s="21">
        <v>94</v>
      </c>
      <c r="BY219" s="21">
        <v>71</v>
      </c>
      <c r="BZ219" s="21">
        <v>153</v>
      </c>
      <c r="CA219" s="21">
        <v>14</v>
      </c>
      <c r="CB219" s="21">
        <v>18</v>
      </c>
      <c r="CC219" s="21">
        <v>151</v>
      </c>
      <c r="CD219" s="21">
        <v>173</v>
      </c>
      <c r="CE219" s="21">
        <v>51</v>
      </c>
      <c r="CF219" s="21">
        <v>29</v>
      </c>
      <c r="CG219" s="42">
        <v>126</v>
      </c>
      <c r="CH219" s="21">
        <v>13</v>
      </c>
      <c r="CI219" s="21">
        <v>169</v>
      </c>
      <c r="CJ219" s="21">
        <v>83</v>
      </c>
      <c r="CK219" s="21">
        <v>252</v>
      </c>
      <c r="CL219" s="21">
        <v>38</v>
      </c>
      <c r="CM219" s="21">
        <v>361</v>
      </c>
      <c r="CN219" s="21">
        <v>14</v>
      </c>
      <c r="CO219" s="21">
        <v>1</v>
      </c>
      <c r="CP219" s="21">
        <f t="shared" si="377"/>
        <v>1</v>
      </c>
      <c r="CQ219" s="344">
        <f t="shared" si="378"/>
        <v>103.55555555555556</v>
      </c>
      <c r="CR219" s="87"/>
      <c r="CS219" s="86"/>
      <c r="CT219" s="85">
        <f t="shared" si="379"/>
        <v>943</v>
      </c>
      <c r="CU219" s="85">
        <f t="shared" si="380"/>
        <v>372</v>
      </c>
      <c r="CV219" s="85">
        <f t="shared" si="381"/>
        <v>323</v>
      </c>
      <c r="CW219" s="85">
        <f t="shared" si="382"/>
        <v>312</v>
      </c>
      <c r="CX219" s="85">
        <f t="shared" si="383"/>
        <v>6844</v>
      </c>
      <c r="CY219" s="86">
        <f t="shared" si="384"/>
        <v>7724</v>
      </c>
      <c r="CZ219" s="87">
        <f t="shared" si="385"/>
        <v>714</v>
      </c>
      <c r="DA219" s="87">
        <f t="shared" si="386"/>
        <v>810</v>
      </c>
      <c r="DB219" s="87">
        <f t="shared" si="387"/>
        <v>508</v>
      </c>
      <c r="DC219" s="87">
        <f t="shared" si="388"/>
        <v>487</v>
      </c>
      <c r="DD219" s="87">
        <f t="shared" si="389"/>
        <v>567</v>
      </c>
      <c r="DE219" s="87">
        <f t="shared" si="390"/>
        <v>711</v>
      </c>
      <c r="DF219" s="87">
        <f t="shared" si="391"/>
        <v>195</v>
      </c>
      <c r="DG219" s="87">
        <f t="shared" si="392"/>
        <v>415</v>
      </c>
      <c r="DH219" s="87">
        <f t="shared" si="393"/>
        <v>369</v>
      </c>
      <c r="DI219" s="87">
        <f t="shared" si="394"/>
        <v>667</v>
      </c>
      <c r="DJ219" s="87">
        <f t="shared" si="395"/>
        <v>710</v>
      </c>
      <c r="DK219" s="86">
        <f t="shared" si="396"/>
        <v>460</v>
      </c>
      <c r="DL219" s="87">
        <f t="shared" si="397"/>
        <v>504</v>
      </c>
      <c r="DM219" s="87">
        <f t="shared" si="398"/>
        <v>363</v>
      </c>
      <c r="DN219" s="87">
        <f t="shared" si="399"/>
        <v>671</v>
      </c>
      <c r="DO219" s="87">
        <f t="shared" si="400"/>
        <v>1102</v>
      </c>
      <c r="DP219" s="87">
        <f t="shared" si="401"/>
        <v>287</v>
      </c>
      <c r="DQ219" s="87">
        <f t="shared" si="402"/>
        <v>930</v>
      </c>
      <c r="DR219" s="87">
        <f t="shared" si="340"/>
        <v>511</v>
      </c>
      <c r="DS219" s="87">
        <f t="shared" si="341"/>
        <v>186</v>
      </c>
      <c r="DT219" s="87">
        <f t="shared" si="403"/>
        <v>312</v>
      </c>
      <c r="DU219" s="87">
        <f t="shared" si="404"/>
        <v>594.55555555555554</v>
      </c>
      <c r="DV219" s="87">
        <f t="shared" si="405"/>
        <v>0</v>
      </c>
      <c r="DW219" s="87">
        <f t="shared" si="406"/>
        <v>0</v>
      </c>
    </row>
    <row r="220" spans="1:127">
      <c r="A220" s="22" t="s">
        <v>126</v>
      </c>
      <c r="B220" s="26">
        <v>4987176219992</v>
      </c>
      <c r="C220" s="22" t="s">
        <v>127</v>
      </c>
      <c r="D220" s="22" t="s">
        <v>47</v>
      </c>
      <c r="E220" s="22">
        <v>224702</v>
      </c>
      <c r="F220" s="80" t="s">
        <v>321</v>
      </c>
      <c r="G220" s="25">
        <v>47</v>
      </c>
      <c r="H220" s="85">
        <f t="shared" si="347"/>
        <v>52969</v>
      </c>
      <c r="I220" s="85">
        <f t="shared" si="348"/>
        <v>17155</v>
      </c>
      <c r="J220" s="85">
        <f t="shared" si="349"/>
        <v>15275</v>
      </c>
      <c r="K220" s="85">
        <f t="shared" si="350"/>
        <v>22607</v>
      </c>
      <c r="L220" s="85">
        <f t="shared" si="351"/>
        <v>449320</v>
      </c>
      <c r="M220" s="86">
        <f t="shared" si="352"/>
        <v>495709</v>
      </c>
      <c r="N220" s="87">
        <f t="shared" si="353"/>
        <v>35391</v>
      </c>
      <c r="O220" s="87">
        <f t="shared" si="354"/>
        <v>40373</v>
      </c>
      <c r="P220" s="87">
        <f t="shared" si="355"/>
        <v>31725</v>
      </c>
      <c r="Q220" s="87">
        <f t="shared" si="356"/>
        <v>29187</v>
      </c>
      <c r="R220" s="87">
        <f t="shared" si="357"/>
        <v>35767</v>
      </c>
      <c r="S220" s="87">
        <f t="shared" si="358"/>
        <v>42535</v>
      </c>
      <c r="T220" s="87">
        <f t="shared" si="359"/>
        <v>10246</v>
      </c>
      <c r="U220" s="87">
        <f t="shared" si="360"/>
        <v>23547</v>
      </c>
      <c r="V220" s="87">
        <f t="shared" si="361"/>
        <v>25333</v>
      </c>
      <c r="W220" s="87">
        <f t="shared" si="362"/>
        <v>43522</v>
      </c>
      <c r="X220" s="87">
        <f t="shared" si="363"/>
        <v>49021</v>
      </c>
      <c r="Y220" s="86">
        <f t="shared" si="364"/>
        <v>29939</v>
      </c>
      <c r="Z220" s="87">
        <f t="shared" si="365"/>
        <v>35391</v>
      </c>
      <c r="AA220" s="87">
        <f t="shared" si="366"/>
        <v>40232</v>
      </c>
      <c r="AB220" s="87">
        <f t="shared" si="367"/>
        <v>54285</v>
      </c>
      <c r="AC220" s="87">
        <f t="shared" si="368"/>
        <v>80981</v>
      </c>
      <c r="AD220" s="87">
        <f t="shared" si="369"/>
        <v>32242</v>
      </c>
      <c r="AE220" s="87">
        <f t="shared" si="370"/>
        <v>102648</v>
      </c>
      <c r="AF220" s="231">
        <f t="shared" si="371"/>
        <v>44133</v>
      </c>
      <c r="AG220" s="87">
        <f t="shared" si="372"/>
        <v>24393</v>
      </c>
      <c r="AH220" s="87">
        <f t="shared" si="373"/>
        <v>86198</v>
      </c>
      <c r="AI220" s="87">
        <f t="shared" si="374"/>
        <v>124607.44444444444</v>
      </c>
      <c r="AJ220" s="87">
        <f t="shared" si="375"/>
        <v>0</v>
      </c>
      <c r="AK220" s="86">
        <f t="shared" si="376"/>
        <v>0</v>
      </c>
      <c r="AL220" s="85">
        <v>1127</v>
      </c>
      <c r="AM220" s="85">
        <v>365</v>
      </c>
      <c r="AN220" s="85">
        <v>325</v>
      </c>
      <c r="AO220" s="85">
        <v>481</v>
      </c>
      <c r="AP220" s="85">
        <v>9556</v>
      </c>
      <c r="AQ220" s="86">
        <v>10510</v>
      </c>
      <c r="AR220" s="87">
        <v>699</v>
      </c>
      <c r="AS220" s="87">
        <v>795</v>
      </c>
      <c r="AT220" s="87">
        <v>558</v>
      </c>
      <c r="AU220" s="87">
        <v>442</v>
      </c>
      <c r="AV220" s="87">
        <v>468</v>
      </c>
      <c r="AW220" s="87">
        <v>893</v>
      </c>
      <c r="AX220" s="87">
        <v>187</v>
      </c>
      <c r="AY220" s="87">
        <v>247</v>
      </c>
      <c r="AZ220" s="87">
        <v>199</v>
      </c>
      <c r="BA220" s="87">
        <v>803</v>
      </c>
      <c r="BB220" s="87">
        <v>1019</v>
      </c>
      <c r="BC220" s="86">
        <v>486</v>
      </c>
      <c r="BD220" s="87">
        <v>732</v>
      </c>
      <c r="BE220" s="87">
        <v>372</v>
      </c>
      <c r="BF220" s="87">
        <v>885</v>
      </c>
      <c r="BG220" s="87">
        <v>1170</v>
      </c>
      <c r="BH220" s="87">
        <v>641</v>
      </c>
      <c r="BI220" s="87">
        <v>1529</v>
      </c>
      <c r="BJ220" s="40">
        <v>887</v>
      </c>
      <c r="BK220" s="40">
        <v>505</v>
      </c>
      <c r="BL220" s="40">
        <v>1820</v>
      </c>
      <c r="BM220" s="40">
        <v>2417</v>
      </c>
      <c r="BN220" s="87"/>
      <c r="BO220" s="86"/>
      <c r="BP220" s="21">
        <v>0</v>
      </c>
      <c r="BQ220" s="21">
        <v>0</v>
      </c>
      <c r="BR220" s="21">
        <v>0</v>
      </c>
      <c r="BS220" s="21">
        <v>0</v>
      </c>
      <c r="BT220" s="21">
        <v>4</v>
      </c>
      <c r="BU220" s="42">
        <v>37</v>
      </c>
      <c r="BV220" s="21">
        <v>54</v>
      </c>
      <c r="BW220" s="21">
        <v>64</v>
      </c>
      <c r="BX220" s="21">
        <v>117</v>
      </c>
      <c r="BY220" s="21">
        <v>179</v>
      </c>
      <c r="BZ220" s="21">
        <v>293</v>
      </c>
      <c r="CA220" s="21">
        <v>12</v>
      </c>
      <c r="CB220" s="21">
        <v>31</v>
      </c>
      <c r="CC220" s="21">
        <v>254</v>
      </c>
      <c r="CD220" s="21">
        <v>340</v>
      </c>
      <c r="CE220" s="21">
        <v>123</v>
      </c>
      <c r="CF220" s="21">
        <v>24</v>
      </c>
      <c r="CG220" s="42">
        <v>151</v>
      </c>
      <c r="CH220" s="21">
        <v>21</v>
      </c>
      <c r="CI220" s="21">
        <v>484</v>
      </c>
      <c r="CJ220" s="21">
        <v>270</v>
      </c>
      <c r="CK220" s="21">
        <v>553</v>
      </c>
      <c r="CL220" s="21">
        <v>45</v>
      </c>
      <c r="CM220" s="21">
        <v>655</v>
      </c>
      <c r="CN220" s="21">
        <v>52</v>
      </c>
      <c r="CO220" s="21">
        <v>14</v>
      </c>
      <c r="CP220" s="21">
        <f t="shared" si="377"/>
        <v>14</v>
      </c>
      <c r="CQ220" s="344">
        <f t="shared" si="378"/>
        <v>234.22222222222223</v>
      </c>
      <c r="CR220" s="87"/>
      <c r="CS220" s="86"/>
      <c r="CT220" s="85">
        <f t="shared" si="379"/>
        <v>1127</v>
      </c>
      <c r="CU220" s="85">
        <f t="shared" si="380"/>
        <v>365</v>
      </c>
      <c r="CV220" s="85">
        <f t="shared" si="381"/>
        <v>325</v>
      </c>
      <c r="CW220" s="85">
        <f t="shared" si="382"/>
        <v>481</v>
      </c>
      <c r="CX220" s="85">
        <f t="shared" si="383"/>
        <v>9560</v>
      </c>
      <c r="CY220" s="86">
        <f t="shared" si="384"/>
        <v>10547</v>
      </c>
      <c r="CZ220" s="87">
        <f t="shared" si="385"/>
        <v>753</v>
      </c>
      <c r="DA220" s="87">
        <f t="shared" si="386"/>
        <v>859</v>
      </c>
      <c r="DB220" s="87">
        <f t="shared" si="387"/>
        <v>675</v>
      </c>
      <c r="DC220" s="87">
        <f t="shared" si="388"/>
        <v>621</v>
      </c>
      <c r="DD220" s="87">
        <f t="shared" si="389"/>
        <v>761</v>
      </c>
      <c r="DE220" s="87">
        <f t="shared" si="390"/>
        <v>905</v>
      </c>
      <c r="DF220" s="87">
        <f t="shared" si="391"/>
        <v>218</v>
      </c>
      <c r="DG220" s="87">
        <f t="shared" si="392"/>
        <v>501</v>
      </c>
      <c r="DH220" s="87">
        <f t="shared" si="393"/>
        <v>539</v>
      </c>
      <c r="DI220" s="87">
        <f t="shared" si="394"/>
        <v>926</v>
      </c>
      <c r="DJ220" s="87">
        <f t="shared" si="395"/>
        <v>1043</v>
      </c>
      <c r="DK220" s="86">
        <f t="shared" si="396"/>
        <v>637</v>
      </c>
      <c r="DL220" s="87">
        <f t="shared" si="397"/>
        <v>753</v>
      </c>
      <c r="DM220" s="87">
        <f t="shared" si="398"/>
        <v>856</v>
      </c>
      <c r="DN220" s="87">
        <f t="shared" si="399"/>
        <v>1155</v>
      </c>
      <c r="DO220" s="87">
        <f t="shared" si="400"/>
        <v>1723</v>
      </c>
      <c r="DP220" s="87">
        <f t="shared" si="401"/>
        <v>686</v>
      </c>
      <c r="DQ220" s="87">
        <f t="shared" si="402"/>
        <v>2184</v>
      </c>
      <c r="DR220" s="87">
        <f t="shared" si="340"/>
        <v>939</v>
      </c>
      <c r="DS220" s="87">
        <f t="shared" si="341"/>
        <v>519</v>
      </c>
      <c r="DT220" s="87">
        <f t="shared" si="403"/>
        <v>1834</v>
      </c>
      <c r="DU220" s="87">
        <f t="shared" si="404"/>
        <v>2651.2222222222222</v>
      </c>
      <c r="DV220" s="87">
        <f t="shared" si="405"/>
        <v>0</v>
      </c>
      <c r="DW220" s="87">
        <f t="shared" si="406"/>
        <v>0</v>
      </c>
    </row>
    <row r="221" spans="1:127">
      <c r="A221" s="22" t="s">
        <v>126</v>
      </c>
      <c r="B221" s="26">
        <v>4987176219985</v>
      </c>
      <c r="C221" s="22" t="s">
        <v>127</v>
      </c>
      <c r="D221" s="22" t="s">
        <v>47</v>
      </c>
      <c r="E221" s="22">
        <v>224735</v>
      </c>
      <c r="F221" s="80" t="s">
        <v>322</v>
      </c>
      <c r="G221" s="25">
        <v>47</v>
      </c>
      <c r="H221" s="85">
        <f t="shared" si="347"/>
        <v>48927</v>
      </c>
      <c r="I221" s="85">
        <f t="shared" si="348"/>
        <v>19176</v>
      </c>
      <c r="J221" s="85">
        <f t="shared" si="349"/>
        <v>15886</v>
      </c>
      <c r="K221" s="85">
        <f t="shared" si="350"/>
        <v>17202</v>
      </c>
      <c r="L221" s="85">
        <f t="shared" si="351"/>
        <v>331021</v>
      </c>
      <c r="M221" s="86">
        <f t="shared" si="352"/>
        <v>375013</v>
      </c>
      <c r="N221" s="87">
        <f t="shared" si="353"/>
        <v>46671</v>
      </c>
      <c r="O221" s="87">
        <f t="shared" si="354"/>
        <v>45308</v>
      </c>
      <c r="P221" s="87">
        <f t="shared" si="355"/>
        <v>34122</v>
      </c>
      <c r="Q221" s="87">
        <f t="shared" si="356"/>
        <v>24581</v>
      </c>
      <c r="R221" s="87">
        <f t="shared" si="357"/>
        <v>35062</v>
      </c>
      <c r="S221" s="87">
        <f t="shared" si="358"/>
        <v>40655</v>
      </c>
      <c r="T221" s="87">
        <f t="shared" si="359"/>
        <v>12220</v>
      </c>
      <c r="U221" s="87">
        <f t="shared" si="360"/>
        <v>26179</v>
      </c>
      <c r="V221" s="87">
        <f t="shared" si="361"/>
        <v>31161</v>
      </c>
      <c r="W221" s="87">
        <f t="shared" si="362"/>
        <v>43193</v>
      </c>
      <c r="X221" s="87">
        <f t="shared" si="363"/>
        <v>44697</v>
      </c>
      <c r="Y221" s="86">
        <f t="shared" si="364"/>
        <v>36049</v>
      </c>
      <c r="Z221" s="87">
        <f t="shared" si="365"/>
        <v>39386</v>
      </c>
      <c r="AA221" s="87">
        <f t="shared" si="366"/>
        <v>37224</v>
      </c>
      <c r="AB221" s="87">
        <f t="shared" si="367"/>
        <v>77268</v>
      </c>
      <c r="AC221" s="87">
        <f t="shared" si="368"/>
        <v>102742</v>
      </c>
      <c r="AD221" s="87">
        <f t="shared" si="369"/>
        <v>48034</v>
      </c>
      <c r="AE221" s="87">
        <f t="shared" si="370"/>
        <v>136488</v>
      </c>
      <c r="AF221" s="231">
        <f t="shared" si="371"/>
        <v>60865</v>
      </c>
      <c r="AG221" s="87">
        <f t="shared" si="372"/>
        <v>34639</v>
      </c>
      <c r="AH221" s="87">
        <f t="shared" si="373"/>
        <v>112941</v>
      </c>
      <c r="AI221" s="87">
        <f t="shared" si="374"/>
        <v>152494.11111111112</v>
      </c>
      <c r="AJ221" s="87">
        <f t="shared" si="375"/>
        <v>0</v>
      </c>
      <c r="AK221" s="86">
        <f t="shared" si="376"/>
        <v>0</v>
      </c>
      <c r="AL221" s="85">
        <v>1041</v>
      </c>
      <c r="AM221" s="85">
        <v>408</v>
      </c>
      <c r="AN221" s="85">
        <v>338</v>
      </c>
      <c r="AO221" s="85">
        <v>366</v>
      </c>
      <c r="AP221" s="85">
        <v>7040</v>
      </c>
      <c r="AQ221" s="86">
        <v>7939</v>
      </c>
      <c r="AR221" s="87">
        <v>943</v>
      </c>
      <c r="AS221" s="87">
        <v>843</v>
      </c>
      <c r="AT221" s="87">
        <v>611</v>
      </c>
      <c r="AU221" s="87">
        <v>413</v>
      </c>
      <c r="AV221" s="87">
        <v>505</v>
      </c>
      <c r="AW221" s="87">
        <v>848</v>
      </c>
      <c r="AX221" s="87">
        <v>251</v>
      </c>
      <c r="AY221" s="87">
        <v>319</v>
      </c>
      <c r="AZ221" s="87">
        <v>230</v>
      </c>
      <c r="BA221" s="87">
        <v>769</v>
      </c>
      <c r="BB221" s="87">
        <v>905</v>
      </c>
      <c r="BC221" s="86">
        <v>558</v>
      </c>
      <c r="BD221" s="87">
        <v>814</v>
      </c>
      <c r="BE221" s="87">
        <v>411</v>
      </c>
      <c r="BF221" s="87">
        <v>1342</v>
      </c>
      <c r="BG221" s="87">
        <v>1609</v>
      </c>
      <c r="BH221" s="87">
        <v>950</v>
      </c>
      <c r="BI221" s="87">
        <v>2057</v>
      </c>
      <c r="BJ221" s="40">
        <v>1257</v>
      </c>
      <c r="BK221" s="40">
        <v>730</v>
      </c>
      <c r="BL221" s="40">
        <v>2396</v>
      </c>
      <c r="BM221" s="40">
        <v>2994</v>
      </c>
      <c r="BN221" s="87"/>
      <c r="BO221" s="86"/>
      <c r="BP221" s="21">
        <v>0</v>
      </c>
      <c r="BQ221" s="21">
        <v>0</v>
      </c>
      <c r="BR221" s="21">
        <v>0</v>
      </c>
      <c r="BS221" s="21">
        <v>0</v>
      </c>
      <c r="BT221" s="21">
        <v>3</v>
      </c>
      <c r="BU221" s="42">
        <v>40</v>
      </c>
      <c r="BV221" s="21">
        <v>50</v>
      </c>
      <c r="BW221" s="21">
        <v>121</v>
      </c>
      <c r="BX221" s="21">
        <v>115</v>
      </c>
      <c r="BY221" s="21">
        <v>110</v>
      </c>
      <c r="BZ221" s="21">
        <v>241</v>
      </c>
      <c r="CA221" s="21">
        <v>17</v>
      </c>
      <c r="CB221" s="21">
        <v>9</v>
      </c>
      <c r="CC221" s="21">
        <v>238</v>
      </c>
      <c r="CD221" s="21">
        <v>433</v>
      </c>
      <c r="CE221" s="21">
        <v>150</v>
      </c>
      <c r="CF221" s="21">
        <v>46</v>
      </c>
      <c r="CG221" s="42">
        <v>209</v>
      </c>
      <c r="CH221" s="21">
        <v>24</v>
      </c>
      <c r="CI221" s="21">
        <v>381</v>
      </c>
      <c r="CJ221" s="21">
        <v>302</v>
      </c>
      <c r="CK221" s="21">
        <v>577</v>
      </c>
      <c r="CL221" s="21">
        <v>72</v>
      </c>
      <c r="CM221" s="21">
        <v>847</v>
      </c>
      <c r="CN221" s="21">
        <v>38</v>
      </c>
      <c r="CO221" s="21">
        <v>7</v>
      </c>
      <c r="CP221" s="21">
        <f t="shared" si="377"/>
        <v>7</v>
      </c>
      <c r="CQ221" s="344">
        <f t="shared" si="378"/>
        <v>250.55555555555554</v>
      </c>
      <c r="CR221" s="87"/>
      <c r="CS221" s="86"/>
      <c r="CT221" s="85">
        <f t="shared" si="379"/>
        <v>1041</v>
      </c>
      <c r="CU221" s="85">
        <f t="shared" si="380"/>
        <v>408</v>
      </c>
      <c r="CV221" s="85">
        <f t="shared" si="381"/>
        <v>338</v>
      </c>
      <c r="CW221" s="85">
        <f t="shared" si="382"/>
        <v>366</v>
      </c>
      <c r="CX221" s="85">
        <f t="shared" si="383"/>
        <v>7043</v>
      </c>
      <c r="CY221" s="86">
        <f t="shared" si="384"/>
        <v>7979</v>
      </c>
      <c r="CZ221" s="87">
        <f t="shared" si="385"/>
        <v>993</v>
      </c>
      <c r="DA221" s="87">
        <f t="shared" si="386"/>
        <v>964</v>
      </c>
      <c r="DB221" s="87">
        <f t="shared" si="387"/>
        <v>726</v>
      </c>
      <c r="DC221" s="87">
        <f t="shared" si="388"/>
        <v>523</v>
      </c>
      <c r="DD221" s="87">
        <f t="shared" si="389"/>
        <v>746</v>
      </c>
      <c r="DE221" s="87">
        <f t="shared" si="390"/>
        <v>865</v>
      </c>
      <c r="DF221" s="87">
        <f t="shared" si="391"/>
        <v>260</v>
      </c>
      <c r="DG221" s="87">
        <f t="shared" si="392"/>
        <v>557</v>
      </c>
      <c r="DH221" s="87">
        <f t="shared" si="393"/>
        <v>663</v>
      </c>
      <c r="DI221" s="87">
        <f t="shared" si="394"/>
        <v>919</v>
      </c>
      <c r="DJ221" s="87">
        <f t="shared" si="395"/>
        <v>951</v>
      </c>
      <c r="DK221" s="86">
        <f t="shared" si="396"/>
        <v>767</v>
      </c>
      <c r="DL221" s="87">
        <f t="shared" si="397"/>
        <v>838</v>
      </c>
      <c r="DM221" s="87">
        <f t="shared" si="398"/>
        <v>792</v>
      </c>
      <c r="DN221" s="87">
        <f t="shared" si="399"/>
        <v>1644</v>
      </c>
      <c r="DO221" s="87">
        <f t="shared" si="400"/>
        <v>2186</v>
      </c>
      <c r="DP221" s="87">
        <f t="shared" si="401"/>
        <v>1022</v>
      </c>
      <c r="DQ221" s="87">
        <f t="shared" si="402"/>
        <v>2904</v>
      </c>
      <c r="DR221" s="87">
        <f t="shared" si="340"/>
        <v>1295</v>
      </c>
      <c r="DS221" s="87">
        <f t="shared" si="341"/>
        <v>737</v>
      </c>
      <c r="DT221" s="87">
        <f t="shared" si="403"/>
        <v>2403</v>
      </c>
      <c r="DU221" s="87">
        <f t="shared" si="404"/>
        <v>3244.5555555555557</v>
      </c>
      <c r="DV221" s="87">
        <f t="shared" si="405"/>
        <v>0</v>
      </c>
      <c r="DW221" s="87">
        <f t="shared" si="406"/>
        <v>0</v>
      </c>
    </row>
    <row r="222" spans="1:127">
      <c r="A222" s="22" t="s">
        <v>126</v>
      </c>
      <c r="B222" s="26">
        <v>6903148302712</v>
      </c>
      <c r="C222" s="22" t="s">
        <v>127</v>
      </c>
      <c r="D222" s="22" t="s">
        <v>47</v>
      </c>
      <c r="E222" s="22">
        <v>243642</v>
      </c>
      <c r="F222" s="80" t="s">
        <v>323</v>
      </c>
      <c r="G222" s="25">
        <v>62.375799999999998</v>
      </c>
      <c r="H222" s="85">
        <f t="shared" si="347"/>
        <v>0</v>
      </c>
      <c r="I222" s="85">
        <f t="shared" si="348"/>
        <v>0</v>
      </c>
      <c r="J222" s="85">
        <f t="shared" si="349"/>
        <v>0</v>
      </c>
      <c r="K222" s="85">
        <f t="shared" si="350"/>
        <v>0</v>
      </c>
      <c r="L222" s="85">
        <f t="shared" si="351"/>
        <v>0</v>
      </c>
      <c r="M222" s="86">
        <f t="shared" si="352"/>
        <v>3305.9173999999998</v>
      </c>
      <c r="N222" s="87">
        <f t="shared" si="353"/>
        <v>9543.4974000000002</v>
      </c>
      <c r="O222" s="87">
        <f t="shared" si="354"/>
        <v>22517.663799999998</v>
      </c>
      <c r="P222" s="87">
        <f t="shared" si="355"/>
        <v>10354.382799999999</v>
      </c>
      <c r="Q222" s="87">
        <f t="shared" si="356"/>
        <v>14096.9308</v>
      </c>
      <c r="R222" s="87">
        <f t="shared" si="357"/>
        <v>26384.963400000001</v>
      </c>
      <c r="S222" s="87">
        <f t="shared" si="358"/>
        <v>16903.841799999998</v>
      </c>
      <c r="T222" s="87">
        <f t="shared" si="359"/>
        <v>18962.243200000001</v>
      </c>
      <c r="U222" s="87">
        <f t="shared" si="360"/>
        <v>15593.949999999999</v>
      </c>
      <c r="V222" s="87">
        <f t="shared" si="361"/>
        <v>23765.179799999998</v>
      </c>
      <c r="W222" s="87">
        <f t="shared" si="362"/>
        <v>26883.969799999999</v>
      </c>
      <c r="X222" s="87">
        <f t="shared" si="363"/>
        <v>13972.179199999999</v>
      </c>
      <c r="Y222" s="86">
        <f t="shared" si="364"/>
        <v>13847.427599999999</v>
      </c>
      <c r="Z222" s="87">
        <f t="shared" si="365"/>
        <v>10104.8796</v>
      </c>
      <c r="AA222" s="87">
        <f t="shared" si="366"/>
        <v>14159.3066</v>
      </c>
      <c r="AB222" s="87">
        <f t="shared" si="367"/>
        <v>20396.886599999998</v>
      </c>
      <c r="AC222" s="87">
        <f t="shared" si="368"/>
        <v>11601.898799999999</v>
      </c>
      <c r="AD222" s="87">
        <f t="shared" si="369"/>
        <v>11601.898799999999</v>
      </c>
      <c r="AE222" s="87">
        <f t="shared" si="370"/>
        <v>30377.014599999999</v>
      </c>
      <c r="AF222" s="231">
        <f t="shared" si="371"/>
        <v>28193.8616</v>
      </c>
      <c r="AG222" s="87">
        <f t="shared" si="372"/>
        <v>15469.198399999999</v>
      </c>
      <c r="AH222" s="87">
        <f t="shared" si="373"/>
        <v>22580.0396</v>
      </c>
      <c r="AI222" s="87">
        <f t="shared" si="374"/>
        <v>34868.072200000002</v>
      </c>
      <c r="AJ222" s="87">
        <f t="shared" si="375"/>
        <v>0</v>
      </c>
      <c r="AK222" s="86">
        <f t="shared" si="376"/>
        <v>0</v>
      </c>
      <c r="AL222" s="85">
        <v>0</v>
      </c>
      <c r="AM222" s="85">
        <v>0</v>
      </c>
      <c r="AN222" s="85">
        <v>0</v>
      </c>
      <c r="AO222" s="85">
        <v>0</v>
      </c>
      <c r="AP222" s="85">
        <v>0</v>
      </c>
      <c r="AQ222" s="86">
        <v>53</v>
      </c>
      <c r="AR222" s="87">
        <v>153</v>
      </c>
      <c r="AS222" s="87">
        <v>361</v>
      </c>
      <c r="AT222" s="87">
        <v>166</v>
      </c>
      <c r="AU222" s="87">
        <v>226</v>
      </c>
      <c r="AV222" s="87">
        <v>423</v>
      </c>
      <c r="AW222" s="87">
        <v>271</v>
      </c>
      <c r="AX222" s="87">
        <v>304</v>
      </c>
      <c r="AY222" s="87">
        <v>250</v>
      </c>
      <c r="AZ222" s="87">
        <v>381</v>
      </c>
      <c r="BA222" s="87">
        <v>431</v>
      </c>
      <c r="BB222" s="87">
        <v>224</v>
      </c>
      <c r="BC222" s="86">
        <v>222</v>
      </c>
      <c r="BD222" s="87">
        <v>162</v>
      </c>
      <c r="BE222" s="87">
        <v>227</v>
      </c>
      <c r="BF222" s="87">
        <v>327</v>
      </c>
      <c r="BG222" s="87">
        <v>186</v>
      </c>
      <c r="BH222" s="87">
        <v>186</v>
      </c>
      <c r="BI222" s="87">
        <v>487</v>
      </c>
      <c r="BJ222" s="40">
        <v>452</v>
      </c>
      <c r="BK222" s="40">
        <v>248</v>
      </c>
      <c r="BL222" s="40">
        <v>362</v>
      </c>
      <c r="BM222" s="40">
        <v>559</v>
      </c>
      <c r="BN222" s="87"/>
      <c r="BO222" s="86"/>
      <c r="BP222" s="21">
        <v>0</v>
      </c>
      <c r="BQ222" s="21">
        <v>0</v>
      </c>
      <c r="BR222" s="21">
        <v>0</v>
      </c>
      <c r="BS222" s="21">
        <v>0</v>
      </c>
      <c r="BT222" s="21">
        <v>0</v>
      </c>
      <c r="BU222" s="42">
        <v>0</v>
      </c>
      <c r="BV222" s="21">
        <v>0</v>
      </c>
      <c r="BW222" s="21">
        <v>0</v>
      </c>
      <c r="BX222" s="21">
        <v>0</v>
      </c>
      <c r="BY222" s="21">
        <v>0</v>
      </c>
      <c r="BZ222" s="21">
        <v>0</v>
      </c>
      <c r="CA222" s="21">
        <v>0</v>
      </c>
      <c r="CB222" s="21">
        <v>0</v>
      </c>
      <c r="CC222" s="21">
        <v>0</v>
      </c>
      <c r="CD222" s="21">
        <v>0</v>
      </c>
      <c r="CE222" s="21">
        <v>0</v>
      </c>
      <c r="CF222" s="21">
        <v>0</v>
      </c>
      <c r="CG222" s="42">
        <v>0</v>
      </c>
      <c r="CH222" s="21">
        <v>0</v>
      </c>
      <c r="CI222" s="21">
        <v>0</v>
      </c>
      <c r="CJ222" s="21">
        <v>0</v>
      </c>
      <c r="CK222" s="21">
        <v>0</v>
      </c>
      <c r="CL222" s="21">
        <v>0</v>
      </c>
      <c r="CM222" s="21">
        <v>0</v>
      </c>
      <c r="CN222" s="21">
        <v>0</v>
      </c>
      <c r="CO222" s="21">
        <v>0</v>
      </c>
      <c r="CP222" s="21">
        <f t="shared" si="377"/>
        <v>0</v>
      </c>
      <c r="CQ222" s="344">
        <f t="shared" si="378"/>
        <v>0</v>
      </c>
      <c r="CR222" s="87"/>
      <c r="CS222" s="86"/>
      <c r="CT222" s="85">
        <f t="shared" si="379"/>
        <v>0</v>
      </c>
      <c r="CU222" s="85">
        <f t="shared" si="380"/>
        <v>0</v>
      </c>
      <c r="CV222" s="85">
        <f t="shared" si="381"/>
        <v>0</v>
      </c>
      <c r="CW222" s="85">
        <f t="shared" si="382"/>
        <v>0</v>
      </c>
      <c r="CX222" s="85">
        <f t="shared" si="383"/>
        <v>0</v>
      </c>
      <c r="CY222" s="86">
        <f t="shared" si="384"/>
        <v>53</v>
      </c>
      <c r="CZ222" s="87">
        <f t="shared" si="385"/>
        <v>153</v>
      </c>
      <c r="DA222" s="87">
        <f t="shared" si="386"/>
        <v>361</v>
      </c>
      <c r="DB222" s="87">
        <f t="shared" si="387"/>
        <v>166</v>
      </c>
      <c r="DC222" s="87">
        <f t="shared" si="388"/>
        <v>226</v>
      </c>
      <c r="DD222" s="87">
        <f t="shared" si="389"/>
        <v>423</v>
      </c>
      <c r="DE222" s="87">
        <f t="shared" si="390"/>
        <v>271</v>
      </c>
      <c r="DF222" s="87">
        <f t="shared" si="391"/>
        <v>304</v>
      </c>
      <c r="DG222" s="87">
        <f t="shared" si="392"/>
        <v>250</v>
      </c>
      <c r="DH222" s="87">
        <f t="shared" si="393"/>
        <v>381</v>
      </c>
      <c r="DI222" s="87">
        <f t="shared" si="394"/>
        <v>431</v>
      </c>
      <c r="DJ222" s="87">
        <f t="shared" si="395"/>
        <v>224</v>
      </c>
      <c r="DK222" s="86">
        <f t="shared" si="396"/>
        <v>222</v>
      </c>
      <c r="DL222" s="87">
        <f t="shared" si="397"/>
        <v>162</v>
      </c>
      <c r="DM222" s="87">
        <f t="shared" si="398"/>
        <v>227</v>
      </c>
      <c r="DN222" s="87">
        <f t="shared" si="399"/>
        <v>327</v>
      </c>
      <c r="DO222" s="87">
        <f t="shared" si="400"/>
        <v>186</v>
      </c>
      <c r="DP222" s="87">
        <f t="shared" si="401"/>
        <v>186</v>
      </c>
      <c r="DQ222" s="87">
        <f t="shared" si="402"/>
        <v>487</v>
      </c>
      <c r="DR222" s="87">
        <f t="shared" si="340"/>
        <v>452</v>
      </c>
      <c r="DS222" s="87">
        <f t="shared" si="341"/>
        <v>248</v>
      </c>
      <c r="DT222" s="87">
        <f t="shared" si="403"/>
        <v>362</v>
      </c>
      <c r="DU222" s="87">
        <f t="shared" si="404"/>
        <v>559</v>
      </c>
      <c r="DV222" s="87">
        <f t="shared" si="405"/>
        <v>0</v>
      </c>
      <c r="DW222" s="87">
        <f t="shared" si="406"/>
        <v>0</v>
      </c>
    </row>
    <row r="223" spans="1:127">
      <c r="A223" s="22" t="s">
        <v>126</v>
      </c>
      <c r="B223" s="26">
        <v>6903148355954</v>
      </c>
      <c r="C223" s="22" t="s">
        <v>127</v>
      </c>
      <c r="D223" s="22" t="s">
        <v>47</v>
      </c>
      <c r="E223" s="22">
        <v>278043</v>
      </c>
      <c r="F223" s="80" t="s">
        <v>676</v>
      </c>
      <c r="G223" s="25">
        <v>89.476875000000007</v>
      </c>
      <c r="H223" s="87">
        <f t="shared" si="347"/>
        <v>0</v>
      </c>
      <c r="I223" s="87">
        <f t="shared" si="348"/>
        <v>0</v>
      </c>
      <c r="J223" s="87">
        <f t="shared" si="349"/>
        <v>0</v>
      </c>
      <c r="K223" s="87">
        <f t="shared" si="350"/>
        <v>0</v>
      </c>
      <c r="L223" s="87">
        <f t="shared" si="351"/>
        <v>0</v>
      </c>
      <c r="M223" s="86">
        <f t="shared" si="352"/>
        <v>0</v>
      </c>
      <c r="N223" s="87">
        <f t="shared" si="353"/>
        <v>0</v>
      </c>
      <c r="O223" s="87">
        <f t="shared" si="354"/>
        <v>0</v>
      </c>
      <c r="P223" s="87">
        <f t="shared" si="355"/>
        <v>0</v>
      </c>
      <c r="Q223" s="87">
        <f t="shared" si="356"/>
        <v>0</v>
      </c>
      <c r="R223" s="87">
        <f t="shared" si="357"/>
        <v>0</v>
      </c>
      <c r="S223" s="87">
        <f t="shared" si="358"/>
        <v>0</v>
      </c>
      <c r="T223" s="87">
        <f t="shared" si="359"/>
        <v>0</v>
      </c>
      <c r="U223" s="87">
        <f t="shared" si="360"/>
        <v>0</v>
      </c>
      <c r="V223" s="87">
        <f t="shared" si="361"/>
        <v>0</v>
      </c>
      <c r="W223" s="87">
        <f t="shared" si="362"/>
        <v>0</v>
      </c>
      <c r="X223" s="87">
        <f t="shared" si="363"/>
        <v>0</v>
      </c>
      <c r="Y223" s="86">
        <f t="shared" si="364"/>
        <v>0</v>
      </c>
      <c r="Z223" s="87">
        <f t="shared" si="365"/>
        <v>0</v>
      </c>
      <c r="AA223" s="87">
        <f t="shared" si="366"/>
        <v>0</v>
      </c>
      <c r="AB223" s="87">
        <f t="shared" si="367"/>
        <v>0</v>
      </c>
      <c r="AC223" s="87">
        <f t="shared" si="368"/>
        <v>0</v>
      </c>
      <c r="AD223" s="87">
        <f t="shared" si="369"/>
        <v>984.24562500000002</v>
      </c>
      <c r="AE223" s="87">
        <f t="shared" si="370"/>
        <v>81513.43312500001</v>
      </c>
      <c r="AF223" s="231">
        <f t="shared" si="371"/>
        <v>398351.04750000004</v>
      </c>
      <c r="AG223" s="87">
        <f t="shared" si="372"/>
        <v>287131.291875</v>
      </c>
      <c r="AH223" s="87">
        <f t="shared" si="373"/>
        <v>92071.704375000001</v>
      </c>
      <c r="AI223" s="87">
        <f t="shared" si="374"/>
        <v>69274.985000000001</v>
      </c>
      <c r="AJ223" s="87">
        <f t="shared" si="375"/>
        <v>0</v>
      </c>
      <c r="AK223" s="86">
        <f t="shared" si="376"/>
        <v>0</v>
      </c>
      <c r="AL223" s="85"/>
      <c r="AM223" s="85"/>
      <c r="AN223" s="85"/>
      <c r="AO223" s="85"/>
      <c r="AP223" s="85"/>
      <c r="AQ223" s="86"/>
      <c r="AR223" s="87"/>
      <c r="AS223" s="87"/>
      <c r="AT223" s="87"/>
      <c r="AU223" s="87"/>
      <c r="AV223" s="87"/>
      <c r="AW223" s="87"/>
      <c r="AX223" s="87"/>
      <c r="AY223" s="87"/>
      <c r="AZ223" s="87"/>
      <c r="BA223" s="87"/>
      <c r="BB223" s="87"/>
      <c r="BC223" s="86"/>
      <c r="BD223" s="87"/>
      <c r="BE223" s="87"/>
      <c r="BF223" s="87"/>
      <c r="BG223" s="87"/>
      <c r="BH223" s="87"/>
      <c r="BI223" s="87">
        <v>832</v>
      </c>
      <c r="BJ223" s="40">
        <v>4208</v>
      </c>
      <c r="BK223" s="40">
        <v>3150</v>
      </c>
      <c r="BL223" s="40">
        <v>970</v>
      </c>
      <c r="BM223" s="40">
        <v>724</v>
      </c>
      <c r="BN223" s="87"/>
      <c r="BO223" s="86"/>
      <c r="CA223" s="21">
        <v>0</v>
      </c>
      <c r="CB223" s="21">
        <v>0</v>
      </c>
      <c r="CC223" s="21">
        <v>0</v>
      </c>
      <c r="CD223" s="21">
        <v>0</v>
      </c>
      <c r="CE223" s="21">
        <v>0</v>
      </c>
      <c r="CF223" s="21">
        <v>0</v>
      </c>
      <c r="CG223" s="42">
        <v>0</v>
      </c>
      <c r="CH223" s="21">
        <v>0</v>
      </c>
      <c r="CI223" s="21">
        <v>0</v>
      </c>
      <c r="CJ223" s="21">
        <v>0</v>
      </c>
      <c r="CK223" s="21">
        <v>0</v>
      </c>
      <c r="CL223" s="21">
        <v>11</v>
      </c>
      <c r="CM223" s="21">
        <v>79</v>
      </c>
      <c r="CN223" s="21">
        <v>244</v>
      </c>
      <c r="CO223" s="21">
        <v>59</v>
      </c>
      <c r="CP223" s="21">
        <f t="shared" si="377"/>
        <v>59</v>
      </c>
      <c r="CQ223" s="344">
        <f t="shared" si="378"/>
        <v>50.222222222222221</v>
      </c>
      <c r="CR223" s="87"/>
      <c r="CS223" s="86"/>
      <c r="CT223" s="87">
        <f t="shared" si="379"/>
        <v>0</v>
      </c>
      <c r="CU223" s="87">
        <f t="shared" si="380"/>
        <v>0</v>
      </c>
      <c r="CV223" s="87">
        <f t="shared" si="381"/>
        <v>0</v>
      </c>
      <c r="CW223" s="87">
        <f t="shared" si="382"/>
        <v>0</v>
      </c>
      <c r="CX223" s="87">
        <f t="shared" si="383"/>
        <v>0</v>
      </c>
      <c r="CY223" s="86">
        <f t="shared" si="384"/>
        <v>0</v>
      </c>
      <c r="CZ223" s="87">
        <f t="shared" si="385"/>
        <v>0</v>
      </c>
      <c r="DA223" s="87">
        <f t="shared" si="386"/>
        <v>0</v>
      </c>
      <c r="DB223" s="87">
        <f t="shared" si="387"/>
        <v>0</v>
      </c>
      <c r="DC223" s="87">
        <f t="shared" si="388"/>
        <v>0</v>
      </c>
      <c r="DD223" s="87">
        <f t="shared" si="389"/>
        <v>0</v>
      </c>
      <c r="DE223" s="87">
        <f t="shared" si="390"/>
        <v>0</v>
      </c>
      <c r="DF223" s="87">
        <f t="shared" si="391"/>
        <v>0</v>
      </c>
      <c r="DG223" s="87">
        <f t="shared" si="392"/>
        <v>0</v>
      </c>
      <c r="DH223" s="87">
        <f t="shared" si="393"/>
        <v>0</v>
      </c>
      <c r="DI223" s="87">
        <f t="shared" si="394"/>
        <v>0</v>
      </c>
      <c r="DJ223" s="87">
        <f t="shared" si="395"/>
        <v>0</v>
      </c>
      <c r="DK223" s="86">
        <f t="shared" si="396"/>
        <v>0</v>
      </c>
      <c r="DL223" s="87">
        <f t="shared" si="397"/>
        <v>0</v>
      </c>
      <c r="DM223" s="87">
        <f t="shared" si="398"/>
        <v>0</v>
      </c>
      <c r="DN223" s="87">
        <f t="shared" si="399"/>
        <v>0</v>
      </c>
      <c r="DO223" s="87">
        <f t="shared" si="400"/>
        <v>0</v>
      </c>
      <c r="DP223" s="87">
        <f t="shared" si="401"/>
        <v>11</v>
      </c>
      <c r="DQ223" s="87">
        <f t="shared" si="402"/>
        <v>911</v>
      </c>
      <c r="DR223" s="87">
        <f t="shared" si="340"/>
        <v>4452</v>
      </c>
      <c r="DS223" s="87">
        <f t="shared" si="341"/>
        <v>3209</v>
      </c>
      <c r="DT223" s="87">
        <f t="shared" si="403"/>
        <v>1029</v>
      </c>
      <c r="DU223" s="87">
        <f t="shared" si="404"/>
        <v>774.22222222222217</v>
      </c>
      <c r="DV223" s="87">
        <f t="shared" si="405"/>
        <v>0</v>
      </c>
      <c r="DW223" s="87">
        <f t="shared" si="406"/>
        <v>0</v>
      </c>
    </row>
    <row r="224" spans="1:127">
      <c r="A224" s="22" t="s">
        <v>126</v>
      </c>
      <c r="B224" s="26">
        <v>6903148355947</v>
      </c>
      <c r="C224" s="22" t="s">
        <v>127</v>
      </c>
      <c r="D224" s="22" t="s">
        <v>47</v>
      </c>
      <c r="E224" s="22">
        <v>278057</v>
      </c>
      <c r="F224" s="80" t="s">
        <v>677</v>
      </c>
      <c r="G224" s="25">
        <v>89.476875000000007</v>
      </c>
      <c r="H224" s="87">
        <f t="shared" si="347"/>
        <v>0</v>
      </c>
      <c r="I224" s="87">
        <f t="shared" si="348"/>
        <v>0</v>
      </c>
      <c r="J224" s="87">
        <f t="shared" si="349"/>
        <v>0</v>
      </c>
      <c r="K224" s="87">
        <f t="shared" si="350"/>
        <v>0</v>
      </c>
      <c r="L224" s="87">
        <f t="shared" si="351"/>
        <v>0</v>
      </c>
      <c r="M224" s="86">
        <f t="shared" si="352"/>
        <v>0</v>
      </c>
      <c r="N224" s="87">
        <f t="shared" si="353"/>
        <v>0</v>
      </c>
      <c r="O224" s="87">
        <f t="shared" si="354"/>
        <v>0</v>
      </c>
      <c r="P224" s="87">
        <f t="shared" si="355"/>
        <v>0</v>
      </c>
      <c r="Q224" s="87">
        <f t="shared" si="356"/>
        <v>0</v>
      </c>
      <c r="R224" s="87">
        <f t="shared" si="357"/>
        <v>0</v>
      </c>
      <c r="S224" s="87">
        <f t="shared" si="358"/>
        <v>0</v>
      </c>
      <c r="T224" s="87">
        <f t="shared" si="359"/>
        <v>0</v>
      </c>
      <c r="U224" s="87">
        <f t="shared" si="360"/>
        <v>0</v>
      </c>
      <c r="V224" s="87">
        <f t="shared" si="361"/>
        <v>0</v>
      </c>
      <c r="W224" s="87">
        <f t="shared" si="362"/>
        <v>0</v>
      </c>
      <c r="X224" s="87">
        <f t="shared" si="363"/>
        <v>0</v>
      </c>
      <c r="Y224" s="86">
        <f t="shared" si="364"/>
        <v>0</v>
      </c>
      <c r="Z224" s="87">
        <f t="shared" si="365"/>
        <v>0</v>
      </c>
      <c r="AA224" s="87">
        <f t="shared" si="366"/>
        <v>0</v>
      </c>
      <c r="AB224" s="87">
        <f t="shared" si="367"/>
        <v>0</v>
      </c>
      <c r="AC224" s="87">
        <f t="shared" si="368"/>
        <v>0</v>
      </c>
      <c r="AD224" s="87">
        <f t="shared" si="369"/>
        <v>268.43062500000002</v>
      </c>
      <c r="AE224" s="87">
        <f t="shared" si="370"/>
        <v>113009.29312500001</v>
      </c>
      <c r="AF224" s="231">
        <f t="shared" si="371"/>
        <v>570683.50875000004</v>
      </c>
      <c r="AG224" s="87">
        <f t="shared" si="372"/>
        <v>381439.91812500003</v>
      </c>
      <c r="AH224" s="87">
        <f t="shared" si="373"/>
        <v>101198.345625</v>
      </c>
      <c r="AI224" s="87">
        <f t="shared" si="374"/>
        <v>84843.961250000008</v>
      </c>
      <c r="AJ224" s="87">
        <f t="shared" si="375"/>
        <v>0</v>
      </c>
      <c r="AK224" s="86">
        <f t="shared" si="376"/>
        <v>0</v>
      </c>
      <c r="AL224" s="85"/>
      <c r="AM224" s="85"/>
      <c r="AN224" s="85"/>
      <c r="AO224" s="85"/>
      <c r="AP224" s="85"/>
      <c r="AQ224" s="86"/>
      <c r="AR224" s="87"/>
      <c r="AS224" s="87"/>
      <c r="AT224" s="87"/>
      <c r="AU224" s="87"/>
      <c r="AV224" s="87"/>
      <c r="AW224" s="87"/>
      <c r="AX224" s="87"/>
      <c r="AY224" s="87"/>
      <c r="AZ224" s="87"/>
      <c r="BA224" s="87"/>
      <c r="BB224" s="87"/>
      <c r="BC224" s="86"/>
      <c r="BD224" s="87"/>
      <c r="BE224" s="87"/>
      <c r="BF224" s="87"/>
      <c r="BG224" s="87"/>
      <c r="BH224" s="87"/>
      <c r="BI224" s="87">
        <v>1168</v>
      </c>
      <c r="BJ224" s="40">
        <v>5946</v>
      </c>
      <c r="BK224" s="40">
        <v>4185</v>
      </c>
      <c r="BL224" s="40">
        <v>1053</v>
      </c>
      <c r="BM224" s="40">
        <v>872</v>
      </c>
      <c r="BN224" s="87"/>
      <c r="BO224" s="86"/>
      <c r="CA224" s="21">
        <v>0</v>
      </c>
      <c r="CB224" s="21">
        <v>0</v>
      </c>
      <c r="CC224" s="21">
        <v>0</v>
      </c>
      <c r="CD224" s="21">
        <v>0</v>
      </c>
      <c r="CE224" s="21">
        <v>0</v>
      </c>
      <c r="CF224" s="21">
        <v>0</v>
      </c>
      <c r="CG224" s="42">
        <v>0</v>
      </c>
      <c r="CH224" s="21">
        <v>0</v>
      </c>
      <c r="CI224" s="21">
        <v>0</v>
      </c>
      <c r="CJ224" s="21">
        <v>0</v>
      </c>
      <c r="CK224" s="21">
        <v>0</v>
      </c>
      <c r="CL224" s="21">
        <v>3</v>
      </c>
      <c r="CM224" s="21">
        <v>95</v>
      </c>
      <c r="CN224" s="21">
        <v>432</v>
      </c>
      <c r="CO224" s="21">
        <v>78</v>
      </c>
      <c r="CP224" s="21">
        <f t="shared" si="377"/>
        <v>78</v>
      </c>
      <c r="CQ224" s="344">
        <f t="shared" si="378"/>
        <v>76.222222222222229</v>
      </c>
      <c r="CR224" s="87"/>
      <c r="CS224" s="86"/>
      <c r="CT224" s="87">
        <f t="shared" si="379"/>
        <v>0</v>
      </c>
      <c r="CU224" s="87">
        <f t="shared" si="380"/>
        <v>0</v>
      </c>
      <c r="CV224" s="87">
        <f t="shared" si="381"/>
        <v>0</v>
      </c>
      <c r="CW224" s="87">
        <f t="shared" si="382"/>
        <v>0</v>
      </c>
      <c r="CX224" s="87">
        <f t="shared" si="383"/>
        <v>0</v>
      </c>
      <c r="CY224" s="86">
        <f t="shared" si="384"/>
        <v>0</v>
      </c>
      <c r="CZ224" s="87">
        <f t="shared" si="385"/>
        <v>0</v>
      </c>
      <c r="DA224" s="87">
        <f t="shared" si="386"/>
        <v>0</v>
      </c>
      <c r="DB224" s="87">
        <f t="shared" si="387"/>
        <v>0</v>
      </c>
      <c r="DC224" s="87">
        <f t="shared" si="388"/>
        <v>0</v>
      </c>
      <c r="DD224" s="87">
        <f t="shared" si="389"/>
        <v>0</v>
      </c>
      <c r="DE224" s="87">
        <f t="shared" si="390"/>
        <v>0</v>
      </c>
      <c r="DF224" s="87">
        <f t="shared" si="391"/>
        <v>0</v>
      </c>
      <c r="DG224" s="87">
        <f t="shared" si="392"/>
        <v>0</v>
      </c>
      <c r="DH224" s="87">
        <f t="shared" si="393"/>
        <v>0</v>
      </c>
      <c r="DI224" s="87">
        <f t="shared" si="394"/>
        <v>0</v>
      </c>
      <c r="DJ224" s="87">
        <f t="shared" si="395"/>
        <v>0</v>
      </c>
      <c r="DK224" s="86">
        <f t="shared" si="396"/>
        <v>0</v>
      </c>
      <c r="DL224" s="87">
        <f t="shared" si="397"/>
        <v>0</v>
      </c>
      <c r="DM224" s="87">
        <f t="shared" si="398"/>
        <v>0</v>
      </c>
      <c r="DN224" s="87">
        <f t="shared" si="399"/>
        <v>0</v>
      </c>
      <c r="DO224" s="87">
        <f t="shared" si="400"/>
        <v>0</v>
      </c>
      <c r="DP224" s="87">
        <f t="shared" si="401"/>
        <v>3</v>
      </c>
      <c r="DQ224" s="87">
        <f t="shared" si="402"/>
        <v>1263</v>
      </c>
      <c r="DR224" s="87">
        <f t="shared" si="340"/>
        <v>6378</v>
      </c>
      <c r="DS224" s="87">
        <f t="shared" si="341"/>
        <v>4263</v>
      </c>
      <c r="DT224" s="87">
        <f t="shared" si="403"/>
        <v>1131</v>
      </c>
      <c r="DU224" s="87">
        <f t="shared" si="404"/>
        <v>948.22222222222217</v>
      </c>
      <c r="DV224" s="87">
        <f t="shared" si="405"/>
        <v>0</v>
      </c>
      <c r="DW224" s="87">
        <f t="shared" si="406"/>
        <v>0</v>
      </c>
    </row>
    <row r="225" spans="1:127">
      <c r="A225" s="22" t="s">
        <v>126</v>
      </c>
      <c r="B225" s="26">
        <v>6903148352700</v>
      </c>
      <c r="C225" s="22" t="s">
        <v>127</v>
      </c>
      <c r="D225" s="22" t="s">
        <v>47</v>
      </c>
      <c r="E225" s="22">
        <v>278109</v>
      </c>
      <c r="F225" s="80" t="s">
        <v>678</v>
      </c>
      <c r="G225" s="25">
        <v>89.476875000000007</v>
      </c>
      <c r="H225" s="87">
        <f t="shared" si="347"/>
        <v>0</v>
      </c>
      <c r="I225" s="87">
        <f t="shared" si="348"/>
        <v>0</v>
      </c>
      <c r="J225" s="87">
        <f t="shared" si="349"/>
        <v>0</v>
      </c>
      <c r="K225" s="87">
        <f t="shared" si="350"/>
        <v>0</v>
      </c>
      <c r="L225" s="87">
        <f t="shared" si="351"/>
        <v>0</v>
      </c>
      <c r="M225" s="86">
        <f t="shared" si="352"/>
        <v>0</v>
      </c>
      <c r="N225" s="87">
        <f t="shared" si="353"/>
        <v>0</v>
      </c>
      <c r="O225" s="87">
        <f t="shared" si="354"/>
        <v>0</v>
      </c>
      <c r="P225" s="87">
        <f t="shared" si="355"/>
        <v>0</v>
      </c>
      <c r="Q225" s="87">
        <f t="shared" si="356"/>
        <v>0</v>
      </c>
      <c r="R225" s="87">
        <f t="shared" si="357"/>
        <v>0</v>
      </c>
      <c r="S225" s="87">
        <f t="shared" si="358"/>
        <v>0</v>
      </c>
      <c r="T225" s="87">
        <f t="shared" si="359"/>
        <v>0</v>
      </c>
      <c r="U225" s="87">
        <f t="shared" si="360"/>
        <v>0</v>
      </c>
      <c r="V225" s="87">
        <f t="shared" si="361"/>
        <v>0</v>
      </c>
      <c r="W225" s="87">
        <f t="shared" si="362"/>
        <v>0</v>
      </c>
      <c r="X225" s="87">
        <f t="shared" si="363"/>
        <v>0</v>
      </c>
      <c r="Y225" s="86">
        <f t="shared" si="364"/>
        <v>0</v>
      </c>
      <c r="Z225" s="87">
        <f t="shared" si="365"/>
        <v>0</v>
      </c>
      <c r="AA225" s="87">
        <f t="shared" si="366"/>
        <v>0</v>
      </c>
      <c r="AB225" s="87">
        <f t="shared" si="367"/>
        <v>0</v>
      </c>
      <c r="AC225" s="87">
        <f t="shared" si="368"/>
        <v>0</v>
      </c>
      <c r="AD225" s="87">
        <f t="shared" si="369"/>
        <v>357.90750000000003</v>
      </c>
      <c r="AE225" s="87">
        <f t="shared" si="370"/>
        <v>81602.91</v>
      </c>
      <c r="AF225" s="231">
        <f t="shared" si="371"/>
        <v>562272.6825</v>
      </c>
      <c r="AG225" s="87">
        <f t="shared" si="372"/>
        <v>328380.13125000003</v>
      </c>
      <c r="AH225" s="87">
        <f t="shared" si="373"/>
        <v>86166.230625000011</v>
      </c>
      <c r="AI225" s="87">
        <f t="shared" si="374"/>
        <v>72068.65187500001</v>
      </c>
      <c r="AJ225" s="87">
        <f t="shared" si="375"/>
        <v>0</v>
      </c>
      <c r="AK225" s="86">
        <f t="shared" si="376"/>
        <v>0</v>
      </c>
      <c r="AL225" s="85"/>
      <c r="AM225" s="85"/>
      <c r="AN225" s="85"/>
      <c r="AO225" s="85"/>
      <c r="AP225" s="85"/>
      <c r="AQ225" s="86"/>
      <c r="AR225" s="87"/>
      <c r="AS225" s="87"/>
      <c r="AT225" s="87"/>
      <c r="AU225" s="87"/>
      <c r="AV225" s="87"/>
      <c r="AW225" s="87"/>
      <c r="AX225" s="87"/>
      <c r="AY225" s="87"/>
      <c r="AZ225" s="87"/>
      <c r="BA225" s="87"/>
      <c r="BB225" s="87"/>
      <c r="BC225" s="86"/>
      <c r="BD225" s="87"/>
      <c r="BE225" s="87"/>
      <c r="BF225" s="87"/>
      <c r="BG225" s="87"/>
      <c r="BH225" s="87"/>
      <c r="BI225" s="87">
        <v>839</v>
      </c>
      <c r="BJ225" s="40">
        <v>6042</v>
      </c>
      <c r="BK225" s="40">
        <v>3634</v>
      </c>
      <c r="BL225" s="40">
        <v>927</v>
      </c>
      <c r="BM225" s="40">
        <v>762</v>
      </c>
      <c r="BN225" s="87"/>
      <c r="BO225" s="86"/>
      <c r="CA225" s="21">
        <v>0</v>
      </c>
      <c r="CB225" s="21">
        <v>0</v>
      </c>
      <c r="CC225" s="21">
        <v>0</v>
      </c>
      <c r="CD225" s="21">
        <v>0</v>
      </c>
      <c r="CE225" s="21">
        <v>0</v>
      </c>
      <c r="CF225" s="21">
        <v>0</v>
      </c>
      <c r="CG225" s="42">
        <v>0</v>
      </c>
      <c r="CH225" s="21">
        <v>0</v>
      </c>
      <c r="CI225" s="21">
        <v>0</v>
      </c>
      <c r="CJ225" s="21">
        <v>0</v>
      </c>
      <c r="CK225" s="21">
        <v>0</v>
      </c>
      <c r="CL225" s="21">
        <v>4</v>
      </c>
      <c r="CM225" s="21">
        <v>73</v>
      </c>
      <c r="CN225" s="21">
        <v>242</v>
      </c>
      <c r="CO225" s="21">
        <v>36</v>
      </c>
      <c r="CP225" s="21">
        <f t="shared" si="377"/>
        <v>36</v>
      </c>
      <c r="CQ225" s="344">
        <f t="shared" si="378"/>
        <v>43.444444444444443</v>
      </c>
      <c r="CR225" s="87"/>
      <c r="CS225" s="86"/>
      <c r="CT225" s="87">
        <f t="shared" si="379"/>
        <v>0</v>
      </c>
      <c r="CU225" s="87">
        <f t="shared" si="380"/>
        <v>0</v>
      </c>
      <c r="CV225" s="87">
        <f t="shared" si="381"/>
        <v>0</v>
      </c>
      <c r="CW225" s="87">
        <f t="shared" si="382"/>
        <v>0</v>
      </c>
      <c r="CX225" s="87">
        <f t="shared" si="383"/>
        <v>0</v>
      </c>
      <c r="CY225" s="86">
        <f t="shared" si="384"/>
        <v>0</v>
      </c>
      <c r="CZ225" s="87">
        <f t="shared" si="385"/>
        <v>0</v>
      </c>
      <c r="DA225" s="87">
        <f t="shared" si="386"/>
        <v>0</v>
      </c>
      <c r="DB225" s="87">
        <f t="shared" si="387"/>
        <v>0</v>
      </c>
      <c r="DC225" s="87">
        <f t="shared" si="388"/>
        <v>0</v>
      </c>
      <c r="DD225" s="87">
        <f t="shared" si="389"/>
        <v>0</v>
      </c>
      <c r="DE225" s="87">
        <f t="shared" si="390"/>
        <v>0</v>
      </c>
      <c r="DF225" s="87">
        <f t="shared" si="391"/>
        <v>0</v>
      </c>
      <c r="DG225" s="87">
        <f t="shared" si="392"/>
        <v>0</v>
      </c>
      <c r="DH225" s="87">
        <f t="shared" si="393"/>
        <v>0</v>
      </c>
      <c r="DI225" s="87">
        <f t="shared" si="394"/>
        <v>0</v>
      </c>
      <c r="DJ225" s="87">
        <f t="shared" si="395"/>
        <v>0</v>
      </c>
      <c r="DK225" s="86">
        <f t="shared" si="396"/>
        <v>0</v>
      </c>
      <c r="DL225" s="87">
        <f t="shared" si="397"/>
        <v>0</v>
      </c>
      <c r="DM225" s="87">
        <f t="shared" si="398"/>
        <v>0</v>
      </c>
      <c r="DN225" s="87">
        <f t="shared" si="399"/>
        <v>0</v>
      </c>
      <c r="DO225" s="87">
        <f t="shared" si="400"/>
        <v>0</v>
      </c>
      <c r="DP225" s="87">
        <f t="shared" si="401"/>
        <v>4</v>
      </c>
      <c r="DQ225" s="87">
        <f t="shared" si="402"/>
        <v>912</v>
      </c>
      <c r="DR225" s="87">
        <f t="shared" si="340"/>
        <v>6284</v>
      </c>
      <c r="DS225" s="87">
        <f t="shared" si="341"/>
        <v>3670</v>
      </c>
      <c r="DT225" s="87">
        <f t="shared" si="403"/>
        <v>963</v>
      </c>
      <c r="DU225" s="87">
        <f t="shared" si="404"/>
        <v>805.44444444444446</v>
      </c>
      <c r="DV225" s="87">
        <f t="shared" si="405"/>
        <v>0</v>
      </c>
      <c r="DW225" s="87">
        <f t="shared" si="406"/>
        <v>0</v>
      </c>
    </row>
    <row r="226" spans="1:127">
      <c r="A226" s="22" t="s">
        <v>126</v>
      </c>
      <c r="B226" s="26">
        <v>4987176171603</v>
      </c>
      <c r="C226" s="22" t="s">
        <v>127</v>
      </c>
      <c r="D226" s="22" t="s">
        <v>743</v>
      </c>
      <c r="E226" s="22">
        <v>278096</v>
      </c>
      <c r="F226" s="80" t="s">
        <v>738</v>
      </c>
      <c r="G226" s="25">
        <v>572.6</v>
      </c>
      <c r="H226" s="87">
        <f t="shared" si="347"/>
        <v>0</v>
      </c>
      <c r="I226" s="87">
        <f t="shared" si="348"/>
        <v>0</v>
      </c>
      <c r="J226" s="87">
        <f t="shared" si="349"/>
        <v>0</v>
      </c>
      <c r="K226" s="87">
        <f t="shared" si="350"/>
        <v>0</v>
      </c>
      <c r="L226" s="87">
        <f t="shared" si="351"/>
        <v>0</v>
      </c>
      <c r="M226" s="86">
        <f t="shared" si="352"/>
        <v>0</v>
      </c>
      <c r="N226" s="87">
        <f t="shared" si="353"/>
        <v>0</v>
      </c>
      <c r="O226" s="87">
        <f t="shared" si="354"/>
        <v>0</v>
      </c>
      <c r="P226" s="87">
        <f t="shared" si="355"/>
        <v>0</v>
      </c>
      <c r="Q226" s="87">
        <f t="shared" si="356"/>
        <v>0</v>
      </c>
      <c r="R226" s="87">
        <f t="shared" si="357"/>
        <v>0</v>
      </c>
      <c r="S226" s="87">
        <f t="shared" si="358"/>
        <v>0</v>
      </c>
      <c r="T226" s="87">
        <f t="shared" si="359"/>
        <v>0</v>
      </c>
      <c r="U226" s="87">
        <f t="shared" si="360"/>
        <v>0</v>
      </c>
      <c r="V226" s="87">
        <f t="shared" si="361"/>
        <v>0</v>
      </c>
      <c r="W226" s="87">
        <f t="shared" si="362"/>
        <v>0</v>
      </c>
      <c r="X226" s="87">
        <f t="shared" si="363"/>
        <v>0</v>
      </c>
      <c r="Y226" s="86">
        <f t="shared" si="364"/>
        <v>0</v>
      </c>
      <c r="Z226" s="87">
        <f t="shared" si="365"/>
        <v>0</v>
      </c>
      <c r="AA226" s="87">
        <f t="shared" si="366"/>
        <v>0</v>
      </c>
      <c r="AB226" s="87">
        <f t="shared" si="367"/>
        <v>0</v>
      </c>
      <c r="AC226" s="87">
        <f t="shared" si="368"/>
        <v>0</v>
      </c>
      <c r="AD226" s="87">
        <f t="shared" si="369"/>
        <v>4008.2000000000003</v>
      </c>
      <c r="AE226" s="87">
        <f t="shared" si="370"/>
        <v>19468.400000000001</v>
      </c>
      <c r="AF226" s="231">
        <f t="shared" si="371"/>
        <v>42372.4</v>
      </c>
      <c r="AG226" s="87">
        <f t="shared" si="372"/>
        <v>14315</v>
      </c>
      <c r="AH226" s="87">
        <f t="shared" si="373"/>
        <v>14315</v>
      </c>
      <c r="AI226" s="87">
        <f t="shared" si="374"/>
        <v>10497.666666666666</v>
      </c>
      <c r="AJ226" s="87">
        <f t="shared" si="375"/>
        <v>0</v>
      </c>
      <c r="AK226" s="86">
        <f t="shared" si="376"/>
        <v>0</v>
      </c>
      <c r="AL226" s="85"/>
      <c r="AM226" s="85"/>
      <c r="AN226" s="85"/>
      <c r="AO226" s="85"/>
      <c r="AP226" s="85"/>
      <c r="AQ226" s="86"/>
      <c r="AR226" s="87"/>
      <c r="AS226" s="87"/>
      <c r="AT226" s="87"/>
      <c r="AU226" s="87"/>
      <c r="AV226" s="87"/>
      <c r="AW226" s="87"/>
      <c r="AX226" s="87"/>
      <c r="AY226" s="87"/>
      <c r="AZ226" s="87"/>
      <c r="BA226" s="87"/>
      <c r="BB226" s="87"/>
      <c r="BC226" s="86"/>
      <c r="BD226" s="87"/>
      <c r="BE226" s="87"/>
      <c r="BF226" s="87"/>
      <c r="BG226" s="87"/>
      <c r="BH226" s="87"/>
      <c r="BI226" s="87"/>
      <c r="BJ226" s="40">
        <v>0</v>
      </c>
      <c r="BK226" s="40">
        <v>0</v>
      </c>
      <c r="BL226" s="40">
        <v>0</v>
      </c>
      <c r="BM226" s="40" t="s">
        <v>768</v>
      </c>
      <c r="BN226" s="87"/>
      <c r="BO226" s="86"/>
      <c r="CA226" s="21">
        <v>0</v>
      </c>
      <c r="CB226" s="21">
        <v>0</v>
      </c>
      <c r="CC226" s="21">
        <v>0</v>
      </c>
      <c r="CD226" s="21">
        <v>0</v>
      </c>
      <c r="CE226" s="21">
        <v>0</v>
      </c>
      <c r="CF226" s="21">
        <v>0</v>
      </c>
      <c r="CG226" s="42">
        <v>0</v>
      </c>
      <c r="CH226" s="21">
        <v>0</v>
      </c>
      <c r="CI226" s="21">
        <v>0</v>
      </c>
      <c r="CJ226" s="21">
        <v>0</v>
      </c>
      <c r="CK226" s="21">
        <v>0</v>
      </c>
      <c r="CL226" s="21">
        <v>7</v>
      </c>
      <c r="CM226" s="21">
        <v>34</v>
      </c>
      <c r="CN226" s="21">
        <v>74</v>
      </c>
      <c r="CO226" s="21">
        <v>25</v>
      </c>
      <c r="CP226" s="21">
        <f t="shared" si="377"/>
        <v>25</v>
      </c>
      <c r="CQ226" s="344">
        <f t="shared" si="378"/>
        <v>18.333333333333332</v>
      </c>
      <c r="CR226" s="87"/>
      <c r="CS226" s="86"/>
      <c r="CT226" s="87">
        <f t="shared" si="379"/>
        <v>0</v>
      </c>
      <c r="CU226" s="87">
        <f t="shared" si="380"/>
        <v>0</v>
      </c>
      <c r="CV226" s="87">
        <f t="shared" si="381"/>
        <v>0</v>
      </c>
      <c r="CW226" s="87">
        <f t="shared" si="382"/>
        <v>0</v>
      </c>
      <c r="CX226" s="87">
        <f t="shared" si="383"/>
        <v>0</v>
      </c>
      <c r="CY226" s="86">
        <f t="shared" si="384"/>
        <v>0</v>
      </c>
      <c r="CZ226" s="87">
        <f t="shared" si="385"/>
        <v>0</v>
      </c>
      <c r="DA226" s="87">
        <f t="shared" si="386"/>
        <v>0</v>
      </c>
      <c r="DB226" s="87">
        <f t="shared" si="387"/>
        <v>0</v>
      </c>
      <c r="DC226" s="87">
        <f t="shared" si="388"/>
        <v>0</v>
      </c>
      <c r="DD226" s="87">
        <f t="shared" si="389"/>
        <v>0</v>
      </c>
      <c r="DE226" s="87">
        <f t="shared" si="390"/>
        <v>0</v>
      </c>
      <c r="DF226" s="87">
        <f t="shared" si="391"/>
        <v>0</v>
      </c>
      <c r="DG226" s="87">
        <f t="shared" si="392"/>
        <v>0</v>
      </c>
      <c r="DH226" s="87">
        <f t="shared" si="393"/>
        <v>0</v>
      </c>
      <c r="DI226" s="87">
        <f t="shared" si="394"/>
        <v>0</v>
      </c>
      <c r="DJ226" s="87">
        <f t="shared" si="395"/>
        <v>0</v>
      </c>
      <c r="DK226" s="86">
        <f t="shared" si="396"/>
        <v>0</v>
      </c>
      <c r="DL226" s="87">
        <f t="shared" si="397"/>
        <v>0</v>
      </c>
      <c r="DM226" s="87">
        <f t="shared" si="398"/>
        <v>0</v>
      </c>
      <c r="DN226" s="87">
        <f t="shared" si="399"/>
        <v>0</v>
      </c>
      <c r="DO226" s="87">
        <f t="shared" si="400"/>
        <v>0</v>
      </c>
      <c r="DP226" s="87">
        <f t="shared" si="401"/>
        <v>7</v>
      </c>
      <c r="DQ226" s="87">
        <f t="shared" si="402"/>
        <v>34</v>
      </c>
      <c r="DR226" s="87">
        <f t="shared" si="340"/>
        <v>74</v>
      </c>
      <c r="DS226" s="87">
        <f t="shared" si="341"/>
        <v>25</v>
      </c>
      <c r="DT226" s="87">
        <f t="shared" si="403"/>
        <v>25</v>
      </c>
      <c r="DU226" s="87">
        <f t="shared" si="404"/>
        <v>18.333333333333332</v>
      </c>
      <c r="DV226" s="87">
        <f t="shared" si="405"/>
        <v>0</v>
      </c>
      <c r="DW226" s="86">
        <f t="shared" si="406"/>
        <v>0</v>
      </c>
    </row>
    <row r="227" spans="1:127">
      <c r="A227" s="22" t="s">
        <v>126</v>
      </c>
      <c r="B227" s="26">
        <v>4987176171597</v>
      </c>
      <c r="C227" s="22" t="s">
        <v>127</v>
      </c>
      <c r="D227" s="22" t="s">
        <v>743</v>
      </c>
      <c r="E227" s="22">
        <v>278027</v>
      </c>
      <c r="F227" s="80" t="s">
        <v>739</v>
      </c>
      <c r="G227" s="25">
        <v>572.6</v>
      </c>
      <c r="H227" s="87">
        <f t="shared" si="347"/>
        <v>0</v>
      </c>
      <c r="I227" s="87">
        <f t="shared" si="348"/>
        <v>0</v>
      </c>
      <c r="J227" s="87">
        <f t="shared" si="349"/>
        <v>0</v>
      </c>
      <c r="K227" s="87">
        <f t="shared" si="350"/>
        <v>0</v>
      </c>
      <c r="L227" s="87">
        <f t="shared" si="351"/>
        <v>0</v>
      </c>
      <c r="M227" s="86">
        <f t="shared" si="352"/>
        <v>0</v>
      </c>
      <c r="N227" s="87">
        <f t="shared" si="353"/>
        <v>0</v>
      </c>
      <c r="O227" s="87">
        <f t="shared" si="354"/>
        <v>0</v>
      </c>
      <c r="P227" s="87">
        <f t="shared" si="355"/>
        <v>0</v>
      </c>
      <c r="Q227" s="87">
        <f t="shared" si="356"/>
        <v>0</v>
      </c>
      <c r="R227" s="87">
        <f t="shared" si="357"/>
        <v>0</v>
      </c>
      <c r="S227" s="87">
        <f t="shared" si="358"/>
        <v>0</v>
      </c>
      <c r="T227" s="87">
        <f t="shared" si="359"/>
        <v>0</v>
      </c>
      <c r="U227" s="87">
        <f t="shared" si="360"/>
        <v>0</v>
      </c>
      <c r="V227" s="87">
        <f t="shared" si="361"/>
        <v>0</v>
      </c>
      <c r="W227" s="87">
        <f t="shared" si="362"/>
        <v>0</v>
      </c>
      <c r="X227" s="87">
        <f t="shared" si="363"/>
        <v>0</v>
      </c>
      <c r="Y227" s="86">
        <f t="shared" si="364"/>
        <v>0</v>
      </c>
      <c r="Z227" s="87">
        <f t="shared" si="365"/>
        <v>0</v>
      </c>
      <c r="AA227" s="87">
        <f t="shared" si="366"/>
        <v>0</v>
      </c>
      <c r="AB227" s="87">
        <f t="shared" si="367"/>
        <v>0</v>
      </c>
      <c r="AC227" s="87">
        <f t="shared" si="368"/>
        <v>0</v>
      </c>
      <c r="AD227" s="87">
        <f t="shared" si="369"/>
        <v>572.6</v>
      </c>
      <c r="AE227" s="87">
        <f t="shared" si="370"/>
        <v>0</v>
      </c>
      <c r="AF227" s="231">
        <f t="shared" si="371"/>
        <v>2863</v>
      </c>
      <c r="AG227" s="87">
        <f t="shared" si="372"/>
        <v>0</v>
      </c>
      <c r="AH227" s="87">
        <f t="shared" si="373"/>
        <v>0</v>
      </c>
      <c r="AI227" s="87">
        <f t="shared" si="374"/>
        <v>381.73333333333335</v>
      </c>
      <c r="AJ227" s="87">
        <f t="shared" si="375"/>
        <v>0</v>
      </c>
      <c r="AK227" s="86">
        <f t="shared" si="376"/>
        <v>0</v>
      </c>
      <c r="AL227" s="85"/>
      <c r="AM227" s="85"/>
      <c r="AN227" s="85"/>
      <c r="AO227" s="85"/>
      <c r="AP227" s="85"/>
      <c r="AQ227" s="86"/>
      <c r="AR227" s="87"/>
      <c r="AS227" s="87"/>
      <c r="AT227" s="87"/>
      <c r="AU227" s="87"/>
      <c r="AV227" s="87"/>
      <c r="AW227" s="87"/>
      <c r="AX227" s="87"/>
      <c r="AY227" s="87"/>
      <c r="AZ227" s="87"/>
      <c r="BA227" s="87"/>
      <c r="BB227" s="87"/>
      <c r="BC227" s="86"/>
      <c r="BD227" s="87"/>
      <c r="BE227" s="87"/>
      <c r="BF227" s="87"/>
      <c r="BG227" s="87"/>
      <c r="BH227" s="87"/>
      <c r="BI227" s="87"/>
      <c r="BJ227" s="40">
        <v>0</v>
      </c>
      <c r="BK227" s="40">
        <v>0</v>
      </c>
      <c r="BL227" s="40">
        <v>0</v>
      </c>
      <c r="BM227" s="40" t="s">
        <v>768</v>
      </c>
      <c r="BN227" s="87"/>
      <c r="BO227" s="86"/>
      <c r="CA227" s="21">
        <v>0</v>
      </c>
      <c r="CB227" s="21">
        <v>0</v>
      </c>
      <c r="CC227" s="21">
        <v>0</v>
      </c>
      <c r="CD227" s="21">
        <v>0</v>
      </c>
      <c r="CE227" s="21">
        <v>0</v>
      </c>
      <c r="CF227" s="21">
        <v>0</v>
      </c>
      <c r="CG227" s="42">
        <v>0</v>
      </c>
      <c r="CH227" s="21">
        <v>0</v>
      </c>
      <c r="CI227" s="21">
        <v>0</v>
      </c>
      <c r="CJ227" s="21">
        <v>0</v>
      </c>
      <c r="CK227" s="21">
        <v>0</v>
      </c>
      <c r="CL227" s="21">
        <v>1</v>
      </c>
      <c r="CM227" s="21">
        <v>0</v>
      </c>
      <c r="CN227" s="21">
        <v>5</v>
      </c>
      <c r="CO227" s="21">
        <v>0</v>
      </c>
      <c r="CP227" s="21">
        <f t="shared" si="377"/>
        <v>0</v>
      </c>
      <c r="CQ227" s="344">
        <f t="shared" si="378"/>
        <v>0.66666666666666663</v>
      </c>
      <c r="CR227" s="87"/>
      <c r="CS227" s="86"/>
      <c r="CT227" s="87">
        <f t="shared" si="379"/>
        <v>0</v>
      </c>
      <c r="CU227" s="87">
        <f t="shared" si="380"/>
        <v>0</v>
      </c>
      <c r="CV227" s="87">
        <f t="shared" si="381"/>
        <v>0</v>
      </c>
      <c r="CW227" s="87">
        <f t="shared" si="382"/>
        <v>0</v>
      </c>
      <c r="CX227" s="87">
        <f t="shared" si="383"/>
        <v>0</v>
      </c>
      <c r="CY227" s="86">
        <f t="shared" si="384"/>
        <v>0</v>
      </c>
      <c r="CZ227" s="87">
        <f t="shared" si="385"/>
        <v>0</v>
      </c>
      <c r="DA227" s="87">
        <f t="shared" si="386"/>
        <v>0</v>
      </c>
      <c r="DB227" s="87">
        <f t="shared" si="387"/>
        <v>0</v>
      </c>
      <c r="DC227" s="87">
        <f t="shared" si="388"/>
        <v>0</v>
      </c>
      <c r="DD227" s="87">
        <f t="shared" si="389"/>
        <v>0</v>
      </c>
      <c r="DE227" s="87">
        <f t="shared" si="390"/>
        <v>0</v>
      </c>
      <c r="DF227" s="87">
        <f t="shared" si="391"/>
        <v>0</v>
      </c>
      <c r="DG227" s="87">
        <f t="shared" si="392"/>
        <v>0</v>
      </c>
      <c r="DH227" s="87">
        <f t="shared" si="393"/>
        <v>0</v>
      </c>
      <c r="DI227" s="87">
        <f t="shared" si="394"/>
        <v>0</v>
      </c>
      <c r="DJ227" s="87">
        <f t="shared" si="395"/>
        <v>0</v>
      </c>
      <c r="DK227" s="86">
        <f t="shared" si="396"/>
        <v>0</v>
      </c>
      <c r="DL227" s="87">
        <f t="shared" si="397"/>
        <v>0</v>
      </c>
      <c r="DM227" s="87">
        <f t="shared" si="398"/>
        <v>0</v>
      </c>
      <c r="DN227" s="87">
        <f t="shared" si="399"/>
        <v>0</v>
      </c>
      <c r="DO227" s="87">
        <f t="shared" si="400"/>
        <v>0</v>
      </c>
      <c r="DP227" s="87">
        <f t="shared" si="401"/>
        <v>1</v>
      </c>
      <c r="DQ227" s="87">
        <f t="shared" si="402"/>
        <v>0</v>
      </c>
      <c r="DR227" s="87">
        <f t="shared" si="340"/>
        <v>5</v>
      </c>
      <c r="DS227" s="87">
        <f t="shared" si="341"/>
        <v>0</v>
      </c>
      <c r="DT227" s="87">
        <f t="shared" si="403"/>
        <v>0</v>
      </c>
      <c r="DU227" s="87">
        <f t="shared" si="404"/>
        <v>0.66666666666666663</v>
      </c>
      <c r="DV227" s="87">
        <f t="shared" si="405"/>
        <v>0</v>
      </c>
      <c r="DW227" s="86">
        <f t="shared" si="406"/>
        <v>0</v>
      </c>
    </row>
    <row r="228" spans="1:127">
      <c r="A228" s="22" t="s">
        <v>126</v>
      </c>
      <c r="B228" s="26">
        <v>4987176171627</v>
      </c>
      <c r="C228" s="22" t="s">
        <v>127</v>
      </c>
      <c r="D228" s="22" t="s">
        <v>743</v>
      </c>
      <c r="E228" s="22">
        <v>279243</v>
      </c>
      <c r="F228" s="80" t="s">
        <v>740</v>
      </c>
      <c r="G228" s="25">
        <v>572.6</v>
      </c>
      <c r="H228" s="87">
        <f t="shared" si="347"/>
        <v>0</v>
      </c>
      <c r="I228" s="87">
        <f t="shared" si="348"/>
        <v>0</v>
      </c>
      <c r="J228" s="87">
        <f t="shared" si="349"/>
        <v>0</v>
      </c>
      <c r="K228" s="87">
        <f t="shared" si="350"/>
        <v>0</v>
      </c>
      <c r="L228" s="87">
        <f t="shared" si="351"/>
        <v>0</v>
      </c>
      <c r="M228" s="86">
        <f t="shared" si="352"/>
        <v>0</v>
      </c>
      <c r="N228" s="87">
        <f t="shared" si="353"/>
        <v>0</v>
      </c>
      <c r="O228" s="87">
        <f t="shared" si="354"/>
        <v>0</v>
      </c>
      <c r="P228" s="87">
        <f t="shared" si="355"/>
        <v>0</v>
      </c>
      <c r="Q228" s="87">
        <f t="shared" si="356"/>
        <v>0</v>
      </c>
      <c r="R228" s="87">
        <f t="shared" si="357"/>
        <v>0</v>
      </c>
      <c r="S228" s="87">
        <f t="shared" si="358"/>
        <v>0</v>
      </c>
      <c r="T228" s="87">
        <f t="shared" si="359"/>
        <v>0</v>
      </c>
      <c r="U228" s="87">
        <f t="shared" si="360"/>
        <v>0</v>
      </c>
      <c r="V228" s="87">
        <f t="shared" si="361"/>
        <v>0</v>
      </c>
      <c r="W228" s="87">
        <f t="shared" si="362"/>
        <v>0</v>
      </c>
      <c r="X228" s="87">
        <f t="shared" si="363"/>
        <v>0</v>
      </c>
      <c r="Y228" s="86">
        <f t="shared" si="364"/>
        <v>0</v>
      </c>
      <c r="Z228" s="87">
        <f t="shared" si="365"/>
        <v>0</v>
      </c>
      <c r="AA228" s="87">
        <f t="shared" si="366"/>
        <v>0</v>
      </c>
      <c r="AB228" s="87">
        <f t="shared" si="367"/>
        <v>0</v>
      </c>
      <c r="AC228" s="87">
        <f t="shared" si="368"/>
        <v>0</v>
      </c>
      <c r="AD228" s="87">
        <f t="shared" si="369"/>
        <v>1717.8000000000002</v>
      </c>
      <c r="AE228" s="87">
        <f t="shared" si="370"/>
        <v>5153.4000000000005</v>
      </c>
      <c r="AF228" s="231">
        <f t="shared" si="371"/>
        <v>7443.8</v>
      </c>
      <c r="AG228" s="87">
        <f t="shared" si="372"/>
        <v>0</v>
      </c>
      <c r="AH228" s="87">
        <f t="shared" si="373"/>
        <v>0</v>
      </c>
      <c r="AI228" s="87">
        <f t="shared" si="374"/>
        <v>1590.5555555555557</v>
      </c>
      <c r="AJ228" s="87">
        <f t="shared" si="375"/>
        <v>0</v>
      </c>
      <c r="AK228" s="86">
        <f t="shared" si="376"/>
        <v>0</v>
      </c>
      <c r="AL228" s="85"/>
      <c r="AM228" s="85"/>
      <c r="AN228" s="85"/>
      <c r="AO228" s="85"/>
      <c r="AP228" s="85"/>
      <c r="AQ228" s="86"/>
      <c r="AR228" s="87"/>
      <c r="AS228" s="87"/>
      <c r="AT228" s="87"/>
      <c r="AU228" s="87"/>
      <c r="AV228" s="87"/>
      <c r="AW228" s="87"/>
      <c r="AX228" s="87"/>
      <c r="AY228" s="87"/>
      <c r="AZ228" s="87"/>
      <c r="BA228" s="87"/>
      <c r="BB228" s="87"/>
      <c r="BC228" s="86"/>
      <c r="BD228" s="87"/>
      <c r="BE228" s="87"/>
      <c r="BF228" s="87"/>
      <c r="BG228" s="87"/>
      <c r="BH228" s="87"/>
      <c r="BI228" s="87"/>
      <c r="BJ228" s="40">
        <v>0</v>
      </c>
      <c r="BK228" s="40">
        <v>0</v>
      </c>
      <c r="BL228" s="40">
        <v>0</v>
      </c>
      <c r="BM228" s="40" t="s">
        <v>768</v>
      </c>
      <c r="BN228" s="87"/>
      <c r="BO228" s="86"/>
      <c r="CA228" s="21">
        <v>0</v>
      </c>
      <c r="CB228" s="21">
        <v>0</v>
      </c>
      <c r="CC228" s="21">
        <v>0</v>
      </c>
      <c r="CD228" s="21">
        <v>0</v>
      </c>
      <c r="CE228" s="21">
        <v>0</v>
      </c>
      <c r="CF228" s="21">
        <v>0</v>
      </c>
      <c r="CG228" s="42">
        <v>0</v>
      </c>
      <c r="CH228" s="21">
        <v>0</v>
      </c>
      <c r="CI228" s="21">
        <v>0</v>
      </c>
      <c r="CJ228" s="21">
        <v>0</v>
      </c>
      <c r="CK228" s="21">
        <v>0</v>
      </c>
      <c r="CL228" s="21">
        <v>3</v>
      </c>
      <c r="CM228" s="21">
        <v>9</v>
      </c>
      <c r="CN228" s="21">
        <v>13</v>
      </c>
      <c r="CO228" s="21">
        <v>0</v>
      </c>
      <c r="CP228" s="21">
        <f t="shared" si="377"/>
        <v>0</v>
      </c>
      <c r="CQ228" s="344">
        <f t="shared" si="378"/>
        <v>2.7777777777777777</v>
      </c>
      <c r="CR228" s="87"/>
      <c r="CS228" s="86"/>
      <c r="CT228" s="87">
        <f t="shared" si="379"/>
        <v>0</v>
      </c>
      <c r="CU228" s="87">
        <f t="shared" si="380"/>
        <v>0</v>
      </c>
      <c r="CV228" s="87">
        <f t="shared" si="381"/>
        <v>0</v>
      </c>
      <c r="CW228" s="87">
        <f t="shared" si="382"/>
        <v>0</v>
      </c>
      <c r="CX228" s="87">
        <f t="shared" si="383"/>
        <v>0</v>
      </c>
      <c r="CY228" s="86">
        <f t="shared" si="384"/>
        <v>0</v>
      </c>
      <c r="CZ228" s="87">
        <f t="shared" si="385"/>
        <v>0</v>
      </c>
      <c r="DA228" s="87">
        <f t="shared" si="386"/>
        <v>0</v>
      </c>
      <c r="DB228" s="87">
        <f t="shared" si="387"/>
        <v>0</v>
      </c>
      <c r="DC228" s="87">
        <f t="shared" si="388"/>
        <v>0</v>
      </c>
      <c r="DD228" s="87">
        <f t="shared" si="389"/>
        <v>0</v>
      </c>
      <c r="DE228" s="87">
        <f t="shared" si="390"/>
        <v>0</v>
      </c>
      <c r="DF228" s="87">
        <f t="shared" si="391"/>
        <v>0</v>
      </c>
      <c r="DG228" s="87">
        <f t="shared" si="392"/>
        <v>0</v>
      </c>
      <c r="DH228" s="87">
        <f t="shared" si="393"/>
        <v>0</v>
      </c>
      <c r="DI228" s="87">
        <f t="shared" si="394"/>
        <v>0</v>
      </c>
      <c r="DJ228" s="87">
        <f t="shared" si="395"/>
        <v>0</v>
      </c>
      <c r="DK228" s="86">
        <f t="shared" si="396"/>
        <v>0</v>
      </c>
      <c r="DL228" s="87">
        <f t="shared" si="397"/>
        <v>0</v>
      </c>
      <c r="DM228" s="87">
        <f t="shared" si="398"/>
        <v>0</v>
      </c>
      <c r="DN228" s="87">
        <f t="shared" si="399"/>
        <v>0</v>
      </c>
      <c r="DO228" s="87">
        <f t="shared" si="400"/>
        <v>0</v>
      </c>
      <c r="DP228" s="87">
        <f t="shared" si="401"/>
        <v>3</v>
      </c>
      <c r="DQ228" s="87">
        <f t="shared" si="402"/>
        <v>9</v>
      </c>
      <c r="DR228" s="87">
        <f t="shared" si="340"/>
        <v>13</v>
      </c>
      <c r="DS228" s="87">
        <f t="shared" si="341"/>
        <v>0</v>
      </c>
      <c r="DT228" s="87">
        <f t="shared" si="403"/>
        <v>0</v>
      </c>
      <c r="DU228" s="87">
        <f t="shared" si="404"/>
        <v>2.7777777777777777</v>
      </c>
      <c r="DV228" s="87">
        <f t="shared" si="405"/>
        <v>0</v>
      </c>
      <c r="DW228" s="86">
        <f t="shared" si="406"/>
        <v>0</v>
      </c>
    </row>
    <row r="229" spans="1:127">
      <c r="A229" s="22" t="s">
        <v>126</v>
      </c>
      <c r="B229" s="26">
        <v>4902430863384</v>
      </c>
      <c r="C229" s="22" t="s">
        <v>127</v>
      </c>
      <c r="D229" s="22" t="s">
        <v>47</v>
      </c>
      <c r="E229" s="22">
        <v>278619</v>
      </c>
      <c r="F229" s="80" t="s">
        <v>744</v>
      </c>
      <c r="G229" s="25">
        <v>507.72</v>
      </c>
      <c r="H229" s="87">
        <f t="shared" si="347"/>
        <v>0</v>
      </c>
      <c r="I229" s="87">
        <f t="shared" si="348"/>
        <v>0</v>
      </c>
      <c r="J229" s="87">
        <f t="shared" si="349"/>
        <v>0</v>
      </c>
      <c r="K229" s="87">
        <f t="shared" si="350"/>
        <v>0</v>
      </c>
      <c r="L229" s="87">
        <f t="shared" si="351"/>
        <v>0</v>
      </c>
      <c r="M229" s="86">
        <f t="shared" si="352"/>
        <v>0</v>
      </c>
      <c r="N229" s="87">
        <f t="shared" si="353"/>
        <v>0</v>
      </c>
      <c r="O229" s="87">
        <f t="shared" si="354"/>
        <v>0</v>
      </c>
      <c r="P229" s="87">
        <f t="shared" si="355"/>
        <v>0</v>
      </c>
      <c r="Q229" s="87">
        <f t="shared" si="356"/>
        <v>0</v>
      </c>
      <c r="R229" s="87">
        <f t="shared" si="357"/>
        <v>0</v>
      </c>
      <c r="S229" s="87">
        <f t="shared" si="358"/>
        <v>0</v>
      </c>
      <c r="T229" s="87">
        <f t="shared" si="359"/>
        <v>0</v>
      </c>
      <c r="U229" s="87">
        <f t="shared" si="360"/>
        <v>0</v>
      </c>
      <c r="V229" s="87">
        <f t="shared" si="361"/>
        <v>0</v>
      </c>
      <c r="W229" s="87">
        <f t="shared" si="362"/>
        <v>0</v>
      </c>
      <c r="X229" s="87">
        <f t="shared" si="363"/>
        <v>0</v>
      </c>
      <c r="Y229" s="86">
        <f t="shared" si="364"/>
        <v>0</v>
      </c>
      <c r="Z229" s="87">
        <f t="shared" si="365"/>
        <v>0</v>
      </c>
      <c r="AA229" s="87">
        <f t="shared" si="366"/>
        <v>0</v>
      </c>
      <c r="AB229" s="87">
        <f t="shared" si="367"/>
        <v>0</v>
      </c>
      <c r="AC229" s="87">
        <f t="shared" si="368"/>
        <v>0</v>
      </c>
      <c r="AD229" s="87">
        <f t="shared" si="369"/>
        <v>1015.44</v>
      </c>
      <c r="AE229" s="87">
        <f t="shared" si="370"/>
        <v>3046.32</v>
      </c>
      <c r="AF229" s="231">
        <f t="shared" si="371"/>
        <v>18277.920000000002</v>
      </c>
      <c r="AG229" s="87">
        <f t="shared" si="372"/>
        <v>7615.8</v>
      </c>
      <c r="AH229" s="87">
        <f t="shared" ref="AH229:AH260" si="407">DT229*$G229</f>
        <v>7615.8</v>
      </c>
      <c r="AI229" s="87">
        <f t="shared" ref="AI229:AI260" si="408">DU229*$G229</f>
        <v>4174.5866666666661</v>
      </c>
      <c r="AJ229" s="87">
        <f t="shared" ref="AJ229:AJ260" si="409">DV229*$G229</f>
        <v>0</v>
      </c>
      <c r="AK229" s="86">
        <f t="shared" ref="AK229:AK260" si="410">DW229*$G229</f>
        <v>0</v>
      </c>
      <c r="AL229" s="85"/>
      <c r="AM229" s="85"/>
      <c r="AN229" s="85"/>
      <c r="AO229" s="85"/>
      <c r="AP229" s="85"/>
      <c r="AQ229" s="86"/>
      <c r="AR229" s="87"/>
      <c r="AS229" s="87"/>
      <c r="AT229" s="87"/>
      <c r="AU229" s="87"/>
      <c r="AV229" s="87"/>
      <c r="AW229" s="87"/>
      <c r="AX229" s="87"/>
      <c r="AY229" s="87"/>
      <c r="AZ229" s="87"/>
      <c r="BA229" s="87"/>
      <c r="BB229" s="87"/>
      <c r="BC229" s="86"/>
      <c r="BD229" s="87"/>
      <c r="BE229" s="87"/>
      <c r="BF229" s="87"/>
      <c r="BG229" s="87"/>
      <c r="BH229" s="87"/>
      <c r="BI229" s="87"/>
      <c r="BJ229" s="40">
        <v>0</v>
      </c>
      <c r="BK229" s="40">
        <v>0</v>
      </c>
      <c r="BL229" s="40">
        <v>0</v>
      </c>
      <c r="BM229" s="40" t="s">
        <v>768</v>
      </c>
      <c r="BN229" s="87"/>
      <c r="BO229" s="86"/>
      <c r="CA229" s="21">
        <v>0</v>
      </c>
      <c r="CB229" s="21">
        <v>0</v>
      </c>
      <c r="CC229" s="21">
        <v>0</v>
      </c>
      <c r="CD229" s="21">
        <v>0</v>
      </c>
      <c r="CE229" s="21">
        <v>0</v>
      </c>
      <c r="CF229" s="21">
        <v>0</v>
      </c>
      <c r="CG229" s="42">
        <v>0</v>
      </c>
      <c r="CH229" s="21">
        <v>0</v>
      </c>
      <c r="CI229" s="21">
        <v>0</v>
      </c>
      <c r="CJ229" s="21">
        <v>0</v>
      </c>
      <c r="CK229" s="21">
        <v>0</v>
      </c>
      <c r="CL229" s="21">
        <v>2</v>
      </c>
      <c r="CM229" s="21">
        <v>6</v>
      </c>
      <c r="CN229" s="21">
        <v>36</v>
      </c>
      <c r="CO229" s="21">
        <v>15</v>
      </c>
      <c r="CP229" s="21">
        <f t="shared" si="377"/>
        <v>15</v>
      </c>
      <c r="CQ229" s="344">
        <f t="shared" si="378"/>
        <v>8.2222222222222214</v>
      </c>
      <c r="CR229" s="87"/>
      <c r="CS229" s="86"/>
      <c r="CT229" s="87">
        <f t="shared" ref="CT229:CT260" si="411">AL229+BP229</f>
        <v>0</v>
      </c>
      <c r="CU229" s="87">
        <f t="shared" ref="CU229:CU260" si="412">AM229+BQ229</f>
        <v>0</v>
      </c>
      <c r="CV229" s="87">
        <f t="shared" ref="CV229:CV260" si="413">AN229+BR229</f>
        <v>0</v>
      </c>
      <c r="CW229" s="87">
        <f t="shared" ref="CW229:CW260" si="414">AO229+BS229</f>
        <v>0</v>
      </c>
      <c r="CX229" s="87">
        <f t="shared" ref="CX229:CX260" si="415">AP229+BT229</f>
        <v>0</v>
      </c>
      <c r="CY229" s="86">
        <f t="shared" ref="CY229:CY260" si="416">AQ229+BU229</f>
        <v>0</v>
      </c>
      <c r="CZ229" s="87">
        <f t="shared" ref="CZ229:CZ260" si="417">AR229+BV229</f>
        <v>0</v>
      </c>
      <c r="DA229" s="87">
        <f t="shared" ref="DA229:DA260" si="418">AS229+BW229</f>
        <v>0</v>
      </c>
      <c r="DB229" s="87">
        <f t="shared" ref="DB229:DB260" si="419">AT229+BX229</f>
        <v>0</v>
      </c>
      <c r="DC229" s="87">
        <f t="shared" ref="DC229:DC260" si="420">AU229+BY229</f>
        <v>0</v>
      </c>
      <c r="DD229" s="87">
        <f t="shared" ref="DD229:DD260" si="421">AV229+BZ229</f>
        <v>0</v>
      </c>
      <c r="DE229" s="87">
        <f t="shared" ref="DE229:DE260" si="422">AW229+CA229</f>
        <v>0</v>
      </c>
      <c r="DF229" s="87">
        <f t="shared" ref="DF229:DF260" si="423">AX229+CB229</f>
        <v>0</v>
      </c>
      <c r="DG229" s="87">
        <f t="shared" ref="DG229:DG260" si="424">AY229+CC229</f>
        <v>0</v>
      </c>
      <c r="DH229" s="87">
        <f t="shared" ref="DH229:DH260" si="425">AZ229+CD229</f>
        <v>0</v>
      </c>
      <c r="DI229" s="87">
        <f t="shared" ref="DI229:DI260" si="426">BA229+CE229</f>
        <v>0</v>
      </c>
      <c r="DJ229" s="87">
        <f t="shared" ref="DJ229:DJ260" si="427">BB229+CF229</f>
        <v>0</v>
      </c>
      <c r="DK229" s="86">
        <f t="shared" ref="DK229:DK260" si="428">BC229+CG229</f>
        <v>0</v>
      </c>
      <c r="DL229" s="87">
        <f t="shared" ref="DL229:DL260" si="429">BD229+CH229</f>
        <v>0</v>
      </c>
      <c r="DM229" s="87">
        <f t="shared" ref="DM229:DM260" si="430">BE229+CI229</f>
        <v>0</v>
      </c>
      <c r="DN229" s="87">
        <f t="shared" ref="DN229:DN260" si="431">BF229+CJ229</f>
        <v>0</v>
      </c>
      <c r="DO229" s="87">
        <f t="shared" ref="DO229:DO260" si="432">BG229+CK229</f>
        <v>0</v>
      </c>
      <c r="DP229" s="87">
        <f t="shared" ref="DP229:DP260" si="433">BH229+CL229</f>
        <v>2</v>
      </c>
      <c r="DQ229" s="87">
        <f t="shared" ref="DQ229:DQ260" si="434">BI229+CM229</f>
        <v>6</v>
      </c>
      <c r="DR229" s="87">
        <f t="shared" si="340"/>
        <v>36</v>
      </c>
      <c r="DS229" s="87">
        <f t="shared" si="341"/>
        <v>15</v>
      </c>
      <c r="DT229" s="87">
        <f t="shared" si="403"/>
        <v>15</v>
      </c>
      <c r="DU229" s="87">
        <f t="shared" si="404"/>
        <v>8.2222222222222214</v>
      </c>
      <c r="DV229" s="87">
        <f t="shared" si="405"/>
        <v>0</v>
      </c>
      <c r="DW229" s="87">
        <f t="shared" si="406"/>
        <v>0</v>
      </c>
    </row>
    <row r="230" spans="1:127">
      <c r="A230" s="22" t="s">
        <v>126</v>
      </c>
      <c r="B230" s="26">
        <v>4987176025449</v>
      </c>
      <c r="C230" s="22" t="s">
        <v>127</v>
      </c>
      <c r="D230" s="22" t="s">
        <v>47</v>
      </c>
      <c r="E230" s="22">
        <v>278360</v>
      </c>
      <c r="F230" s="80" t="s">
        <v>741</v>
      </c>
      <c r="G230" s="25">
        <v>507.72</v>
      </c>
      <c r="H230" s="87">
        <f t="shared" si="347"/>
        <v>0</v>
      </c>
      <c r="I230" s="87">
        <f t="shared" si="348"/>
        <v>0</v>
      </c>
      <c r="J230" s="87">
        <f t="shared" si="349"/>
        <v>0</v>
      </c>
      <c r="K230" s="87">
        <f t="shared" si="350"/>
        <v>0</v>
      </c>
      <c r="L230" s="87">
        <f t="shared" si="351"/>
        <v>0</v>
      </c>
      <c r="M230" s="86">
        <f t="shared" si="352"/>
        <v>0</v>
      </c>
      <c r="N230" s="87">
        <f t="shared" si="353"/>
        <v>0</v>
      </c>
      <c r="O230" s="87">
        <f t="shared" si="354"/>
        <v>0</v>
      </c>
      <c r="P230" s="87">
        <f t="shared" si="355"/>
        <v>0</v>
      </c>
      <c r="Q230" s="87">
        <f t="shared" si="356"/>
        <v>0</v>
      </c>
      <c r="R230" s="87">
        <f t="shared" si="357"/>
        <v>0</v>
      </c>
      <c r="S230" s="87">
        <f t="shared" si="358"/>
        <v>0</v>
      </c>
      <c r="T230" s="87">
        <f t="shared" si="359"/>
        <v>0</v>
      </c>
      <c r="U230" s="87">
        <f t="shared" si="360"/>
        <v>0</v>
      </c>
      <c r="V230" s="87">
        <f t="shared" si="361"/>
        <v>0</v>
      </c>
      <c r="W230" s="87">
        <f t="shared" si="362"/>
        <v>0</v>
      </c>
      <c r="X230" s="87">
        <f t="shared" si="363"/>
        <v>0</v>
      </c>
      <c r="Y230" s="86">
        <f t="shared" si="364"/>
        <v>0</v>
      </c>
      <c r="Z230" s="87">
        <f t="shared" si="365"/>
        <v>0</v>
      </c>
      <c r="AA230" s="87">
        <f t="shared" si="366"/>
        <v>0</v>
      </c>
      <c r="AB230" s="87">
        <f t="shared" si="367"/>
        <v>0</v>
      </c>
      <c r="AC230" s="87">
        <f t="shared" si="368"/>
        <v>0</v>
      </c>
      <c r="AD230" s="87">
        <f t="shared" si="369"/>
        <v>2030.88</v>
      </c>
      <c r="AE230" s="87">
        <f t="shared" si="370"/>
        <v>507.72</v>
      </c>
      <c r="AF230" s="231">
        <f t="shared" si="371"/>
        <v>9138.9600000000009</v>
      </c>
      <c r="AG230" s="87">
        <f t="shared" si="372"/>
        <v>3046.32</v>
      </c>
      <c r="AH230" s="87">
        <f t="shared" si="407"/>
        <v>3046.32</v>
      </c>
      <c r="AI230" s="87">
        <f t="shared" si="408"/>
        <v>1974.4666666666667</v>
      </c>
      <c r="AJ230" s="87">
        <f t="shared" si="409"/>
        <v>0</v>
      </c>
      <c r="AK230" s="86">
        <f t="shared" si="410"/>
        <v>0</v>
      </c>
      <c r="AL230" s="85"/>
      <c r="AM230" s="85"/>
      <c r="AN230" s="85"/>
      <c r="AO230" s="85"/>
      <c r="AP230" s="85"/>
      <c r="AQ230" s="86"/>
      <c r="AR230" s="87"/>
      <c r="AS230" s="87"/>
      <c r="AT230" s="87"/>
      <c r="AU230" s="87"/>
      <c r="AV230" s="87"/>
      <c r="AW230" s="87"/>
      <c r="AX230" s="87"/>
      <c r="AY230" s="87"/>
      <c r="AZ230" s="87"/>
      <c r="BA230" s="87"/>
      <c r="BB230" s="87"/>
      <c r="BC230" s="86"/>
      <c r="BD230" s="87"/>
      <c r="BE230" s="87"/>
      <c r="BF230" s="87"/>
      <c r="BG230" s="87"/>
      <c r="BH230" s="87"/>
      <c r="BI230" s="87"/>
      <c r="BJ230" s="40">
        <v>0</v>
      </c>
      <c r="BK230" s="40">
        <v>0</v>
      </c>
      <c r="BL230" s="40">
        <v>0</v>
      </c>
      <c r="BM230" s="40" t="s">
        <v>768</v>
      </c>
      <c r="BN230" s="87"/>
      <c r="BO230" s="86"/>
      <c r="CA230" s="21">
        <v>0</v>
      </c>
      <c r="CB230" s="21">
        <v>0</v>
      </c>
      <c r="CC230" s="21">
        <v>0</v>
      </c>
      <c r="CD230" s="21">
        <v>0</v>
      </c>
      <c r="CE230" s="21">
        <v>0</v>
      </c>
      <c r="CF230" s="21">
        <v>0</v>
      </c>
      <c r="CG230" s="42">
        <v>0</v>
      </c>
      <c r="CH230" s="21">
        <v>0</v>
      </c>
      <c r="CI230" s="21">
        <v>0</v>
      </c>
      <c r="CJ230" s="21">
        <v>0</v>
      </c>
      <c r="CK230" s="21">
        <v>0</v>
      </c>
      <c r="CL230" s="21">
        <v>4</v>
      </c>
      <c r="CM230" s="21">
        <v>1</v>
      </c>
      <c r="CN230" s="21">
        <v>18</v>
      </c>
      <c r="CO230" s="21">
        <v>6</v>
      </c>
      <c r="CP230" s="21">
        <f t="shared" si="377"/>
        <v>6</v>
      </c>
      <c r="CQ230" s="344">
        <f t="shared" si="378"/>
        <v>3.8888888888888888</v>
      </c>
      <c r="CR230" s="87"/>
      <c r="CS230" s="86"/>
      <c r="CT230" s="87">
        <f t="shared" si="411"/>
        <v>0</v>
      </c>
      <c r="CU230" s="87">
        <f t="shared" si="412"/>
        <v>0</v>
      </c>
      <c r="CV230" s="87">
        <f t="shared" si="413"/>
        <v>0</v>
      </c>
      <c r="CW230" s="87">
        <f t="shared" si="414"/>
        <v>0</v>
      </c>
      <c r="CX230" s="87">
        <f t="shared" si="415"/>
        <v>0</v>
      </c>
      <c r="CY230" s="86">
        <f t="shared" si="416"/>
        <v>0</v>
      </c>
      <c r="CZ230" s="87">
        <f t="shared" si="417"/>
        <v>0</v>
      </c>
      <c r="DA230" s="87">
        <f t="shared" si="418"/>
        <v>0</v>
      </c>
      <c r="DB230" s="87">
        <f t="shared" si="419"/>
        <v>0</v>
      </c>
      <c r="DC230" s="87">
        <f t="shared" si="420"/>
        <v>0</v>
      </c>
      <c r="DD230" s="87">
        <f t="shared" si="421"/>
        <v>0</v>
      </c>
      <c r="DE230" s="87">
        <f t="shared" si="422"/>
        <v>0</v>
      </c>
      <c r="DF230" s="87">
        <f t="shared" si="423"/>
        <v>0</v>
      </c>
      <c r="DG230" s="87">
        <f t="shared" si="424"/>
        <v>0</v>
      </c>
      <c r="DH230" s="87">
        <f t="shared" si="425"/>
        <v>0</v>
      </c>
      <c r="DI230" s="87">
        <f t="shared" si="426"/>
        <v>0</v>
      </c>
      <c r="DJ230" s="87">
        <f t="shared" si="427"/>
        <v>0</v>
      </c>
      <c r="DK230" s="86">
        <f t="shared" si="428"/>
        <v>0</v>
      </c>
      <c r="DL230" s="87">
        <f t="shared" si="429"/>
        <v>0</v>
      </c>
      <c r="DM230" s="87">
        <f t="shared" si="430"/>
        <v>0</v>
      </c>
      <c r="DN230" s="87">
        <f t="shared" si="431"/>
        <v>0</v>
      </c>
      <c r="DO230" s="87">
        <f t="shared" si="432"/>
        <v>0</v>
      </c>
      <c r="DP230" s="87">
        <f t="shared" si="433"/>
        <v>4</v>
      </c>
      <c r="DQ230" s="87">
        <f t="shared" si="434"/>
        <v>1</v>
      </c>
      <c r="DR230" s="87">
        <f t="shared" si="340"/>
        <v>18</v>
      </c>
      <c r="DS230" s="87">
        <f t="shared" si="341"/>
        <v>6</v>
      </c>
      <c r="DT230" s="87">
        <f t="shared" ref="DT230:DT261" si="435">BL230+CP230</f>
        <v>6</v>
      </c>
      <c r="DU230" s="87">
        <f t="shared" ref="DU230:DU261" si="436">BM230+CQ230</f>
        <v>3.8888888888888888</v>
      </c>
      <c r="DV230" s="87">
        <f t="shared" ref="DV230:DV261" si="437">BN230+CR230</f>
        <v>0</v>
      </c>
      <c r="DW230" s="87">
        <f t="shared" ref="DW230:DW261" si="438">BO230+CS230</f>
        <v>0</v>
      </c>
    </row>
    <row r="231" spans="1:127">
      <c r="A231" s="22" t="s">
        <v>126</v>
      </c>
      <c r="B231" s="26">
        <v>4987176189363</v>
      </c>
      <c r="C231" s="22" t="s">
        <v>127</v>
      </c>
      <c r="D231" s="22" t="s">
        <v>47</v>
      </c>
      <c r="E231" s="22">
        <v>278671</v>
      </c>
      <c r="F231" s="80" t="s">
        <v>742</v>
      </c>
      <c r="G231" s="25">
        <v>507.72</v>
      </c>
      <c r="H231" s="87">
        <f t="shared" si="347"/>
        <v>0</v>
      </c>
      <c r="I231" s="87">
        <f t="shared" si="348"/>
        <v>0</v>
      </c>
      <c r="J231" s="87">
        <f t="shared" si="349"/>
        <v>0</v>
      </c>
      <c r="K231" s="87">
        <f t="shared" si="350"/>
        <v>0</v>
      </c>
      <c r="L231" s="87">
        <f t="shared" si="351"/>
        <v>0</v>
      </c>
      <c r="M231" s="86">
        <f t="shared" si="352"/>
        <v>0</v>
      </c>
      <c r="N231" s="87">
        <f t="shared" si="353"/>
        <v>0</v>
      </c>
      <c r="O231" s="87">
        <f t="shared" si="354"/>
        <v>0</v>
      </c>
      <c r="P231" s="87">
        <f t="shared" si="355"/>
        <v>0</v>
      </c>
      <c r="Q231" s="87">
        <f t="shared" si="356"/>
        <v>0</v>
      </c>
      <c r="R231" s="87">
        <f t="shared" si="357"/>
        <v>0</v>
      </c>
      <c r="S231" s="87">
        <f t="shared" si="358"/>
        <v>0</v>
      </c>
      <c r="T231" s="87">
        <f t="shared" si="359"/>
        <v>0</v>
      </c>
      <c r="U231" s="87">
        <f t="shared" si="360"/>
        <v>0</v>
      </c>
      <c r="V231" s="87">
        <f t="shared" si="361"/>
        <v>0</v>
      </c>
      <c r="W231" s="87">
        <f t="shared" si="362"/>
        <v>0</v>
      </c>
      <c r="X231" s="87">
        <f t="shared" si="363"/>
        <v>0</v>
      </c>
      <c r="Y231" s="86">
        <f t="shared" si="364"/>
        <v>0</v>
      </c>
      <c r="Z231" s="87">
        <f t="shared" si="365"/>
        <v>0</v>
      </c>
      <c r="AA231" s="87">
        <f t="shared" si="366"/>
        <v>0</v>
      </c>
      <c r="AB231" s="87">
        <f t="shared" si="367"/>
        <v>0</v>
      </c>
      <c r="AC231" s="87">
        <f t="shared" si="368"/>
        <v>0</v>
      </c>
      <c r="AD231" s="87">
        <f t="shared" si="369"/>
        <v>4569.4800000000005</v>
      </c>
      <c r="AE231" s="87">
        <f t="shared" si="370"/>
        <v>2538.6000000000004</v>
      </c>
      <c r="AF231" s="231">
        <f t="shared" si="371"/>
        <v>14723.880000000001</v>
      </c>
      <c r="AG231" s="87">
        <f t="shared" si="372"/>
        <v>13200.720000000001</v>
      </c>
      <c r="AH231" s="87">
        <f t="shared" si="407"/>
        <v>13200.720000000001</v>
      </c>
      <c r="AI231" s="87">
        <f t="shared" si="408"/>
        <v>5359.2666666666664</v>
      </c>
      <c r="AJ231" s="87">
        <f t="shared" si="409"/>
        <v>0</v>
      </c>
      <c r="AK231" s="86">
        <f t="shared" si="410"/>
        <v>0</v>
      </c>
      <c r="AL231" s="85"/>
      <c r="AM231" s="85"/>
      <c r="AN231" s="85"/>
      <c r="AO231" s="85"/>
      <c r="AP231" s="85"/>
      <c r="AQ231" s="86"/>
      <c r="AR231" s="87"/>
      <c r="AS231" s="87"/>
      <c r="AT231" s="87"/>
      <c r="AU231" s="87"/>
      <c r="AV231" s="87"/>
      <c r="AW231" s="87"/>
      <c r="AX231" s="87"/>
      <c r="AY231" s="87"/>
      <c r="AZ231" s="87"/>
      <c r="BA231" s="87"/>
      <c r="BB231" s="87"/>
      <c r="BC231" s="86"/>
      <c r="BD231" s="87"/>
      <c r="BE231" s="87"/>
      <c r="BF231" s="87"/>
      <c r="BG231" s="87"/>
      <c r="BH231" s="87"/>
      <c r="BI231" s="87"/>
      <c r="BJ231" s="40">
        <v>0</v>
      </c>
      <c r="BK231" s="40">
        <v>0</v>
      </c>
      <c r="BL231" s="40">
        <v>0</v>
      </c>
      <c r="BM231" s="40" t="s">
        <v>768</v>
      </c>
      <c r="BN231" s="87"/>
      <c r="BO231" s="86"/>
      <c r="CA231" s="21">
        <v>0</v>
      </c>
      <c r="CB231" s="21">
        <v>0</v>
      </c>
      <c r="CC231" s="21">
        <v>0</v>
      </c>
      <c r="CD231" s="21">
        <v>0</v>
      </c>
      <c r="CE231" s="21">
        <v>0</v>
      </c>
      <c r="CF231" s="21">
        <v>0</v>
      </c>
      <c r="CG231" s="42">
        <v>0</v>
      </c>
      <c r="CH231" s="21">
        <v>0</v>
      </c>
      <c r="CI231" s="21">
        <v>0</v>
      </c>
      <c r="CJ231" s="21">
        <v>0</v>
      </c>
      <c r="CK231" s="21">
        <v>0</v>
      </c>
      <c r="CL231" s="21">
        <v>9</v>
      </c>
      <c r="CM231" s="21">
        <v>5</v>
      </c>
      <c r="CN231" s="21">
        <v>29</v>
      </c>
      <c r="CO231" s="21">
        <v>26</v>
      </c>
      <c r="CP231" s="21">
        <f t="shared" si="377"/>
        <v>26</v>
      </c>
      <c r="CQ231" s="344">
        <f t="shared" si="378"/>
        <v>10.555555555555555</v>
      </c>
      <c r="CR231" s="87"/>
      <c r="CS231" s="86"/>
      <c r="CT231" s="87">
        <f t="shared" si="411"/>
        <v>0</v>
      </c>
      <c r="CU231" s="87">
        <f t="shared" si="412"/>
        <v>0</v>
      </c>
      <c r="CV231" s="87">
        <f t="shared" si="413"/>
        <v>0</v>
      </c>
      <c r="CW231" s="87">
        <f t="shared" si="414"/>
        <v>0</v>
      </c>
      <c r="CX231" s="87">
        <f t="shared" si="415"/>
        <v>0</v>
      </c>
      <c r="CY231" s="86">
        <f t="shared" si="416"/>
        <v>0</v>
      </c>
      <c r="CZ231" s="87">
        <f t="shared" si="417"/>
        <v>0</v>
      </c>
      <c r="DA231" s="87">
        <f t="shared" si="418"/>
        <v>0</v>
      </c>
      <c r="DB231" s="87">
        <f t="shared" si="419"/>
        <v>0</v>
      </c>
      <c r="DC231" s="87">
        <f t="shared" si="420"/>
        <v>0</v>
      </c>
      <c r="DD231" s="87">
        <f t="shared" si="421"/>
        <v>0</v>
      </c>
      <c r="DE231" s="87">
        <f t="shared" si="422"/>
        <v>0</v>
      </c>
      <c r="DF231" s="87">
        <f t="shared" si="423"/>
        <v>0</v>
      </c>
      <c r="DG231" s="87">
        <f t="shared" si="424"/>
        <v>0</v>
      </c>
      <c r="DH231" s="87">
        <f t="shared" si="425"/>
        <v>0</v>
      </c>
      <c r="DI231" s="87">
        <f t="shared" si="426"/>
        <v>0</v>
      </c>
      <c r="DJ231" s="87">
        <f t="shared" si="427"/>
        <v>0</v>
      </c>
      <c r="DK231" s="86">
        <f t="shared" si="428"/>
        <v>0</v>
      </c>
      <c r="DL231" s="87">
        <f t="shared" si="429"/>
        <v>0</v>
      </c>
      <c r="DM231" s="87">
        <f t="shared" si="430"/>
        <v>0</v>
      </c>
      <c r="DN231" s="87">
        <f t="shared" si="431"/>
        <v>0</v>
      </c>
      <c r="DO231" s="87">
        <f t="shared" si="432"/>
        <v>0</v>
      </c>
      <c r="DP231" s="87">
        <f t="shared" si="433"/>
        <v>9</v>
      </c>
      <c r="DQ231" s="87">
        <f t="shared" si="434"/>
        <v>5</v>
      </c>
      <c r="DR231" s="87">
        <f t="shared" ref="DR231:DR294" si="439">BJ231+CN231</f>
        <v>29</v>
      </c>
      <c r="DS231" s="87">
        <f t="shared" si="341"/>
        <v>26</v>
      </c>
      <c r="DT231" s="87">
        <f t="shared" si="435"/>
        <v>26</v>
      </c>
      <c r="DU231" s="87">
        <f t="shared" si="436"/>
        <v>10.555555555555555</v>
      </c>
      <c r="DV231" s="87">
        <f t="shared" si="437"/>
        <v>0</v>
      </c>
      <c r="DW231" s="87">
        <f t="shared" si="438"/>
        <v>0</v>
      </c>
    </row>
    <row r="232" spans="1:127">
      <c r="A232" s="22" t="s">
        <v>126</v>
      </c>
      <c r="B232" s="26">
        <v>6903148138182</v>
      </c>
      <c r="C232" s="22" t="s">
        <v>127</v>
      </c>
      <c r="D232" s="22" t="s">
        <v>124</v>
      </c>
      <c r="E232" s="22">
        <v>257968</v>
      </c>
      <c r="F232" s="80" t="s">
        <v>324</v>
      </c>
      <c r="G232" s="25">
        <v>63.15</v>
      </c>
      <c r="H232" s="85">
        <f t="shared" si="347"/>
        <v>0</v>
      </c>
      <c r="I232" s="85">
        <f t="shared" si="348"/>
        <v>0</v>
      </c>
      <c r="J232" s="85">
        <f t="shared" si="349"/>
        <v>0</v>
      </c>
      <c r="K232" s="85">
        <f t="shared" si="350"/>
        <v>0</v>
      </c>
      <c r="L232" s="85">
        <f t="shared" si="351"/>
        <v>0</v>
      </c>
      <c r="M232" s="86">
        <f t="shared" si="352"/>
        <v>0</v>
      </c>
      <c r="N232" s="87">
        <f t="shared" si="353"/>
        <v>0</v>
      </c>
      <c r="O232" s="87">
        <f t="shared" si="354"/>
        <v>0</v>
      </c>
      <c r="P232" s="87">
        <f t="shared" si="355"/>
        <v>0</v>
      </c>
      <c r="Q232" s="87">
        <f t="shared" si="356"/>
        <v>0</v>
      </c>
      <c r="R232" s="87">
        <f t="shared" si="357"/>
        <v>0</v>
      </c>
      <c r="S232" s="87">
        <f t="shared" si="358"/>
        <v>378.9</v>
      </c>
      <c r="T232" s="87">
        <f t="shared" si="359"/>
        <v>38647.799999999996</v>
      </c>
      <c r="U232" s="87">
        <f t="shared" si="360"/>
        <v>78874.349999999991</v>
      </c>
      <c r="V232" s="87">
        <f t="shared" si="361"/>
        <v>71991</v>
      </c>
      <c r="W232" s="87">
        <f t="shared" si="362"/>
        <v>64476.15</v>
      </c>
      <c r="X232" s="87">
        <f t="shared" si="363"/>
        <v>128826</v>
      </c>
      <c r="Y232" s="86">
        <f t="shared" si="364"/>
        <v>85757.7</v>
      </c>
      <c r="Z232" s="87">
        <f t="shared" si="365"/>
        <v>46541.549999999996</v>
      </c>
      <c r="AA232" s="87">
        <f t="shared" si="366"/>
        <v>32648.55</v>
      </c>
      <c r="AB232" s="87">
        <f t="shared" si="367"/>
        <v>49130.7</v>
      </c>
      <c r="AC232" s="87">
        <f t="shared" si="368"/>
        <v>54245.85</v>
      </c>
      <c r="AD232" s="87">
        <f t="shared" si="369"/>
        <v>36184.949999999997</v>
      </c>
      <c r="AE232" s="87">
        <f t="shared" si="370"/>
        <v>88788.9</v>
      </c>
      <c r="AF232" s="231">
        <f t="shared" si="371"/>
        <v>71738.399999999994</v>
      </c>
      <c r="AG232" s="87">
        <f t="shared" si="372"/>
        <v>42499.95</v>
      </c>
      <c r="AH232" s="87">
        <f t="shared" si="407"/>
        <v>33658.949999999997</v>
      </c>
      <c r="AI232" s="87">
        <f t="shared" si="408"/>
        <v>46008.283333333333</v>
      </c>
      <c r="AJ232" s="87">
        <f t="shared" si="409"/>
        <v>0</v>
      </c>
      <c r="AK232" s="86">
        <f t="shared" si="410"/>
        <v>0</v>
      </c>
      <c r="AL232" s="85">
        <v>0</v>
      </c>
      <c r="AM232" s="85">
        <v>0</v>
      </c>
      <c r="AN232" s="85">
        <v>0</v>
      </c>
      <c r="AO232" s="85">
        <v>0</v>
      </c>
      <c r="AP232" s="85">
        <v>0</v>
      </c>
      <c r="AQ232" s="86">
        <v>0</v>
      </c>
      <c r="AR232" s="87">
        <v>0</v>
      </c>
      <c r="AS232" s="87">
        <v>0</v>
      </c>
      <c r="AT232" s="87">
        <v>0</v>
      </c>
      <c r="AU232" s="87">
        <v>0</v>
      </c>
      <c r="AV232" s="87">
        <v>0</v>
      </c>
      <c r="AW232" s="87">
        <v>0</v>
      </c>
      <c r="AX232" s="87">
        <v>599</v>
      </c>
      <c r="AY232" s="87">
        <v>1206</v>
      </c>
      <c r="AZ232" s="87">
        <v>1112</v>
      </c>
      <c r="BA232" s="87">
        <v>1007</v>
      </c>
      <c r="BB232" s="87">
        <v>1340</v>
      </c>
      <c r="BC232" s="86">
        <v>1123</v>
      </c>
      <c r="BD232" s="87">
        <v>707</v>
      </c>
      <c r="BE232" s="87">
        <v>493</v>
      </c>
      <c r="BF232" s="87">
        <v>714</v>
      </c>
      <c r="BG232" s="87">
        <v>832</v>
      </c>
      <c r="BH232" s="87">
        <v>551</v>
      </c>
      <c r="BI232" s="87">
        <v>1232</v>
      </c>
      <c r="BJ232" s="40">
        <v>1088</v>
      </c>
      <c r="BK232" s="40">
        <v>667</v>
      </c>
      <c r="BL232" s="40">
        <v>527</v>
      </c>
      <c r="BM232" s="40">
        <v>684</v>
      </c>
      <c r="BN232" s="87"/>
      <c r="BO232" s="86"/>
      <c r="BP232" s="21">
        <v>0</v>
      </c>
      <c r="BQ232" s="21">
        <v>0</v>
      </c>
      <c r="BR232" s="21">
        <v>0</v>
      </c>
      <c r="BS232" s="21">
        <v>0</v>
      </c>
      <c r="BT232" s="21">
        <v>0</v>
      </c>
      <c r="BU232" s="42">
        <v>0</v>
      </c>
      <c r="BV232" s="21">
        <v>0</v>
      </c>
      <c r="BW232" s="21">
        <v>0</v>
      </c>
      <c r="BX232" s="21">
        <v>0</v>
      </c>
      <c r="BY232" s="21">
        <v>0</v>
      </c>
      <c r="BZ232" s="21">
        <v>0</v>
      </c>
      <c r="CA232" s="21">
        <v>6</v>
      </c>
      <c r="CB232" s="21">
        <v>13</v>
      </c>
      <c r="CC232" s="21">
        <v>43</v>
      </c>
      <c r="CD232" s="21">
        <v>28</v>
      </c>
      <c r="CE232" s="21">
        <v>14</v>
      </c>
      <c r="CF232" s="21">
        <v>700</v>
      </c>
      <c r="CG232" s="42">
        <v>235</v>
      </c>
      <c r="CH232" s="21">
        <v>30</v>
      </c>
      <c r="CI232" s="21">
        <v>24</v>
      </c>
      <c r="CJ232" s="21">
        <v>64</v>
      </c>
      <c r="CK232" s="21">
        <v>27</v>
      </c>
      <c r="CL232" s="21">
        <v>22</v>
      </c>
      <c r="CM232" s="21">
        <v>174</v>
      </c>
      <c r="CN232" s="21">
        <v>48</v>
      </c>
      <c r="CO232" s="21">
        <v>6</v>
      </c>
      <c r="CP232" s="21">
        <f t="shared" si="377"/>
        <v>6</v>
      </c>
      <c r="CQ232" s="344">
        <f t="shared" si="378"/>
        <v>44.555555555555557</v>
      </c>
      <c r="CR232" s="87"/>
      <c r="CS232" s="86"/>
      <c r="CT232" s="85">
        <f t="shared" si="411"/>
        <v>0</v>
      </c>
      <c r="CU232" s="85">
        <f t="shared" si="412"/>
        <v>0</v>
      </c>
      <c r="CV232" s="85">
        <f t="shared" si="413"/>
        <v>0</v>
      </c>
      <c r="CW232" s="85">
        <f t="shared" si="414"/>
        <v>0</v>
      </c>
      <c r="CX232" s="85">
        <f t="shared" si="415"/>
        <v>0</v>
      </c>
      <c r="CY232" s="86">
        <f t="shared" si="416"/>
        <v>0</v>
      </c>
      <c r="CZ232" s="87">
        <f t="shared" si="417"/>
        <v>0</v>
      </c>
      <c r="DA232" s="87">
        <f t="shared" si="418"/>
        <v>0</v>
      </c>
      <c r="DB232" s="87">
        <f t="shared" si="419"/>
        <v>0</v>
      </c>
      <c r="DC232" s="87">
        <f t="shared" si="420"/>
        <v>0</v>
      </c>
      <c r="DD232" s="87">
        <f t="shared" si="421"/>
        <v>0</v>
      </c>
      <c r="DE232" s="87">
        <f t="shared" si="422"/>
        <v>6</v>
      </c>
      <c r="DF232" s="87">
        <f t="shared" si="423"/>
        <v>612</v>
      </c>
      <c r="DG232" s="87">
        <f t="shared" si="424"/>
        <v>1249</v>
      </c>
      <c r="DH232" s="87">
        <f t="shared" si="425"/>
        <v>1140</v>
      </c>
      <c r="DI232" s="87">
        <f t="shared" si="426"/>
        <v>1021</v>
      </c>
      <c r="DJ232" s="87">
        <f t="shared" si="427"/>
        <v>2040</v>
      </c>
      <c r="DK232" s="86">
        <f t="shared" si="428"/>
        <v>1358</v>
      </c>
      <c r="DL232" s="87">
        <f t="shared" si="429"/>
        <v>737</v>
      </c>
      <c r="DM232" s="87">
        <f t="shared" si="430"/>
        <v>517</v>
      </c>
      <c r="DN232" s="87">
        <f t="shared" si="431"/>
        <v>778</v>
      </c>
      <c r="DO232" s="87">
        <f t="shared" si="432"/>
        <v>859</v>
      </c>
      <c r="DP232" s="87">
        <f t="shared" si="433"/>
        <v>573</v>
      </c>
      <c r="DQ232" s="87">
        <f t="shared" si="434"/>
        <v>1406</v>
      </c>
      <c r="DR232" s="87">
        <f t="shared" si="439"/>
        <v>1136</v>
      </c>
      <c r="DS232" s="87">
        <f t="shared" si="341"/>
        <v>673</v>
      </c>
      <c r="DT232" s="87">
        <f t="shared" si="435"/>
        <v>533</v>
      </c>
      <c r="DU232" s="87">
        <f t="shared" si="436"/>
        <v>728.55555555555554</v>
      </c>
      <c r="DV232" s="87">
        <f t="shared" si="437"/>
        <v>0</v>
      </c>
      <c r="DW232" s="87">
        <f t="shared" si="438"/>
        <v>0</v>
      </c>
    </row>
    <row r="233" spans="1:127">
      <c r="A233" s="22" t="s">
        <v>126</v>
      </c>
      <c r="B233" s="26">
        <v>6903148357033</v>
      </c>
      <c r="C233" s="22" t="s">
        <v>127</v>
      </c>
      <c r="D233" s="22" t="s">
        <v>124</v>
      </c>
      <c r="E233" s="22">
        <v>258006</v>
      </c>
      <c r="F233" s="80" t="s">
        <v>325</v>
      </c>
      <c r="G233" s="25">
        <v>63.15</v>
      </c>
      <c r="H233" s="85">
        <f t="shared" si="347"/>
        <v>0</v>
      </c>
      <c r="I233" s="85">
        <f t="shared" si="348"/>
        <v>0</v>
      </c>
      <c r="J233" s="85">
        <f t="shared" si="349"/>
        <v>0</v>
      </c>
      <c r="K233" s="85">
        <f t="shared" si="350"/>
        <v>0</v>
      </c>
      <c r="L233" s="85">
        <f t="shared" si="351"/>
        <v>0</v>
      </c>
      <c r="M233" s="86">
        <f t="shared" si="352"/>
        <v>0</v>
      </c>
      <c r="N233" s="87">
        <f t="shared" si="353"/>
        <v>0</v>
      </c>
      <c r="O233" s="87">
        <f t="shared" si="354"/>
        <v>0</v>
      </c>
      <c r="P233" s="87">
        <f t="shared" si="355"/>
        <v>0</v>
      </c>
      <c r="Q233" s="87">
        <f t="shared" si="356"/>
        <v>0</v>
      </c>
      <c r="R233" s="87">
        <f t="shared" si="357"/>
        <v>0</v>
      </c>
      <c r="S233" s="87">
        <f t="shared" si="358"/>
        <v>189.45</v>
      </c>
      <c r="T233" s="87">
        <f t="shared" si="359"/>
        <v>40984.35</v>
      </c>
      <c r="U233" s="87">
        <f t="shared" si="360"/>
        <v>86136.599999999991</v>
      </c>
      <c r="V233" s="87">
        <f t="shared" si="361"/>
        <v>87020.7</v>
      </c>
      <c r="W233" s="87">
        <f t="shared" si="362"/>
        <v>73885.5</v>
      </c>
      <c r="X233" s="87">
        <f t="shared" si="363"/>
        <v>119100.9</v>
      </c>
      <c r="Y233" s="86">
        <f t="shared" si="364"/>
        <v>91125.45</v>
      </c>
      <c r="Z233" s="87">
        <f t="shared" si="365"/>
        <v>53930.1</v>
      </c>
      <c r="AA233" s="87">
        <f t="shared" si="366"/>
        <v>34543.049999999996</v>
      </c>
      <c r="AB233" s="87">
        <f t="shared" si="367"/>
        <v>44773.35</v>
      </c>
      <c r="AC233" s="87">
        <f t="shared" si="368"/>
        <v>49130.7</v>
      </c>
      <c r="AD233" s="87">
        <f t="shared" si="369"/>
        <v>37511.1</v>
      </c>
      <c r="AE233" s="87">
        <f t="shared" si="370"/>
        <v>83926.349999999991</v>
      </c>
      <c r="AF233" s="231">
        <f t="shared" si="371"/>
        <v>65676</v>
      </c>
      <c r="AG233" s="87">
        <f t="shared" si="372"/>
        <v>37763.699999999997</v>
      </c>
      <c r="AH233" s="87">
        <f t="shared" si="407"/>
        <v>31132.95</v>
      </c>
      <c r="AI233" s="87">
        <f t="shared" si="408"/>
        <v>40135.333333333328</v>
      </c>
      <c r="AJ233" s="87">
        <f t="shared" si="409"/>
        <v>0</v>
      </c>
      <c r="AK233" s="86">
        <f t="shared" si="410"/>
        <v>0</v>
      </c>
      <c r="AL233" s="85">
        <v>0</v>
      </c>
      <c r="AM233" s="85">
        <v>0</v>
      </c>
      <c r="AN233" s="85">
        <v>0</v>
      </c>
      <c r="AO233" s="85">
        <v>0</v>
      </c>
      <c r="AP233" s="85">
        <v>0</v>
      </c>
      <c r="AQ233" s="86">
        <v>0</v>
      </c>
      <c r="AR233" s="87">
        <v>0</v>
      </c>
      <c r="AS233" s="87">
        <v>0</v>
      </c>
      <c r="AT233" s="87">
        <v>0</v>
      </c>
      <c r="AU233" s="87">
        <v>0</v>
      </c>
      <c r="AV233" s="87">
        <v>0</v>
      </c>
      <c r="AW233" s="87">
        <v>0</v>
      </c>
      <c r="AX233" s="87">
        <v>640</v>
      </c>
      <c r="AY233" s="87">
        <v>1309</v>
      </c>
      <c r="AZ233" s="87">
        <v>1347</v>
      </c>
      <c r="BA233" s="87">
        <v>1144</v>
      </c>
      <c r="BB233" s="87">
        <v>1582</v>
      </c>
      <c r="BC233" s="86">
        <v>1387</v>
      </c>
      <c r="BD233" s="87">
        <v>846</v>
      </c>
      <c r="BE233" s="87">
        <v>528</v>
      </c>
      <c r="BF233" s="87">
        <v>654</v>
      </c>
      <c r="BG233" s="87">
        <v>770</v>
      </c>
      <c r="BH233" s="87">
        <v>566</v>
      </c>
      <c r="BI233" s="87">
        <v>1144</v>
      </c>
      <c r="BJ233" s="40">
        <v>1013</v>
      </c>
      <c r="BK233" s="40">
        <v>594</v>
      </c>
      <c r="BL233" s="40">
        <v>489</v>
      </c>
      <c r="BM233" s="40">
        <v>598</v>
      </c>
      <c r="BN233" s="87"/>
      <c r="BO233" s="86"/>
      <c r="BP233" s="21">
        <v>0</v>
      </c>
      <c r="BQ233" s="21">
        <v>0</v>
      </c>
      <c r="BR233" s="21">
        <v>0</v>
      </c>
      <c r="BS233" s="21">
        <v>0</v>
      </c>
      <c r="BT233" s="21">
        <v>0</v>
      </c>
      <c r="BU233" s="42">
        <v>0</v>
      </c>
      <c r="BV233" s="21">
        <v>0</v>
      </c>
      <c r="BW233" s="21">
        <v>0</v>
      </c>
      <c r="BX233" s="21">
        <v>0</v>
      </c>
      <c r="BY233" s="21">
        <v>0</v>
      </c>
      <c r="BZ233" s="21">
        <v>0</v>
      </c>
      <c r="CA233" s="21">
        <v>3</v>
      </c>
      <c r="CB233" s="21">
        <v>9</v>
      </c>
      <c r="CC233" s="21">
        <v>55</v>
      </c>
      <c r="CD233" s="21">
        <v>31</v>
      </c>
      <c r="CE233" s="21">
        <v>26</v>
      </c>
      <c r="CF233" s="21">
        <v>304</v>
      </c>
      <c r="CG233" s="42">
        <v>56</v>
      </c>
      <c r="CH233" s="21">
        <v>8</v>
      </c>
      <c r="CI233" s="21">
        <v>19</v>
      </c>
      <c r="CJ233" s="21">
        <v>55</v>
      </c>
      <c r="CK233" s="21">
        <v>8</v>
      </c>
      <c r="CL233" s="21">
        <v>28</v>
      </c>
      <c r="CM233" s="21">
        <v>185</v>
      </c>
      <c r="CN233" s="21">
        <v>27</v>
      </c>
      <c r="CO233" s="21">
        <v>4</v>
      </c>
      <c r="CP233" s="21">
        <f t="shared" si="377"/>
        <v>4</v>
      </c>
      <c r="CQ233" s="344">
        <f t="shared" si="378"/>
        <v>37.555555555555557</v>
      </c>
      <c r="CR233" s="87"/>
      <c r="CS233" s="86"/>
      <c r="CT233" s="85">
        <f t="shared" si="411"/>
        <v>0</v>
      </c>
      <c r="CU233" s="85">
        <f t="shared" si="412"/>
        <v>0</v>
      </c>
      <c r="CV233" s="85">
        <f t="shared" si="413"/>
        <v>0</v>
      </c>
      <c r="CW233" s="85">
        <f t="shared" si="414"/>
        <v>0</v>
      </c>
      <c r="CX233" s="85">
        <f t="shared" si="415"/>
        <v>0</v>
      </c>
      <c r="CY233" s="86">
        <f t="shared" si="416"/>
        <v>0</v>
      </c>
      <c r="CZ233" s="87">
        <f t="shared" si="417"/>
        <v>0</v>
      </c>
      <c r="DA233" s="87">
        <f t="shared" si="418"/>
        <v>0</v>
      </c>
      <c r="DB233" s="87">
        <f t="shared" si="419"/>
        <v>0</v>
      </c>
      <c r="DC233" s="87">
        <f t="shared" si="420"/>
        <v>0</v>
      </c>
      <c r="DD233" s="87">
        <f t="shared" si="421"/>
        <v>0</v>
      </c>
      <c r="DE233" s="87">
        <f t="shared" si="422"/>
        <v>3</v>
      </c>
      <c r="DF233" s="87">
        <f t="shared" si="423"/>
        <v>649</v>
      </c>
      <c r="DG233" s="87">
        <f t="shared" si="424"/>
        <v>1364</v>
      </c>
      <c r="DH233" s="87">
        <f t="shared" si="425"/>
        <v>1378</v>
      </c>
      <c r="DI233" s="87">
        <f t="shared" si="426"/>
        <v>1170</v>
      </c>
      <c r="DJ233" s="87">
        <f t="shared" si="427"/>
        <v>1886</v>
      </c>
      <c r="DK233" s="86">
        <f t="shared" si="428"/>
        <v>1443</v>
      </c>
      <c r="DL233" s="87">
        <f t="shared" si="429"/>
        <v>854</v>
      </c>
      <c r="DM233" s="87">
        <f t="shared" si="430"/>
        <v>547</v>
      </c>
      <c r="DN233" s="87">
        <f t="shared" si="431"/>
        <v>709</v>
      </c>
      <c r="DO233" s="87">
        <f t="shared" si="432"/>
        <v>778</v>
      </c>
      <c r="DP233" s="87">
        <f t="shared" si="433"/>
        <v>594</v>
      </c>
      <c r="DQ233" s="87">
        <f t="shared" si="434"/>
        <v>1329</v>
      </c>
      <c r="DR233" s="87">
        <f t="shared" si="439"/>
        <v>1040</v>
      </c>
      <c r="DS233" s="87">
        <f t="shared" si="341"/>
        <v>598</v>
      </c>
      <c r="DT233" s="87">
        <f t="shared" si="435"/>
        <v>493</v>
      </c>
      <c r="DU233" s="87">
        <f t="shared" si="436"/>
        <v>635.55555555555554</v>
      </c>
      <c r="DV233" s="87">
        <f t="shared" si="437"/>
        <v>0</v>
      </c>
      <c r="DW233" s="87">
        <f t="shared" si="438"/>
        <v>0</v>
      </c>
    </row>
    <row r="234" spans="1:127">
      <c r="A234" s="22" t="s">
        <v>126</v>
      </c>
      <c r="B234" s="26">
        <v>6903148300770</v>
      </c>
      <c r="C234" s="22" t="s">
        <v>127</v>
      </c>
      <c r="D234" s="22" t="s">
        <v>124</v>
      </c>
      <c r="E234" s="22">
        <v>258036</v>
      </c>
      <c r="F234" s="80" t="s">
        <v>326</v>
      </c>
      <c r="G234" s="25">
        <v>51.75</v>
      </c>
      <c r="H234" s="85">
        <f t="shared" si="347"/>
        <v>0</v>
      </c>
      <c r="I234" s="85">
        <f t="shared" si="348"/>
        <v>0</v>
      </c>
      <c r="J234" s="85">
        <f t="shared" si="349"/>
        <v>0</v>
      </c>
      <c r="K234" s="85">
        <f t="shared" si="350"/>
        <v>0</v>
      </c>
      <c r="L234" s="85">
        <f t="shared" si="351"/>
        <v>0</v>
      </c>
      <c r="M234" s="86">
        <f t="shared" si="352"/>
        <v>0</v>
      </c>
      <c r="N234" s="87">
        <f t="shared" si="353"/>
        <v>0</v>
      </c>
      <c r="O234" s="87">
        <f t="shared" si="354"/>
        <v>0</v>
      </c>
      <c r="P234" s="87">
        <f t="shared" si="355"/>
        <v>0</v>
      </c>
      <c r="Q234" s="87">
        <f t="shared" si="356"/>
        <v>0</v>
      </c>
      <c r="R234" s="87">
        <f t="shared" si="357"/>
        <v>0</v>
      </c>
      <c r="S234" s="87">
        <f t="shared" si="358"/>
        <v>517.5</v>
      </c>
      <c r="T234" s="87">
        <f t="shared" si="359"/>
        <v>34724.25</v>
      </c>
      <c r="U234" s="87">
        <f t="shared" si="360"/>
        <v>82023.75</v>
      </c>
      <c r="V234" s="87">
        <f t="shared" si="361"/>
        <v>62203.5</v>
      </c>
      <c r="W234" s="87">
        <f t="shared" si="362"/>
        <v>61634.25</v>
      </c>
      <c r="X234" s="87">
        <f t="shared" si="363"/>
        <v>73795.5</v>
      </c>
      <c r="Y234" s="86">
        <f t="shared" si="364"/>
        <v>44505</v>
      </c>
      <c r="Z234" s="87">
        <f t="shared" si="365"/>
        <v>48438</v>
      </c>
      <c r="AA234" s="87">
        <f t="shared" si="366"/>
        <v>38191.5</v>
      </c>
      <c r="AB234" s="87">
        <f t="shared" si="367"/>
        <v>37208.25</v>
      </c>
      <c r="AC234" s="87">
        <f t="shared" si="368"/>
        <v>42021</v>
      </c>
      <c r="AD234" s="87">
        <f t="shared" si="369"/>
        <v>36432</v>
      </c>
      <c r="AE234" s="87">
        <f t="shared" si="370"/>
        <v>61272</v>
      </c>
      <c r="AF234" s="231">
        <f t="shared" si="371"/>
        <v>61427.25</v>
      </c>
      <c r="AG234" s="87">
        <f t="shared" si="372"/>
        <v>63497.25</v>
      </c>
      <c r="AH234" s="87">
        <f t="shared" si="407"/>
        <v>53820</v>
      </c>
      <c r="AI234" s="87">
        <f t="shared" si="408"/>
        <v>68833.25</v>
      </c>
      <c r="AJ234" s="87">
        <f t="shared" si="409"/>
        <v>0</v>
      </c>
      <c r="AK234" s="86">
        <f t="shared" si="410"/>
        <v>0</v>
      </c>
      <c r="AL234" s="85">
        <v>0</v>
      </c>
      <c r="AM234" s="85">
        <v>0</v>
      </c>
      <c r="AN234" s="85">
        <v>0</v>
      </c>
      <c r="AO234" s="85">
        <v>0</v>
      </c>
      <c r="AP234" s="85">
        <v>0</v>
      </c>
      <c r="AQ234" s="86">
        <v>0</v>
      </c>
      <c r="AR234" s="87">
        <v>0</v>
      </c>
      <c r="AS234" s="87">
        <v>0</v>
      </c>
      <c r="AT234" s="87">
        <v>0</v>
      </c>
      <c r="AU234" s="87">
        <v>0</v>
      </c>
      <c r="AV234" s="87">
        <v>0</v>
      </c>
      <c r="AW234" s="87">
        <v>0</v>
      </c>
      <c r="AX234" s="87">
        <v>602</v>
      </c>
      <c r="AY234" s="87">
        <v>1378</v>
      </c>
      <c r="AZ234" s="87">
        <v>1094</v>
      </c>
      <c r="BA234" s="87">
        <v>1106</v>
      </c>
      <c r="BB234" s="87">
        <v>1206</v>
      </c>
      <c r="BC234" s="86">
        <v>751</v>
      </c>
      <c r="BD234" s="87">
        <v>793</v>
      </c>
      <c r="BE234" s="87">
        <v>596</v>
      </c>
      <c r="BF234" s="87">
        <v>628</v>
      </c>
      <c r="BG234" s="87">
        <v>696</v>
      </c>
      <c r="BH234" s="87">
        <v>578</v>
      </c>
      <c r="BI234" s="87">
        <v>955</v>
      </c>
      <c r="BJ234" s="40">
        <v>986</v>
      </c>
      <c r="BK234" s="40">
        <v>1143</v>
      </c>
      <c r="BL234" s="40">
        <v>956</v>
      </c>
      <c r="BM234" s="40">
        <v>1195</v>
      </c>
      <c r="BN234" s="87"/>
      <c r="BO234" s="86"/>
      <c r="BP234" s="21">
        <v>0</v>
      </c>
      <c r="BQ234" s="21">
        <v>0</v>
      </c>
      <c r="BR234" s="21">
        <v>0</v>
      </c>
      <c r="BS234" s="21">
        <v>0</v>
      </c>
      <c r="BT234" s="21">
        <v>0</v>
      </c>
      <c r="BU234" s="42">
        <v>0</v>
      </c>
      <c r="BV234" s="21">
        <v>0</v>
      </c>
      <c r="BW234" s="21">
        <v>0</v>
      </c>
      <c r="BX234" s="21">
        <v>0</v>
      </c>
      <c r="BY234" s="21">
        <v>0</v>
      </c>
      <c r="BZ234" s="21">
        <v>0</v>
      </c>
      <c r="CA234" s="21">
        <v>10</v>
      </c>
      <c r="CB234" s="21">
        <v>69</v>
      </c>
      <c r="CC234" s="21">
        <v>207</v>
      </c>
      <c r="CD234" s="21">
        <v>108</v>
      </c>
      <c r="CE234" s="21">
        <v>85</v>
      </c>
      <c r="CF234" s="21">
        <v>220</v>
      </c>
      <c r="CG234" s="42">
        <v>109</v>
      </c>
      <c r="CH234" s="21">
        <v>143</v>
      </c>
      <c r="CI234" s="21">
        <v>142</v>
      </c>
      <c r="CJ234" s="21">
        <v>91</v>
      </c>
      <c r="CK234" s="21">
        <v>116</v>
      </c>
      <c r="CL234" s="21">
        <v>126</v>
      </c>
      <c r="CM234" s="21">
        <v>229</v>
      </c>
      <c r="CN234" s="21">
        <v>201</v>
      </c>
      <c r="CO234" s="21">
        <v>84</v>
      </c>
      <c r="CP234" s="21">
        <f t="shared" si="377"/>
        <v>84</v>
      </c>
      <c r="CQ234" s="344">
        <f t="shared" si="378"/>
        <v>135.11111111111111</v>
      </c>
      <c r="CR234" s="87"/>
      <c r="CS234" s="86"/>
      <c r="CT234" s="85">
        <f t="shared" si="411"/>
        <v>0</v>
      </c>
      <c r="CU234" s="85">
        <f t="shared" si="412"/>
        <v>0</v>
      </c>
      <c r="CV234" s="85">
        <f t="shared" si="413"/>
        <v>0</v>
      </c>
      <c r="CW234" s="85">
        <f t="shared" si="414"/>
        <v>0</v>
      </c>
      <c r="CX234" s="85">
        <f t="shared" si="415"/>
        <v>0</v>
      </c>
      <c r="CY234" s="86">
        <f t="shared" si="416"/>
        <v>0</v>
      </c>
      <c r="CZ234" s="87">
        <f t="shared" si="417"/>
        <v>0</v>
      </c>
      <c r="DA234" s="87">
        <f t="shared" si="418"/>
        <v>0</v>
      </c>
      <c r="DB234" s="87">
        <f t="shared" si="419"/>
        <v>0</v>
      </c>
      <c r="DC234" s="87">
        <f t="shared" si="420"/>
        <v>0</v>
      </c>
      <c r="DD234" s="87">
        <f t="shared" si="421"/>
        <v>0</v>
      </c>
      <c r="DE234" s="87">
        <f t="shared" si="422"/>
        <v>10</v>
      </c>
      <c r="DF234" s="87">
        <f t="shared" si="423"/>
        <v>671</v>
      </c>
      <c r="DG234" s="87">
        <f t="shared" si="424"/>
        <v>1585</v>
      </c>
      <c r="DH234" s="87">
        <f t="shared" si="425"/>
        <v>1202</v>
      </c>
      <c r="DI234" s="87">
        <f t="shared" si="426"/>
        <v>1191</v>
      </c>
      <c r="DJ234" s="87">
        <f t="shared" si="427"/>
        <v>1426</v>
      </c>
      <c r="DK234" s="86">
        <f t="shared" si="428"/>
        <v>860</v>
      </c>
      <c r="DL234" s="87">
        <f t="shared" si="429"/>
        <v>936</v>
      </c>
      <c r="DM234" s="87">
        <f t="shared" si="430"/>
        <v>738</v>
      </c>
      <c r="DN234" s="87">
        <f t="shared" si="431"/>
        <v>719</v>
      </c>
      <c r="DO234" s="87">
        <f t="shared" si="432"/>
        <v>812</v>
      </c>
      <c r="DP234" s="87">
        <f t="shared" si="433"/>
        <v>704</v>
      </c>
      <c r="DQ234" s="87">
        <f t="shared" si="434"/>
        <v>1184</v>
      </c>
      <c r="DR234" s="87">
        <f t="shared" si="439"/>
        <v>1187</v>
      </c>
      <c r="DS234" s="87">
        <f t="shared" si="341"/>
        <v>1227</v>
      </c>
      <c r="DT234" s="87">
        <f t="shared" si="435"/>
        <v>1040</v>
      </c>
      <c r="DU234" s="87">
        <f t="shared" si="436"/>
        <v>1330.1111111111111</v>
      </c>
      <c r="DV234" s="87">
        <f t="shared" si="437"/>
        <v>0</v>
      </c>
      <c r="DW234" s="87">
        <f t="shared" si="438"/>
        <v>0</v>
      </c>
    </row>
    <row r="235" spans="1:127">
      <c r="A235" s="22" t="s">
        <v>126</v>
      </c>
      <c r="B235" s="26">
        <v>4987176301024</v>
      </c>
      <c r="C235" s="22" t="s">
        <v>127</v>
      </c>
      <c r="D235" s="22" t="s">
        <v>124</v>
      </c>
      <c r="E235" s="22">
        <v>258046</v>
      </c>
      <c r="F235" s="80" t="s">
        <v>327</v>
      </c>
      <c r="G235" s="25">
        <v>114.77</v>
      </c>
      <c r="H235" s="85">
        <f t="shared" si="347"/>
        <v>0</v>
      </c>
      <c r="I235" s="85">
        <f t="shared" si="348"/>
        <v>0</v>
      </c>
      <c r="J235" s="85">
        <f t="shared" si="349"/>
        <v>0</v>
      </c>
      <c r="K235" s="85">
        <f t="shared" si="350"/>
        <v>0</v>
      </c>
      <c r="L235" s="85">
        <f t="shared" si="351"/>
        <v>0</v>
      </c>
      <c r="M235" s="86">
        <f t="shared" si="352"/>
        <v>0</v>
      </c>
      <c r="N235" s="87">
        <f t="shared" si="353"/>
        <v>0</v>
      </c>
      <c r="O235" s="87">
        <f t="shared" si="354"/>
        <v>0</v>
      </c>
      <c r="P235" s="87">
        <f t="shared" si="355"/>
        <v>0</v>
      </c>
      <c r="Q235" s="87">
        <f t="shared" si="356"/>
        <v>0</v>
      </c>
      <c r="R235" s="87">
        <f t="shared" si="357"/>
        <v>0</v>
      </c>
      <c r="S235" s="87">
        <f t="shared" si="358"/>
        <v>803.39</v>
      </c>
      <c r="T235" s="87">
        <f t="shared" si="359"/>
        <v>14346.25</v>
      </c>
      <c r="U235" s="87">
        <f t="shared" si="360"/>
        <v>14231.48</v>
      </c>
      <c r="V235" s="87">
        <f t="shared" si="361"/>
        <v>11591.77</v>
      </c>
      <c r="W235" s="87">
        <f t="shared" si="362"/>
        <v>7574.82</v>
      </c>
      <c r="X235" s="87">
        <f t="shared" si="363"/>
        <v>6886.2</v>
      </c>
      <c r="Y235" s="86">
        <f t="shared" si="364"/>
        <v>9181.6</v>
      </c>
      <c r="Z235" s="87">
        <f t="shared" si="365"/>
        <v>11821.31</v>
      </c>
      <c r="AA235" s="87">
        <f t="shared" si="366"/>
        <v>13657.63</v>
      </c>
      <c r="AB235" s="87">
        <f t="shared" si="367"/>
        <v>13657.63</v>
      </c>
      <c r="AC235" s="87">
        <f t="shared" si="368"/>
        <v>14116.71</v>
      </c>
      <c r="AD235" s="87">
        <f t="shared" si="369"/>
        <v>15953.029999999999</v>
      </c>
      <c r="AE235" s="87">
        <f t="shared" si="370"/>
        <v>16526.88</v>
      </c>
      <c r="AF235" s="231">
        <f t="shared" si="371"/>
        <v>12050.85</v>
      </c>
      <c r="AG235" s="87">
        <f t="shared" si="372"/>
        <v>15264.41</v>
      </c>
      <c r="AH235" s="87">
        <f t="shared" si="407"/>
        <v>13657.63</v>
      </c>
      <c r="AI235" s="87">
        <f t="shared" si="408"/>
        <v>14282.488888888889</v>
      </c>
      <c r="AJ235" s="87">
        <f t="shared" si="409"/>
        <v>0</v>
      </c>
      <c r="AK235" s="86">
        <f t="shared" si="410"/>
        <v>0</v>
      </c>
      <c r="AL235" s="85">
        <v>0</v>
      </c>
      <c r="AM235" s="85">
        <v>0</v>
      </c>
      <c r="AN235" s="85">
        <v>0</v>
      </c>
      <c r="AO235" s="85">
        <v>0</v>
      </c>
      <c r="AP235" s="85">
        <v>0</v>
      </c>
      <c r="AQ235" s="86">
        <v>0</v>
      </c>
      <c r="AR235" s="87">
        <v>0</v>
      </c>
      <c r="AS235" s="87">
        <v>0</v>
      </c>
      <c r="AT235" s="87">
        <v>0</v>
      </c>
      <c r="AU235" s="87">
        <v>0</v>
      </c>
      <c r="AV235" s="87">
        <v>0</v>
      </c>
      <c r="AW235" s="87">
        <v>0</v>
      </c>
      <c r="AX235" s="87">
        <v>59</v>
      </c>
      <c r="AY235" s="87">
        <v>61</v>
      </c>
      <c r="AZ235" s="87">
        <v>52</v>
      </c>
      <c r="BA235" s="87">
        <v>56</v>
      </c>
      <c r="BB235" s="87">
        <v>35</v>
      </c>
      <c r="BC235" s="86">
        <v>49</v>
      </c>
      <c r="BD235" s="87">
        <v>89</v>
      </c>
      <c r="BE235" s="87">
        <v>93</v>
      </c>
      <c r="BF235" s="87">
        <v>104</v>
      </c>
      <c r="BG235" s="87">
        <v>70</v>
      </c>
      <c r="BH235" s="87">
        <v>96</v>
      </c>
      <c r="BI235" s="87">
        <v>124</v>
      </c>
      <c r="BJ235" s="40">
        <v>81</v>
      </c>
      <c r="BK235" s="40">
        <v>107</v>
      </c>
      <c r="BL235" s="40">
        <v>93</v>
      </c>
      <c r="BM235" s="40">
        <v>97</v>
      </c>
      <c r="BN235" s="87"/>
      <c r="BO235" s="86"/>
      <c r="BP235" s="21">
        <v>0</v>
      </c>
      <c r="BQ235" s="21">
        <v>0</v>
      </c>
      <c r="BR235" s="21">
        <v>0</v>
      </c>
      <c r="BS235" s="21">
        <v>0</v>
      </c>
      <c r="BT235" s="21">
        <v>0</v>
      </c>
      <c r="BU235" s="42">
        <v>0</v>
      </c>
      <c r="BV235" s="21">
        <v>0</v>
      </c>
      <c r="BW235" s="21">
        <v>0</v>
      </c>
      <c r="BX235" s="21">
        <v>0</v>
      </c>
      <c r="BY235" s="21">
        <v>0</v>
      </c>
      <c r="BZ235" s="21">
        <v>0</v>
      </c>
      <c r="CA235" s="21">
        <v>7</v>
      </c>
      <c r="CB235" s="21">
        <v>66</v>
      </c>
      <c r="CC235" s="21">
        <v>63</v>
      </c>
      <c r="CD235" s="21">
        <v>49</v>
      </c>
      <c r="CE235" s="21">
        <v>10</v>
      </c>
      <c r="CF235" s="21">
        <v>25</v>
      </c>
      <c r="CG235" s="42">
        <v>31</v>
      </c>
      <c r="CH235" s="21">
        <v>14</v>
      </c>
      <c r="CI235" s="21">
        <v>26</v>
      </c>
      <c r="CJ235" s="21">
        <v>15</v>
      </c>
      <c r="CK235" s="21">
        <v>53</v>
      </c>
      <c r="CL235" s="21">
        <v>43</v>
      </c>
      <c r="CM235" s="21">
        <v>20</v>
      </c>
      <c r="CN235" s="21">
        <v>24</v>
      </c>
      <c r="CO235" s="21">
        <v>26</v>
      </c>
      <c r="CP235" s="21">
        <f t="shared" si="377"/>
        <v>26</v>
      </c>
      <c r="CQ235" s="344">
        <f t="shared" si="378"/>
        <v>27.444444444444443</v>
      </c>
      <c r="CR235" s="87"/>
      <c r="CS235" s="86"/>
      <c r="CT235" s="85">
        <f t="shared" si="411"/>
        <v>0</v>
      </c>
      <c r="CU235" s="85">
        <f t="shared" si="412"/>
        <v>0</v>
      </c>
      <c r="CV235" s="85">
        <f t="shared" si="413"/>
        <v>0</v>
      </c>
      <c r="CW235" s="85">
        <f t="shared" si="414"/>
        <v>0</v>
      </c>
      <c r="CX235" s="85">
        <f t="shared" si="415"/>
        <v>0</v>
      </c>
      <c r="CY235" s="86">
        <f t="shared" si="416"/>
        <v>0</v>
      </c>
      <c r="CZ235" s="87">
        <f t="shared" si="417"/>
        <v>0</v>
      </c>
      <c r="DA235" s="87">
        <f t="shared" si="418"/>
        <v>0</v>
      </c>
      <c r="DB235" s="87">
        <f t="shared" si="419"/>
        <v>0</v>
      </c>
      <c r="DC235" s="87">
        <f t="shared" si="420"/>
        <v>0</v>
      </c>
      <c r="DD235" s="87">
        <f t="shared" si="421"/>
        <v>0</v>
      </c>
      <c r="DE235" s="87">
        <f t="shared" si="422"/>
        <v>7</v>
      </c>
      <c r="DF235" s="87">
        <f t="shared" si="423"/>
        <v>125</v>
      </c>
      <c r="DG235" s="87">
        <f t="shared" si="424"/>
        <v>124</v>
      </c>
      <c r="DH235" s="87">
        <f t="shared" si="425"/>
        <v>101</v>
      </c>
      <c r="DI235" s="87">
        <f t="shared" si="426"/>
        <v>66</v>
      </c>
      <c r="DJ235" s="87">
        <f t="shared" si="427"/>
        <v>60</v>
      </c>
      <c r="DK235" s="86">
        <f t="shared" si="428"/>
        <v>80</v>
      </c>
      <c r="DL235" s="87">
        <f t="shared" si="429"/>
        <v>103</v>
      </c>
      <c r="DM235" s="87">
        <f t="shared" si="430"/>
        <v>119</v>
      </c>
      <c r="DN235" s="87">
        <f t="shared" si="431"/>
        <v>119</v>
      </c>
      <c r="DO235" s="87">
        <f t="shared" si="432"/>
        <v>123</v>
      </c>
      <c r="DP235" s="87">
        <f t="shared" si="433"/>
        <v>139</v>
      </c>
      <c r="DQ235" s="87">
        <f t="shared" si="434"/>
        <v>144</v>
      </c>
      <c r="DR235" s="87">
        <f t="shared" si="439"/>
        <v>105</v>
      </c>
      <c r="DS235" s="87">
        <f t="shared" ref="DS235:DS298" si="440">BK235+CO235</f>
        <v>133</v>
      </c>
      <c r="DT235" s="87">
        <f t="shared" si="435"/>
        <v>119</v>
      </c>
      <c r="DU235" s="87">
        <f t="shared" si="436"/>
        <v>124.44444444444444</v>
      </c>
      <c r="DV235" s="87">
        <f t="shared" si="437"/>
        <v>0</v>
      </c>
      <c r="DW235" s="87">
        <f t="shared" si="438"/>
        <v>0</v>
      </c>
    </row>
    <row r="236" spans="1:127">
      <c r="A236" s="22" t="s">
        <v>126</v>
      </c>
      <c r="B236" s="26">
        <v>6903148356982</v>
      </c>
      <c r="C236" s="22" t="s">
        <v>127</v>
      </c>
      <c r="D236" s="22" t="s">
        <v>124</v>
      </c>
      <c r="E236" s="22">
        <v>258100</v>
      </c>
      <c r="F236" s="80" t="s">
        <v>328</v>
      </c>
      <c r="G236" s="25">
        <v>63.15</v>
      </c>
      <c r="H236" s="85">
        <f t="shared" si="347"/>
        <v>0</v>
      </c>
      <c r="I236" s="85">
        <f t="shared" si="348"/>
        <v>0</v>
      </c>
      <c r="J236" s="85">
        <f t="shared" si="349"/>
        <v>0</v>
      </c>
      <c r="K236" s="85">
        <f t="shared" si="350"/>
        <v>0</v>
      </c>
      <c r="L236" s="85">
        <f t="shared" si="351"/>
        <v>0</v>
      </c>
      <c r="M236" s="86">
        <f t="shared" si="352"/>
        <v>0</v>
      </c>
      <c r="N236" s="87">
        <f t="shared" si="353"/>
        <v>0</v>
      </c>
      <c r="O236" s="87">
        <f t="shared" si="354"/>
        <v>0</v>
      </c>
      <c r="P236" s="87">
        <f t="shared" si="355"/>
        <v>0</v>
      </c>
      <c r="Q236" s="87">
        <f t="shared" si="356"/>
        <v>0</v>
      </c>
      <c r="R236" s="87">
        <f t="shared" si="357"/>
        <v>0</v>
      </c>
      <c r="S236" s="87">
        <f t="shared" si="358"/>
        <v>189.45</v>
      </c>
      <c r="T236" s="87">
        <f t="shared" si="359"/>
        <v>17303.099999999999</v>
      </c>
      <c r="U236" s="87">
        <f t="shared" si="360"/>
        <v>35869.199999999997</v>
      </c>
      <c r="V236" s="87">
        <f t="shared" si="361"/>
        <v>40731.75</v>
      </c>
      <c r="W236" s="87">
        <f t="shared" si="362"/>
        <v>38395.199999999997</v>
      </c>
      <c r="X236" s="87">
        <f t="shared" si="363"/>
        <v>38584.65</v>
      </c>
      <c r="Y236" s="86">
        <f t="shared" si="364"/>
        <v>27533.399999999998</v>
      </c>
      <c r="Z236" s="87">
        <f t="shared" si="365"/>
        <v>27786</v>
      </c>
      <c r="AA236" s="87">
        <f t="shared" si="366"/>
        <v>20397.45</v>
      </c>
      <c r="AB236" s="87">
        <f t="shared" si="367"/>
        <v>29869.95</v>
      </c>
      <c r="AC236" s="87">
        <f t="shared" si="368"/>
        <v>36500.699999999997</v>
      </c>
      <c r="AD236" s="87">
        <f t="shared" si="369"/>
        <v>24439.05</v>
      </c>
      <c r="AE236" s="87">
        <f t="shared" si="370"/>
        <v>66686.399999999994</v>
      </c>
      <c r="AF236" s="231">
        <f t="shared" si="371"/>
        <v>61129.2</v>
      </c>
      <c r="AG236" s="87">
        <f t="shared" si="372"/>
        <v>29491.05</v>
      </c>
      <c r="AH236" s="87">
        <f t="shared" si="407"/>
        <v>22355.1</v>
      </c>
      <c r="AI236" s="87">
        <f t="shared" si="408"/>
        <v>26754.55</v>
      </c>
      <c r="AJ236" s="87">
        <f t="shared" si="409"/>
        <v>0</v>
      </c>
      <c r="AK236" s="86">
        <f t="shared" si="410"/>
        <v>0</v>
      </c>
      <c r="AL236" s="85">
        <v>0</v>
      </c>
      <c r="AM236" s="85">
        <v>0</v>
      </c>
      <c r="AN236" s="85">
        <v>0</v>
      </c>
      <c r="AO236" s="85">
        <v>0</v>
      </c>
      <c r="AP236" s="85">
        <v>0</v>
      </c>
      <c r="AQ236" s="86">
        <v>0</v>
      </c>
      <c r="AR236" s="87">
        <v>0</v>
      </c>
      <c r="AS236" s="87">
        <v>0</v>
      </c>
      <c r="AT236" s="87">
        <v>0</v>
      </c>
      <c r="AU236" s="87">
        <v>0</v>
      </c>
      <c r="AV236" s="87">
        <v>0</v>
      </c>
      <c r="AW236" s="87">
        <v>0</v>
      </c>
      <c r="AX236" s="87">
        <v>260</v>
      </c>
      <c r="AY236" s="87">
        <v>539</v>
      </c>
      <c r="AZ236" s="87">
        <v>628</v>
      </c>
      <c r="BA236" s="87">
        <v>592</v>
      </c>
      <c r="BB236" s="87">
        <v>441</v>
      </c>
      <c r="BC236" s="86">
        <v>425</v>
      </c>
      <c r="BD236" s="87">
        <v>425</v>
      </c>
      <c r="BE236" s="87">
        <v>312</v>
      </c>
      <c r="BF236" s="87">
        <v>442</v>
      </c>
      <c r="BG236" s="87">
        <v>545</v>
      </c>
      <c r="BH236" s="87">
        <v>343</v>
      </c>
      <c r="BI236" s="87">
        <v>801</v>
      </c>
      <c r="BJ236" s="40">
        <v>896</v>
      </c>
      <c r="BK236" s="40">
        <v>438</v>
      </c>
      <c r="BL236" s="40">
        <v>325</v>
      </c>
      <c r="BM236" s="40">
        <v>366</v>
      </c>
      <c r="BN236" s="87"/>
      <c r="BO236" s="86"/>
      <c r="BP236" s="21">
        <v>0</v>
      </c>
      <c r="BQ236" s="21">
        <v>0</v>
      </c>
      <c r="BR236" s="21">
        <v>0</v>
      </c>
      <c r="BS236" s="21">
        <v>0</v>
      </c>
      <c r="BT236" s="21">
        <v>0</v>
      </c>
      <c r="BU236" s="42">
        <v>0</v>
      </c>
      <c r="BV236" s="21">
        <v>0</v>
      </c>
      <c r="BW236" s="21">
        <v>0</v>
      </c>
      <c r="BX236" s="21">
        <v>0</v>
      </c>
      <c r="BY236" s="21">
        <v>0</v>
      </c>
      <c r="BZ236" s="21">
        <v>0</v>
      </c>
      <c r="CA236" s="21">
        <v>3</v>
      </c>
      <c r="CB236" s="21">
        <v>14</v>
      </c>
      <c r="CC236" s="21">
        <v>29</v>
      </c>
      <c r="CD236" s="21">
        <v>17</v>
      </c>
      <c r="CE236" s="21">
        <v>16</v>
      </c>
      <c r="CF236" s="21">
        <v>170</v>
      </c>
      <c r="CG236" s="42">
        <v>11</v>
      </c>
      <c r="CH236" s="21">
        <v>15</v>
      </c>
      <c r="CI236" s="21">
        <v>11</v>
      </c>
      <c r="CJ236" s="21">
        <v>31</v>
      </c>
      <c r="CK236" s="21">
        <v>33</v>
      </c>
      <c r="CL236" s="21">
        <v>44</v>
      </c>
      <c r="CM236" s="21">
        <v>255</v>
      </c>
      <c r="CN236" s="21">
        <v>72</v>
      </c>
      <c r="CO236" s="21">
        <v>29</v>
      </c>
      <c r="CP236" s="21">
        <f t="shared" si="377"/>
        <v>29</v>
      </c>
      <c r="CQ236" s="344">
        <f t="shared" si="378"/>
        <v>57.666666666666664</v>
      </c>
      <c r="CR236" s="87"/>
      <c r="CS236" s="86"/>
      <c r="CT236" s="85">
        <f t="shared" si="411"/>
        <v>0</v>
      </c>
      <c r="CU236" s="85">
        <f t="shared" si="412"/>
        <v>0</v>
      </c>
      <c r="CV236" s="85">
        <f t="shared" si="413"/>
        <v>0</v>
      </c>
      <c r="CW236" s="85">
        <f t="shared" si="414"/>
        <v>0</v>
      </c>
      <c r="CX236" s="85">
        <f t="shared" si="415"/>
        <v>0</v>
      </c>
      <c r="CY236" s="86">
        <f t="shared" si="416"/>
        <v>0</v>
      </c>
      <c r="CZ236" s="87">
        <f t="shared" si="417"/>
        <v>0</v>
      </c>
      <c r="DA236" s="87">
        <f t="shared" si="418"/>
        <v>0</v>
      </c>
      <c r="DB236" s="87">
        <f t="shared" si="419"/>
        <v>0</v>
      </c>
      <c r="DC236" s="87">
        <f t="shared" si="420"/>
        <v>0</v>
      </c>
      <c r="DD236" s="87">
        <f t="shared" si="421"/>
        <v>0</v>
      </c>
      <c r="DE236" s="87">
        <f t="shared" si="422"/>
        <v>3</v>
      </c>
      <c r="DF236" s="87">
        <f t="shared" si="423"/>
        <v>274</v>
      </c>
      <c r="DG236" s="87">
        <f t="shared" si="424"/>
        <v>568</v>
      </c>
      <c r="DH236" s="87">
        <f t="shared" si="425"/>
        <v>645</v>
      </c>
      <c r="DI236" s="87">
        <f t="shared" si="426"/>
        <v>608</v>
      </c>
      <c r="DJ236" s="87">
        <f t="shared" si="427"/>
        <v>611</v>
      </c>
      <c r="DK236" s="86">
        <f t="shared" si="428"/>
        <v>436</v>
      </c>
      <c r="DL236" s="87">
        <f t="shared" si="429"/>
        <v>440</v>
      </c>
      <c r="DM236" s="87">
        <f t="shared" si="430"/>
        <v>323</v>
      </c>
      <c r="DN236" s="87">
        <f t="shared" si="431"/>
        <v>473</v>
      </c>
      <c r="DO236" s="87">
        <f t="shared" si="432"/>
        <v>578</v>
      </c>
      <c r="DP236" s="87">
        <f t="shared" si="433"/>
        <v>387</v>
      </c>
      <c r="DQ236" s="87">
        <f t="shared" si="434"/>
        <v>1056</v>
      </c>
      <c r="DR236" s="87">
        <f t="shared" si="439"/>
        <v>968</v>
      </c>
      <c r="DS236" s="87">
        <f t="shared" si="440"/>
        <v>467</v>
      </c>
      <c r="DT236" s="87">
        <f t="shared" si="435"/>
        <v>354</v>
      </c>
      <c r="DU236" s="87">
        <f t="shared" si="436"/>
        <v>423.66666666666669</v>
      </c>
      <c r="DV236" s="87">
        <f t="shared" si="437"/>
        <v>0</v>
      </c>
      <c r="DW236" s="87">
        <f t="shared" si="438"/>
        <v>0</v>
      </c>
    </row>
    <row r="237" spans="1:127">
      <c r="A237" s="22" t="s">
        <v>126</v>
      </c>
      <c r="B237" s="26">
        <v>6903148356999</v>
      </c>
      <c r="C237" s="22" t="s">
        <v>127</v>
      </c>
      <c r="D237" s="22" t="s">
        <v>124</v>
      </c>
      <c r="E237" s="22">
        <v>258113</v>
      </c>
      <c r="F237" s="80" t="s">
        <v>329</v>
      </c>
      <c r="G237" s="25">
        <v>63.15</v>
      </c>
      <c r="H237" s="85">
        <f t="shared" si="347"/>
        <v>0</v>
      </c>
      <c r="I237" s="85">
        <f t="shared" si="348"/>
        <v>0</v>
      </c>
      <c r="J237" s="85">
        <f t="shared" si="349"/>
        <v>0</v>
      </c>
      <c r="K237" s="85">
        <f t="shared" si="350"/>
        <v>0</v>
      </c>
      <c r="L237" s="85">
        <f t="shared" si="351"/>
        <v>0</v>
      </c>
      <c r="M237" s="86">
        <f t="shared" si="352"/>
        <v>0</v>
      </c>
      <c r="N237" s="87">
        <f t="shared" si="353"/>
        <v>0</v>
      </c>
      <c r="O237" s="87">
        <f t="shared" si="354"/>
        <v>0</v>
      </c>
      <c r="P237" s="87">
        <f t="shared" si="355"/>
        <v>0</v>
      </c>
      <c r="Q237" s="87">
        <f t="shared" si="356"/>
        <v>0</v>
      </c>
      <c r="R237" s="87">
        <f t="shared" si="357"/>
        <v>0</v>
      </c>
      <c r="S237" s="87">
        <f t="shared" si="358"/>
        <v>378.9</v>
      </c>
      <c r="T237" s="87">
        <f t="shared" si="359"/>
        <v>38205.75</v>
      </c>
      <c r="U237" s="87">
        <f t="shared" si="360"/>
        <v>74580.149999999994</v>
      </c>
      <c r="V237" s="87">
        <f t="shared" si="361"/>
        <v>80705.7</v>
      </c>
      <c r="W237" s="87">
        <f t="shared" si="362"/>
        <v>63150</v>
      </c>
      <c r="X237" s="87">
        <f t="shared" si="363"/>
        <v>137919.6</v>
      </c>
      <c r="Y237" s="86">
        <f t="shared" si="364"/>
        <v>89357.25</v>
      </c>
      <c r="Z237" s="87">
        <f t="shared" si="365"/>
        <v>50141.1</v>
      </c>
      <c r="AA237" s="87">
        <f t="shared" si="366"/>
        <v>38268.9</v>
      </c>
      <c r="AB237" s="87">
        <f t="shared" si="367"/>
        <v>57466.5</v>
      </c>
      <c r="AC237" s="87">
        <f t="shared" si="368"/>
        <v>55256.25</v>
      </c>
      <c r="AD237" s="87">
        <f t="shared" si="369"/>
        <v>38774.1</v>
      </c>
      <c r="AE237" s="87">
        <f t="shared" si="370"/>
        <v>98829.75</v>
      </c>
      <c r="AF237" s="231">
        <f t="shared" si="371"/>
        <v>78558.599999999991</v>
      </c>
      <c r="AG237" s="87">
        <f t="shared" si="372"/>
        <v>43699.799999999996</v>
      </c>
      <c r="AH237" s="87">
        <f t="shared" si="407"/>
        <v>37826.85</v>
      </c>
      <c r="AI237" s="87">
        <f t="shared" si="408"/>
        <v>48583.4</v>
      </c>
      <c r="AJ237" s="87">
        <f t="shared" si="409"/>
        <v>0</v>
      </c>
      <c r="AK237" s="86">
        <f t="shared" si="410"/>
        <v>0</v>
      </c>
      <c r="AL237" s="85">
        <v>0</v>
      </c>
      <c r="AM237" s="85">
        <v>0</v>
      </c>
      <c r="AN237" s="85">
        <v>0</v>
      </c>
      <c r="AO237" s="85">
        <v>0</v>
      </c>
      <c r="AP237" s="85">
        <v>0</v>
      </c>
      <c r="AQ237" s="86">
        <v>0</v>
      </c>
      <c r="AR237" s="87">
        <v>0</v>
      </c>
      <c r="AS237" s="87">
        <v>0</v>
      </c>
      <c r="AT237" s="87">
        <v>0</v>
      </c>
      <c r="AU237" s="87">
        <v>0</v>
      </c>
      <c r="AV237" s="87">
        <v>0</v>
      </c>
      <c r="AW237" s="87">
        <v>0</v>
      </c>
      <c r="AX237" s="87">
        <v>589</v>
      </c>
      <c r="AY237" s="87">
        <v>1127</v>
      </c>
      <c r="AZ237" s="87">
        <v>1228</v>
      </c>
      <c r="BA237" s="87">
        <v>990</v>
      </c>
      <c r="BB237" s="87">
        <v>1546</v>
      </c>
      <c r="BC237" s="86">
        <v>1339</v>
      </c>
      <c r="BD237" s="87">
        <v>780</v>
      </c>
      <c r="BE237" s="87">
        <v>569</v>
      </c>
      <c r="BF237" s="87">
        <v>813</v>
      </c>
      <c r="BG237" s="87">
        <v>849</v>
      </c>
      <c r="BH237" s="87">
        <v>576</v>
      </c>
      <c r="BI237" s="87">
        <v>1291</v>
      </c>
      <c r="BJ237" s="40">
        <v>1195</v>
      </c>
      <c r="BK237" s="40">
        <v>670</v>
      </c>
      <c r="BL237" s="40">
        <v>577</v>
      </c>
      <c r="BM237" s="40">
        <v>705</v>
      </c>
      <c r="BN237" s="87"/>
      <c r="BO237" s="86"/>
      <c r="BP237" s="21">
        <v>0</v>
      </c>
      <c r="BQ237" s="21">
        <v>0</v>
      </c>
      <c r="BR237" s="21">
        <v>0</v>
      </c>
      <c r="BS237" s="21">
        <v>0</v>
      </c>
      <c r="BT237" s="21">
        <v>0</v>
      </c>
      <c r="BU237" s="42">
        <v>0</v>
      </c>
      <c r="BV237" s="21">
        <v>0</v>
      </c>
      <c r="BW237" s="21">
        <v>0</v>
      </c>
      <c r="BX237" s="21">
        <v>0</v>
      </c>
      <c r="BY237" s="21">
        <v>0</v>
      </c>
      <c r="BZ237" s="21">
        <v>0</v>
      </c>
      <c r="CA237" s="21">
        <v>6</v>
      </c>
      <c r="CB237" s="21">
        <v>16</v>
      </c>
      <c r="CC237" s="21">
        <v>54</v>
      </c>
      <c r="CD237" s="21">
        <v>50</v>
      </c>
      <c r="CE237" s="21">
        <v>10</v>
      </c>
      <c r="CF237" s="21">
        <v>638</v>
      </c>
      <c r="CG237" s="42">
        <v>76</v>
      </c>
      <c r="CH237" s="21">
        <v>14</v>
      </c>
      <c r="CI237" s="21">
        <v>37</v>
      </c>
      <c r="CJ237" s="21">
        <v>97</v>
      </c>
      <c r="CK237" s="21">
        <v>26</v>
      </c>
      <c r="CL237" s="21">
        <v>38</v>
      </c>
      <c r="CM237" s="21">
        <v>274</v>
      </c>
      <c r="CN237" s="21">
        <v>49</v>
      </c>
      <c r="CO237" s="21">
        <v>22</v>
      </c>
      <c r="CP237" s="21">
        <f t="shared" si="377"/>
        <v>22</v>
      </c>
      <c r="CQ237" s="344">
        <f t="shared" si="378"/>
        <v>64.333333333333329</v>
      </c>
      <c r="CR237" s="87"/>
      <c r="CS237" s="86"/>
      <c r="CT237" s="85">
        <f t="shared" si="411"/>
        <v>0</v>
      </c>
      <c r="CU237" s="85">
        <f t="shared" si="412"/>
        <v>0</v>
      </c>
      <c r="CV237" s="85">
        <f t="shared" si="413"/>
        <v>0</v>
      </c>
      <c r="CW237" s="85">
        <f t="shared" si="414"/>
        <v>0</v>
      </c>
      <c r="CX237" s="85">
        <f t="shared" si="415"/>
        <v>0</v>
      </c>
      <c r="CY237" s="86">
        <f t="shared" si="416"/>
        <v>0</v>
      </c>
      <c r="CZ237" s="87">
        <f t="shared" si="417"/>
        <v>0</v>
      </c>
      <c r="DA237" s="87">
        <f t="shared" si="418"/>
        <v>0</v>
      </c>
      <c r="DB237" s="87">
        <f t="shared" si="419"/>
        <v>0</v>
      </c>
      <c r="DC237" s="87">
        <f t="shared" si="420"/>
        <v>0</v>
      </c>
      <c r="DD237" s="87">
        <f t="shared" si="421"/>
        <v>0</v>
      </c>
      <c r="DE237" s="87">
        <f t="shared" si="422"/>
        <v>6</v>
      </c>
      <c r="DF237" s="87">
        <f t="shared" si="423"/>
        <v>605</v>
      </c>
      <c r="DG237" s="87">
        <f t="shared" si="424"/>
        <v>1181</v>
      </c>
      <c r="DH237" s="87">
        <f t="shared" si="425"/>
        <v>1278</v>
      </c>
      <c r="DI237" s="87">
        <f t="shared" si="426"/>
        <v>1000</v>
      </c>
      <c r="DJ237" s="87">
        <f t="shared" si="427"/>
        <v>2184</v>
      </c>
      <c r="DK237" s="86">
        <f t="shared" si="428"/>
        <v>1415</v>
      </c>
      <c r="DL237" s="87">
        <f t="shared" si="429"/>
        <v>794</v>
      </c>
      <c r="DM237" s="87">
        <f t="shared" si="430"/>
        <v>606</v>
      </c>
      <c r="DN237" s="87">
        <f t="shared" si="431"/>
        <v>910</v>
      </c>
      <c r="DO237" s="87">
        <f t="shared" si="432"/>
        <v>875</v>
      </c>
      <c r="DP237" s="87">
        <f t="shared" si="433"/>
        <v>614</v>
      </c>
      <c r="DQ237" s="87">
        <f t="shared" si="434"/>
        <v>1565</v>
      </c>
      <c r="DR237" s="87">
        <f t="shared" si="439"/>
        <v>1244</v>
      </c>
      <c r="DS237" s="87">
        <f t="shared" si="440"/>
        <v>692</v>
      </c>
      <c r="DT237" s="87">
        <f t="shared" si="435"/>
        <v>599</v>
      </c>
      <c r="DU237" s="87">
        <f t="shared" si="436"/>
        <v>769.33333333333337</v>
      </c>
      <c r="DV237" s="87">
        <f t="shared" si="437"/>
        <v>0</v>
      </c>
      <c r="DW237" s="87">
        <f t="shared" si="438"/>
        <v>0</v>
      </c>
    </row>
    <row r="238" spans="1:127">
      <c r="A238" s="22" t="s">
        <v>126</v>
      </c>
      <c r="B238" s="26">
        <v>6903148357002</v>
      </c>
      <c r="C238" s="22" t="s">
        <v>127</v>
      </c>
      <c r="D238" s="22" t="s">
        <v>124</v>
      </c>
      <c r="E238" s="22">
        <v>258114</v>
      </c>
      <c r="F238" s="80" t="s">
        <v>330</v>
      </c>
      <c r="G238" s="25">
        <v>114.77</v>
      </c>
      <c r="H238" s="85">
        <f t="shared" si="347"/>
        <v>0</v>
      </c>
      <c r="I238" s="85">
        <f t="shared" si="348"/>
        <v>0</v>
      </c>
      <c r="J238" s="85">
        <f t="shared" si="349"/>
        <v>0</v>
      </c>
      <c r="K238" s="85">
        <f t="shared" si="350"/>
        <v>0</v>
      </c>
      <c r="L238" s="85">
        <f t="shared" si="351"/>
        <v>0</v>
      </c>
      <c r="M238" s="86">
        <f t="shared" si="352"/>
        <v>0</v>
      </c>
      <c r="N238" s="87">
        <f t="shared" si="353"/>
        <v>0</v>
      </c>
      <c r="O238" s="87">
        <f t="shared" si="354"/>
        <v>0</v>
      </c>
      <c r="P238" s="87">
        <f t="shared" si="355"/>
        <v>0</v>
      </c>
      <c r="Q238" s="87">
        <f t="shared" si="356"/>
        <v>0</v>
      </c>
      <c r="R238" s="87">
        <f t="shared" si="357"/>
        <v>0</v>
      </c>
      <c r="S238" s="87">
        <f t="shared" si="358"/>
        <v>918.16</v>
      </c>
      <c r="T238" s="87">
        <f t="shared" si="359"/>
        <v>24790.32</v>
      </c>
      <c r="U238" s="87">
        <f t="shared" si="360"/>
        <v>25364.17</v>
      </c>
      <c r="V238" s="87">
        <f t="shared" si="361"/>
        <v>27430.03</v>
      </c>
      <c r="W238" s="87">
        <f t="shared" si="362"/>
        <v>15379.18</v>
      </c>
      <c r="X238" s="87">
        <f t="shared" si="363"/>
        <v>15493.949999999999</v>
      </c>
      <c r="Y238" s="86">
        <f t="shared" si="364"/>
        <v>20888.14</v>
      </c>
      <c r="Z238" s="87">
        <f t="shared" si="365"/>
        <v>25823.25</v>
      </c>
      <c r="AA238" s="87">
        <f t="shared" si="366"/>
        <v>22380.149999999998</v>
      </c>
      <c r="AB238" s="87">
        <f t="shared" si="367"/>
        <v>31446.98</v>
      </c>
      <c r="AC238" s="87">
        <f t="shared" si="368"/>
        <v>29610.66</v>
      </c>
      <c r="AD238" s="87">
        <f t="shared" si="369"/>
        <v>32709.449999999997</v>
      </c>
      <c r="AE238" s="87">
        <f t="shared" si="370"/>
        <v>70124.47</v>
      </c>
      <c r="AF238" s="231">
        <f t="shared" si="371"/>
        <v>34890.080000000002</v>
      </c>
      <c r="AG238" s="87">
        <f t="shared" si="372"/>
        <v>23183.54</v>
      </c>
      <c r="AH238" s="87">
        <f t="shared" si="407"/>
        <v>23872.16</v>
      </c>
      <c r="AI238" s="87">
        <f t="shared" si="408"/>
        <v>30056.98777777778</v>
      </c>
      <c r="AJ238" s="87">
        <f t="shared" si="409"/>
        <v>0</v>
      </c>
      <c r="AK238" s="86">
        <f t="shared" si="410"/>
        <v>0</v>
      </c>
      <c r="AL238" s="85">
        <v>0</v>
      </c>
      <c r="AM238" s="85">
        <v>0</v>
      </c>
      <c r="AN238" s="85">
        <v>0</v>
      </c>
      <c r="AO238" s="85">
        <v>0</v>
      </c>
      <c r="AP238" s="85">
        <v>0</v>
      </c>
      <c r="AQ238" s="86">
        <v>0</v>
      </c>
      <c r="AR238" s="87">
        <v>0</v>
      </c>
      <c r="AS238" s="87">
        <v>0</v>
      </c>
      <c r="AT238" s="87">
        <v>0</v>
      </c>
      <c r="AU238" s="87">
        <v>0</v>
      </c>
      <c r="AV238" s="87">
        <v>0</v>
      </c>
      <c r="AW238" s="87">
        <v>0</v>
      </c>
      <c r="AX238" s="87">
        <v>94</v>
      </c>
      <c r="AY238" s="87">
        <v>109</v>
      </c>
      <c r="AZ238" s="87">
        <v>85</v>
      </c>
      <c r="BA238" s="87">
        <v>88</v>
      </c>
      <c r="BB238" s="87">
        <v>79</v>
      </c>
      <c r="BC238" s="86">
        <v>61</v>
      </c>
      <c r="BD238" s="87">
        <v>178</v>
      </c>
      <c r="BE238" s="87">
        <v>122</v>
      </c>
      <c r="BF238" s="87">
        <v>223</v>
      </c>
      <c r="BG238" s="87">
        <v>138</v>
      </c>
      <c r="BH238" s="87">
        <v>181</v>
      </c>
      <c r="BI238" s="87">
        <v>370</v>
      </c>
      <c r="BJ238" s="40">
        <v>225</v>
      </c>
      <c r="BK238" s="40">
        <v>173</v>
      </c>
      <c r="BL238" s="40">
        <v>179</v>
      </c>
      <c r="BM238" s="40">
        <v>176</v>
      </c>
      <c r="BN238" s="87"/>
      <c r="BO238" s="86"/>
      <c r="BP238" s="21">
        <v>0</v>
      </c>
      <c r="BQ238" s="21">
        <v>0</v>
      </c>
      <c r="BR238" s="21">
        <v>0</v>
      </c>
      <c r="BS238" s="21">
        <v>0</v>
      </c>
      <c r="BT238" s="21">
        <v>0</v>
      </c>
      <c r="BU238" s="42">
        <v>0</v>
      </c>
      <c r="BV238" s="21">
        <v>0</v>
      </c>
      <c r="BW238" s="21">
        <v>0</v>
      </c>
      <c r="BX238" s="21">
        <v>0</v>
      </c>
      <c r="BY238" s="21">
        <v>0</v>
      </c>
      <c r="BZ238" s="21">
        <v>0</v>
      </c>
      <c r="CA238" s="21">
        <v>8</v>
      </c>
      <c r="CB238" s="21">
        <v>122</v>
      </c>
      <c r="CC238" s="21">
        <v>112</v>
      </c>
      <c r="CD238" s="21">
        <v>154</v>
      </c>
      <c r="CE238" s="21">
        <v>46</v>
      </c>
      <c r="CF238" s="21">
        <v>56</v>
      </c>
      <c r="CG238" s="42">
        <v>121</v>
      </c>
      <c r="CH238" s="21">
        <v>47</v>
      </c>
      <c r="CI238" s="21">
        <v>73</v>
      </c>
      <c r="CJ238" s="21">
        <v>51</v>
      </c>
      <c r="CK238" s="21">
        <v>120</v>
      </c>
      <c r="CL238" s="21">
        <v>104</v>
      </c>
      <c r="CM238" s="21">
        <v>241</v>
      </c>
      <c r="CN238" s="21">
        <v>79</v>
      </c>
      <c r="CO238" s="21">
        <v>29</v>
      </c>
      <c r="CP238" s="21">
        <f t="shared" si="377"/>
        <v>29</v>
      </c>
      <c r="CQ238" s="344">
        <f t="shared" si="378"/>
        <v>85.888888888888886</v>
      </c>
      <c r="CR238" s="87"/>
      <c r="CS238" s="86"/>
      <c r="CT238" s="85">
        <f t="shared" si="411"/>
        <v>0</v>
      </c>
      <c r="CU238" s="85">
        <f t="shared" si="412"/>
        <v>0</v>
      </c>
      <c r="CV238" s="85">
        <f t="shared" si="413"/>
        <v>0</v>
      </c>
      <c r="CW238" s="85">
        <f t="shared" si="414"/>
        <v>0</v>
      </c>
      <c r="CX238" s="85">
        <f t="shared" si="415"/>
        <v>0</v>
      </c>
      <c r="CY238" s="86">
        <f t="shared" si="416"/>
        <v>0</v>
      </c>
      <c r="CZ238" s="87">
        <f t="shared" si="417"/>
        <v>0</v>
      </c>
      <c r="DA238" s="87">
        <f t="shared" si="418"/>
        <v>0</v>
      </c>
      <c r="DB238" s="87">
        <f t="shared" si="419"/>
        <v>0</v>
      </c>
      <c r="DC238" s="87">
        <f t="shared" si="420"/>
        <v>0</v>
      </c>
      <c r="DD238" s="87">
        <f t="shared" si="421"/>
        <v>0</v>
      </c>
      <c r="DE238" s="87">
        <f t="shared" si="422"/>
        <v>8</v>
      </c>
      <c r="DF238" s="87">
        <f t="shared" si="423"/>
        <v>216</v>
      </c>
      <c r="DG238" s="87">
        <f t="shared" si="424"/>
        <v>221</v>
      </c>
      <c r="DH238" s="87">
        <f t="shared" si="425"/>
        <v>239</v>
      </c>
      <c r="DI238" s="87">
        <f t="shared" si="426"/>
        <v>134</v>
      </c>
      <c r="DJ238" s="87">
        <f t="shared" si="427"/>
        <v>135</v>
      </c>
      <c r="DK238" s="86">
        <f t="shared" si="428"/>
        <v>182</v>
      </c>
      <c r="DL238" s="87">
        <f t="shared" si="429"/>
        <v>225</v>
      </c>
      <c r="DM238" s="87">
        <f t="shared" si="430"/>
        <v>195</v>
      </c>
      <c r="DN238" s="87">
        <f t="shared" si="431"/>
        <v>274</v>
      </c>
      <c r="DO238" s="87">
        <f t="shared" si="432"/>
        <v>258</v>
      </c>
      <c r="DP238" s="87">
        <f t="shared" si="433"/>
        <v>285</v>
      </c>
      <c r="DQ238" s="87">
        <f t="shared" si="434"/>
        <v>611</v>
      </c>
      <c r="DR238" s="87">
        <f t="shared" si="439"/>
        <v>304</v>
      </c>
      <c r="DS238" s="87">
        <f t="shared" si="440"/>
        <v>202</v>
      </c>
      <c r="DT238" s="87">
        <f t="shared" si="435"/>
        <v>208</v>
      </c>
      <c r="DU238" s="87">
        <f t="shared" si="436"/>
        <v>261.88888888888891</v>
      </c>
      <c r="DV238" s="87">
        <f t="shared" si="437"/>
        <v>0</v>
      </c>
      <c r="DW238" s="87">
        <f t="shared" si="438"/>
        <v>0</v>
      </c>
    </row>
    <row r="239" spans="1:127">
      <c r="A239" s="22" t="s">
        <v>126</v>
      </c>
      <c r="B239" s="26">
        <v>6903148308752</v>
      </c>
      <c r="C239" s="22" t="s">
        <v>127</v>
      </c>
      <c r="D239" s="22" t="s">
        <v>124</v>
      </c>
      <c r="E239" s="22">
        <v>258132</v>
      </c>
      <c r="F239" s="80" t="s">
        <v>331</v>
      </c>
      <c r="G239" s="25">
        <v>51.75</v>
      </c>
      <c r="H239" s="85">
        <f t="shared" si="347"/>
        <v>0</v>
      </c>
      <c r="I239" s="85">
        <f t="shared" si="348"/>
        <v>0</v>
      </c>
      <c r="J239" s="85">
        <f t="shared" si="349"/>
        <v>0</v>
      </c>
      <c r="K239" s="85">
        <f t="shared" si="350"/>
        <v>0</v>
      </c>
      <c r="L239" s="85">
        <f t="shared" si="351"/>
        <v>0</v>
      </c>
      <c r="M239" s="86">
        <f t="shared" si="352"/>
        <v>0</v>
      </c>
      <c r="N239" s="87">
        <f t="shared" si="353"/>
        <v>0</v>
      </c>
      <c r="O239" s="87">
        <f t="shared" si="354"/>
        <v>0</v>
      </c>
      <c r="P239" s="87">
        <f t="shared" si="355"/>
        <v>0</v>
      </c>
      <c r="Q239" s="87">
        <f t="shared" si="356"/>
        <v>0</v>
      </c>
      <c r="R239" s="87">
        <f t="shared" si="357"/>
        <v>0</v>
      </c>
      <c r="S239" s="87">
        <f t="shared" si="358"/>
        <v>517.5</v>
      </c>
      <c r="T239" s="87">
        <f t="shared" si="359"/>
        <v>36742.5</v>
      </c>
      <c r="U239" s="87">
        <f t="shared" si="360"/>
        <v>97497</v>
      </c>
      <c r="V239" s="87">
        <f t="shared" si="361"/>
        <v>72398.25</v>
      </c>
      <c r="W239" s="87">
        <f t="shared" si="362"/>
        <v>70017.75</v>
      </c>
      <c r="X239" s="87">
        <f t="shared" si="363"/>
        <v>82800</v>
      </c>
      <c r="Y239" s="86">
        <f t="shared" si="364"/>
        <v>61841.25</v>
      </c>
      <c r="Z239" s="87">
        <f t="shared" si="365"/>
        <v>58270.5</v>
      </c>
      <c r="AA239" s="87">
        <f t="shared" si="366"/>
        <v>47403</v>
      </c>
      <c r="AB239" s="87">
        <f t="shared" si="367"/>
        <v>38760.75</v>
      </c>
      <c r="AC239" s="87">
        <f t="shared" si="368"/>
        <v>60133.5</v>
      </c>
      <c r="AD239" s="87">
        <f t="shared" si="369"/>
        <v>45643.5</v>
      </c>
      <c r="AE239" s="87">
        <f t="shared" si="370"/>
        <v>83990.25</v>
      </c>
      <c r="AF239" s="231">
        <f t="shared" si="371"/>
        <v>78297.75</v>
      </c>
      <c r="AG239" s="87">
        <f t="shared" si="372"/>
        <v>70587</v>
      </c>
      <c r="AH239" s="87">
        <f t="shared" si="407"/>
        <v>69034.5</v>
      </c>
      <c r="AI239" s="87">
        <f t="shared" si="408"/>
        <v>91373.25</v>
      </c>
      <c r="AJ239" s="87">
        <f t="shared" si="409"/>
        <v>0</v>
      </c>
      <c r="AK239" s="86">
        <f t="shared" si="410"/>
        <v>0</v>
      </c>
      <c r="AL239" s="85">
        <v>0</v>
      </c>
      <c r="AM239" s="85">
        <v>0</v>
      </c>
      <c r="AN239" s="85">
        <v>0</v>
      </c>
      <c r="AO239" s="85">
        <v>0</v>
      </c>
      <c r="AP239" s="85">
        <v>0</v>
      </c>
      <c r="AQ239" s="86">
        <v>0</v>
      </c>
      <c r="AR239" s="87">
        <v>0</v>
      </c>
      <c r="AS239" s="87">
        <v>0</v>
      </c>
      <c r="AT239" s="87">
        <v>0</v>
      </c>
      <c r="AU239" s="87">
        <v>0</v>
      </c>
      <c r="AV239" s="87">
        <v>0</v>
      </c>
      <c r="AW239" s="87">
        <v>0</v>
      </c>
      <c r="AX239" s="87">
        <v>596</v>
      </c>
      <c r="AY239" s="87">
        <v>1548</v>
      </c>
      <c r="AZ239" s="87">
        <v>1209</v>
      </c>
      <c r="BA239" s="87">
        <v>1152</v>
      </c>
      <c r="BB239" s="87">
        <v>1212</v>
      </c>
      <c r="BC239" s="86">
        <v>833</v>
      </c>
      <c r="BD239" s="87">
        <v>970</v>
      </c>
      <c r="BE239" s="87">
        <v>722</v>
      </c>
      <c r="BF239" s="87">
        <v>596</v>
      </c>
      <c r="BG239" s="87">
        <v>902</v>
      </c>
      <c r="BH239" s="87">
        <v>671</v>
      </c>
      <c r="BI239" s="87">
        <v>1116</v>
      </c>
      <c r="BJ239" s="40">
        <v>1101</v>
      </c>
      <c r="BK239" s="40">
        <v>1169</v>
      </c>
      <c r="BL239" s="40">
        <v>1139</v>
      </c>
      <c r="BM239" s="40">
        <v>1512</v>
      </c>
      <c r="BN239" s="87"/>
      <c r="BO239" s="86"/>
      <c r="BP239" s="21">
        <v>0</v>
      </c>
      <c r="BQ239" s="21">
        <v>0</v>
      </c>
      <c r="BR239" s="21">
        <v>0</v>
      </c>
      <c r="BS239" s="21">
        <v>0</v>
      </c>
      <c r="BT239" s="21">
        <v>0</v>
      </c>
      <c r="BU239" s="42">
        <v>0</v>
      </c>
      <c r="BV239" s="21">
        <v>0</v>
      </c>
      <c r="BW239" s="21">
        <v>0</v>
      </c>
      <c r="BX239" s="21">
        <v>0</v>
      </c>
      <c r="BY239" s="21">
        <v>0</v>
      </c>
      <c r="BZ239" s="21">
        <v>0</v>
      </c>
      <c r="CA239" s="21">
        <v>10</v>
      </c>
      <c r="CB239" s="21">
        <v>114</v>
      </c>
      <c r="CC239" s="21">
        <v>336</v>
      </c>
      <c r="CD239" s="21">
        <v>190</v>
      </c>
      <c r="CE239" s="21">
        <v>201</v>
      </c>
      <c r="CF239" s="21">
        <v>388</v>
      </c>
      <c r="CG239" s="42">
        <v>362</v>
      </c>
      <c r="CH239" s="21">
        <v>156</v>
      </c>
      <c r="CI239" s="21">
        <v>194</v>
      </c>
      <c r="CJ239" s="21">
        <v>153</v>
      </c>
      <c r="CK239" s="21">
        <v>260</v>
      </c>
      <c r="CL239" s="21">
        <v>211</v>
      </c>
      <c r="CM239" s="21">
        <v>507</v>
      </c>
      <c r="CN239" s="21">
        <v>412</v>
      </c>
      <c r="CO239" s="21">
        <v>195</v>
      </c>
      <c r="CP239" s="21">
        <f t="shared" si="377"/>
        <v>195</v>
      </c>
      <c r="CQ239" s="344">
        <f t="shared" si="378"/>
        <v>253.66666666666666</v>
      </c>
      <c r="CR239" s="87"/>
      <c r="CS239" s="86"/>
      <c r="CT239" s="85">
        <f t="shared" si="411"/>
        <v>0</v>
      </c>
      <c r="CU239" s="85">
        <f t="shared" si="412"/>
        <v>0</v>
      </c>
      <c r="CV239" s="85">
        <f t="shared" si="413"/>
        <v>0</v>
      </c>
      <c r="CW239" s="85">
        <f t="shared" si="414"/>
        <v>0</v>
      </c>
      <c r="CX239" s="85">
        <f t="shared" si="415"/>
        <v>0</v>
      </c>
      <c r="CY239" s="86">
        <f t="shared" si="416"/>
        <v>0</v>
      </c>
      <c r="CZ239" s="87">
        <f t="shared" si="417"/>
        <v>0</v>
      </c>
      <c r="DA239" s="87">
        <f t="shared" si="418"/>
        <v>0</v>
      </c>
      <c r="DB239" s="87">
        <f t="shared" si="419"/>
        <v>0</v>
      </c>
      <c r="DC239" s="87">
        <f t="shared" si="420"/>
        <v>0</v>
      </c>
      <c r="DD239" s="87">
        <f t="shared" si="421"/>
        <v>0</v>
      </c>
      <c r="DE239" s="87">
        <f t="shared" si="422"/>
        <v>10</v>
      </c>
      <c r="DF239" s="87">
        <f t="shared" si="423"/>
        <v>710</v>
      </c>
      <c r="DG239" s="87">
        <f t="shared" si="424"/>
        <v>1884</v>
      </c>
      <c r="DH239" s="87">
        <f t="shared" si="425"/>
        <v>1399</v>
      </c>
      <c r="DI239" s="87">
        <f t="shared" si="426"/>
        <v>1353</v>
      </c>
      <c r="DJ239" s="87">
        <f t="shared" si="427"/>
        <v>1600</v>
      </c>
      <c r="DK239" s="86">
        <f t="shared" si="428"/>
        <v>1195</v>
      </c>
      <c r="DL239" s="87">
        <f t="shared" si="429"/>
        <v>1126</v>
      </c>
      <c r="DM239" s="87">
        <f t="shared" si="430"/>
        <v>916</v>
      </c>
      <c r="DN239" s="87">
        <f t="shared" si="431"/>
        <v>749</v>
      </c>
      <c r="DO239" s="87">
        <f t="shared" si="432"/>
        <v>1162</v>
      </c>
      <c r="DP239" s="87">
        <f t="shared" si="433"/>
        <v>882</v>
      </c>
      <c r="DQ239" s="87">
        <f t="shared" si="434"/>
        <v>1623</v>
      </c>
      <c r="DR239" s="87">
        <f t="shared" si="439"/>
        <v>1513</v>
      </c>
      <c r="DS239" s="87">
        <f t="shared" si="440"/>
        <v>1364</v>
      </c>
      <c r="DT239" s="87">
        <f t="shared" si="435"/>
        <v>1334</v>
      </c>
      <c r="DU239" s="87">
        <f t="shared" si="436"/>
        <v>1765.6666666666667</v>
      </c>
      <c r="DV239" s="87">
        <f t="shared" si="437"/>
        <v>0</v>
      </c>
      <c r="DW239" s="87">
        <f t="shared" si="438"/>
        <v>0</v>
      </c>
    </row>
    <row r="240" spans="1:127">
      <c r="A240" s="22" t="s">
        <v>126</v>
      </c>
      <c r="B240" s="26">
        <v>6903148354582</v>
      </c>
      <c r="C240" s="22" t="s">
        <v>127</v>
      </c>
      <c r="D240" s="22" t="s">
        <v>124</v>
      </c>
      <c r="E240" s="22">
        <v>258139</v>
      </c>
      <c r="F240" s="80" t="s">
        <v>332</v>
      </c>
      <c r="G240" s="25">
        <v>114.77</v>
      </c>
      <c r="H240" s="85">
        <f t="shared" si="347"/>
        <v>0</v>
      </c>
      <c r="I240" s="85">
        <f t="shared" si="348"/>
        <v>0</v>
      </c>
      <c r="J240" s="85">
        <f t="shared" si="349"/>
        <v>0</v>
      </c>
      <c r="K240" s="85">
        <f t="shared" si="350"/>
        <v>0</v>
      </c>
      <c r="L240" s="85">
        <f t="shared" si="351"/>
        <v>0</v>
      </c>
      <c r="M240" s="86">
        <f t="shared" si="352"/>
        <v>0</v>
      </c>
      <c r="N240" s="87">
        <f t="shared" si="353"/>
        <v>0</v>
      </c>
      <c r="O240" s="87">
        <f t="shared" si="354"/>
        <v>0</v>
      </c>
      <c r="P240" s="87">
        <f t="shared" si="355"/>
        <v>0</v>
      </c>
      <c r="Q240" s="87">
        <f t="shared" si="356"/>
        <v>0</v>
      </c>
      <c r="R240" s="87">
        <f t="shared" si="357"/>
        <v>0</v>
      </c>
      <c r="S240" s="87">
        <f t="shared" si="358"/>
        <v>2754.48</v>
      </c>
      <c r="T240" s="87">
        <f t="shared" si="359"/>
        <v>49465.869999999995</v>
      </c>
      <c r="U240" s="87">
        <f t="shared" si="360"/>
        <v>61057.64</v>
      </c>
      <c r="V240" s="87">
        <f t="shared" si="361"/>
        <v>60713.329999999994</v>
      </c>
      <c r="W240" s="87">
        <f t="shared" si="362"/>
        <v>36496.86</v>
      </c>
      <c r="X240" s="87">
        <f t="shared" si="363"/>
        <v>45448.92</v>
      </c>
      <c r="Y240" s="86">
        <f t="shared" si="364"/>
        <v>46022.77</v>
      </c>
      <c r="Z240" s="87">
        <f t="shared" si="365"/>
        <v>39136.57</v>
      </c>
      <c r="AA240" s="87">
        <f t="shared" si="366"/>
        <v>53712.36</v>
      </c>
      <c r="AB240" s="87">
        <f t="shared" si="367"/>
        <v>38562.720000000001</v>
      </c>
      <c r="AC240" s="87">
        <f t="shared" si="368"/>
        <v>55089.599999999999</v>
      </c>
      <c r="AD240" s="87">
        <f t="shared" si="369"/>
        <v>72878.95</v>
      </c>
      <c r="AE240" s="87">
        <f t="shared" si="370"/>
        <v>131870.72999999998</v>
      </c>
      <c r="AF240" s="231">
        <f t="shared" si="371"/>
        <v>78617.45</v>
      </c>
      <c r="AG240" s="87">
        <f t="shared" si="372"/>
        <v>40858.119999999995</v>
      </c>
      <c r="AH240" s="87">
        <f t="shared" si="407"/>
        <v>36037.78</v>
      </c>
      <c r="AI240" s="87">
        <f t="shared" si="408"/>
        <v>58073.619999999995</v>
      </c>
      <c r="AJ240" s="87">
        <f t="shared" si="409"/>
        <v>0</v>
      </c>
      <c r="AK240" s="86">
        <f t="shared" si="410"/>
        <v>0</v>
      </c>
      <c r="AL240" s="85">
        <v>0</v>
      </c>
      <c r="AM240" s="85">
        <v>0</v>
      </c>
      <c r="AN240" s="85">
        <v>0</v>
      </c>
      <c r="AO240" s="85">
        <v>0</v>
      </c>
      <c r="AP240" s="85">
        <v>0</v>
      </c>
      <c r="AQ240" s="86">
        <v>0</v>
      </c>
      <c r="AR240" s="87">
        <v>0</v>
      </c>
      <c r="AS240" s="87">
        <v>0</v>
      </c>
      <c r="AT240" s="87">
        <v>0</v>
      </c>
      <c r="AU240" s="87">
        <v>0</v>
      </c>
      <c r="AV240" s="87">
        <v>0</v>
      </c>
      <c r="AW240" s="87">
        <v>0</v>
      </c>
      <c r="AX240" s="87">
        <v>98</v>
      </c>
      <c r="AY240" s="87">
        <v>144</v>
      </c>
      <c r="AZ240" s="87">
        <v>124</v>
      </c>
      <c r="BA240" s="87">
        <v>118</v>
      </c>
      <c r="BB240" s="87">
        <v>99</v>
      </c>
      <c r="BC240" s="86">
        <v>90</v>
      </c>
      <c r="BD240" s="87">
        <v>221</v>
      </c>
      <c r="BE240" s="87">
        <v>196</v>
      </c>
      <c r="BF240" s="87">
        <v>247</v>
      </c>
      <c r="BG240" s="87">
        <v>234</v>
      </c>
      <c r="BH240" s="87">
        <v>250</v>
      </c>
      <c r="BI240" s="87">
        <v>440</v>
      </c>
      <c r="BJ240" s="40">
        <v>313</v>
      </c>
      <c r="BK240" s="40">
        <v>242</v>
      </c>
      <c r="BL240" s="40">
        <v>200</v>
      </c>
      <c r="BM240" s="40">
        <v>237</v>
      </c>
      <c r="BN240" s="87"/>
      <c r="BO240" s="86"/>
      <c r="BP240" s="21">
        <v>0</v>
      </c>
      <c r="BQ240" s="21">
        <v>0</v>
      </c>
      <c r="BR240" s="21">
        <v>0</v>
      </c>
      <c r="BS240" s="21">
        <v>0</v>
      </c>
      <c r="BT240" s="21">
        <v>0</v>
      </c>
      <c r="BU240" s="42">
        <v>0</v>
      </c>
      <c r="BV240" s="21">
        <v>0</v>
      </c>
      <c r="BW240" s="21">
        <v>0</v>
      </c>
      <c r="BX240" s="21">
        <v>0</v>
      </c>
      <c r="BY240" s="21">
        <v>0</v>
      </c>
      <c r="BZ240" s="21">
        <v>0</v>
      </c>
      <c r="CA240" s="21">
        <v>24</v>
      </c>
      <c r="CB240" s="21">
        <v>333</v>
      </c>
      <c r="CC240" s="21">
        <v>388</v>
      </c>
      <c r="CD240" s="21">
        <v>405</v>
      </c>
      <c r="CE240" s="21">
        <v>200</v>
      </c>
      <c r="CF240" s="21">
        <v>297</v>
      </c>
      <c r="CG240" s="42">
        <v>311</v>
      </c>
      <c r="CH240" s="21">
        <v>120</v>
      </c>
      <c r="CI240" s="21">
        <v>272</v>
      </c>
      <c r="CJ240" s="21">
        <v>89</v>
      </c>
      <c r="CK240" s="21">
        <v>246</v>
      </c>
      <c r="CL240" s="21">
        <v>385</v>
      </c>
      <c r="CM240" s="21">
        <v>709</v>
      </c>
      <c r="CN240" s="21">
        <v>372</v>
      </c>
      <c r="CO240" s="21">
        <v>114</v>
      </c>
      <c r="CP240" s="21">
        <f t="shared" si="377"/>
        <v>114</v>
      </c>
      <c r="CQ240" s="344">
        <f t="shared" si="378"/>
        <v>269</v>
      </c>
      <c r="CR240" s="87"/>
      <c r="CS240" s="86"/>
      <c r="CT240" s="85">
        <f t="shared" si="411"/>
        <v>0</v>
      </c>
      <c r="CU240" s="85">
        <f t="shared" si="412"/>
        <v>0</v>
      </c>
      <c r="CV240" s="85">
        <f t="shared" si="413"/>
        <v>0</v>
      </c>
      <c r="CW240" s="85">
        <f t="shared" si="414"/>
        <v>0</v>
      </c>
      <c r="CX240" s="85">
        <f t="shared" si="415"/>
        <v>0</v>
      </c>
      <c r="CY240" s="86">
        <f t="shared" si="416"/>
        <v>0</v>
      </c>
      <c r="CZ240" s="87">
        <f t="shared" si="417"/>
        <v>0</v>
      </c>
      <c r="DA240" s="87">
        <f t="shared" si="418"/>
        <v>0</v>
      </c>
      <c r="DB240" s="87">
        <f t="shared" si="419"/>
        <v>0</v>
      </c>
      <c r="DC240" s="87">
        <f t="shared" si="420"/>
        <v>0</v>
      </c>
      <c r="DD240" s="87">
        <f t="shared" si="421"/>
        <v>0</v>
      </c>
      <c r="DE240" s="87">
        <f t="shared" si="422"/>
        <v>24</v>
      </c>
      <c r="DF240" s="87">
        <f t="shared" si="423"/>
        <v>431</v>
      </c>
      <c r="DG240" s="87">
        <f t="shared" si="424"/>
        <v>532</v>
      </c>
      <c r="DH240" s="87">
        <f t="shared" si="425"/>
        <v>529</v>
      </c>
      <c r="DI240" s="87">
        <f t="shared" si="426"/>
        <v>318</v>
      </c>
      <c r="DJ240" s="87">
        <f t="shared" si="427"/>
        <v>396</v>
      </c>
      <c r="DK240" s="86">
        <f t="shared" si="428"/>
        <v>401</v>
      </c>
      <c r="DL240" s="87">
        <f t="shared" si="429"/>
        <v>341</v>
      </c>
      <c r="DM240" s="87">
        <f t="shared" si="430"/>
        <v>468</v>
      </c>
      <c r="DN240" s="87">
        <f t="shared" si="431"/>
        <v>336</v>
      </c>
      <c r="DO240" s="87">
        <f t="shared" si="432"/>
        <v>480</v>
      </c>
      <c r="DP240" s="87">
        <f t="shared" si="433"/>
        <v>635</v>
      </c>
      <c r="DQ240" s="87">
        <f t="shared" si="434"/>
        <v>1149</v>
      </c>
      <c r="DR240" s="87">
        <f t="shared" si="439"/>
        <v>685</v>
      </c>
      <c r="DS240" s="87">
        <f t="shared" si="440"/>
        <v>356</v>
      </c>
      <c r="DT240" s="87">
        <f t="shared" si="435"/>
        <v>314</v>
      </c>
      <c r="DU240" s="87">
        <f t="shared" si="436"/>
        <v>506</v>
      </c>
      <c r="DV240" s="87">
        <f t="shared" si="437"/>
        <v>0</v>
      </c>
      <c r="DW240" s="87">
        <f t="shared" si="438"/>
        <v>0</v>
      </c>
    </row>
    <row r="241" spans="1:127">
      <c r="A241" s="22" t="s">
        <v>126</v>
      </c>
      <c r="B241" s="26">
        <v>6903148357026</v>
      </c>
      <c r="C241" s="22" t="s">
        <v>127</v>
      </c>
      <c r="D241" s="22" t="s">
        <v>124</v>
      </c>
      <c r="E241" s="22">
        <v>258146</v>
      </c>
      <c r="F241" s="80" t="s">
        <v>333</v>
      </c>
      <c r="G241" s="25">
        <v>63.15</v>
      </c>
      <c r="H241" s="85">
        <f t="shared" si="347"/>
        <v>0</v>
      </c>
      <c r="I241" s="85">
        <f t="shared" si="348"/>
        <v>0</v>
      </c>
      <c r="J241" s="85">
        <f t="shared" si="349"/>
        <v>0</v>
      </c>
      <c r="K241" s="85">
        <f t="shared" si="350"/>
        <v>0</v>
      </c>
      <c r="L241" s="85">
        <f t="shared" si="351"/>
        <v>0</v>
      </c>
      <c r="M241" s="86">
        <f t="shared" si="352"/>
        <v>0</v>
      </c>
      <c r="N241" s="87">
        <f t="shared" si="353"/>
        <v>0</v>
      </c>
      <c r="O241" s="87">
        <f t="shared" si="354"/>
        <v>0</v>
      </c>
      <c r="P241" s="87">
        <f t="shared" si="355"/>
        <v>0</v>
      </c>
      <c r="Q241" s="87">
        <f t="shared" si="356"/>
        <v>0</v>
      </c>
      <c r="R241" s="87">
        <f t="shared" si="357"/>
        <v>0</v>
      </c>
      <c r="S241" s="87">
        <f t="shared" si="358"/>
        <v>126.3</v>
      </c>
      <c r="T241" s="87">
        <f t="shared" si="359"/>
        <v>22544.55</v>
      </c>
      <c r="U241" s="87">
        <f t="shared" si="360"/>
        <v>40605.449999999997</v>
      </c>
      <c r="V241" s="87">
        <f t="shared" si="361"/>
        <v>35553.449999999997</v>
      </c>
      <c r="W241" s="87">
        <f t="shared" si="362"/>
        <v>33595.799999999996</v>
      </c>
      <c r="X241" s="87">
        <f t="shared" si="363"/>
        <v>30627.75</v>
      </c>
      <c r="Y241" s="86">
        <f t="shared" si="364"/>
        <v>29049</v>
      </c>
      <c r="Z241" s="87">
        <f t="shared" si="365"/>
        <v>27659.7</v>
      </c>
      <c r="AA241" s="87">
        <f t="shared" si="366"/>
        <v>20586.899999999998</v>
      </c>
      <c r="AB241" s="87">
        <f t="shared" si="367"/>
        <v>26586.149999999998</v>
      </c>
      <c r="AC241" s="87">
        <f t="shared" si="368"/>
        <v>25512.6</v>
      </c>
      <c r="AD241" s="87">
        <f t="shared" si="369"/>
        <v>16419</v>
      </c>
      <c r="AE241" s="87">
        <f t="shared" si="370"/>
        <v>56077.2</v>
      </c>
      <c r="AF241" s="231">
        <f t="shared" si="371"/>
        <v>43384.049999999996</v>
      </c>
      <c r="AG241" s="87">
        <f t="shared" si="372"/>
        <v>22481.399999999998</v>
      </c>
      <c r="AH241" s="87">
        <f t="shared" si="407"/>
        <v>16545.3</v>
      </c>
      <c r="AI241" s="87">
        <f t="shared" si="408"/>
        <v>21028.95</v>
      </c>
      <c r="AJ241" s="87">
        <f t="shared" si="409"/>
        <v>0</v>
      </c>
      <c r="AK241" s="86">
        <f t="shared" si="410"/>
        <v>0</v>
      </c>
      <c r="AL241" s="85">
        <v>0</v>
      </c>
      <c r="AM241" s="85">
        <v>0</v>
      </c>
      <c r="AN241" s="85">
        <v>0</v>
      </c>
      <c r="AO241" s="85">
        <v>0</v>
      </c>
      <c r="AP241" s="85">
        <v>0</v>
      </c>
      <c r="AQ241" s="86">
        <v>0</v>
      </c>
      <c r="AR241" s="87">
        <v>0</v>
      </c>
      <c r="AS241" s="87">
        <v>0</v>
      </c>
      <c r="AT241" s="87">
        <v>0</v>
      </c>
      <c r="AU241" s="87">
        <v>0</v>
      </c>
      <c r="AV241" s="87">
        <v>0</v>
      </c>
      <c r="AW241" s="87">
        <v>0</v>
      </c>
      <c r="AX241" s="87">
        <v>341</v>
      </c>
      <c r="AY241" s="87">
        <v>631</v>
      </c>
      <c r="AZ241" s="87">
        <v>548</v>
      </c>
      <c r="BA241" s="87">
        <v>521</v>
      </c>
      <c r="BB241" s="87">
        <v>446</v>
      </c>
      <c r="BC241" s="86">
        <v>447</v>
      </c>
      <c r="BD241" s="87">
        <v>430</v>
      </c>
      <c r="BE241" s="87">
        <v>309</v>
      </c>
      <c r="BF241" s="87">
        <v>396</v>
      </c>
      <c r="BG241" s="87">
        <v>398</v>
      </c>
      <c r="BH241" s="87">
        <v>251</v>
      </c>
      <c r="BI241" s="87">
        <v>705</v>
      </c>
      <c r="BJ241" s="40">
        <v>673</v>
      </c>
      <c r="BK241" s="40">
        <v>352</v>
      </c>
      <c r="BL241" s="40">
        <v>258</v>
      </c>
      <c r="BM241" s="40">
        <v>303</v>
      </c>
      <c r="BN241" s="87"/>
      <c r="BO241" s="86"/>
      <c r="BP241" s="21">
        <v>0</v>
      </c>
      <c r="BQ241" s="21">
        <v>0</v>
      </c>
      <c r="BR241" s="21">
        <v>0</v>
      </c>
      <c r="BS241" s="21">
        <v>0</v>
      </c>
      <c r="BT241" s="21">
        <v>0</v>
      </c>
      <c r="BU241" s="42">
        <v>0</v>
      </c>
      <c r="BV241" s="21">
        <v>0</v>
      </c>
      <c r="BW241" s="21">
        <v>0</v>
      </c>
      <c r="BX241" s="21">
        <v>0</v>
      </c>
      <c r="BY241" s="21">
        <v>0</v>
      </c>
      <c r="BZ241" s="21">
        <v>0</v>
      </c>
      <c r="CA241" s="21">
        <v>2</v>
      </c>
      <c r="CB241" s="21">
        <v>16</v>
      </c>
      <c r="CC241" s="21">
        <v>12</v>
      </c>
      <c r="CD241" s="21">
        <v>15</v>
      </c>
      <c r="CE241" s="21">
        <v>11</v>
      </c>
      <c r="CF241" s="21">
        <v>39</v>
      </c>
      <c r="CG241" s="42">
        <v>13</v>
      </c>
      <c r="CH241" s="21">
        <v>8</v>
      </c>
      <c r="CI241" s="21">
        <v>17</v>
      </c>
      <c r="CJ241" s="21">
        <v>25</v>
      </c>
      <c r="CK241" s="21">
        <v>6</v>
      </c>
      <c r="CL241" s="21">
        <v>9</v>
      </c>
      <c r="CM241" s="21">
        <v>183</v>
      </c>
      <c r="CN241" s="21">
        <v>14</v>
      </c>
      <c r="CO241" s="21">
        <v>4</v>
      </c>
      <c r="CP241" s="21">
        <f t="shared" si="377"/>
        <v>4</v>
      </c>
      <c r="CQ241" s="344">
        <f t="shared" si="378"/>
        <v>30</v>
      </c>
      <c r="CR241" s="87"/>
      <c r="CS241" s="86"/>
      <c r="CT241" s="85">
        <f t="shared" si="411"/>
        <v>0</v>
      </c>
      <c r="CU241" s="85">
        <f t="shared" si="412"/>
        <v>0</v>
      </c>
      <c r="CV241" s="85">
        <f t="shared" si="413"/>
        <v>0</v>
      </c>
      <c r="CW241" s="85">
        <f t="shared" si="414"/>
        <v>0</v>
      </c>
      <c r="CX241" s="85">
        <f t="shared" si="415"/>
        <v>0</v>
      </c>
      <c r="CY241" s="86">
        <f t="shared" si="416"/>
        <v>0</v>
      </c>
      <c r="CZ241" s="87">
        <f t="shared" si="417"/>
        <v>0</v>
      </c>
      <c r="DA241" s="87">
        <f t="shared" si="418"/>
        <v>0</v>
      </c>
      <c r="DB241" s="87">
        <f t="shared" si="419"/>
        <v>0</v>
      </c>
      <c r="DC241" s="87">
        <f t="shared" si="420"/>
        <v>0</v>
      </c>
      <c r="DD241" s="87">
        <f t="shared" si="421"/>
        <v>0</v>
      </c>
      <c r="DE241" s="87">
        <f t="shared" si="422"/>
        <v>2</v>
      </c>
      <c r="DF241" s="87">
        <f t="shared" si="423"/>
        <v>357</v>
      </c>
      <c r="DG241" s="87">
        <f t="shared" si="424"/>
        <v>643</v>
      </c>
      <c r="DH241" s="87">
        <f t="shared" si="425"/>
        <v>563</v>
      </c>
      <c r="DI241" s="87">
        <f t="shared" si="426"/>
        <v>532</v>
      </c>
      <c r="DJ241" s="87">
        <f t="shared" si="427"/>
        <v>485</v>
      </c>
      <c r="DK241" s="86">
        <f t="shared" si="428"/>
        <v>460</v>
      </c>
      <c r="DL241" s="87">
        <f t="shared" si="429"/>
        <v>438</v>
      </c>
      <c r="DM241" s="87">
        <f t="shared" si="430"/>
        <v>326</v>
      </c>
      <c r="DN241" s="87">
        <f t="shared" si="431"/>
        <v>421</v>
      </c>
      <c r="DO241" s="87">
        <f t="shared" si="432"/>
        <v>404</v>
      </c>
      <c r="DP241" s="87">
        <f t="shared" si="433"/>
        <v>260</v>
      </c>
      <c r="DQ241" s="87">
        <f t="shared" si="434"/>
        <v>888</v>
      </c>
      <c r="DR241" s="87">
        <f t="shared" si="439"/>
        <v>687</v>
      </c>
      <c r="DS241" s="87">
        <f t="shared" si="440"/>
        <v>356</v>
      </c>
      <c r="DT241" s="87">
        <f t="shared" si="435"/>
        <v>262</v>
      </c>
      <c r="DU241" s="87">
        <f t="shared" si="436"/>
        <v>333</v>
      </c>
      <c r="DV241" s="87">
        <f t="shared" si="437"/>
        <v>0</v>
      </c>
      <c r="DW241" s="87">
        <f t="shared" si="438"/>
        <v>0</v>
      </c>
    </row>
    <row r="242" spans="1:127">
      <c r="A242" s="22" t="s">
        <v>126</v>
      </c>
      <c r="B242" s="26">
        <v>6903148357019</v>
      </c>
      <c r="C242" s="22" t="s">
        <v>127</v>
      </c>
      <c r="D242" s="22" t="s">
        <v>124</v>
      </c>
      <c r="E242" s="22">
        <v>258155</v>
      </c>
      <c r="F242" s="80" t="s">
        <v>334</v>
      </c>
      <c r="G242" s="25">
        <v>63.15</v>
      </c>
      <c r="H242" s="85">
        <f t="shared" si="347"/>
        <v>0</v>
      </c>
      <c r="I242" s="85">
        <f t="shared" si="348"/>
        <v>0</v>
      </c>
      <c r="J242" s="85">
        <f t="shared" si="349"/>
        <v>0</v>
      </c>
      <c r="K242" s="85">
        <f t="shared" si="350"/>
        <v>0</v>
      </c>
      <c r="L242" s="85">
        <f t="shared" si="351"/>
        <v>0</v>
      </c>
      <c r="M242" s="86">
        <f t="shared" si="352"/>
        <v>0</v>
      </c>
      <c r="N242" s="87">
        <f t="shared" si="353"/>
        <v>0</v>
      </c>
      <c r="O242" s="87">
        <f t="shared" si="354"/>
        <v>0</v>
      </c>
      <c r="P242" s="87">
        <f t="shared" si="355"/>
        <v>0</v>
      </c>
      <c r="Q242" s="87">
        <f t="shared" si="356"/>
        <v>0</v>
      </c>
      <c r="R242" s="87">
        <f t="shared" si="357"/>
        <v>0</v>
      </c>
      <c r="S242" s="87">
        <f t="shared" si="358"/>
        <v>189.45</v>
      </c>
      <c r="T242" s="87">
        <f t="shared" si="359"/>
        <v>39089.85</v>
      </c>
      <c r="U242" s="87">
        <f t="shared" si="360"/>
        <v>77737.649999999994</v>
      </c>
      <c r="V242" s="87">
        <f t="shared" si="361"/>
        <v>77232.45</v>
      </c>
      <c r="W242" s="87">
        <f t="shared" si="362"/>
        <v>60750.299999999996</v>
      </c>
      <c r="X242" s="87">
        <f t="shared" si="363"/>
        <v>100787.4</v>
      </c>
      <c r="Y242" s="86">
        <f t="shared" si="364"/>
        <v>68896.649999999994</v>
      </c>
      <c r="Z242" s="87">
        <f t="shared" si="365"/>
        <v>41931.599999999999</v>
      </c>
      <c r="AA242" s="87">
        <f t="shared" si="366"/>
        <v>21786.75</v>
      </c>
      <c r="AB242" s="87">
        <f t="shared" si="367"/>
        <v>31953.899999999998</v>
      </c>
      <c r="AC242" s="87">
        <f t="shared" si="368"/>
        <v>37574.25</v>
      </c>
      <c r="AD242" s="87">
        <f t="shared" si="369"/>
        <v>20965.8</v>
      </c>
      <c r="AE242" s="87">
        <f t="shared" si="370"/>
        <v>52603.95</v>
      </c>
      <c r="AF242" s="231">
        <f t="shared" si="371"/>
        <v>48878.1</v>
      </c>
      <c r="AG242" s="87">
        <f t="shared" si="372"/>
        <v>24186.45</v>
      </c>
      <c r="AH242" s="87">
        <f t="shared" si="407"/>
        <v>19765.95</v>
      </c>
      <c r="AI242" s="87">
        <f t="shared" si="408"/>
        <v>25274.033333333333</v>
      </c>
      <c r="AJ242" s="87">
        <f t="shared" si="409"/>
        <v>0</v>
      </c>
      <c r="AK242" s="86">
        <f t="shared" si="410"/>
        <v>0</v>
      </c>
      <c r="AL242" s="85">
        <v>0</v>
      </c>
      <c r="AM242" s="85">
        <v>0</v>
      </c>
      <c r="AN242" s="85">
        <v>0</v>
      </c>
      <c r="AO242" s="85">
        <v>0</v>
      </c>
      <c r="AP242" s="85">
        <v>0</v>
      </c>
      <c r="AQ242" s="86">
        <v>0</v>
      </c>
      <c r="AR242" s="87">
        <v>0</v>
      </c>
      <c r="AS242" s="87">
        <v>0</v>
      </c>
      <c r="AT242" s="87">
        <v>0</v>
      </c>
      <c r="AU242" s="87">
        <v>0</v>
      </c>
      <c r="AV242" s="87">
        <v>0</v>
      </c>
      <c r="AW242" s="87">
        <v>0</v>
      </c>
      <c r="AX242" s="87">
        <v>609</v>
      </c>
      <c r="AY242" s="87">
        <v>1197</v>
      </c>
      <c r="AZ242" s="87">
        <v>1185</v>
      </c>
      <c r="BA242" s="87">
        <v>932</v>
      </c>
      <c r="BB242" s="87">
        <v>1270</v>
      </c>
      <c r="BC242" s="86">
        <v>1037</v>
      </c>
      <c r="BD242" s="87">
        <v>645</v>
      </c>
      <c r="BE242" s="87">
        <v>320</v>
      </c>
      <c r="BF242" s="87">
        <v>476</v>
      </c>
      <c r="BG242" s="87">
        <v>571</v>
      </c>
      <c r="BH242" s="87">
        <v>301</v>
      </c>
      <c r="BI242" s="87">
        <v>737</v>
      </c>
      <c r="BJ242" s="40">
        <v>755</v>
      </c>
      <c r="BK242" s="40">
        <v>378</v>
      </c>
      <c r="BL242" s="40">
        <v>308</v>
      </c>
      <c r="BM242" s="40">
        <v>372</v>
      </c>
      <c r="BN242" s="87"/>
      <c r="BO242" s="86"/>
      <c r="BP242" s="21">
        <v>0</v>
      </c>
      <c r="BQ242" s="21">
        <v>0</v>
      </c>
      <c r="BR242" s="21">
        <v>0</v>
      </c>
      <c r="BS242" s="21">
        <v>0</v>
      </c>
      <c r="BT242" s="21">
        <v>0</v>
      </c>
      <c r="BU242" s="42">
        <v>0</v>
      </c>
      <c r="BV242" s="21">
        <v>0</v>
      </c>
      <c r="BW242" s="21">
        <v>0</v>
      </c>
      <c r="BX242" s="21">
        <v>0</v>
      </c>
      <c r="BY242" s="21">
        <v>0</v>
      </c>
      <c r="BZ242" s="21">
        <v>0</v>
      </c>
      <c r="CA242" s="21">
        <v>3</v>
      </c>
      <c r="CB242" s="21">
        <v>10</v>
      </c>
      <c r="CC242" s="21">
        <v>34</v>
      </c>
      <c r="CD242" s="21">
        <v>38</v>
      </c>
      <c r="CE242" s="21">
        <v>30</v>
      </c>
      <c r="CF242" s="21">
        <v>326</v>
      </c>
      <c r="CG242" s="42">
        <v>54</v>
      </c>
      <c r="CH242" s="21">
        <v>19</v>
      </c>
      <c r="CI242" s="21">
        <v>25</v>
      </c>
      <c r="CJ242" s="21">
        <v>30</v>
      </c>
      <c r="CK242" s="21">
        <v>24</v>
      </c>
      <c r="CL242" s="21">
        <v>31</v>
      </c>
      <c r="CM242" s="21">
        <v>96</v>
      </c>
      <c r="CN242" s="21">
        <v>19</v>
      </c>
      <c r="CO242" s="21">
        <v>5</v>
      </c>
      <c r="CP242" s="21">
        <f t="shared" si="377"/>
        <v>5</v>
      </c>
      <c r="CQ242" s="344">
        <f t="shared" si="378"/>
        <v>28.222222222222221</v>
      </c>
      <c r="CR242" s="87"/>
      <c r="CS242" s="86"/>
      <c r="CT242" s="85">
        <f t="shared" si="411"/>
        <v>0</v>
      </c>
      <c r="CU242" s="85">
        <f t="shared" si="412"/>
        <v>0</v>
      </c>
      <c r="CV242" s="85">
        <f t="shared" si="413"/>
        <v>0</v>
      </c>
      <c r="CW242" s="85">
        <f t="shared" si="414"/>
        <v>0</v>
      </c>
      <c r="CX242" s="85">
        <f t="shared" si="415"/>
        <v>0</v>
      </c>
      <c r="CY242" s="86">
        <f t="shared" si="416"/>
        <v>0</v>
      </c>
      <c r="CZ242" s="87">
        <f t="shared" si="417"/>
        <v>0</v>
      </c>
      <c r="DA242" s="87">
        <f t="shared" si="418"/>
        <v>0</v>
      </c>
      <c r="DB242" s="87">
        <f t="shared" si="419"/>
        <v>0</v>
      </c>
      <c r="DC242" s="87">
        <f t="shared" si="420"/>
        <v>0</v>
      </c>
      <c r="DD242" s="87">
        <f t="shared" si="421"/>
        <v>0</v>
      </c>
      <c r="DE242" s="87">
        <f t="shared" si="422"/>
        <v>3</v>
      </c>
      <c r="DF242" s="87">
        <f t="shared" si="423"/>
        <v>619</v>
      </c>
      <c r="DG242" s="87">
        <f t="shared" si="424"/>
        <v>1231</v>
      </c>
      <c r="DH242" s="87">
        <f t="shared" si="425"/>
        <v>1223</v>
      </c>
      <c r="DI242" s="87">
        <f t="shared" si="426"/>
        <v>962</v>
      </c>
      <c r="DJ242" s="87">
        <f t="shared" si="427"/>
        <v>1596</v>
      </c>
      <c r="DK242" s="86">
        <f t="shared" si="428"/>
        <v>1091</v>
      </c>
      <c r="DL242" s="87">
        <f t="shared" si="429"/>
        <v>664</v>
      </c>
      <c r="DM242" s="87">
        <f t="shared" si="430"/>
        <v>345</v>
      </c>
      <c r="DN242" s="87">
        <f t="shared" si="431"/>
        <v>506</v>
      </c>
      <c r="DO242" s="87">
        <f t="shared" si="432"/>
        <v>595</v>
      </c>
      <c r="DP242" s="87">
        <f t="shared" si="433"/>
        <v>332</v>
      </c>
      <c r="DQ242" s="87">
        <f t="shared" si="434"/>
        <v>833</v>
      </c>
      <c r="DR242" s="87">
        <f t="shared" si="439"/>
        <v>774</v>
      </c>
      <c r="DS242" s="87">
        <f t="shared" si="440"/>
        <v>383</v>
      </c>
      <c r="DT242" s="87">
        <f t="shared" si="435"/>
        <v>313</v>
      </c>
      <c r="DU242" s="87">
        <f t="shared" si="436"/>
        <v>400.22222222222223</v>
      </c>
      <c r="DV242" s="87">
        <f t="shared" si="437"/>
        <v>0</v>
      </c>
      <c r="DW242" s="87">
        <f t="shared" si="438"/>
        <v>0</v>
      </c>
    </row>
    <row r="243" spans="1:127">
      <c r="A243" s="22" t="s">
        <v>126</v>
      </c>
      <c r="B243" s="26">
        <v>4987176301017</v>
      </c>
      <c r="C243" s="22" t="s">
        <v>127</v>
      </c>
      <c r="D243" s="22" t="s">
        <v>124</v>
      </c>
      <c r="E243" s="22">
        <v>258158</v>
      </c>
      <c r="F243" s="80" t="s">
        <v>335</v>
      </c>
      <c r="G243" s="25">
        <v>114.77</v>
      </c>
      <c r="H243" s="85">
        <f t="shared" si="347"/>
        <v>0</v>
      </c>
      <c r="I243" s="85">
        <f t="shared" si="348"/>
        <v>0</v>
      </c>
      <c r="J243" s="85">
        <f t="shared" si="349"/>
        <v>0</v>
      </c>
      <c r="K243" s="85">
        <f t="shared" si="350"/>
        <v>0</v>
      </c>
      <c r="L243" s="85">
        <f t="shared" si="351"/>
        <v>0</v>
      </c>
      <c r="M243" s="86">
        <f t="shared" si="352"/>
        <v>0</v>
      </c>
      <c r="N243" s="87">
        <f t="shared" si="353"/>
        <v>0</v>
      </c>
      <c r="O243" s="87">
        <f t="shared" si="354"/>
        <v>0</v>
      </c>
      <c r="P243" s="87">
        <f t="shared" si="355"/>
        <v>0</v>
      </c>
      <c r="Q243" s="87">
        <f t="shared" si="356"/>
        <v>0</v>
      </c>
      <c r="R243" s="87">
        <f t="shared" si="357"/>
        <v>0</v>
      </c>
      <c r="S243" s="87">
        <f t="shared" si="358"/>
        <v>344.31</v>
      </c>
      <c r="T243" s="87">
        <f t="shared" si="359"/>
        <v>16182.57</v>
      </c>
      <c r="U243" s="87">
        <f t="shared" si="360"/>
        <v>20888.14</v>
      </c>
      <c r="V243" s="87">
        <f t="shared" si="361"/>
        <v>20773.37</v>
      </c>
      <c r="W243" s="87">
        <f t="shared" si="362"/>
        <v>10788.38</v>
      </c>
      <c r="X243" s="87">
        <f t="shared" si="363"/>
        <v>14001.939999999999</v>
      </c>
      <c r="Y243" s="86">
        <f t="shared" si="364"/>
        <v>16297.34</v>
      </c>
      <c r="Z243" s="87">
        <f t="shared" si="365"/>
        <v>17789.349999999999</v>
      </c>
      <c r="AA243" s="87">
        <f t="shared" si="366"/>
        <v>14116.71</v>
      </c>
      <c r="AB243" s="87">
        <f t="shared" si="367"/>
        <v>14116.71</v>
      </c>
      <c r="AC243" s="87">
        <f t="shared" si="368"/>
        <v>10903.15</v>
      </c>
      <c r="AD243" s="87">
        <f t="shared" si="369"/>
        <v>5394.19</v>
      </c>
      <c r="AE243" s="87">
        <f t="shared" si="370"/>
        <v>114.77</v>
      </c>
      <c r="AF243" s="231">
        <f t="shared" si="371"/>
        <v>229.54</v>
      </c>
      <c r="AG243" s="87">
        <f t="shared" si="372"/>
        <v>0</v>
      </c>
      <c r="AH243" s="87">
        <f t="shared" si="407"/>
        <v>0</v>
      </c>
      <c r="AI243" s="87">
        <f t="shared" si="408"/>
        <v>1645.0366666666666</v>
      </c>
      <c r="AJ243" s="87">
        <f t="shared" si="409"/>
        <v>0</v>
      </c>
      <c r="AK243" s="86">
        <f t="shared" si="410"/>
        <v>0</v>
      </c>
      <c r="AL243" s="85">
        <v>0</v>
      </c>
      <c r="AM243" s="85">
        <v>0</v>
      </c>
      <c r="AN243" s="85">
        <v>0</v>
      </c>
      <c r="AO243" s="85">
        <v>0</v>
      </c>
      <c r="AP243" s="85">
        <v>0</v>
      </c>
      <c r="AQ243" s="86">
        <v>0</v>
      </c>
      <c r="AR243" s="87">
        <v>0</v>
      </c>
      <c r="AS243" s="87">
        <v>0</v>
      </c>
      <c r="AT243" s="87">
        <v>0</v>
      </c>
      <c r="AU243" s="87">
        <v>0</v>
      </c>
      <c r="AV243" s="87">
        <v>0</v>
      </c>
      <c r="AW243" s="87">
        <v>0</v>
      </c>
      <c r="AX243" s="87">
        <v>57</v>
      </c>
      <c r="AY243" s="87">
        <v>59</v>
      </c>
      <c r="AZ243" s="87">
        <v>59</v>
      </c>
      <c r="BA243" s="87">
        <v>49</v>
      </c>
      <c r="BB243" s="87">
        <v>32</v>
      </c>
      <c r="BC243" s="86">
        <v>50</v>
      </c>
      <c r="BD243" s="87">
        <v>111</v>
      </c>
      <c r="BE243" s="87">
        <v>78</v>
      </c>
      <c r="BF243" s="87">
        <v>95</v>
      </c>
      <c r="BG243" s="87">
        <v>83</v>
      </c>
      <c r="BH243" s="87">
        <v>47</v>
      </c>
      <c r="BI243" s="87">
        <v>1</v>
      </c>
      <c r="BJ243" s="40">
        <v>2</v>
      </c>
      <c r="BK243" s="40">
        <v>0</v>
      </c>
      <c r="BL243" s="40">
        <v>0</v>
      </c>
      <c r="BM243" s="40">
        <v>0</v>
      </c>
      <c r="BN243" s="87"/>
      <c r="BO243" s="86"/>
      <c r="BP243" s="21">
        <v>0</v>
      </c>
      <c r="BQ243" s="21">
        <v>0</v>
      </c>
      <c r="BR243" s="21">
        <v>0</v>
      </c>
      <c r="BS243" s="21">
        <v>0</v>
      </c>
      <c r="BT243" s="21">
        <v>0</v>
      </c>
      <c r="BU243" s="42">
        <v>0</v>
      </c>
      <c r="BV243" s="21">
        <v>0</v>
      </c>
      <c r="BW243" s="21">
        <v>0</v>
      </c>
      <c r="BX243" s="21">
        <v>0</v>
      </c>
      <c r="BY243" s="21">
        <v>0</v>
      </c>
      <c r="BZ243" s="21">
        <v>0</v>
      </c>
      <c r="CA243" s="21">
        <v>3</v>
      </c>
      <c r="CB243" s="21">
        <v>84</v>
      </c>
      <c r="CC243" s="21">
        <v>123</v>
      </c>
      <c r="CD243" s="21">
        <v>122</v>
      </c>
      <c r="CE243" s="21">
        <v>45</v>
      </c>
      <c r="CF243" s="21">
        <v>90</v>
      </c>
      <c r="CG243" s="42">
        <v>92</v>
      </c>
      <c r="CH243" s="21">
        <v>44</v>
      </c>
      <c r="CI243" s="21">
        <v>45</v>
      </c>
      <c r="CJ243" s="21">
        <v>28</v>
      </c>
      <c r="CK243" s="21">
        <v>12</v>
      </c>
      <c r="CL243" s="21">
        <v>0</v>
      </c>
      <c r="CM243" s="21">
        <v>0</v>
      </c>
      <c r="CN243" s="21">
        <v>0</v>
      </c>
      <c r="CO243" s="21">
        <v>0</v>
      </c>
      <c r="CP243" s="21">
        <f t="shared" si="377"/>
        <v>0</v>
      </c>
      <c r="CQ243" s="344">
        <f t="shared" si="378"/>
        <v>14.333333333333334</v>
      </c>
      <c r="CR243" s="87"/>
      <c r="CS243" s="86"/>
      <c r="CT243" s="85">
        <f t="shared" si="411"/>
        <v>0</v>
      </c>
      <c r="CU243" s="85">
        <f t="shared" si="412"/>
        <v>0</v>
      </c>
      <c r="CV243" s="85">
        <f t="shared" si="413"/>
        <v>0</v>
      </c>
      <c r="CW243" s="85">
        <f t="shared" si="414"/>
        <v>0</v>
      </c>
      <c r="CX243" s="85">
        <f t="shared" si="415"/>
        <v>0</v>
      </c>
      <c r="CY243" s="86">
        <f t="shared" si="416"/>
        <v>0</v>
      </c>
      <c r="CZ243" s="87">
        <f t="shared" si="417"/>
        <v>0</v>
      </c>
      <c r="DA243" s="87">
        <f t="shared" si="418"/>
        <v>0</v>
      </c>
      <c r="DB243" s="87">
        <f t="shared" si="419"/>
        <v>0</v>
      </c>
      <c r="DC243" s="87">
        <f t="shared" si="420"/>
        <v>0</v>
      </c>
      <c r="DD243" s="87">
        <f t="shared" si="421"/>
        <v>0</v>
      </c>
      <c r="DE243" s="87">
        <f t="shared" si="422"/>
        <v>3</v>
      </c>
      <c r="DF243" s="87">
        <f t="shared" si="423"/>
        <v>141</v>
      </c>
      <c r="DG243" s="87">
        <f t="shared" si="424"/>
        <v>182</v>
      </c>
      <c r="DH243" s="87">
        <f t="shared" si="425"/>
        <v>181</v>
      </c>
      <c r="DI243" s="87">
        <f t="shared" si="426"/>
        <v>94</v>
      </c>
      <c r="DJ243" s="87">
        <f t="shared" si="427"/>
        <v>122</v>
      </c>
      <c r="DK243" s="86">
        <f t="shared" si="428"/>
        <v>142</v>
      </c>
      <c r="DL243" s="87">
        <f t="shared" si="429"/>
        <v>155</v>
      </c>
      <c r="DM243" s="87">
        <f t="shared" si="430"/>
        <v>123</v>
      </c>
      <c r="DN243" s="87">
        <f t="shared" si="431"/>
        <v>123</v>
      </c>
      <c r="DO243" s="87">
        <f t="shared" si="432"/>
        <v>95</v>
      </c>
      <c r="DP243" s="87">
        <f t="shared" si="433"/>
        <v>47</v>
      </c>
      <c r="DQ243" s="87">
        <f t="shared" si="434"/>
        <v>1</v>
      </c>
      <c r="DR243" s="87">
        <f t="shared" si="439"/>
        <v>2</v>
      </c>
      <c r="DS243" s="87">
        <f t="shared" si="440"/>
        <v>0</v>
      </c>
      <c r="DT243" s="87">
        <f t="shared" si="435"/>
        <v>0</v>
      </c>
      <c r="DU243" s="87">
        <f t="shared" si="436"/>
        <v>14.333333333333334</v>
      </c>
      <c r="DV243" s="87">
        <f t="shared" si="437"/>
        <v>0</v>
      </c>
      <c r="DW243" s="87">
        <f t="shared" si="438"/>
        <v>0</v>
      </c>
    </row>
    <row r="244" spans="1:127">
      <c r="A244" s="22" t="s">
        <v>126</v>
      </c>
      <c r="B244" s="26">
        <v>6903148304761</v>
      </c>
      <c r="C244" s="22" t="s">
        <v>127</v>
      </c>
      <c r="D244" s="22" t="s">
        <v>124</v>
      </c>
      <c r="E244" s="22">
        <v>258161</v>
      </c>
      <c r="F244" s="80" t="s">
        <v>336</v>
      </c>
      <c r="G244" s="25">
        <v>114.77</v>
      </c>
      <c r="H244" s="85">
        <f t="shared" si="347"/>
        <v>0</v>
      </c>
      <c r="I244" s="85">
        <f t="shared" si="348"/>
        <v>0</v>
      </c>
      <c r="J244" s="85">
        <f t="shared" si="349"/>
        <v>0</v>
      </c>
      <c r="K244" s="85">
        <f t="shared" si="350"/>
        <v>0</v>
      </c>
      <c r="L244" s="85">
        <f t="shared" si="351"/>
        <v>0</v>
      </c>
      <c r="M244" s="86">
        <f t="shared" si="352"/>
        <v>0</v>
      </c>
      <c r="N244" s="87">
        <f t="shared" si="353"/>
        <v>0</v>
      </c>
      <c r="O244" s="87">
        <f t="shared" si="354"/>
        <v>0</v>
      </c>
      <c r="P244" s="87">
        <f t="shared" si="355"/>
        <v>0</v>
      </c>
      <c r="Q244" s="87">
        <f t="shared" si="356"/>
        <v>0</v>
      </c>
      <c r="R244" s="87">
        <f t="shared" si="357"/>
        <v>0</v>
      </c>
      <c r="S244" s="87">
        <f t="shared" si="358"/>
        <v>3098.79</v>
      </c>
      <c r="T244" s="87">
        <f t="shared" si="359"/>
        <v>33742.379999999997</v>
      </c>
      <c r="U244" s="87">
        <f t="shared" si="360"/>
        <v>50384.03</v>
      </c>
      <c r="V244" s="87">
        <f t="shared" si="361"/>
        <v>53368.049999999996</v>
      </c>
      <c r="W244" s="87">
        <f t="shared" si="362"/>
        <v>28807.27</v>
      </c>
      <c r="X244" s="87">
        <f t="shared" si="363"/>
        <v>46481.85</v>
      </c>
      <c r="Y244" s="86">
        <f t="shared" si="364"/>
        <v>58303.159999999996</v>
      </c>
      <c r="Z244" s="87">
        <f t="shared" si="365"/>
        <v>52794.2</v>
      </c>
      <c r="AA244" s="87">
        <f t="shared" si="366"/>
        <v>53138.509999999995</v>
      </c>
      <c r="AB244" s="87">
        <f t="shared" si="367"/>
        <v>49006.79</v>
      </c>
      <c r="AC244" s="87">
        <f t="shared" si="368"/>
        <v>52335.119999999995</v>
      </c>
      <c r="AD244" s="87">
        <f t="shared" si="369"/>
        <v>65418.899999999994</v>
      </c>
      <c r="AE244" s="87">
        <f t="shared" si="370"/>
        <v>124754.98999999999</v>
      </c>
      <c r="AF244" s="231">
        <f t="shared" si="371"/>
        <v>77584.52</v>
      </c>
      <c r="AG244" s="87">
        <f t="shared" si="372"/>
        <v>45104.61</v>
      </c>
      <c r="AH244" s="87">
        <f t="shared" si="407"/>
        <v>36037.78</v>
      </c>
      <c r="AI244" s="87">
        <f t="shared" si="408"/>
        <v>62983.22555555556</v>
      </c>
      <c r="AJ244" s="87">
        <f t="shared" si="409"/>
        <v>0</v>
      </c>
      <c r="AK244" s="86">
        <f t="shared" si="410"/>
        <v>0</v>
      </c>
      <c r="AL244" s="85">
        <v>0</v>
      </c>
      <c r="AM244" s="85">
        <v>0</v>
      </c>
      <c r="AN244" s="85">
        <v>0</v>
      </c>
      <c r="AO244" s="85">
        <v>0</v>
      </c>
      <c r="AP244" s="85">
        <v>0</v>
      </c>
      <c r="AQ244" s="86">
        <v>0</v>
      </c>
      <c r="AR244" s="87">
        <v>0</v>
      </c>
      <c r="AS244" s="87">
        <v>0</v>
      </c>
      <c r="AT244" s="87">
        <v>0</v>
      </c>
      <c r="AU244" s="87">
        <v>0</v>
      </c>
      <c r="AV244" s="87">
        <v>0</v>
      </c>
      <c r="AW244" s="87">
        <v>0</v>
      </c>
      <c r="AX244" s="87">
        <v>90</v>
      </c>
      <c r="AY244" s="87">
        <v>126</v>
      </c>
      <c r="AZ244" s="87">
        <v>104</v>
      </c>
      <c r="BA244" s="87">
        <v>116</v>
      </c>
      <c r="BB244" s="87">
        <v>152</v>
      </c>
      <c r="BC244" s="86">
        <v>247</v>
      </c>
      <c r="BD244" s="87">
        <v>346</v>
      </c>
      <c r="BE244" s="87">
        <v>287</v>
      </c>
      <c r="BF244" s="87">
        <v>336</v>
      </c>
      <c r="BG244" s="87">
        <v>237</v>
      </c>
      <c r="BH244" s="87">
        <v>274</v>
      </c>
      <c r="BI244" s="87">
        <v>472</v>
      </c>
      <c r="BJ244" s="40">
        <v>358</v>
      </c>
      <c r="BK244" s="40">
        <v>314</v>
      </c>
      <c r="BL244" s="40">
        <v>235</v>
      </c>
      <c r="BM244" s="40">
        <v>328</v>
      </c>
      <c r="BN244" s="87"/>
      <c r="BO244" s="86"/>
      <c r="BP244" s="21">
        <v>0</v>
      </c>
      <c r="BQ244" s="21">
        <v>0</v>
      </c>
      <c r="BR244" s="21">
        <v>0</v>
      </c>
      <c r="BS244" s="21">
        <v>0</v>
      </c>
      <c r="BT244" s="21">
        <v>0</v>
      </c>
      <c r="BU244" s="42">
        <v>0</v>
      </c>
      <c r="BV244" s="21">
        <v>0</v>
      </c>
      <c r="BW244" s="21">
        <v>0</v>
      </c>
      <c r="BX244" s="21">
        <v>0</v>
      </c>
      <c r="BY244" s="21">
        <v>0</v>
      </c>
      <c r="BZ244" s="21">
        <v>0</v>
      </c>
      <c r="CA244" s="21">
        <v>27</v>
      </c>
      <c r="CB244" s="21">
        <v>204</v>
      </c>
      <c r="CC244" s="21">
        <v>313</v>
      </c>
      <c r="CD244" s="21">
        <v>361</v>
      </c>
      <c r="CE244" s="21">
        <v>135</v>
      </c>
      <c r="CF244" s="21">
        <v>253</v>
      </c>
      <c r="CG244" s="42">
        <v>261</v>
      </c>
      <c r="CH244" s="21">
        <v>114</v>
      </c>
      <c r="CI244" s="21">
        <v>176</v>
      </c>
      <c r="CJ244" s="21">
        <v>91</v>
      </c>
      <c r="CK244" s="21">
        <v>219</v>
      </c>
      <c r="CL244" s="21">
        <v>296</v>
      </c>
      <c r="CM244" s="21">
        <v>615</v>
      </c>
      <c r="CN244" s="21">
        <v>318</v>
      </c>
      <c r="CO244" s="21">
        <v>79</v>
      </c>
      <c r="CP244" s="21">
        <f t="shared" si="377"/>
        <v>79</v>
      </c>
      <c r="CQ244" s="344">
        <f t="shared" si="378"/>
        <v>220.77777777777777</v>
      </c>
      <c r="CR244" s="87"/>
      <c r="CS244" s="86"/>
      <c r="CT244" s="85">
        <f t="shared" si="411"/>
        <v>0</v>
      </c>
      <c r="CU244" s="85">
        <f t="shared" si="412"/>
        <v>0</v>
      </c>
      <c r="CV244" s="85">
        <f t="shared" si="413"/>
        <v>0</v>
      </c>
      <c r="CW244" s="85">
        <f t="shared" si="414"/>
        <v>0</v>
      </c>
      <c r="CX244" s="85">
        <f t="shared" si="415"/>
        <v>0</v>
      </c>
      <c r="CY244" s="86">
        <f t="shared" si="416"/>
        <v>0</v>
      </c>
      <c r="CZ244" s="87">
        <f t="shared" si="417"/>
        <v>0</v>
      </c>
      <c r="DA244" s="87">
        <f t="shared" si="418"/>
        <v>0</v>
      </c>
      <c r="DB244" s="87">
        <f t="shared" si="419"/>
        <v>0</v>
      </c>
      <c r="DC244" s="87">
        <f t="shared" si="420"/>
        <v>0</v>
      </c>
      <c r="DD244" s="87">
        <f t="shared" si="421"/>
        <v>0</v>
      </c>
      <c r="DE244" s="87">
        <f t="shared" si="422"/>
        <v>27</v>
      </c>
      <c r="DF244" s="87">
        <f t="shared" si="423"/>
        <v>294</v>
      </c>
      <c r="DG244" s="87">
        <f t="shared" si="424"/>
        <v>439</v>
      </c>
      <c r="DH244" s="87">
        <f t="shared" si="425"/>
        <v>465</v>
      </c>
      <c r="DI244" s="87">
        <f t="shared" si="426"/>
        <v>251</v>
      </c>
      <c r="DJ244" s="87">
        <f t="shared" si="427"/>
        <v>405</v>
      </c>
      <c r="DK244" s="86">
        <f t="shared" si="428"/>
        <v>508</v>
      </c>
      <c r="DL244" s="87">
        <f t="shared" si="429"/>
        <v>460</v>
      </c>
      <c r="DM244" s="87">
        <f t="shared" si="430"/>
        <v>463</v>
      </c>
      <c r="DN244" s="87">
        <f t="shared" si="431"/>
        <v>427</v>
      </c>
      <c r="DO244" s="87">
        <f t="shared" si="432"/>
        <v>456</v>
      </c>
      <c r="DP244" s="87">
        <f t="shared" si="433"/>
        <v>570</v>
      </c>
      <c r="DQ244" s="87">
        <f t="shared" si="434"/>
        <v>1087</v>
      </c>
      <c r="DR244" s="87">
        <f t="shared" si="439"/>
        <v>676</v>
      </c>
      <c r="DS244" s="87">
        <f t="shared" si="440"/>
        <v>393</v>
      </c>
      <c r="DT244" s="87">
        <f t="shared" si="435"/>
        <v>314</v>
      </c>
      <c r="DU244" s="87">
        <f t="shared" si="436"/>
        <v>548.77777777777783</v>
      </c>
      <c r="DV244" s="87">
        <f t="shared" si="437"/>
        <v>0</v>
      </c>
      <c r="DW244" s="87">
        <f t="shared" si="438"/>
        <v>0</v>
      </c>
    </row>
    <row r="245" spans="1:127">
      <c r="A245" s="22" t="s">
        <v>126</v>
      </c>
      <c r="B245" s="26">
        <v>6903148357040</v>
      </c>
      <c r="C245" s="22" t="s">
        <v>127</v>
      </c>
      <c r="D245" s="22" t="s">
        <v>124</v>
      </c>
      <c r="E245" s="22">
        <v>258168</v>
      </c>
      <c r="F245" s="80" t="s">
        <v>337</v>
      </c>
      <c r="G245" s="25">
        <v>114.77</v>
      </c>
      <c r="H245" s="85">
        <f t="shared" si="347"/>
        <v>0</v>
      </c>
      <c r="I245" s="85">
        <f t="shared" si="348"/>
        <v>0</v>
      </c>
      <c r="J245" s="85">
        <f t="shared" si="349"/>
        <v>0</v>
      </c>
      <c r="K245" s="85">
        <f t="shared" si="350"/>
        <v>0</v>
      </c>
      <c r="L245" s="85">
        <f t="shared" si="351"/>
        <v>0</v>
      </c>
      <c r="M245" s="86">
        <f t="shared" si="352"/>
        <v>0</v>
      </c>
      <c r="N245" s="87">
        <f t="shared" si="353"/>
        <v>0</v>
      </c>
      <c r="O245" s="87">
        <f t="shared" si="354"/>
        <v>0</v>
      </c>
      <c r="P245" s="87">
        <f t="shared" si="355"/>
        <v>0</v>
      </c>
      <c r="Q245" s="87">
        <f t="shared" si="356"/>
        <v>0</v>
      </c>
      <c r="R245" s="87">
        <f t="shared" si="357"/>
        <v>0</v>
      </c>
      <c r="S245" s="87">
        <f t="shared" si="358"/>
        <v>688.62</v>
      </c>
      <c r="T245" s="87">
        <f t="shared" si="359"/>
        <v>19855.21</v>
      </c>
      <c r="U245" s="87">
        <f t="shared" si="360"/>
        <v>27544.799999999999</v>
      </c>
      <c r="V245" s="87">
        <f t="shared" si="361"/>
        <v>26167.559999999998</v>
      </c>
      <c r="W245" s="87">
        <f t="shared" si="362"/>
        <v>15493.949999999999</v>
      </c>
      <c r="X245" s="87">
        <f t="shared" si="363"/>
        <v>21806.3</v>
      </c>
      <c r="Y245" s="86">
        <f t="shared" si="364"/>
        <v>35463.93</v>
      </c>
      <c r="Z245" s="87">
        <f t="shared" si="365"/>
        <v>40858.119999999995</v>
      </c>
      <c r="AA245" s="87">
        <f t="shared" si="366"/>
        <v>37874.1</v>
      </c>
      <c r="AB245" s="87">
        <f t="shared" si="367"/>
        <v>30299.279999999999</v>
      </c>
      <c r="AC245" s="87">
        <f t="shared" si="368"/>
        <v>35119.619999999995</v>
      </c>
      <c r="AD245" s="87">
        <f t="shared" si="369"/>
        <v>30069.739999999998</v>
      </c>
      <c r="AE245" s="87">
        <f t="shared" si="370"/>
        <v>59795.17</v>
      </c>
      <c r="AF245" s="231">
        <f t="shared" si="371"/>
        <v>40054.729999999996</v>
      </c>
      <c r="AG245" s="87">
        <f t="shared" si="372"/>
        <v>24101.7</v>
      </c>
      <c r="AH245" s="87">
        <f t="shared" si="407"/>
        <v>20429.059999999998</v>
      </c>
      <c r="AI245" s="87">
        <f t="shared" si="408"/>
        <v>31281.20111111111</v>
      </c>
      <c r="AJ245" s="87">
        <f t="shared" si="409"/>
        <v>0</v>
      </c>
      <c r="AK245" s="86">
        <f t="shared" si="410"/>
        <v>0</v>
      </c>
      <c r="AL245" s="85">
        <v>0</v>
      </c>
      <c r="AM245" s="85">
        <v>0</v>
      </c>
      <c r="AN245" s="85">
        <v>0</v>
      </c>
      <c r="AO245" s="85">
        <v>0</v>
      </c>
      <c r="AP245" s="85">
        <v>0</v>
      </c>
      <c r="AQ245" s="86">
        <v>0</v>
      </c>
      <c r="AR245" s="87">
        <v>0</v>
      </c>
      <c r="AS245" s="87">
        <v>0</v>
      </c>
      <c r="AT245" s="87">
        <v>0</v>
      </c>
      <c r="AU245" s="87">
        <v>0</v>
      </c>
      <c r="AV245" s="87">
        <v>0</v>
      </c>
      <c r="AW245" s="87">
        <v>0</v>
      </c>
      <c r="AX245" s="87">
        <v>96</v>
      </c>
      <c r="AY245" s="87">
        <v>109</v>
      </c>
      <c r="AZ245" s="87">
        <v>92</v>
      </c>
      <c r="BA245" s="87">
        <v>88</v>
      </c>
      <c r="BB245" s="87">
        <v>142</v>
      </c>
      <c r="BC245" s="86">
        <v>208</v>
      </c>
      <c r="BD245" s="87">
        <v>319</v>
      </c>
      <c r="BE245" s="87">
        <v>243</v>
      </c>
      <c r="BF245" s="87">
        <v>235</v>
      </c>
      <c r="BG245" s="87">
        <v>205</v>
      </c>
      <c r="BH245" s="87">
        <v>195</v>
      </c>
      <c r="BI245" s="87">
        <v>360</v>
      </c>
      <c r="BJ245" s="40">
        <v>274</v>
      </c>
      <c r="BK245" s="40">
        <v>189</v>
      </c>
      <c r="BL245" s="40">
        <v>157</v>
      </c>
      <c r="BM245" s="40">
        <v>206</v>
      </c>
      <c r="BN245" s="87"/>
      <c r="BO245" s="86"/>
      <c r="BP245" s="21">
        <v>0</v>
      </c>
      <c r="BQ245" s="21">
        <v>0</v>
      </c>
      <c r="BR245" s="21">
        <v>0</v>
      </c>
      <c r="BS245" s="21">
        <v>0</v>
      </c>
      <c r="BT245" s="21">
        <v>0</v>
      </c>
      <c r="BU245" s="42">
        <v>0</v>
      </c>
      <c r="BV245" s="21">
        <v>0</v>
      </c>
      <c r="BW245" s="21">
        <v>0</v>
      </c>
      <c r="BX245" s="21">
        <v>0</v>
      </c>
      <c r="BY245" s="21">
        <v>0</v>
      </c>
      <c r="BZ245" s="21">
        <v>0</v>
      </c>
      <c r="CA245" s="21">
        <v>6</v>
      </c>
      <c r="CB245" s="21">
        <v>77</v>
      </c>
      <c r="CC245" s="21">
        <v>131</v>
      </c>
      <c r="CD245" s="21">
        <v>136</v>
      </c>
      <c r="CE245" s="21">
        <v>47</v>
      </c>
      <c r="CF245" s="21">
        <v>48</v>
      </c>
      <c r="CG245" s="42">
        <v>101</v>
      </c>
      <c r="CH245" s="21">
        <v>37</v>
      </c>
      <c r="CI245" s="21">
        <v>87</v>
      </c>
      <c r="CJ245" s="21">
        <v>29</v>
      </c>
      <c r="CK245" s="21">
        <v>101</v>
      </c>
      <c r="CL245" s="21">
        <v>67</v>
      </c>
      <c r="CM245" s="21">
        <v>161</v>
      </c>
      <c r="CN245" s="21">
        <v>75</v>
      </c>
      <c r="CO245" s="21">
        <v>21</v>
      </c>
      <c r="CP245" s="21">
        <f t="shared" si="377"/>
        <v>21</v>
      </c>
      <c r="CQ245" s="344">
        <f t="shared" si="378"/>
        <v>66.555555555555557</v>
      </c>
      <c r="CR245" s="87"/>
      <c r="CS245" s="86"/>
      <c r="CT245" s="85">
        <f t="shared" si="411"/>
        <v>0</v>
      </c>
      <c r="CU245" s="85">
        <f t="shared" si="412"/>
        <v>0</v>
      </c>
      <c r="CV245" s="85">
        <f t="shared" si="413"/>
        <v>0</v>
      </c>
      <c r="CW245" s="85">
        <f t="shared" si="414"/>
        <v>0</v>
      </c>
      <c r="CX245" s="85">
        <f t="shared" si="415"/>
        <v>0</v>
      </c>
      <c r="CY245" s="86">
        <f t="shared" si="416"/>
        <v>0</v>
      </c>
      <c r="CZ245" s="87">
        <f t="shared" si="417"/>
        <v>0</v>
      </c>
      <c r="DA245" s="87">
        <f t="shared" si="418"/>
        <v>0</v>
      </c>
      <c r="DB245" s="87">
        <f t="shared" si="419"/>
        <v>0</v>
      </c>
      <c r="DC245" s="87">
        <f t="shared" si="420"/>
        <v>0</v>
      </c>
      <c r="DD245" s="87">
        <f t="shared" si="421"/>
        <v>0</v>
      </c>
      <c r="DE245" s="87">
        <f t="shared" si="422"/>
        <v>6</v>
      </c>
      <c r="DF245" s="87">
        <f t="shared" si="423"/>
        <v>173</v>
      </c>
      <c r="DG245" s="87">
        <f t="shared" si="424"/>
        <v>240</v>
      </c>
      <c r="DH245" s="87">
        <f t="shared" si="425"/>
        <v>228</v>
      </c>
      <c r="DI245" s="87">
        <f t="shared" si="426"/>
        <v>135</v>
      </c>
      <c r="DJ245" s="87">
        <f t="shared" si="427"/>
        <v>190</v>
      </c>
      <c r="DK245" s="86">
        <f t="shared" si="428"/>
        <v>309</v>
      </c>
      <c r="DL245" s="87">
        <f t="shared" si="429"/>
        <v>356</v>
      </c>
      <c r="DM245" s="87">
        <f t="shared" si="430"/>
        <v>330</v>
      </c>
      <c r="DN245" s="87">
        <f t="shared" si="431"/>
        <v>264</v>
      </c>
      <c r="DO245" s="87">
        <f t="shared" si="432"/>
        <v>306</v>
      </c>
      <c r="DP245" s="87">
        <f t="shared" si="433"/>
        <v>262</v>
      </c>
      <c r="DQ245" s="87">
        <f t="shared" si="434"/>
        <v>521</v>
      </c>
      <c r="DR245" s="87">
        <f t="shared" si="439"/>
        <v>349</v>
      </c>
      <c r="DS245" s="87">
        <f t="shared" si="440"/>
        <v>210</v>
      </c>
      <c r="DT245" s="87">
        <f t="shared" si="435"/>
        <v>178</v>
      </c>
      <c r="DU245" s="87">
        <f t="shared" si="436"/>
        <v>272.55555555555554</v>
      </c>
      <c r="DV245" s="87">
        <f t="shared" si="437"/>
        <v>0</v>
      </c>
      <c r="DW245" s="87">
        <f t="shared" si="438"/>
        <v>0</v>
      </c>
    </row>
    <row r="246" spans="1:127">
      <c r="A246" s="22" t="s">
        <v>675</v>
      </c>
      <c r="B246" s="26">
        <v>3014260814854</v>
      </c>
      <c r="C246" s="22" t="s">
        <v>116</v>
      </c>
      <c r="D246" s="22" t="s">
        <v>23</v>
      </c>
      <c r="E246" s="22">
        <v>229436</v>
      </c>
      <c r="F246" s="80" t="s">
        <v>338</v>
      </c>
      <c r="G246" s="25">
        <v>66.333333333333329</v>
      </c>
      <c r="H246" s="85">
        <f t="shared" si="347"/>
        <v>682702.66666666663</v>
      </c>
      <c r="I246" s="85">
        <f t="shared" si="348"/>
        <v>619288</v>
      </c>
      <c r="J246" s="85">
        <f t="shared" si="349"/>
        <v>561113.66666666663</v>
      </c>
      <c r="K246" s="85">
        <f t="shared" si="350"/>
        <v>540417.66666666663</v>
      </c>
      <c r="L246" s="85">
        <f t="shared" si="351"/>
        <v>605756</v>
      </c>
      <c r="M246" s="86">
        <f t="shared" si="352"/>
        <v>593749.66666666663</v>
      </c>
      <c r="N246" s="87">
        <f t="shared" si="353"/>
        <v>305398.66666666663</v>
      </c>
      <c r="O246" s="87">
        <f t="shared" si="354"/>
        <v>522507.66666666663</v>
      </c>
      <c r="P246" s="87">
        <f t="shared" si="355"/>
        <v>625390.66666666663</v>
      </c>
      <c r="Q246" s="87">
        <f t="shared" si="356"/>
        <v>374319</v>
      </c>
      <c r="R246" s="87">
        <f t="shared" si="357"/>
        <v>732917</v>
      </c>
      <c r="S246" s="87">
        <f t="shared" si="358"/>
        <v>244570.99999999997</v>
      </c>
      <c r="T246" s="87">
        <f t="shared" si="359"/>
        <v>519522.66666666663</v>
      </c>
      <c r="U246" s="87">
        <f t="shared" si="360"/>
        <v>771854.66666666663</v>
      </c>
      <c r="V246" s="87">
        <f t="shared" si="361"/>
        <v>458761.33333333331</v>
      </c>
      <c r="W246" s="87">
        <f t="shared" si="362"/>
        <v>508113.33333333331</v>
      </c>
      <c r="X246" s="87">
        <f t="shared" si="363"/>
        <v>629171.66666666663</v>
      </c>
      <c r="Y246" s="86">
        <f t="shared" si="364"/>
        <v>470701.33333333331</v>
      </c>
      <c r="Z246" s="87">
        <f t="shared" si="365"/>
        <v>615838.66666666663</v>
      </c>
      <c r="AA246" s="87">
        <f t="shared" si="366"/>
        <v>484034.33333333331</v>
      </c>
      <c r="AB246" s="87">
        <f t="shared" si="367"/>
        <v>554679.33333333326</v>
      </c>
      <c r="AC246" s="87">
        <f t="shared" si="368"/>
        <v>488345.99999999994</v>
      </c>
      <c r="AD246" s="87">
        <f t="shared" si="369"/>
        <v>501811.66666666663</v>
      </c>
      <c r="AE246" s="87">
        <f t="shared" si="370"/>
        <v>301352.33333333331</v>
      </c>
      <c r="AF246" s="87">
        <f t="shared" si="371"/>
        <v>434085.33333333331</v>
      </c>
      <c r="AG246" s="87">
        <f t="shared" si="372"/>
        <v>371400.33333333331</v>
      </c>
      <c r="AH246" s="87">
        <f t="shared" si="407"/>
        <v>217971.33333333331</v>
      </c>
      <c r="AI246" s="87">
        <f t="shared" si="408"/>
        <v>298912.74074074073</v>
      </c>
      <c r="AJ246" s="87">
        <f t="shared" si="409"/>
        <v>0</v>
      </c>
      <c r="AK246" s="86">
        <f t="shared" si="410"/>
        <v>0</v>
      </c>
      <c r="AL246" s="85">
        <v>9483</v>
      </c>
      <c r="AM246" s="85">
        <v>8782</v>
      </c>
      <c r="AN246" s="85">
        <v>7802</v>
      </c>
      <c r="AO246" s="85">
        <v>7591</v>
      </c>
      <c r="AP246" s="85">
        <v>8629</v>
      </c>
      <c r="AQ246" s="86">
        <v>7593</v>
      </c>
      <c r="AR246" s="87">
        <v>4184</v>
      </c>
      <c r="AS246" s="87">
        <v>7398</v>
      </c>
      <c r="AT246" s="87">
        <v>8512</v>
      </c>
      <c r="AU246" s="87">
        <v>5147</v>
      </c>
      <c r="AV246" s="87">
        <v>9506</v>
      </c>
      <c r="AW246" s="87">
        <v>3580</v>
      </c>
      <c r="AX246" s="87">
        <v>7197</v>
      </c>
      <c r="AY246" s="87">
        <v>10657</v>
      </c>
      <c r="AZ246" s="87">
        <v>6560</v>
      </c>
      <c r="BA246" s="87">
        <v>7003</v>
      </c>
      <c r="BB246" s="87">
        <v>8894</v>
      </c>
      <c r="BC246" s="86">
        <v>6233</v>
      </c>
      <c r="BD246" s="87">
        <v>9012</v>
      </c>
      <c r="BE246" s="87">
        <v>6317</v>
      </c>
      <c r="BF246" s="87">
        <v>8048</v>
      </c>
      <c r="BG246" s="87">
        <v>6412</v>
      </c>
      <c r="BH246" s="87">
        <v>7293</v>
      </c>
      <c r="BI246" s="87">
        <v>4418</v>
      </c>
      <c r="BJ246" s="40">
        <v>6065</v>
      </c>
      <c r="BK246" s="40">
        <v>5521</v>
      </c>
      <c r="BL246" s="40">
        <v>3208</v>
      </c>
      <c r="BM246" s="40">
        <v>4112</v>
      </c>
      <c r="BN246" s="87"/>
      <c r="BO246" s="86"/>
      <c r="BP246" s="21">
        <v>809</v>
      </c>
      <c r="BQ246" s="21">
        <v>554</v>
      </c>
      <c r="BR246" s="21">
        <v>657</v>
      </c>
      <c r="BS246" s="21">
        <v>556</v>
      </c>
      <c r="BT246" s="21">
        <v>503</v>
      </c>
      <c r="BU246" s="42">
        <v>1358</v>
      </c>
      <c r="BV246" s="21">
        <v>420</v>
      </c>
      <c r="BW246" s="21">
        <v>479</v>
      </c>
      <c r="BX246" s="21">
        <v>916</v>
      </c>
      <c r="BY246" s="21">
        <v>496</v>
      </c>
      <c r="BZ246" s="21">
        <v>1543</v>
      </c>
      <c r="CA246" s="21">
        <v>107</v>
      </c>
      <c r="CB246" s="21">
        <v>635</v>
      </c>
      <c r="CC246" s="21">
        <v>979</v>
      </c>
      <c r="CD246" s="21">
        <v>356</v>
      </c>
      <c r="CE246" s="21">
        <v>657</v>
      </c>
      <c r="CF246" s="21">
        <v>591</v>
      </c>
      <c r="CG246" s="42">
        <v>863</v>
      </c>
      <c r="CH246" s="21">
        <v>272</v>
      </c>
      <c r="CI246" s="21">
        <v>980</v>
      </c>
      <c r="CJ246" s="21">
        <v>314</v>
      </c>
      <c r="CK246" s="21">
        <v>950</v>
      </c>
      <c r="CL246" s="21">
        <v>272</v>
      </c>
      <c r="CM246" s="21">
        <v>125</v>
      </c>
      <c r="CN246" s="21">
        <v>479</v>
      </c>
      <c r="CO246" s="21">
        <v>78</v>
      </c>
      <c r="CP246" s="21">
        <f t="shared" si="377"/>
        <v>78</v>
      </c>
      <c r="CQ246" s="344">
        <f t="shared" si="378"/>
        <v>394.22222222222223</v>
      </c>
      <c r="CR246" s="87"/>
      <c r="CS246" s="86"/>
      <c r="CT246" s="85">
        <f t="shared" si="411"/>
        <v>10292</v>
      </c>
      <c r="CU246" s="85">
        <f t="shared" si="412"/>
        <v>9336</v>
      </c>
      <c r="CV246" s="85">
        <f t="shared" si="413"/>
        <v>8459</v>
      </c>
      <c r="CW246" s="85">
        <f t="shared" si="414"/>
        <v>8147</v>
      </c>
      <c r="CX246" s="85">
        <f t="shared" si="415"/>
        <v>9132</v>
      </c>
      <c r="CY246" s="86">
        <f t="shared" si="416"/>
        <v>8951</v>
      </c>
      <c r="CZ246" s="87">
        <f t="shared" si="417"/>
        <v>4604</v>
      </c>
      <c r="DA246" s="87">
        <f t="shared" si="418"/>
        <v>7877</v>
      </c>
      <c r="DB246" s="87">
        <f t="shared" si="419"/>
        <v>9428</v>
      </c>
      <c r="DC246" s="87">
        <f t="shared" si="420"/>
        <v>5643</v>
      </c>
      <c r="DD246" s="87">
        <f t="shared" si="421"/>
        <v>11049</v>
      </c>
      <c r="DE246" s="87">
        <f t="shared" si="422"/>
        <v>3687</v>
      </c>
      <c r="DF246" s="87">
        <f t="shared" si="423"/>
        <v>7832</v>
      </c>
      <c r="DG246" s="87">
        <f t="shared" si="424"/>
        <v>11636</v>
      </c>
      <c r="DH246" s="87">
        <f t="shared" si="425"/>
        <v>6916</v>
      </c>
      <c r="DI246" s="87">
        <f t="shared" si="426"/>
        <v>7660</v>
      </c>
      <c r="DJ246" s="87">
        <f t="shared" si="427"/>
        <v>9485</v>
      </c>
      <c r="DK246" s="86">
        <f t="shared" si="428"/>
        <v>7096</v>
      </c>
      <c r="DL246" s="87">
        <f t="shared" si="429"/>
        <v>9284</v>
      </c>
      <c r="DM246" s="87">
        <f t="shared" si="430"/>
        <v>7297</v>
      </c>
      <c r="DN246" s="87">
        <f t="shared" si="431"/>
        <v>8362</v>
      </c>
      <c r="DO246" s="87">
        <f t="shared" si="432"/>
        <v>7362</v>
      </c>
      <c r="DP246" s="87">
        <f t="shared" si="433"/>
        <v>7565</v>
      </c>
      <c r="DQ246" s="87">
        <f t="shared" si="434"/>
        <v>4543</v>
      </c>
      <c r="DR246" s="87">
        <f t="shared" si="439"/>
        <v>6544</v>
      </c>
      <c r="DS246" s="87">
        <f t="shared" si="440"/>
        <v>5599</v>
      </c>
      <c r="DT246" s="87">
        <f t="shared" si="435"/>
        <v>3286</v>
      </c>
      <c r="DU246" s="87">
        <f t="shared" si="436"/>
        <v>4506.2222222222226</v>
      </c>
      <c r="DV246" s="87">
        <f t="shared" si="437"/>
        <v>0</v>
      </c>
      <c r="DW246" s="87">
        <f t="shared" si="438"/>
        <v>0</v>
      </c>
    </row>
    <row r="247" spans="1:127">
      <c r="A247" s="22" t="s">
        <v>22</v>
      </c>
      <c r="B247" s="26">
        <v>3014260814847</v>
      </c>
      <c r="C247" s="22" t="s">
        <v>116</v>
      </c>
      <c r="D247" s="22" t="s">
        <v>23</v>
      </c>
      <c r="E247" s="22">
        <v>328487</v>
      </c>
      <c r="F247" s="80" t="s">
        <v>339</v>
      </c>
      <c r="G247" s="25">
        <v>66.483333333333334</v>
      </c>
      <c r="H247" s="85">
        <f t="shared" si="347"/>
        <v>509860.68333333335</v>
      </c>
      <c r="I247" s="85">
        <f t="shared" si="348"/>
        <v>487522.28333333333</v>
      </c>
      <c r="J247" s="85">
        <f t="shared" si="349"/>
        <v>442978.45</v>
      </c>
      <c r="K247" s="85">
        <f t="shared" si="350"/>
        <v>421371.3666666667</v>
      </c>
      <c r="L247" s="85">
        <f t="shared" si="351"/>
        <v>458003.68333333335</v>
      </c>
      <c r="M247" s="86">
        <f t="shared" si="352"/>
        <v>441316.3666666667</v>
      </c>
      <c r="N247" s="87">
        <f t="shared" si="353"/>
        <v>238409.23333333334</v>
      </c>
      <c r="O247" s="87">
        <f t="shared" si="354"/>
        <v>411465.35000000003</v>
      </c>
      <c r="P247" s="87">
        <f t="shared" si="355"/>
        <v>495367.31666666665</v>
      </c>
      <c r="Q247" s="87">
        <f t="shared" si="356"/>
        <v>290931.06666666665</v>
      </c>
      <c r="R247" s="87">
        <f t="shared" si="357"/>
        <v>550282.55000000005</v>
      </c>
      <c r="S247" s="87">
        <f t="shared" si="358"/>
        <v>208890.63333333333</v>
      </c>
      <c r="T247" s="87">
        <f t="shared" si="359"/>
        <v>398900</v>
      </c>
      <c r="U247" s="87">
        <f t="shared" si="360"/>
        <v>578006.1</v>
      </c>
      <c r="V247" s="87">
        <f t="shared" si="361"/>
        <v>364993.5</v>
      </c>
      <c r="W247" s="87">
        <f t="shared" si="362"/>
        <v>397636.81666666665</v>
      </c>
      <c r="X247" s="87">
        <f t="shared" si="363"/>
        <v>476619.01666666666</v>
      </c>
      <c r="Y247" s="86">
        <f t="shared" si="364"/>
        <v>348572.1166666667</v>
      </c>
      <c r="Z247" s="87">
        <f t="shared" si="365"/>
        <v>490912.93333333335</v>
      </c>
      <c r="AA247" s="87">
        <f t="shared" si="366"/>
        <v>380883.01666666666</v>
      </c>
      <c r="AB247" s="87">
        <f t="shared" si="367"/>
        <v>443177.9</v>
      </c>
      <c r="AC247" s="87">
        <f t="shared" si="368"/>
        <v>378489.6166666667</v>
      </c>
      <c r="AD247" s="87">
        <f t="shared" si="369"/>
        <v>408872.5</v>
      </c>
      <c r="AE247" s="87">
        <f t="shared" si="370"/>
        <v>255761.38333333333</v>
      </c>
      <c r="AF247" s="87">
        <f t="shared" si="371"/>
        <v>337469.4</v>
      </c>
      <c r="AG247" s="87">
        <f t="shared" si="372"/>
        <v>293324.46666666667</v>
      </c>
      <c r="AH247" s="87">
        <f t="shared" si="407"/>
        <v>182097.85</v>
      </c>
      <c r="AI247" s="87">
        <f t="shared" si="408"/>
        <v>240063.92962962962</v>
      </c>
      <c r="AJ247" s="87">
        <f t="shared" si="409"/>
        <v>0</v>
      </c>
      <c r="AK247" s="86">
        <f t="shared" si="410"/>
        <v>0</v>
      </c>
      <c r="AL247" s="85">
        <v>7292</v>
      </c>
      <c r="AM247" s="85">
        <v>7072</v>
      </c>
      <c r="AN247" s="85">
        <v>6273</v>
      </c>
      <c r="AO247" s="85">
        <v>6025</v>
      </c>
      <c r="AP247" s="85">
        <v>6622</v>
      </c>
      <c r="AQ247" s="86">
        <v>5923</v>
      </c>
      <c r="AR247" s="87">
        <v>3369</v>
      </c>
      <c r="AS247" s="87">
        <v>5930</v>
      </c>
      <c r="AT247" s="87">
        <v>7000</v>
      </c>
      <c r="AU247" s="87">
        <v>4110</v>
      </c>
      <c r="AV247" s="87">
        <v>7503</v>
      </c>
      <c r="AW247" s="87">
        <v>3081</v>
      </c>
      <c r="AX247" s="87">
        <v>5739</v>
      </c>
      <c r="AY247" s="87">
        <v>8215</v>
      </c>
      <c r="AZ247" s="87">
        <v>5289</v>
      </c>
      <c r="BA247" s="87">
        <v>5442</v>
      </c>
      <c r="BB247" s="87">
        <v>6893</v>
      </c>
      <c r="BC247" s="86">
        <v>4820</v>
      </c>
      <c r="BD247" s="87">
        <v>7210</v>
      </c>
      <c r="BE247" s="87">
        <v>5286</v>
      </c>
      <c r="BF247" s="87">
        <v>6496</v>
      </c>
      <c r="BG247" s="87">
        <v>5220</v>
      </c>
      <c r="BH247" s="87">
        <v>6027</v>
      </c>
      <c r="BI247" s="87">
        <v>3770</v>
      </c>
      <c r="BJ247" s="40">
        <v>4863</v>
      </c>
      <c r="BK247" s="40">
        <v>4385</v>
      </c>
      <c r="BL247" s="40">
        <v>2712</v>
      </c>
      <c r="BM247" s="40">
        <v>3419</v>
      </c>
      <c r="BN247" s="87"/>
      <c r="BO247" s="86"/>
      <c r="BP247" s="21">
        <v>377</v>
      </c>
      <c r="BQ247" s="21">
        <v>261</v>
      </c>
      <c r="BR247" s="21">
        <v>390</v>
      </c>
      <c r="BS247" s="21">
        <v>313</v>
      </c>
      <c r="BT247" s="21">
        <v>267</v>
      </c>
      <c r="BU247" s="42">
        <v>715</v>
      </c>
      <c r="BV247" s="21">
        <v>217</v>
      </c>
      <c r="BW247" s="21">
        <v>259</v>
      </c>
      <c r="BX247" s="21">
        <v>451</v>
      </c>
      <c r="BY247" s="21">
        <v>266</v>
      </c>
      <c r="BZ247" s="21">
        <v>774</v>
      </c>
      <c r="CA247" s="21">
        <v>61</v>
      </c>
      <c r="CB247" s="21">
        <v>261</v>
      </c>
      <c r="CC247" s="21">
        <v>479</v>
      </c>
      <c r="CD247" s="21">
        <v>201</v>
      </c>
      <c r="CE247" s="21">
        <v>539</v>
      </c>
      <c r="CF247" s="21">
        <v>276</v>
      </c>
      <c r="CG247" s="42">
        <v>423</v>
      </c>
      <c r="CH247" s="21">
        <v>174</v>
      </c>
      <c r="CI247" s="21">
        <v>443</v>
      </c>
      <c r="CJ247" s="21">
        <v>170</v>
      </c>
      <c r="CK247" s="21">
        <v>473</v>
      </c>
      <c r="CL247" s="21">
        <v>123</v>
      </c>
      <c r="CM247" s="21">
        <v>77</v>
      </c>
      <c r="CN247" s="21">
        <v>213</v>
      </c>
      <c r="CO247" s="21">
        <v>27</v>
      </c>
      <c r="CP247" s="21">
        <f t="shared" si="377"/>
        <v>27</v>
      </c>
      <c r="CQ247" s="344">
        <f t="shared" si="378"/>
        <v>191.88888888888889</v>
      </c>
      <c r="CR247" s="87"/>
      <c r="CS247" s="86"/>
      <c r="CT247" s="85">
        <f t="shared" si="411"/>
        <v>7669</v>
      </c>
      <c r="CU247" s="85">
        <f t="shared" si="412"/>
        <v>7333</v>
      </c>
      <c r="CV247" s="85">
        <f t="shared" si="413"/>
        <v>6663</v>
      </c>
      <c r="CW247" s="85">
        <f t="shared" si="414"/>
        <v>6338</v>
      </c>
      <c r="CX247" s="85">
        <f t="shared" si="415"/>
        <v>6889</v>
      </c>
      <c r="CY247" s="86">
        <f t="shared" si="416"/>
        <v>6638</v>
      </c>
      <c r="CZ247" s="87">
        <f t="shared" si="417"/>
        <v>3586</v>
      </c>
      <c r="DA247" s="87">
        <f t="shared" si="418"/>
        <v>6189</v>
      </c>
      <c r="DB247" s="87">
        <f t="shared" si="419"/>
        <v>7451</v>
      </c>
      <c r="DC247" s="87">
        <f t="shared" si="420"/>
        <v>4376</v>
      </c>
      <c r="DD247" s="87">
        <f t="shared" si="421"/>
        <v>8277</v>
      </c>
      <c r="DE247" s="87">
        <f t="shared" si="422"/>
        <v>3142</v>
      </c>
      <c r="DF247" s="87">
        <f t="shared" si="423"/>
        <v>6000</v>
      </c>
      <c r="DG247" s="87">
        <f t="shared" si="424"/>
        <v>8694</v>
      </c>
      <c r="DH247" s="87">
        <f t="shared" si="425"/>
        <v>5490</v>
      </c>
      <c r="DI247" s="87">
        <f t="shared" si="426"/>
        <v>5981</v>
      </c>
      <c r="DJ247" s="87">
        <f t="shared" si="427"/>
        <v>7169</v>
      </c>
      <c r="DK247" s="86">
        <f t="shared" si="428"/>
        <v>5243</v>
      </c>
      <c r="DL247" s="87">
        <f t="shared" si="429"/>
        <v>7384</v>
      </c>
      <c r="DM247" s="87">
        <f t="shared" si="430"/>
        <v>5729</v>
      </c>
      <c r="DN247" s="87">
        <f t="shared" si="431"/>
        <v>6666</v>
      </c>
      <c r="DO247" s="87">
        <f t="shared" si="432"/>
        <v>5693</v>
      </c>
      <c r="DP247" s="87">
        <f t="shared" si="433"/>
        <v>6150</v>
      </c>
      <c r="DQ247" s="87">
        <f t="shared" si="434"/>
        <v>3847</v>
      </c>
      <c r="DR247" s="87">
        <f t="shared" si="439"/>
        <v>5076</v>
      </c>
      <c r="DS247" s="87">
        <f t="shared" si="440"/>
        <v>4412</v>
      </c>
      <c r="DT247" s="87">
        <f t="shared" si="435"/>
        <v>2739</v>
      </c>
      <c r="DU247" s="87">
        <f t="shared" si="436"/>
        <v>3610.8888888888887</v>
      </c>
      <c r="DV247" s="87">
        <f t="shared" si="437"/>
        <v>0</v>
      </c>
      <c r="DW247" s="87">
        <f t="shared" si="438"/>
        <v>0</v>
      </c>
    </row>
    <row r="248" spans="1:127">
      <c r="A248" s="22" t="s">
        <v>22</v>
      </c>
      <c r="B248" s="26">
        <v>4103330031167</v>
      </c>
      <c r="C248" s="22" t="s">
        <v>116</v>
      </c>
      <c r="D248" s="22" t="s">
        <v>122</v>
      </c>
      <c r="E248" s="22">
        <v>194325</v>
      </c>
      <c r="F248" s="80" t="s">
        <v>340</v>
      </c>
      <c r="G248" s="25">
        <v>33.24583333333333</v>
      </c>
      <c r="H248" s="85">
        <f t="shared" si="347"/>
        <v>28657.908333333329</v>
      </c>
      <c r="I248" s="85">
        <f t="shared" si="348"/>
        <v>42089.224999999999</v>
      </c>
      <c r="J248" s="85">
        <f t="shared" si="349"/>
        <v>23139.1</v>
      </c>
      <c r="K248" s="85">
        <f t="shared" si="350"/>
        <v>35639.533333333333</v>
      </c>
      <c r="L248" s="85">
        <f t="shared" si="351"/>
        <v>39662.27916666666</v>
      </c>
      <c r="M248" s="86">
        <f t="shared" si="352"/>
        <v>35905.5</v>
      </c>
      <c r="N248" s="87">
        <f t="shared" si="353"/>
        <v>42388.437499999993</v>
      </c>
      <c r="O248" s="87">
        <f t="shared" si="354"/>
        <v>36104.974999999999</v>
      </c>
      <c r="P248" s="87">
        <f t="shared" si="355"/>
        <v>33412.0625</v>
      </c>
      <c r="Q248" s="87">
        <f t="shared" si="356"/>
        <v>47009.60833333333</v>
      </c>
      <c r="R248" s="87">
        <f t="shared" si="357"/>
        <v>40194.212499999994</v>
      </c>
      <c r="S248" s="87">
        <f t="shared" si="358"/>
        <v>38432.183333333327</v>
      </c>
      <c r="T248" s="87">
        <f t="shared" si="359"/>
        <v>51331.566666666658</v>
      </c>
      <c r="U248" s="87">
        <f t="shared" si="360"/>
        <v>34675.40416666666</v>
      </c>
      <c r="V248" s="87">
        <f t="shared" si="361"/>
        <v>37268.579166666663</v>
      </c>
      <c r="W248" s="87">
        <f t="shared" si="362"/>
        <v>38033.23333333333</v>
      </c>
      <c r="X248" s="87">
        <f t="shared" si="363"/>
        <v>39363.066666666666</v>
      </c>
      <c r="Y248" s="86">
        <f t="shared" si="364"/>
        <v>32348.195833333331</v>
      </c>
      <c r="Z248" s="87">
        <f t="shared" si="365"/>
        <v>45048.104166666664</v>
      </c>
      <c r="AA248" s="87">
        <f t="shared" si="366"/>
        <v>37833.758333333331</v>
      </c>
      <c r="AB248" s="87">
        <f t="shared" si="367"/>
        <v>23804.016666666663</v>
      </c>
      <c r="AC248" s="87">
        <f t="shared" si="368"/>
        <v>41922.995833333327</v>
      </c>
      <c r="AD248" s="87">
        <f t="shared" si="369"/>
        <v>33545.04583333333</v>
      </c>
      <c r="AE248" s="87">
        <f t="shared" si="370"/>
        <v>47641.27916666666</v>
      </c>
      <c r="AF248" s="87">
        <f t="shared" si="371"/>
        <v>38232.708333333328</v>
      </c>
      <c r="AG248" s="87">
        <f t="shared" si="372"/>
        <v>42521.42083333333</v>
      </c>
      <c r="AH248" s="87">
        <f t="shared" si="407"/>
        <v>34243.208333333328</v>
      </c>
      <c r="AI248" s="87">
        <f t="shared" si="408"/>
        <v>43082.906018518515</v>
      </c>
      <c r="AJ248" s="87">
        <f t="shared" si="409"/>
        <v>0</v>
      </c>
      <c r="AK248" s="86">
        <f t="shared" si="410"/>
        <v>0</v>
      </c>
      <c r="AL248" s="85">
        <v>799</v>
      </c>
      <c r="AM248" s="85">
        <v>1205</v>
      </c>
      <c r="AN248" s="85">
        <v>669</v>
      </c>
      <c r="AO248" s="85">
        <v>999</v>
      </c>
      <c r="AP248" s="85">
        <v>1140</v>
      </c>
      <c r="AQ248" s="86">
        <v>1011</v>
      </c>
      <c r="AR248" s="87">
        <v>1149</v>
      </c>
      <c r="AS248" s="87">
        <v>1048</v>
      </c>
      <c r="AT248" s="87">
        <v>909</v>
      </c>
      <c r="AU248" s="87">
        <v>1299</v>
      </c>
      <c r="AV248" s="87">
        <v>1059</v>
      </c>
      <c r="AW248" s="87">
        <v>1121</v>
      </c>
      <c r="AX248" s="87">
        <v>1489</v>
      </c>
      <c r="AY248" s="87">
        <v>909</v>
      </c>
      <c r="AZ248" s="87">
        <v>1060</v>
      </c>
      <c r="BA248" s="87">
        <v>1097</v>
      </c>
      <c r="BB248" s="87">
        <v>1123</v>
      </c>
      <c r="BC248" s="86">
        <v>902</v>
      </c>
      <c r="BD248" s="87">
        <v>1266</v>
      </c>
      <c r="BE248" s="87">
        <v>1105</v>
      </c>
      <c r="BF248" s="87">
        <v>622</v>
      </c>
      <c r="BG248" s="87">
        <v>1194</v>
      </c>
      <c r="BH248" s="87">
        <v>957</v>
      </c>
      <c r="BI248" s="87">
        <v>1379</v>
      </c>
      <c r="BJ248" s="40">
        <v>1103</v>
      </c>
      <c r="BK248" s="40">
        <v>1241</v>
      </c>
      <c r="BL248" s="40">
        <v>992</v>
      </c>
      <c r="BM248" s="40">
        <v>1239</v>
      </c>
      <c r="BN248" s="87"/>
      <c r="BO248" s="86"/>
      <c r="BP248" s="21">
        <v>63</v>
      </c>
      <c r="BQ248" s="21">
        <v>61</v>
      </c>
      <c r="BR248" s="21">
        <v>27</v>
      </c>
      <c r="BS248" s="21">
        <v>73</v>
      </c>
      <c r="BT248" s="21">
        <v>53</v>
      </c>
      <c r="BU248" s="42">
        <v>69</v>
      </c>
      <c r="BV248" s="21">
        <v>126</v>
      </c>
      <c r="BW248" s="21">
        <v>38</v>
      </c>
      <c r="BX248" s="21">
        <v>96</v>
      </c>
      <c r="BY248" s="21">
        <v>115</v>
      </c>
      <c r="BZ248" s="21">
        <v>150</v>
      </c>
      <c r="CA248" s="21">
        <v>35</v>
      </c>
      <c r="CB248" s="21">
        <v>55</v>
      </c>
      <c r="CC248" s="21">
        <v>134</v>
      </c>
      <c r="CD248" s="21">
        <v>61</v>
      </c>
      <c r="CE248" s="21">
        <v>47</v>
      </c>
      <c r="CF248" s="21">
        <v>61</v>
      </c>
      <c r="CG248" s="42">
        <v>71</v>
      </c>
      <c r="CH248" s="21">
        <v>89</v>
      </c>
      <c r="CI248" s="21">
        <v>33</v>
      </c>
      <c r="CJ248" s="21">
        <v>94</v>
      </c>
      <c r="CK248" s="21">
        <v>67</v>
      </c>
      <c r="CL248" s="21">
        <v>52</v>
      </c>
      <c r="CM248" s="21">
        <v>54</v>
      </c>
      <c r="CN248" s="21">
        <v>47</v>
      </c>
      <c r="CO248" s="21">
        <v>38</v>
      </c>
      <c r="CP248" s="21">
        <f t="shared" si="377"/>
        <v>38</v>
      </c>
      <c r="CQ248" s="344">
        <f t="shared" si="378"/>
        <v>56.888888888888886</v>
      </c>
      <c r="CR248" s="87"/>
      <c r="CS248" s="86"/>
      <c r="CT248" s="85">
        <f t="shared" si="411"/>
        <v>862</v>
      </c>
      <c r="CU248" s="85">
        <f t="shared" si="412"/>
        <v>1266</v>
      </c>
      <c r="CV248" s="85">
        <f t="shared" si="413"/>
        <v>696</v>
      </c>
      <c r="CW248" s="85">
        <f t="shared" si="414"/>
        <v>1072</v>
      </c>
      <c r="CX248" s="85">
        <f t="shared" si="415"/>
        <v>1193</v>
      </c>
      <c r="CY248" s="86">
        <f t="shared" si="416"/>
        <v>1080</v>
      </c>
      <c r="CZ248" s="87">
        <f t="shared" si="417"/>
        <v>1275</v>
      </c>
      <c r="DA248" s="87">
        <f t="shared" si="418"/>
        <v>1086</v>
      </c>
      <c r="DB248" s="87">
        <f t="shared" si="419"/>
        <v>1005</v>
      </c>
      <c r="DC248" s="87">
        <f t="shared" si="420"/>
        <v>1414</v>
      </c>
      <c r="DD248" s="87">
        <f t="shared" si="421"/>
        <v>1209</v>
      </c>
      <c r="DE248" s="87">
        <f t="shared" si="422"/>
        <v>1156</v>
      </c>
      <c r="DF248" s="87">
        <f t="shared" si="423"/>
        <v>1544</v>
      </c>
      <c r="DG248" s="87">
        <f t="shared" si="424"/>
        <v>1043</v>
      </c>
      <c r="DH248" s="87">
        <f t="shared" si="425"/>
        <v>1121</v>
      </c>
      <c r="DI248" s="87">
        <f t="shared" si="426"/>
        <v>1144</v>
      </c>
      <c r="DJ248" s="87">
        <f t="shared" si="427"/>
        <v>1184</v>
      </c>
      <c r="DK248" s="86">
        <f t="shared" si="428"/>
        <v>973</v>
      </c>
      <c r="DL248" s="87">
        <f t="shared" si="429"/>
        <v>1355</v>
      </c>
      <c r="DM248" s="87">
        <f t="shared" si="430"/>
        <v>1138</v>
      </c>
      <c r="DN248" s="87">
        <f t="shared" si="431"/>
        <v>716</v>
      </c>
      <c r="DO248" s="87">
        <f t="shared" si="432"/>
        <v>1261</v>
      </c>
      <c r="DP248" s="87">
        <f t="shared" si="433"/>
        <v>1009</v>
      </c>
      <c r="DQ248" s="87">
        <f t="shared" si="434"/>
        <v>1433</v>
      </c>
      <c r="DR248" s="87">
        <f t="shared" si="439"/>
        <v>1150</v>
      </c>
      <c r="DS248" s="87">
        <f t="shared" si="440"/>
        <v>1279</v>
      </c>
      <c r="DT248" s="87">
        <f t="shared" si="435"/>
        <v>1030</v>
      </c>
      <c r="DU248" s="87">
        <f t="shared" si="436"/>
        <v>1295.8888888888889</v>
      </c>
      <c r="DV248" s="87">
        <f t="shared" si="437"/>
        <v>0</v>
      </c>
      <c r="DW248" s="87">
        <f t="shared" si="438"/>
        <v>0</v>
      </c>
    </row>
    <row r="249" spans="1:127">
      <c r="A249" s="22" t="s">
        <v>22</v>
      </c>
      <c r="B249" s="26">
        <v>3014260022433</v>
      </c>
      <c r="C249" s="22" t="s">
        <v>116</v>
      </c>
      <c r="D249" s="22" t="s">
        <v>122</v>
      </c>
      <c r="E249" s="22">
        <v>196945</v>
      </c>
      <c r="F249" s="80" t="s">
        <v>341</v>
      </c>
      <c r="G249" s="25">
        <v>34.716666666666669</v>
      </c>
      <c r="H249" s="85">
        <f t="shared" si="347"/>
        <v>32772.533333333333</v>
      </c>
      <c r="I249" s="85">
        <f t="shared" si="348"/>
        <v>54852.333333333336</v>
      </c>
      <c r="J249" s="85">
        <f t="shared" si="349"/>
        <v>27495.600000000002</v>
      </c>
      <c r="K249" s="85">
        <f t="shared" si="350"/>
        <v>31106.133333333335</v>
      </c>
      <c r="L249" s="85">
        <f t="shared" si="351"/>
        <v>47665.983333333337</v>
      </c>
      <c r="M249" s="86">
        <f t="shared" si="352"/>
        <v>50339.166666666672</v>
      </c>
      <c r="N249" s="87">
        <f t="shared" si="353"/>
        <v>29717.466666666667</v>
      </c>
      <c r="O249" s="87">
        <f t="shared" si="354"/>
        <v>28051.066666666669</v>
      </c>
      <c r="P249" s="87">
        <f t="shared" si="355"/>
        <v>10380.283333333335</v>
      </c>
      <c r="Q249" s="87">
        <f t="shared" si="356"/>
        <v>7845.9666666666672</v>
      </c>
      <c r="R249" s="87">
        <f t="shared" si="357"/>
        <v>8852.75</v>
      </c>
      <c r="S249" s="87">
        <f t="shared" si="358"/>
        <v>4131.2833333333338</v>
      </c>
      <c r="T249" s="87">
        <f t="shared" si="359"/>
        <v>1770.5500000000002</v>
      </c>
      <c r="U249" s="87">
        <f t="shared" si="360"/>
        <v>312.45000000000005</v>
      </c>
      <c r="V249" s="87">
        <f t="shared" si="361"/>
        <v>104.15</v>
      </c>
      <c r="W249" s="87">
        <f t="shared" si="362"/>
        <v>69.433333333333337</v>
      </c>
      <c r="X249" s="87">
        <f t="shared" si="363"/>
        <v>0</v>
      </c>
      <c r="Y249" s="86">
        <f t="shared" si="364"/>
        <v>0</v>
      </c>
      <c r="Z249" s="87">
        <f t="shared" si="365"/>
        <v>0</v>
      </c>
      <c r="AA249" s="87">
        <f t="shared" si="366"/>
        <v>0</v>
      </c>
      <c r="AB249" s="87">
        <f t="shared" si="367"/>
        <v>34.716666666666669</v>
      </c>
      <c r="AC249" s="87">
        <f t="shared" si="368"/>
        <v>0</v>
      </c>
      <c r="AD249" s="87">
        <f t="shared" si="369"/>
        <v>0</v>
      </c>
      <c r="AE249" s="87">
        <f t="shared" si="370"/>
        <v>0</v>
      </c>
      <c r="AF249" s="87">
        <f t="shared" si="371"/>
        <v>0</v>
      </c>
      <c r="AG249" s="87">
        <f t="shared" si="372"/>
        <v>0</v>
      </c>
      <c r="AH249" s="87">
        <f t="shared" si="407"/>
        <v>0</v>
      </c>
      <c r="AI249" s="87">
        <f t="shared" si="408"/>
        <v>0</v>
      </c>
      <c r="AJ249" s="87">
        <f t="shared" si="409"/>
        <v>0</v>
      </c>
      <c r="AK249" s="86">
        <f t="shared" si="410"/>
        <v>0</v>
      </c>
      <c r="AL249" s="85">
        <v>837</v>
      </c>
      <c r="AM249" s="85">
        <v>1496</v>
      </c>
      <c r="AN249" s="85">
        <v>739</v>
      </c>
      <c r="AO249" s="85">
        <v>821</v>
      </c>
      <c r="AP249" s="85">
        <v>1260</v>
      </c>
      <c r="AQ249" s="86">
        <v>1258</v>
      </c>
      <c r="AR249" s="87">
        <v>785</v>
      </c>
      <c r="AS249" s="87">
        <v>714</v>
      </c>
      <c r="AT249" s="87">
        <v>299</v>
      </c>
      <c r="AU249" s="87">
        <v>226</v>
      </c>
      <c r="AV249" s="87">
        <v>255</v>
      </c>
      <c r="AW249" s="87">
        <v>119</v>
      </c>
      <c r="AX249" s="87">
        <v>51</v>
      </c>
      <c r="AY249" s="87">
        <v>9</v>
      </c>
      <c r="AZ249" s="87">
        <v>3</v>
      </c>
      <c r="BA249" s="87">
        <v>2</v>
      </c>
      <c r="BB249" s="87">
        <v>0</v>
      </c>
      <c r="BC249" s="86">
        <v>0</v>
      </c>
      <c r="BD249" s="87">
        <v>0</v>
      </c>
      <c r="BE249" s="87">
        <v>0</v>
      </c>
      <c r="BF249" s="87">
        <v>1</v>
      </c>
      <c r="BG249" s="87">
        <v>0</v>
      </c>
      <c r="BH249" s="87">
        <v>0</v>
      </c>
      <c r="BI249" s="87">
        <v>0</v>
      </c>
      <c r="BJ249" s="40">
        <v>0</v>
      </c>
      <c r="BK249" s="40">
        <v>0</v>
      </c>
      <c r="BL249" s="40">
        <v>0</v>
      </c>
      <c r="BM249" s="40">
        <v>0</v>
      </c>
      <c r="BN249" s="87"/>
      <c r="BO249" s="86"/>
      <c r="BP249" s="21">
        <v>107</v>
      </c>
      <c r="BQ249" s="21">
        <v>84</v>
      </c>
      <c r="BR249" s="21">
        <v>53</v>
      </c>
      <c r="BS249" s="21">
        <v>75</v>
      </c>
      <c r="BT249" s="21">
        <v>113</v>
      </c>
      <c r="BU249" s="42">
        <v>192</v>
      </c>
      <c r="BV249" s="21">
        <v>71</v>
      </c>
      <c r="BW249" s="21">
        <v>94</v>
      </c>
      <c r="BX249" s="21">
        <v>0</v>
      </c>
      <c r="BY249" s="21">
        <v>0</v>
      </c>
      <c r="BZ249" s="21">
        <v>0</v>
      </c>
      <c r="CA249" s="21">
        <v>0</v>
      </c>
      <c r="CB249" s="21">
        <v>0</v>
      </c>
      <c r="CC249" s="21">
        <v>0</v>
      </c>
      <c r="CD249" s="21">
        <v>0</v>
      </c>
      <c r="CE249" s="21">
        <v>0</v>
      </c>
      <c r="CF249" s="21">
        <v>0</v>
      </c>
      <c r="CG249" s="42">
        <v>0</v>
      </c>
      <c r="CH249" s="21">
        <v>0</v>
      </c>
      <c r="CI249" s="21">
        <v>0</v>
      </c>
      <c r="CJ249" s="21">
        <v>0</v>
      </c>
      <c r="CK249" s="21">
        <v>0</v>
      </c>
      <c r="CL249" s="21">
        <v>0</v>
      </c>
      <c r="CM249" s="21">
        <v>0</v>
      </c>
      <c r="CN249" s="21">
        <v>0</v>
      </c>
      <c r="CO249" s="21">
        <v>0</v>
      </c>
      <c r="CP249" s="21">
        <f t="shared" si="377"/>
        <v>0</v>
      </c>
      <c r="CQ249" s="344">
        <f t="shared" si="378"/>
        <v>0</v>
      </c>
      <c r="CR249" s="87"/>
      <c r="CS249" s="86"/>
      <c r="CT249" s="85">
        <f t="shared" si="411"/>
        <v>944</v>
      </c>
      <c r="CU249" s="85">
        <f t="shared" si="412"/>
        <v>1580</v>
      </c>
      <c r="CV249" s="85">
        <f t="shared" si="413"/>
        <v>792</v>
      </c>
      <c r="CW249" s="85">
        <f t="shared" si="414"/>
        <v>896</v>
      </c>
      <c r="CX249" s="85">
        <f t="shared" si="415"/>
        <v>1373</v>
      </c>
      <c r="CY249" s="86">
        <f t="shared" si="416"/>
        <v>1450</v>
      </c>
      <c r="CZ249" s="87">
        <f t="shared" si="417"/>
        <v>856</v>
      </c>
      <c r="DA249" s="87">
        <f t="shared" si="418"/>
        <v>808</v>
      </c>
      <c r="DB249" s="87">
        <f t="shared" si="419"/>
        <v>299</v>
      </c>
      <c r="DC249" s="87">
        <f t="shared" si="420"/>
        <v>226</v>
      </c>
      <c r="DD249" s="87">
        <f t="shared" si="421"/>
        <v>255</v>
      </c>
      <c r="DE249" s="87">
        <f t="shared" si="422"/>
        <v>119</v>
      </c>
      <c r="DF249" s="87">
        <f t="shared" si="423"/>
        <v>51</v>
      </c>
      <c r="DG249" s="87">
        <f t="shared" si="424"/>
        <v>9</v>
      </c>
      <c r="DH249" s="87">
        <f t="shared" si="425"/>
        <v>3</v>
      </c>
      <c r="DI249" s="87">
        <f t="shared" si="426"/>
        <v>2</v>
      </c>
      <c r="DJ249" s="87">
        <f t="shared" si="427"/>
        <v>0</v>
      </c>
      <c r="DK249" s="86">
        <f t="shared" si="428"/>
        <v>0</v>
      </c>
      <c r="DL249" s="87">
        <f t="shared" si="429"/>
        <v>0</v>
      </c>
      <c r="DM249" s="87">
        <f t="shared" si="430"/>
        <v>0</v>
      </c>
      <c r="DN249" s="87">
        <f t="shared" si="431"/>
        <v>1</v>
      </c>
      <c r="DO249" s="87">
        <f t="shared" si="432"/>
        <v>0</v>
      </c>
      <c r="DP249" s="87">
        <f t="shared" si="433"/>
        <v>0</v>
      </c>
      <c r="DQ249" s="87">
        <f t="shared" si="434"/>
        <v>0</v>
      </c>
      <c r="DR249" s="87">
        <f t="shared" si="439"/>
        <v>0</v>
      </c>
      <c r="DS249" s="87">
        <f t="shared" si="440"/>
        <v>0</v>
      </c>
      <c r="DT249" s="87">
        <f t="shared" si="435"/>
        <v>0</v>
      </c>
      <c r="DU249" s="87">
        <f t="shared" si="436"/>
        <v>0</v>
      </c>
      <c r="DV249" s="87">
        <f t="shared" si="437"/>
        <v>0</v>
      </c>
      <c r="DW249" s="87">
        <f t="shared" si="438"/>
        <v>0</v>
      </c>
    </row>
    <row r="250" spans="1:127">
      <c r="A250" s="22" t="s">
        <v>22</v>
      </c>
      <c r="B250" s="26">
        <v>4902430789639</v>
      </c>
      <c r="C250" s="22" t="s">
        <v>116</v>
      </c>
      <c r="D250" s="22" t="s">
        <v>23</v>
      </c>
      <c r="E250" s="22">
        <v>684013</v>
      </c>
      <c r="F250" s="80" t="s">
        <v>342</v>
      </c>
      <c r="G250" s="25">
        <v>77.399999999999991</v>
      </c>
      <c r="H250" s="85">
        <f t="shared" si="347"/>
        <v>298686.59999999998</v>
      </c>
      <c r="I250" s="85">
        <f t="shared" si="348"/>
        <v>238391.99999999997</v>
      </c>
      <c r="J250" s="85">
        <f t="shared" si="349"/>
        <v>241642.79999999996</v>
      </c>
      <c r="K250" s="85">
        <f t="shared" si="350"/>
        <v>109598.39999999999</v>
      </c>
      <c r="L250" s="85">
        <f t="shared" si="351"/>
        <v>145124.99999999997</v>
      </c>
      <c r="M250" s="86">
        <f t="shared" si="352"/>
        <v>96749.999999999985</v>
      </c>
      <c r="N250" s="87">
        <f t="shared" si="353"/>
        <v>98375.4</v>
      </c>
      <c r="O250" s="87">
        <f t="shared" si="354"/>
        <v>139397.4</v>
      </c>
      <c r="P250" s="87">
        <f t="shared" si="355"/>
        <v>117260.99999999999</v>
      </c>
      <c r="Q250" s="87">
        <f t="shared" si="356"/>
        <v>273221.99999999994</v>
      </c>
      <c r="R250" s="87">
        <f t="shared" si="357"/>
        <v>98065.799999999988</v>
      </c>
      <c r="S250" s="87">
        <f t="shared" si="358"/>
        <v>139010.4</v>
      </c>
      <c r="T250" s="87">
        <f t="shared" si="359"/>
        <v>119505.59999999999</v>
      </c>
      <c r="U250" s="87">
        <f t="shared" si="360"/>
        <v>73375.199999999997</v>
      </c>
      <c r="V250" s="87">
        <f t="shared" si="361"/>
        <v>251008.19999999998</v>
      </c>
      <c r="W250" s="87">
        <f t="shared" si="362"/>
        <v>143654.39999999999</v>
      </c>
      <c r="X250" s="87">
        <f t="shared" si="363"/>
        <v>109753.19999999998</v>
      </c>
      <c r="Y250" s="86">
        <f t="shared" si="364"/>
        <v>115945.19999999998</v>
      </c>
      <c r="Z250" s="87">
        <f t="shared" si="365"/>
        <v>136378.79999999999</v>
      </c>
      <c r="AA250" s="87">
        <f t="shared" si="366"/>
        <v>77322.599999999991</v>
      </c>
      <c r="AB250" s="87">
        <f t="shared" si="367"/>
        <v>88313.4</v>
      </c>
      <c r="AC250" s="87">
        <f t="shared" si="368"/>
        <v>139087.79999999999</v>
      </c>
      <c r="AD250" s="87">
        <f t="shared" si="369"/>
        <v>120124.79999999999</v>
      </c>
      <c r="AE250" s="87">
        <f t="shared" si="370"/>
        <v>136456.19999999998</v>
      </c>
      <c r="AF250" s="87">
        <f t="shared" si="371"/>
        <v>94118.399999999994</v>
      </c>
      <c r="AG250" s="87">
        <f t="shared" si="372"/>
        <v>99845.999999999985</v>
      </c>
      <c r="AH250" s="87">
        <f t="shared" si="407"/>
        <v>94427.999999999985</v>
      </c>
      <c r="AI250" s="87">
        <f t="shared" si="408"/>
        <v>141100.19999999998</v>
      </c>
      <c r="AJ250" s="87">
        <f t="shared" si="409"/>
        <v>0</v>
      </c>
      <c r="AK250" s="86">
        <f t="shared" si="410"/>
        <v>0</v>
      </c>
      <c r="AL250" s="85">
        <v>2554</v>
      </c>
      <c r="AM250" s="85">
        <v>2235</v>
      </c>
      <c r="AN250" s="85">
        <v>1552</v>
      </c>
      <c r="AO250" s="85">
        <v>1227</v>
      </c>
      <c r="AP250" s="85">
        <v>1664</v>
      </c>
      <c r="AQ250" s="86">
        <v>1079</v>
      </c>
      <c r="AR250" s="87">
        <v>1120</v>
      </c>
      <c r="AS250" s="87">
        <v>1438</v>
      </c>
      <c r="AT250" s="87">
        <v>1050</v>
      </c>
      <c r="AU250" s="87">
        <v>2163</v>
      </c>
      <c r="AV250" s="87">
        <v>905</v>
      </c>
      <c r="AW250" s="87">
        <v>1058</v>
      </c>
      <c r="AX250" s="87">
        <v>1465</v>
      </c>
      <c r="AY250" s="87">
        <v>812</v>
      </c>
      <c r="AZ250" s="87">
        <v>1654</v>
      </c>
      <c r="BA250" s="87">
        <v>1652</v>
      </c>
      <c r="BB250" s="87">
        <v>1028</v>
      </c>
      <c r="BC250" s="86">
        <v>1042</v>
      </c>
      <c r="BD250" s="87">
        <v>1440</v>
      </c>
      <c r="BE250" s="87">
        <v>703</v>
      </c>
      <c r="BF250" s="87">
        <v>900</v>
      </c>
      <c r="BG250" s="87">
        <v>1517</v>
      </c>
      <c r="BH250" s="87">
        <v>1319</v>
      </c>
      <c r="BI250" s="87">
        <v>1639</v>
      </c>
      <c r="BJ250" s="40">
        <v>1086</v>
      </c>
      <c r="BK250" s="40">
        <v>1212</v>
      </c>
      <c r="BL250" s="40">
        <v>1142</v>
      </c>
      <c r="BM250" s="40">
        <v>1625</v>
      </c>
      <c r="BN250" s="87"/>
      <c r="BO250" s="86"/>
      <c r="BP250" s="21">
        <v>1305</v>
      </c>
      <c r="BQ250" s="21">
        <v>845</v>
      </c>
      <c r="BR250" s="21">
        <v>1570</v>
      </c>
      <c r="BS250" s="21">
        <v>189</v>
      </c>
      <c r="BT250" s="21">
        <v>211</v>
      </c>
      <c r="BU250" s="42">
        <v>171</v>
      </c>
      <c r="BV250" s="21">
        <v>151</v>
      </c>
      <c r="BW250" s="21">
        <v>363</v>
      </c>
      <c r="BX250" s="21">
        <v>465</v>
      </c>
      <c r="BY250" s="21">
        <v>1367</v>
      </c>
      <c r="BZ250" s="21">
        <v>362</v>
      </c>
      <c r="CA250" s="21">
        <v>738</v>
      </c>
      <c r="CB250" s="21">
        <v>79</v>
      </c>
      <c r="CC250" s="21">
        <v>136</v>
      </c>
      <c r="CD250" s="21">
        <v>1589</v>
      </c>
      <c r="CE250" s="21">
        <v>204</v>
      </c>
      <c r="CF250" s="21">
        <v>390</v>
      </c>
      <c r="CG250" s="42">
        <v>456</v>
      </c>
      <c r="CH250" s="21">
        <v>322</v>
      </c>
      <c r="CI250" s="21">
        <v>296</v>
      </c>
      <c r="CJ250" s="21">
        <v>241</v>
      </c>
      <c r="CK250" s="21">
        <v>280</v>
      </c>
      <c r="CL250" s="21">
        <v>233</v>
      </c>
      <c r="CM250" s="21">
        <v>124</v>
      </c>
      <c r="CN250" s="21">
        <v>130</v>
      </c>
      <c r="CO250" s="21">
        <v>78</v>
      </c>
      <c r="CP250" s="21">
        <f t="shared" si="377"/>
        <v>78</v>
      </c>
      <c r="CQ250" s="344">
        <f t="shared" si="378"/>
        <v>198</v>
      </c>
      <c r="CR250" s="87"/>
      <c r="CS250" s="86"/>
      <c r="CT250" s="85">
        <f t="shared" si="411"/>
        <v>3859</v>
      </c>
      <c r="CU250" s="85">
        <f t="shared" si="412"/>
        <v>3080</v>
      </c>
      <c r="CV250" s="85">
        <f t="shared" si="413"/>
        <v>3122</v>
      </c>
      <c r="CW250" s="85">
        <f t="shared" si="414"/>
        <v>1416</v>
      </c>
      <c r="CX250" s="85">
        <f t="shared" si="415"/>
        <v>1875</v>
      </c>
      <c r="CY250" s="86">
        <f t="shared" si="416"/>
        <v>1250</v>
      </c>
      <c r="CZ250" s="87">
        <f t="shared" si="417"/>
        <v>1271</v>
      </c>
      <c r="DA250" s="87">
        <f t="shared" si="418"/>
        <v>1801</v>
      </c>
      <c r="DB250" s="87">
        <f t="shared" si="419"/>
        <v>1515</v>
      </c>
      <c r="DC250" s="87">
        <f t="shared" si="420"/>
        <v>3530</v>
      </c>
      <c r="DD250" s="87">
        <f t="shared" si="421"/>
        <v>1267</v>
      </c>
      <c r="DE250" s="87">
        <f t="shared" si="422"/>
        <v>1796</v>
      </c>
      <c r="DF250" s="87">
        <f t="shared" si="423"/>
        <v>1544</v>
      </c>
      <c r="DG250" s="87">
        <f t="shared" si="424"/>
        <v>948</v>
      </c>
      <c r="DH250" s="87">
        <f t="shared" si="425"/>
        <v>3243</v>
      </c>
      <c r="DI250" s="87">
        <f t="shared" si="426"/>
        <v>1856</v>
      </c>
      <c r="DJ250" s="87">
        <f t="shared" si="427"/>
        <v>1418</v>
      </c>
      <c r="DK250" s="86">
        <f t="shared" si="428"/>
        <v>1498</v>
      </c>
      <c r="DL250" s="87">
        <f t="shared" si="429"/>
        <v>1762</v>
      </c>
      <c r="DM250" s="87">
        <f t="shared" si="430"/>
        <v>999</v>
      </c>
      <c r="DN250" s="87">
        <f t="shared" si="431"/>
        <v>1141</v>
      </c>
      <c r="DO250" s="87">
        <f t="shared" si="432"/>
        <v>1797</v>
      </c>
      <c r="DP250" s="87">
        <f t="shared" si="433"/>
        <v>1552</v>
      </c>
      <c r="DQ250" s="87">
        <f t="shared" si="434"/>
        <v>1763</v>
      </c>
      <c r="DR250" s="87">
        <f t="shared" si="439"/>
        <v>1216</v>
      </c>
      <c r="DS250" s="87">
        <f t="shared" si="440"/>
        <v>1290</v>
      </c>
      <c r="DT250" s="87">
        <f t="shared" si="435"/>
        <v>1220</v>
      </c>
      <c r="DU250" s="87">
        <f t="shared" si="436"/>
        <v>1823</v>
      </c>
      <c r="DV250" s="87">
        <f t="shared" si="437"/>
        <v>0</v>
      </c>
      <c r="DW250" s="87">
        <f t="shared" si="438"/>
        <v>0</v>
      </c>
    </row>
    <row r="251" spans="1:127">
      <c r="A251" s="22" t="s">
        <v>22</v>
      </c>
      <c r="B251" s="26">
        <v>4902430789646</v>
      </c>
      <c r="C251" s="22" t="s">
        <v>116</v>
      </c>
      <c r="D251" s="22" t="s">
        <v>23</v>
      </c>
      <c r="E251" s="22">
        <v>684039</v>
      </c>
      <c r="F251" s="80" t="s">
        <v>343</v>
      </c>
      <c r="G251" s="25">
        <v>77.399999999999991</v>
      </c>
      <c r="H251" s="85">
        <f t="shared" si="347"/>
        <v>263392.19999999995</v>
      </c>
      <c r="I251" s="85">
        <f t="shared" si="348"/>
        <v>201859.19999999998</v>
      </c>
      <c r="J251" s="85">
        <f t="shared" si="349"/>
        <v>205961.39999999997</v>
      </c>
      <c r="K251" s="85">
        <f t="shared" si="350"/>
        <v>88855.2</v>
      </c>
      <c r="L251" s="85">
        <f t="shared" si="351"/>
        <v>115016.4</v>
      </c>
      <c r="M251" s="86">
        <f t="shared" si="352"/>
        <v>81656.999999999985</v>
      </c>
      <c r="N251" s="87">
        <f t="shared" si="353"/>
        <v>77941.799999999988</v>
      </c>
      <c r="O251" s="87">
        <f t="shared" si="354"/>
        <v>156425.4</v>
      </c>
      <c r="P251" s="87">
        <f t="shared" si="355"/>
        <v>155573.99999999997</v>
      </c>
      <c r="Q251" s="87">
        <f t="shared" si="356"/>
        <v>393114.6</v>
      </c>
      <c r="R251" s="87">
        <f t="shared" si="357"/>
        <v>137230.19999999998</v>
      </c>
      <c r="S251" s="87">
        <f t="shared" si="358"/>
        <v>217106.99999999997</v>
      </c>
      <c r="T251" s="87">
        <f t="shared" si="359"/>
        <v>207509.39999999997</v>
      </c>
      <c r="U251" s="87">
        <f t="shared" si="360"/>
        <v>110217.59999999999</v>
      </c>
      <c r="V251" s="87">
        <f t="shared" si="361"/>
        <v>438238.79999999993</v>
      </c>
      <c r="W251" s="87">
        <f t="shared" si="362"/>
        <v>233825.39999999997</v>
      </c>
      <c r="X251" s="87">
        <f t="shared" si="363"/>
        <v>173995.19999999998</v>
      </c>
      <c r="Y251" s="86">
        <f t="shared" si="364"/>
        <v>94040.999999999985</v>
      </c>
      <c r="Z251" s="87">
        <f t="shared" si="365"/>
        <v>106734.59999999999</v>
      </c>
      <c r="AA251" s="87">
        <f t="shared" si="366"/>
        <v>113081.4</v>
      </c>
      <c r="AB251" s="87">
        <f t="shared" si="367"/>
        <v>98607.599999999991</v>
      </c>
      <c r="AC251" s="87">
        <f t="shared" si="368"/>
        <v>114087.59999999999</v>
      </c>
      <c r="AD251" s="87">
        <f t="shared" si="369"/>
        <v>97833.599999999991</v>
      </c>
      <c r="AE251" s="87">
        <f t="shared" si="370"/>
        <v>102554.99999999999</v>
      </c>
      <c r="AF251" s="87">
        <f t="shared" si="371"/>
        <v>71981.999999999985</v>
      </c>
      <c r="AG251" s="87">
        <f t="shared" si="372"/>
        <v>71440.2</v>
      </c>
      <c r="AH251" s="87">
        <f t="shared" si="407"/>
        <v>68731.199999999997</v>
      </c>
      <c r="AI251" s="87">
        <f t="shared" si="408"/>
        <v>105865.99999999999</v>
      </c>
      <c r="AJ251" s="87">
        <f t="shared" si="409"/>
        <v>0</v>
      </c>
      <c r="AK251" s="86">
        <f t="shared" si="410"/>
        <v>0</v>
      </c>
      <c r="AL251" s="85">
        <v>2290</v>
      </c>
      <c r="AM251" s="85">
        <v>1905</v>
      </c>
      <c r="AN251" s="85">
        <v>1300</v>
      </c>
      <c r="AO251" s="85">
        <v>1017</v>
      </c>
      <c r="AP251" s="85">
        <v>1328</v>
      </c>
      <c r="AQ251" s="86">
        <v>924</v>
      </c>
      <c r="AR251" s="87">
        <v>891</v>
      </c>
      <c r="AS251" s="87">
        <v>1715</v>
      </c>
      <c r="AT251" s="87">
        <v>1597</v>
      </c>
      <c r="AU251" s="87">
        <v>3648</v>
      </c>
      <c r="AV251" s="87">
        <v>1515</v>
      </c>
      <c r="AW251" s="87">
        <v>2068</v>
      </c>
      <c r="AX251" s="87">
        <v>2606</v>
      </c>
      <c r="AY251" s="87">
        <v>1289</v>
      </c>
      <c r="AZ251" s="87">
        <v>2909</v>
      </c>
      <c r="BA251" s="87">
        <v>2800</v>
      </c>
      <c r="BB251" s="87">
        <v>1831</v>
      </c>
      <c r="BC251" s="86">
        <v>905</v>
      </c>
      <c r="BD251" s="87">
        <v>1194</v>
      </c>
      <c r="BE251" s="87">
        <v>1255</v>
      </c>
      <c r="BF251" s="87">
        <v>1097</v>
      </c>
      <c r="BG251" s="87">
        <v>1206</v>
      </c>
      <c r="BH251" s="87">
        <v>1040</v>
      </c>
      <c r="BI251" s="87">
        <v>1242</v>
      </c>
      <c r="BJ251" s="40">
        <v>792</v>
      </c>
      <c r="BK251" s="40">
        <v>903</v>
      </c>
      <c r="BL251" s="40">
        <v>868</v>
      </c>
      <c r="BM251" s="40">
        <v>1221</v>
      </c>
      <c r="BN251" s="87"/>
      <c r="BO251" s="86"/>
      <c r="BP251" s="21">
        <v>1113</v>
      </c>
      <c r="BQ251" s="21">
        <v>703</v>
      </c>
      <c r="BR251" s="21">
        <v>1361</v>
      </c>
      <c r="BS251" s="21">
        <v>131</v>
      </c>
      <c r="BT251" s="21">
        <v>158</v>
      </c>
      <c r="BU251" s="42">
        <v>131</v>
      </c>
      <c r="BV251" s="21">
        <v>116</v>
      </c>
      <c r="BW251" s="21">
        <v>306</v>
      </c>
      <c r="BX251" s="21">
        <v>413</v>
      </c>
      <c r="BY251" s="21">
        <v>1431</v>
      </c>
      <c r="BZ251" s="21">
        <v>258</v>
      </c>
      <c r="CA251" s="21">
        <v>737</v>
      </c>
      <c r="CB251" s="21">
        <v>75</v>
      </c>
      <c r="CC251" s="21">
        <v>135</v>
      </c>
      <c r="CD251" s="21">
        <v>2753</v>
      </c>
      <c r="CE251" s="21">
        <v>221</v>
      </c>
      <c r="CF251" s="21">
        <v>417</v>
      </c>
      <c r="CG251" s="42">
        <v>310</v>
      </c>
      <c r="CH251" s="21">
        <v>185</v>
      </c>
      <c r="CI251" s="21">
        <v>206</v>
      </c>
      <c r="CJ251" s="21">
        <v>177</v>
      </c>
      <c r="CK251" s="21">
        <v>268</v>
      </c>
      <c r="CL251" s="21">
        <v>224</v>
      </c>
      <c r="CM251" s="21">
        <v>83</v>
      </c>
      <c r="CN251" s="21">
        <v>138</v>
      </c>
      <c r="CO251" s="21">
        <v>20</v>
      </c>
      <c r="CP251" s="21">
        <f t="shared" si="377"/>
        <v>20</v>
      </c>
      <c r="CQ251" s="344">
        <f t="shared" si="378"/>
        <v>146.77777777777777</v>
      </c>
      <c r="CR251" s="87"/>
      <c r="CS251" s="86"/>
      <c r="CT251" s="85">
        <f t="shared" si="411"/>
        <v>3403</v>
      </c>
      <c r="CU251" s="85">
        <f t="shared" si="412"/>
        <v>2608</v>
      </c>
      <c r="CV251" s="85">
        <f t="shared" si="413"/>
        <v>2661</v>
      </c>
      <c r="CW251" s="85">
        <f t="shared" si="414"/>
        <v>1148</v>
      </c>
      <c r="CX251" s="85">
        <f t="shared" si="415"/>
        <v>1486</v>
      </c>
      <c r="CY251" s="86">
        <f t="shared" si="416"/>
        <v>1055</v>
      </c>
      <c r="CZ251" s="87">
        <f t="shared" si="417"/>
        <v>1007</v>
      </c>
      <c r="DA251" s="87">
        <f t="shared" si="418"/>
        <v>2021</v>
      </c>
      <c r="DB251" s="87">
        <f t="shared" si="419"/>
        <v>2010</v>
      </c>
      <c r="DC251" s="87">
        <f t="shared" si="420"/>
        <v>5079</v>
      </c>
      <c r="DD251" s="87">
        <f t="shared" si="421"/>
        <v>1773</v>
      </c>
      <c r="DE251" s="87">
        <f t="shared" si="422"/>
        <v>2805</v>
      </c>
      <c r="DF251" s="87">
        <f t="shared" si="423"/>
        <v>2681</v>
      </c>
      <c r="DG251" s="87">
        <f t="shared" si="424"/>
        <v>1424</v>
      </c>
      <c r="DH251" s="87">
        <f t="shared" si="425"/>
        <v>5662</v>
      </c>
      <c r="DI251" s="87">
        <f t="shared" si="426"/>
        <v>3021</v>
      </c>
      <c r="DJ251" s="87">
        <f t="shared" si="427"/>
        <v>2248</v>
      </c>
      <c r="DK251" s="86">
        <f t="shared" si="428"/>
        <v>1215</v>
      </c>
      <c r="DL251" s="87">
        <f t="shared" si="429"/>
        <v>1379</v>
      </c>
      <c r="DM251" s="87">
        <f t="shared" si="430"/>
        <v>1461</v>
      </c>
      <c r="DN251" s="87">
        <f t="shared" si="431"/>
        <v>1274</v>
      </c>
      <c r="DO251" s="87">
        <f t="shared" si="432"/>
        <v>1474</v>
      </c>
      <c r="DP251" s="87">
        <f t="shared" si="433"/>
        <v>1264</v>
      </c>
      <c r="DQ251" s="87">
        <f t="shared" si="434"/>
        <v>1325</v>
      </c>
      <c r="DR251" s="87">
        <f t="shared" si="439"/>
        <v>930</v>
      </c>
      <c r="DS251" s="87">
        <f t="shared" si="440"/>
        <v>923</v>
      </c>
      <c r="DT251" s="87">
        <f t="shared" si="435"/>
        <v>888</v>
      </c>
      <c r="DU251" s="87">
        <f t="shared" si="436"/>
        <v>1367.7777777777778</v>
      </c>
      <c r="DV251" s="87">
        <f t="shared" si="437"/>
        <v>0</v>
      </c>
      <c r="DW251" s="87">
        <f t="shared" si="438"/>
        <v>0</v>
      </c>
    </row>
    <row r="252" spans="1:127">
      <c r="A252" s="22" t="s">
        <v>22</v>
      </c>
      <c r="B252" s="26">
        <v>4902430115681</v>
      </c>
      <c r="C252" s="22" t="s">
        <v>116</v>
      </c>
      <c r="D252" s="22" t="s">
        <v>122</v>
      </c>
      <c r="E252" s="22">
        <v>307354</v>
      </c>
      <c r="F252" s="80" t="s">
        <v>344</v>
      </c>
      <c r="G252" s="25">
        <v>51.9</v>
      </c>
      <c r="H252" s="85">
        <f t="shared" si="347"/>
        <v>27455.1</v>
      </c>
      <c r="I252" s="85">
        <f t="shared" si="348"/>
        <v>36849</v>
      </c>
      <c r="J252" s="85">
        <f t="shared" si="349"/>
        <v>15206.699999999999</v>
      </c>
      <c r="K252" s="85">
        <f t="shared" si="350"/>
        <v>9186.2999999999993</v>
      </c>
      <c r="L252" s="85">
        <f t="shared" si="351"/>
        <v>7681.2</v>
      </c>
      <c r="M252" s="86">
        <f t="shared" si="352"/>
        <v>2698.7999999999997</v>
      </c>
      <c r="N252" s="87">
        <f t="shared" si="353"/>
        <v>1816.5</v>
      </c>
      <c r="O252" s="87">
        <f t="shared" si="354"/>
        <v>1089.8999999999999</v>
      </c>
      <c r="P252" s="87">
        <f t="shared" si="355"/>
        <v>467.09999999999997</v>
      </c>
      <c r="Q252" s="87">
        <f t="shared" si="356"/>
        <v>467.09999999999997</v>
      </c>
      <c r="R252" s="87">
        <f t="shared" si="357"/>
        <v>51.9</v>
      </c>
      <c r="S252" s="87">
        <f t="shared" si="358"/>
        <v>51.9</v>
      </c>
      <c r="T252" s="87">
        <f t="shared" si="359"/>
        <v>0</v>
      </c>
      <c r="U252" s="87">
        <f t="shared" si="360"/>
        <v>0</v>
      </c>
      <c r="V252" s="87">
        <f t="shared" si="361"/>
        <v>0</v>
      </c>
      <c r="W252" s="87">
        <f t="shared" si="362"/>
        <v>0</v>
      </c>
      <c r="X252" s="87">
        <f t="shared" si="363"/>
        <v>0</v>
      </c>
      <c r="Y252" s="86">
        <f t="shared" si="364"/>
        <v>0</v>
      </c>
      <c r="Z252" s="87">
        <f t="shared" si="365"/>
        <v>0</v>
      </c>
      <c r="AA252" s="87">
        <f t="shared" si="366"/>
        <v>0</v>
      </c>
      <c r="AB252" s="87">
        <f t="shared" si="367"/>
        <v>0</v>
      </c>
      <c r="AC252" s="87">
        <f t="shared" si="368"/>
        <v>0</v>
      </c>
      <c r="AD252" s="87">
        <f t="shared" si="369"/>
        <v>0</v>
      </c>
      <c r="AE252" s="87">
        <f t="shared" si="370"/>
        <v>0</v>
      </c>
      <c r="AF252" s="87">
        <f t="shared" si="371"/>
        <v>0</v>
      </c>
      <c r="AG252" s="87">
        <f t="shared" si="372"/>
        <v>0</v>
      </c>
      <c r="AH252" s="87">
        <f t="shared" si="407"/>
        <v>0</v>
      </c>
      <c r="AI252" s="87">
        <f t="shared" si="408"/>
        <v>0</v>
      </c>
      <c r="AJ252" s="87">
        <f t="shared" si="409"/>
        <v>0</v>
      </c>
      <c r="AK252" s="86">
        <f t="shared" si="410"/>
        <v>0</v>
      </c>
      <c r="AL252" s="85">
        <v>404</v>
      </c>
      <c r="AM252" s="85">
        <v>617</v>
      </c>
      <c r="AN252" s="85">
        <v>250</v>
      </c>
      <c r="AO252" s="85">
        <v>177</v>
      </c>
      <c r="AP252" s="85">
        <v>148</v>
      </c>
      <c r="AQ252" s="86">
        <v>52</v>
      </c>
      <c r="AR252" s="87">
        <v>35</v>
      </c>
      <c r="AS252" s="87">
        <v>21</v>
      </c>
      <c r="AT252" s="87">
        <v>9</v>
      </c>
      <c r="AU252" s="87">
        <v>9</v>
      </c>
      <c r="AV252" s="87">
        <v>1</v>
      </c>
      <c r="AW252" s="87">
        <v>1</v>
      </c>
      <c r="AX252" s="87">
        <v>0</v>
      </c>
      <c r="AY252" s="87">
        <v>0</v>
      </c>
      <c r="AZ252" s="87">
        <v>0</v>
      </c>
      <c r="BA252" s="87">
        <v>0</v>
      </c>
      <c r="BB252" s="87">
        <v>0</v>
      </c>
      <c r="BC252" s="86">
        <v>0</v>
      </c>
      <c r="BD252" s="87">
        <v>0</v>
      </c>
      <c r="BE252" s="87">
        <v>0</v>
      </c>
      <c r="BF252" s="87">
        <v>0</v>
      </c>
      <c r="BG252" s="87">
        <v>0</v>
      </c>
      <c r="BH252" s="87">
        <v>0</v>
      </c>
      <c r="BI252" s="87">
        <v>0</v>
      </c>
      <c r="BJ252" s="40">
        <v>0</v>
      </c>
      <c r="BK252" s="40">
        <v>0</v>
      </c>
      <c r="BL252" s="40">
        <v>0</v>
      </c>
      <c r="BM252" s="40">
        <v>0</v>
      </c>
      <c r="BN252" s="87"/>
      <c r="BO252" s="86"/>
      <c r="BP252" s="21">
        <v>125</v>
      </c>
      <c r="BQ252" s="21">
        <v>93</v>
      </c>
      <c r="BR252" s="21">
        <v>43</v>
      </c>
      <c r="BS252" s="21">
        <v>0</v>
      </c>
      <c r="BT252" s="21">
        <v>0</v>
      </c>
      <c r="BU252" s="42">
        <v>0</v>
      </c>
      <c r="BV252" s="21">
        <v>0</v>
      </c>
      <c r="BW252" s="21">
        <v>0</v>
      </c>
      <c r="BX252" s="21">
        <v>0</v>
      </c>
      <c r="BY252" s="21">
        <v>0</v>
      </c>
      <c r="BZ252" s="21">
        <v>0</v>
      </c>
      <c r="CA252" s="21">
        <v>0</v>
      </c>
      <c r="CB252" s="21">
        <v>0</v>
      </c>
      <c r="CC252" s="21">
        <v>0</v>
      </c>
      <c r="CD252" s="21">
        <v>0</v>
      </c>
      <c r="CE252" s="21">
        <v>0</v>
      </c>
      <c r="CF252" s="21">
        <v>0</v>
      </c>
      <c r="CG252" s="42">
        <v>0</v>
      </c>
      <c r="CH252" s="21">
        <v>0</v>
      </c>
      <c r="CI252" s="21">
        <v>0</v>
      </c>
      <c r="CJ252" s="21">
        <v>0</v>
      </c>
      <c r="CK252" s="21">
        <v>0</v>
      </c>
      <c r="CL252" s="21">
        <v>0</v>
      </c>
      <c r="CM252" s="21">
        <v>0</v>
      </c>
      <c r="CN252" s="21">
        <v>0</v>
      </c>
      <c r="CO252" s="21">
        <v>0</v>
      </c>
      <c r="CP252" s="21">
        <f t="shared" si="377"/>
        <v>0</v>
      </c>
      <c r="CQ252" s="344">
        <f t="shared" si="378"/>
        <v>0</v>
      </c>
      <c r="CR252" s="87"/>
      <c r="CS252" s="86"/>
      <c r="CT252" s="85">
        <f t="shared" si="411"/>
        <v>529</v>
      </c>
      <c r="CU252" s="85">
        <f t="shared" si="412"/>
        <v>710</v>
      </c>
      <c r="CV252" s="85">
        <f t="shared" si="413"/>
        <v>293</v>
      </c>
      <c r="CW252" s="85">
        <f t="shared" si="414"/>
        <v>177</v>
      </c>
      <c r="CX252" s="85">
        <f t="shared" si="415"/>
        <v>148</v>
      </c>
      <c r="CY252" s="86">
        <f t="shared" si="416"/>
        <v>52</v>
      </c>
      <c r="CZ252" s="87">
        <f t="shared" si="417"/>
        <v>35</v>
      </c>
      <c r="DA252" s="87">
        <f t="shared" si="418"/>
        <v>21</v>
      </c>
      <c r="DB252" s="87">
        <f t="shared" si="419"/>
        <v>9</v>
      </c>
      <c r="DC252" s="87">
        <f t="shared" si="420"/>
        <v>9</v>
      </c>
      <c r="DD252" s="87">
        <f t="shared" si="421"/>
        <v>1</v>
      </c>
      <c r="DE252" s="87">
        <f t="shared" si="422"/>
        <v>1</v>
      </c>
      <c r="DF252" s="87">
        <f t="shared" si="423"/>
        <v>0</v>
      </c>
      <c r="DG252" s="87">
        <f t="shared" si="424"/>
        <v>0</v>
      </c>
      <c r="DH252" s="87">
        <f t="shared" si="425"/>
        <v>0</v>
      </c>
      <c r="DI252" s="87">
        <f t="shared" si="426"/>
        <v>0</v>
      </c>
      <c r="DJ252" s="87">
        <f t="shared" si="427"/>
        <v>0</v>
      </c>
      <c r="DK252" s="86">
        <f t="shared" si="428"/>
        <v>0</v>
      </c>
      <c r="DL252" s="87">
        <f t="shared" si="429"/>
        <v>0</v>
      </c>
      <c r="DM252" s="87">
        <f t="shared" si="430"/>
        <v>0</v>
      </c>
      <c r="DN252" s="87">
        <f t="shared" si="431"/>
        <v>0</v>
      </c>
      <c r="DO252" s="87">
        <f t="shared" si="432"/>
        <v>0</v>
      </c>
      <c r="DP252" s="87">
        <f t="shared" si="433"/>
        <v>0</v>
      </c>
      <c r="DQ252" s="87">
        <f t="shared" si="434"/>
        <v>0</v>
      </c>
      <c r="DR252" s="87">
        <f t="shared" si="439"/>
        <v>0</v>
      </c>
      <c r="DS252" s="87">
        <f t="shared" si="440"/>
        <v>0</v>
      </c>
      <c r="DT252" s="87">
        <f t="shared" si="435"/>
        <v>0</v>
      </c>
      <c r="DU252" s="87">
        <f t="shared" si="436"/>
        <v>0</v>
      </c>
      <c r="DV252" s="87">
        <f t="shared" si="437"/>
        <v>0</v>
      </c>
      <c r="DW252" s="87">
        <f t="shared" si="438"/>
        <v>0</v>
      </c>
    </row>
    <row r="253" spans="1:127">
      <c r="A253" s="22" t="s">
        <v>22</v>
      </c>
      <c r="B253" s="26">
        <v>3014260279400</v>
      </c>
      <c r="C253" s="22" t="s">
        <v>116</v>
      </c>
      <c r="D253" s="22" t="s">
        <v>122</v>
      </c>
      <c r="E253" s="22">
        <v>571641</v>
      </c>
      <c r="F253" s="80" t="s">
        <v>345</v>
      </c>
      <c r="G253" s="25">
        <v>35.645833333333336</v>
      </c>
      <c r="H253" s="85">
        <f t="shared" si="347"/>
        <v>1283.25</v>
      </c>
      <c r="I253" s="85">
        <f t="shared" si="348"/>
        <v>1675.3541666666667</v>
      </c>
      <c r="J253" s="85">
        <f t="shared" si="349"/>
        <v>463.39583333333337</v>
      </c>
      <c r="K253" s="85">
        <f t="shared" si="350"/>
        <v>0</v>
      </c>
      <c r="L253" s="85">
        <f t="shared" si="351"/>
        <v>0</v>
      </c>
      <c r="M253" s="86">
        <f t="shared" si="352"/>
        <v>0</v>
      </c>
      <c r="N253" s="87">
        <f t="shared" si="353"/>
        <v>0</v>
      </c>
      <c r="O253" s="87">
        <f t="shared" si="354"/>
        <v>0</v>
      </c>
      <c r="P253" s="87">
        <f t="shared" si="355"/>
        <v>0</v>
      </c>
      <c r="Q253" s="87">
        <f t="shared" si="356"/>
        <v>0</v>
      </c>
      <c r="R253" s="87">
        <f t="shared" si="357"/>
        <v>0</v>
      </c>
      <c r="S253" s="87">
        <f t="shared" si="358"/>
        <v>0</v>
      </c>
      <c r="T253" s="87">
        <f t="shared" si="359"/>
        <v>0</v>
      </c>
      <c r="U253" s="87">
        <f t="shared" si="360"/>
        <v>0</v>
      </c>
      <c r="V253" s="87">
        <f t="shared" si="361"/>
        <v>0</v>
      </c>
      <c r="W253" s="87">
        <f t="shared" si="362"/>
        <v>0</v>
      </c>
      <c r="X253" s="87">
        <f t="shared" si="363"/>
        <v>0</v>
      </c>
      <c r="Y253" s="86">
        <f t="shared" si="364"/>
        <v>0</v>
      </c>
      <c r="Z253" s="87">
        <f t="shared" si="365"/>
        <v>0</v>
      </c>
      <c r="AA253" s="87">
        <f t="shared" si="366"/>
        <v>0</v>
      </c>
      <c r="AB253" s="87">
        <f t="shared" si="367"/>
        <v>0</v>
      </c>
      <c r="AC253" s="87">
        <f t="shared" si="368"/>
        <v>0</v>
      </c>
      <c r="AD253" s="87">
        <f t="shared" si="369"/>
        <v>0</v>
      </c>
      <c r="AE253" s="87">
        <f t="shared" si="370"/>
        <v>0</v>
      </c>
      <c r="AF253" s="87">
        <f t="shared" si="371"/>
        <v>0</v>
      </c>
      <c r="AG253" s="87">
        <f t="shared" si="372"/>
        <v>0</v>
      </c>
      <c r="AH253" s="87">
        <f t="shared" si="407"/>
        <v>0</v>
      </c>
      <c r="AI253" s="87">
        <f t="shared" si="408"/>
        <v>0</v>
      </c>
      <c r="AJ253" s="87">
        <f t="shared" si="409"/>
        <v>0</v>
      </c>
      <c r="AK253" s="86">
        <f t="shared" si="410"/>
        <v>0</v>
      </c>
      <c r="AL253" s="85">
        <v>36</v>
      </c>
      <c r="AM253" s="85">
        <v>47</v>
      </c>
      <c r="AN253" s="85">
        <v>13</v>
      </c>
      <c r="AO253" s="85">
        <v>0</v>
      </c>
      <c r="AP253" s="85">
        <v>0</v>
      </c>
      <c r="AQ253" s="86">
        <v>0</v>
      </c>
      <c r="AR253" s="87">
        <v>0</v>
      </c>
      <c r="AS253" s="87">
        <v>0</v>
      </c>
      <c r="AT253" s="87">
        <v>0</v>
      </c>
      <c r="AU253" s="87">
        <v>0</v>
      </c>
      <c r="AV253" s="87">
        <v>0</v>
      </c>
      <c r="AW253" s="87">
        <v>0</v>
      </c>
      <c r="AX253" s="87">
        <v>0</v>
      </c>
      <c r="AY253" s="87">
        <v>0</v>
      </c>
      <c r="AZ253" s="87">
        <v>0</v>
      </c>
      <c r="BA253" s="87">
        <v>0</v>
      </c>
      <c r="BB253" s="87">
        <v>0</v>
      </c>
      <c r="BC253" s="86">
        <v>0</v>
      </c>
      <c r="BD253" s="87">
        <v>0</v>
      </c>
      <c r="BE253" s="87">
        <v>0</v>
      </c>
      <c r="BF253" s="87">
        <v>0</v>
      </c>
      <c r="BG253" s="87">
        <v>0</v>
      </c>
      <c r="BH253" s="87">
        <v>0</v>
      </c>
      <c r="BI253" s="87">
        <v>0</v>
      </c>
      <c r="BJ253" s="40">
        <v>0</v>
      </c>
      <c r="BK253" s="40">
        <v>0</v>
      </c>
      <c r="BL253" s="40">
        <v>0</v>
      </c>
      <c r="BM253" s="40">
        <v>0</v>
      </c>
      <c r="BN253" s="87"/>
      <c r="BO253" s="86"/>
      <c r="BP253" s="21">
        <v>0</v>
      </c>
      <c r="BQ253" s="21">
        <v>0</v>
      </c>
      <c r="BR253" s="21">
        <v>0</v>
      </c>
      <c r="BS253" s="21">
        <v>0</v>
      </c>
      <c r="BT253" s="21">
        <v>0</v>
      </c>
      <c r="BU253" s="42">
        <v>0</v>
      </c>
      <c r="BV253" s="21">
        <v>0</v>
      </c>
      <c r="BW253" s="21">
        <v>0</v>
      </c>
      <c r="BX253" s="21">
        <v>0</v>
      </c>
      <c r="BY253" s="21">
        <v>0</v>
      </c>
      <c r="BZ253" s="21">
        <v>0</v>
      </c>
      <c r="CA253" s="21">
        <v>0</v>
      </c>
      <c r="CB253" s="21">
        <v>0</v>
      </c>
      <c r="CC253" s="21">
        <v>0</v>
      </c>
      <c r="CD253" s="21">
        <v>0</v>
      </c>
      <c r="CE253" s="21">
        <v>0</v>
      </c>
      <c r="CF253" s="21">
        <v>0</v>
      </c>
      <c r="CG253" s="42">
        <v>0</v>
      </c>
      <c r="CH253" s="21">
        <v>0</v>
      </c>
      <c r="CI253" s="21">
        <v>0</v>
      </c>
      <c r="CJ253" s="21">
        <v>0</v>
      </c>
      <c r="CK253" s="21">
        <v>0</v>
      </c>
      <c r="CL253" s="21">
        <v>0</v>
      </c>
      <c r="CM253" s="21">
        <v>0</v>
      </c>
      <c r="CN253" s="21">
        <v>0</v>
      </c>
      <c r="CO253" s="21">
        <v>0</v>
      </c>
      <c r="CP253" s="21">
        <f t="shared" si="377"/>
        <v>0</v>
      </c>
      <c r="CQ253" s="344">
        <f t="shared" si="378"/>
        <v>0</v>
      </c>
      <c r="CR253" s="87"/>
      <c r="CS253" s="86"/>
      <c r="CT253" s="85">
        <f t="shared" si="411"/>
        <v>36</v>
      </c>
      <c r="CU253" s="85">
        <f t="shared" si="412"/>
        <v>47</v>
      </c>
      <c r="CV253" s="85">
        <f t="shared" si="413"/>
        <v>13</v>
      </c>
      <c r="CW253" s="85">
        <f t="shared" si="414"/>
        <v>0</v>
      </c>
      <c r="CX253" s="85">
        <f t="shared" si="415"/>
        <v>0</v>
      </c>
      <c r="CY253" s="86">
        <f t="shared" si="416"/>
        <v>0</v>
      </c>
      <c r="CZ253" s="87">
        <f t="shared" si="417"/>
        <v>0</v>
      </c>
      <c r="DA253" s="87">
        <f t="shared" si="418"/>
        <v>0</v>
      </c>
      <c r="DB253" s="87">
        <f t="shared" si="419"/>
        <v>0</v>
      </c>
      <c r="DC253" s="87">
        <f t="shared" si="420"/>
        <v>0</v>
      </c>
      <c r="DD253" s="87">
        <f t="shared" si="421"/>
        <v>0</v>
      </c>
      <c r="DE253" s="87">
        <f t="shared" si="422"/>
        <v>0</v>
      </c>
      <c r="DF253" s="87">
        <f t="shared" si="423"/>
        <v>0</v>
      </c>
      <c r="DG253" s="87">
        <f t="shared" si="424"/>
        <v>0</v>
      </c>
      <c r="DH253" s="87">
        <f t="shared" si="425"/>
        <v>0</v>
      </c>
      <c r="DI253" s="87">
        <f t="shared" si="426"/>
        <v>0</v>
      </c>
      <c r="DJ253" s="87">
        <f t="shared" si="427"/>
        <v>0</v>
      </c>
      <c r="DK253" s="86">
        <f t="shared" si="428"/>
        <v>0</v>
      </c>
      <c r="DL253" s="87">
        <f t="shared" si="429"/>
        <v>0</v>
      </c>
      <c r="DM253" s="87">
        <f t="shared" si="430"/>
        <v>0</v>
      </c>
      <c r="DN253" s="87">
        <f t="shared" si="431"/>
        <v>0</v>
      </c>
      <c r="DO253" s="87">
        <f t="shared" si="432"/>
        <v>0</v>
      </c>
      <c r="DP253" s="87">
        <f t="shared" si="433"/>
        <v>0</v>
      </c>
      <c r="DQ253" s="87">
        <f t="shared" si="434"/>
        <v>0</v>
      </c>
      <c r="DR253" s="87">
        <f t="shared" si="439"/>
        <v>0</v>
      </c>
      <c r="DS253" s="87">
        <f t="shared" si="440"/>
        <v>0</v>
      </c>
      <c r="DT253" s="87">
        <f t="shared" si="435"/>
        <v>0</v>
      </c>
      <c r="DU253" s="87">
        <f t="shared" si="436"/>
        <v>0</v>
      </c>
      <c r="DV253" s="87">
        <f t="shared" si="437"/>
        <v>0</v>
      </c>
      <c r="DW253" s="87">
        <f t="shared" si="438"/>
        <v>0</v>
      </c>
    </row>
    <row r="254" spans="1:127">
      <c r="A254" s="22" t="s">
        <v>22</v>
      </c>
      <c r="B254" s="26">
        <v>300410813147</v>
      </c>
      <c r="C254" s="22" t="s">
        <v>116</v>
      </c>
      <c r="D254" s="22" t="s">
        <v>23</v>
      </c>
      <c r="E254" s="22">
        <v>686468</v>
      </c>
      <c r="F254" s="80" t="s">
        <v>346</v>
      </c>
      <c r="G254" s="25">
        <v>36.791666666666664</v>
      </c>
      <c r="H254" s="85">
        <f t="shared" si="347"/>
        <v>26122.083333333332</v>
      </c>
      <c r="I254" s="85">
        <f t="shared" si="348"/>
        <v>55629</v>
      </c>
      <c r="J254" s="85">
        <f t="shared" si="349"/>
        <v>26821.125</v>
      </c>
      <c r="K254" s="85">
        <f t="shared" si="350"/>
        <v>41206.666666666664</v>
      </c>
      <c r="L254" s="85">
        <f t="shared" si="351"/>
        <v>51839.458333333328</v>
      </c>
      <c r="M254" s="86">
        <f t="shared" si="352"/>
        <v>22075</v>
      </c>
      <c r="N254" s="87">
        <f t="shared" si="353"/>
        <v>12362</v>
      </c>
      <c r="O254" s="87">
        <f t="shared" si="354"/>
        <v>6548.9166666666661</v>
      </c>
      <c r="P254" s="87">
        <f t="shared" si="355"/>
        <v>1839.5833333333333</v>
      </c>
      <c r="Q254" s="87">
        <f t="shared" si="356"/>
        <v>625.45833333333326</v>
      </c>
      <c r="R254" s="87">
        <f t="shared" si="357"/>
        <v>3016.9166666666665</v>
      </c>
      <c r="S254" s="87">
        <f t="shared" si="358"/>
        <v>-2207.5</v>
      </c>
      <c r="T254" s="87">
        <f t="shared" si="359"/>
        <v>0</v>
      </c>
      <c r="U254" s="87">
        <f t="shared" si="360"/>
        <v>0</v>
      </c>
      <c r="V254" s="87">
        <f t="shared" si="361"/>
        <v>0</v>
      </c>
      <c r="W254" s="87">
        <f t="shared" si="362"/>
        <v>0</v>
      </c>
      <c r="X254" s="87">
        <f t="shared" si="363"/>
        <v>0</v>
      </c>
      <c r="Y254" s="86">
        <f t="shared" si="364"/>
        <v>0</v>
      </c>
      <c r="Z254" s="87">
        <f t="shared" si="365"/>
        <v>0</v>
      </c>
      <c r="AA254" s="87">
        <f t="shared" si="366"/>
        <v>0</v>
      </c>
      <c r="AB254" s="87">
        <f t="shared" si="367"/>
        <v>0</v>
      </c>
      <c r="AC254" s="87">
        <f t="shared" si="368"/>
        <v>0</v>
      </c>
      <c r="AD254" s="87">
        <f t="shared" si="369"/>
        <v>0</v>
      </c>
      <c r="AE254" s="87">
        <f t="shared" si="370"/>
        <v>0</v>
      </c>
      <c r="AF254" s="87">
        <f t="shared" si="371"/>
        <v>0</v>
      </c>
      <c r="AG254" s="87">
        <f t="shared" si="372"/>
        <v>0</v>
      </c>
      <c r="AH254" s="87">
        <f t="shared" si="407"/>
        <v>0</v>
      </c>
      <c r="AI254" s="87">
        <f t="shared" si="408"/>
        <v>0</v>
      </c>
      <c r="AJ254" s="87">
        <f t="shared" si="409"/>
        <v>0</v>
      </c>
      <c r="AK254" s="86">
        <f t="shared" si="410"/>
        <v>0</v>
      </c>
      <c r="AL254" s="85">
        <v>638</v>
      </c>
      <c r="AM254" s="85">
        <v>1400</v>
      </c>
      <c r="AN254" s="85">
        <v>660</v>
      </c>
      <c r="AO254" s="85">
        <v>1022</v>
      </c>
      <c r="AP254" s="85">
        <v>1274</v>
      </c>
      <c r="AQ254" s="86">
        <v>488</v>
      </c>
      <c r="AR254" s="87">
        <v>336</v>
      </c>
      <c r="AS254" s="87">
        <v>178</v>
      </c>
      <c r="AT254" s="87">
        <v>50</v>
      </c>
      <c r="AU254" s="87">
        <v>17</v>
      </c>
      <c r="AV254" s="87">
        <v>82</v>
      </c>
      <c r="AW254" s="87">
        <v>-60</v>
      </c>
      <c r="AX254" s="87">
        <v>0</v>
      </c>
      <c r="AY254" s="87">
        <v>0</v>
      </c>
      <c r="AZ254" s="87">
        <v>0</v>
      </c>
      <c r="BA254" s="87">
        <v>0</v>
      </c>
      <c r="BB254" s="87">
        <v>0</v>
      </c>
      <c r="BC254" s="86">
        <v>0</v>
      </c>
      <c r="BD254" s="87">
        <v>0</v>
      </c>
      <c r="BE254" s="87">
        <v>0</v>
      </c>
      <c r="BF254" s="87">
        <v>0</v>
      </c>
      <c r="BG254" s="87">
        <v>0</v>
      </c>
      <c r="BH254" s="87">
        <v>0</v>
      </c>
      <c r="BI254" s="87">
        <v>0</v>
      </c>
      <c r="BJ254" s="40">
        <v>0</v>
      </c>
      <c r="BK254" s="40">
        <v>0</v>
      </c>
      <c r="BL254" s="40">
        <v>0</v>
      </c>
      <c r="BM254" s="40">
        <v>0</v>
      </c>
      <c r="BN254" s="87"/>
      <c r="BO254" s="86"/>
      <c r="BP254" s="21">
        <v>72</v>
      </c>
      <c r="BQ254" s="21">
        <v>112</v>
      </c>
      <c r="BR254" s="21">
        <v>69</v>
      </c>
      <c r="BS254" s="21">
        <v>98</v>
      </c>
      <c r="BT254" s="21">
        <v>135</v>
      </c>
      <c r="BU254" s="42">
        <v>112</v>
      </c>
      <c r="BV254" s="21">
        <v>0</v>
      </c>
      <c r="BW254" s="21">
        <v>0</v>
      </c>
      <c r="BX254" s="21">
        <v>0</v>
      </c>
      <c r="BY254" s="21">
        <v>0</v>
      </c>
      <c r="BZ254" s="21">
        <v>0</v>
      </c>
      <c r="CA254" s="21">
        <v>0</v>
      </c>
      <c r="CB254" s="21">
        <v>0</v>
      </c>
      <c r="CC254" s="21">
        <v>0</v>
      </c>
      <c r="CD254" s="21">
        <v>0</v>
      </c>
      <c r="CE254" s="21">
        <v>0</v>
      </c>
      <c r="CF254" s="21">
        <v>0</v>
      </c>
      <c r="CG254" s="42">
        <v>0</v>
      </c>
      <c r="CH254" s="21">
        <v>0</v>
      </c>
      <c r="CI254" s="21">
        <v>0</v>
      </c>
      <c r="CJ254" s="21">
        <v>0</v>
      </c>
      <c r="CK254" s="21">
        <v>0</v>
      </c>
      <c r="CL254" s="21">
        <v>0</v>
      </c>
      <c r="CM254" s="21">
        <v>0</v>
      </c>
      <c r="CN254" s="21">
        <v>0</v>
      </c>
      <c r="CO254" s="21">
        <v>0</v>
      </c>
      <c r="CP254" s="21">
        <f t="shared" si="377"/>
        <v>0</v>
      </c>
      <c r="CQ254" s="344">
        <f t="shared" si="378"/>
        <v>0</v>
      </c>
      <c r="CR254" s="87"/>
      <c r="CS254" s="86"/>
      <c r="CT254" s="85">
        <f t="shared" si="411"/>
        <v>710</v>
      </c>
      <c r="CU254" s="85">
        <f t="shared" si="412"/>
        <v>1512</v>
      </c>
      <c r="CV254" s="85">
        <f t="shared" si="413"/>
        <v>729</v>
      </c>
      <c r="CW254" s="85">
        <f t="shared" si="414"/>
        <v>1120</v>
      </c>
      <c r="CX254" s="85">
        <f t="shared" si="415"/>
        <v>1409</v>
      </c>
      <c r="CY254" s="86">
        <f t="shared" si="416"/>
        <v>600</v>
      </c>
      <c r="CZ254" s="87">
        <f t="shared" si="417"/>
        <v>336</v>
      </c>
      <c r="DA254" s="87">
        <f t="shared" si="418"/>
        <v>178</v>
      </c>
      <c r="DB254" s="87">
        <f t="shared" si="419"/>
        <v>50</v>
      </c>
      <c r="DC254" s="87">
        <f t="shared" si="420"/>
        <v>17</v>
      </c>
      <c r="DD254" s="87">
        <f t="shared" si="421"/>
        <v>82</v>
      </c>
      <c r="DE254" s="87">
        <f t="shared" si="422"/>
        <v>-60</v>
      </c>
      <c r="DF254" s="87">
        <f t="shared" si="423"/>
        <v>0</v>
      </c>
      <c r="DG254" s="87">
        <f t="shared" si="424"/>
        <v>0</v>
      </c>
      <c r="DH254" s="87">
        <f t="shared" si="425"/>
        <v>0</v>
      </c>
      <c r="DI254" s="87">
        <f t="shared" si="426"/>
        <v>0</v>
      </c>
      <c r="DJ254" s="87">
        <f t="shared" si="427"/>
        <v>0</v>
      </c>
      <c r="DK254" s="86">
        <f t="shared" si="428"/>
        <v>0</v>
      </c>
      <c r="DL254" s="87">
        <f t="shared" si="429"/>
        <v>0</v>
      </c>
      <c r="DM254" s="87">
        <f t="shared" si="430"/>
        <v>0</v>
      </c>
      <c r="DN254" s="87">
        <f t="shared" si="431"/>
        <v>0</v>
      </c>
      <c r="DO254" s="87">
        <f t="shared" si="432"/>
        <v>0</v>
      </c>
      <c r="DP254" s="87">
        <f t="shared" si="433"/>
        <v>0</v>
      </c>
      <c r="DQ254" s="87">
        <f t="shared" si="434"/>
        <v>0</v>
      </c>
      <c r="DR254" s="87">
        <f t="shared" si="439"/>
        <v>0</v>
      </c>
      <c r="DS254" s="87">
        <f t="shared" si="440"/>
        <v>0</v>
      </c>
      <c r="DT254" s="87">
        <f t="shared" si="435"/>
        <v>0</v>
      </c>
      <c r="DU254" s="87">
        <f t="shared" si="436"/>
        <v>0</v>
      </c>
      <c r="DV254" s="87">
        <f t="shared" si="437"/>
        <v>0</v>
      </c>
      <c r="DW254" s="87">
        <f t="shared" si="438"/>
        <v>0</v>
      </c>
    </row>
    <row r="255" spans="1:127">
      <c r="A255" s="22" t="s">
        <v>22</v>
      </c>
      <c r="B255" s="26">
        <v>300410825706</v>
      </c>
      <c r="C255" s="22" t="s">
        <v>116</v>
      </c>
      <c r="D255" s="22" t="s">
        <v>23</v>
      </c>
      <c r="E255" s="22">
        <v>416984</v>
      </c>
      <c r="F255" s="80" t="s">
        <v>347</v>
      </c>
      <c r="G255" s="25">
        <v>67.216666666666669</v>
      </c>
      <c r="H255" s="85">
        <f t="shared" si="347"/>
        <v>49605.9</v>
      </c>
      <c r="I255" s="85">
        <f t="shared" si="348"/>
        <v>97195.3</v>
      </c>
      <c r="J255" s="85">
        <f t="shared" si="349"/>
        <v>67888.833333333328</v>
      </c>
      <c r="K255" s="85">
        <f t="shared" si="350"/>
        <v>66275.633333333331</v>
      </c>
      <c r="L255" s="85">
        <f t="shared" si="351"/>
        <v>100623.35</v>
      </c>
      <c r="M255" s="86">
        <f t="shared" si="352"/>
        <v>90271.983333333337</v>
      </c>
      <c r="N255" s="87">
        <f t="shared" si="353"/>
        <v>108891</v>
      </c>
      <c r="O255" s="87">
        <f t="shared" si="354"/>
        <v>51219.1</v>
      </c>
      <c r="P255" s="87">
        <f t="shared" si="355"/>
        <v>51353.533333333333</v>
      </c>
      <c r="Q255" s="87">
        <f t="shared" si="356"/>
        <v>139945.1</v>
      </c>
      <c r="R255" s="87">
        <f t="shared" si="357"/>
        <v>254347.86666666667</v>
      </c>
      <c r="S255" s="87">
        <f t="shared" si="358"/>
        <v>124014.75</v>
      </c>
      <c r="T255" s="87">
        <f t="shared" si="359"/>
        <v>86171.766666666663</v>
      </c>
      <c r="U255" s="87">
        <f t="shared" si="360"/>
        <v>75685.966666666674</v>
      </c>
      <c r="V255" s="87">
        <f t="shared" si="361"/>
        <v>100287.26666666666</v>
      </c>
      <c r="W255" s="87">
        <f t="shared" si="362"/>
        <v>96187.05</v>
      </c>
      <c r="X255" s="87">
        <f t="shared" si="363"/>
        <v>86104.55</v>
      </c>
      <c r="Y255" s="86">
        <f t="shared" si="364"/>
        <v>76627</v>
      </c>
      <c r="Z255" s="87">
        <f t="shared" si="365"/>
        <v>124552.48333333334</v>
      </c>
      <c r="AA255" s="87">
        <f t="shared" si="366"/>
        <v>106067.90000000001</v>
      </c>
      <c r="AB255" s="87">
        <f t="shared" si="367"/>
        <v>112789.56666666667</v>
      </c>
      <c r="AC255" s="87">
        <f t="shared" si="368"/>
        <v>130265.90000000001</v>
      </c>
      <c r="AD255" s="87">
        <f t="shared" si="369"/>
        <v>75148.233333333337</v>
      </c>
      <c r="AE255" s="87">
        <f t="shared" si="370"/>
        <v>128451.05</v>
      </c>
      <c r="AF255" s="87">
        <f t="shared" si="371"/>
        <v>94775.5</v>
      </c>
      <c r="AG255" s="87">
        <f t="shared" si="372"/>
        <v>62578.716666666667</v>
      </c>
      <c r="AH255" s="87">
        <f t="shared" si="407"/>
        <v>59486.75</v>
      </c>
      <c r="AI255" s="87">
        <f t="shared" si="408"/>
        <v>130721.47962962964</v>
      </c>
      <c r="AJ255" s="87">
        <f t="shared" si="409"/>
        <v>0</v>
      </c>
      <c r="AK255" s="86">
        <f t="shared" si="410"/>
        <v>0</v>
      </c>
      <c r="AL255" s="85">
        <v>519</v>
      </c>
      <c r="AM255" s="85">
        <v>1022</v>
      </c>
      <c r="AN255" s="85">
        <v>577</v>
      </c>
      <c r="AO255" s="85">
        <v>666</v>
      </c>
      <c r="AP255" s="85">
        <v>945</v>
      </c>
      <c r="AQ255" s="86">
        <v>702</v>
      </c>
      <c r="AR255" s="87">
        <v>866</v>
      </c>
      <c r="AS255" s="87">
        <v>612</v>
      </c>
      <c r="AT255" s="87">
        <v>521</v>
      </c>
      <c r="AU255" s="87">
        <v>1042</v>
      </c>
      <c r="AV255" s="87">
        <v>1265</v>
      </c>
      <c r="AW255" s="87">
        <v>1089</v>
      </c>
      <c r="AX255" s="87">
        <v>1001</v>
      </c>
      <c r="AY255" s="87">
        <v>681</v>
      </c>
      <c r="AZ255" s="87">
        <v>840</v>
      </c>
      <c r="BA255" s="87">
        <v>1070</v>
      </c>
      <c r="BB255" s="87">
        <v>813</v>
      </c>
      <c r="BC255" s="86">
        <v>670</v>
      </c>
      <c r="BD255" s="87">
        <v>1044</v>
      </c>
      <c r="BE255" s="87">
        <v>1066</v>
      </c>
      <c r="BF255" s="87">
        <v>811</v>
      </c>
      <c r="BG255" s="87">
        <v>1311</v>
      </c>
      <c r="BH255" s="87">
        <v>747</v>
      </c>
      <c r="BI255" s="87">
        <v>1238</v>
      </c>
      <c r="BJ255" s="40">
        <v>1132</v>
      </c>
      <c r="BK255" s="40">
        <v>827</v>
      </c>
      <c r="BL255" s="40">
        <v>781</v>
      </c>
      <c r="BM255" s="40">
        <v>1462</v>
      </c>
      <c r="BN255" s="87"/>
      <c r="BO255" s="86"/>
      <c r="BP255" s="21">
        <v>219</v>
      </c>
      <c r="BQ255" s="21">
        <v>424</v>
      </c>
      <c r="BR255" s="21">
        <v>433</v>
      </c>
      <c r="BS255" s="21">
        <v>320</v>
      </c>
      <c r="BT255" s="21">
        <v>552</v>
      </c>
      <c r="BU255" s="42">
        <v>641</v>
      </c>
      <c r="BV255" s="21">
        <v>754</v>
      </c>
      <c r="BW255" s="21">
        <v>150</v>
      </c>
      <c r="BX255" s="21">
        <v>243</v>
      </c>
      <c r="BY255" s="21">
        <v>1040</v>
      </c>
      <c r="BZ255" s="21">
        <v>2519</v>
      </c>
      <c r="CA255" s="21">
        <v>756</v>
      </c>
      <c r="CB255" s="21">
        <v>281</v>
      </c>
      <c r="CC255" s="21">
        <v>445</v>
      </c>
      <c r="CD255" s="21">
        <v>652</v>
      </c>
      <c r="CE255" s="21">
        <v>361</v>
      </c>
      <c r="CF255" s="21">
        <v>468</v>
      </c>
      <c r="CG255" s="42">
        <v>470</v>
      </c>
      <c r="CH255" s="21">
        <v>809</v>
      </c>
      <c r="CI255" s="21">
        <v>512</v>
      </c>
      <c r="CJ255" s="21">
        <v>867</v>
      </c>
      <c r="CK255" s="21">
        <v>627</v>
      </c>
      <c r="CL255" s="21">
        <v>371</v>
      </c>
      <c r="CM255" s="21">
        <v>673</v>
      </c>
      <c r="CN255" s="21">
        <v>278</v>
      </c>
      <c r="CO255" s="21">
        <v>104</v>
      </c>
      <c r="CP255" s="21">
        <f t="shared" si="377"/>
        <v>104</v>
      </c>
      <c r="CQ255" s="344">
        <f t="shared" si="378"/>
        <v>482.77777777777777</v>
      </c>
      <c r="CR255" s="87"/>
      <c r="CS255" s="86"/>
      <c r="CT255" s="85">
        <f t="shared" si="411"/>
        <v>738</v>
      </c>
      <c r="CU255" s="85">
        <f t="shared" si="412"/>
        <v>1446</v>
      </c>
      <c r="CV255" s="85">
        <f t="shared" si="413"/>
        <v>1010</v>
      </c>
      <c r="CW255" s="85">
        <f t="shared" si="414"/>
        <v>986</v>
      </c>
      <c r="CX255" s="85">
        <f t="shared" si="415"/>
        <v>1497</v>
      </c>
      <c r="CY255" s="86">
        <f t="shared" si="416"/>
        <v>1343</v>
      </c>
      <c r="CZ255" s="87">
        <f t="shared" si="417"/>
        <v>1620</v>
      </c>
      <c r="DA255" s="87">
        <f t="shared" si="418"/>
        <v>762</v>
      </c>
      <c r="DB255" s="87">
        <f t="shared" si="419"/>
        <v>764</v>
      </c>
      <c r="DC255" s="87">
        <f t="shared" si="420"/>
        <v>2082</v>
      </c>
      <c r="DD255" s="87">
        <f t="shared" si="421"/>
        <v>3784</v>
      </c>
      <c r="DE255" s="87">
        <f t="shared" si="422"/>
        <v>1845</v>
      </c>
      <c r="DF255" s="87">
        <f t="shared" si="423"/>
        <v>1282</v>
      </c>
      <c r="DG255" s="87">
        <f t="shared" si="424"/>
        <v>1126</v>
      </c>
      <c r="DH255" s="87">
        <f t="shared" si="425"/>
        <v>1492</v>
      </c>
      <c r="DI255" s="87">
        <f t="shared" si="426"/>
        <v>1431</v>
      </c>
      <c r="DJ255" s="87">
        <f t="shared" si="427"/>
        <v>1281</v>
      </c>
      <c r="DK255" s="86">
        <f t="shared" si="428"/>
        <v>1140</v>
      </c>
      <c r="DL255" s="87">
        <f t="shared" si="429"/>
        <v>1853</v>
      </c>
      <c r="DM255" s="87">
        <f t="shared" si="430"/>
        <v>1578</v>
      </c>
      <c r="DN255" s="87">
        <f t="shared" si="431"/>
        <v>1678</v>
      </c>
      <c r="DO255" s="87">
        <f t="shared" si="432"/>
        <v>1938</v>
      </c>
      <c r="DP255" s="87">
        <f t="shared" si="433"/>
        <v>1118</v>
      </c>
      <c r="DQ255" s="87">
        <f t="shared" si="434"/>
        <v>1911</v>
      </c>
      <c r="DR255" s="87">
        <f t="shared" si="439"/>
        <v>1410</v>
      </c>
      <c r="DS255" s="87">
        <f t="shared" si="440"/>
        <v>931</v>
      </c>
      <c r="DT255" s="87">
        <f t="shared" si="435"/>
        <v>885</v>
      </c>
      <c r="DU255" s="87">
        <f t="shared" si="436"/>
        <v>1944.7777777777778</v>
      </c>
      <c r="DV255" s="87">
        <f t="shared" si="437"/>
        <v>0</v>
      </c>
      <c r="DW255" s="87">
        <f t="shared" si="438"/>
        <v>0</v>
      </c>
    </row>
    <row r="256" spans="1:127">
      <c r="A256" s="22" t="s">
        <v>22</v>
      </c>
      <c r="B256" s="26">
        <v>4902430826846</v>
      </c>
      <c r="C256" s="22" t="s">
        <v>116</v>
      </c>
      <c r="D256" s="22" t="s">
        <v>120</v>
      </c>
      <c r="E256" s="22">
        <v>237107</v>
      </c>
      <c r="F256" s="80" t="s">
        <v>348</v>
      </c>
      <c r="G256" s="25">
        <v>100.8</v>
      </c>
      <c r="H256" s="85">
        <f t="shared" si="347"/>
        <v>39211.199999999997</v>
      </c>
      <c r="I256" s="85">
        <f t="shared" si="348"/>
        <v>35481.599999999999</v>
      </c>
      <c r="J256" s="85">
        <f t="shared" si="349"/>
        <v>36489.599999999999</v>
      </c>
      <c r="K256" s="85">
        <f t="shared" si="350"/>
        <v>48081.599999999999</v>
      </c>
      <c r="L256" s="85">
        <f t="shared" si="351"/>
        <v>82353.599999999991</v>
      </c>
      <c r="M256" s="86">
        <f t="shared" si="352"/>
        <v>31752</v>
      </c>
      <c r="N256" s="87">
        <f t="shared" si="353"/>
        <v>46065.599999999999</v>
      </c>
      <c r="O256" s="87">
        <f t="shared" si="354"/>
        <v>43444.799999999996</v>
      </c>
      <c r="P256" s="87">
        <f t="shared" si="355"/>
        <v>30643.200000000001</v>
      </c>
      <c r="Q256" s="87">
        <f t="shared" si="356"/>
        <v>54633.599999999999</v>
      </c>
      <c r="R256" s="87">
        <f t="shared" si="357"/>
        <v>33566.400000000001</v>
      </c>
      <c r="S256" s="87">
        <f t="shared" si="358"/>
        <v>84571.199999999997</v>
      </c>
      <c r="T256" s="87">
        <f t="shared" si="359"/>
        <v>79833.599999999991</v>
      </c>
      <c r="U256" s="87">
        <f t="shared" si="360"/>
        <v>38808</v>
      </c>
      <c r="V256" s="87">
        <f t="shared" si="361"/>
        <v>69753.599999999991</v>
      </c>
      <c r="W256" s="87">
        <f t="shared" si="362"/>
        <v>59472</v>
      </c>
      <c r="X256" s="87">
        <f t="shared" si="363"/>
        <v>80942.399999999994</v>
      </c>
      <c r="Y256" s="86">
        <f t="shared" si="364"/>
        <v>83764.800000000003</v>
      </c>
      <c r="Z256" s="87">
        <f t="shared" si="365"/>
        <v>152913.60000000001</v>
      </c>
      <c r="AA256" s="87">
        <f t="shared" si="366"/>
        <v>63705.599999999999</v>
      </c>
      <c r="AB256" s="87">
        <f t="shared" si="367"/>
        <v>42033.599999999999</v>
      </c>
      <c r="AC256" s="87">
        <f t="shared" si="368"/>
        <v>59976</v>
      </c>
      <c r="AD256" s="87">
        <f t="shared" si="369"/>
        <v>47779.199999999997</v>
      </c>
      <c r="AE256" s="87">
        <f t="shared" si="370"/>
        <v>58161.599999999999</v>
      </c>
      <c r="AF256" s="87">
        <f t="shared" si="371"/>
        <v>46569.599999999999</v>
      </c>
      <c r="AG256" s="87">
        <f t="shared" si="372"/>
        <v>31651.200000000001</v>
      </c>
      <c r="AH256" s="87">
        <f t="shared" si="407"/>
        <v>29736</v>
      </c>
      <c r="AI256" s="87">
        <f t="shared" si="408"/>
        <v>46468.799999999996</v>
      </c>
      <c r="AJ256" s="87">
        <f t="shared" si="409"/>
        <v>0</v>
      </c>
      <c r="AK256" s="86">
        <f t="shared" si="410"/>
        <v>0</v>
      </c>
      <c r="AL256" s="85">
        <v>354</v>
      </c>
      <c r="AM256" s="85">
        <v>342</v>
      </c>
      <c r="AN256" s="85">
        <v>292</v>
      </c>
      <c r="AO256" s="85">
        <v>405</v>
      </c>
      <c r="AP256" s="85">
        <v>751</v>
      </c>
      <c r="AQ256" s="86">
        <v>265</v>
      </c>
      <c r="AR256" s="87">
        <v>390</v>
      </c>
      <c r="AS256" s="87">
        <v>386</v>
      </c>
      <c r="AT256" s="87">
        <v>261</v>
      </c>
      <c r="AU256" s="87">
        <v>486</v>
      </c>
      <c r="AV256" s="87">
        <v>312</v>
      </c>
      <c r="AW256" s="87">
        <v>680</v>
      </c>
      <c r="AX256" s="87">
        <v>764</v>
      </c>
      <c r="AY256" s="87">
        <v>342</v>
      </c>
      <c r="AZ256" s="87">
        <v>601</v>
      </c>
      <c r="BA256" s="87">
        <v>547</v>
      </c>
      <c r="BB256" s="87">
        <v>601</v>
      </c>
      <c r="BC256" s="86">
        <v>754</v>
      </c>
      <c r="BD256" s="87">
        <v>1160</v>
      </c>
      <c r="BE256" s="87">
        <v>575</v>
      </c>
      <c r="BF256" s="87">
        <v>362</v>
      </c>
      <c r="BG256" s="87">
        <v>516</v>
      </c>
      <c r="BH256" s="87">
        <v>424</v>
      </c>
      <c r="BI256" s="87">
        <v>512</v>
      </c>
      <c r="BJ256" s="40">
        <v>420</v>
      </c>
      <c r="BK256" s="40">
        <v>293</v>
      </c>
      <c r="BL256" s="40">
        <v>274</v>
      </c>
      <c r="BM256" s="40">
        <v>378</v>
      </c>
      <c r="BN256" s="87"/>
      <c r="BO256" s="86"/>
      <c r="BP256" s="21">
        <v>35</v>
      </c>
      <c r="BQ256" s="21">
        <v>10</v>
      </c>
      <c r="BR256" s="21">
        <v>70</v>
      </c>
      <c r="BS256" s="21">
        <v>72</v>
      </c>
      <c r="BT256" s="21">
        <v>66</v>
      </c>
      <c r="BU256" s="42">
        <v>50</v>
      </c>
      <c r="BV256" s="21">
        <v>67</v>
      </c>
      <c r="BW256" s="21">
        <v>45</v>
      </c>
      <c r="BX256" s="21">
        <v>43</v>
      </c>
      <c r="BY256" s="21">
        <v>56</v>
      </c>
      <c r="BZ256" s="21">
        <v>21</v>
      </c>
      <c r="CA256" s="21">
        <v>159</v>
      </c>
      <c r="CB256" s="21">
        <v>28</v>
      </c>
      <c r="CC256" s="21">
        <v>43</v>
      </c>
      <c r="CD256" s="21">
        <v>91</v>
      </c>
      <c r="CE256" s="21">
        <v>43</v>
      </c>
      <c r="CF256" s="21">
        <v>202</v>
      </c>
      <c r="CG256" s="42">
        <v>77</v>
      </c>
      <c r="CH256" s="21">
        <v>357</v>
      </c>
      <c r="CI256" s="21">
        <v>57</v>
      </c>
      <c r="CJ256" s="21">
        <v>55</v>
      </c>
      <c r="CK256" s="21">
        <v>79</v>
      </c>
      <c r="CL256" s="21">
        <v>50</v>
      </c>
      <c r="CM256" s="21">
        <v>65</v>
      </c>
      <c r="CN256" s="21">
        <v>42</v>
      </c>
      <c r="CO256" s="21">
        <v>21</v>
      </c>
      <c r="CP256" s="21">
        <f t="shared" si="377"/>
        <v>21</v>
      </c>
      <c r="CQ256" s="344">
        <f t="shared" si="378"/>
        <v>83</v>
      </c>
      <c r="CR256" s="87"/>
      <c r="CS256" s="86"/>
      <c r="CT256" s="85">
        <f t="shared" si="411"/>
        <v>389</v>
      </c>
      <c r="CU256" s="85">
        <f t="shared" si="412"/>
        <v>352</v>
      </c>
      <c r="CV256" s="85">
        <f t="shared" si="413"/>
        <v>362</v>
      </c>
      <c r="CW256" s="85">
        <f t="shared" si="414"/>
        <v>477</v>
      </c>
      <c r="CX256" s="85">
        <f t="shared" si="415"/>
        <v>817</v>
      </c>
      <c r="CY256" s="86">
        <f t="shared" si="416"/>
        <v>315</v>
      </c>
      <c r="CZ256" s="87">
        <f t="shared" si="417"/>
        <v>457</v>
      </c>
      <c r="DA256" s="87">
        <f t="shared" si="418"/>
        <v>431</v>
      </c>
      <c r="DB256" s="87">
        <f t="shared" si="419"/>
        <v>304</v>
      </c>
      <c r="DC256" s="87">
        <f t="shared" si="420"/>
        <v>542</v>
      </c>
      <c r="DD256" s="87">
        <f t="shared" si="421"/>
        <v>333</v>
      </c>
      <c r="DE256" s="87">
        <f t="shared" si="422"/>
        <v>839</v>
      </c>
      <c r="DF256" s="87">
        <f t="shared" si="423"/>
        <v>792</v>
      </c>
      <c r="DG256" s="87">
        <f t="shared" si="424"/>
        <v>385</v>
      </c>
      <c r="DH256" s="87">
        <f t="shared" si="425"/>
        <v>692</v>
      </c>
      <c r="DI256" s="87">
        <f t="shared" si="426"/>
        <v>590</v>
      </c>
      <c r="DJ256" s="87">
        <f t="shared" si="427"/>
        <v>803</v>
      </c>
      <c r="DK256" s="86">
        <f t="shared" si="428"/>
        <v>831</v>
      </c>
      <c r="DL256" s="87">
        <f t="shared" si="429"/>
        <v>1517</v>
      </c>
      <c r="DM256" s="87">
        <f t="shared" si="430"/>
        <v>632</v>
      </c>
      <c r="DN256" s="87">
        <f t="shared" si="431"/>
        <v>417</v>
      </c>
      <c r="DO256" s="87">
        <f t="shared" si="432"/>
        <v>595</v>
      </c>
      <c r="DP256" s="87">
        <f t="shared" si="433"/>
        <v>474</v>
      </c>
      <c r="DQ256" s="87">
        <f t="shared" si="434"/>
        <v>577</v>
      </c>
      <c r="DR256" s="87">
        <f t="shared" si="439"/>
        <v>462</v>
      </c>
      <c r="DS256" s="87">
        <f t="shared" si="440"/>
        <v>314</v>
      </c>
      <c r="DT256" s="87">
        <f t="shared" si="435"/>
        <v>295</v>
      </c>
      <c r="DU256" s="87">
        <f t="shared" si="436"/>
        <v>461</v>
      </c>
      <c r="DV256" s="87">
        <f t="shared" si="437"/>
        <v>0</v>
      </c>
      <c r="DW256" s="87">
        <f t="shared" si="438"/>
        <v>0</v>
      </c>
    </row>
    <row r="257" spans="1:127">
      <c r="A257" s="22" t="s">
        <v>22</v>
      </c>
      <c r="B257" s="26">
        <v>4902430826815</v>
      </c>
      <c r="C257" s="22" t="s">
        <v>116</v>
      </c>
      <c r="D257" s="22" t="s">
        <v>120</v>
      </c>
      <c r="E257" s="22">
        <v>237110</v>
      </c>
      <c r="F257" s="80" t="s">
        <v>349</v>
      </c>
      <c r="G257" s="25">
        <v>100.8</v>
      </c>
      <c r="H257" s="85">
        <f t="shared" si="347"/>
        <v>34272</v>
      </c>
      <c r="I257" s="85">
        <f t="shared" si="348"/>
        <v>30542.399999999998</v>
      </c>
      <c r="J257" s="85">
        <f t="shared" si="349"/>
        <v>26208</v>
      </c>
      <c r="K257" s="85">
        <f t="shared" si="350"/>
        <v>31852.799999999999</v>
      </c>
      <c r="L257" s="85">
        <f t="shared" si="351"/>
        <v>58564.799999999996</v>
      </c>
      <c r="M257" s="86">
        <f t="shared" si="352"/>
        <v>27820.799999999999</v>
      </c>
      <c r="N257" s="87">
        <f t="shared" si="353"/>
        <v>45662.400000000001</v>
      </c>
      <c r="O257" s="87">
        <f t="shared" si="354"/>
        <v>49795.199999999997</v>
      </c>
      <c r="P257" s="87">
        <f t="shared" si="355"/>
        <v>32659.200000000001</v>
      </c>
      <c r="Q257" s="87">
        <f t="shared" si="356"/>
        <v>52516.799999999996</v>
      </c>
      <c r="R257" s="87">
        <f t="shared" si="357"/>
        <v>25502.399999999998</v>
      </c>
      <c r="S257" s="87">
        <f t="shared" si="358"/>
        <v>71265.599999999991</v>
      </c>
      <c r="T257" s="87">
        <f t="shared" si="359"/>
        <v>76608</v>
      </c>
      <c r="U257" s="87">
        <f t="shared" si="360"/>
        <v>39110.400000000001</v>
      </c>
      <c r="V257" s="87">
        <f t="shared" si="361"/>
        <v>61891.199999999997</v>
      </c>
      <c r="W257" s="87">
        <f t="shared" si="362"/>
        <v>55137.599999999999</v>
      </c>
      <c r="X257" s="87">
        <f t="shared" si="363"/>
        <v>82656</v>
      </c>
      <c r="Y257" s="86">
        <f t="shared" si="364"/>
        <v>87897.599999999991</v>
      </c>
      <c r="Z257" s="87">
        <f t="shared" si="365"/>
        <v>138196.79999999999</v>
      </c>
      <c r="AA257" s="87">
        <f t="shared" si="366"/>
        <v>59169.599999999999</v>
      </c>
      <c r="AB257" s="87">
        <f t="shared" si="367"/>
        <v>36892.799999999996</v>
      </c>
      <c r="AC257" s="87">
        <f t="shared" si="368"/>
        <v>58363.199999999997</v>
      </c>
      <c r="AD257" s="87">
        <f t="shared" si="369"/>
        <v>45057.599999999999</v>
      </c>
      <c r="AE257" s="87">
        <f t="shared" si="370"/>
        <v>52214.400000000001</v>
      </c>
      <c r="AF257" s="87">
        <f t="shared" si="371"/>
        <v>32558.399999999998</v>
      </c>
      <c r="AG257" s="87">
        <f t="shared" si="372"/>
        <v>27921.599999999999</v>
      </c>
      <c r="AH257" s="87">
        <f t="shared" si="407"/>
        <v>28828.799999999999</v>
      </c>
      <c r="AI257" s="87">
        <f t="shared" si="408"/>
        <v>40331.199999999997</v>
      </c>
      <c r="AJ257" s="87">
        <f t="shared" si="409"/>
        <v>0</v>
      </c>
      <c r="AK257" s="86">
        <f t="shared" si="410"/>
        <v>0</v>
      </c>
      <c r="AL257" s="85">
        <v>304</v>
      </c>
      <c r="AM257" s="85">
        <v>291</v>
      </c>
      <c r="AN257" s="85">
        <v>202</v>
      </c>
      <c r="AO257" s="85">
        <v>275</v>
      </c>
      <c r="AP257" s="85">
        <v>557</v>
      </c>
      <c r="AQ257" s="86">
        <v>237</v>
      </c>
      <c r="AR257" s="87">
        <v>400</v>
      </c>
      <c r="AS257" s="87">
        <v>459</v>
      </c>
      <c r="AT257" s="87">
        <v>289</v>
      </c>
      <c r="AU257" s="87">
        <v>468</v>
      </c>
      <c r="AV257" s="87">
        <v>235</v>
      </c>
      <c r="AW257" s="87">
        <v>616</v>
      </c>
      <c r="AX257" s="87">
        <v>740</v>
      </c>
      <c r="AY257" s="87">
        <v>330</v>
      </c>
      <c r="AZ257" s="87">
        <v>531</v>
      </c>
      <c r="BA257" s="87">
        <v>484</v>
      </c>
      <c r="BB257" s="87">
        <v>599</v>
      </c>
      <c r="BC257" s="86">
        <v>770</v>
      </c>
      <c r="BD257" s="87">
        <v>1110</v>
      </c>
      <c r="BE257" s="87">
        <v>553</v>
      </c>
      <c r="BF257" s="87">
        <v>294</v>
      </c>
      <c r="BG257" s="87">
        <v>501</v>
      </c>
      <c r="BH257" s="87">
        <v>367</v>
      </c>
      <c r="BI257" s="87">
        <v>473</v>
      </c>
      <c r="BJ257" s="40">
        <v>300</v>
      </c>
      <c r="BK257" s="40">
        <v>258</v>
      </c>
      <c r="BL257" s="40">
        <v>267</v>
      </c>
      <c r="BM257" s="40">
        <v>330</v>
      </c>
      <c r="BN257" s="87"/>
      <c r="BO257" s="86"/>
      <c r="BP257" s="21">
        <v>36</v>
      </c>
      <c r="BQ257" s="21">
        <v>12</v>
      </c>
      <c r="BR257" s="21">
        <v>58</v>
      </c>
      <c r="BS257" s="21">
        <v>41</v>
      </c>
      <c r="BT257" s="21">
        <v>24</v>
      </c>
      <c r="BU257" s="42">
        <v>39</v>
      </c>
      <c r="BV257" s="21">
        <v>53</v>
      </c>
      <c r="BW257" s="21">
        <v>35</v>
      </c>
      <c r="BX257" s="21">
        <v>35</v>
      </c>
      <c r="BY257" s="21">
        <v>53</v>
      </c>
      <c r="BZ257" s="21">
        <v>18</v>
      </c>
      <c r="CA257" s="21">
        <v>91</v>
      </c>
      <c r="CB257" s="21">
        <v>20</v>
      </c>
      <c r="CC257" s="21">
        <v>58</v>
      </c>
      <c r="CD257" s="21">
        <v>83</v>
      </c>
      <c r="CE257" s="21">
        <v>63</v>
      </c>
      <c r="CF257" s="21">
        <v>221</v>
      </c>
      <c r="CG257" s="42">
        <v>102</v>
      </c>
      <c r="CH257" s="21">
        <v>261</v>
      </c>
      <c r="CI257" s="21">
        <v>34</v>
      </c>
      <c r="CJ257" s="21">
        <v>72</v>
      </c>
      <c r="CK257" s="21">
        <v>78</v>
      </c>
      <c r="CL257" s="21">
        <v>80</v>
      </c>
      <c r="CM257" s="21">
        <v>45</v>
      </c>
      <c r="CN257" s="21">
        <v>23</v>
      </c>
      <c r="CO257" s="21">
        <v>19</v>
      </c>
      <c r="CP257" s="21">
        <f t="shared" si="377"/>
        <v>19</v>
      </c>
      <c r="CQ257" s="344">
        <f t="shared" si="378"/>
        <v>70.111111111111114</v>
      </c>
      <c r="CR257" s="87"/>
      <c r="CS257" s="86"/>
      <c r="CT257" s="85">
        <f t="shared" si="411"/>
        <v>340</v>
      </c>
      <c r="CU257" s="85">
        <f t="shared" si="412"/>
        <v>303</v>
      </c>
      <c r="CV257" s="85">
        <f t="shared" si="413"/>
        <v>260</v>
      </c>
      <c r="CW257" s="85">
        <f t="shared" si="414"/>
        <v>316</v>
      </c>
      <c r="CX257" s="85">
        <f t="shared" si="415"/>
        <v>581</v>
      </c>
      <c r="CY257" s="86">
        <f t="shared" si="416"/>
        <v>276</v>
      </c>
      <c r="CZ257" s="87">
        <f t="shared" si="417"/>
        <v>453</v>
      </c>
      <c r="DA257" s="87">
        <f t="shared" si="418"/>
        <v>494</v>
      </c>
      <c r="DB257" s="87">
        <f t="shared" si="419"/>
        <v>324</v>
      </c>
      <c r="DC257" s="87">
        <f t="shared" si="420"/>
        <v>521</v>
      </c>
      <c r="DD257" s="87">
        <f t="shared" si="421"/>
        <v>253</v>
      </c>
      <c r="DE257" s="87">
        <f t="shared" si="422"/>
        <v>707</v>
      </c>
      <c r="DF257" s="87">
        <f t="shared" si="423"/>
        <v>760</v>
      </c>
      <c r="DG257" s="87">
        <f t="shared" si="424"/>
        <v>388</v>
      </c>
      <c r="DH257" s="87">
        <f t="shared" si="425"/>
        <v>614</v>
      </c>
      <c r="DI257" s="87">
        <f t="shared" si="426"/>
        <v>547</v>
      </c>
      <c r="DJ257" s="87">
        <f t="shared" si="427"/>
        <v>820</v>
      </c>
      <c r="DK257" s="86">
        <f t="shared" si="428"/>
        <v>872</v>
      </c>
      <c r="DL257" s="87">
        <f t="shared" si="429"/>
        <v>1371</v>
      </c>
      <c r="DM257" s="87">
        <f t="shared" si="430"/>
        <v>587</v>
      </c>
      <c r="DN257" s="87">
        <f t="shared" si="431"/>
        <v>366</v>
      </c>
      <c r="DO257" s="87">
        <f t="shared" si="432"/>
        <v>579</v>
      </c>
      <c r="DP257" s="87">
        <f t="shared" si="433"/>
        <v>447</v>
      </c>
      <c r="DQ257" s="87">
        <f t="shared" si="434"/>
        <v>518</v>
      </c>
      <c r="DR257" s="87">
        <f t="shared" si="439"/>
        <v>323</v>
      </c>
      <c r="DS257" s="87">
        <f t="shared" si="440"/>
        <v>277</v>
      </c>
      <c r="DT257" s="87">
        <f t="shared" si="435"/>
        <v>286</v>
      </c>
      <c r="DU257" s="87">
        <f t="shared" si="436"/>
        <v>400.11111111111109</v>
      </c>
      <c r="DV257" s="87">
        <f t="shared" si="437"/>
        <v>0</v>
      </c>
      <c r="DW257" s="87">
        <f t="shared" si="438"/>
        <v>0</v>
      </c>
    </row>
    <row r="258" spans="1:127">
      <c r="A258" s="22" t="s">
        <v>22</v>
      </c>
      <c r="B258" s="26">
        <v>4987176043665</v>
      </c>
      <c r="C258" s="22" t="s">
        <v>116</v>
      </c>
      <c r="D258" s="22" t="s">
        <v>120</v>
      </c>
      <c r="E258" s="22">
        <v>100329</v>
      </c>
      <c r="F258" s="80" t="s">
        <v>350</v>
      </c>
      <c r="G258" s="25">
        <v>100.8</v>
      </c>
      <c r="H258" s="85">
        <f t="shared" si="347"/>
        <v>0</v>
      </c>
      <c r="I258" s="85">
        <f t="shared" si="348"/>
        <v>0</v>
      </c>
      <c r="J258" s="85">
        <f t="shared" si="349"/>
        <v>0</v>
      </c>
      <c r="K258" s="85">
        <f t="shared" si="350"/>
        <v>0</v>
      </c>
      <c r="L258" s="85">
        <f t="shared" si="351"/>
        <v>0</v>
      </c>
      <c r="M258" s="86">
        <f t="shared" si="352"/>
        <v>0</v>
      </c>
      <c r="N258" s="87">
        <f t="shared" si="353"/>
        <v>0</v>
      </c>
      <c r="O258" s="87">
        <f t="shared" si="354"/>
        <v>0</v>
      </c>
      <c r="P258" s="87">
        <f t="shared" si="355"/>
        <v>0</v>
      </c>
      <c r="Q258" s="87">
        <f t="shared" si="356"/>
        <v>0</v>
      </c>
      <c r="R258" s="87">
        <f t="shared" si="357"/>
        <v>0</v>
      </c>
      <c r="S258" s="87">
        <f t="shared" si="358"/>
        <v>0</v>
      </c>
      <c r="T258" s="87">
        <f t="shared" si="359"/>
        <v>0</v>
      </c>
      <c r="U258" s="87">
        <f t="shared" si="360"/>
        <v>0</v>
      </c>
      <c r="V258" s="87">
        <f t="shared" si="361"/>
        <v>0</v>
      </c>
      <c r="W258" s="87">
        <f t="shared" si="362"/>
        <v>0</v>
      </c>
      <c r="X258" s="87">
        <f t="shared" si="363"/>
        <v>0</v>
      </c>
      <c r="Y258" s="86">
        <f t="shared" si="364"/>
        <v>0</v>
      </c>
      <c r="Z258" s="87">
        <f t="shared" si="365"/>
        <v>0</v>
      </c>
      <c r="AA258" s="87">
        <f t="shared" si="366"/>
        <v>0</v>
      </c>
      <c r="AB258" s="87">
        <f t="shared" si="367"/>
        <v>0</v>
      </c>
      <c r="AC258" s="87">
        <f t="shared" si="368"/>
        <v>0</v>
      </c>
      <c r="AD258" s="87">
        <f t="shared" si="369"/>
        <v>0</v>
      </c>
      <c r="AE258" s="87">
        <f t="shared" si="370"/>
        <v>0</v>
      </c>
      <c r="AF258" s="87">
        <f t="shared" si="371"/>
        <v>0</v>
      </c>
      <c r="AG258" s="87">
        <f t="shared" si="372"/>
        <v>0</v>
      </c>
      <c r="AH258" s="87">
        <f t="shared" si="407"/>
        <v>0</v>
      </c>
      <c r="AI258" s="87">
        <f t="shared" si="408"/>
        <v>0</v>
      </c>
      <c r="AJ258" s="87">
        <f t="shared" si="409"/>
        <v>0</v>
      </c>
      <c r="AK258" s="86">
        <f t="shared" si="410"/>
        <v>0</v>
      </c>
      <c r="AL258" s="85">
        <v>0</v>
      </c>
      <c r="AM258" s="85">
        <v>0</v>
      </c>
      <c r="AN258" s="85">
        <v>0</v>
      </c>
      <c r="AO258" s="85">
        <v>0</v>
      </c>
      <c r="AP258" s="85">
        <v>0</v>
      </c>
      <c r="AQ258" s="86">
        <v>0</v>
      </c>
      <c r="AR258" s="87">
        <v>0</v>
      </c>
      <c r="AS258" s="87">
        <v>0</v>
      </c>
      <c r="AT258" s="87">
        <v>0</v>
      </c>
      <c r="AU258" s="87">
        <v>0</v>
      </c>
      <c r="AV258" s="87">
        <v>0</v>
      </c>
      <c r="AW258" s="87">
        <v>0</v>
      </c>
      <c r="AX258" s="87">
        <v>0</v>
      </c>
      <c r="AY258" s="87">
        <v>0</v>
      </c>
      <c r="AZ258" s="87">
        <v>0</v>
      </c>
      <c r="BA258" s="87">
        <v>0</v>
      </c>
      <c r="BB258" s="87">
        <v>0</v>
      </c>
      <c r="BC258" s="86">
        <v>0</v>
      </c>
      <c r="BD258" s="87">
        <v>0</v>
      </c>
      <c r="BE258" s="87">
        <v>0</v>
      </c>
      <c r="BF258" s="87">
        <v>0</v>
      </c>
      <c r="BG258" s="87">
        <v>0</v>
      </c>
      <c r="BH258" s="87">
        <v>0</v>
      </c>
      <c r="BI258" s="87">
        <v>0</v>
      </c>
      <c r="BJ258" s="40">
        <v>0</v>
      </c>
      <c r="BK258" s="40">
        <v>0</v>
      </c>
      <c r="BL258" s="40">
        <v>0</v>
      </c>
      <c r="BM258" s="40" t="s">
        <v>768</v>
      </c>
      <c r="BN258" s="87"/>
      <c r="BO258" s="86"/>
      <c r="BP258" s="21">
        <v>0</v>
      </c>
      <c r="BQ258" s="21">
        <v>0</v>
      </c>
      <c r="BR258" s="21">
        <v>0</v>
      </c>
      <c r="BS258" s="21">
        <v>0</v>
      </c>
      <c r="BT258" s="21">
        <v>0</v>
      </c>
      <c r="BU258" s="42">
        <v>0</v>
      </c>
      <c r="BV258" s="21">
        <v>0</v>
      </c>
      <c r="BW258" s="21">
        <v>0</v>
      </c>
      <c r="BX258" s="21">
        <v>0</v>
      </c>
      <c r="BY258" s="21">
        <v>0</v>
      </c>
      <c r="BZ258" s="21">
        <v>0</v>
      </c>
      <c r="CA258" s="21">
        <v>0</v>
      </c>
      <c r="CB258" s="21">
        <v>0</v>
      </c>
      <c r="CC258" s="21">
        <v>0</v>
      </c>
      <c r="CD258" s="21">
        <v>0</v>
      </c>
      <c r="CE258" s="21">
        <v>0</v>
      </c>
      <c r="CF258" s="21">
        <v>0</v>
      </c>
      <c r="CG258" s="42">
        <v>0</v>
      </c>
      <c r="CH258" s="21">
        <v>0</v>
      </c>
      <c r="CI258" s="21">
        <v>0</v>
      </c>
      <c r="CJ258" s="21">
        <v>0</v>
      </c>
      <c r="CK258" s="21">
        <v>0</v>
      </c>
      <c r="CL258" s="21">
        <v>0</v>
      </c>
      <c r="CM258" s="21">
        <v>0</v>
      </c>
      <c r="CN258" s="21">
        <v>0</v>
      </c>
      <c r="CO258" s="21">
        <v>0</v>
      </c>
      <c r="CP258" s="21">
        <f t="shared" si="377"/>
        <v>0</v>
      </c>
      <c r="CQ258" s="344">
        <f t="shared" si="378"/>
        <v>0</v>
      </c>
      <c r="CR258" s="87"/>
      <c r="CS258" s="86"/>
      <c r="CT258" s="85">
        <f t="shared" si="411"/>
        <v>0</v>
      </c>
      <c r="CU258" s="85">
        <f t="shared" si="412"/>
        <v>0</v>
      </c>
      <c r="CV258" s="85">
        <f t="shared" si="413"/>
        <v>0</v>
      </c>
      <c r="CW258" s="85">
        <f t="shared" si="414"/>
        <v>0</v>
      </c>
      <c r="CX258" s="85">
        <f t="shared" si="415"/>
        <v>0</v>
      </c>
      <c r="CY258" s="86">
        <f t="shared" si="416"/>
        <v>0</v>
      </c>
      <c r="CZ258" s="87">
        <f t="shared" si="417"/>
        <v>0</v>
      </c>
      <c r="DA258" s="87">
        <f t="shared" si="418"/>
        <v>0</v>
      </c>
      <c r="DB258" s="87">
        <f t="shared" si="419"/>
        <v>0</v>
      </c>
      <c r="DC258" s="87">
        <f t="shared" si="420"/>
        <v>0</v>
      </c>
      <c r="DD258" s="87">
        <f t="shared" si="421"/>
        <v>0</v>
      </c>
      <c r="DE258" s="87">
        <f t="shared" si="422"/>
        <v>0</v>
      </c>
      <c r="DF258" s="87">
        <f t="shared" si="423"/>
        <v>0</v>
      </c>
      <c r="DG258" s="87">
        <f t="shared" si="424"/>
        <v>0</v>
      </c>
      <c r="DH258" s="87">
        <f t="shared" si="425"/>
        <v>0</v>
      </c>
      <c r="DI258" s="87">
        <f t="shared" si="426"/>
        <v>0</v>
      </c>
      <c r="DJ258" s="87">
        <f t="shared" si="427"/>
        <v>0</v>
      </c>
      <c r="DK258" s="86">
        <f t="shared" si="428"/>
        <v>0</v>
      </c>
      <c r="DL258" s="87">
        <f t="shared" si="429"/>
        <v>0</v>
      </c>
      <c r="DM258" s="87">
        <f t="shared" si="430"/>
        <v>0</v>
      </c>
      <c r="DN258" s="87">
        <f t="shared" si="431"/>
        <v>0</v>
      </c>
      <c r="DO258" s="87">
        <f t="shared" si="432"/>
        <v>0</v>
      </c>
      <c r="DP258" s="87">
        <f t="shared" si="433"/>
        <v>0</v>
      </c>
      <c r="DQ258" s="87">
        <f t="shared" si="434"/>
        <v>0</v>
      </c>
      <c r="DR258" s="87">
        <f t="shared" si="439"/>
        <v>0</v>
      </c>
      <c r="DS258" s="87">
        <f t="shared" si="440"/>
        <v>0</v>
      </c>
      <c r="DT258" s="87">
        <f t="shared" si="435"/>
        <v>0</v>
      </c>
      <c r="DU258" s="87">
        <f t="shared" si="436"/>
        <v>0</v>
      </c>
      <c r="DV258" s="87">
        <f t="shared" si="437"/>
        <v>0</v>
      </c>
      <c r="DW258" s="87">
        <f t="shared" si="438"/>
        <v>0</v>
      </c>
    </row>
    <row r="259" spans="1:127">
      <c r="A259" s="22" t="s">
        <v>22</v>
      </c>
      <c r="B259" s="26">
        <v>4987176043689</v>
      </c>
      <c r="C259" s="22" t="s">
        <v>116</v>
      </c>
      <c r="D259" s="22" t="s">
        <v>120</v>
      </c>
      <c r="E259" s="22">
        <v>100374</v>
      </c>
      <c r="F259" s="80" t="s">
        <v>351</v>
      </c>
      <c r="G259" s="25">
        <v>100.8</v>
      </c>
      <c r="H259" s="85">
        <f t="shared" ref="H259:H322" si="441">CT259*$G259</f>
        <v>25099.200000000001</v>
      </c>
      <c r="I259" s="85">
        <f t="shared" ref="I259:I322" si="442">CU259*$G259</f>
        <v>26712</v>
      </c>
      <c r="J259" s="85">
        <f t="shared" ref="J259:J322" si="443">CV259*$G259</f>
        <v>19857.599999999999</v>
      </c>
      <c r="K259" s="85">
        <f t="shared" ref="K259:K322" si="444">CW259*$G259</f>
        <v>28929.599999999999</v>
      </c>
      <c r="L259" s="85">
        <f t="shared" ref="L259:L322" si="445">CX259*$G259</f>
        <v>27417.599999999999</v>
      </c>
      <c r="M259" s="86">
        <f t="shared" ref="M259:M322" si="446">CY259*$G259</f>
        <v>13910.4</v>
      </c>
      <c r="N259" s="87">
        <f t="shared" ref="N259:N322" si="447">CZ259*$G259</f>
        <v>15825.6</v>
      </c>
      <c r="O259" s="87">
        <f t="shared" ref="O259:O322" si="448">DA259*$G259</f>
        <v>13608</v>
      </c>
      <c r="P259" s="87">
        <f t="shared" ref="P259:P322" si="449">DB259*$G259</f>
        <v>5745.5999999999995</v>
      </c>
      <c r="Q259" s="87">
        <f t="shared" ref="Q259:Q322" si="450">DC259*$G259</f>
        <v>7358.4</v>
      </c>
      <c r="R259" s="87">
        <f t="shared" ref="R259:R322" si="451">DD259*$G259</f>
        <v>8366.4</v>
      </c>
      <c r="S259" s="87">
        <f t="shared" ref="S259:S322" si="452">DE259*$G259</f>
        <v>2016</v>
      </c>
      <c r="T259" s="87">
        <f t="shared" ref="T259:T322" si="453">DF259*$G259</f>
        <v>907.19999999999993</v>
      </c>
      <c r="U259" s="87">
        <f t="shared" ref="U259:U322" si="454">DG259*$G259</f>
        <v>504</v>
      </c>
      <c r="V259" s="87">
        <f t="shared" ref="V259:V322" si="455">DH259*$G259</f>
        <v>201.6</v>
      </c>
      <c r="W259" s="87">
        <f t="shared" ref="W259:W322" si="456">DI259*$G259</f>
        <v>0</v>
      </c>
      <c r="X259" s="87">
        <f t="shared" ref="X259:X322" si="457">DJ259*$G259</f>
        <v>0</v>
      </c>
      <c r="Y259" s="86">
        <f t="shared" ref="Y259:Y322" si="458">DK259*$G259</f>
        <v>0</v>
      </c>
      <c r="Z259" s="87">
        <f t="shared" ref="Z259:Z322" si="459">DL259*$G259</f>
        <v>0</v>
      </c>
      <c r="AA259" s="87">
        <f t="shared" ref="AA259:AA322" si="460">DM259*$G259</f>
        <v>0</v>
      </c>
      <c r="AB259" s="87">
        <f t="shared" ref="AB259:AB322" si="461">DN259*$G259</f>
        <v>0</v>
      </c>
      <c r="AC259" s="87">
        <f t="shared" ref="AC259:AC322" si="462">DO259*$G259</f>
        <v>0</v>
      </c>
      <c r="AD259" s="87">
        <f t="shared" ref="AD259:AD322" si="463">DP259*$G259</f>
        <v>0</v>
      </c>
      <c r="AE259" s="87">
        <f t="shared" ref="AE259:AE322" si="464">DQ259*$G259</f>
        <v>0</v>
      </c>
      <c r="AF259" s="87">
        <f t="shared" ref="AF259:AF322" si="465">DR259*$G259</f>
        <v>0</v>
      </c>
      <c r="AG259" s="87">
        <f t="shared" ref="AG259:AG322" si="466">DS259*$G259</f>
        <v>0</v>
      </c>
      <c r="AH259" s="87">
        <f t="shared" si="407"/>
        <v>0</v>
      </c>
      <c r="AI259" s="87">
        <f t="shared" si="408"/>
        <v>0</v>
      </c>
      <c r="AJ259" s="87">
        <f t="shared" si="409"/>
        <v>0</v>
      </c>
      <c r="AK259" s="86">
        <f t="shared" si="410"/>
        <v>0</v>
      </c>
      <c r="AL259" s="85">
        <v>212</v>
      </c>
      <c r="AM259" s="85">
        <v>233</v>
      </c>
      <c r="AN259" s="85">
        <v>151</v>
      </c>
      <c r="AO259" s="85">
        <v>241</v>
      </c>
      <c r="AP259" s="85">
        <v>271</v>
      </c>
      <c r="AQ259" s="86">
        <v>138</v>
      </c>
      <c r="AR259" s="87">
        <v>157</v>
      </c>
      <c r="AS259" s="87">
        <v>135</v>
      </c>
      <c r="AT259" s="87">
        <v>57</v>
      </c>
      <c r="AU259" s="87">
        <v>73</v>
      </c>
      <c r="AV259" s="87">
        <v>83</v>
      </c>
      <c r="AW259" s="87">
        <v>20</v>
      </c>
      <c r="AX259" s="87">
        <v>9</v>
      </c>
      <c r="AY259" s="87">
        <v>5</v>
      </c>
      <c r="AZ259" s="87">
        <v>2</v>
      </c>
      <c r="BA259" s="87">
        <v>0</v>
      </c>
      <c r="BB259" s="87">
        <v>0</v>
      </c>
      <c r="BC259" s="86">
        <v>0</v>
      </c>
      <c r="BD259" s="87">
        <v>0</v>
      </c>
      <c r="BE259" s="87">
        <v>0</v>
      </c>
      <c r="BF259" s="87">
        <v>0</v>
      </c>
      <c r="BG259" s="87">
        <v>0</v>
      </c>
      <c r="BH259" s="87">
        <v>0</v>
      </c>
      <c r="BI259" s="87">
        <v>0</v>
      </c>
      <c r="BJ259" s="40">
        <v>0</v>
      </c>
      <c r="BK259" s="40">
        <v>0</v>
      </c>
      <c r="BL259" s="40">
        <v>0</v>
      </c>
      <c r="BM259" s="40">
        <v>0</v>
      </c>
      <c r="BN259" s="87"/>
      <c r="BO259" s="86"/>
      <c r="BP259" s="21">
        <v>37</v>
      </c>
      <c r="BQ259" s="21">
        <v>32</v>
      </c>
      <c r="BR259" s="21">
        <v>46</v>
      </c>
      <c r="BS259" s="21">
        <v>46</v>
      </c>
      <c r="BT259" s="21">
        <v>1</v>
      </c>
      <c r="BU259" s="42">
        <v>0</v>
      </c>
      <c r="BV259" s="21">
        <v>0</v>
      </c>
      <c r="BW259" s="21">
        <v>0</v>
      </c>
      <c r="BX259" s="21">
        <v>0</v>
      </c>
      <c r="BY259" s="21">
        <v>0</v>
      </c>
      <c r="BZ259" s="21">
        <v>0</v>
      </c>
      <c r="CA259" s="21">
        <v>0</v>
      </c>
      <c r="CB259" s="21">
        <v>0</v>
      </c>
      <c r="CC259" s="21">
        <v>0</v>
      </c>
      <c r="CD259" s="21">
        <v>0</v>
      </c>
      <c r="CE259" s="21">
        <v>0</v>
      </c>
      <c r="CF259" s="21">
        <v>0</v>
      </c>
      <c r="CG259" s="42">
        <v>0</v>
      </c>
      <c r="CH259" s="21">
        <v>0</v>
      </c>
      <c r="CI259" s="21">
        <v>0</v>
      </c>
      <c r="CJ259" s="21">
        <v>0</v>
      </c>
      <c r="CK259" s="21">
        <v>0</v>
      </c>
      <c r="CL259" s="21">
        <v>0</v>
      </c>
      <c r="CM259" s="21">
        <v>0</v>
      </c>
      <c r="CN259" s="21">
        <v>0</v>
      </c>
      <c r="CO259" s="21">
        <v>0</v>
      </c>
      <c r="CP259" s="21">
        <f t="shared" si="377"/>
        <v>0</v>
      </c>
      <c r="CQ259" s="344">
        <f t="shared" si="378"/>
        <v>0</v>
      </c>
      <c r="CR259" s="87"/>
      <c r="CS259" s="86"/>
      <c r="CT259" s="85">
        <f t="shared" si="411"/>
        <v>249</v>
      </c>
      <c r="CU259" s="85">
        <f t="shared" si="412"/>
        <v>265</v>
      </c>
      <c r="CV259" s="85">
        <f t="shared" si="413"/>
        <v>197</v>
      </c>
      <c r="CW259" s="85">
        <f t="shared" si="414"/>
        <v>287</v>
      </c>
      <c r="CX259" s="85">
        <f t="shared" si="415"/>
        <v>272</v>
      </c>
      <c r="CY259" s="86">
        <f t="shared" si="416"/>
        <v>138</v>
      </c>
      <c r="CZ259" s="87">
        <f t="shared" si="417"/>
        <v>157</v>
      </c>
      <c r="DA259" s="87">
        <f t="shared" si="418"/>
        <v>135</v>
      </c>
      <c r="DB259" s="87">
        <f t="shared" si="419"/>
        <v>57</v>
      </c>
      <c r="DC259" s="87">
        <f t="shared" si="420"/>
        <v>73</v>
      </c>
      <c r="DD259" s="87">
        <f t="shared" si="421"/>
        <v>83</v>
      </c>
      <c r="DE259" s="87">
        <f t="shared" si="422"/>
        <v>20</v>
      </c>
      <c r="DF259" s="87">
        <f t="shared" si="423"/>
        <v>9</v>
      </c>
      <c r="DG259" s="87">
        <f t="shared" si="424"/>
        <v>5</v>
      </c>
      <c r="DH259" s="87">
        <f t="shared" si="425"/>
        <v>2</v>
      </c>
      <c r="DI259" s="87">
        <f t="shared" si="426"/>
        <v>0</v>
      </c>
      <c r="DJ259" s="87">
        <f t="shared" si="427"/>
        <v>0</v>
      </c>
      <c r="DK259" s="86">
        <f t="shared" si="428"/>
        <v>0</v>
      </c>
      <c r="DL259" s="87">
        <f t="shared" si="429"/>
        <v>0</v>
      </c>
      <c r="DM259" s="87">
        <f t="shared" si="430"/>
        <v>0</v>
      </c>
      <c r="DN259" s="87">
        <f t="shared" si="431"/>
        <v>0</v>
      </c>
      <c r="DO259" s="87">
        <f t="shared" si="432"/>
        <v>0</v>
      </c>
      <c r="DP259" s="87">
        <f t="shared" si="433"/>
        <v>0</v>
      </c>
      <c r="DQ259" s="87">
        <f t="shared" si="434"/>
        <v>0</v>
      </c>
      <c r="DR259" s="87">
        <f t="shared" si="439"/>
        <v>0</v>
      </c>
      <c r="DS259" s="87">
        <f t="shared" si="440"/>
        <v>0</v>
      </c>
      <c r="DT259" s="87">
        <f t="shared" si="435"/>
        <v>0</v>
      </c>
      <c r="DU259" s="87">
        <f t="shared" si="436"/>
        <v>0</v>
      </c>
      <c r="DV259" s="87">
        <f t="shared" si="437"/>
        <v>0</v>
      </c>
      <c r="DW259" s="87">
        <f t="shared" si="438"/>
        <v>0</v>
      </c>
    </row>
    <row r="260" spans="1:127">
      <c r="A260" s="22" t="s">
        <v>22</v>
      </c>
      <c r="B260" s="26">
        <v>4987176043696</v>
      </c>
      <c r="C260" s="22" t="s">
        <v>116</v>
      </c>
      <c r="D260" s="22" t="s">
        <v>120</v>
      </c>
      <c r="E260" s="22">
        <v>100373</v>
      </c>
      <c r="F260" s="80" t="s">
        <v>352</v>
      </c>
      <c r="G260" s="25">
        <v>100.8</v>
      </c>
      <c r="H260" s="85">
        <f t="shared" si="441"/>
        <v>28022.399999999998</v>
      </c>
      <c r="I260" s="85">
        <f t="shared" si="442"/>
        <v>30945.599999999999</v>
      </c>
      <c r="J260" s="85">
        <f t="shared" si="443"/>
        <v>21873.599999999999</v>
      </c>
      <c r="K260" s="85">
        <f t="shared" si="444"/>
        <v>34473.599999999999</v>
      </c>
      <c r="L260" s="85">
        <f t="shared" si="445"/>
        <v>43444.799999999996</v>
      </c>
      <c r="M260" s="86">
        <f t="shared" si="446"/>
        <v>16732.8</v>
      </c>
      <c r="N260" s="87">
        <f t="shared" si="447"/>
        <v>19958.399999999998</v>
      </c>
      <c r="O260" s="87">
        <f t="shared" si="448"/>
        <v>19353.599999999999</v>
      </c>
      <c r="P260" s="87">
        <f t="shared" si="449"/>
        <v>10987.199999999999</v>
      </c>
      <c r="Q260" s="87">
        <f t="shared" si="450"/>
        <v>13406.4</v>
      </c>
      <c r="R260" s="87">
        <f t="shared" si="451"/>
        <v>9072</v>
      </c>
      <c r="S260" s="87">
        <f t="shared" si="452"/>
        <v>2520</v>
      </c>
      <c r="T260" s="87">
        <f t="shared" si="453"/>
        <v>1411.2</v>
      </c>
      <c r="U260" s="87">
        <f t="shared" si="454"/>
        <v>201.6</v>
      </c>
      <c r="V260" s="87">
        <f t="shared" si="455"/>
        <v>100.8</v>
      </c>
      <c r="W260" s="87">
        <f t="shared" si="456"/>
        <v>100.8</v>
      </c>
      <c r="X260" s="87">
        <f t="shared" si="457"/>
        <v>0</v>
      </c>
      <c r="Y260" s="86">
        <f t="shared" si="458"/>
        <v>0</v>
      </c>
      <c r="Z260" s="87">
        <f t="shared" si="459"/>
        <v>0</v>
      </c>
      <c r="AA260" s="87">
        <f t="shared" si="460"/>
        <v>0</v>
      </c>
      <c r="AB260" s="87">
        <f t="shared" si="461"/>
        <v>0</v>
      </c>
      <c r="AC260" s="87">
        <f t="shared" si="462"/>
        <v>0</v>
      </c>
      <c r="AD260" s="87">
        <f t="shared" si="463"/>
        <v>0</v>
      </c>
      <c r="AE260" s="87">
        <f t="shared" si="464"/>
        <v>0</v>
      </c>
      <c r="AF260" s="87">
        <f t="shared" si="465"/>
        <v>0</v>
      </c>
      <c r="AG260" s="87">
        <f t="shared" si="466"/>
        <v>0</v>
      </c>
      <c r="AH260" s="87">
        <f t="shared" si="407"/>
        <v>0</v>
      </c>
      <c r="AI260" s="87">
        <f t="shared" si="408"/>
        <v>0</v>
      </c>
      <c r="AJ260" s="87">
        <f t="shared" si="409"/>
        <v>0</v>
      </c>
      <c r="AK260" s="86">
        <f t="shared" si="410"/>
        <v>0</v>
      </c>
      <c r="AL260" s="85">
        <v>246</v>
      </c>
      <c r="AM260" s="85">
        <v>285</v>
      </c>
      <c r="AN260" s="85">
        <v>197</v>
      </c>
      <c r="AO260" s="85">
        <v>312</v>
      </c>
      <c r="AP260" s="85">
        <v>411</v>
      </c>
      <c r="AQ260" s="86">
        <v>166</v>
      </c>
      <c r="AR260" s="87">
        <v>198</v>
      </c>
      <c r="AS260" s="87">
        <v>192</v>
      </c>
      <c r="AT260" s="87">
        <v>109</v>
      </c>
      <c r="AU260" s="87">
        <v>133</v>
      </c>
      <c r="AV260" s="87">
        <v>90</v>
      </c>
      <c r="AW260" s="87">
        <v>25</v>
      </c>
      <c r="AX260" s="87">
        <v>14</v>
      </c>
      <c r="AY260" s="87">
        <v>2</v>
      </c>
      <c r="AZ260" s="87">
        <v>1</v>
      </c>
      <c r="BA260" s="87">
        <v>1</v>
      </c>
      <c r="BB260" s="87">
        <v>0</v>
      </c>
      <c r="BC260" s="86">
        <v>0</v>
      </c>
      <c r="BD260" s="87">
        <v>0</v>
      </c>
      <c r="BE260" s="87">
        <v>0</v>
      </c>
      <c r="BF260" s="87">
        <v>0</v>
      </c>
      <c r="BG260" s="87">
        <v>0</v>
      </c>
      <c r="BH260" s="87">
        <v>0</v>
      </c>
      <c r="BI260" s="87">
        <v>0</v>
      </c>
      <c r="BJ260" s="40">
        <v>0</v>
      </c>
      <c r="BK260" s="40">
        <v>0</v>
      </c>
      <c r="BL260" s="40">
        <v>0</v>
      </c>
      <c r="BM260" s="40">
        <v>0</v>
      </c>
      <c r="BN260" s="87"/>
      <c r="BO260" s="86"/>
      <c r="BP260" s="21">
        <v>32</v>
      </c>
      <c r="BQ260" s="21">
        <v>22</v>
      </c>
      <c r="BR260" s="21">
        <v>20</v>
      </c>
      <c r="BS260" s="21">
        <v>30</v>
      </c>
      <c r="BT260" s="21">
        <v>20</v>
      </c>
      <c r="BU260" s="42">
        <v>0</v>
      </c>
      <c r="BV260" s="21">
        <v>0</v>
      </c>
      <c r="BW260" s="21">
        <v>0</v>
      </c>
      <c r="BX260" s="21">
        <v>0</v>
      </c>
      <c r="BY260" s="21">
        <v>0</v>
      </c>
      <c r="BZ260" s="21">
        <v>0</v>
      </c>
      <c r="CA260" s="21">
        <v>0</v>
      </c>
      <c r="CB260" s="21">
        <v>0</v>
      </c>
      <c r="CC260" s="21">
        <v>0</v>
      </c>
      <c r="CD260" s="21">
        <v>0</v>
      </c>
      <c r="CE260" s="21">
        <v>0</v>
      </c>
      <c r="CF260" s="21">
        <v>0</v>
      </c>
      <c r="CG260" s="42">
        <v>0</v>
      </c>
      <c r="CH260" s="21">
        <v>0</v>
      </c>
      <c r="CI260" s="21">
        <v>0</v>
      </c>
      <c r="CJ260" s="21">
        <v>0</v>
      </c>
      <c r="CK260" s="21">
        <v>0</v>
      </c>
      <c r="CL260" s="21">
        <v>0</v>
      </c>
      <c r="CM260" s="21">
        <v>0</v>
      </c>
      <c r="CN260" s="21">
        <v>0</v>
      </c>
      <c r="CO260" s="21">
        <v>0</v>
      </c>
      <c r="CP260" s="21">
        <f t="shared" si="377"/>
        <v>0</v>
      </c>
      <c r="CQ260" s="344">
        <f t="shared" si="378"/>
        <v>0</v>
      </c>
      <c r="CR260" s="87"/>
      <c r="CS260" s="86"/>
      <c r="CT260" s="85">
        <f t="shared" si="411"/>
        <v>278</v>
      </c>
      <c r="CU260" s="85">
        <f t="shared" si="412"/>
        <v>307</v>
      </c>
      <c r="CV260" s="85">
        <f t="shared" si="413"/>
        <v>217</v>
      </c>
      <c r="CW260" s="85">
        <f t="shared" si="414"/>
        <v>342</v>
      </c>
      <c r="CX260" s="85">
        <f t="shared" si="415"/>
        <v>431</v>
      </c>
      <c r="CY260" s="86">
        <f t="shared" si="416"/>
        <v>166</v>
      </c>
      <c r="CZ260" s="87">
        <f t="shared" si="417"/>
        <v>198</v>
      </c>
      <c r="DA260" s="87">
        <f t="shared" si="418"/>
        <v>192</v>
      </c>
      <c r="DB260" s="87">
        <f t="shared" si="419"/>
        <v>109</v>
      </c>
      <c r="DC260" s="87">
        <f t="shared" si="420"/>
        <v>133</v>
      </c>
      <c r="DD260" s="87">
        <f t="shared" si="421"/>
        <v>90</v>
      </c>
      <c r="DE260" s="87">
        <f t="shared" si="422"/>
        <v>25</v>
      </c>
      <c r="DF260" s="87">
        <f t="shared" si="423"/>
        <v>14</v>
      </c>
      <c r="DG260" s="87">
        <f t="shared" si="424"/>
        <v>2</v>
      </c>
      <c r="DH260" s="87">
        <f t="shared" si="425"/>
        <v>1</v>
      </c>
      <c r="DI260" s="87">
        <f t="shared" si="426"/>
        <v>1</v>
      </c>
      <c r="DJ260" s="87">
        <f t="shared" si="427"/>
        <v>0</v>
      </c>
      <c r="DK260" s="86">
        <f t="shared" si="428"/>
        <v>0</v>
      </c>
      <c r="DL260" s="87">
        <f t="shared" si="429"/>
        <v>0</v>
      </c>
      <c r="DM260" s="87">
        <f t="shared" si="430"/>
        <v>0</v>
      </c>
      <c r="DN260" s="87">
        <f t="shared" si="431"/>
        <v>0</v>
      </c>
      <c r="DO260" s="87">
        <f t="shared" si="432"/>
        <v>0</v>
      </c>
      <c r="DP260" s="87">
        <f t="shared" si="433"/>
        <v>0</v>
      </c>
      <c r="DQ260" s="87">
        <f t="shared" si="434"/>
        <v>0</v>
      </c>
      <c r="DR260" s="87">
        <f t="shared" si="439"/>
        <v>0</v>
      </c>
      <c r="DS260" s="87">
        <f t="shared" si="440"/>
        <v>0</v>
      </c>
      <c r="DT260" s="87">
        <f t="shared" si="435"/>
        <v>0</v>
      </c>
      <c r="DU260" s="87">
        <f t="shared" si="436"/>
        <v>0</v>
      </c>
      <c r="DV260" s="87">
        <f t="shared" si="437"/>
        <v>0</v>
      </c>
      <c r="DW260" s="87">
        <f t="shared" si="438"/>
        <v>0</v>
      </c>
    </row>
    <row r="261" spans="1:127">
      <c r="A261" s="22" t="s">
        <v>22</v>
      </c>
      <c r="B261" s="26">
        <v>4987176043702</v>
      </c>
      <c r="C261" s="22" t="s">
        <v>116</v>
      </c>
      <c r="D261" s="22" t="s">
        <v>120</v>
      </c>
      <c r="E261" s="22">
        <v>100372</v>
      </c>
      <c r="F261" s="80" t="s">
        <v>353</v>
      </c>
      <c r="G261" s="25">
        <v>100.8</v>
      </c>
      <c r="H261" s="85">
        <f t="shared" si="441"/>
        <v>34776</v>
      </c>
      <c r="I261" s="85">
        <f t="shared" si="442"/>
        <v>27518.399999999998</v>
      </c>
      <c r="J261" s="85">
        <f t="shared" si="443"/>
        <v>17841.599999999999</v>
      </c>
      <c r="K261" s="85">
        <f t="shared" si="444"/>
        <v>31752</v>
      </c>
      <c r="L261" s="85">
        <f t="shared" si="445"/>
        <v>37094.400000000001</v>
      </c>
      <c r="M261" s="86">
        <f t="shared" si="446"/>
        <v>11995.199999999999</v>
      </c>
      <c r="N261" s="87">
        <f t="shared" si="447"/>
        <v>13204.8</v>
      </c>
      <c r="O261" s="87">
        <f t="shared" si="448"/>
        <v>11390.4</v>
      </c>
      <c r="P261" s="87">
        <f t="shared" si="449"/>
        <v>2116.7999999999997</v>
      </c>
      <c r="Q261" s="87">
        <f t="shared" si="450"/>
        <v>2822.4</v>
      </c>
      <c r="R261" s="87">
        <f t="shared" si="451"/>
        <v>2822.4</v>
      </c>
      <c r="S261" s="87">
        <f t="shared" si="452"/>
        <v>1310.3999999999999</v>
      </c>
      <c r="T261" s="87">
        <f t="shared" si="453"/>
        <v>604.79999999999995</v>
      </c>
      <c r="U261" s="87">
        <f t="shared" si="454"/>
        <v>0</v>
      </c>
      <c r="V261" s="87">
        <f t="shared" si="455"/>
        <v>0</v>
      </c>
      <c r="W261" s="87">
        <f t="shared" si="456"/>
        <v>0</v>
      </c>
      <c r="X261" s="87">
        <f t="shared" si="457"/>
        <v>0</v>
      </c>
      <c r="Y261" s="86">
        <f t="shared" si="458"/>
        <v>0</v>
      </c>
      <c r="Z261" s="87">
        <f t="shared" si="459"/>
        <v>0</v>
      </c>
      <c r="AA261" s="87">
        <f t="shared" si="460"/>
        <v>0</v>
      </c>
      <c r="AB261" s="87">
        <f t="shared" si="461"/>
        <v>0</v>
      </c>
      <c r="AC261" s="87">
        <f t="shared" si="462"/>
        <v>0</v>
      </c>
      <c r="AD261" s="87">
        <f t="shared" si="463"/>
        <v>0</v>
      </c>
      <c r="AE261" s="87">
        <f t="shared" si="464"/>
        <v>0</v>
      </c>
      <c r="AF261" s="87">
        <f t="shared" si="465"/>
        <v>0</v>
      </c>
      <c r="AG261" s="87">
        <f t="shared" si="466"/>
        <v>0</v>
      </c>
      <c r="AH261" s="87">
        <f t="shared" ref="AH261:AH292" si="467">DT261*$G261</f>
        <v>0</v>
      </c>
      <c r="AI261" s="87">
        <f t="shared" ref="AI261:AI292" si="468">DU261*$G261</f>
        <v>0</v>
      </c>
      <c r="AJ261" s="87">
        <f t="shared" ref="AJ261:AJ292" si="469">DV261*$G261</f>
        <v>0</v>
      </c>
      <c r="AK261" s="86">
        <f t="shared" ref="AK261:AK292" si="470">DW261*$G261</f>
        <v>0</v>
      </c>
      <c r="AL261" s="85">
        <v>325</v>
      </c>
      <c r="AM261" s="85">
        <v>263</v>
      </c>
      <c r="AN261" s="85">
        <v>161</v>
      </c>
      <c r="AO261" s="85">
        <v>282</v>
      </c>
      <c r="AP261" s="85">
        <v>355</v>
      </c>
      <c r="AQ261" s="86">
        <v>119</v>
      </c>
      <c r="AR261" s="87">
        <v>131</v>
      </c>
      <c r="AS261" s="87">
        <v>113</v>
      </c>
      <c r="AT261" s="87">
        <v>21</v>
      </c>
      <c r="AU261" s="87">
        <v>28</v>
      </c>
      <c r="AV261" s="87">
        <v>28</v>
      </c>
      <c r="AW261" s="87">
        <v>13</v>
      </c>
      <c r="AX261" s="87">
        <v>6</v>
      </c>
      <c r="AY261" s="87">
        <v>0</v>
      </c>
      <c r="AZ261" s="87">
        <v>0</v>
      </c>
      <c r="BA261" s="87">
        <v>0</v>
      </c>
      <c r="BB261" s="87">
        <v>0</v>
      </c>
      <c r="BC261" s="86">
        <v>0</v>
      </c>
      <c r="BD261" s="87">
        <v>0</v>
      </c>
      <c r="BE261" s="87">
        <v>0</v>
      </c>
      <c r="BF261" s="87">
        <v>0</v>
      </c>
      <c r="BG261" s="87">
        <v>0</v>
      </c>
      <c r="BH261" s="87">
        <v>0</v>
      </c>
      <c r="BI261" s="87">
        <v>0</v>
      </c>
      <c r="BJ261" s="40">
        <v>0</v>
      </c>
      <c r="BK261" s="40">
        <v>0</v>
      </c>
      <c r="BL261" s="40">
        <v>0</v>
      </c>
      <c r="BM261" s="40">
        <v>0</v>
      </c>
      <c r="BN261" s="87"/>
      <c r="BO261" s="86"/>
      <c r="BP261" s="21">
        <v>20</v>
      </c>
      <c r="BQ261" s="21">
        <v>10</v>
      </c>
      <c r="BR261" s="21">
        <v>16</v>
      </c>
      <c r="BS261" s="21">
        <v>33</v>
      </c>
      <c r="BT261" s="21">
        <v>13</v>
      </c>
      <c r="BU261" s="42">
        <v>0</v>
      </c>
      <c r="BV261" s="21">
        <v>0</v>
      </c>
      <c r="BW261" s="21">
        <v>0</v>
      </c>
      <c r="BX261" s="21">
        <v>0</v>
      </c>
      <c r="BY261" s="21">
        <v>0</v>
      </c>
      <c r="BZ261" s="21">
        <v>0</v>
      </c>
      <c r="CA261" s="21">
        <v>0</v>
      </c>
      <c r="CB261" s="21">
        <v>0</v>
      </c>
      <c r="CC261" s="21">
        <v>0</v>
      </c>
      <c r="CD261" s="21">
        <v>0</v>
      </c>
      <c r="CE261" s="21">
        <v>0</v>
      </c>
      <c r="CF261" s="21">
        <v>0</v>
      </c>
      <c r="CG261" s="42">
        <v>0</v>
      </c>
      <c r="CH261" s="21">
        <v>0</v>
      </c>
      <c r="CI261" s="21">
        <v>0</v>
      </c>
      <c r="CJ261" s="21">
        <v>0</v>
      </c>
      <c r="CK261" s="21">
        <v>0</v>
      </c>
      <c r="CL261" s="21">
        <v>0</v>
      </c>
      <c r="CM261" s="21">
        <v>0</v>
      </c>
      <c r="CN261" s="21">
        <v>0</v>
      </c>
      <c r="CO261" s="21">
        <v>0</v>
      </c>
      <c r="CP261" s="21">
        <f t="shared" ref="CP261:CP324" si="471">CO261</f>
        <v>0</v>
      </c>
      <c r="CQ261" s="344">
        <f t="shared" ref="CQ261:CQ324" si="472">AVERAGE(CH261:CP261)</f>
        <v>0</v>
      </c>
      <c r="CR261" s="87"/>
      <c r="CS261" s="86"/>
      <c r="CT261" s="85">
        <f t="shared" ref="CT261:CT292" si="473">AL261+BP261</f>
        <v>345</v>
      </c>
      <c r="CU261" s="85">
        <f t="shared" ref="CU261:CU292" si="474">AM261+BQ261</f>
        <v>273</v>
      </c>
      <c r="CV261" s="85">
        <f t="shared" ref="CV261:CV292" si="475">AN261+BR261</f>
        <v>177</v>
      </c>
      <c r="CW261" s="85">
        <f t="shared" ref="CW261:CW292" si="476">AO261+BS261</f>
        <v>315</v>
      </c>
      <c r="CX261" s="85">
        <f t="shared" ref="CX261:CX292" si="477">AP261+BT261</f>
        <v>368</v>
      </c>
      <c r="CY261" s="86">
        <f t="shared" ref="CY261:CY292" si="478">AQ261+BU261</f>
        <v>119</v>
      </c>
      <c r="CZ261" s="87">
        <f t="shared" ref="CZ261:CZ292" si="479">AR261+BV261</f>
        <v>131</v>
      </c>
      <c r="DA261" s="87">
        <f t="shared" ref="DA261:DA292" si="480">AS261+BW261</f>
        <v>113</v>
      </c>
      <c r="DB261" s="87">
        <f t="shared" ref="DB261:DB292" si="481">AT261+BX261</f>
        <v>21</v>
      </c>
      <c r="DC261" s="87">
        <f t="shared" ref="DC261:DC292" si="482">AU261+BY261</f>
        <v>28</v>
      </c>
      <c r="DD261" s="87">
        <f t="shared" ref="DD261:DD292" si="483">AV261+BZ261</f>
        <v>28</v>
      </c>
      <c r="DE261" s="87">
        <f t="shared" ref="DE261:DE292" si="484">AW261+CA261</f>
        <v>13</v>
      </c>
      <c r="DF261" s="87">
        <f t="shared" ref="DF261:DF292" si="485">AX261+CB261</f>
        <v>6</v>
      </c>
      <c r="DG261" s="87">
        <f t="shared" ref="DG261:DG292" si="486">AY261+CC261</f>
        <v>0</v>
      </c>
      <c r="DH261" s="87">
        <f t="shared" ref="DH261:DH292" si="487">AZ261+CD261</f>
        <v>0</v>
      </c>
      <c r="DI261" s="87">
        <f t="shared" ref="DI261:DI292" si="488">BA261+CE261</f>
        <v>0</v>
      </c>
      <c r="DJ261" s="87">
        <f t="shared" ref="DJ261:DJ292" si="489">BB261+CF261</f>
        <v>0</v>
      </c>
      <c r="DK261" s="86">
        <f t="shared" ref="DK261:DK292" si="490">BC261+CG261</f>
        <v>0</v>
      </c>
      <c r="DL261" s="87">
        <f t="shared" ref="DL261:DL292" si="491">BD261+CH261</f>
        <v>0</v>
      </c>
      <c r="DM261" s="87">
        <f t="shared" ref="DM261:DM292" si="492">BE261+CI261</f>
        <v>0</v>
      </c>
      <c r="DN261" s="87">
        <f t="shared" ref="DN261:DN292" si="493">BF261+CJ261</f>
        <v>0</v>
      </c>
      <c r="DO261" s="87">
        <f t="shared" ref="DO261:DO292" si="494">BG261+CK261</f>
        <v>0</v>
      </c>
      <c r="DP261" s="87">
        <f t="shared" ref="DP261:DP292" si="495">BH261+CL261</f>
        <v>0</v>
      </c>
      <c r="DQ261" s="87">
        <f t="shared" ref="DQ261:DQ292" si="496">BI261+CM261</f>
        <v>0</v>
      </c>
      <c r="DR261" s="87">
        <f t="shared" si="439"/>
        <v>0</v>
      </c>
      <c r="DS261" s="87">
        <f t="shared" si="440"/>
        <v>0</v>
      </c>
      <c r="DT261" s="87">
        <f t="shared" si="435"/>
        <v>0</v>
      </c>
      <c r="DU261" s="87">
        <f t="shared" si="436"/>
        <v>0</v>
      </c>
      <c r="DV261" s="87">
        <f t="shared" si="437"/>
        <v>0</v>
      </c>
      <c r="DW261" s="87">
        <f t="shared" si="438"/>
        <v>0</v>
      </c>
    </row>
    <row r="262" spans="1:127">
      <c r="A262" s="22" t="s">
        <v>22</v>
      </c>
      <c r="B262" s="26">
        <v>4987176139917</v>
      </c>
      <c r="C262" s="22" t="s">
        <v>116</v>
      </c>
      <c r="D262" s="22" t="s">
        <v>122</v>
      </c>
      <c r="E262" s="22">
        <v>151449</v>
      </c>
      <c r="F262" s="80" t="s">
        <v>354</v>
      </c>
      <c r="G262" s="25">
        <v>125.5</v>
      </c>
      <c r="H262" s="85">
        <f t="shared" si="441"/>
        <v>4643.5</v>
      </c>
      <c r="I262" s="85">
        <f t="shared" si="442"/>
        <v>1631.5</v>
      </c>
      <c r="J262" s="85">
        <f t="shared" si="443"/>
        <v>376.5</v>
      </c>
      <c r="K262" s="85">
        <f t="shared" si="444"/>
        <v>0</v>
      </c>
      <c r="L262" s="85">
        <f t="shared" si="445"/>
        <v>0</v>
      </c>
      <c r="M262" s="86">
        <f t="shared" si="446"/>
        <v>251</v>
      </c>
      <c r="N262" s="87">
        <f t="shared" si="447"/>
        <v>0</v>
      </c>
      <c r="O262" s="87">
        <f t="shared" si="448"/>
        <v>0</v>
      </c>
      <c r="P262" s="87">
        <f t="shared" si="449"/>
        <v>0</v>
      </c>
      <c r="Q262" s="87">
        <f t="shared" si="450"/>
        <v>0</v>
      </c>
      <c r="R262" s="87">
        <f t="shared" si="451"/>
        <v>0</v>
      </c>
      <c r="S262" s="87">
        <f t="shared" si="452"/>
        <v>0</v>
      </c>
      <c r="T262" s="87">
        <f t="shared" si="453"/>
        <v>0</v>
      </c>
      <c r="U262" s="87">
        <f t="shared" si="454"/>
        <v>0</v>
      </c>
      <c r="V262" s="87">
        <f t="shared" si="455"/>
        <v>0</v>
      </c>
      <c r="W262" s="87">
        <f t="shared" si="456"/>
        <v>0</v>
      </c>
      <c r="X262" s="87">
        <f t="shared" si="457"/>
        <v>0</v>
      </c>
      <c r="Y262" s="86">
        <f t="shared" si="458"/>
        <v>0</v>
      </c>
      <c r="Z262" s="87">
        <f t="shared" si="459"/>
        <v>0</v>
      </c>
      <c r="AA262" s="87">
        <f t="shared" si="460"/>
        <v>0</v>
      </c>
      <c r="AB262" s="87">
        <f t="shared" si="461"/>
        <v>0</v>
      </c>
      <c r="AC262" s="87">
        <f t="shared" si="462"/>
        <v>0</v>
      </c>
      <c r="AD262" s="87">
        <f t="shared" si="463"/>
        <v>0</v>
      </c>
      <c r="AE262" s="87">
        <f t="shared" si="464"/>
        <v>0</v>
      </c>
      <c r="AF262" s="87">
        <f t="shared" si="465"/>
        <v>0</v>
      </c>
      <c r="AG262" s="87">
        <f t="shared" si="466"/>
        <v>0</v>
      </c>
      <c r="AH262" s="87">
        <f t="shared" si="467"/>
        <v>0</v>
      </c>
      <c r="AI262" s="87">
        <f t="shared" si="468"/>
        <v>0</v>
      </c>
      <c r="AJ262" s="87">
        <f t="shared" si="469"/>
        <v>0</v>
      </c>
      <c r="AK262" s="86">
        <f t="shared" si="470"/>
        <v>0</v>
      </c>
      <c r="AL262" s="85">
        <v>37</v>
      </c>
      <c r="AM262" s="85">
        <v>13</v>
      </c>
      <c r="AN262" s="85">
        <v>3</v>
      </c>
      <c r="AO262" s="85">
        <v>0</v>
      </c>
      <c r="AP262" s="85">
        <v>0</v>
      </c>
      <c r="AQ262" s="86">
        <v>2</v>
      </c>
      <c r="AR262" s="87">
        <v>0</v>
      </c>
      <c r="AS262" s="87">
        <v>0</v>
      </c>
      <c r="AT262" s="87">
        <v>0</v>
      </c>
      <c r="AU262" s="87">
        <v>0</v>
      </c>
      <c r="AV262" s="87">
        <v>0</v>
      </c>
      <c r="AW262" s="87">
        <v>0</v>
      </c>
      <c r="AX262" s="87">
        <v>0</v>
      </c>
      <c r="AY262" s="87">
        <v>0</v>
      </c>
      <c r="AZ262" s="87">
        <v>0</v>
      </c>
      <c r="BA262" s="87">
        <v>0</v>
      </c>
      <c r="BB262" s="87">
        <v>0</v>
      </c>
      <c r="BC262" s="86">
        <v>0</v>
      </c>
      <c r="BD262" s="87">
        <v>0</v>
      </c>
      <c r="BE262" s="87">
        <v>0</v>
      </c>
      <c r="BF262" s="87">
        <v>0</v>
      </c>
      <c r="BG262" s="87">
        <v>0</v>
      </c>
      <c r="BH262" s="87">
        <v>0</v>
      </c>
      <c r="BI262" s="87">
        <v>0</v>
      </c>
      <c r="BJ262" s="40">
        <v>0</v>
      </c>
      <c r="BK262" s="40">
        <v>0</v>
      </c>
      <c r="BL262" s="40">
        <v>0</v>
      </c>
      <c r="BM262" s="40">
        <v>0</v>
      </c>
      <c r="BN262" s="87"/>
      <c r="BO262" s="86"/>
      <c r="BP262" s="21">
        <v>0</v>
      </c>
      <c r="BQ262" s="21">
        <v>0</v>
      </c>
      <c r="BR262" s="21">
        <v>0</v>
      </c>
      <c r="BS262" s="21">
        <v>0</v>
      </c>
      <c r="BT262" s="21">
        <v>0</v>
      </c>
      <c r="BU262" s="42">
        <v>0</v>
      </c>
      <c r="BV262" s="21">
        <v>0</v>
      </c>
      <c r="BW262" s="21">
        <v>0</v>
      </c>
      <c r="BX262" s="21">
        <v>0</v>
      </c>
      <c r="BY262" s="21">
        <v>0</v>
      </c>
      <c r="BZ262" s="21">
        <v>0</v>
      </c>
      <c r="CA262" s="21">
        <v>0</v>
      </c>
      <c r="CB262" s="21">
        <v>0</v>
      </c>
      <c r="CC262" s="21">
        <v>0</v>
      </c>
      <c r="CD262" s="21">
        <v>0</v>
      </c>
      <c r="CE262" s="21">
        <v>0</v>
      </c>
      <c r="CF262" s="21">
        <v>0</v>
      </c>
      <c r="CG262" s="42">
        <v>0</v>
      </c>
      <c r="CH262" s="21">
        <v>0</v>
      </c>
      <c r="CI262" s="21">
        <v>0</v>
      </c>
      <c r="CJ262" s="21">
        <v>0</v>
      </c>
      <c r="CK262" s="21">
        <v>0</v>
      </c>
      <c r="CL262" s="21">
        <v>0</v>
      </c>
      <c r="CM262" s="21">
        <v>0</v>
      </c>
      <c r="CN262" s="21">
        <v>0</v>
      </c>
      <c r="CO262" s="21">
        <v>0</v>
      </c>
      <c r="CP262" s="21">
        <f t="shared" si="471"/>
        <v>0</v>
      </c>
      <c r="CQ262" s="344">
        <f t="shared" si="472"/>
        <v>0</v>
      </c>
      <c r="CR262" s="87"/>
      <c r="CS262" s="86"/>
      <c r="CT262" s="85">
        <f t="shared" si="473"/>
        <v>37</v>
      </c>
      <c r="CU262" s="85">
        <f t="shared" si="474"/>
        <v>13</v>
      </c>
      <c r="CV262" s="85">
        <f t="shared" si="475"/>
        <v>3</v>
      </c>
      <c r="CW262" s="85">
        <f t="shared" si="476"/>
        <v>0</v>
      </c>
      <c r="CX262" s="85">
        <f t="shared" si="477"/>
        <v>0</v>
      </c>
      <c r="CY262" s="86">
        <f t="shared" si="478"/>
        <v>2</v>
      </c>
      <c r="CZ262" s="87">
        <f t="shared" si="479"/>
        <v>0</v>
      </c>
      <c r="DA262" s="87">
        <f t="shared" si="480"/>
        <v>0</v>
      </c>
      <c r="DB262" s="87">
        <f t="shared" si="481"/>
        <v>0</v>
      </c>
      <c r="DC262" s="87">
        <f t="shared" si="482"/>
        <v>0</v>
      </c>
      <c r="DD262" s="87">
        <f t="shared" si="483"/>
        <v>0</v>
      </c>
      <c r="DE262" s="87">
        <f t="shared" si="484"/>
        <v>0</v>
      </c>
      <c r="DF262" s="87">
        <f t="shared" si="485"/>
        <v>0</v>
      </c>
      <c r="DG262" s="87">
        <f t="shared" si="486"/>
        <v>0</v>
      </c>
      <c r="DH262" s="87">
        <f t="shared" si="487"/>
        <v>0</v>
      </c>
      <c r="DI262" s="87">
        <f t="shared" si="488"/>
        <v>0</v>
      </c>
      <c r="DJ262" s="87">
        <f t="shared" si="489"/>
        <v>0</v>
      </c>
      <c r="DK262" s="86">
        <f t="shared" si="490"/>
        <v>0</v>
      </c>
      <c r="DL262" s="87">
        <f t="shared" si="491"/>
        <v>0</v>
      </c>
      <c r="DM262" s="87">
        <f t="shared" si="492"/>
        <v>0</v>
      </c>
      <c r="DN262" s="87">
        <f t="shared" si="493"/>
        <v>0</v>
      </c>
      <c r="DO262" s="87">
        <f t="shared" si="494"/>
        <v>0</v>
      </c>
      <c r="DP262" s="87">
        <f t="shared" si="495"/>
        <v>0</v>
      </c>
      <c r="DQ262" s="87">
        <f t="shared" si="496"/>
        <v>0</v>
      </c>
      <c r="DR262" s="87">
        <f t="shared" si="439"/>
        <v>0</v>
      </c>
      <c r="DS262" s="87">
        <f t="shared" si="440"/>
        <v>0</v>
      </c>
      <c r="DT262" s="87">
        <f t="shared" ref="DT262:DT293" si="497">BL262+CP262</f>
        <v>0</v>
      </c>
      <c r="DU262" s="87">
        <f t="shared" ref="DU262:DU293" si="498">BM262+CQ262</f>
        <v>0</v>
      </c>
      <c r="DV262" s="87">
        <f t="shared" ref="DV262:DV293" si="499">BN262+CR262</f>
        <v>0</v>
      </c>
      <c r="DW262" s="87">
        <f t="shared" ref="DW262:DW293" si="500">BO262+CS262</f>
        <v>0</v>
      </c>
    </row>
    <row r="263" spans="1:127">
      <c r="A263" s="22" t="s">
        <v>22</v>
      </c>
      <c r="B263" s="26">
        <v>4987176139924</v>
      </c>
      <c r="C263" s="22" t="s">
        <v>116</v>
      </c>
      <c r="D263" s="22" t="s">
        <v>122</v>
      </c>
      <c r="E263" s="22">
        <v>151457</v>
      </c>
      <c r="F263" s="80" t="s">
        <v>355</v>
      </c>
      <c r="G263" s="25">
        <v>125.5</v>
      </c>
      <c r="H263" s="85">
        <f t="shared" si="441"/>
        <v>44552.5</v>
      </c>
      <c r="I263" s="85">
        <f t="shared" si="442"/>
        <v>33634</v>
      </c>
      <c r="J263" s="85">
        <f t="shared" si="443"/>
        <v>34638</v>
      </c>
      <c r="K263" s="85">
        <f t="shared" si="444"/>
        <v>27484.5</v>
      </c>
      <c r="L263" s="85">
        <f t="shared" si="445"/>
        <v>43172</v>
      </c>
      <c r="M263" s="86">
        <f t="shared" si="446"/>
        <v>23343</v>
      </c>
      <c r="N263" s="87">
        <f t="shared" si="447"/>
        <v>32128</v>
      </c>
      <c r="O263" s="87">
        <f t="shared" si="448"/>
        <v>51957</v>
      </c>
      <c r="P263" s="87">
        <f t="shared" si="449"/>
        <v>40285.5</v>
      </c>
      <c r="Q263" s="87">
        <f t="shared" si="450"/>
        <v>44176</v>
      </c>
      <c r="R263" s="87">
        <f t="shared" si="451"/>
        <v>24598</v>
      </c>
      <c r="S263" s="87">
        <f t="shared" si="452"/>
        <v>29869</v>
      </c>
      <c r="T263" s="87">
        <f t="shared" si="453"/>
        <v>19076</v>
      </c>
      <c r="U263" s="87">
        <f t="shared" si="454"/>
        <v>7655.5</v>
      </c>
      <c r="V263" s="87">
        <f t="shared" si="455"/>
        <v>878.5</v>
      </c>
      <c r="W263" s="87">
        <f t="shared" si="456"/>
        <v>753</v>
      </c>
      <c r="X263" s="87">
        <f t="shared" si="457"/>
        <v>627.5</v>
      </c>
      <c r="Y263" s="86">
        <f t="shared" si="458"/>
        <v>0</v>
      </c>
      <c r="Z263" s="87">
        <f t="shared" si="459"/>
        <v>0</v>
      </c>
      <c r="AA263" s="87">
        <f t="shared" si="460"/>
        <v>0</v>
      </c>
      <c r="AB263" s="87">
        <f t="shared" si="461"/>
        <v>0</v>
      </c>
      <c r="AC263" s="87">
        <f t="shared" si="462"/>
        <v>0</v>
      </c>
      <c r="AD263" s="87">
        <f t="shared" si="463"/>
        <v>0</v>
      </c>
      <c r="AE263" s="87">
        <f t="shared" si="464"/>
        <v>0</v>
      </c>
      <c r="AF263" s="87">
        <f t="shared" si="465"/>
        <v>0</v>
      </c>
      <c r="AG263" s="87">
        <f t="shared" si="466"/>
        <v>0</v>
      </c>
      <c r="AH263" s="87">
        <f t="shared" si="467"/>
        <v>0</v>
      </c>
      <c r="AI263" s="87">
        <f t="shared" si="468"/>
        <v>0</v>
      </c>
      <c r="AJ263" s="87">
        <f t="shared" si="469"/>
        <v>0</v>
      </c>
      <c r="AK263" s="86">
        <f t="shared" si="470"/>
        <v>0</v>
      </c>
      <c r="AL263" s="85">
        <v>289</v>
      </c>
      <c r="AM263" s="85">
        <v>220</v>
      </c>
      <c r="AN263" s="85">
        <v>175</v>
      </c>
      <c r="AO263" s="85">
        <v>186</v>
      </c>
      <c r="AP263" s="85">
        <v>296</v>
      </c>
      <c r="AQ263" s="86">
        <v>134</v>
      </c>
      <c r="AR263" s="87">
        <v>199</v>
      </c>
      <c r="AS263" s="87">
        <v>355</v>
      </c>
      <c r="AT263" s="87">
        <v>204</v>
      </c>
      <c r="AU263" s="87">
        <v>219</v>
      </c>
      <c r="AV263" s="87">
        <v>190</v>
      </c>
      <c r="AW263" s="87">
        <v>238</v>
      </c>
      <c r="AX263" s="87">
        <v>152</v>
      </c>
      <c r="AY263" s="87">
        <v>61</v>
      </c>
      <c r="AZ263" s="87">
        <v>7</v>
      </c>
      <c r="BA263" s="87">
        <v>6</v>
      </c>
      <c r="BB263" s="87">
        <v>5</v>
      </c>
      <c r="BC263" s="86">
        <v>0</v>
      </c>
      <c r="BD263" s="87">
        <v>0</v>
      </c>
      <c r="BE263" s="87">
        <v>0</v>
      </c>
      <c r="BF263" s="87">
        <v>0</v>
      </c>
      <c r="BG263" s="87">
        <v>0</v>
      </c>
      <c r="BH263" s="87">
        <v>0</v>
      </c>
      <c r="BI263" s="87">
        <v>0</v>
      </c>
      <c r="BJ263" s="40">
        <v>0</v>
      </c>
      <c r="BK263" s="40">
        <v>0</v>
      </c>
      <c r="BL263" s="40">
        <v>0</v>
      </c>
      <c r="BM263" s="40">
        <v>0</v>
      </c>
      <c r="BN263" s="87"/>
      <c r="BO263" s="86"/>
      <c r="BP263" s="21">
        <v>66</v>
      </c>
      <c r="BQ263" s="21">
        <v>48</v>
      </c>
      <c r="BR263" s="21">
        <v>101</v>
      </c>
      <c r="BS263" s="21">
        <v>33</v>
      </c>
      <c r="BT263" s="21">
        <v>48</v>
      </c>
      <c r="BU263" s="42">
        <v>52</v>
      </c>
      <c r="BV263" s="21">
        <v>57</v>
      </c>
      <c r="BW263" s="21">
        <v>59</v>
      </c>
      <c r="BX263" s="21">
        <v>117</v>
      </c>
      <c r="BY263" s="21">
        <v>133</v>
      </c>
      <c r="BZ263" s="21">
        <v>6</v>
      </c>
      <c r="CA263" s="21">
        <v>0</v>
      </c>
      <c r="CB263" s="21">
        <v>0</v>
      </c>
      <c r="CC263" s="21">
        <v>0</v>
      </c>
      <c r="CD263" s="21">
        <v>0</v>
      </c>
      <c r="CE263" s="21">
        <v>0</v>
      </c>
      <c r="CF263" s="21">
        <v>0</v>
      </c>
      <c r="CG263" s="42">
        <v>0</v>
      </c>
      <c r="CH263" s="21">
        <v>0</v>
      </c>
      <c r="CI263" s="21">
        <v>0</v>
      </c>
      <c r="CJ263" s="21">
        <v>0</v>
      </c>
      <c r="CK263" s="21">
        <v>0</v>
      </c>
      <c r="CL263" s="21">
        <v>0</v>
      </c>
      <c r="CM263" s="21">
        <v>0</v>
      </c>
      <c r="CN263" s="21">
        <v>0</v>
      </c>
      <c r="CO263" s="21">
        <v>0</v>
      </c>
      <c r="CP263" s="21">
        <f t="shared" si="471"/>
        <v>0</v>
      </c>
      <c r="CQ263" s="344">
        <f t="shared" si="472"/>
        <v>0</v>
      </c>
      <c r="CR263" s="87"/>
      <c r="CS263" s="86"/>
      <c r="CT263" s="85">
        <f t="shared" si="473"/>
        <v>355</v>
      </c>
      <c r="CU263" s="85">
        <f t="shared" si="474"/>
        <v>268</v>
      </c>
      <c r="CV263" s="85">
        <f t="shared" si="475"/>
        <v>276</v>
      </c>
      <c r="CW263" s="85">
        <f t="shared" si="476"/>
        <v>219</v>
      </c>
      <c r="CX263" s="85">
        <f t="shared" si="477"/>
        <v>344</v>
      </c>
      <c r="CY263" s="86">
        <f t="shared" si="478"/>
        <v>186</v>
      </c>
      <c r="CZ263" s="87">
        <f t="shared" si="479"/>
        <v>256</v>
      </c>
      <c r="DA263" s="87">
        <f t="shared" si="480"/>
        <v>414</v>
      </c>
      <c r="DB263" s="87">
        <f t="shared" si="481"/>
        <v>321</v>
      </c>
      <c r="DC263" s="87">
        <f t="shared" si="482"/>
        <v>352</v>
      </c>
      <c r="DD263" s="87">
        <f t="shared" si="483"/>
        <v>196</v>
      </c>
      <c r="DE263" s="87">
        <f t="shared" si="484"/>
        <v>238</v>
      </c>
      <c r="DF263" s="87">
        <f t="shared" si="485"/>
        <v>152</v>
      </c>
      <c r="DG263" s="87">
        <f t="shared" si="486"/>
        <v>61</v>
      </c>
      <c r="DH263" s="87">
        <f t="shared" si="487"/>
        <v>7</v>
      </c>
      <c r="DI263" s="87">
        <f t="shared" si="488"/>
        <v>6</v>
      </c>
      <c r="DJ263" s="87">
        <f t="shared" si="489"/>
        <v>5</v>
      </c>
      <c r="DK263" s="86">
        <f t="shared" si="490"/>
        <v>0</v>
      </c>
      <c r="DL263" s="87">
        <f t="shared" si="491"/>
        <v>0</v>
      </c>
      <c r="DM263" s="87">
        <f t="shared" si="492"/>
        <v>0</v>
      </c>
      <c r="DN263" s="87">
        <f t="shared" si="493"/>
        <v>0</v>
      </c>
      <c r="DO263" s="87">
        <f t="shared" si="494"/>
        <v>0</v>
      </c>
      <c r="DP263" s="87">
        <f t="shared" si="495"/>
        <v>0</v>
      </c>
      <c r="DQ263" s="87">
        <f t="shared" si="496"/>
        <v>0</v>
      </c>
      <c r="DR263" s="87">
        <f t="shared" si="439"/>
        <v>0</v>
      </c>
      <c r="DS263" s="87">
        <f t="shared" si="440"/>
        <v>0</v>
      </c>
      <c r="DT263" s="87">
        <f t="shared" si="497"/>
        <v>0</v>
      </c>
      <c r="DU263" s="87">
        <f t="shared" si="498"/>
        <v>0</v>
      </c>
      <c r="DV263" s="87">
        <f t="shared" si="499"/>
        <v>0</v>
      </c>
      <c r="DW263" s="87">
        <f t="shared" si="500"/>
        <v>0</v>
      </c>
    </row>
    <row r="264" spans="1:127">
      <c r="A264" s="22" t="s">
        <v>22</v>
      </c>
      <c r="B264" s="26">
        <v>4987176181282</v>
      </c>
      <c r="C264" s="22" t="s">
        <v>116</v>
      </c>
      <c r="D264" s="22" t="s">
        <v>120</v>
      </c>
      <c r="E264" s="22">
        <v>192531</v>
      </c>
      <c r="F264" s="80" t="s">
        <v>356</v>
      </c>
      <c r="G264" s="25">
        <v>250.70000000000002</v>
      </c>
      <c r="H264" s="85">
        <f t="shared" si="441"/>
        <v>0</v>
      </c>
      <c r="I264" s="85">
        <f t="shared" si="442"/>
        <v>0</v>
      </c>
      <c r="J264" s="85">
        <f t="shared" si="443"/>
        <v>501.40000000000003</v>
      </c>
      <c r="K264" s="85">
        <f t="shared" si="444"/>
        <v>0</v>
      </c>
      <c r="L264" s="85">
        <f t="shared" si="445"/>
        <v>0</v>
      </c>
      <c r="M264" s="86">
        <f t="shared" si="446"/>
        <v>0</v>
      </c>
      <c r="N264" s="87">
        <f t="shared" si="447"/>
        <v>0</v>
      </c>
      <c r="O264" s="87">
        <f t="shared" si="448"/>
        <v>0</v>
      </c>
      <c r="P264" s="87">
        <f t="shared" si="449"/>
        <v>0</v>
      </c>
      <c r="Q264" s="87">
        <f t="shared" si="450"/>
        <v>0</v>
      </c>
      <c r="R264" s="87">
        <f t="shared" si="451"/>
        <v>0</v>
      </c>
      <c r="S264" s="87">
        <f t="shared" si="452"/>
        <v>0</v>
      </c>
      <c r="T264" s="87">
        <f t="shared" si="453"/>
        <v>0</v>
      </c>
      <c r="U264" s="87">
        <f t="shared" si="454"/>
        <v>0</v>
      </c>
      <c r="V264" s="87">
        <f t="shared" si="455"/>
        <v>0</v>
      </c>
      <c r="W264" s="87">
        <f t="shared" si="456"/>
        <v>0</v>
      </c>
      <c r="X264" s="87">
        <f t="shared" si="457"/>
        <v>0</v>
      </c>
      <c r="Y264" s="86">
        <f t="shared" si="458"/>
        <v>0</v>
      </c>
      <c r="Z264" s="87">
        <f t="shared" si="459"/>
        <v>0</v>
      </c>
      <c r="AA264" s="87">
        <f t="shared" si="460"/>
        <v>0</v>
      </c>
      <c r="AB264" s="87">
        <f t="shared" si="461"/>
        <v>0</v>
      </c>
      <c r="AC264" s="87">
        <f t="shared" si="462"/>
        <v>0</v>
      </c>
      <c r="AD264" s="87">
        <f t="shared" si="463"/>
        <v>0</v>
      </c>
      <c r="AE264" s="87">
        <f t="shared" si="464"/>
        <v>0</v>
      </c>
      <c r="AF264" s="87">
        <f t="shared" si="465"/>
        <v>0</v>
      </c>
      <c r="AG264" s="87">
        <f t="shared" si="466"/>
        <v>0</v>
      </c>
      <c r="AH264" s="87">
        <f t="shared" si="467"/>
        <v>0</v>
      </c>
      <c r="AI264" s="87">
        <f t="shared" si="468"/>
        <v>0</v>
      </c>
      <c r="AJ264" s="87">
        <f t="shared" si="469"/>
        <v>0</v>
      </c>
      <c r="AK264" s="86">
        <f t="shared" si="470"/>
        <v>0</v>
      </c>
      <c r="AL264" s="85">
        <v>0</v>
      </c>
      <c r="AM264" s="85">
        <v>0</v>
      </c>
      <c r="AN264" s="85">
        <v>2</v>
      </c>
      <c r="AO264" s="85">
        <v>0</v>
      </c>
      <c r="AP264" s="85">
        <v>0</v>
      </c>
      <c r="AQ264" s="86">
        <v>0</v>
      </c>
      <c r="AR264" s="87">
        <v>0</v>
      </c>
      <c r="AS264" s="87">
        <v>0</v>
      </c>
      <c r="AT264" s="87">
        <v>0</v>
      </c>
      <c r="AU264" s="87">
        <v>0</v>
      </c>
      <c r="AV264" s="87">
        <v>0</v>
      </c>
      <c r="AW264" s="87">
        <v>0</v>
      </c>
      <c r="AX264" s="87">
        <v>0</v>
      </c>
      <c r="AY264" s="87">
        <v>0</v>
      </c>
      <c r="AZ264" s="87">
        <v>0</v>
      </c>
      <c r="BA264" s="87">
        <v>0</v>
      </c>
      <c r="BB264" s="87">
        <v>0</v>
      </c>
      <c r="BC264" s="86">
        <v>0</v>
      </c>
      <c r="BD264" s="87">
        <v>0</v>
      </c>
      <c r="BE264" s="87">
        <v>0</v>
      </c>
      <c r="BF264" s="87">
        <v>0</v>
      </c>
      <c r="BG264" s="87">
        <v>0</v>
      </c>
      <c r="BH264" s="87">
        <v>0</v>
      </c>
      <c r="BI264" s="87">
        <v>0</v>
      </c>
      <c r="BJ264" s="40">
        <v>0</v>
      </c>
      <c r="BK264" s="40">
        <v>0</v>
      </c>
      <c r="BL264" s="40">
        <v>0</v>
      </c>
      <c r="BM264" s="40" t="s">
        <v>768</v>
      </c>
      <c r="BN264" s="87"/>
      <c r="BO264" s="86"/>
      <c r="BP264" s="21">
        <v>0</v>
      </c>
      <c r="BQ264" s="21">
        <v>0</v>
      </c>
      <c r="BR264" s="21">
        <v>0</v>
      </c>
      <c r="BS264" s="21">
        <v>0</v>
      </c>
      <c r="BT264" s="21">
        <v>0</v>
      </c>
      <c r="BU264" s="42">
        <v>0</v>
      </c>
      <c r="BV264" s="21">
        <v>0</v>
      </c>
      <c r="BW264" s="21">
        <v>0</v>
      </c>
      <c r="BX264" s="21">
        <v>0</v>
      </c>
      <c r="BY264" s="21">
        <v>0</v>
      </c>
      <c r="BZ264" s="21">
        <v>0</v>
      </c>
      <c r="CA264" s="21">
        <v>0</v>
      </c>
      <c r="CB264" s="21">
        <v>0</v>
      </c>
      <c r="CC264" s="21">
        <v>0</v>
      </c>
      <c r="CD264" s="21">
        <v>0</v>
      </c>
      <c r="CE264" s="21">
        <v>0</v>
      </c>
      <c r="CF264" s="21">
        <v>0</v>
      </c>
      <c r="CG264" s="42">
        <v>0</v>
      </c>
      <c r="CH264" s="21">
        <v>0</v>
      </c>
      <c r="CI264" s="21">
        <v>0</v>
      </c>
      <c r="CJ264" s="21">
        <v>0</v>
      </c>
      <c r="CK264" s="21">
        <v>0</v>
      </c>
      <c r="CL264" s="21">
        <v>0</v>
      </c>
      <c r="CM264" s="21">
        <v>0</v>
      </c>
      <c r="CN264" s="21">
        <v>0</v>
      </c>
      <c r="CO264" s="21">
        <v>0</v>
      </c>
      <c r="CP264" s="21">
        <f t="shared" si="471"/>
        <v>0</v>
      </c>
      <c r="CQ264" s="344">
        <f t="shared" si="472"/>
        <v>0</v>
      </c>
      <c r="CR264" s="87"/>
      <c r="CS264" s="86"/>
      <c r="CT264" s="85">
        <f t="shared" si="473"/>
        <v>0</v>
      </c>
      <c r="CU264" s="85">
        <f t="shared" si="474"/>
        <v>0</v>
      </c>
      <c r="CV264" s="85">
        <f t="shared" si="475"/>
        <v>2</v>
      </c>
      <c r="CW264" s="85">
        <f t="shared" si="476"/>
        <v>0</v>
      </c>
      <c r="CX264" s="85">
        <f t="shared" si="477"/>
        <v>0</v>
      </c>
      <c r="CY264" s="86">
        <f t="shared" si="478"/>
        <v>0</v>
      </c>
      <c r="CZ264" s="87">
        <f t="shared" si="479"/>
        <v>0</v>
      </c>
      <c r="DA264" s="87">
        <f t="shared" si="480"/>
        <v>0</v>
      </c>
      <c r="DB264" s="87">
        <f t="shared" si="481"/>
        <v>0</v>
      </c>
      <c r="DC264" s="87">
        <f t="shared" si="482"/>
        <v>0</v>
      </c>
      <c r="DD264" s="87">
        <f t="shared" si="483"/>
        <v>0</v>
      </c>
      <c r="DE264" s="87">
        <f t="shared" si="484"/>
        <v>0</v>
      </c>
      <c r="DF264" s="87">
        <f t="shared" si="485"/>
        <v>0</v>
      </c>
      <c r="DG264" s="87">
        <f t="shared" si="486"/>
        <v>0</v>
      </c>
      <c r="DH264" s="87">
        <f t="shared" si="487"/>
        <v>0</v>
      </c>
      <c r="DI264" s="87">
        <f t="shared" si="488"/>
        <v>0</v>
      </c>
      <c r="DJ264" s="87">
        <f t="shared" si="489"/>
        <v>0</v>
      </c>
      <c r="DK264" s="86">
        <f t="shared" si="490"/>
        <v>0</v>
      </c>
      <c r="DL264" s="87">
        <f t="shared" si="491"/>
        <v>0</v>
      </c>
      <c r="DM264" s="87">
        <f t="shared" si="492"/>
        <v>0</v>
      </c>
      <c r="DN264" s="87">
        <f t="shared" si="493"/>
        <v>0</v>
      </c>
      <c r="DO264" s="87">
        <f t="shared" si="494"/>
        <v>0</v>
      </c>
      <c r="DP264" s="87">
        <f t="shared" si="495"/>
        <v>0</v>
      </c>
      <c r="DQ264" s="87">
        <f t="shared" si="496"/>
        <v>0</v>
      </c>
      <c r="DR264" s="87">
        <f t="shared" si="439"/>
        <v>0</v>
      </c>
      <c r="DS264" s="87">
        <f t="shared" si="440"/>
        <v>0</v>
      </c>
      <c r="DT264" s="87">
        <f t="shared" si="497"/>
        <v>0</v>
      </c>
      <c r="DU264" s="87">
        <f t="shared" si="498"/>
        <v>0</v>
      </c>
      <c r="DV264" s="87">
        <f t="shared" si="499"/>
        <v>0</v>
      </c>
      <c r="DW264" s="87">
        <f t="shared" si="500"/>
        <v>0</v>
      </c>
    </row>
    <row r="265" spans="1:127">
      <c r="A265" s="22" t="s">
        <v>22</v>
      </c>
      <c r="B265" s="26">
        <v>4210201359708</v>
      </c>
      <c r="C265" s="22" t="s">
        <v>117</v>
      </c>
      <c r="D265" s="22" t="s">
        <v>24</v>
      </c>
      <c r="E265" s="22">
        <v>559384</v>
      </c>
      <c r="F265" s="80" t="s">
        <v>357</v>
      </c>
      <c r="G265" s="25">
        <v>169.83</v>
      </c>
      <c r="H265" s="85">
        <f t="shared" si="441"/>
        <v>0</v>
      </c>
      <c r="I265" s="85">
        <f t="shared" si="442"/>
        <v>0</v>
      </c>
      <c r="J265" s="85">
        <f t="shared" si="443"/>
        <v>0</v>
      </c>
      <c r="K265" s="85">
        <f t="shared" si="444"/>
        <v>0</v>
      </c>
      <c r="L265" s="85">
        <f t="shared" si="445"/>
        <v>169.83</v>
      </c>
      <c r="M265" s="86">
        <f t="shared" si="446"/>
        <v>0</v>
      </c>
      <c r="N265" s="87">
        <f t="shared" si="447"/>
        <v>0</v>
      </c>
      <c r="O265" s="87">
        <f t="shared" si="448"/>
        <v>0</v>
      </c>
      <c r="P265" s="87">
        <f t="shared" si="449"/>
        <v>169.83</v>
      </c>
      <c r="Q265" s="87">
        <f t="shared" si="450"/>
        <v>0</v>
      </c>
      <c r="R265" s="87">
        <f t="shared" si="451"/>
        <v>169.83</v>
      </c>
      <c r="S265" s="87">
        <f t="shared" si="452"/>
        <v>0</v>
      </c>
      <c r="T265" s="87">
        <f t="shared" si="453"/>
        <v>0</v>
      </c>
      <c r="U265" s="87">
        <f t="shared" si="454"/>
        <v>0</v>
      </c>
      <c r="V265" s="87">
        <f t="shared" si="455"/>
        <v>0</v>
      </c>
      <c r="W265" s="87">
        <f t="shared" si="456"/>
        <v>0</v>
      </c>
      <c r="X265" s="87">
        <f t="shared" si="457"/>
        <v>0</v>
      </c>
      <c r="Y265" s="86">
        <f t="shared" si="458"/>
        <v>0</v>
      </c>
      <c r="Z265" s="87">
        <f t="shared" si="459"/>
        <v>0</v>
      </c>
      <c r="AA265" s="87">
        <f t="shared" si="460"/>
        <v>0</v>
      </c>
      <c r="AB265" s="87">
        <f t="shared" si="461"/>
        <v>0</v>
      </c>
      <c r="AC265" s="87">
        <f t="shared" si="462"/>
        <v>0</v>
      </c>
      <c r="AD265" s="87">
        <f t="shared" si="463"/>
        <v>0</v>
      </c>
      <c r="AE265" s="87">
        <f t="shared" si="464"/>
        <v>0</v>
      </c>
      <c r="AF265" s="87">
        <f t="shared" si="465"/>
        <v>0</v>
      </c>
      <c r="AG265" s="87">
        <f t="shared" si="466"/>
        <v>0</v>
      </c>
      <c r="AH265" s="87">
        <f t="shared" si="467"/>
        <v>0</v>
      </c>
      <c r="AI265" s="87">
        <f t="shared" si="468"/>
        <v>0</v>
      </c>
      <c r="AJ265" s="87">
        <f t="shared" si="469"/>
        <v>0</v>
      </c>
      <c r="AK265" s="86">
        <f t="shared" si="470"/>
        <v>0</v>
      </c>
      <c r="AL265" s="85">
        <v>0</v>
      </c>
      <c r="AM265" s="85">
        <v>0</v>
      </c>
      <c r="AN265" s="85">
        <v>0</v>
      </c>
      <c r="AO265" s="85">
        <v>0</v>
      </c>
      <c r="AP265" s="85">
        <v>1</v>
      </c>
      <c r="AQ265" s="86">
        <v>0</v>
      </c>
      <c r="AR265" s="87">
        <v>0</v>
      </c>
      <c r="AS265" s="87">
        <v>0</v>
      </c>
      <c r="AT265" s="87">
        <v>1</v>
      </c>
      <c r="AU265" s="87">
        <v>0</v>
      </c>
      <c r="AV265" s="87">
        <v>1</v>
      </c>
      <c r="AW265" s="87">
        <v>0</v>
      </c>
      <c r="AX265" s="87">
        <v>0</v>
      </c>
      <c r="AY265" s="87">
        <v>0</v>
      </c>
      <c r="AZ265" s="87">
        <v>0</v>
      </c>
      <c r="BA265" s="87">
        <v>0</v>
      </c>
      <c r="BB265" s="87">
        <v>0</v>
      </c>
      <c r="BC265" s="86">
        <v>0</v>
      </c>
      <c r="BD265" s="87">
        <v>0</v>
      </c>
      <c r="BE265" s="87">
        <v>0</v>
      </c>
      <c r="BF265" s="87">
        <v>0</v>
      </c>
      <c r="BG265" s="87">
        <v>0</v>
      </c>
      <c r="BH265" s="87">
        <v>0</v>
      </c>
      <c r="BI265" s="87">
        <v>0</v>
      </c>
      <c r="BJ265" s="40">
        <v>0</v>
      </c>
      <c r="BK265" s="40">
        <v>0</v>
      </c>
      <c r="BL265" s="40">
        <v>0</v>
      </c>
      <c r="BM265" s="40">
        <v>0</v>
      </c>
      <c r="BN265" s="87"/>
      <c r="BO265" s="86"/>
      <c r="BP265" s="21">
        <v>0</v>
      </c>
      <c r="BQ265" s="21">
        <v>0</v>
      </c>
      <c r="BR265" s="21">
        <v>0</v>
      </c>
      <c r="BS265" s="21">
        <v>0</v>
      </c>
      <c r="BT265" s="21">
        <v>0</v>
      </c>
      <c r="BU265" s="42">
        <v>0</v>
      </c>
      <c r="BV265" s="21">
        <v>0</v>
      </c>
      <c r="BW265" s="21">
        <v>0</v>
      </c>
      <c r="BX265" s="21">
        <v>0</v>
      </c>
      <c r="BY265" s="21">
        <v>0</v>
      </c>
      <c r="BZ265" s="21">
        <v>0</v>
      </c>
      <c r="CA265" s="21">
        <v>0</v>
      </c>
      <c r="CB265" s="21">
        <v>0</v>
      </c>
      <c r="CC265" s="21">
        <v>0</v>
      </c>
      <c r="CD265" s="21">
        <v>0</v>
      </c>
      <c r="CE265" s="21">
        <v>0</v>
      </c>
      <c r="CF265" s="21">
        <v>0</v>
      </c>
      <c r="CG265" s="42">
        <v>0</v>
      </c>
      <c r="CH265" s="21">
        <v>0</v>
      </c>
      <c r="CI265" s="21">
        <v>0</v>
      </c>
      <c r="CJ265" s="21">
        <v>0</v>
      </c>
      <c r="CK265" s="21">
        <v>0</v>
      </c>
      <c r="CL265" s="21">
        <v>0</v>
      </c>
      <c r="CM265" s="21">
        <v>0</v>
      </c>
      <c r="CN265" s="21">
        <v>0</v>
      </c>
      <c r="CO265" s="21">
        <v>0</v>
      </c>
      <c r="CP265" s="21">
        <f t="shared" si="471"/>
        <v>0</v>
      </c>
      <c r="CQ265" s="344">
        <f t="shared" si="472"/>
        <v>0</v>
      </c>
      <c r="CR265" s="87"/>
      <c r="CS265" s="86"/>
      <c r="CT265" s="85">
        <f t="shared" si="473"/>
        <v>0</v>
      </c>
      <c r="CU265" s="85">
        <f t="shared" si="474"/>
        <v>0</v>
      </c>
      <c r="CV265" s="85">
        <f t="shared" si="475"/>
        <v>0</v>
      </c>
      <c r="CW265" s="85">
        <f t="shared" si="476"/>
        <v>0</v>
      </c>
      <c r="CX265" s="85">
        <f t="shared" si="477"/>
        <v>1</v>
      </c>
      <c r="CY265" s="86">
        <f t="shared" si="478"/>
        <v>0</v>
      </c>
      <c r="CZ265" s="87">
        <f t="shared" si="479"/>
        <v>0</v>
      </c>
      <c r="DA265" s="87">
        <f t="shared" si="480"/>
        <v>0</v>
      </c>
      <c r="DB265" s="87">
        <f t="shared" si="481"/>
        <v>1</v>
      </c>
      <c r="DC265" s="87">
        <f t="shared" si="482"/>
        <v>0</v>
      </c>
      <c r="DD265" s="87">
        <f t="shared" si="483"/>
        <v>1</v>
      </c>
      <c r="DE265" s="87">
        <f t="shared" si="484"/>
        <v>0</v>
      </c>
      <c r="DF265" s="87">
        <f t="shared" si="485"/>
        <v>0</v>
      </c>
      <c r="DG265" s="87">
        <f t="shared" si="486"/>
        <v>0</v>
      </c>
      <c r="DH265" s="87">
        <f t="shared" si="487"/>
        <v>0</v>
      </c>
      <c r="DI265" s="87">
        <f t="shared" si="488"/>
        <v>0</v>
      </c>
      <c r="DJ265" s="87">
        <f t="shared" si="489"/>
        <v>0</v>
      </c>
      <c r="DK265" s="86">
        <f t="shared" si="490"/>
        <v>0</v>
      </c>
      <c r="DL265" s="87">
        <f t="shared" si="491"/>
        <v>0</v>
      </c>
      <c r="DM265" s="87">
        <f t="shared" si="492"/>
        <v>0</v>
      </c>
      <c r="DN265" s="87">
        <f t="shared" si="493"/>
        <v>0</v>
      </c>
      <c r="DO265" s="87">
        <f t="shared" si="494"/>
        <v>0</v>
      </c>
      <c r="DP265" s="87">
        <f t="shared" si="495"/>
        <v>0</v>
      </c>
      <c r="DQ265" s="87">
        <f t="shared" si="496"/>
        <v>0</v>
      </c>
      <c r="DR265" s="87">
        <f t="shared" si="439"/>
        <v>0</v>
      </c>
      <c r="DS265" s="87">
        <f t="shared" si="440"/>
        <v>0</v>
      </c>
      <c r="DT265" s="87">
        <f t="shared" si="497"/>
        <v>0</v>
      </c>
      <c r="DU265" s="87">
        <f t="shared" si="498"/>
        <v>0</v>
      </c>
      <c r="DV265" s="87">
        <f t="shared" si="499"/>
        <v>0</v>
      </c>
      <c r="DW265" s="87">
        <f t="shared" si="500"/>
        <v>0</v>
      </c>
    </row>
    <row r="266" spans="1:127">
      <c r="A266" s="22" t="s">
        <v>22</v>
      </c>
      <c r="B266" s="26">
        <v>4210201819509</v>
      </c>
      <c r="C266" s="22" t="s">
        <v>117</v>
      </c>
      <c r="D266" s="22" t="s">
        <v>24</v>
      </c>
      <c r="E266" s="22">
        <v>879190</v>
      </c>
      <c r="F266" s="80" t="s">
        <v>358</v>
      </c>
      <c r="G266" s="25">
        <v>301.02999999999997</v>
      </c>
      <c r="H266" s="85">
        <f t="shared" si="441"/>
        <v>58098.789999999994</v>
      </c>
      <c r="I266" s="85">
        <f t="shared" si="442"/>
        <v>61410.119999999995</v>
      </c>
      <c r="J266" s="85">
        <f t="shared" si="443"/>
        <v>77966.76999999999</v>
      </c>
      <c r="K266" s="85">
        <f t="shared" si="444"/>
        <v>102049.16999999998</v>
      </c>
      <c r="L266" s="85">
        <f t="shared" si="445"/>
        <v>86997.67</v>
      </c>
      <c r="M266" s="86">
        <f t="shared" si="446"/>
        <v>58399.819999999992</v>
      </c>
      <c r="N266" s="87">
        <f t="shared" si="447"/>
        <v>45455.53</v>
      </c>
      <c r="O266" s="87">
        <f t="shared" si="448"/>
        <v>80073.98</v>
      </c>
      <c r="P266" s="87">
        <f t="shared" si="449"/>
        <v>48164.799999999996</v>
      </c>
      <c r="Q266" s="87">
        <f t="shared" si="450"/>
        <v>50573.039999999994</v>
      </c>
      <c r="R266" s="87">
        <f t="shared" si="451"/>
        <v>55389.52</v>
      </c>
      <c r="S266" s="87">
        <f t="shared" si="452"/>
        <v>45154.499999999993</v>
      </c>
      <c r="T266" s="87">
        <f t="shared" si="453"/>
        <v>53583.34</v>
      </c>
      <c r="U266" s="87">
        <f t="shared" si="454"/>
        <v>50874.069999999992</v>
      </c>
      <c r="V266" s="87">
        <f t="shared" si="455"/>
        <v>43348.319999999992</v>
      </c>
      <c r="W266" s="87">
        <f t="shared" si="456"/>
        <v>67731.75</v>
      </c>
      <c r="X266" s="87">
        <f t="shared" si="457"/>
        <v>125830.54</v>
      </c>
      <c r="Y266" s="86">
        <f t="shared" si="458"/>
        <v>86696.639999999985</v>
      </c>
      <c r="Z266" s="87">
        <f t="shared" si="459"/>
        <v>108671.82999999999</v>
      </c>
      <c r="AA266" s="87">
        <f t="shared" si="460"/>
        <v>57797.759999999995</v>
      </c>
      <c r="AB266" s="87">
        <f t="shared" si="461"/>
        <v>41241.109999999993</v>
      </c>
      <c r="AC266" s="87">
        <f t="shared" si="462"/>
        <v>49067.889999999992</v>
      </c>
      <c r="AD266" s="87">
        <f t="shared" si="463"/>
        <v>39735.96</v>
      </c>
      <c r="AE266" s="87">
        <f t="shared" si="464"/>
        <v>32210.209999999995</v>
      </c>
      <c r="AF266" s="87">
        <f t="shared" si="465"/>
        <v>17459.739999999998</v>
      </c>
      <c r="AG266" s="87">
        <f t="shared" si="466"/>
        <v>16255.619999999999</v>
      </c>
      <c r="AH266" s="87">
        <f t="shared" si="467"/>
        <v>5117.5099999999993</v>
      </c>
      <c r="AI266" s="87">
        <f t="shared" si="468"/>
        <v>13646.693333333333</v>
      </c>
      <c r="AJ266" s="87">
        <f t="shared" si="469"/>
        <v>0</v>
      </c>
      <c r="AK266" s="86">
        <f t="shared" si="470"/>
        <v>0</v>
      </c>
      <c r="AL266" s="85">
        <v>172</v>
      </c>
      <c r="AM266" s="85">
        <v>188</v>
      </c>
      <c r="AN266" s="85">
        <v>231</v>
      </c>
      <c r="AO266" s="85">
        <v>296</v>
      </c>
      <c r="AP266" s="85">
        <v>257</v>
      </c>
      <c r="AQ266" s="86">
        <v>168</v>
      </c>
      <c r="AR266" s="87">
        <v>139</v>
      </c>
      <c r="AS266" s="87">
        <v>221</v>
      </c>
      <c r="AT266" s="87">
        <v>139</v>
      </c>
      <c r="AU266" s="87">
        <v>152</v>
      </c>
      <c r="AV266" s="87">
        <v>158</v>
      </c>
      <c r="AW266" s="87">
        <v>144</v>
      </c>
      <c r="AX266" s="87">
        <v>164</v>
      </c>
      <c r="AY266" s="87">
        <v>156</v>
      </c>
      <c r="AZ266" s="87">
        <v>137</v>
      </c>
      <c r="BA266" s="87">
        <v>181</v>
      </c>
      <c r="BB266" s="87">
        <v>341</v>
      </c>
      <c r="BC266" s="86">
        <v>220</v>
      </c>
      <c r="BD266" s="87">
        <v>322</v>
      </c>
      <c r="BE266" s="87">
        <v>192</v>
      </c>
      <c r="BF266" s="87">
        <v>137</v>
      </c>
      <c r="BG266" s="87">
        <v>163</v>
      </c>
      <c r="BH266" s="87">
        <v>132</v>
      </c>
      <c r="BI266" s="87">
        <v>107</v>
      </c>
      <c r="BJ266" s="40">
        <v>58</v>
      </c>
      <c r="BK266" s="40">
        <v>54</v>
      </c>
      <c r="BL266" s="40">
        <v>17</v>
      </c>
      <c r="BM266" s="40">
        <v>41</v>
      </c>
      <c r="BN266" s="87"/>
      <c r="BO266" s="86"/>
      <c r="BP266" s="21">
        <v>21</v>
      </c>
      <c r="BQ266" s="21">
        <v>16</v>
      </c>
      <c r="BR266" s="21">
        <v>28</v>
      </c>
      <c r="BS266" s="21">
        <v>43</v>
      </c>
      <c r="BT266" s="21">
        <v>32</v>
      </c>
      <c r="BU266" s="42">
        <v>26</v>
      </c>
      <c r="BV266" s="21">
        <v>12</v>
      </c>
      <c r="BW266" s="21">
        <v>45</v>
      </c>
      <c r="BX266" s="21">
        <v>21</v>
      </c>
      <c r="BY266" s="21">
        <v>16</v>
      </c>
      <c r="BZ266" s="21">
        <v>26</v>
      </c>
      <c r="CA266" s="21">
        <v>6</v>
      </c>
      <c r="CB266" s="21">
        <v>14</v>
      </c>
      <c r="CC266" s="21">
        <v>13</v>
      </c>
      <c r="CD266" s="21">
        <v>7</v>
      </c>
      <c r="CE266" s="21">
        <v>44</v>
      </c>
      <c r="CF266" s="21">
        <v>77</v>
      </c>
      <c r="CG266" s="42">
        <v>68</v>
      </c>
      <c r="CH266" s="21">
        <v>39</v>
      </c>
      <c r="CI266" s="21">
        <v>0</v>
      </c>
      <c r="CJ266" s="21">
        <v>0</v>
      </c>
      <c r="CK266" s="21">
        <v>0</v>
      </c>
      <c r="CL266" s="21">
        <v>0</v>
      </c>
      <c r="CM266" s="21">
        <v>0</v>
      </c>
      <c r="CN266" s="21">
        <v>0</v>
      </c>
      <c r="CO266" s="21">
        <v>0</v>
      </c>
      <c r="CP266" s="21">
        <f t="shared" si="471"/>
        <v>0</v>
      </c>
      <c r="CQ266" s="344">
        <f t="shared" si="472"/>
        <v>4.333333333333333</v>
      </c>
      <c r="CR266" s="87"/>
      <c r="CS266" s="86"/>
      <c r="CT266" s="85">
        <f t="shared" si="473"/>
        <v>193</v>
      </c>
      <c r="CU266" s="85">
        <f t="shared" si="474"/>
        <v>204</v>
      </c>
      <c r="CV266" s="85">
        <f t="shared" si="475"/>
        <v>259</v>
      </c>
      <c r="CW266" s="85">
        <f t="shared" si="476"/>
        <v>339</v>
      </c>
      <c r="CX266" s="85">
        <f t="shared" si="477"/>
        <v>289</v>
      </c>
      <c r="CY266" s="86">
        <f t="shared" si="478"/>
        <v>194</v>
      </c>
      <c r="CZ266" s="87">
        <f t="shared" si="479"/>
        <v>151</v>
      </c>
      <c r="DA266" s="87">
        <f t="shared" si="480"/>
        <v>266</v>
      </c>
      <c r="DB266" s="87">
        <f t="shared" si="481"/>
        <v>160</v>
      </c>
      <c r="DC266" s="87">
        <f t="shared" si="482"/>
        <v>168</v>
      </c>
      <c r="DD266" s="87">
        <f t="shared" si="483"/>
        <v>184</v>
      </c>
      <c r="DE266" s="87">
        <f t="shared" si="484"/>
        <v>150</v>
      </c>
      <c r="DF266" s="87">
        <f t="shared" si="485"/>
        <v>178</v>
      </c>
      <c r="DG266" s="87">
        <f t="shared" si="486"/>
        <v>169</v>
      </c>
      <c r="DH266" s="87">
        <f t="shared" si="487"/>
        <v>144</v>
      </c>
      <c r="DI266" s="87">
        <f t="shared" si="488"/>
        <v>225</v>
      </c>
      <c r="DJ266" s="87">
        <f t="shared" si="489"/>
        <v>418</v>
      </c>
      <c r="DK266" s="86">
        <f t="shared" si="490"/>
        <v>288</v>
      </c>
      <c r="DL266" s="87">
        <f t="shared" si="491"/>
        <v>361</v>
      </c>
      <c r="DM266" s="87">
        <f t="shared" si="492"/>
        <v>192</v>
      </c>
      <c r="DN266" s="87">
        <f t="shared" si="493"/>
        <v>137</v>
      </c>
      <c r="DO266" s="87">
        <f t="shared" si="494"/>
        <v>163</v>
      </c>
      <c r="DP266" s="87">
        <f t="shared" si="495"/>
        <v>132</v>
      </c>
      <c r="DQ266" s="87">
        <f t="shared" si="496"/>
        <v>107</v>
      </c>
      <c r="DR266" s="87">
        <f t="shared" si="439"/>
        <v>58</v>
      </c>
      <c r="DS266" s="87">
        <f t="shared" si="440"/>
        <v>54</v>
      </c>
      <c r="DT266" s="87">
        <f t="shared" si="497"/>
        <v>17</v>
      </c>
      <c r="DU266" s="87">
        <f t="shared" si="498"/>
        <v>45.333333333333336</v>
      </c>
      <c r="DV266" s="87">
        <f t="shared" si="499"/>
        <v>0</v>
      </c>
      <c r="DW266" s="87">
        <f t="shared" si="500"/>
        <v>0</v>
      </c>
    </row>
    <row r="267" spans="1:127">
      <c r="A267" s="22" t="s">
        <v>22</v>
      </c>
      <c r="B267" s="26">
        <v>4210201154730</v>
      </c>
      <c r="C267" s="22" t="s">
        <v>117</v>
      </c>
      <c r="D267" s="22" t="s">
        <v>24</v>
      </c>
      <c r="E267" s="22">
        <v>299453</v>
      </c>
      <c r="F267" s="80" t="s">
        <v>359</v>
      </c>
      <c r="G267" s="25">
        <v>270.32</v>
      </c>
      <c r="H267" s="85">
        <f t="shared" si="441"/>
        <v>30546.16</v>
      </c>
      <c r="I267" s="85">
        <f t="shared" si="442"/>
        <v>42169.919999999998</v>
      </c>
      <c r="J267" s="85">
        <f t="shared" si="443"/>
        <v>53253.04</v>
      </c>
      <c r="K267" s="85">
        <f t="shared" si="444"/>
        <v>69472.240000000005</v>
      </c>
      <c r="L267" s="85">
        <f t="shared" si="445"/>
        <v>57037.52</v>
      </c>
      <c r="M267" s="86">
        <f t="shared" si="446"/>
        <v>42440.24</v>
      </c>
      <c r="N267" s="87">
        <f t="shared" si="447"/>
        <v>33519.68</v>
      </c>
      <c r="O267" s="87">
        <f t="shared" si="448"/>
        <v>54064</v>
      </c>
      <c r="P267" s="87">
        <f t="shared" si="449"/>
        <v>30816.48</v>
      </c>
      <c r="Q267" s="87">
        <f t="shared" si="450"/>
        <v>30546.16</v>
      </c>
      <c r="R267" s="87">
        <f t="shared" si="451"/>
        <v>38655.760000000002</v>
      </c>
      <c r="S267" s="87">
        <f t="shared" si="452"/>
        <v>31627.439999999999</v>
      </c>
      <c r="T267" s="87">
        <f t="shared" si="453"/>
        <v>34060.32</v>
      </c>
      <c r="U267" s="87">
        <f t="shared" si="454"/>
        <v>36493.199999999997</v>
      </c>
      <c r="V267" s="87">
        <f t="shared" si="455"/>
        <v>35411.919999999998</v>
      </c>
      <c r="W267" s="87">
        <f t="shared" si="456"/>
        <v>27032</v>
      </c>
      <c r="X267" s="87">
        <f t="shared" si="457"/>
        <v>32168.079999999998</v>
      </c>
      <c r="Y267" s="86">
        <f t="shared" si="458"/>
        <v>27302.32</v>
      </c>
      <c r="Z267" s="87">
        <f t="shared" si="459"/>
        <v>27842.959999999999</v>
      </c>
      <c r="AA267" s="87">
        <f t="shared" si="460"/>
        <v>27032</v>
      </c>
      <c r="AB267" s="87">
        <f t="shared" si="461"/>
        <v>34600.959999999999</v>
      </c>
      <c r="AC267" s="87">
        <f t="shared" si="462"/>
        <v>48657.599999999999</v>
      </c>
      <c r="AD267" s="87">
        <f t="shared" si="463"/>
        <v>42169.919999999998</v>
      </c>
      <c r="AE267" s="87">
        <f t="shared" si="464"/>
        <v>66228.399999999994</v>
      </c>
      <c r="AF267" s="87">
        <f t="shared" si="465"/>
        <v>51360.799999999996</v>
      </c>
      <c r="AG267" s="87">
        <f t="shared" si="466"/>
        <v>59470.400000000001</v>
      </c>
      <c r="AH267" s="87">
        <f t="shared" si="467"/>
        <v>45413.760000000002</v>
      </c>
      <c r="AI267" s="87">
        <f t="shared" si="468"/>
        <v>56376.737777777773</v>
      </c>
      <c r="AJ267" s="87">
        <f t="shared" si="469"/>
        <v>0</v>
      </c>
      <c r="AK267" s="86">
        <f t="shared" si="470"/>
        <v>0</v>
      </c>
      <c r="AL267" s="85">
        <v>103</v>
      </c>
      <c r="AM267" s="85">
        <v>147</v>
      </c>
      <c r="AN267" s="85">
        <v>172</v>
      </c>
      <c r="AO267" s="85">
        <v>225</v>
      </c>
      <c r="AP267" s="85">
        <v>195</v>
      </c>
      <c r="AQ267" s="86">
        <v>133</v>
      </c>
      <c r="AR267" s="87">
        <v>113</v>
      </c>
      <c r="AS267" s="87">
        <v>174</v>
      </c>
      <c r="AT267" s="87">
        <v>102</v>
      </c>
      <c r="AU267" s="87">
        <v>104</v>
      </c>
      <c r="AV267" s="87">
        <v>119</v>
      </c>
      <c r="AW267" s="87">
        <v>113</v>
      </c>
      <c r="AX267" s="87">
        <v>121</v>
      </c>
      <c r="AY267" s="87">
        <v>126</v>
      </c>
      <c r="AZ267" s="87">
        <v>125</v>
      </c>
      <c r="BA267" s="87">
        <v>95</v>
      </c>
      <c r="BB267" s="87">
        <v>108</v>
      </c>
      <c r="BC267" s="86">
        <v>91</v>
      </c>
      <c r="BD267" s="87">
        <v>80</v>
      </c>
      <c r="BE267" s="87">
        <v>86</v>
      </c>
      <c r="BF267" s="87">
        <v>123</v>
      </c>
      <c r="BG267" s="87">
        <v>163</v>
      </c>
      <c r="BH267" s="87">
        <v>127</v>
      </c>
      <c r="BI267" s="87">
        <v>223</v>
      </c>
      <c r="BJ267" s="40">
        <v>181</v>
      </c>
      <c r="BK267" s="40">
        <v>214</v>
      </c>
      <c r="BL267" s="40">
        <v>162</v>
      </c>
      <c r="BM267" s="40">
        <v>194</v>
      </c>
      <c r="BN267" s="87"/>
      <c r="BO267" s="86"/>
      <c r="BP267" s="21">
        <v>10</v>
      </c>
      <c r="BQ267" s="21">
        <v>9</v>
      </c>
      <c r="BR267" s="21">
        <v>25</v>
      </c>
      <c r="BS267" s="21">
        <v>32</v>
      </c>
      <c r="BT267" s="21">
        <v>16</v>
      </c>
      <c r="BU267" s="42">
        <v>24</v>
      </c>
      <c r="BV267" s="21">
        <v>11</v>
      </c>
      <c r="BW267" s="21">
        <v>26</v>
      </c>
      <c r="BX267" s="21">
        <v>12</v>
      </c>
      <c r="BY267" s="21">
        <v>9</v>
      </c>
      <c r="BZ267" s="21">
        <v>24</v>
      </c>
      <c r="CA267" s="21">
        <v>4</v>
      </c>
      <c r="CB267" s="21">
        <v>5</v>
      </c>
      <c r="CC267" s="21">
        <v>9</v>
      </c>
      <c r="CD267" s="21">
        <v>6</v>
      </c>
      <c r="CE267" s="21">
        <v>5</v>
      </c>
      <c r="CF267" s="21">
        <v>11</v>
      </c>
      <c r="CG267" s="42">
        <v>10</v>
      </c>
      <c r="CH267" s="21">
        <v>23</v>
      </c>
      <c r="CI267" s="21">
        <v>14</v>
      </c>
      <c r="CJ267" s="21">
        <v>5</v>
      </c>
      <c r="CK267" s="21">
        <v>17</v>
      </c>
      <c r="CL267" s="21">
        <v>29</v>
      </c>
      <c r="CM267" s="21">
        <v>22</v>
      </c>
      <c r="CN267" s="21">
        <v>9</v>
      </c>
      <c r="CO267" s="21">
        <v>6</v>
      </c>
      <c r="CP267" s="21">
        <f t="shared" si="471"/>
        <v>6</v>
      </c>
      <c r="CQ267" s="344">
        <f t="shared" si="472"/>
        <v>14.555555555555555</v>
      </c>
      <c r="CR267" s="87"/>
      <c r="CS267" s="86"/>
      <c r="CT267" s="85">
        <f t="shared" si="473"/>
        <v>113</v>
      </c>
      <c r="CU267" s="85">
        <f t="shared" si="474"/>
        <v>156</v>
      </c>
      <c r="CV267" s="85">
        <f t="shared" si="475"/>
        <v>197</v>
      </c>
      <c r="CW267" s="85">
        <f t="shared" si="476"/>
        <v>257</v>
      </c>
      <c r="CX267" s="85">
        <f t="shared" si="477"/>
        <v>211</v>
      </c>
      <c r="CY267" s="86">
        <f t="shared" si="478"/>
        <v>157</v>
      </c>
      <c r="CZ267" s="87">
        <f t="shared" si="479"/>
        <v>124</v>
      </c>
      <c r="DA267" s="87">
        <f t="shared" si="480"/>
        <v>200</v>
      </c>
      <c r="DB267" s="87">
        <f t="shared" si="481"/>
        <v>114</v>
      </c>
      <c r="DC267" s="87">
        <f t="shared" si="482"/>
        <v>113</v>
      </c>
      <c r="DD267" s="87">
        <f t="shared" si="483"/>
        <v>143</v>
      </c>
      <c r="DE267" s="87">
        <f t="shared" si="484"/>
        <v>117</v>
      </c>
      <c r="DF267" s="87">
        <f t="shared" si="485"/>
        <v>126</v>
      </c>
      <c r="DG267" s="87">
        <f t="shared" si="486"/>
        <v>135</v>
      </c>
      <c r="DH267" s="87">
        <f t="shared" si="487"/>
        <v>131</v>
      </c>
      <c r="DI267" s="87">
        <f t="shared" si="488"/>
        <v>100</v>
      </c>
      <c r="DJ267" s="87">
        <f t="shared" si="489"/>
        <v>119</v>
      </c>
      <c r="DK267" s="86">
        <f t="shared" si="490"/>
        <v>101</v>
      </c>
      <c r="DL267" s="87">
        <f t="shared" si="491"/>
        <v>103</v>
      </c>
      <c r="DM267" s="87">
        <f t="shared" si="492"/>
        <v>100</v>
      </c>
      <c r="DN267" s="87">
        <f t="shared" si="493"/>
        <v>128</v>
      </c>
      <c r="DO267" s="87">
        <f t="shared" si="494"/>
        <v>180</v>
      </c>
      <c r="DP267" s="87">
        <f t="shared" si="495"/>
        <v>156</v>
      </c>
      <c r="DQ267" s="87">
        <f t="shared" si="496"/>
        <v>245</v>
      </c>
      <c r="DR267" s="87">
        <f t="shared" si="439"/>
        <v>190</v>
      </c>
      <c r="DS267" s="87">
        <f t="shared" si="440"/>
        <v>220</v>
      </c>
      <c r="DT267" s="87">
        <f t="shared" si="497"/>
        <v>168</v>
      </c>
      <c r="DU267" s="87">
        <f t="shared" si="498"/>
        <v>208.55555555555554</v>
      </c>
      <c r="DV267" s="87">
        <f t="shared" si="499"/>
        <v>0</v>
      </c>
      <c r="DW267" s="87">
        <f t="shared" si="500"/>
        <v>0</v>
      </c>
    </row>
    <row r="268" spans="1:127">
      <c r="A268" s="22" t="s">
        <v>22</v>
      </c>
      <c r="B268" s="26">
        <v>4210201848233</v>
      </c>
      <c r="C268" s="22" t="s">
        <v>117</v>
      </c>
      <c r="D268" s="22" t="s">
        <v>24</v>
      </c>
      <c r="E268" s="22">
        <v>57840</v>
      </c>
      <c r="F268" s="80" t="s">
        <v>360</v>
      </c>
      <c r="G268" s="25">
        <v>208.29</v>
      </c>
      <c r="H268" s="85">
        <f t="shared" si="441"/>
        <v>68110.83</v>
      </c>
      <c r="I268" s="85">
        <f t="shared" si="442"/>
        <v>90814.44</v>
      </c>
      <c r="J268" s="85">
        <f t="shared" si="443"/>
        <v>80191.649999999994</v>
      </c>
      <c r="K268" s="85">
        <f t="shared" si="444"/>
        <v>91231.01999999999</v>
      </c>
      <c r="L268" s="85">
        <f t="shared" si="445"/>
        <v>110393.7</v>
      </c>
      <c r="M268" s="86">
        <f t="shared" si="446"/>
        <v>82899.42</v>
      </c>
      <c r="N268" s="87">
        <f t="shared" si="447"/>
        <v>97479.72</v>
      </c>
      <c r="O268" s="87">
        <f t="shared" si="448"/>
        <v>106227.9</v>
      </c>
      <c r="P268" s="87">
        <f t="shared" si="449"/>
        <v>71860.05</v>
      </c>
      <c r="Q268" s="87">
        <f t="shared" si="450"/>
        <v>114559.5</v>
      </c>
      <c r="R268" s="87">
        <f t="shared" si="451"/>
        <v>85815.48</v>
      </c>
      <c r="S268" s="87">
        <f t="shared" si="452"/>
        <v>77067.3</v>
      </c>
      <c r="T268" s="87">
        <f t="shared" si="453"/>
        <v>89356.41</v>
      </c>
      <c r="U268" s="87">
        <f t="shared" si="454"/>
        <v>105811.31999999999</v>
      </c>
      <c r="V268" s="87">
        <f t="shared" si="455"/>
        <v>70402.02</v>
      </c>
      <c r="W268" s="87">
        <f t="shared" si="456"/>
        <v>43532.61</v>
      </c>
      <c r="X268" s="87">
        <f t="shared" si="457"/>
        <v>23328.48</v>
      </c>
      <c r="Y268" s="86">
        <f t="shared" si="458"/>
        <v>7706.73</v>
      </c>
      <c r="Z268" s="87">
        <f t="shared" si="459"/>
        <v>9164.76</v>
      </c>
      <c r="AA268" s="87">
        <f t="shared" si="460"/>
        <v>6248.7</v>
      </c>
      <c r="AB268" s="87">
        <f t="shared" si="461"/>
        <v>4165.8</v>
      </c>
      <c r="AC268" s="87">
        <f t="shared" si="462"/>
        <v>3540.93</v>
      </c>
      <c r="AD268" s="87">
        <f t="shared" si="463"/>
        <v>2707.77</v>
      </c>
      <c r="AE268" s="87">
        <f t="shared" si="464"/>
        <v>4998.96</v>
      </c>
      <c r="AF268" s="87">
        <f t="shared" si="465"/>
        <v>2082.9</v>
      </c>
      <c r="AG268" s="87">
        <f t="shared" si="466"/>
        <v>2707.77</v>
      </c>
      <c r="AH268" s="87">
        <f t="shared" si="467"/>
        <v>2082.9</v>
      </c>
      <c r="AI268" s="87">
        <f t="shared" si="468"/>
        <v>1666.32</v>
      </c>
      <c r="AJ268" s="87">
        <f t="shared" si="469"/>
        <v>0</v>
      </c>
      <c r="AK268" s="86">
        <f t="shared" si="470"/>
        <v>0</v>
      </c>
      <c r="AL268" s="85">
        <v>310</v>
      </c>
      <c r="AM268" s="85">
        <v>423</v>
      </c>
      <c r="AN268" s="85">
        <v>365</v>
      </c>
      <c r="AO268" s="85">
        <v>425</v>
      </c>
      <c r="AP268" s="85">
        <v>508</v>
      </c>
      <c r="AQ268" s="86">
        <v>369</v>
      </c>
      <c r="AR268" s="87">
        <v>433</v>
      </c>
      <c r="AS268" s="87">
        <v>483</v>
      </c>
      <c r="AT268" s="87">
        <v>327</v>
      </c>
      <c r="AU268" s="87">
        <v>487</v>
      </c>
      <c r="AV268" s="87">
        <v>369</v>
      </c>
      <c r="AW268" s="87">
        <v>354</v>
      </c>
      <c r="AX268" s="87">
        <v>421</v>
      </c>
      <c r="AY268" s="87">
        <v>484</v>
      </c>
      <c r="AZ268" s="87">
        <v>302</v>
      </c>
      <c r="BA268" s="87">
        <v>208</v>
      </c>
      <c r="BB268" s="87">
        <v>112</v>
      </c>
      <c r="BC268" s="86">
        <v>37</v>
      </c>
      <c r="BD268" s="87">
        <v>44</v>
      </c>
      <c r="BE268" s="87">
        <v>30</v>
      </c>
      <c r="BF268" s="87">
        <v>20</v>
      </c>
      <c r="BG268" s="87">
        <v>17</v>
      </c>
      <c r="BH268" s="87">
        <v>13</v>
      </c>
      <c r="BI268" s="87">
        <v>24</v>
      </c>
      <c r="BJ268" s="40">
        <v>10</v>
      </c>
      <c r="BK268" s="40">
        <v>13</v>
      </c>
      <c r="BL268" s="40">
        <v>10</v>
      </c>
      <c r="BM268" s="40">
        <v>8</v>
      </c>
      <c r="BN268" s="87"/>
      <c r="BO268" s="86"/>
      <c r="BP268" s="21">
        <v>17</v>
      </c>
      <c r="BQ268" s="21">
        <v>13</v>
      </c>
      <c r="BR268" s="21">
        <v>20</v>
      </c>
      <c r="BS268" s="21">
        <v>13</v>
      </c>
      <c r="BT268" s="21">
        <v>22</v>
      </c>
      <c r="BU268" s="42">
        <v>29</v>
      </c>
      <c r="BV268" s="21">
        <v>35</v>
      </c>
      <c r="BW268" s="21">
        <v>27</v>
      </c>
      <c r="BX268" s="21">
        <v>18</v>
      </c>
      <c r="BY268" s="21">
        <v>63</v>
      </c>
      <c r="BZ268" s="21">
        <v>43</v>
      </c>
      <c r="CA268" s="21">
        <v>16</v>
      </c>
      <c r="CB268" s="21">
        <v>8</v>
      </c>
      <c r="CC268" s="21">
        <v>24</v>
      </c>
      <c r="CD268" s="21">
        <v>36</v>
      </c>
      <c r="CE268" s="21">
        <v>1</v>
      </c>
      <c r="CF268" s="21">
        <v>0</v>
      </c>
      <c r="CG268" s="42">
        <v>0</v>
      </c>
      <c r="CH268" s="21">
        <v>0</v>
      </c>
      <c r="CI268" s="21">
        <v>0</v>
      </c>
      <c r="CJ268" s="21">
        <v>0</v>
      </c>
      <c r="CK268" s="21">
        <v>0</v>
      </c>
      <c r="CL268" s="21">
        <v>0</v>
      </c>
      <c r="CM268" s="21">
        <v>0</v>
      </c>
      <c r="CN268" s="21">
        <v>0</v>
      </c>
      <c r="CO268" s="21">
        <v>0</v>
      </c>
      <c r="CP268" s="21">
        <f t="shared" si="471"/>
        <v>0</v>
      </c>
      <c r="CQ268" s="344">
        <f t="shared" si="472"/>
        <v>0</v>
      </c>
      <c r="CR268" s="87"/>
      <c r="CS268" s="86"/>
      <c r="CT268" s="85">
        <f t="shared" si="473"/>
        <v>327</v>
      </c>
      <c r="CU268" s="85">
        <f t="shared" si="474"/>
        <v>436</v>
      </c>
      <c r="CV268" s="85">
        <f t="shared" si="475"/>
        <v>385</v>
      </c>
      <c r="CW268" s="85">
        <f t="shared" si="476"/>
        <v>438</v>
      </c>
      <c r="CX268" s="85">
        <f t="shared" si="477"/>
        <v>530</v>
      </c>
      <c r="CY268" s="86">
        <f t="shared" si="478"/>
        <v>398</v>
      </c>
      <c r="CZ268" s="87">
        <f t="shared" si="479"/>
        <v>468</v>
      </c>
      <c r="DA268" s="87">
        <f t="shared" si="480"/>
        <v>510</v>
      </c>
      <c r="DB268" s="87">
        <f t="shared" si="481"/>
        <v>345</v>
      </c>
      <c r="DC268" s="87">
        <f t="shared" si="482"/>
        <v>550</v>
      </c>
      <c r="DD268" s="87">
        <f t="shared" si="483"/>
        <v>412</v>
      </c>
      <c r="DE268" s="87">
        <f t="shared" si="484"/>
        <v>370</v>
      </c>
      <c r="DF268" s="87">
        <f t="shared" si="485"/>
        <v>429</v>
      </c>
      <c r="DG268" s="87">
        <f t="shared" si="486"/>
        <v>508</v>
      </c>
      <c r="DH268" s="87">
        <f t="shared" si="487"/>
        <v>338</v>
      </c>
      <c r="DI268" s="87">
        <f t="shared" si="488"/>
        <v>209</v>
      </c>
      <c r="DJ268" s="87">
        <f t="shared" si="489"/>
        <v>112</v>
      </c>
      <c r="DK268" s="86">
        <f t="shared" si="490"/>
        <v>37</v>
      </c>
      <c r="DL268" s="87">
        <f t="shared" si="491"/>
        <v>44</v>
      </c>
      <c r="DM268" s="87">
        <f t="shared" si="492"/>
        <v>30</v>
      </c>
      <c r="DN268" s="87">
        <f t="shared" si="493"/>
        <v>20</v>
      </c>
      <c r="DO268" s="87">
        <f t="shared" si="494"/>
        <v>17</v>
      </c>
      <c r="DP268" s="87">
        <f t="shared" si="495"/>
        <v>13</v>
      </c>
      <c r="DQ268" s="87">
        <f t="shared" si="496"/>
        <v>24</v>
      </c>
      <c r="DR268" s="87">
        <f t="shared" si="439"/>
        <v>10</v>
      </c>
      <c r="DS268" s="87">
        <f t="shared" si="440"/>
        <v>13</v>
      </c>
      <c r="DT268" s="87">
        <f t="shared" si="497"/>
        <v>10</v>
      </c>
      <c r="DU268" s="87">
        <f t="shared" si="498"/>
        <v>8</v>
      </c>
      <c r="DV268" s="87">
        <f t="shared" si="499"/>
        <v>0</v>
      </c>
      <c r="DW268" s="87">
        <f t="shared" si="500"/>
        <v>0</v>
      </c>
    </row>
    <row r="269" spans="1:127">
      <c r="A269" s="22" t="s">
        <v>22</v>
      </c>
      <c r="B269" s="26">
        <v>4210201096801</v>
      </c>
      <c r="C269" s="22" t="s">
        <v>117</v>
      </c>
      <c r="D269" s="22" t="s">
        <v>24</v>
      </c>
      <c r="E269" s="22">
        <v>654179</v>
      </c>
      <c r="F269" s="80" t="s">
        <v>361</v>
      </c>
      <c r="G269" s="25">
        <v>195.2</v>
      </c>
      <c r="H269" s="85">
        <f t="shared" si="441"/>
        <v>0</v>
      </c>
      <c r="I269" s="85">
        <f t="shared" si="442"/>
        <v>0</v>
      </c>
      <c r="J269" s="85">
        <f t="shared" si="443"/>
        <v>195.2</v>
      </c>
      <c r="K269" s="85">
        <f t="shared" si="444"/>
        <v>0</v>
      </c>
      <c r="L269" s="85">
        <f t="shared" si="445"/>
        <v>0</v>
      </c>
      <c r="M269" s="86">
        <f t="shared" si="446"/>
        <v>0</v>
      </c>
      <c r="N269" s="87">
        <f t="shared" si="447"/>
        <v>0</v>
      </c>
      <c r="O269" s="87">
        <f t="shared" si="448"/>
        <v>195.2</v>
      </c>
      <c r="P269" s="87">
        <f t="shared" si="449"/>
        <v>0</v>
      </c>
      <c r="Q269" s="87">
        <f t="shared" si="450"/>
        <v>195.2</v>
      </c>
      <c r="R269" s="87">
        <f t="shared" si="451"/>
        <v>0</v>
      </c>
      <c r="S269" s="87">
        <f t="shared" si="452"/>
        <v>0</v>
      </c>
      <c r="T269" s="87">
        <f t="shared" si="453"/>
        <v>0</v>
      </c>
      <c r="U269" s="87">
        <f t="shared" si="454"/>
        <v>0</v>
      </c>
      <c r="V269" s="87">
        <f t="shared" si="455"/>
        <v>0</v>
      </c>
      <c r="W269" s="87">
        <f t="shared" si="456"/>
        <v>0</v>
      </c>
      <c r="X269" s="87">
        <f t="shared" si="457"/>
        <v>0</v>
      </c>
      <c r="Y269" s="86">
        <f t="shared" si="458"/>
        <v>0</v>
      </c>
      <c r="Z269" s="87">
        <f t="shared" si="459"/>
        <v>0</v>
      </c>
      <c r="AA269" s="87">
        <f t="shared" si="460"/>
        <v>0</v>
      </c>
      <c r="AB269" s="87">
        <f t="shared" si="461"/>
        <v>0</v>
      </c>
      <c r="AC269" s="87">
        <f t="shared" si="462"/>
        <v>0</v>
      </c>
      <c r="AD269" s="87">
        <f t="shared" si="463"/>
        <v>0</v>
      </c>
      <c r="AE269" s="87">
        <f t="shared" si="464"/>
        <v>0</v>
      </c>
      <c r="AF269" s="87">
        <f t="shared" si="465"/>
        <v>0</v>
      </c>
      <c r="AG269" s="87">
        <f t="shared" si="466"/>
        <v>195.2</v>
      </c>
      <c r="AH269" s="87">
        <f t="shared" si="467"/>
        <v>0</v>
      </c>
      <c r="AI269" s="87">
        <f t="shared" si="468"/>
        <v>0</v>
      </c>
      <c r="AJ269" s="87">
        <f t="shared" si="469"/>
        <v>0</v>
      </c>
      <c r="AK269" s="86">
        <f t="shared" si="470"/>
        <v>0</v>
      </c>
      <c r="AL269" s="85">
        <v>0</v>
      </c>
      <c r="AM269" s="85">
        <v>0</v>
      </c>
      <c r="AN269" s="85">
        <v>1</v>
      </c>
      <c r="AO269" s="85">
        <v>0</v>
      </c>
      <c r="AP269" s="85">
        <v>0</v>
      </c>
      <c r="AQ269" s="86">
        <v>0</v>
      </c>
      <c r="AR269" s="87">
        <v>0</v>
      </c>
      <c r="AS269" s="87">
        <v>1</v>
      </c>
      <c r="AT269" s="87">
        <v>0</v>
      </c>
      <c r="AU269" s="87">
        <v>1</v>
      </c>
      <c r="AV269" s="87">
        <v>0</v>
      </c>
      <c r="AW269" s="87">
        <v>0</v>
      </c>
      <c r="AX269" s="87">
        <v>0</v>
      </c>
      <c r="AY269" s="87">
        <v>0</v>
      </c>
      <c r="AZ269" s="87">
        <v>0</v>
      </c>
      <c r="BA269" s="87">
        <v>0</v>
      </c>
      <c r="BB269" s="87">
        <v>0</v>
      </c>
      <c r="BC269" s="86">
        <v>0</v>
      </c>
      <c r="BD269" s="87">
        <v>0</v>
      </c>
      <c r="BE269" s="87">
        <v>0</v>
      </c>
      <c r="BF269" s="87">
        <v>0</v>
      </c>
      <c r="BG269" s="87">
        <v>0</v>
      </c>
      <c r="BH269" s="87">
        <v>0</v>
      </c>
      <c r="BI269" s="87">
        <v>0</v>
      </c>
      <c r="BJ269" s="40">
        <v>0</v>
      </c>
      <c r="BK269" s="40">
        <v>1</v>
      </c>
      <c r="BL269" s="40">
        <v>0</v>
      </c>
      <c r="BM269" s="40">
        <v>0</v>
      </c>
      <c r="BN269" s="87"/>
      <c r="BO269" s="86"/>
      <c r="BP269" s="21">
        <v>0</v>
      </c>
      <c r="BQ269" s="21">
        <v>0</v>
      </c>
      <c r="BR269" s="21">
        <v>0</v>
      </c>
      <c r="BS269" s="21">
        <v>0</v>
      </c>
      <c r="BT269" s="21">
        <v>0</v>
      </c>
      <c r="BU269" s="42">
        <v>0</v>
      </c>
      <c r="BV269" s="21">
        <v>0</v>
      </c>
      <c r="BW269" s="21">
        <v>0</v>
      </c>
      <c r="BX269" s="21">
        <v>0</v>
      </c>
      <c r="BY269" s="21">
        <v>0</v>
      </c>
      <c r="BZ269" s="21">
        <v>0</v>
      </c>
      <c r="CA269" s="21">
        <v>0</v>
      </c>
      <c r="CB269" s="21">
        <v>0</v>
      </c>
      <c r="CC269" s="21">
        <v>0</v>
      </c>
      <c r="CD269" s="21">
        <v>0</v>
      </c>
      <c r="CE269" s="21">
        <v>0</v>
      </c>
      <c r="CF269" s="21">
        <v>0</v>
      </c>
      <c r="CG269" s="42">
        <v>0</v>
      </c>
      <c r="CH269" s="21">
        <v>0</v>
      </c>
      <c r="CI269" s="21">
        <v>0</v>
      </c>
      <c r="CJ269" s="21">
        <v>0</v>
      </c>
      <c r="CK269" s="21">
        <v>0</v>
      </c>
      <c r="CL269" s="21">
        <v>0</v>
      </c>
      <c r="CM269" s="21">
        <v>0</v>
      </c>
      <c r="CN269" s="21">
        <v>0</v>
      </c>
      <c r="CO269" s="21">
        <v>0</v>
      </c>
      <c r="CP269" s="21">
        <f t="shared" si="471"/>
        <v>0</v>
      </c>
      <c r="CQ269" s="344">
        <f t="shared" si="472"/>
        <v>0</v>
      </c>
      <c r="CR269" s="87"/>
      <c r="CS269" s="86"/>
      <c r="CT269" s="85">
        <f t="shared" si="473"/>
        <v>0</v>
      </c>
      <c r="CU269" s="85">
        <f t="shared" si="474"/>
        <v>0</v>
      </c>
      <c r="CV269" s="85">
        <f t="shared" si="475"/>
        <v>1</v>
      </c>
      <c r="CW269" s="85">
        <f t="shared" si="476"/>
        <v>0</v>
      </c>
      <c r="CX269" s="85">
        <f t="shared" si="477"/>
        <v>0</v>
      </c>
      <c r="CY269" s="86">
        <f t="shared" si="478"/>
        <v>0</v>
      </c>
      <c r="CZ269" s="87">
        <f t="shared" si="479"/>
        <v>0</v>
      </c>
      <c r="DA269" s="87">
        <f t="shared" si="480"/>
        <v>1</v>
      </c>
      <c r="DB269" s="87">
        <f t="shared" si="481"/>
        <v>0</v>
      </c>
      <c r="DC269" s="87">
        <f t="shared" si="482"/>
        <v>1</v>
      </c>
      <c r="DD269" s="87">
        <f t="shared" si="483"/>
        <v>0</v>
      </c>
      <c r="DE269" s="87">
        <f t="shared" si="484"/>
        <v>0</v>
      </c>
      <c r="DF269" s="87">
        <f t="shared" si="485"/>
        <v>0</v>
      </c>
      <c r="DG269" s="87">
        <f t="shared" si="486"/>
        <v>0</v>
      </c>
      <c r="DH269" s="87">
        <f t="shared" si="487"/>
        <v>0</v>
      </c>
      <c r="DI269" s="87">
        <f t="shared" si="488"/>
        <v>0</v>
      </c>
      <c r="DJ269" s="87">
        <f t="shared" si="489"/>
        <v>0</v>
      </c>
      <c r="DK269" s="86">
        <f t="shared" si="490"/>
        <v>0</v>
      </c>
      <c r="DL269" s="87">
        <f t="shared" si="491"/>
        <v>0</v>
      </c>
      <c r="DM269" s="87">
        <f t="shared" si="492"/>
        <v>0</v>
      </c>
      <c r="DN269" s="87">
        <f t="shared" si="493"/>
        <v>0</v>
      </c>
      <c r="DO269" s="87">
        <f t="shared" si="494"/>
        <v>0</v>
      </c>
      <c r="DP269" s="87">
        <f t="shared" si="495"/>
        <v>0</v>
      </c>
      <c r="DQ269" s="87">
        <f t="shared" si="496"/>
        <v>0</v>
      </c>
      <c r="DR269" s="87">
        <f t="shared" si="439"/>
        <v>0</v>
      </c>
      <c r="DS269" s="87">
        <f t="shared" si="440"/>
        <v>1</v>
      </c>
      <c r="DT269" s="87">
        <f t="shared" si="497"/>
        <v>0</v>
      </c>
      <c r="DU269" s="87">
        <f t="shared" si="498"/>
        <v>0</v>
      </c>
      <c r="DV269" s="87">
        <f t="shared" si="499"/>
        <v>0</v>
      </c>
      <c r="DW269" s="87">
        <f t="shared" si="500"/>
        <v>0</v>
      </c>
    </row>
    <row r="270" spans="1:127">
      <c r="A270" s="22" t="s">
        <v>22</v>
      </c>
      <c r="B270" s="26">
        <v>4210201176503</v>
      </c>
      <c r="C270" s="22" t="s">
        <v>117</v>
      </c>
      <c r="D270" s="22" t="s">
        <v>24</v>
      </c>
      <c r="E270" s="22">
        <v>100124</v>
      </c>
      <c r="F270" s="80" t="s">
        <v>362</v>
      </c>
      <c r="G270" s="25">
        <v>208.29</v>
      </c>
      <c r="H270" s="85">
        <f t="shared" si="441"/>
        <v>0</v>
      </c>
      <c r="I270" s="85">
        <f t="shared" si="442"/>
        <v>208.29</v>
      </c>
      <c r="J270" s="85">
        <f t="shared" si="443"/>
        <v>0</v>
      </c>
      <c r="K270" s="85">
        <f t="shared" si="444"/>
        <v>0</v>
      </c>
      <c r="L270" s="85">
        <f t="shared" si="445"/>
        <v>208.29</v>
      </c>
      <c r="M270" s="86">
        <f t="shared" si="446"/>
        <v>0</v>
      </c>
      <c r="N270" s="87">
        <f t="shared" si="447"/>
        <v>208.29</v>
      </c>
      <c r="O270" s="87">
        <f t="shared" si="448"/>
        <v>208.29</v>
      </c>
      <c r="P270" s="87">
        <f t="shared" si="449"/>
        <v>0</v>
      </c>
      <c r="Q270" s="87">
        <f t="shared" si="450"/>
        <v>0</v>
      </c>
      <c r="R270" s="87">
        <f t="shared" si="451"/>
        <v>0</v>
      </c>
      <c r="S270" s="87">
        <f t="shared" si="452"/>
        <v>0</v>
      </c>
      <c r="T270" s="87">
        <f t="shared" si="453"/>
        <v>0</v>
      </c>
      <c r="U270" s="87">
        <f t="shared" si="454"/>
        <v>416.58</v>
      </c>
      <c r="V270" s="87">
        <f t="shared" si="455"/>
        <v>0</v>
      </c>
      <c r="W270" s="87">
        <f t="shared" si="456"/>
        <v>0</v>
      </c>
      <c r="X270" s="87">
        <f t="shared" si="457"/>
        <v>0</v>
      </c>
      <c r="Y270" s="86">
        <f t="shared" si="458"/>
        <v>0</v>
      </c>
      <c r="Z270" s="87">
        <f t="shared" si="459"/>
        <v>0</v>
      </c>
      <c r="AA270" s="87">
        <f t="shared" si="460"/>
        <v>0</v>
      </c>
      <c r="AB270" s="87">
        <f t="shared" si="461"/>
        <v>0</v>
      </c>
      <c r="AC270" s="87">
        <f t="shared" si="462"/>
        <v>0</v>
      </c>
      <c r="AD270" s="87">
        <f t="shared" si="463"/>
        <v>0</v>
      </c>
      <c r="AE270" s="87">
        <f t="shared" si="464"/>
        <v>0</v>
      </c>
      <c r="AF270" s="87">
        <f t="shared" si="465"/>
        <v>0</v>
      </c>
      <c r="AG270" s="87">
        <f t="shared" si="466"/>
        <v>0</v>
      </c>
      <c r="AH270" s="87">
        <f t="shared" si="467"/>
        <v>0</v>
      </c>
      <c r="AI270" s="87">
        <f t="shared" si="468"/>
        <v>0</v>
      </c>
      <c r="AJ270" s="87">
        <f t="shared" si="469"/>
        <v>0</v>
      </c>
      <c r="AK270" s="86">
        <f t="shared" si="470"/>
        <v>0</v>
      </c>
      <c r="AL270" s="85">
        <v>0</v>
      </c>
      <c r="AM270" s="85">
        <v>1</v>
      </c>
      <c r="AN270" s="85">
        <v>0</v>
      </c>
      <c r="AO270" s="85">
        <v>0</v>
      </c>
      <c r="AP270" s="85">
        <v>1</v>
      </c>
      <c r="AQ270" s="86">
        <v>0</v>
      </c>
      <c r="AR270" s="87">
        <v>1</v>
      </c>
      <c r="AS270" s="87">
        <v>1</v>
      </c>
      <c r="AT270" s="87">
        <v>0</v>
      </c>
      <c r="AU270" s="87">
        <v>0</v>
      </c>
      <c r="AV270" s="87">
        <v>0</v>
      </c>
      <c r="AW270" s="87">
        <v>0</v>
      </c>
      <c r="AX270" s="87">
        <v>0</v>
      </c>
      <c r="AY270" s="87">
        <v>2</v>
      </c>
      <c r="AZ270" s="87">
        <v>0</v>
      </c>
      <c r="BA270" s="87">
        <v>0</v>
      </c>
      <c r="BB270" s="87">
        <v>0</v>
      </c>
      <c r="BC270" s="86">
        <v>0</v>
      </c>
      <c r="BD270" s="87">
        <v>0</v>
      </c>
      <c r="BE270" s="87">
        <v>0</v>
      </c>
      <c r="BF270" s="87">
        <v>0</v>
      </c>
      <c r="BG270" s="87">
        <v>0</v>
      </c>
      <c r="BH270" s="87">
        <v>0</v>
      </c>
      <c r="BI270" s="87">
        <v>0</v>
      </c>
      <c r="BJ270" s="40">
        <v>0</v>
      </c>
      <c r="BK270" s="40">
        <v>0</v>
      </c>
      <c r="BL270" s="40">
        <v>0</v>
      </c>
      <c r="BM270" s="40">
        <v>0</v>
      </c>
      <c r="BN270" s="87"/>
      <c r="BO270" s="86"/>
      <c r="BP270" s="21">
        <v>0</v>
      </c>
      <c r="BQ270" s="21">
        <v>0</v>
      </c>
      <c r="BR270" s="21">
        <v>0</v>
      </c>
      <c r="BS270" s="21">
        <v>0</v>
      </c>
      <c r="BT270" s="21">
        <v>0</v>
      </c>
      <c r="BU270" s="42">
        <v>0</v>
      </c>
      <c r="BV270" s="21">
        <v>0</v>
      </c>
      <c r="BW270" s="21">
        <v>0</v>
      </c>
      <c r="BX270" s="21">
        <v>0</v>
      </c>
      <c r="BY270" s="21">
        <v>0</v>
      </c>
      <c r="BZ270" s="21">
        <v>0</v>
      </c>
      <c r="CA270" s="21">
        <v>0</v>
      </c>
      <c r="CB270" s="21">
        <v>0</v>
      </c>
      <c r="CC270" s="21">
        <v>0</v>
      </c>
      <c r="CD270" s="21">
        <v>0</v>
      </c>
      <c r="CE270" s="21">
        <v>0</v>
      </c>
      <c r="CF270" s="21">
        <v>0</v>
      </c>
      <c r="CG270" s="42">
        <v>0</v>
      </c>
      <c r="CH270" s="21">
        <v>0</v>
      </c>
      <c r="CI270" s="21">
        <v>0</v>
      </c>
      <c r="CJ270" s="21">
        <v>0</v>
      </c>
      <c r="CK270" s="21">
        <v>0</v>
      </c>
      <c r="CL270" s="21">
        <v>0</v>
      </c>
      <c r="CM270" s="21">
        <v>0</v>
      </c>
      <c r="CN270" s="21">
        <v>0</v>
      </c>
      <c r="CO270" s="21">
        <v>0</v>
      </c>
      <c r="CP270" s="21">
        <f t="shared" si="471"/>
        <v>0</v>
      </c>
      <c r="CQ270" s="344">
        <f t="shared" si="472"/>
        <v>0</v>
      </c>
      <c r="CR270" s="87"/>
      <c r="CS270" s="86"/>
      <c r="CT270" s="85">
        <f t="shared" si="473"/>
        <v>0</v>
      </c>
      <c r="CU270" s="85">
        <f t="shared" si="474"/>
        <v>1</v>
      </c>
      <c r="CV270" s="85">
        <f t="shared" si="475"/>
        <v>0</v>
      </c>
      <c r="CW270" s="85">
        <f t="shared" si="476"/>
        <v>0</v>
      </c>
      <c r="CX270" s="85">
        <f t="shared" si="477"/>
        <v>1</v>
      </c>
      <c r="CY270" s="86">
        <f t="shared" si="478"/>
        <v>0</v>
      </c>
      <c r="CZ270" s="87">
        <f t="shared" si="479"/>
        <v>1</v>
      </c>
      <c r="DA270" s="87">
        <f t="shared" si="480"/>
        <v>1</v>
      </c>
      <c r="DB270" s="87">
        <f t="shared" si="481"/>
        <v>0</v>
      </c>
      <c r="DC270" s="87">
        <f t="shared" si="482"/>
        <v>0</v>
      </c>
      <c r="DD270" s="87">
        <f t="shared" si="483"/>
        <v>0</v>
      </c>
      <c r="DE270" s="87">
        <f t="shared" si="484"/>
        <v>0</v>
      </c>
      <c r="DF270" s="87">
        <f t="shared" si="485"/>
        <v>0</v>
      </c>
      <c r="DG270" s="87">
        <f t="shared" si="486"/>
        <v>2</v>
      </c>
      <c r="DH270" s="87">
        <f t="shared" si="487"/>
        <v>0</v>
      </c>
      <c r="DI270" s="87">
        <f t="shared" si="488"/>
        <v>0</v>
      </c>
      <c r="DJ270" s="87">
        <f t="shared" si="489"/>
        <v>0</v>
      </c>
      <c r="DK270" s="86">
        <f t="shared" si="490"/>
        <v>0</v>
      </c>
      <c r="DL270" s="87">
        <f t="shared" si="491"/>
        <v>0</v>
      </c>
      <c r="DM270" s="87">
        <f t="shared" si="492"/>
        <v>0</v>
      </c>
      <c r="DN270" s="87">
        <f t="shared" si="493"/>
        <v>0</v>
      </c>
      <c r="DO270" s="87">
        <f t="shared" si="494"/>
        <v>0</v>
      </c>
      <c r="DP270" s="87">
        <f t="shared" si="495"/>
        <v>0</v>
      </c>
      <c r="DQ270" s="87">
        <f t="shared" si="496"/>
        <v>0</v>
      </c>
      <c r="DR270" s="87">
        <f t="shared" si="439"/>
        <v>0</v>
      </c>
      <c r="DS270" s="87">
        <f t="shared" si="440"/>
        <v>0</v>
      </c>
      <c r="DT270" s="87">
        <f t="shared" si="497"/>
        <v>0</v>
      </c>
      <c r="DU270" s="87">
        <f t="shared" si="498"/>
        <v>0</v>
      </c>
      <c r="DV270" s="87">
        <f t="shared" si="499"/>
        <v>0</v>
      </c>
      <c r="DW270" s="87">
        <f t="shared" si="500"/>
        <v>0</v>
      </c>
    </row>
    <row r="271" spans="1:127">
      <c r="A271" s="22" t="s">
        <v>22</v>
      </c>
      <c r="B271" s="26">
        <v>4210201329961</v>
      </c>
      <c r="C271" s="22" t="s">
        <v>118</v>
      </c>
      <c r="D271" s="22" t="s">
        <v>122</v>
      </c>
      <c r="E271" s="22">
        <v>354589</v>
      </c>
      <c r="F271" s="80" t="s">
        <v>363</v>
      </c>
      <c r="G271" s="25">
        <v>351.7</v>
      </c>
      <c r="H271" s="85">
        <f t="shared" si="441"/>
        <v>34114.9</v>
      </c>
      <c r="I271" s="85">
        <f t="shared" si="442"/>
        <v>46776.1</v>
      </c>
      <c r="J271" s="85">
        <f t="shared" si="443"/>
        <v>37983.599999999999</v>
      </c>
      <c r="K271" s="85">
        <f t="shared" si="444"/>
        <v>39390.400000000001</v>
      </c>
      <c r="L271" s="85">
        <f t="shared" si="445"/>
        <v>33411.5</v>
      </c>
      <c r="M271" s="86">
        <f t="shared" si="446"/>
        <v>32004.7</v>
      </c>
      <c r="N271" s="87">
        <f t="shared" si="447"/>
        <v>24970.7</v>
      </c>
      <c r="O271" s="87">
        <f t="shared" si="448"/>
        <v>29191.1</v>
      </c>
      <c r="P271" s="87">
        <f t="shared" si="449"/>
        <v>29542.799999999999</v>
      </c>
      <c r="Q271" s="87">
        <f t="shared" si="450"/>
        <v>16178.199999999999</v>
      </c>
      <c r="R271" s="87">
        <f t="shared" si="451"/>
        <v>30597.899999999998</v>
      </c>
      <c r="S271" s="87">
        <f t="shared" si="452"/>
        <v>10902.699999999999</v>
      </c>
      <c r="T271" s="87">
        <f t="shared" si="453"/>
        <v>12661.199999999999</v>
      </c>
      <c r="U271" s="87">
        <f t="shared" si="454"/>
        <v>11606.1</v>
      </c>
      <c r="V271" s="87">
        <f t="shared" si="455"/>
        <v>10551</v>
      </c>
      <c r="W271" s="87">
        <f t="shared" si="456"/>
        <v>8089.0999999999995</v>
      </c>
      <c r="X271" s="87">
        <f t="shared" si="457"/>
        <v>18640.099999999999</v>
      </c>
      <c r="Y271" s="86">
        <f t="shared" si="458"/>
        <v>7737.4</v>
      </c>
      <c r="Z271" s="87">
        <f t="shared" si="459"/>
        <v>2461.9</v>
      </c>
      <c r="AA271" s="87">
        <f t="shared" si="460"/>
        <v>351.7</v>
      </c>
      <c r="AB271" s="87">
        <f t="shared" si="461"/>
        <v>0</v>
      </c>
      <c r="AC271" s="87">
        <f t="shared" si="462"/>
        <v>0</v>
      </c>
      <c r="AD271" s="87">
        <f t="shared" si="463"/>
        <v>0</v>
      </c>
      <c r="AE271" s="87">
        <f t="shared" si="464"/>
        <v>1055.0999999999999</v>
      </c>
      <c r="AF271" s="87">
        <f t="shared" si="465"/>
        <v>0</v>
      </c>
      <c r="AG271" s="87">
        <f t="shared" si="466"/>
        <v>0</v>
      </c>
      <c r="AH271" s="87">
        <f t="shared" si="467"/>
        <v>0</v>
      </c>
      <c r="AI271" s="87">
        <f t="shared" si="468"/>
        <v>0</v>
      </c>
      <c r="AJ271" s="87">
        <f t="shared" si="469"/>
        <v>0</v>
      </c>
      <c r="AK271" s="86">
        <f t="shared" si="470"/>
        <v>0</v>
      </c>
      <c r="AL271" s="85">
        <v>46</v>
      </c>
      <c r="AM271" s="85">
        <v>72</v>
      </c>
      <c r="AN271" s="85">
        <v>53</v>
      </c>
      <c r="AO271" s="85">
        <v>58</v>
      </c>
      <c r="AP271" s="85">
        <v>53</v>
      </c>
      <c r="AQ271" s="86">
        <v>36</v>
      </c>
      <c r="AR271" s="87">
        <v>33</v>
      </c>
      <c r="AS271" s="87">
        <v>31</v>
      </c>
      <c r="AT271" s="87">
        <v>38</v>
      </c>
      <c r="AU271" s="87">
        <v>21</v>
      </c>
      <c r="AV271" s="87">
        <v>38</v>
      </c>
      <c r="AW271" s="87">
        <v>31</v>
      </c>
      <c r="AX271" s="87">
        <v>36</v>
      </c>
      <c r="AY271" s="87">
        <v>33</v>
      </c>
      <c r="AZ271" s="87">
        <v>30</v>
      </c>
      <c r="BA271" s="87">
        <v>23</v>
      </c>
      <c r="BB271" s="87">
        <v>53</v>
      </c>
      <c r="BC271" s="86">
        <v>22</v>
      </c>
      <c r="BD271" s="87">
        <v>7</v>
      </c>
      <c r="BE271" s="87">
        <v>1</v>
      </c>
      <c r="BF271" s="87">
        <v>0</v>
      </c>
      <c r="BG271" s="87">
        <v>0</v>
      </c>
      <c r="BH271" s="87">
        <v>0</v>
      </c>
      <c r="BI271" s="87">
        <v>3</v>
      </c>
      <c r="BJ271" s="40">
        <v>0</v>
      </c>
      <c r="BK271" s="40">
        <v>0</v>
      </c>
      <c r="BL271" s="40">
        <v>0</v>
      </c>
      <c r="BM271" s="40">
        <v>0</v>
      </c>
      <c r="BN271" s="87"/>
      <c r="BO271" s="86"/>
      <c r="BP271" s="21">
        <v>51</v>
      </c>
      <c r="BQ271" s="21">
        <v>61</v>
      </c>
      <c r="BR271" s="21">
        <v>55</v>
      </c>
      <c r="BS271" s="21">
        <v>54</v>
      </c>
      <c r="BT271" s="21">
        <v>42</v>
      </c>
      <c r="BU271" s="42">
        <v>55</v>
      </c>
      <c r="BV271" s="21">
        <v>38</v>
      </c>
      <c r="BW271" s="21">
        <v>52</v>
      </c>
      <c r="BX271" s="21">
        <v>46</v>
      </c>
      <c r="BY271" s="21">
        <v>25</v>
      </c>
      <c r="BZ271" s="21">
        <v>49</v>
      </c>
      <c r="CA271" s="21">
        <v>0</v>
      </c>
      <c r="CB271" s="21">
        <v>0</v>
      </c>
      <c r="CC271" s="21">
        <v>0</v>
      </c>
      <c r="CD271" s="21">
        <v>0</v>
      </c>
      <c r="CE271" s="21">
        <v>0</v>
      </c>
      <c r="CF271" s="21">
        <v>0</v>
      </c>
      <c r="CG271" s="42">
        <v>0</v>
      </c>
      <c r="CH271" s="21">
        <v>0</v>
      </c>
      <c r="CI271" s="21">
        <v>0</v>
      </c>
      <c r="CJ271" s="21">
        <v>0</v>
      </c>
      <c r="CK271" s="21">
        <v>0</v>
      </c>
      <c r="CL271" s="21">
        <v>0</v>
      </c>
      <c r="CM271" s="21">
        <v>0</v>
      </c>
      <c r="CN271" s="21">
        <v>0</v>
      </c>
      <c r="CO271" s="21">
        <v>0</v>
      </c>
      <c r="CP271" s="21">
        <f t="shared" si="471"/>
        <v>0</v>
      </c>
      <c r="CQ271" s="344">
        <f t="shared" si="472"/>
        <v>0</v>
      </c>
      <c r="CR271" s="87"/>
      <c r="CS271" s="86"/>
      <c r="CT271" s="85">
        <f t="shared" si="473"/>
        <v>97</v>
      </c>
      <c r="CU271" s="85">
        <f t="shared" si="474"/>
        <v>133</v>
      </c>
      <c r="CV271" s="85">
        <f t="shared" si="475"/>
        <v>108</v>
      </c>
      <c r="CW271" s="85">
        <f t="shared" si="476"/>
        <v>112</v>
      </c>
      <c r="CX271" s="85">
        <f t="shared" si="477"/>
        <v>95</v>
      </c>
      <c r="CY271" s="86">
        <f t="shared" si="478"/>
        <v>91</v>
      </c>
      <c r="CZ271" s="87">
        <f t="shared" si="479"/>
        <v>71</v>
      </c>
      <c r="DA271" s="87">
        <f t="shared" si="480"/>
        <v>83</v>
      </c>
      <c r="DB271" s="87">
        <f t="shared" si="481"/>
        <v>84</v>
      </c>
      <c r="DC271" s="87">
        <f t="shared" si="482"/>
        <v>46</v>
      </c>
      <c r="DD271" s="87">
        <f t="shared" si="483"/>
        <v>87</v>
      </c>
      <c r="DE271" s="87">
        <f t="shared" si="484"/>
        <v>31</v>
      </c>
      <c r="DF271" s="87">
        <f t="shared" si="485"/>
        <v>36</v>
      </c>
      <c r="DG271" s="87">
        <f t="shared" si="486"/>
        <v>33</v>
      </c>
      <c r="DH271" s="87">
        <f t="shared" si="487"/>
        <v>30</v>
      </c>
      <c r="DI271" s="87">
        <f t="shared" si="488"/>
        <v>23</v>
      </c>
      <c r="DJ271" s="87">
        <f t="shared" si="489"/>
        <v>53</v>
      </c>
      <c r="DK271" s="86">
        <f t="shared" si="490"/>
        <v>22</v>
      </c>
      <c r="DL271" s="87">
        <f t="shared" si="491"/>
        <v>7</v>
      </c>
      <c r="DM271" s="87">
        <f t="shared" si="492"/>
        <v>1</v>
      </c>
      <c r="DN271" s="87">
        <f t="shared" si="493"/>
        <v>0</v>
      </c>
      <c r="DO271" s="87">
        <f t="shared" si="494"/>
        <v>0</v>
      </c>
      <c r="DP271" s="87">
        <f t="shared" si="495"/>
        <v>0</v>
      </c>
      <c r="DQ271" s="87">
        <f t="shared" si="496"/>
        <v>3</v>
      </c>
      <c r="DR271" s="87">
        <f t="shared" si="439"/>
        <v>0</v>
      </c>
      <c r="DS271" s="87">
        <f t="shared" si="440"/>
        <v>0</v>
      </c>
      <c r="DT271" s="87">
        <f t="shared" si="497"/>
        <v>0</v>
      </c>
      <c r="DU271" s="87">
        <f t="shared" si="498"/>
        <v>0</v>
      </c>
      <c r="DV271" s="87">
        <f t="shared" si="499"/>
        <v>0</v>
      </c>
      <c r="DW271" s="87">
        <f t="shared" si="500"/>
        <v>0</v>
      </c>
    </row>
    <row r="272" spans="1:127">
      <c r="A272" s="22" t="s">
        <v>22</v>
      </c>
      <c r="B272" s="26">
        <v>4210201304968</v>
      </c>
      <c r="C272" s="22" t="s">
        <v>117</v>
      </c>
      <c r="D272" s="22" t="s">
        <v>119</v>
      </c>
      <c r="E272" s="22">
        <v>27760</v>
      </c>
      <c r="F272" s="80" t="s">
        <v>364</v>
      </c>
      <c r="G272" s="25">
        <v>424.2</v>
      </c>
      <c r="H272" s="85">
        <f t="shared" si="441"/>
        <v>13998.6</v>
      </c>
      <c r="I272" s="85">
        <f t="shared" si="442"/>
        <v>8908.1999999999989</v>
      </c>
      <c r="J272" s="85">
        <f t="shared" si="443"/>
        <v>8484</v>
      </c>
      <c r="K272" s="85">
        <f t="shared" si="444"/>
        <v>7635.5999999999995</v>
      </c>
      <c r="L272" s="85">
        <f t="shared" si="445"/>
        <v>7635.5999999999995</v>
      </c>
      <c r="M272" s="86">
        <f t="shared" si="446"/>
        <v>5938.8</v>
      </c>
      <c r="N272" s="87">
        <f t="shared" si="447"/>
        <v>8059.8</v>
      </c>
      <c r="O272" s="87">
        <f t="shared" si="448"/>
        <v>7211.4</v>
      </c>
      <c r="P272" s="87">
        <f t="shared" si="449"/>
        <v>2545.1999999999998</v>
      </c>
      <c r="Q272" s="87">
        <f t="shared" si="450"/>
        <v>5514.5999999999995</v>
      </c>
      <c r="R272" s="87">
        <f t="shared" si="451"/>
        <v>3393.6</v>
      </c>
      <c r="S272" s="87">
        <f t="shared" si="452"/>
        <v>1696.8</v>
      </c>
      <c r="T272" s="87">
        <f t="shared" si="453"/>
        <v>1272.5999999999999</v>
      </c>
      <c r="U272" s="87">
        <f t="shared" si="454"/>
        <v>848.4</v>
      </c>
      <c r="V272" s="87">
        <f t="shared" si="455"/>
        <v>2121</v>
      </c>
      <c r="W272" s="87">
        <f t="shared" si="456"/>
        <v>424.2</v>
      </c>
      <c r="X272" s="87">
        <f t="shared" si="457"/>
        <v>424.2</v>
      </c>
      <c r="Y272" s="86">
        <f t="shared" si="458"/>
        <v>424.2</v>
      </c>
      <c r="Z272" s="87">
        <f t="shared" si="459"/>
        <v>424.2</v>
      </c>
      <c r="AA272" s="87">
        <f t="shared" si="460"/>
        <v>0</v>
      </c>
      <c r="AB272" s="87">
        <f t="shared" si="461"/>
        <v>0</v>
      </c>
      <c r="AC272" s="87">
        <f t="shared" si="462"/>
        <v>0</v>
      </c>
      <c r="AD272" s="87">
        <f t="shared" si="463"/>
        <v>0</v>
      </c>
      <c r="AE272" s="87">
        <f t="shared" si="464"/>
        <v>0</v>
      </c>
      <c r="AF272" s="87">
        <f t="shared" si="465"/>
        <v>0</v>
      </c>
      <c r="AG272" s="87">
        <f t="shared" si="466"/>
        <v>0</v>
      </c>
      <c r="AH272" s="87">
        <f t="shared" si="467"/>
        <v>0</v>
      </c>
      <c r="AI272" s="87">
        <f t="shared" si="468"/>
        <v>0</v>
      </c>
      <c r="AJ272" s="87">
        <f t="shared" si="469"/>
        <v>0</v>
      </c>
      <c r="AK272" s="86">
        <f t="shared" si="470"/>
        <v>0</v>
      </c>
      <c r="AL272" s="85">
        <v>33</v>
      </c>
      <c r="AM272" s="85">
        <v>21</v>
      </c>
      <c r="AN272" s="85">
        <v>20</v>
      </c>
      <c r="AO272" s="85">
        <v>18</v>
      </c>
      <c r="AP272" s="85">
        <v>18</v>
      </c>
      <c r="AQ272" s="86">
        <v>14</v>
      </c>
      <c r="AR272" s="87">
        <v>19</v>
      </c>
      <c r="AS272" s="87">
        <v>17</v>
      </c>
      <c r="AT272" s="87">
        <v>6</v>
      </c>
      <c r="AU272" s="87">
        <v>13</v>
      </c>
      <c r="AV272" s="87">
        <v>8</v>
      </c>
      <c r="AW272" s="87">
        <v>4</v>
      </c>
      <c r="AX272" s="87">
        <v>3</v>
      </c>
      <c r="AY272" s="87">
        <v>2</v>
      </c>
      <c r="AZ272" s="87">
        <v>5</v>
      </c>
      <c r="BA272" s="87">
        <v>1</v>
      </c>
      <c r="BB272" s="87">
        <v>1</v>
      </c>
      <c r="BC272" s="86">
        <v>1</v>
      </c>
      <c r="BD272" s="87">
        <v>1</v>
      </c>
      <c r="BE272" s="87">
        <v>0</v>
      </c>
      <c r="BF272" s="87">
        <v>0</v>
      </c>
      <c r="BG272" s="87">
        <v>0</v>
      </c>
      <c r="BH272" s="87">
        <v>0</v>
      </c>
      <c r="BI272" s="87">
        <v>0</v>
      </c>
      <c r="BJ272" s="40">
        <v>0</v>
      </c>
      <c r="BK272" s="40">
        <v>0</v>
      </c>
      <c r="BL272" s="40">
        <v>0</v>
      </c>
      <c r="BM272" s="40">
        <v>0</v>
      </c>
      <c r="BN272" s="87"/>
      <c r="BO272" s="86"/>
      <c r="BP272" s="21">
        <v>0</v>
      </c>
      <c r="BQ272" s="21">
        <v>0</v>
      </c>
      <c r="BR272" s="21">
        <v>0</v>
      </c>
      <c r="BS272" s="21">
        <v>0</v>
      </c>
      <c r="BT272" s="21">
        <v>0</v>
      </c>
      <c r="BU272" s="42">
        <v>0</v>
      </c>
      <c r="BV272" s="21">
        <v>0</v>
      </c>
      <c r="BW272" s="21">
        <v>0</v>
      </c>
      <c r="BX272" s="21">
        <v>0</v>
      </c>
      <c r="BY272" s="21">
        <v>0</v>
      </c>
      <c r="BZ272" s="21">
        <v>0</v>
      </c>
      <c r="CA272" s="21">
        <v>0</v>
      </c>
      <c r="CB272" s="21">
        <v>0</v>
      </c>
      <c r="CC272" s="21">
        <v>0</v>
      </c>
      <c r="CD272" s="21">
        <v>0</v>
      </c>
      <c r="CE272" s="21">
        <v>0</v>
      </c>
      <c r="CF272" s="21">
        <v>0</v>
      </c>
      <c r="CG272" s="42">
        <v>0</v>
      </c>
      <c r="CH272" s="21">
        <v>0</v>
      </c>
      <c r="CI272" s="21">
        <v>0</v>
      </c>
      <c r="CJ272" s="21">
        <v>0</v>
      </c>
      <c r="CK272" s="21">
        <v>0</v>
      </c>
      <c r="CL272" s="21">
        <v>0</v>
      </c>
      <c r="CM272" s="21">
        <v>0</v>
      </c>
      <c r="CN272" s="21">
        <v>0</v>
      </c>
      <c r="CO272" s="21">
        <v>0</v>
      </c>
      <c r="CP272" s="21">
        <f t="shared" si="471"/>
        <v>0</v>
      </c>
      <c r="CQ272" s="344">
        <f t="shared" si="472"/>
        <v>0</v>
      </c>
      <c r="CR272" s="87"/>
      <c r="CS272" s="86"/>
      <c r="CT272" s="85">
        <f t="shared" si="473"/>
        <v>33</v>
      </c>
      <c r="CU272" s="85">
        <f t="shared" si="474"/>
        <v>21</v>
      </c>
      <c r="CV272" s="85">
        <f t="shared" si="475"/>
        <v>20</v>
      </c>
      <c r="CW272" s="85">
        <f t="shared" si="476"/>
        <v>18</v>
      </c>
      <c r="CX272" s="85">
        <f t="shared" si="477"/>
        <v>18</v>
      </c>
      <c r="CY272" s="86">
        <f t="shared" si="478"/>
        <v>14</v>
      </c>
      <c r="CZ272" s="87">
        <f t="shared" si="479"/>
        <v>19</v>
      </c>
      <c r="DA272" s="87">
        <f t="shared" si="480"/>
        <v>17</v>
      </c>
      <c r="DB272" s="87">
        <f t="shared" si="481"/>
        <v>6</v>
      </c>
      <c r="DC272" s="87">
        <f t="shared" si="482"/>
        <v>13</v>
      </c>
      <c r="DD272" s="87">
        <f t="shared" si="483"/>
        <v>8</v>
      </c>
      <c r="DE272" s="87">
        <f t="shared" si="484"/>
        <v>4</v>
      </c>
      <c r="DF272" s="87">
        <f t="shared" si="485"/>
        <v>3</v>
      </c>
      <c r="DG272" s="87">
        <f t="shared" si="486"/>
        <v>2</v>
      </c>
      <c r="DH272" s="87">
        <f t="shared" si="487"/>
        <v>5</v>
      </c>
      <c r="DI272" s="87">
        <f t="shared" si="488"/>
        <v>1</v>
      </c>
      <c r="DJ272" s="87">
        <f t="shared" si="489"/>
        <v>1</v>
      </c>
      <c r="DK272" s="86">
        <f t="shared" si="490"/>
        <v>1</v>
      </c>
      <c r="DL272" s="87">
        <f t="shared" si="491"/>
        <v>1</v>
      </c>
      <c r="DM272" s="87">
        <f t="shared" si="492"/>
        <v>0</v>
      </c>
      <c r="DN272" s="87">
        <f t="shared" si="493"/>
        <v>0</v>
      </c>
      <c r="DO272" s="87">
        <f t="shared" si="494"/>
        <v>0</v>
      </c>
      <c r="DP272" s="87">
        <f t="shared" si="495"/>
        <v>0</v>
      </c>
      <c r="DQ272" s="87">
        <f t="shared" si="496"/>
        <v>0</v>
      </c>
      <c r="DR272" s="87">
        <f t="shared" si="439"/>
        <v>0</v>
      </c>
      <c r="DS272" s="87">
        <f t="shared" si="440"/>
        <v>0</v>
      </c>
      <c r="DT272" s="87">
        <f t="shared" si="497"/>
        <v>0</v>
      </c>
      <c r="DU272" s="87">
        <f t="shared" si="498"/>
        <v>0</v>
      </c>
      <c r="DV272" s="87">
        <f t="shared" si="499"/>
        <v>0</v>
      </c>
      <c r="DW272" s="87">
        <f t="shared" si="500"/>
        <v>0</v>
      </c>
    </row>
    <row r="273" spans="1:127">
      <c r="A273" s="22" t="s">
        <v>22</v>
      </c>
      <c r="B273" s="26">
        <v>4210201380108</v>
      </c>
      <c r="C273" s="22" t="s">
        <v>117</v>
      </c>
      <c r="D273" s="22" t="s">
        <v>119</v>
      </c>
      <c r="E273" s="22">
        <v>645177</v>
      </c>
      <c r="F273" s="80" t="s">
        <v>365</v>
      </c>
      <c r="G273" s="25">
        <v>652.65</v>
      </c>
      <c r="H273" s="85">
        <f t="shared" si="441"/>
        <v>266933.84999999998</v>
      </c>
      <c r="I273" s="85">
        <f t="shared" si="442"/>
        <v>490792.8</v>
      </c>
      <c r="J273" s="85">
        <f t="shared" si="443"/>
        <v>298261.05</v>
      </c>
      <c r="K273" s="85">
        <f t="shared" si="444"/>
        <v>211458.6</v>
      </c>
      <c r="L273" s="85">
        <f t="shared" si="445"/>
        <v>577595.25</v>
      </c>
      <c r="M273" s="86">
        <f t="shared" si="446"/>
        <v>356999.55</v>
      </c>
      <c r="N273" s="87">
        <f t="shared" si="447"/>
        <v>167731.04999999999</v>
      </c>
      <c r="O273" s="87">
        <f t="shared" si="448"/>
        <v>316535.25</v>
      </c>
      <c r="P273" s="87">
        <f t="shared" si="449"/>
        <v>470560.64999999997</v>
      </c>
      <c r="Q273" s="87">
        <f t="shared" si="450"/>
        <v>201016.19999999998</v>
      </c>
      <c r="R273" s="87">
        <f t="shared" si="451"/>
        <v>208195.35</v>
      </c>
      <c r="S273" s="87">
        <f t="shared" si="452"/>
        <v>205584.75</v>
      </c>
      <c r="T273" s="87">
        <f t="shared" si="453"/>
        <v>164467.79999999999</v>
      </c>
      <c r="U273" s="87">
        <f t="shared" si="454"/>
        <v>265628.55</v>
      </c>
      <c r="V273" s="87">
        <f t="shared" si="455"/>
        <v>232996.05</v>
      </c>
      <c r="W273" s="87">
        <f t="shared" si="456"/>
        <v>186657.9</v>
      </c>
      <c r="X273" s="87">
        <f t="shared" si="457"/>
        <v>219290.4</v>
      </c>
      <c r="Y273" s="86">
        <f t="shared" si="458"/>
        <v>189921.15</v>
      </c>
      <c r="Z273" s="87">
        <f t="shared" si="459"/>
        <v>163815.15</v>
      </c>
      <c r="AA273" s="87">
        <f t="shared" si="460"/>
        <v>77665.349999999991</v>
      </c>
      <c r="AB273" s="87">
        <f t="shared" si="461"/>
        <v>36548.400000000001</v>
      </c>
      <c r="AC273" s="87">
        <f t="shared" si="462"/>
        <v>59391.15</v>
      </c>
      <c r="AD273" s="87">
        <f t="shared" si="463"/>
        <v>46338.15</v>
      </c>
      <c r="AE273" s="87">
        <f t="shared" si="464"/>
        <v>44380.2</v>
      </c>
      <c r="AF273" s="87">
        <f t="shared" si="465"/>
        <v>16968.899999999998</v>
      </c>
      <c r="AG273" s="87">
        <f t="shared" si="466"/>
        <v>18926.849999999999</v>
      </c>
      <c r="AH273" s="87">
        <f t="shared" si="467"/>
        <v>13705.65</v>
      </c>
      <c r="AI273" s="87">
        <f t="shared" si="468"/>
        <v>18346.716666666667</v>
      </c>
      <c r="AJ273" s="87">
        <f t="shared" si="469"/>
        <v>0</v>
      </c>
      <c r="AK273" s="86">
        <f t="shared" si="470"/>
        <v>0</v>
      </c>
      <c r="AL273" s="85">
        <v>395</v>
      </c>
      <c r="AM273" s="85">
        <v>727</v>
      </c>
      <c r="AN273" s="85">
        <v>416</v>
      </c>
      <c r="AO273" s="85">
        <v>308</v>
      </c>
      <c r="AP273" s="85">
        <v>867</v>
      </c>
      <c r="AQ273" s="86">
        <v>500</v>
      </c>
      <c r="AR273" s="87">
        <v>244</v>
      </c>
      <c r="AS273" s="87">
        <v>461</v>
      </c>
      <c r="AT273" s="87">
        <v>654</v>
      </c>
      <c r="AU273" s="87">
        <v>298</v>
      </c>
      <c r="AV273" s="87">
        <v>299</v>
      </c>
      <c r="AW273" s="87">
        <v>282</v>
      </c>
      <c r="AX273" s="87">
        <v>252</v>
      </c>
      <c r="AY273" s="87">
        <v>362</v>
      </c>
      <c r="AZ273" s="87">
        <v>357</v>
      </c>
      <c r="BA273" s="87">
        <v>246</v>
      </c>
      <c r="BB273" s="87">
        <v>280</v>
      </c>
      <c r="BC273" s="86">
        <v>247</v>
      </c>
      <c r="BD273" s="87">
        <v>250</v>
      </c>
      <c r="BE273" s="87">
        <v>119</v>
      </c>
      <c r="BF273" s="87">
        <v>56</v>
      </c>
      <c r="BG273" s="87">
        <v>91</v>
      </c>
      <c r="BH273" s="87">
        <v>71</v>
      </c>
      <c r="BI273" s="87">
        <v>68</v>
      </c>
      <c r="BJ273" s="40">
        <v>26</v>
      </c>
      <c r="BK273" s="40">
        <v>29</v>
      </c>
      <c r="BL273" s="40">
        <v>21</v>
      </c>
      <c r="BM273" s="40">
        <v>28</v>
      </c>
      <c r="BN273" s="87"/>
      <c r="BO273" s="86"/>
      <c r="BP273" s="21">
        <v>14</v>
      </c>
      <c r="BQ273" s="21">
        <v>25</v>
      </c>
      <c r="BR273" s="21">
        <v>41</v>
      </c>
      <c r="BS273" s="21">
        <v>16</v>
      </c>
      <c r="BT273" s="21">
        <v>18</v>
      </c>
      <c r="BU273" s="42">
        <v>47</v>
      </c>
      <c r="BV273" s="21">
        <v>13</v>
      </c>
      <c r="BW273" s="21">
        <v>24</v>
      </c>
      <c r="BX273" s="21">
        <v>67</v>
      </c>
      <c r="BY273" s="21">
        <v>10</v>
      </c>
      <c r="BZ273" s="21">
        <v>20</v>
      </c>
      <c r="CA273" s="21">
        <v>33</v>
      </c>
      <c r="CB273" s="21">
        <v>0</v>
      </c>
      <c r="CC273" s="21">
        <v>45</v>
      </c>
      <c r="CD273" s="21">
        <v>0</v>
      </c>
      <c r="CE273" s="21">
        <v>40</v>
      </c>
      <c r="CF273" s="21">
        <v>56</v>
      </c>
      <c r="CG273" s="42">
        <v>44</v>
      </c>
      <c r="CH273" s="21">
        <v>1</v>
      </c>
      <c r="CI273" s="21">
        <v>0</v>
      </c>
      <c r="CJ273" s="21">
        <v>0</v>
      </c>
      <c r="CK273" s="21">
        <v>0</v>
      </c>
      <c r="CL273" s="21">
        <v>0</v>
      </c>
      <c r="CM273" s="21">
        <v>0</v>
      </c>
      <c r="CN273" s="21">
        <v>0</v>
      </c>
      <c r="CO273" s="21">
        <v>0</v>
      </c>
      <c r="CP273" s="21">
        <f t="shared" si="471"/>
        <v>0</v>
      </c>
      <c r="CQ273" s="344">
        <f t="shared" si="472"/>
        <v>0.1111111111111111</v>
      </c>
      <c r="CR273" s="87"/>
      <c r="CS273" s="86"/>
      <c r="CT273" s="85">
        <f t="shared" si="473"/>
        <v>409</v>
      </c>
      <c r="CU273" s="85">
        <f t="shared" si="474"/>
        <v>752</v>
      </c>
      <c r="CV273" s="85">
        <f t="shared" si="475"/>
        <v>457</v>
      </c>
      <c r="CW273" s="85">
        <f t="shared" si="476"/>
        <v>324</v>
      </c>
      <c r="CX273" s="85">
        <f t="shared" si="477"/>
        <v>885</v>
      </c>
      <c r="CY273" s="86">
        <f t="shared" si="478"/>
        <v>547</v>
      </c>
      <c r="CZ273" s="87">
        <f t="shared" si="479"/>
        <v>257</v>
      </c>
      <c r="DA273" s="87">
        <f t="shared" si="480"/>
        <v>485</v>
      </c>
      <c r="DB273" s="87">
        <f t="shared" si="481"/>
        <v>721</v>
      </c>
      <c r="DC273" s="87">
        <f t="shared" si="482"/>
        <v>308</v>
      </c>
      <c r="DD273" s="87">
        <f t="shared" si="483"/>
        <v>319</v>
      </c>
      <c r="DE273" s="87">
        <f t="shared" si="484"/>
        <v>315</v>
      </c>
      <c r="DF273" s="87">
        <f t="shared" si="485"/>
        <v>252</v>
      </c>
      <c r="DG273" s="87">
        <f t="shared" si="486"/>
        <v>407</v>
      </c>
      <c r="DH273" s="87">
        <f t="shared" si="487"/>
        <v>357</v>
      </c>
      <c r="DI273" s="87">
        <f t="shared" si="488"/>
        <v>286</v>
      </c>
      <c r="DJ273" s="87">
        <f t="shared" si="489"/>
        <v>336</v>
      </c>
      <c r="DK273" s="86">
        <f t="shared" si="490"/>
        <v>291</v>
      </c>
      <c r="DL273" s="87">
        <f t="shared" si="491"/>
        <v>251</v>
      </c>
      <c r="DM273" s="87">
        <f t="shared" si="492"/>
        <v>119</v>
      </c>
      <c r="DN273" s="87">
        <f t="shared" si="493"/>
        <v>56</v>
      </c>
      <c r="DO273" s="87">
        <f t="shared" si="494"/>
        <v>91</v>
      </c>
      <c r="DP273" s="87">
        <f t="shared" si="495"/>
        <v>71</v>
      </c>
      <c r="DQ273" s="87">
        <f t="shared" si="496"/>
        <v>68</v>
      </c>
      <c r="DR273" s="87">
        <f t="shared" si="439"/>
        <v>26</v>
      </c>
      <c r="DS273" s="87">
        <f t="shared" si="440"/>
        <v>29</v>
      </c>
      <c r="DT273" s="87">
        <f t="shared" si="497"/>
        <v>21</v>
      </c>
      <c r="DU273" s="87">
        <f t="shared" si="498"/>
        <v>28.111111111111111</v>
      </c>
      <c r="DV273" s="87">
        <f t="shared" si="499"/>
        <v>0</v>
      </c>
      <c r="DW273" s="87">
        <f t="shared" si="500"/>
        <v>0</v>
      </c>
    </row>
    <row r="274" spans="1:127">
      <c r="A274" s="22" t="s">
        <v>22</v>
      </c>
      <c r="B274" s="26">
        <v>4210201438458</v>
      </c>
      <c r="C274" s="22" t="s">
        <v>117</v>
      </c>
      <c r="D274" s="22" t="s">
        <v>119</v>
      </c>
      <c r="E274" s="22">
        <v>267453</v>
      </c>
      <c r="F274" s="80" t="s">
        <v>366</v>
      </c>
      <c r="G274" s="25">
        <v>755.61</v>
      </c>
      <c r="H274" s="85">
        <f t="shared" si="441"/>
        <v>0</v>
      </c>
      <c r="I274" s="85">
        <f t="shared" si="442"/>
        <v>0</v>
      </c>
      <c r="J274" s="85">
        <f t="shared" si="443"/>
        <v>0</v>
      </c>
      <c r="K274" s="85">
        <f t="shared" si="444"/>
        <v>0</v>
      </c>
      <c r="L274" s="85">
        <f t="shared" si="445"/>
        <v>0</v>
      </c>
      <c r="M274" s="86">
        <f t="shared" si="446"/>
        <v>0</v>
      </c>
      <c r="N274" s="87">
        <f t="shared" si="447"/>
        <v>0</v>
      </c>
      <c r="O274" s="87">
        <f t="shared" si="448"/>
        <v>0</v>
      </c>
      <c r="P274" s="87">
        <f t="shared" si="449"/>
        <v>0</v>
      </c>
      <c r="Q274" s="87">
        <f t="shared" si="450"/>
        <v>0</v>
      </c>
      <c r="R274" s="87">
        <f t="shared" si="451"/>
        <v>0</v>
      </c>
      <c r="S274" s="87">
        <f t="shared" si="452"/>
        <v>0</v>
      </c>
      <c r="T274" s="87">
        <f t="shared" si="453"/>
        <v>0</v>
      </c>
      <c r="U274" s="87">
        <f t="shared" si="454"/>
        <v>0</v>
      </c>
      <c r="V274" s="87">
        <f t="shared" si="455"/>
        <v>0</v>
      </c>
      <c r="W274" s="87">
        <f t="shared" si="456"/>
        <v>0</v>
      </c>
      <c r="X274" s="87">
        <f t="shared" si="457"/>
        <v>0</v>
      </c>
      <c r="Y274" s="86">
        <f t="shared" si="458"/>
        <v>755.61</v>
      </c>
      <c r="Z274" s="87">
        <f t="shared" si="459"/>
        <v>27201.96</v>
      </c>
      <c r="AA274" s="87">
        <f t="shared" si="460"/>
        <v>141299.07</v>
      </c>
      <c r="AB274" s="87">
        <f t="shared" si="461"/>
        <v>158678.1</v>
      </c>
      <c r="AC274" s="87">
        <f t="shared" si="462"/>
        <v>454877.22000000003</v>
      </c>
      <c r="AD274" s="87">
        <f t="shared" si="463"/>
        <v>176812.74</v>
      </c>
      <c r="AE274" s="87">
        <f t="shared" si="464"/>
        <v>346069.38</v>
      </c>
      <c r="AF274" s="87">
        <f t="shared" si="465"/>
        <v>206281.53</v>
      </c>
      <c r="AG274" s="87">
        <f t="shared" si="466"/>
        <v>228949.83000000002</v>
      </c>
      <c r="AH274" s="87">
        <f t="shared" si="467"/>
        <v>191169.33000000002</v>
      </c>
      <c r="AI274" s="87">
        <f t="shared" si="468"/>
        <v>268241.55</v>
      </c>
      <c r="AJ274" s="87">
        <f t="shared" si="469"/>
        <v>0</v>
      </c>
      <c r="AK274" s="86">
        <f t="shared" si="470"/>
        <v>0</v>
      </c>
      <c r="AL274" s="85">
        <v>0</v>
      </c>
      <c r="AM274" s="85">
        <v>0</v>
      </c>
      <c r="AN274" s="85">
        <v>0</v>
      </c>
      <c r="AO274" s="85">
        <v>0</v>
      </c>
      <c r="AP274" s="85">
        <v>0</v>
      </c>
      <c r="AQ274" s="86">
        <v>0</v>
      </c>
      <c r="AR274" s="87">
        <v>0</v>
      </c>
      <c r="AS274" s="87">
        <v>0</v>
      </c>
      <c r="AT274" s="87">
        <v>0</v>
      </c>
      <c r="AU274" s="87">
        <v>0</v>
      </c>
      <c r="AV274" s="87">
        <v>0</v>
      </c>
      <c r="AW274" s="87">
        <v>0</v>
      </c>
      <c r="AX274" s="87">
        <v>0</v>
      </c>
      <c r="AY274" s="87">
        <v>0</v>
      </c>
      <c r="AZ274" s="87">
        <v>0</v>
      </c>
      <c r="BA274" s="87">
        <v>0</v>
      </c>
      <c r="BB274" s="87">
        <v>0</v>
      </c>
      <c r="BC274" s="86">
        <v>0</v>
      </c>
      <c r="BD274" s="87">
        <v>0</v>
      </c>
      <c r="BE274" s="87">
        <v>179</v>
      </c>
      <c r="BF274" s="87">
        <v>175</v>
      </c>
      <c r="BG274" s="87">
        <v>576</v>
      </c>
      <c r="BH274" s="87">
        <v>174</v>
      </c>
      <c r="BI274" s="87">
        <v>413</v>
      </c>
      <c r="BJ274" s="40">
        <v>239</v>
      </c>
      <c r="BK274" s="40">
        <v>272</v>
      </c>
      <c r="BL274" s="40">
        <v>222</v>
      </c>
      <c r="BM274" s="40">
        <v>321</v>
      </c>
      <c r="BN274" s="87"/>
      <c r="BO274" s="86"/>
      <c r="BP274" s="21">
        <v>0</v>
      </c>
      <c r="BQ274" s="21">
        <v>0</v>
      </c>
      <c r="BR274" s="21">
        <v>0</v>
      </c>
      <c r="BS274" s="21">
        <v>0</v>
      </c>
      <c r="BT274" s="21">
        <v>0</v>
      </c>
      <c r="BU274" s="42">
        <v>0</v>
      </c>
      <c r="BV274" s="21">
        <v>0</v>
      </c>
      <c r="BW274" s="21">
        <v>0</v>
      </c>
      <c r="BX274" s="21">
        <v>0</v>
      </c>
      <c r="BY274" s="21">
        <v>0</v>
      </c>
      <c r="BZ274" s="21">
        <v>0</v>
      </c>
      <c r="CA274" s="21">
        <v>0</v>
      </c>
      <c r="CB274" s="21">
        <v>0</v>
      </c>
      <c r="CC274" s="21">
        <v>0</v>
      </c>
      <c r="CD274" s="21">
        <v>0</v>
      </c>
      <c r="CE274" s="21">
        <v>0</v>
      </c>
      <c r="CF274" s="21">
        <v>0</v>
      </c>
      <c r="CG274" s="42">
        <v>1</v>
      </c>
      <c r="CH274" s="21">
        <v>36</v>
      </c>
      <c r="CI274" s="21">
        <v>8</v>
      </c>
      <c r="CJ274" s="21">
        <v>35</v>
      </c>
      <c r="CK274" s="21">
        <v>26</v>
      </c>
      <c r="CL274" s="21">
        <v>60</v>
      </c>
      <c r="CM274" s="21">
        <v>45</v>
      </c>
      <c r="CN274" s="21">
        <v>34</v>
      </c>
      <c r="CO274" s="21">
        <v>31</v>
      </c>
      <c r="CP274" s="21">
        <f t="shared" si="471"/>
        <v>31</v>
      </c>
      <c r="CQ274" s="344">
        <f t="shared" si="472"/>
        <v>34</v>
      </c>
      <c r="CR274" s="87"/>
      <c r="CS274" s="86"/>
      <c r="CT274" s="85">
        <f t="shared" si="473"/>
        <v>0</v>
      </c>
      <c r="CU274" s="85">
        <f t="shared" si="474"/>
        <v>0</v>
      </c>
      <c r="CV274" s="85">
        <f t="shared" si="475"/>
        <v>0</v>
      </c>
      <c r="CW274" s="85">
        <f t="shared" si="476"/>
        <v>0</v>
      </c>
      <c r="CX274" s="85">
        <f t="shared" si="477"/>
        <v>0</v>
      </c>
      <c r="CY274" s="86">
        <f t="shared" si="478"/>
        <v>0</v>
      </c>
      <c r="CZ274" s="87">
        <f t="shared" si="479"/>
        <v>0</v>
      </c>
      <c r="DA274" s="87">
        <f t="shared" si="480"/>
        <v>0</v>
      </c>
      <c r="DB274" s="87">
        <f t="shared" si="481"/>
        <v>0</v>
      </c>
      <c r="DC274" s="87">
        <f t="shared" si="482"/>
        <v>0</v>
      </c>
      <c r="DD274" s="87">
        <f t="shared" si="483"/>
        <v>0</v>
      </c>
      <c r="DE274" s="87">
        <f t="shared" si="484"/>
        <v>0</v>
      </c>
      <c r="DF274" s="87">
        <f t="shared" si="485"/>
        <v>0</v>
      </c>
      <c r="DG274" s="87">
        <f t="shared" si="486"/>
        <v>0</v>
      </c>
      <c r="DH274" s="87">
        <f t="shared" si="487"/>
        <v>0</v>
      </c>
      <c r="DI274" s="87">
        <f t="shared" si="488"/>
        <v>0</v>
      </c>
      <c r="DJ274" s="87">
        <f t="shared" si="489"/>
        <v>0</v>
      </c>
      <c r="DK274" s="86">
        <f t="shared" si="490"/>
        <v>1</v>
      </c>
      <c r="DL274" s="87">
        <f t="shared" si="491"/>
        <v>36</v>
      </c>
      <c r="DM274" s="87">
        <f t="shared" si="492"/>
        <v>187</v>
      </c>
      <c r="DN274" s="87">
        <f t="shared" si="493"/>
        <v>210</v>
      </c>
      <c r="DO274" s="87">
        <f t="shared" si="494"/>
        <v>602</v>
      </c>
      <c r="DP274" s="87">
        <f t="shared" si="495"/>
        <v>234</v>
      </c>
      <c r="DQ274" s="87">
        <f t="shared" si="496"/>
        <v>458</v>
      </c>
      <c r="DR274" s="87">
        <f t="shared" si="439"/>
        <v>273</v>
      </c>
      <c r="DS274" s="87">
        <f t="shared" si="440"/>
        <v>303</v>
      </c>
      <c r="DT274" s="87">
        <f t="shared" si="497"/>
        <v>253</v>
      </c>
      <c r="DU274" s="87">
        <f t="shared" si="498"/>
        <v>355</v>
      </c>
      <c r="DV274" s="87">
        <f t="shared" si="499"/>
        <v>0</v>
      </c>
      <c r="DW274" s="87">
        <f t="shared" si="500"/>
        <v>0</v>
      </c>
    </row>
    <row r="275" spans="1:127">
      <c r="A275" s="22" t="s">
        <v>22</v>
      </c>
      <c r="B275" s="26">
        <v>4210201272335</v>
      </c>
      <c r="C275" s="22" t="s">
        <v>117</v>
      </c>
      <c r="D275" s="22" t="s">
        <v>119</v>
      </c>
      <c r="E275" s="22">
        <v>293868</v>
      </c>
      <c r="F275" s="80" t="s">
        <v>367</v>
      </c>
      <c r="G275" s="25">
        <v>949.6</v>
      </c>
      <c r="H275" s="85">
        <f t="shared" si="441"/>
        <v>37984</v>
      </c>
      <c r="I275" s="85">
        <f t="shared" si="442"/>
        <v>61724</v>
      </c>
      <c r="J275" s="85">
        <f t="shared" si="443"/>
        <v>46530.400000000001</v>
      </c>
      <c r="K275" s="85">
        <f t="shared" si="444"/>
        <v>43681.599999999999</v>
      </c>
      <c r="L275" s="85">
        <f t="shared" si="445"/>
        <v>43681.599999999999</v>
      </c>
      <c r="M275" s="86">
        <f t="shared" si="446"/>
        <v>48429.599999999999</v>
      </c>
      <c r="N275" s="87">
        <f t="shared" si="447"/>
        <v>35135.200000000004</v>
      </c>
      <c r="O275" s="87">
        <f t="shared" si="448"/>
        <v>59824.800000000003</v>
      </c>
      <c r="P275" s="87">
        <f t="shared" si="449"/>
        <v>32286.400000000001</v>
      </c>
      <c r="Q275" s="87">
        <f t="shared" si="450"/>
        <v>27538.400000000001</v>
      </c>
      <c r="R275" s="87">
        <f t="shared" si="451"/>
        <v>51278.400000000001</v>
      </c>
      <c r="S275" s="87">
        <f t="shared" si="452"/>
        <v>54127.200000000004</v>
      </c>
      <c r="T275" s="87">
        <f t="shared" si="453"/>
        <v>42732</v>
      </c>
      <c r="U275" s="87">
        <f t="shared" si="454"/>
        <v>52228</v>
      </c>
      <c r="V275" s="87">
        <f t="shared" si="455"/>
        <v>43681.599999999999</v>
      </c>
      <c r="W275" s="87">
        <f t="shared" si="456"/>
        <v>83564.800000000003</v>
      </c>
      <c r="X275" s="87">
        <f t="shared" si="457"/>
        <v>138641.60000000001</v>
      </c>
      <c r="Y275" s="86">
        <f t="shared" si="458"/>
        <v>70270.400000000009</v>
      </c>
      <c r="Z275" s="87">
        <f t="shared" si="459"/>
        <v>90212</v>
      </c>
      <c r="AA275" s="87">
        <f t="shared" si="460"/>
        <v>61724</v>
      </c>
      <c r="AB275" s="87">
        <f t="shared" si="461"/>
        <v>53177.599999999999</v>
      </c>
      <c r="AC275" s="87">
        <f t="shared" si="462"/>
        <v>75968</v>
      </c>
      <c r="AD275" s="87">
        <f t="shared" si="463"/>
        <v>59824.800000000003</v>
      </c>
      <c r="AE275" s="87">
        <f t="shared" si="464"/>
        <v>52228</v>
      </c>
      <c r="AF275" s="87">
        <f t="shared" si="465"/>
        <v>32286.400000000001</v>
      </c>
      <c r="AG275" s="87">
        <f t="shared" si="466"/>
        <v>35135.200000000004</v>
      </c>
      <c r="AH275" s="87">
        <f t="shared" si="467"/>
        <v>27538.400000000001</v>
      </c>
      <c r="AI275" s="87">
        <f t="shared" si="468"/>
        <v>21840.799999999999</v>
      </c>
      <c r="AJ275" s="87">
        <f t="shared" si="469"/>
        <v>0</v>
      </c>
      <c r="AK275" s="86">
        <f t="shared" si="470"/>
        <v>0</v>
      </c>
      <c r="AL275" s="85">
        <v>37</v>
      </c>
      <c r="AM275" s="85">
        <v>63</v>
      </c>
      <c r="AN275" s="85">
        <v>44</v>
      </c>
      <c r="AO275" s="85">
        <v>44</v>
      </c>
      <c r="AP275" s="85">
        <v>46</v>
      </c>
      <c r="AQ275" s="86">
        <v>43</v>
      </c>
      <c r="AR275" s="87">
        <v>33</v>
      </c>
      <c r="AS275" s="87">
        <v>53</v>
      </c>
      <c r="AT275" s="87">
        <v>32</v>
      </c>
      <c r="AU275" s="87">
        <v>28</v>
      </c>
      <c r="AV275" s="87">
        <v>50</v>
      </c>
      <c r="AW275" s="87">
        <v>56</v>
      </c>
      <c r="AX275" s="87">
        <v>44</v>
      </c>
      <c r="AY275" s="87">
        <v>51</v>
      </c>
      <c r="AZ275" s="87">
        <v>43</v>
      </c>
      <c r="BA275" s="87">
        <v>56</v>
      </c>
      <c r="BB275" s="87">
        <v>114</v>
      </c>
      <c r="BC275" s="86">
        <v>73</v>
      </c>
      <c r="BD275" s="87">
        <v>95</v>
      </c>
      <c r="BE275" s="87">
        <v>65</v>
      </c>
      <c r="BF275" s="87">
        <v>56</v>
      </c>
      <c r="BG275" s="87">
        <v>80</v>
      </c>
      <c r="BH275" s="87">
        <v>63</v>
      </c>
      <c r="BI275" s="87">
        <v>55</v>
      </c>
      <c r="BJ275" s="40">
        <v>34</v>
      </c>
      <c r="BK275" s="40">
        <v>37</v>
      </c>
      <c r="BL275" s="40">
        <v>29</v>
      </c>
      <c r="BM275" s="40">
        <v>23</v>
      </c>
      <c r="BN275" s="87"/>
      <c r="BO275" s="86"/>
      <c r="BP275" s="21">
        <v>3</v>
      </c>
      <c r="BQ275" s="21">
        <v>2</v>
      </c>
      <c r="BR275" s="21">
        <v>5</v>
      </c>
      <c r="BS275" s="21">
        <v>2</v>
      </c>
      <c r="BT275" s="21">
        <v>0</v>
      </c>
      <c r="BU275" s="42">
        <v>8</v>
      </c>
      <c r="BV275" s="21">
        <v>4</v>
      </c>
      <c r="BW275" s="21">
        <v>10</v>
      </c>
      <c r="BX275" s="21">
        <v>2</v>
      </c>
      <c r="BY275" s="21">
        <v>1</v>
      </c>
      <c r="BZ275" s="21">
        <v>4</v>
      </c>
      <c r="CA275" s="21">
        <v>1</v>
      </c>
      <c r="CB275" s="21">
        <v>1</v>
      </c>
      <c r="CC275" s="21">
        <v>4</v>
      </c>
      <c r="CD275" s="21">
        <v>3</v>
      </c>
      <c r="CE275" s="21">
        <v>32</v>
      </c>
      <c r="CF275" s="21">
        <v>32</v>
      </c>
      <c r="CG275" s="42">
        <v>1</v>
      </c>
      <c r="CH275" s="21">
        <v>0</v>
      </c>
      <c r="CI275" s="21">
        <v>0</v>
      </c>
      <c r="CJ275" s="21">
        <v>0</v>
      </c>
      <c r="CK275" s="21">
        <v>0</v>
      </c>
      <c r="CL275" s="21">
        <v>0</v>
      </c>
      <c r="CM275" s="21">
        <v>0</v>
      </c>
      <c r="CN275" s="21">
        <v>0</v>
      </c>
      <c r="CO275" s="21">
        <v>0</v>
      </c>
      <c r="CP275" s="21">
        <f t="shared" si="471"/>
        <v>0</v>
      </c>
      <c r="CQ275" s="344">
        <f t="shared" si="472"/>
        <v>0</v>
      </c>
      <c r="CR275" s="87"/>
      <c r="CS275" s="86"/>
      <c r="CT275" s="85">
        <f t="shared" si="473"/>
        <v>40</v>
      </c>
      <c r="CU275" s="85">
        <f t="shared" si="474"/>
        <v>65</v>
      </c>
      <c r="CV275" s="85">
        <f t="shared" si="475"/>
        <v>49</v>
      </c>
      <c r="CW275" s="85">
        <f t="shared" si="476"/>
        <v>46</v>
      </c>
      <c r="CX275" s="85">
        <f t="shared" si="477"/>
        <v>46</v>
      </c>
      <c r="CY275" s="86">
        <f t="shared" si="478"/>
        <v>51</v>
      </c>
      <c r="CZ275" s="87">
        <f t="shared" si="479"/>
        <v>37</v>
      </c>
      <c r="DA275" s="87">
        <f t="shared" si="480"/>
        <v>63</v>
      </c>
      <c r="DB275" s="87">
        <f t="shared" si="481"/>
        <v>34</v>
      </c>
      <c r="DC275" s="87">
        <f t="shared" si="482"/>
        <v>29</v>
      </c>
      <c r="DD275" s="87">
        <f t="shared" si="483"/>
        <v>54</v>
      </c>
      <c r="DE275" s="87">
        <f t="shared" si="484"/>
        <v>57</v>
      </c>
      <c r="DF275" s="87">
        <f t="shared" si="485"/>
        <v>45</v>
      </c>
      <c r="DG275" s="87">
        <f t="shared" si="486"/>
        <v>55</v>
      </c>
      <c r="DH275" s="87">
        <f t="shared" si="487"/>
        <v>46</v>
      </c>
      <c r="DI275" s="87">
        <f t="shared" si="488"/>
        <v>88</v>
      </c>
      <c r="DJ275" s="87">
        <f t="shared" si="489"/>
        <v>146</v>
      </c>
      <c r="DK275" s="86">
        <f t="shared" si="490"/>
        <v>74</v>
      </c>
      <c r="DL275" s="87">
        <f t="shared" si="491"/>
        <v>95</v>
      </c>
      <c r="DM275" s="87">
        <f t="shared" si="492"/>
        <v>65</v>
      </c>
      <c r="DN275" s="87">
        <f t="shared" si="493"/>
        <v>56</v>
      </c>
      <c r="DO275" s="87">
        <f t="shared" si="494"/>
        <v>80</v>
      </c>
      <c r="DP275" s="87">
        <f t="shared" si="495"/>
        <v>63</v>
      </c>
      <c r="DQ275" s="87">
        <f t="shared" si="496"/>
        <v>55</v>
      </c>
      <c r="DR275" s="87">
        <f t="shared" si="439"/>
        <v>34</v>
      </c>
      <c r="DS275" s="87">
        <f t="shared" si="440"/>
        <v>37</v>
      </c>
      <c r="DT275" s="87">
        <f t="shared" si="497"/>
        <v>29</v>
      </c>
      <c r="DU275" s="87">
        <f t="shared" si="498"/>
        <v>23</v>
      </c>
      <c r="DV275" s="87">
        <f t="shared" si="499"/>
        <v>0</v>
      </c>
      <c r="DW275" s="87">
        <f t="shared" si="500"/>
        <v>0</v>
      </c>
    </row>
    <row r="276" spans="1:127">
      <c r="A276" s="22" t="s">
        <v>22</v>
      </c>
      <c r="B276" s="26">
        <v>4987176083753</v>
      </c>
      <c r="C276" s="22" t="s">
        <v>117</v>
      </c>
      <c r="D276" s="22" t="s">
        <v>119</v>
      </c>
      <c r="E276" s="22">
        <v>2091</v>
      </c>
      <c r="F276" s="80" t="s">
        <v>368</v>
      </c>
      <c r="G276" s="25">
        <v>949.6</v>
      </c>
      <c r="H276" s="87">
        <f t="shared" si="441"/>
        <v>0</v>
      </c>
      <c r="I276" s="87">
        <f t="shared" si="442"/>
        <v>0</v>
      </c>
      <c r="J276" s="87">
        <f t="shared" si="443"/>
        <v>0</v>
      </c>
      <c r="K276" s="87">
        <f t="shared" si="444"/>
        <v>0</v>
      </c>
      <c r="L276" s="87">
        <f t="shared" si="445"/>
        <v>0</v>
      </c>
      <c r="M276" s="86">
        <f t="shared" si="446"/>
        <v>0</v>
      </c>
      <c r="N276" s="87">
        <f t="shared" si="447"/>
        <v>0</v>
      </c>
      <c r="O276" s="87">
        <f t="shared" si="448"/>
        <v>0</v>
      </c>
      <c r="P276" s="87">
        <f t="shared" si="449"/>
        <v>0</v>
      </c>
      <c r="Q276" s="87">
        <f t="shared" si="450"/>
        <v>0</v>
      </c>
      <c r="R276" s="87">
        <f t="shared" si="451"/>
        <v>0</v>
      </c>
      <c r="S276" s="87">
        <f t="shared" si="452"/>
        <v>0</v>
      </c>
      <c r="T276" s="87">
        <f t="shared" si="453"/>
        <v>0</v>
      </c>
      <c r="U276" s="87">
        <f t="shared" si="454"/>
        <v>0</v>
      </c>
      <c r="V276" s="87">
        <f t="shared" si="455"/>
        <v>0</v>
      </c>
      <c r="W276" s="87">
        <f t="shared" si="456"/>
        <v>0</v>
      </c>
      <c r="X276" s="87">
        <f t="shared" si="457"/>
        <v>0</v>
      </c>
      <c r="Y276" s="86">
        <f t="shared" si="458"/>
        <v>0</v>
      </c>
      <c r="Z276" s="87">
        <f t="shared" si="459"/>
        <v>0</v>
      </c>
      <c r="AA276" s="87">
        <f t="shared" si="460"/>
        <v>21840.799999999999</v>
      </c>
      <c r="AB276" s="87">
        <f t="shared" si="461"/>
        <v>32286.400000000001</v>
      </c>
      <c r="AC276" s="87">
        <f t="shared" si="462"/>
        <v>38933.599999999999</v>
      </c>
      <c r="AD276" s="87">
        <f t="shared" si="463"/>
        <v>41782.400000000001</v>
      </c>
      <c r="AE276" s="87">
        <f t="shared" si="464"/>
        <v>108254.40000000001</v>
      </c>
      <c r="AF276" s="87">
        <f t="shared" si="465"/>
        <v>76917.600000000006</v>
      </c>
      <c r="AG276" s="87">
        <f t="shared" si="466"/>
        <v>76917.600000000006</v>
      </c>
      <c r="AH276" s="87">
        <f t="shared" si="467"/>
        <v>28488</v>
      </c>
      <c r="AI276" s="87">
        <f t="shared" si="468"/>
        <v>55076.800000000003</v>
      </c>
      <c r="AJ276" s="87">
        <f t="shared" si="469"/>
        <v>0</v>
      </c>
      <c r="AK276" s="86">
        <f t="shared" si="470"/>
        <v>0</v>
      </c>
      <c r="AL276" s="85">
        <v>0</v>
      </c>
      <c r="AM276" s="85">
        <v>0</v>
      </c>
      <c r="AN276" s="85">
        <v>0</v>
      </c>
      <c r="AO276" s="85">
        <v>0</v>
      </c>
      <c r="AP276" s="85">
        <v>0</v>
      </c>
      <c r="AQ276" s="86">
        <v>0</v>
      </c>
      <c r="AR276" s="87">
        <v>0</v>
      </c>
      <c r="AS276" s="87">
        <v>0</v>
      </c>
      <c r="AT276" s="87">
        <v>0</v>
      </c>
      <c r="AU276" s="87">
        <v>0</v>
      </c>
      <c r="AV276" s="87">
        <v>0</v>
      </c>
      <c r="AW276" s="87">
        <v>0</v>
      </c>
      <c r="AX276" s="87">
        <v>0</v>
      </c>
      <c r="AY276" s="87">
        <v>0</v>
      </c>
      <c r="AZ276" s="87">
        <v>0</v>
      </c>
      <c r="BA276" s="87">
        <v>0</v>
      </c>
      <c r="BB276" s="87">
        <v>0</v>
      </c>
      <c r="BC276" s="86">
        <v>0</v>
      </c>
      <c r="BD276" s="87">
        <v>0</v>
      </c>
      <c r="BE276" s="87">
        <v>23</v>
      </c>
      <c r="BF276" s="87">
        <v>34</v>
      </c>
      <c r="BG276" s="87">
        <v>41</v>
      </c>
      <c r="BH276" s="87">
        <v>44</v>
      </c>
      <c r="BI276" s="87">
        <v>114</v>
      </c>
      <c r="BJ276" s="40">
        <v>81</v>
      </c>
      <c r="BK276" s="40">
        <v>81</v>
      </c>
      <c r="BL276" s="40">
        <v>30</v>
      </c>
      <c r="BM276" s="40">
        <v>58</v>
      </c>
      <c r="BN276" s="87"/>
      <c r="BO276" s="86"/>
      <c r="BV276" s="21">
        <v>0</v>
      </c>
      <c r="BW276" s="21">
        <v>0</v>
      </c>
      <c r="BX276" s="21">
        <v>0</v>
      </c>
      <c r="BY276" s="21">
        <v>0</v>
      </c>
      <c r="BZ276" s="21">
        <v>0</v>
      </c>
      <c r="CA276" s="21">
        <v>0</v>
      </c>
      <c r="CB276" s="21">
        <v>0</v>
      </c>
      <c r="CC276" s="21">
        <v>0</v>
      </c>
      <c r="CD276" s="21">
        <v>0</v>
      </c>
      <c r="CE276" s="21">
        <v>0</v>
      </c>
      <c r="CF276" s="21">
        <v>0</v>
      </c>
      <c r="CG276" s="42">
        <v>0</v>
      </c>
      <c r="CH276" s="21">
        <v>0</v>
      </c>
      <c r="CI276" s="21">
        <v>0</v>
      </c>
      <c r="CJ276" s="21">
        <v>0</v>
      </c>
      <c r="CK276" s="21">
        <v>0</v>
      </c>
      <c r="CL276" s="21">
        <v>0</v>
      </c>
      <c r="CM276" s="21">
        <v>0</v>
      </c>
      <c r="CN276" s="21">
        <v>0</v>
      </c>
      <c r="CO276" s="21">
        <v>0</v>
      </c>
      <c r="CP276" s="21">
        <f t="shared" si="471"/>
        <v>0</v>
      </c>
      <c r="CQ276" s="344">
        <f t="shared" si="472"/>
        <v>0</v>
      </c>
      <c r="CR276" s="87"/>
      <c r="CS276" s="86"/>
      <c r="CT276" s="85">
        <f t="shared" si="473"/>
        <v>0</v>
      </c>
      <c r="CU276" s="85">
        <f t="shared" si="474"/>
        <v>0</v>
      </c>
      <c r="CV276" s="85">
        <f t="shared" si="475"/>
        <v>0</v>
      </c>
      <c r="CW276" s="85">
        <f t="shared" si="476"/>
        <v>0</v>
      </c>
      <c r="CX276" s="85">
        <f t="shared" si="477"/>
        <v>0</v>
      </c>
      <c r="CY276" s="86">
        <f t="shared" si="478"/>
        <v>0</v>
      </c>
      <c r="CZ276" s="87">
        <f t="shared" si="479"/>
        <v>0</v>
      </c>
      <c r="DA276" s="87">
        <f t="shared" si="480"/>
        <v>0</v>
      </c>
      <c r="DB276" s="87">
        <f t="shared" si="481"/>
        <v>0</v>
      </c>
      <c r="DC276" s="87">
        <f t="shared" si="482"/>
        <v>0</v>
      </c>
      <c r="DD276" s="87">
        <f t="shared" si="483"/>
        <v>0</v>
      </c>
      <c r="DE276" s="87">
        <f t="shared" si="484"/>
        <v>0</v>
      </c>
      <c r="DF276" s="87">
        <f t="shared" si="485"/>
        <v>0</v>
      </c>
      <c r="DG276" s="87">
        <f t="shared" si="486"/>
        <v>0</v>
      </c>
      <c r="DH276" s="87">
        <f t="shared" si="487"/>
        <v>0</v>
      </c>
      <c r="DI276" s="87">
        <f t="shared" si="488"/>
        <v>0</v>
      </c>
      <c r="DJ276" s="87">
        <f t="shared" si="489"/>
        <v>0</v>
      </c>
      <c r="DK276" s="86">
        <f t="shared" si="490"/>
        <v>0</v>
      </c>
      <c r="DL276" s="87">
        <f t="shared" si="491"/>
        <v>0</v>
      </c>
      <c r="DM276" s="87">
        <f t="shared" si="492"/>
        <v>23</v>
      </c>
      <c r="DN276" s="87">
        <f t="shared" si="493"/>
        <v>34</v>
      </c>
      <c r="DO276" s="87">
        <f t="shared" si="494"/>
        <v>41</v>
      </c>
      <c r="DP276" s="87">
        <f t="shared" si="495"/>
        <v>44</v>
      </c>
      <c r="DQ276" s="87">
        <f t="shared" si="496"/>
        <v>114</v>
      </c>
      <c r="DR276" s="87">
        <f t="shared" si="439"/>
        <v>81</v>
      </c>
      <c r="DS276" s="87">
        <f t="shared" si="440"/>
        <v>81</v>
      </c>
      <c r="DT276" s="87">
        <f t="shared" si="497"/>
        <v>30</v>
      </c>
      <c r="DU276" s="87">
        <f t="shared" si="498"/>
        <v>58</v>
      </c>
      <c r="DV276" s="87">
        <f t="shared" si="499"/>
        <v>0</v>
      </c>
      <c r="DW276" s="87">
        <f t="shared" si="500"/>
        <v>0</v>
      </c>
    </row>
    <row r="277" spans="1:127">
      <c r="A277" s="22" t="s">
        <v>22</v>
      </c>
      <c r="B277" s="26">
        <v>4210201406471</v>
      </c>
      <c r="C277" s="22" t="s">
        <v>117</v>
      </c>
      <c r="D277" s="22" t="s">
        <v>119</v>
      </c>
      <c r="E277" s="22">
        <v>102702</v>
      </c>
      <c r="F277" s="80" t="s">
        <v>369</v>
      </c>
      <c r="G277" s="25">
        <v>949.6</v>
      </c>
      <c r="H277" s="85">
        <f t="shared" si="441"/>
        <v>55076.800000000003</v>
      </c>
      <c r="I277" s="85">
        <f t="shared" si="442"/>
        <v>61724</v>
      </c>
      <c r="J277" s="85">
        <f t="shared" si="443"/>
        <v>48429.599999999999</v>
      </c>
      <c r="K277" s="85">
        <f t="shared" si="444"/>
        <v>42732</v>
      </c>
      <c r="L277" s="85">
        <f t="shared" si="445"/>
        <v>50328.800000000003</v>
      </c>
      <c r="M277" s="86">
        <f t="shared" si="446"/>
        <v>40832.800000000003</v>
      </c>
      <c r="N277" s="87">
        <f t="shared" si="447"/>
        <v>40832.800000000003</v>
      </c>
      <c r="O277" s="87">
        <f t="shared" si="448"/>
        <v>47480</v>
      </c>
      <c r="P277" s="87">
        <f t="shared" si="449"/>
        <v>56976</v>
      </c>
      <c r="Q277" s="87">
        <f t="shared" si="450"/>
        <v>52228</v>
      </c>
      <c r="R277" s="87">
        <f t="shared" si="451"/>
        <v>50328.800000000003</v>
      </c>
      <c r="S277" s="87">
        <f t="shared" si="452"/>
        <v>52228</v>
      </c>
      <c r="T277" s="87">
        <f t="shared" si="453"/>
        <v>37984</v>
      </c>
      <c r="U277" s="87">
        <f t="shared" si="454"/>
        <v>41782.400000000001</v>
      </c>
      <c r="V277" s="87">
        <f t="shared" si="455"/>
        <v>45580.800000000003</v>
      </c>
      <c r="W277" s="87">
        <f t="shared" si="456"/>
        <v>29437.600000000002</v>
      </c>
      <c r="X277" s="87">
        <f t="shared" si="457"/>
        <v>34185.599999999999</v>
      </c>
      <c r="Y277" s="86">
        <f t="shared" si="458"/>
        <v>33236</v>
      </c>
      <c r="Z277" s="87">
        <f t="shared" si="459"/>
        <v>50328.800000000003</v>
      </c>
      <c r="AA277" s="87">
        <f t="shared" si="460"/>
        <v>43681.599999999999</v>
      </c>
      <c r="AB277" s="87">
        <f t="shared" si="461"/>
        <v>44631.200000000004</v>
      </c>
      <c r="AC277" s="87">
        <f t="shared" si="462"/>
        <v>57925.599999999999</v>
      </c>
      <c r="AD277" s="87">
        <f t="shared" si="463"/>
        <v>50328.800000000003</v>
      </c>
      <c r="AE277" s="87">
        <f t="shared" si="464"/>
        <v>84514.400000000009</v>
      </c>
      <c r="AF277" s="87">
        <f t="shared" si="465"/>
        <v>51278.400000000001</v>
      </c>
      <c r="AG277" s="87">
        <f t="shared" si="466"/>
        <v>58875.200000000004</v>
      </c>
      <c r="AH277" s="87">
        <f t="shared" si="467"/>
        <v>43681.599999999999</v>
      </c>
      <c r="AI277" s="87">
        <f t="shared" si="468"/>
        <v>58453.155555555561</v>
      </c>
      <c r="AJ277" s="87">
        <f t="shared" si="469"/>
        <v>0</v>
      </c>
      <c r="AK277" s="86">
        <f t="shared" si="470"/>
        <v>0</v>
      </c>
      <c r="AL277" s="85">
        <v>55</v>
      </c>
      <c r="AM277" s="85">
        <v>62</v>
      </c>
      <c r="AN277" s="85">
        <v>47</v>
      </c>
      <c r="AO277" s="85">
        <v>42</v>
      </c>
      <c r="AP277" s="85">
        <v>51</v>
      </c>
      <c r="AQ277" s="86">
        <v>38</v>
      </c>
      <c r="AR277" s="87">
        <v>40</v>
      </c>
      <c r="AS277" s="87">
        <v>44</v>
      </c>
      <c r="AT277" s="87">
        <v>54</v>
      </c>
      <c r="AU277" s="87">
        <v>46</v>
      </c>
      <c r="AV277" s="87">
        <v>49</v>
      </c>
      <c r="AW277" s="87">
        <v>55</v>
      </c>
      <c r="AX277" s="87">
        <v>38</v>
      </c>
      <c r="AY277" s="87">
        <v>42</v>
      </c>
      <c r="AZ277" s="87">
        <v>44</v>
      </c>
      <c r="BA277" s="87">
        <v>30</v>
      </c>
      <c r="BB277" s="87">
        <v>29</v>
      </c>
      <c r="BC277" s="86">
        <v>32</v>
      </c>
      <c r="BD277" s="87">
        <v>43</v>
      </c>
      <c r="BE277" s="87">
        <v>34</v>
      </c>
      <c r="BF277" s="87">
        <v>34</v>
      </c>
      <c r="BG277" s="87">
        <v>57</v>
      </c>
      <c r="BH277" s="87">
        <v>45</v>
      </c>
      <c r="BI277" s="87">
        <v>84</v>
      </c>
      <c r="BJ277" s="40">
        <v>51</v>
      </c>
      <c r="BK277" s="40">
        <v>60</v>
      </c>
      <c r="BL277" s="40">
        <v>44</v>
      </c>
      <c r="BM277" s="40">
        <v>55</v>
      </c>
      <c r="BN277" s="87"/>
      <c r="BO277" s="86"/>
      <c r="BP277" s="21">
        <v>3</v>
      </c>
      <c r="BQ277" s="21">
        <v>3</v>
      </c>
      <c r="BR277" s="21">
        <v>4</v>
      </c>
      <c r="BS277" s="21">
        <v>3</v>
      </c>
      <c r="BT277" s="21">
        <v>2</v>
      </c>
      <c r="BU277" s="42">
        <v>5</v>
      </c>
      <c r="BV277" s="21">
        <v>3</v>
      </c>
      <c r="BW277" s="21">
        <v>6</v>
      </c>
      <c r="BX277" s="21">
        <v>6</v>
      </c>
      <c r="BY277" s="21">
        <v>9</v>
      </c>
      <c r="BZ277" s="21">
        <v>4</v>
      </c>
      <c r="CA277" s="21">
        <v>0</v>
      </c>
      <c r="CB277" s="21">
        <v>2</v>
      </c>
      <c r="CC277" s="21">
        <v>2</v>
      </c>
      <c r="CD277" s="21">
        <v>4</v>
      </c>
      <c r="CE277" s="21">
        <v>1</v>
      </c>
      <c r="CF277" s="21">
        <v>7</v>
      </c>
      <c r="CG277" s="42">
        <v>3</v>
      </c>
      <c r="CH277" s="21">
        <v>10</v>
      </c>
      <c r="CI277" s="21">
        <v>12</v>
      </c>
      <c r="CJ277" s="21">
        <v>13</v>
      </c>
      <c r="CK277" s="21">
        <v>4</v>
      </c>
      <c r="CL277" s="21">
        <v>8</v>
      </c>
      <c r="CM277" s="21">
        <v>5</v>
      </c>
      <c r="CN277" s="21">
        <v>3</v>
      </c>
      <c r="CO277" s="21">
        <v>2</v>
      </c>
      <c r="CP277" s="21">
        <f t="shared" si="471"/>
        <v>2</v>
      </c>
      <c r="CQ277" s="344">
        <f t="shared" si="472"/>
        <v>6.5555555555555554</v>
      </c>
      <c r="CR277" s="87"/>
      <c r="CS277" s="86"/>
      <c r="CT277" s="85">
        <f t="shared" si="473"/>
        <v>58</v>
      </c>
      <c r="CU277" s="85">
        <f t="shared" si="474"/>
        <v>65</v>
      </c>
      <c r="CV277" s="85">
        <f t="shared" si="475"/>
        <v>51</v>
      </c>
      <c r="CW277" s="85">
        <f t="shared" si="476"/>
        <v>45</v>
      </c>
      <c r="CX277" s="85">
        <f t="shared" si="477"/>
        <v>53</v>
      </c>
      <c r="CY277" s="86">
        <f t="shared" si="478"/>
        <v>43</v>
      </c>
      <c r="CZ277" s="87">
        <f t="shared" si="479"/>
        <v>43</v>
      </c>
      <c r="DA277" s="87">
        <f t="shared" si="480"/>
        <v>50</v>
      </c>
      <c r="DB277" s="87">
        <f t="shared" si="481"/>
        <v>60</v>
      </c>
      <c r="DC277" s="87">
        <f t="shared" si="482"/>
        <v>55</v>
      </c>
      <c r="DD277" s="87">
        <f t="shared" si="483"/>
        <v>53</v>
      </c>
      <c r="DE277" s="87">
        <f t="shared" si="484"/>
        <v>55</v>
      </c>
      <c r="DF277" s="87">
        <f t="shared" si="485"/>
        <v>40</v>
      </c>
      <c r="DG277" s="87">
        <f t="shared" si="486"/>
        <v>44</v>
      </c>
      <c r="DH277" s="87">
        <f t="shared" si="487"/>
        <v>48</v>
      </c>
      <c r="DI277" s="87">
        <f t="shared" si="488"/>
        <v>31</v>
      </c>
      <c r="DJ277" s="87">
        <f t="shared" si="489"/>
        <v>36</v>
      </c>
      <c r="DK277" s="86">
        <f t="shared" si="490"/>
        <v>35</v>
      </c>
      <c r="DL277" s="87">
        <f t="shared" si="491"/>
        <v>53</v>
      </c>
      <c r="DM277" s="87">
        <f t="shared" si="492"/>
        <v>46</v>
      </c>
      <c r="DN277" s="87">
        <f t="shared" si="493"/>
        <v>47</v>
      </c>
      <c r="DO277" s="87">
        <f t="shared" si="494"/>
        <v>61</v>
      </c>
      <c r="DP277" s="87">
        <f t="shared" si="495"/>
        <v>53</v>
      </c>
      <c r="DQ277" s="87">
        <f t="shared" si="496"/>
        <v>89</v>
      </c>
      <c r="DR277" s="87">
        <f t="shared" si="439"/>
        <v>54</v>
      </c>
      <c r="DS277" s="87">
        <f t="shared" si="440"/>
        <v>62</v>
      </c>
      <c r="DT277" s="87">
        <f t="shared" si="497"/>
        <v>46</v>
      </c>
      <c r="DU277" s="87">
        <f t="shared" si="498"/>
        <v>61.555555555555557</v>
      </c>
      <c r="DV277" s="87">
        <f t="shared" si="499"/>
        <v>0</v>
      </c>
      <c r="DW277" s="87">
        <f t="shared" si="500"/>
        <v>0</v>
      </c>
    </row>
    <row r="278" spans="1:127">
      <c r="A278" s="22" t="s">
        <v>22</v>
      </c>
      <c r="B278" s="26">
        <v>4210201295778</v>
      </c>
      <c r="C278" s="22" t="s">
        <v>118</v>
      </c>
      <c r="D278" s="22" t="s">
        <v>122</v>
      </c>
      <c r="E278" s="22">
        <v>354592</v>
      </c>
      <c r="F278" s="80" t="s">
        <v>370</v>
      </c>
      <c r="G278" s="25">
        <v>1421.4</v>
      </c>
      <c r="H278" s="85">
        <f t="shared" si="441"/>
        <v>38377.800000000003</v>
      </c>
      <c r="I278" s="85">
        <f t="shared" si="442"/>
        <v>41220.600000000006</v>
      </c>
      <c r="J278" s="85">
        <f t="shared" si="443"/>
        <v>39799.200000000004</v>
      </c>
      <c r="K278" s="85">
        <f t="shared" si="444"/>
        <v>44063.4</v>
      </c>
      <c r="L278" s="85">
        <f t="shared" si="445"/>
        <v>32692.2</v>
      </c>
      <c r="M278" s="86">
        <f t="shared" si="446"/>
        <v>22742.400000000001</v>
      </c>
      <c r="N278" s="87">
        <f t="shared" si="447"/>
        <v>21321</v>
      </c>
      <c r="O278" s="87">
        <f t="shared" si="448"/>
        <v>8528.4000000000015</v>
      </c>
      <c r="P278" s="87">
        <f t="shared" si="449"/>
        <v>12792.6</v>
      </c>
      <c r="Q278" s="87">
        <f t="shared" si="450"/>
        <v>1421.4</v>
      </c>
      <c r="R278" s="87">
        <f t="shared" si="451"/>
        <v>14214</v>
      </c>
      <c r="S278" s="87">
        <f t="shared" si="452"/>
        <v>18478.2</v>
      </c>
      <c r="T278" s="87">
        <f t="shared" si="453"/>
        <v>25585.200000000001</v>
      </c>
      <c r="U278" s="87">
        <f t="shared" si="454"/>
        <v>17056.800000000003</v>
      </c>
      <c r="V278" s="87">
        <f t="shared" si="455"/>
        <v>8528.4000000000015</v>
      </c>
      <c r="W278" s="87">
        <f t="shared" si="456"/>
        <v>4264.2000000000007</v>
      </c>
      <c r="X278" s="87">
        <f t="shared" si="457"/>
        <v>5685.6</v>
      </c>
      <c r="Y278" s="86">
        <f t="shared" si="458"/>
        <v>1421.4</v>
      </c>
      <c r="Z278" s="87">
        <f t="shared" si="459"/>
        <v>9949.8000000000011</v>
      </c>
      <c r="AA278" s="87">
        <f t="shared" si="460"/>
        <v>2842.8</v>
      </c>
      <c r="AB278" s="87">
        <f t="shared" si="461"/>
        <v>0</v>
      </c>
      <c r="AC278" s="87">
        <f t="shared" si="462"/>
        <v>0</v>
      </c>
      <c r="AD278" s="87">
        <f t="shared" si="463"/>
        <v>0</v>
      </c>
      <c r="AE278" s="87">
        <f t="shared" si="464"/>
        <v>0</v>
      </c>
      <c r="AF278" s="87">
        <f t="shared" si="465"/>
        <v>0</v>
      </c>
      <c r="AG278" s="87">
        <f t="shared" si="466"/>
        <v>0</v>
      </c>
      <c r="AH278" s="87">
        <f t="shared" si="467"/>
        <v>0</v>
      </c>
      <c r="AI278" s="87">
        <f t="shared" si="468"/>
        <v>1421.4</v>
      </c>
      <c r="AJ278" s="87">
        <f t="shared" si="469"/>
        <v>0</v>
      </c>
      <c r="AK278" s="86">
        <f t="shared" si="470"/>
        <v>0</v>
      </c>
      <c r="AL278" s="85">
        <v>18</v>
      </c>
      <c r="AM278" s="85">
        <v>27</v>
      </c>
      <c r="AN278" s="85">
        <v>24</v>
      </c>
      <c r="AO278" s="85">
        <v>24</v>
      </c>
      <c r="AP278" s="85">
        <v>18</v>
      </c>
      <c r="AQ278" s="86">
        <v>10</v>
      </c>
      <c r="AR278" s="87">
        <v>14</v>
      </c>
      <c r="AS278" s="87">
        <v>6</v>
      </c>
      <c r="AT278" s="87">
        <v>9</v>
      </c>
      <c r="AU278" s="87">
        <v>1</v>
      </c>
      <c r="AV278" s="87">
        <v>10</v>
      </c>
      <c r="AW278" s="87">
        <v>13</v>
      </c>
      <c r="AX278" s="87">
        <v>18</v>
      </c>
      <c r="AY278" s="87">
        <v>12</v>
      </c>
      <c r="AZ278" s="87">
        <v>6</v>
      </c>
      <c r="BA278" s="87">
        <v>3</v>
      </c>
      <c r="BB278" s="87">
        <v>4</v>
      </c>
      <c r="BC278" s="86">
        <v>1</v>
      </c>
      <c r="BD278" s="87">
        <v>7</v>
      </c>
      <c r="BE278" s="87">
        <v>2</v>
      </c>
      <c r="BF278" s="87">
        <v>0</v>
      </c>
      <c r="BG278" s="87">
        <v>0</v>
      </c>
      <c r="BH278" s="87">
        <v>0</v>
      </c>
      <c r="BI278" s="87">
        <v>0</v>
      </c>
      <c r="BJ278" s="40">
        <v>0</v>
      </c>
      <c r="BK278" s="40">
        <v>0</v>
      </c>
      <c r="BL278" s="40">
        <v>0</v>
      </c>
      <c r="BM278" s="40">
        <v>1</v>
      </c>
      <c r="BN278" s="87"/>
      <c r="BO278" s="86"/>
      <c r="BP278" s="21">
        <v>9</v>
      </c>
      <c r="BQ278" s="21">
        <v>2</v>
      </c>
      <c r="BR278" s="21">
        <v>4</v>
      </c>
      <c r="BS278" s="21">
        <v>7</v>
      </c>
      <c r="BT278" s="21">
        <v>5</v>
      </c>
      <c r="BU278" s="42">
        <v>6</v>
      </c>
      <c r="BV278" s="21">
        <v>1</v>
      </c>
      <c r="BW278" s="21">
        <v>0</v>
      </c>
      <c r="BX278" s="21">
        <v>0</v>
      </c>
      <c r="BY278" s="21">
        <v>0</v>
      </c>
      <c r="BZ278" s="21">
        <v>0</v>
      </c>
      <c r="CA278" s="21">
        <v>0</v>
      </c>
      <c r="CB278" s="21">
        <v>0</v>
      </c>
      <c r="CC278" s="21">
        <v>0</v>
      </c>
      <c r="CD278" s="21">
        <v>0</v>
      </c>
      <c r="CE278" s="21">
        <v>0</v>
      </c>
      <c r="CF278" s="21">
        <v>0</v>
      </c>
      <c r="CG278" s="42">
        <v>0</v>
      </c>
      <c r="CH278" s="21">
        <v>0</v>
      </c>
      <c r="CI278" s="21">
        <v>0</v>
      </c>
      <c r="CJ278" s="21">
        <v>0</v>
      </c>
      <c r="CK278" s="21">
        <v>0</v>
      </c>
      <c r="CL278" s="21">
        <v>0</v>
      </c>
      <c r="CM278" s="21">
        <v>0</v>
      </c>
      <c r="CN278" s="21">
        <v>0</v>
      </c>
      <c r="CO278" s="21">
        <v>0</v>
      </c>
      <c r="CP278" s="21">
        <f t="shared" si="471"/>
        <v>0</v>
      </c>
      <c r="CQ278" s="344">
        <f t="shared" si="472"/>
        <v>0</v>
      </c>
      <c r="CR278" s="87"/>
      <c r="CS278" s="86"/>
      <c r="CT278" s="85">
        <f t="shared" si="473"/>
        <v>27</v>
      </c>
      <c r="CU278" s="85">
        <f t="shared" si="474"/>
        <v>29</v>
      </c>
      <c r="CV278" s="85">
        <f t="shared" si="475"/>
        <v>28</v>
      </c>
      <c r="CW278" s="85">
        <f t="shared" si="476"/>
        <v>31</v>
      </c>
      <c r="CX278" s="85">
        <f t="shared" si="477"/>
        <v>23</v>
      </c>
      <c r="CY278" s="86">
        <f t="shared" si="478"/>
        <v>16</v>
      </c>
      <c r="CZ278" s="87">
        <f t="shared" si="479"/>
        <v>15</v>
      </c>
      <c r="DA278" s="87">
        <f t="shared" si="480"/>
        <v>6</v>
      </c>
      <c r="DB278" s="87">
        <f t="shared" si="481"/>
        <v>9</v>
      </c>
      <c r="DC278" s="87">
        <f t="shared" si="482"/>
        <v>1</v>
      </c>
      <c r="DD278" s="87">
        <f t="shared" si="483"/>
        <v>10</v>
      </c>
      <c r="DE278" s="87">
        <f t="shared" si="484"/>
        <v>13</v>
      </c>
      <c r="DF278" s="87">
        <f t="shared" si="485"/>
        <v>18</v>
      </c>
      <c r="DG278" s="87">
        <f t="shared" si="486"/>
        <v>12</v>
      </c>
      <c r="DH278" s="87">
        <f t="shared" si="487"/>
        <v>6</v>
      </c>
      <c r="DI278" s="87">
        <f t="shared" si="488"/>
        <v>3</v>
      </c>
      <c r="DJ278" s="87">
        <f t="shared" si="489"/>
        <v>4</v>
      </c>
      <c r="DK278" s="86">
        <f t="shared" si="490"/>
        <v>1</v>
      </c>
      <c r="DL278" s="87">
        <f t="shared" si="491"/>
        <v>7</v>
      </c>
      <c r="DM278" s="87">
        <f t="shared" si="492"/>
        <v>2</v>
      </c>
      <c r="DN278" s="87">
        <f t="shared" si="493"/>
        <v>0</v>
      </c>
      <c r="DO278" s="87">
        <f t="shared" si="494"/>
        <v>0</v>
      </c>
      <c r="DP278" s="87">
        <f t="shared" si="495"/>
        <v>0</v>
      </c>
      <c r="DQ278" s="87">
        <f t="shared" si="496"/>
        <v>0</v>
      </c>
      <c r="DR278" s="87">
        <f t="shared" si="439"/>
        <v>0</v>
      </c>
      <c r="DS278" s="87">
        <f t="shared" si="440"/>
        <v>0</v>
      </c>
      <c r="DT278" s="87">
        <f t="shared" si="497"/>
        <v>0</v>
      </c>
      <c r="DU278" s="87">
        <f t="shared" si="498"/>
        <v>1</v>
      </c>
      <c r="DV278" s="87">
        <f t="shared" si="499"/>
        <v>0</v>
      </c>
      <c r="DW278" s="87">
        <f t="shared" si="500"/>
        <v>0</v>
      </c>
    </row>
    <row r="279" spans="1:127">
      <c r="A279" s="22" t="s">
        <v>22</v>
      </c>
      <c r="B279" s="26">
        <v>4210201280972</v>
      </c>
      <c r="C279" s="22" t="s">
        <v>117</v>
      </c>
      <c r="D279" s="22" t="s">
        <v>119</v>
      </c>
      <c r="E279" s="22">
        <v>297147</v>
      </c>
      <c r="F279" s="80" t="s">
        <v>371</v>
      </c>
      <c r="G279" s="25">
        <v>2000.3</v>
      </c>
      <c r="H279" s="85">
        <f t="shared" si="441"/>
        <v>52007.799999999996</v>
      </c>
      <c r="I279" s="85">
        <f t="shared" si="442"/>
        <v>104015.59999999999</v>
      </c>
      <c r="J279" s="85">
        <f t="shared" si="443"/>
        <v>44006.6</v>
      </c>
      <c r="K279" s="85">
        <f t="shared" si="444"/>
        <v>74011.099999999991</v>
      </c>
      <c r="L279" s="85">
        <f t="shared" si="445"/>
        <v>94014.099999999991</v>
      </c>
      <c r="M279" s="86">
        <f t="shared" si="446"/>
        <v>70010.5</v>
      </c>
      <c r="N279" s="87">
        <f t="shared" si="447"/>
        <v>66009.899999999994</v>
      </c>
      <c r="O279" s="87">
        <f t="shared" si="448"/>
        <v>84012.599999999991</v>
      </c>
      <c r="P279" s="87">
        <f t="shared" si="449"/>
        <v>52007.799999999996</v>
      </c>
      <c r="Q279" s="87">
        <f t="shared" si="450"/>
        <v>48007.199999999997</v>
      </c>
      <c r="R279" s="87">
        <f t="shared" si="451"/>
        <v>90013.5</v>
      </c>
      <c r="S279" s="87">
        <f t="shared" si="452"/>
        <v>72010.8</v>
      </c>
      <c r="T279" s="87">
        <f t="shared" si="453"/>
        <v>66009.899999999994</v>
      </c>
      <c r="U279" s="87">
        <f t="shared" si="454"/>
        <v>30004.5</v>
      </c>
      <c r="V279" s="87">
        <f t="shared" si="455"/>
        <v>48007.199999999997</v>
      </c>
      <c r="W279" s="87">
        <f t="shared" si="456"/>
        <v>50007.5</v>
      </c>
      <c r="X279" s="87">
        <f t="shared" si="457"/>
        <v>62009.299999999996</v>
      </c>
      <c r="Y279" s="86">
        <f t="shared" si="458"/>
        <v>44006.6</v>
      </c>
      <c r="Z279" s="87">
        <f t="shared" si="459"/>
        <v>78011.7</v>
      </c>
      <c r="AA279" s="87">
        <f t="shared" si="460"/>
        <v>58008.7</v>
      </c>
      <c r="AB279" s="87">
        <f t="shared" si="461"/>
        <v>74011.099999999991</v>
      </c>
      <c r="AC279" s="87">
        <f t="shared" si="462"/>
        <v>112016.8</v>
      </c>
      <c r="AD279" s="87">
        <f t="shared" si="463"/>
        <v>76011.399999999994</v>
      </c>
      <c r="AE279" s="87">
        <f t="shared" si="464"/>
        <v>114017.09999999999</v>
      </c>
      <c r="AF279" s="87">
        <f t="shared" si="465"/>
        <v>64009.599999999999</v>
      </c>
      <c r="AG279" s="87">
        <f t="shared" si="466"/>
        <v>88013.2</v>
      </c>
      <c r="AH279" s="87">
        <f t="shared" si="467"/>
        <v>88013.2</v>
      </c>
      <c r="AI279" s="87">
        <f t="shared" si="468"/>
        <v>70455.011111111104</v>
      </c>
      <c r="AJ279" s="87">
        <f t="shared" si="469"/>
        <v>0</v>
      </c>
      <c r="AK279" s="86">
        <f t="shared" si="470"/>
        <v>0</v>
      </c>
      <c r="AL279" s="85">
        <v>26</v>
      </c>
      <c r="AM279" s="85">
        <v>47</v>
      </c>
      <c r="AN279" s="85">
        <v>21</v>
      </c>
      <c r="AO279" s="85">
        <v>36</v>
      </c>
      <c r="AP279" s="85">
        <v>45</v>
      </c>
      <c r="AQ279" s="86">
        <v>34</v>
      </c>
      <c r="AR279" s="87">
        <v>33</v>
      </c>
      <c r="AS279" s="87">
        <v>41</v>
      </c>
      <c r="AT279" s="87">
        <v>26</v>
      </c>
      <c r="AU279" s="87">
        <v>24</v>
      </c>
      <c r="AV279" s="87">
        <v>41</v>
      </c>
      <c r="AW279" s="87">
        <v>36</v>
      </c>
      <c r="AX279" s="87">
        <v>33</v>
      </c>
      <c r="AY279" s="87">
        <v>15</v>
      </c>
      <c r="AZ279" s="87">
        <v>22</v>
      </c>
      <c r="BA279" s="87">
        <v>23</v>
      </c>
      <c r="BB279" s="87">
        <v>30</v>
      </c>
      <c r="BC279" s="86">
        <v>20</v>
      </c>
      <c r="BD279" s="87">
        <v>31</v>
      </c>
      <c r="BE279" s="87">
        <v>25</v>
      </c>
      <c r="BF279" s="87">
        <v>32</v>
      </c>
      <c r="BG279" s="87">
        <v>50</v>
      </c>
      <c r="BH279" s="87">
        <v>35</v>
      </c>
      <c r="BI279" s="87">
        <v>49</v>
      </c>
      <c r="BJ279" s="40">
        <v>31</v>
      </c>
      <c r="BK279" s="40">
        <v>38</v>
      </c>
      <c r="BL279" s="40">
        <v>38</v>
      </c>
      <c r="BM279" s="40">
        <v>30</v>
      </c>
      <c r="BN279" s="87"/>
      <c r="BO279" s="86"/>
      <c r="BP279" s="21">
        <v>0</v>
      </c>
      <c r="BQ279" s="21">
        <v>5</v>
      </c>
      <c r="BR279" s="21">
        <v>1</v>
      </c>
      <c r="BS279" s="21">
        <v>1</v>
      </c>
      <c r="BT279" s="21">
        <v>2</v>
      </c>
      <c r="BU279" s="42">
        <v>1</v>
      </c>
      <c r="BV279" s="21">
        <v>0</v>
      </c>
      <c r="BW279" s="21">
        <v>1</v>
      </c>
      <c r="BX279" s="21">
        <v>0</v>
      </c>
      <c r="BY279" s="21">
        <v>0</v>
      </c>
      <c r="BZ279" s="21">
        <v>4</v>
      </c>
      <c r="CA279" s="21">
        <v>0</v>
      </c>
      <c r="CB279" s="21">
        <v>0</v>
      </c>
      <c r="CC279" s="21">
        <v>0</v>
      </c>
      <c r="CD279" s="21">
        <v>2</v>
      </c>
      <c r="CE279" s="21">
        <v>2</v>
      </c>
      <c r="CF279" s="21">
        <v>1</v>
      </c>
      <c r="CG279" s="42">
        <v>2</v>
      </c>
      <c r="CH279" s="21">
        <v>8</v>
      </c>
      <c r="CI279" s="21">
        <v>4</v>
      </c>
      <c r="CJ279" s="21">
        <v>5</v>
      </c>
      <c r="CK279" s="21">
        <v>6</v>
      </c>
      <c r="CL279" s="21">
        <v>3</v>
      </c>
      <c r="CM279" s="21">
        <v>8</v>
      </c>
      <c r="CN279" s="21">
        <v>1</v>
      </c>
      <c r="CO279" s="21">
        <v>6</v>
      </c>
      <c r="CP279" s="21">
        <f t="shared" si="471"/>
        <v>6</v>
      </c>
      <c r="CQ279" s="344">
        <f t="shared" si="472"/>
        <v>5.2222222222222223</v>
      </c>
      <c r="CR279" s="87"/>
      <c r="CS279" s="86"/>
      <c r="CT279" s="85">
        <f t="shared" si="473"/>
        <v>26</v>
      </c>
      <c r="CU279" s="85">
        <f t="shared" si="474"/>
        <v>52</v>
      </c>
      <c r="CV279" s="85">
        <f t="shared" si="475"/>
        <v>22</v>
      </c>
      <c r="CW279" s="85">
        <f t="shared" si="476"/>
        <v>37</v>
      </c>
      <c r="CX279" s="85">
        <f t="shared" si="477"/>
        <v>47</v>
      </c>
      <c r="CY279" s="86">
        <f t="shared" si="478"/>
        <v>35</v>
      </c>
      <c r="CZ279" s="87">
        <f t="shared" si="479"/>
        <v>33</v>
      </c>
      <c r="DA279" s="87">
        <f t="shared" si="480"/>
        <v>42</v>
      </c>
      <c r="DB279" s="87">
        <f t="shared" si="481"/>
        <v>26</v>
      </c>
      <c r="DC279" s="87">
        <f t="shared" si="482"/>
        <v>24</v>
      </c>
      <c r="DD279" s="87">
        <f t="shared" si="483"/>
        <v>45</v>
      </c>
      <c r="DE279" s="87">
        <f t="shared" si="484"/>
        <v>36</v>
      </c>
      <c r="DF279" s="87">
        <f t="shared" si="485"/>
        <v>33</v>
      </c>
      <c r="DG279" s="87">
        <f t="shared" si="486"/>
        <v>15</v>
      </c>
      <c r="DH279" s="87">
        <f t="shared" si="487"/>
        <v>24</v>
      </c>
      <c r="DI279" s="87">
        <f t="shared" si="488"/>
        <v>25</v>
      </c>
      <c r="DJ279" s="87">
        <f t="shared" si="489"/>
        <v>31</v>
      </c>
      <c r="DK279" s="86">
        <f t="shared" si="490"/>
        <v>22</v>
      </c>
      <c r="DL279" s="87">
        <f t="shared" si="491"/>
        <v>39</v>
      </c>
      <c r="DM279" s="87">
        <f t="shared" si="492"/>
        <v>29</v>
      </c>
      <c r="DN279" s="87">
        <f t="shared" si="493"/>
        <v>37</v>
      </c>
      <c r="DO279" s="87">
        <f t="shared" si="494"/>
        <v>56</v>
      </c>
      <c r="DP279" s="87">
        <f t="shared" si="495"/>
        <v>38</v>
      </c>
      <c r="DQ279" s="87">
        <f t="shared" si="496"/>
        <v>57</v>
      </c>
      <c r="DR279" s="87">
        <f t="shared" si="439"/>
        <v>32</v>
      </c>
      <c r="DS279" s="87">
        <f t="shared" si="440"/>
        <v>44</v>
      </c>
      <c r="DT279" s="87">
        <f t="shared" si="497"/>
        <v>44</v>
      </c>
      <c r="DU279" s="87">
        <f t="shared" si="498"/>
        <v>35.222222222222221</v>
      </c>
      <c r="DV279" s="87">
        <f t="shared" si="499"/>
        <v>0</v>
      </c>
      <c r="DW279" s="87">
        <f t="shared" si="500"/>
        <v>0</v>
      </c>
    </row>
    <row r="280" spans="1:127">
      <c r="A280" s="22" t="s">
        <v>22</v>
      </c>
      <c r="B280" s="26">
        <v>4210201367673</v>
      </c>
      <c r="C280" s="22" t="s">
        <v>117</v>
      </c>
      <c r="D280" s="22" t="s">
        <v>119</v>
      </c>
      <c r="E280" s="22">
        <v>364427</v>
      </c>
      <c r="F280" s="80" t="s">
        <v>372</v>
      </c>
      <c r="G280" s="25">
        <v>1999.3</v>
      </c>
      <c r="H280" s="85">
        <f t="shared" si="441"/>
        <v>1999.3</v>
      </c>
      <c r="I280" s="85">
        <f t="shared" si="442"/>
        <v>5997.9</v>
      </c>
      <c r="J280" s="85">
        <f t="shared" si="443"/>
        <v>1999.3</v>
      </c>
      <c r="K280" s="85">
        <f t="shared" si="444"/>
        <v>0</v>
      </c>
      <c r="L280" s="85">
        <f t="shared" si="445"/>
        <v>1999.3</v>
      </c>
      <c r="M280" s="86">
        <f t="shared" si="446"/>
        <v>0</v>
      </c>
      <c r="N280" s="87">
        <f t="shared" si="447"/>
        <v>0</v>
      </c>
      <c r="O280" s="87">
        <f t="shared" si="448"/>
        <v>0</v>
      </c>
      <c r="P280" s="87">
        <f t="shared" si="449"/>
        <v>0</v>
      </c>
      <c r="Q280" s="87">
        <f t="shared" si="450"/>
        <v>0</v>
      </c>
      <c r="R280" s="87">
        <f t="shared" si="451"/>
        <v>0</v>
      </c>
      <c r="S280" s="87">
        <f t="shared" si="452"/>
        <v>0</v>
      </c>
      <c r="T280" s="87">
        <f t="shared" si="453"/>
        <v>0</v>
      </c>
      <c r="U280" s="87">
        <f t="shared" si="454"/>
        <v>0</v>
      </c>
      <c r="V280" s="87">
        <f t="shared" si="455"/>
        <v>0</v>
      </c>
      <c r="W280" s="87">
        <f t="shared" si="456"/>
        <v>0</v>
      </c>
      <c r="X280" s="87">
        <f t="shared" si="457"/>
        <v>0</v>
      </c>
      <c r="Y280" s="86">
        <f t="shared" si="458"/>
        <v>0</v>
      </c>
      <c r="Z280" s="87">
        <f t="shared" si="459"/>
        <v>0</v>
      </c>
      <c r="AA280" s="87">
        <f t="shared" si="460"/>
        <v>0</v>
      </c>
      <c r="AB280" s="87">
        <f t="shared" si="461"/>
        <v>0</v>
      </c>
      <c r="AC280" s="87">
        <f t="shared" si="462"/>
        <v>0</v>
      </c>
      <c r="AD280" s="87">
        <f t="shared" si="463"/>
        <v>0</v>
      </c>
      <c r="AE280" s="87">
        <f t="shared" si="464"/>
        <v>0</v>
      </c>
      <c r="AF280" s="87">
        <f t="shared" si="465"/>
        <v>0</v>
      </c>
      <c r="AG280" s="87">
        <f t="shared" si="466"/>
        <v>0</v>
      </c>
      <c r="AH280" s="87">
        <f t="shared" si="467"/>
        <v>0</v>
      </c>
      <c r="AI280" s="87">
        <f t="shared" si="468"/>
        <v>0</v>
      </c>
      <c r="AJ280" s="87">
        <f t="shared" si="469"/>
        <v>0</v>
      </c>
      <c r="AK280" s="86">
        <f t="shared" si="470"/>
        <v>0</v>
      </c>
      <c r="AL280" s="85">
        <v>1</v>
      </c>
      <c r="AM280" s="85">
        <v>3</v>
      </c>
      <c r="AN280" s="85">
        <v>1</v>
      </c>
      <c r="AO280" s="85">
        <v>0</v>
      </c>
      <c r="AP280" s="85">
        <v>1</v>
      </c>
      <c r="AQ280" s="86">
        <v>0</v>
      </c>
      <c r="AR280" s="87">
        <v>0</v>
      </c>
      <c r="AS280" s="87">
        <v>0</v>
      </c>
      <c r="AT280" s="87">
        <v>0</v>
      </c>
      <c r="AU280" s="87">
        <v>0</v>
      </c>
      <c r="AV280" s="87">
        <v>0</v>
      </c>
      <c r="AW280" s="87">
        <v>0</v>
      </c>
      <c r="AX280" s="87">
        <v>0</v>
      </c>
      <c r="AY280" s="87">
        <v>0</v>
      </c>
      <c r="AZ280" s="87">
        <v>0</v>
      </c>
      <c r="BA280" s="87">
        <v>0</v>
      </c>
      <c r="BB280" s="87">
        <v>0</v>
      </c>
      <c r="BC280" s="86">
        <v>0</v>
      </c>
      <c r="BD280" s="87">
        <v>0</v>
      </c>
      <c r="BE280" s="87">
        <v>0</v>
      </c>
      <c r="BF280" s="87">
        <v>0</v>
      </c>
      <c r="BG280" s="87">
        <v>0</v>
      </c>
      <c r="BH280" s="87">
        <v>0</v>
      </c>
      <c r="BI280" s="87">
        <v>0</v>
      </c>
      <c r="BJ280" s="40">
        <v>0</v>
      </c>
      <c r="BK280" s="40">
        <v>0</v>
      </c>
      <c r="BL280" s="40">
        <v>0</v>
      </c>
      <c r="BM280" s="40">
        <v>0</v>
      </c>
      <c r="BN280" s="87"/>
      <c r="BO280" s="86"/>
      <c r="BP280" s="21">
        <v>0</v>
      </c>
      <c r="BQ280" s="21">
        <v>0</v>
      </c>
      <c r="BR280" s="21">
        <v>0</v>
      </c>
      <c r="BS280" s="21">
        <v>0</v>
      </c>
      <c r="BT280" s="21">
        <v>0</v>
      </c>
      <c r="BU280" s="42">
        <v>0</v>
      </c>
      <c r="BV280" s="21">
        <v>0</v>
      </c>
      <c r="BW280" s="21">
        <v>0</v>
      </c>
      <c r="BX280" s="21">
        <v>0</v>
      </c>
      <c r="BY280" s="21">
        <v>0</v>
      </c>
      <c r="BZ280" s="21">
        <v>0</v>
      </c>
      <c r="CA280" s="21">
        <v>0</v>
      </c>
      <c r="CB280" s="21">
        <v>0</v>
      </c>
      <c r="CC280" s="21">
        <v>0</v>
      </c>
      <c r="CD280" s="21">
        <v>0</v>
      </c>
      <c r="CE280" s="21">
        <v>0</v>
      </c>
      <c r="CF280" s="21">
        <v>0</v>
      </c>
      <c r="CG280" s="42">
        <v>0</v>
      </c>
      <c r="CH280" s="21">
        <v>0</v>
      </c>
      <c r="CI280" s="21">
        <v>0</v>
      </c>
      <c r="CJ280" s="21">
        <v>0</v>
      </c>
      <c r="CK280" s="21">
        <v>0</v>
      </c>
      <c r="CL280" s="21">
        <v>0</v>
      </c>
      <c r="CM280" s="21">
        <v>0</v>
      </c>
      <c r="CN280" s="21">
        <v>0</v>
      </c>
      <c r="CO280" s="21">
        <v>0</v>
      </c>
      <c r="CP280" s="21">
        <f t="shared" si="471"/>
        <v>0</v>
      </c>
      <c r="CQ280" s="344">
        <f t="shared" si="472"/>
        <v>0</v>
      </c>
      <c r="CR280" s="87"/>
      <c r="CS280" s="86"/>
      <c r="CT280" s="85">
        <f t="shared" si="473"/>
        <v>1</v>
      </c>
      <c r="CU280" s="85">
        <f t="shared" si="474"/>
        <v>3</v>
      </c>
      <c r="CV280" s="85">
        <f t="shared" si="475"/>
        <v>1</v>
      </c>
      <c r="CW280" s="85">
        <f t="shared" si="476"/>
        <v>0</v>
      </c>
      <c r="CX280" s="85">
        <f t="shared" si="477"/>
        <v>1</v>
      </c>
      <c r="CY280" s="86">
        <f t="shared" si="478"/>
        <v>0</v>
      </c>
      <c r="CZ280" s="87">
        <f t="shared" si="479"/>
        <v>0</v>
      </c>
      <c r="DA280" s="87">
        <f t="shared" si="480"/>
        <v>0</v>
      </c>
      <c r="DB280" s="87">
        <f t="shared" si="481"/>
        <v>0</v>
      </c>
      <c r="DC280" s="87">
        <f t="shared" si="482"/>
        <v>0</v>
      </c>
      <c r="DD280" s="87">
        <f t="shared" si="483"/>
        <v>0</v>
      </c>
      <c r="DE280" s="87">
        <f t="shared" si="484"/>
        <v>0</v>
      </c>
      <c r="DF280" s="87">
        <f t="shared" si="485"/>
        <v>0</v>
      </c>
      <c r="DG280" s="87">
        <f t="shared" si="486"/>
        <v>0</v>
      </c>
      <c r="DH280" s="87">
        <f t="shared" si="487"/>
        <v>0</v>
      </c>
      <c r="DI280" s="87">
        <f t="shared" si="488"/>
        <v>0</v>
      </c>
      <c r="DJ280" s="87">
        <f t="shared" si="489"/>
        <v>0</v>
      </c>
      <c r="DK280" s="86">
        <f t="shared" si="490"/>
        <v>0</v>
      </c>
      <c r="DL280" s="87">
        <f t="shared" si="491"/>
        <v>0</v>
      </c>
      <c r="DM280" s="87">
        <f t="shared" si="492"/>
        <v>0</v>
      </c>
      <c r="DN280" s="87">
        <f t="shared" si="493"/>
        <v>0</v>
      </c>
      <c r="DO280" s="87">
        <f t="shared" si="494"/>
        <v>0</v>
      </c>
      <c r="DP280" s="87">
        <f t="shared" si="495"/>
        <v>0</v>
      </c>
      <c r="DQ280" s="87">
        <f t="shared" si="496"/>
        <v>0</v>
      </c>
      <c r="DR280" s="87">
        <f t="shared" si="439"/>
        <v>0</v>
      </c>
      <c r="DS280" s="87">
        <f t="shared" si="440"/>
        <v>0</v>
      </c>
      <c r="DT280" s="87">
        <f t="shared" si="497"/>
        <v>0</v>
      </c>
      <c r="DU280" s="87">
        <f t="shared" si="498"/>
        <v>0</v>
      </c>
      <c r="DV280" s="87">
        <f t="shared" si="499"/>
        <v>0</v>
      </c>
      <c r="DW280" s="87">
        <f t="shared" si="500"/>
        <v>0</v>
      </c>
    </row>
    <row r="281" spans="1:127">
      <c r="A281" s="22" t="s">
        <v>22</v>
      </c>
      <c r="B281" s="26">
        <v>4210201295815</v>
      </c>
      <c r="C281" s="22" t="s">
        <v>118</v>
      </c>
      <c r="D281" s="22" t="s">
        <v>122</v>
      </c>
      <c r="E281" s="22">
        <v>117491</v>
      </c>
      <c r="F281" s="80" t="s">
        <v>373</v>
      </c>
      <c r="G281" s="25">
        <v>1421.4</v>
      </c>
      <c r="H281" s="85">
        <f t="shared" si="441"/>
        <v>38377.800000000003</v>
      </c>
      <c r="I281" s="85">
        <f t="shared" si="442"/>
        <v>55434.600000000006</v>
      </c>
      <c r="J281" s="85">
        <f t="shared" si="443"/>
        <v>24163.800000000003</v>
      </c>
      <c r="K281" s="85">
        <f t="shared" si="444"/>
        <v>24163.800000000003</v>
      </c>
      <c r="L281" s="85">
        <f t="shared" si="445"/>
        <v>27006.600000000002</v>
      </c>
      <c r="M281" s="86">
        <f t="shared" si="446"/>
        <v>12792.6</v>
      </c>
      <c r="N281" s="87">
        <f t="shared" si="447"/>
        <v>18478.2</v>
      </c>
      <c r="O281" s="87">
        <f t="shared" si="448"/>
        <v>28428</v>
      </c>
      <c r="P281" s="87">
        <f t="shared" si="449"/>
        <v>15635.400000000001</v>
      </c>
      <c r="Q281" s="87">
        <f t="shared" si="450"/>
        <v>11371.2</v>
      </c>
      <c r="R281" s="87">
        <f t="shared" si="451"/>
        <v>25585.200000000001</v>
      </c>
      <c r="S281" s="87">
        <f t="shared" si="452"/>
        <v>28428</v>
      </c>
      <c r="T281" s="87">
        <f t="shared" si="453"/>
        <v>28428</v>
      </c>
      <c r="U281" s="87">
        <f t="shared" si="454"/>
        <v>15635.400000000001</v>
      </c>
      <c r="V281" s="87">
        <f t="shared" si="455"/>
        <v>12792.6</v>
      </c>
      <c r="W281" s="87">
        <f t="shared" si="456"/>
        <v>7107</v>
      </c>
      <c r="X281" s="87">
        <f t="shared" si="457"/>
        <v>12792.6</v>
      </c>
      <c r="Y281" s="86">
        <f t="shared" si="458"/>
        <v>7107</v>
      </c>
      <c r="Z281" s="87">
        <f t="shared" si="459"/>
        <v>9949.8000000000011</v>
      </c>
      <c r="AA281" s="87">
        <f t="shared" si="460"/>
        <v>4264.2000000000007</v>
      </c>
      <c r="AB281" s="87">
        <f t="shared" si="461"/>
        <v>17056.800000000003</v>
      </c>
      <c r="AC281" s="87">
        <f t="shared" si="462"/>
        <v>34113.600000000006</v>
      </c>
      <c r="AD281" s="87">
        <f t="shared" si="463"/>
        <v>8528.4000000000015</v>
      </c>
      <c r="AE281" s="87">
        <f t="shared" si="464"/>
        <v>11371.2</v>
      </c>
      <c r="AF281" s="87">
        <f t="shared" si="465"/>
        <v>11371.2</v>
      </c>
      <c r="AG281" s="87">
        <f t="shared" si="466"/>
        <v>11371.2</v>
      </c>
      <c r="AH281" s="87">
        <f t="shared" si="467"/>
        <v>8528.4000000000015</v>
      </c>
      <c r="AI281" s="87">
        <f t="shared" si="468"/>
        <v>7107</v>
      </c>
      <c r="AJ281" s="87">
        <f t="shared" si="469"/>
        <v>0</v>
      </c>
      <c r="AK281" s="86">
        <f t="shared" si="470"/>
        <v>0</v>
      </c>
      <c r="AL281" s="85">
        <v>25</v>
      </c>
      <c r="AM281" s="85">
        <v>37</v>
      </c>
      <c r="AN281" s="85">
        <v>16</v>
      </c>
      <c r="AO281" s="85">
        <v>17</v>
      </c>
      <c r="AP281" s="85">
        <v>19</v>
      </c>
      <c r="AQ281" s="86">
        <v>9</v>
      </c>
      <c r="AR281" s="87">
        <v>13</v>
      </c>
      <c r="AS281" s="87">
        <v>20</v>
      </c>
      <c r="AT281" s="87">
        <v>11</v>
      </c>
      <c r="AU281" s="87">
        <v>8</v>
      </c>
      <c r="AV281" s="87">
        <v>18</v>
      </c>
      <c r="AW281" s="87">
        <v>20</v>
      </c>
      <c r="AX281" s="87">
        <v>20</v>
      </c>
      <c r="AY281" s="87">
        <v>11</v>
      </c>
      <c r="AZ281" s="87">
        <v>9</v>
      </c>
      <c r="BA281" s="87">
        <v>5</v>
      </c>
      <c r="BB281" s="87">
        <v>9</v>
      </c>
      <c r="BC281" s="86">
        <v>5</v>
      </c>
      <c r="BD281" s="87">
        <v>7</v>
      </c>
      <c r="BE281" s="87">
        <v>3</v>
      </c>
      <c r="BF281" s="87">
        <v>12</v>
      </c>
      <c r="BG281" s="87">
        <v>24</v>
      </c>
      <c r="BH281" s="87">
        <v>6</v>
      </c>
      <c r="BI281" s="87">
        <v>8</v>
      </c>
      <c r="BJ281" s="40">
        <v>8</v>
      </c>
      <c r="BK281" s="40">
        <v>8</v>
      </c>
      <c r="BL281" s="40">
        <v>6</v>
      </c>
      <c r="BM281" s="40">
        <v>5</v>
      </c>
      <c r="BN281" s="87"/>
      <c r="BO281" s="86"/>
      <c r="BP281" s="21">
        <v>2</v>
      </c>
      <c r="BQ281" s="21">
        <v>2</v>
      </c>
      <c r="BR281" s="21">
        <v>1</v>
      </c>
      <c r="BS281" s="21">
        <v>0</v>
      </c>
      <c r="BT281" s="21">
        <v>0</v>
      </c>
      <c r="BU281" s="42">
        <v>0</v>
      </c>
      <c r="BV281" s="21">
        <v>0</v>
      </c>
      <c r="BW281" s="21">
        <v>0</v>
      </c>
      <c r="BX281" s="21">
        <v>0</v>
      </c>
      <c r="BY281" s="21">
        <v>0</v>
      </c>
      <c r="BZ281" s="21">
        <v>0</v>
      </c>
      <c r="CA281" s="21">
        <v>0</v>
      </c>
      <c r="CB281" s="21">
        <v>0</v>
      </c>
      <c r="CC281" s="21">
        <v>0</v>
      </c>
      <c r="CD281" s="21">
        <v>0</v>
      </c>
      <c r="CE281" s="21">
        <v>0</v>
      </c>
      <c r="CF281" s="21">
        <v>0</v>
      </c>
      <c r="CG281" s="42">
        <v>0</v>
      </c>
      <c r="CH281" s="21">
        <v>0</v>
      </c>
      <c r="CI281" s="21">
        <v>0</v>
      </c>
      <c r="CJ281" s="21">
        <v>0</v>
      </c>
      <c r="CK281" s="21">
        <v>0</v>
      </c>
      <c r="CL281" s="21">
        <v>0</v>
      </c>
      <c r="CM281" s="21">
        <v>0</v>
      </c>
      <c r="CN281" s="21">
        <v>0</v>
      </c>
      <c r="CO281" s="21">
        <v>0</v>
      </c>
      <c r="CP281" s="21">
        <f t="shared" si="471"/>
        <v>0</v>
      </c>
      <c r="CQ281" s="344">
        <f t="shared" si="472"/>
        <v>0</v>
      </c>
      <c r="CR281" s="87"/>
      <c r="CS281" s="86"/>
      <c r="CT281" s="85">
        <f t="shared" si="473"/>
        <v>27</v>
      </c>
      <c r="CU281" s="85">
        <f t="shared" si="474"/>
        <v>39</v>
      </c>
      <c r="CV281" s="85">
        <f t="shared" si="475"/>
        <v>17</v>
      </c>
      <c r="CW281" s="85">
        <f t="shared" si="476"/>
        <v>17</v>
      </c>
      <c r="CX281" s="85">
        <f t="shared" si="477"/>
        <v>19</v>
      </c>
      <c r="CY281" s="86">
        <f t="shared" si="478"/>
        <v>9</v>
      </c>
      <c r="CZ281" s="87">
        <f t="shared" si="479"/>
        <v>13</v>
      </c>
      <c r="DA281" s="87">
        <f t="shared" si="480"/>
        <v>20</v>
      </c>
      <c r="DB281" s="87">
        <f t="shared" si="481"/>
        <v>11</v>
      </c>
      <c r="DC281" s="87">
        <f t="shared" si="482"/>
        <v>8</v>
      </c>
      <c r="DD281" s="87">
        <f t="shared" si="483"/>
        <v>18</v>
      </c>
      <c r="DE281" s="87">
        <f t="shared" si="484"/>
        <v>20</v>
      </c>
      <c r="DF281" s="87">
        <f t="shared" si="485"/>
        <v>20</v>
      </c>
      <c r="DG281" s="87">
        <f t="shared" si="486"/>
        <v>11</v>
      </c>
      <c r="DH281" s="87">
        <f t="shared" si="487"/>
        <v>9</v>
      </c>
      <c r="DI281" s="87">
        <f t="shared" si="488"/>
        <v>5</v>
      </c>
      <c r="DJ281" s="87">
        <f t="shared" si="489"/>
        <v>9</v>
      </c>
      <c r="DK281" s="86">
        <f t="shared" si="490"/>
        <v>5</v>
      </c>
      <c r="DL281" s="87">
        <f t="shared" si="491"/>
        <v>7</v>
      </c>
      <c r="DM281" s="87">
        <f t="shared" si="492"/>
        <v>3</v>
      </c>
      <c r="DN281" s="87">
        <f t="shared" si="493"/>
        <v>12</v>
      </c>
      <c r="DO281" s="87">
        <f t="shared" si="494"/>
        <v>24</v>
      </c>
      <c r="DP281" s="87">
        <f t="shared" si="495"/>
        <v>6</v>
      </c>
      <c r="DQ281" s="87">
        <f t="shared" si="496"/>
        <v>8</v>
      </c>
      <c r="DR281" s="87">
        <f t="shared" si="439"/>
        <v>8</v>
      </c>
      <c r="DS281" s="87">
        <f t="shared" si="440"/>
        <v>8</v>
      </c>
      <c r="DT281" s="87">
        <f t="shared" si="497"/>
        <v>6</v>
      </c>
      <c r="DU281" s="87">
        <f t="shared" si="498"/>
        <v>5</v>
      </c>
      <c r="DV281" s="87">
        <f t="shared" si="499"/>
        <v>0</v>
      </c>
      <c r="DW281" s="87">
        <f t="shared" si="500"/>
        <v>0</v>
      </c>
    </row>
    <row r="282" spans="1:127">
      <c r="A282" s="22" t="s">
        <v>22</v>
      </c>
      <c r="B282" s="26">
        <v>4210201431961</v>
      </c>
      <c r="C282" s="22" t="s">
        <v>117</v>
      </c>
      <c r="D282" s="22" t="s">
        <v>119</v>
      </c>
      <c r="E282" s="22">
        <v>120378</v>
      </c>
      <c r="F282" s="80" t="s">
        <v>374</v>
      </c>
      <c r="G282" s="25">
        <v>1960</v>
      </c>
      <c r="H282" s="85">
        <f t="shared" si="441"/>
        <v>49000</v>
      </c>
      <c r="I282" s="85">
        <f t="shared" si="442"/>
        <v>88200</v>
      </c>
      <c r="J282" s="85">
        <f t="shared" si="443"/>
        <v>52920</v>
      </c>
      <c r="K282" s="85">
        <f t="shared" si="444"/>
        <v>33320</v>
      </c>
      <c r="L282" s="85">
        <f t="shared" si="445"/>
        <v>105840</v>
      </c>
      <c r="M282" s="86">
        <f t="shared" si="446"/>
        <v>221480</v>
      </c>
      <c r="N282" s="87">
        <f t="shared" si="447"/>
        <v>150920</v>
      </c>
      <c r="O282" s="87">
        <f t="shared" si="448"/>
        <v>86240</v>
      </c>
      <c r="P282" s="87">
        <f t="shared" si="449"/>
        <v>123480</v>
      </c>
      <c r="Q282" s="87">
        <f t="shared" si="450"/>
        <v>70560</v>
      </c>
      <c r="R282" s="87">
        <f t="shared" si="451"/>
        <v>66640</v>
      </c>
      <c r="S282" s="87">
        <f t="shared" si="452"/>
        <v>64680</v>
      </c>
      <c r="T282" s="87">
        <f t="shared" si="453"/>
        <v>60760</v>
      </c>
      <c r="U282" s="87">
        <f t="shared" si="454"/>
        <v>72520</v>
      </c>
      <c r="V282" s="87">
        <f t="shared" si="455"/>
        <v>37240</v>
      </c>
      <c r="W282" s="87">
        <f t="shared" si="456"/>
        <v>33320</v>
      </c>
      <c r="X282" s="87">
        <f t="shared" si="457"/>
        <v>66640</v>
      </c>
      <c r="Y282" s="86">
        <f t="shared" si="458"/>
        <v>33320</v>
      </c>
      <c r="Z282" s="87">
        <f t="shared" si="459"/>
        <v>56840</v>
      </c>
      <c r="AA282" s="87">
        <f t="shared" si="460"/>
        <v>27440</v>
      </c>
      <c r="AB282" s="87">
        <f t="shared" si="461"/>
        <v>133280</v>
      </c>
      <c r="AC282" s="87">
        <f t="shared" si="462"/>
        <v>239120</v>
      </c>
      <c r="AD282" s="87">
        <f t="shared" si="463"/>
        <v>235200</v>
      </c>
      <c r="AE282" s="87">
        <f t="shared" si="464"/>
        <v>176400</v>
      </c>
      <c r="AF282" s="87">
        <f t="shared" si="465"/>
        <v>211680</v>
      </c>
      <c r="AG282" s="87">
        <f t="shared" si="466"/>
        <v>172480</v>
      </c>
      <c r="AH282" s="87">
        <f t="shared" si="467"/>
        <v>115640</v>
      </c>
      <c r="AI282" s="87">
        <f t="shared" si="468"/>
        <v>174657.77777777778</v>
      </c>
      <c r="AJ282" s="87">
        <f t="shared" si="469"/>
        <v>0</v>
      </c>
      <c r="AK282" s="86">
        <f t="shared" si="470"/>
        <v>0</v>
      </c>
      <c r="AL282" s="85">
        <v>19</v>
      </c>
      <c r="AM282" s="85">
        <v>42</v>
      </c>
      <c r="AN282" s="85">
        <v>24</v>
      </c>
      <c r="AO282" s="85">
        <v>14</v>
      </c>
      <c r="AP282" s="85">
        <v>45</v>
      </c>
      <c r="AQ282" s="86">
        <v>88</v>
      </c>
      <c r="AR282" s="87">
        <v>62</v>
      </c>
      <c r="AS282" s="87">
        <v>35</v>
      </c>
      <c r="AT282" s="87">
        <v>55</v>
      </c>
      <c r="AU282" s="87">
        <v>33</v>
      </c>
      <c r="AV282" s="87">
        <v>32</v>
      </c>
      <c r="AW282" s="87">
        <v>33</v>
      </c>
      <c r="AX282" s="87">
        <v>29</v>
      </c>
      <c r="AY282" s="87">
        <v>32</v>
      </c>
      <c r="AZ282" s="87">
        <v>13</v>
      </c>
      <c r="BA282" s="87">
        <v>17</v>
      </c>
      <c r="BB282" s="87">
        <v>30</v>
      </c>
      <c r="BC282" s="86">
        <v>17</v>
      </c>
      <c r="BD282" s="87">
        <v>24</v>
      </c>
      <c r="BE282" s="87">
        <v>9</v>
      </c>
      <c r="BF282" s="87">
        <v>13</v>
      </c>
      <c r="BG282" s="87">
        <v>50</v>
      </c>
      <c r="BH282" s="87">
        <v>51</v>
      </c>
      <c r="BI282" s="87">
        <v>56</v>
      </c>
      <c r="BJ282" s="40">
        <v>50</v>
      </c>
      <c r="BK282" s="40">
        <v>70</v>
      </c>
      <c r="BL282" s="40">
        <v>41</v>
      </c>
      <c r="BM282" s="40">
        <v>52</v>
      </c>
      <c r="BN282" s="87"/>
      <c r="BO282" s="86"/>
      <c r="BP282" s="21">
        <v>6</v>
      </c>
      <c r="BQ282" s="21">
        <v>3</v>
      </c>
      <c r="BR282" s="21">
        <v>3</v>
      </c>
      <c r="BS282" s="21">
        <v>3</v>
      </c>
      <c r="BT282" s="21">
        <v>9</v>
      </c>
      <c r="BU282" s="42">
        <v>25</v>
      </c>
      <c r="BV282" s="21">
        <v>15</v>
      </c>
      <c r="BW282" s="21">
        <v>9</v>
      </c>
      <c r="BX282" s="21">
        <v>8</v>
      </c>
      <c r="BY282" s="21">
        <v>3</v>
      </c>
      <c r="BZ282" s="21">
        <v>2</v>
      </c>
      <c r="CA282" s="21">
        <v>0</v>
      </c>
      <c r="CB282" s="21">
        <v>2</v>
      </c>
      <c r="CC282" s="21">
        <v>5</v>
      </c>
      <c r="CD282" s="21">
        <v>6</v>
      </c>
      <c r="CE282" s="21">
        <v>0</v>
      </c>
      <c r="CF282" s="21">
        <v>4</v>
      </c>
      <c r="CG282" s="42">
        <v>0</v>
      </c>
      <c r="CH282" s="21">
        <v>5</v>
      </c>
      <c r="CI282" s="21">
        <v>5</v>
      </c>
      <c r="CJ282" s="21">
        <v>55</v>
      </c>
      <c r="CK282" s="21">
        <v>72</v>
      </c>
      <c r="CL282" s="21">
        <v>69</v>
      </c>
      <c r="CM282" s="21">
        <v>34</v>
      </c>
      <c r="CN282" s="21">
        <v>58</v>
      </c>
      <c r="CO282" s="21">
        <v>18</v>
      </c>
      <c r="CP282" s="21">
        <f t="shared" si="471"/>
        <v>18</v>
      </c>
      <c r="CQ282" s="344">
        <f t="shared" si="472"/>
        <v>37.111111111111114</v>
      </c>
      <c r="CR282" s="87"/>
      <c r="CS282" s="86"/>
      <c r="CT282" s="85">
        <f t="shared" si="473"/>
        <v>25</v>
      </c>
      <c r="CU282" s="85">
        <f t="shared" si="474"/>
        <v>45</v>
      </c>
      <c r="CV282" s="85">
        <f t="shared" si="475"/>
        <v>27</v>
      </c>
      <c r="CW282" s="85">
        <f t="shared" si="476"/>
        <v>17</v>
      </c>
      <c r="CX282" s="85">
        <f t="shared" si="477"/>
        <v>54</v>
      </c>
      <c r="CY282" s="86">
        <f t="shared" si="478"/>
        <v>113</v>
      </c>
      <c r="CZ282" s="87">
        <f t="shared" si="479"/>
        <v>77</v>
      </c>
      <c r="DA282" s="87">
        <f t="shared" si="480"/>
        <v>44</v>
      </c>
      <c r="DB282" s="87">
        <f t="shared" si="481"/>
        <v>63</v>
      </c>
      <c r="DC282" s="87">
        <f t="shared" si="482"/>
        <v>36</v>
      </c>
      <c r="DD282" s="87">
        <f t="shared" si="483"/>
        <v>34</v>
      </c>
      <c r="DE282" s="87">
        <f t="shared" si="484"/>
        <v>33</v>
      </c>
      <c r="DF282" s="87">
        <f t="shared" si="485"/>
        <v>31</v>
      </c>
      <c r="DG282" s="87">
        <f t="shared" si="486"/>
        <v>37</v>
      </c>
      <c r="DH282" s="87">
        <f t="shared" si="487"/>
        <v>19</v>
      </c>
      <c r="DI282" s="87">
        <f t="shared" si="488"/>
        <v>17</v>
      </c>
      <c r="DJ282" s="87">
        <f t="shared" si="489"/>
        <v>34</v>
      </c>
      <c r="DK282" s="86">
        <f t="shared" si="490"/>
        <v>17</v>
      </c>
      <c r="DL282" s="87">
        <f t="shared" si="491"/>
        <v>29</v>
      </c>
      <c r="DM282" s="87">
        <f t="shared" si="492"/>
        <v>14</v>
      </c>
      <c r="DN282" s="87">
        <f t="shared" si="493"/>
        <v>68</v>
      </c>
      <c r="DO282" s="87">
        <f t="shared" si="494"/>
        <v>122</v>
      </c>
      <c r="DP282" s="87">
        <f t="shared" si="495"/>
        <v>120</v>
      </c>
      <c r="DQ282" s="87">
        <f t="shared" si="496"/>
        <v>90</v>
      </c>
      <c r="DR282" s="87">
        <f t="shared" si="439"/>
        <v>108</v>
      </c>
      <c r="DS282" s="87">
        <f t="shared" si="440"/>
        <v>88</v>
      </c>
      <c r="DT282" s="87">
        <f t="shared" si="497"/>
        <v>59</v>
      </c>
      <c r="DU282" s="87">
        <f t="shared" si="498"/>
        <v>89.111111111111114</v>
      </c>
      <c r="DV282" s="87">
        <f t="shared" si="499"/>
        <v>0</v>
      </c>
      <c r="DW282" s="87">
        <f t="shared" si="500"/>
        <v>0</v>
      </c>
    </row>
    <row r="283" spans="1:127">
      <c r="A283" s="22" t="s">
        <v>22</v>
      </c>
      <c r="B283" s="26">
        <v>4210201432029</v>
      </c>
      <c r="C283" s="22" t="s">
        <v>117</v>
      </c>
      <c r="D283" s="22" t="s">
        <v>119</v>
      </c>
      <c r="E283" s="22">
        <v>120413</v>
      </c>
      <c r="F283" s="80" t="s">
        <v>375</v>
      </c>
      <c r="G283" s="25">
        <v>1580</v>
      </c>
      <c r="H283" s="85">
        <f t="shared" si="441"/>
        <v>77420</v>
      </c>
      <c r="I283" s="85">
        <f t="shared" si="442"/>
        <v>254380</v>
      </c>
      <c r="J283" s="85">
        <f t="shared" si="443"/>
        <v>67940</v>
      </c>
      <c r="K283" s="85">
        <f t="shared" si="444"/>
        <v>82160</v>
      </c>
      <c r="L283" s="85">
        <f t="shared" si="445"/>
        <v>197500</v>
      </c>
      <c r="M283" s="86">
        <f t="shared" si="446"/>
        <v>158000</v>
      </c>
      <c r="N283" s="87">
        <f t="shared" si="447"/>
        <v>97960</v>
      </c>
      <c r="O283" s="87">
        <f t="shared" si="448"/>
        <v>197500</v>
      </c>
      <c r="P283" s="87">
        <f t="shared" si="449"/>
        <v>72680</v>
      </c>
      <c r="Q283" s="87">
        <f t="shared" si="450"/>
        <v>97960</v>
      </c>
      <c r="R283" s="87">
        <f t="shared" si="451"/>
        <v>82160</v>
      </c>
      <c r="S283" s="87">
        <f t="shared" si="452"/>
        <v>79000</v>
      </c>
      <c r="T283" s="87">
        <f t="shared" si="453"/>
        <v>55300</v>
      </c>
      <c r="U283" s="87">
        <f t="shared" si="454"/>
        <v>55300</v>
      </c>
      <c r="V283" s="87">
        <f t="shared" si="455"/>
        <v>60040</v>
      </c>
      <c r="W283" s="87">
        <f t="shared" si="456"/>
        <v>67940</v>
      </c>
      <c r="X283" s="87">
        <f t="shared" si="457"/>
        <v>61620</v>
      </c>
      <c r="Y283" s="86">
        <f t="shared" si="458"/>
        <v>25280</v>
      </c>
      <c r="Z283" s="87">
        <f t="shared" si="459"/>
        <v>72680</v>
      </c>
      <c r="AA283" s="87">
        <f t="shared" si="460"/>
        <v>58460</v>
      </c>
      <c r="AB283" s="87">
        <f t="shared" si="461"/>
        <v>33180</v>
      </c>
      <c r="AC283" s="87">
        <f t="shared" si="462"/>
        <v>71100</v>
      </c>
      <c r="AD283" s="87">
        <f t="shared" si="463"/>
        <v>33180</v>
      </c>
      <c r="AE283" s="87">
        <f t="shared" si="464"/>
        <v>42660</v>
      </c>
      <c r="AF283" s="87">
        <f t="shared" si="465"/>
        <v>34760</v>
      </c>
      <c r="AG283" s="87">
        <f t="shared" si="466"/>
        <v>34760</v>
      </c>
      <c r="AH283" s="87">
        <f t="shared" si="467"/>
        <v>23700</v>
      </c>
      <c r="AI283" s="87">
        <f t="shared" si="468"/>
        <v>17380</v>
      </c>
      <c r="AJ283" s="87">
        <f t="shared" si="469"/>
        <v>0</v>
      </c>
      <c r="AK283" s="86">
        <f t="shared" si="470"/>
        <v>0</v>
      </c>
      <c r="AL283" s="85">
        <v>49</v>
      </c>
      <c r="AM283" s="85">
        <v>153</v>
      </c>
      <c r="AN283" s="85">
        <v>30</v>
      </c>
      <c r="AO283" s="85">
        <v>52</v>
      </c>
      <c r="AP283" s="85">
        <v>118</v>
      </c>
      <c r="AQ283" s="86">
        <v>91</v>
      </c>
      <c r="AR283" s="87">
        <v>55</v>
      </c>
      <c r="AS283" s="87">
        <v>118</v>
      </c>
      <c r="AT283" s="87">
        <v>44</v>
      </c>
      <c r="AU283" s="87">
        <v>59</v>
      </c>
      <c r="AV283" s="87">
        <v>49</v>
      </c>
      <c r="AW283" s="87">
        <v>49</v>
      </c>
      <c r="AX283" s="87">
        <v>34</v>
      </c>
      <c r="AY283" s="87">
        <v>32</v>
      </c>
      <c r="AZ283" s="87">
        <v>27</v>
      </c>
      <c r="BA283" s="87">
        <v>43</v>
      </c>
      <c r="BB283" s="87">
        <v>39</v>
      </c>
      <c r="BC283" s="86">
        <v>16</v>
      </c>
      <c r="BD283" s="87">
        <v>46</v>
      </c>
      <c r="BE283" s="87">
        <v>37</v>
      </c>
      <c r="BF283" s="87">
        <v>21</v>
      </c>
      <c r="BG283" s="87">
        <v>45</v>
      </c>
      <c r="BH283" s="87">
        <v>21</v>
      </c>
      <c r="BI283" s="87">
        <v>27</v>
      </c>
      <c r="BJ283" s="40">
        <v>22</v>
      </c>
      <c r="BK283" s="40">
        <v>22</v>
      </c>
      <c r="BL283" s="40">
        <v>15</v>
      </c>
      <c r="BM283" s="40">
        <v>11</v>
      </c>
      <c r="BN283" s="87"/>
      <c r="BO283" s="86"/>
      <c r="BP283" s="21">
        <v>0</v>
      </c>
      <c r="BQ283" s="21">
        <v>8</v>
      </c>
      <c r="BR283" s="21">
        <v>13</v>
      </c>
      <c r="BS283" s="21">
        <v>0</v>
      </c>
      <c r="BT283" s="21">
        <v>7</v>
      </c>
      <c r="BU283" s="42">
        <v>9</v>
      </c>
      <c r="BV283" s="21">
        <v>7</v>
      </c>
      <c r="BW283" s="21">
        <v>7</v>
      </c>
      <c r="BX283" s="21">
        <v>2</v>
      </c>
      <c r="BY283" s="21">
        <v>3</v>
      </c>
      <c r="BZ283" s="21">
        <v>3</v>
      </c>
      <c r="CA283" s="21">
        <v>1</v>
      </c>
      <c r="CB283" s="21">
        <v>1</v>
      </c>
      <c r="CC283" s="21">
        <v>3</v>
      </c>
      <c r="CD283" s="21">
        <v>11</v>
      </c>
      <c r="CE283" s="21">
        <v>0</v>
      </c>
      <c r="CF283" s="21">
        <v>0</v>
      </c>
      <c r="CG283" s="42">
        <v>0</v>
      </c>
      <c r="CH283" s="21">
        <v>0</v>
      </c>
      <c r="CI283" s="21">
        <v>0</v>
      </c>
      <c r="CJ283" s="21">
        <v>0</v>
      </c>
      <c r="CK283" s="21">
        <v>0</v>
      </c>
      <c r="CL283" s="21">
        <v>0</v>
      </c>
      <c r="CM283" s="21">
        <v>0</v>
      </c>
      <c r="CN283" s="21">
        <v>0</v>
      </c>
      <c r="CO283" s="21">
        <v>0</v>
      </c>
      <c r="CP283" s="21">
        <f t="shared" si="471"/>
        <v>0</v>
      </c>
      <c r="CQ283" s="344">
        <f t="shared" si="472"/>
        <v>0</v>
      </c>
      <c r="CR283" s="87"/>
      <c r="CS283" s="86"/>
      <c r="CT283" s="85">
        <f t="shared" si="473"/>
        <v>49</v>
      </c>
      <c r="CU283" s="85">
        <f t="shared" si="474"/>
        <v>161</v>
      </c>
      <c r="CV283" s="85">
        <f t="shared" si="475"/>
        <v>43</v>
      </c>
      <c r="CW283" s="85">
        <f t="shared" si="476"/>
        <v>52</v>
      </c>
      <c r="CX283" s="85">
        <f t="shared" si="477"/>
        <v>125</v>
      </c>
      <c r="CY283" s="86">
        <f t="shared" si="478"/>
        <v>100</v>
      </c>
      <c r="CZ283" s="87">
        <f t="shared" si="479"/>
        <v>62</v>
      </c>
      <c r="DA283" s="87">
        <f t="shared" si="480"/>
        <v>125</v>
      </c>
      <c r="DB283" s="87">
        <f t="shared" si="481"/>
        <v>46</v>
      </c>
      <c r="DC283" s="87">
        <f t="shared" si="482"/>
        <v>62</v>
      </c>
      <c r="DD283" s="87">
        <f t="shared" si="483"/>
        <v>52</v>
      </c>
      <c r="DE283" s="87">
        <f t="shared" si="484"/>
        <v>50</v>
      </c>
      <c r="DF283" s="87">
        <f t="shared" si="485"/>
        <v>35</v>
      </c>
      <c r="DG283" s="87">
        <f t="shared" si="486"/>
        <v>35</v>
      </c>
      <c r="DH283" s="87">
        <f t="shared" si="487"/>
        <v>38</v>
      </c>
      <c r="DI283" s="87">
        <f t="shared" si="488"/>
        <v>43</v>
      </c>
      <c r="DJ283" s="87">
        <f t="shared" si="489"/>
        <v>39</v>
      </c>
      <c r="DK283" s="86">
        <f t="shared" si="490"/>
        <v>16</v>
      </c>
      <c r="DL283" s="87">
        <f t="shared" si="491"/>
        <v>46</v>
      </c>
      <c r="DM283" s="87">
        <f t="shared" si="492"/>
        <v>37</v>
      </c>
      <c r="DN283" s="87">
        <f t="shared" si="493"/>
        <v>21</v>
      </c>
      <c r="DO283" s="87">
        <f t="shared" si="494"/>
        <v>45</v>
      </c>
      <c r="DP283" s="87">
        <f t="shared" si="495"/>
        <v>21</v>
      </c>
      <c r="DQ283" s="87">
        <f t="shared" si="496"/>
        <v>27</v>
      </c>
      <c r="DR283" s="87">
        <f t="shared" si="439"/>
        <v>22</v>
      </c>
      <c r="DS283" s="87">
        <f t="shared" si="440"/>
        <v>22</v>
      </c>
      <c r="DT283" s="87">
        <f t="shared" si="497"/>
        <v>15</v>
      </c>
      <c r="DU283" s="87">
        <f t="shared" si="498"/>
        <v>11</v>
      </c>
      <c r="DV283" s="87">
        <f t="shared" si="499"/>
        <v>0</v>
      </c>
      <c r="DW283" s="87">
        <f t="shared" si="500"/>
        <v>0</v>
      </c>
    </row>
    <row r="284" spans="1:127">
      <c r="A284" s="22" t="s">
        <v>22</v>
      </c>
      <c r="B284" s="26">
        <v>4210201426110</v>
      </c>
      <c r="C284" s="22" t="s">
        <v>117</v>
      </c>
      <c r="D284" s="22" t="s">
        <v>119</v>
      </c>
      <c r="E284" s="22">
        <v>120427</v>
      </c>
      <c r="F284" s="80" t="s">
        <v>376</v>
      </c>
      <c r="G284" s="25">
        <v>1090</v>
      </c>
      <c r="H284" s="85">
        <f t="shared" si="441"/>
        <v>81750</v>
      </c>
      <c r="I284" s="85">
        <f t="shared" si="442"/>
        <v>117720</v>
      </c>
      <c r="J284" s="85">
        <f t="shared" si="443"/>
        <v>202740</v>
      </c>
      <c r="K284" s="85">
        <f t="shared" si="444"/>
        <v>283400</v>
      </c>
      <c r="L284" s="85">
        <f t="shared" si="445"/>
        <v>178760</v>
      </c>
      <c r="M284" s="86">
        <f t="shared" si="446"/>
        <v>180940</v>
      </c>
      <c r="N284" s="87">
        <f t="shared" si="447"/>
        <v>166770</v>
      </c>
      <c r="O284" s="87">
        <f t="shared" si="448"/>
        <v>153690</v>
      </c>
      <c r="P284" s="87">
        <f t="shared" si="449"/>
        <v>67580</v>
      </c>
      <c r="Q284" s="87">
        <f t="shared" si="450"/>
        <v>185300</v>
      </c>
      <c r="R284" s="87">
        <f t="shared" si="451"/>
        <v>194020</v>
      </c>
      <c r="S284" s="87">
        <f t="shared" si="452"/>
        <v>143880</v>
      </c>
      <c r="T284" s="87">
        <f t="shared" si="453"/>
        <v>125350</v>
      </c>
      <c r="U284" s="87">
        <f t="shared" si="454"/>
        <v>501400</v>
      </c>
      <c r="V284" s="87">
        <f t="shared" si="455"/>
        <v>177670</v>
      </c>
      <c r="W284" s="87">
        <f t="shared" si="456"/>
        <v>118810</v>
      </c>
      <c r="X284" s="87">
        <f t="shared" si="457"/>
        <v>918870</v>
      </c>
      <c r="Y284" s="86">
        <f t="shared" si="458"/>
        <v>291030</v>
      </c>
      <c r="Z284" s="87">
        <f t="shared" si="459"/>
        <v>272500</v>
      </c>
      <c r="AA284" s="87">
        <f t="shared" si="460"/>
        <v>258330</v>
      </c>
      <c r="AB284" s="87">
        <f t="shared" si="461"/>
        <v>243070</v>
      </c>
      <c r="AC284" s="87">
        <f t="shared" si="462"/>
        <v>224540</v>
      </c>
      <c r="AD284" s="87">
        <f t="shared" si="463"/>
        <v>438180</v>
      </c>
      <c r="AE284" s="87">
        <f t="shared" si="464"/>
        <v>601680</v>
      </c>
      <c r="AF284" s="87">
        <f t="shared" si="465"/>
        <v>269230</v>
      </c>
      <c r="AG284" s="87">
        <f t="shared" si="466"/>
        <v>433820</v>
      </c>
      <c r="AH284" s="87">
        <f t="shared" si="467"/>
        <v>257240</v>
      </c>
      <c r="AI284" s="87">
        <f t="shared" si="468"/>
        <v>289334.44444444444</v>
      </c>
      <c r="AJ284" s="87">
        <f t="shared" si="469"/>
        <v>0</v>
      </c>
      <c r="AK284" s="86">
        <f t="shared" si="470"/>
        <v>0</v>
      </c>
      <c r="AL284" s="85">
        <v>73</v>
      </c>
      <c r="AM284" s="85">
        <v>105</v>
      </c>
      <c r="AN284" s="85">
        <v>165</v>
      </c>
      <c r="AO284" s="85">
        <v>248</v>
      </c>
      <c r="AP284" s="85">
        <v>154</v>
      </c>
      <c r="AQ284" s="86">
        <v>131</v>
      </c>
      <c r="AR284" s="87">
        <v>128</v>
      </c>
      <c r="AS284" s="87">
        <v>135</v>
      </c>
      <c r="AT284" s="87">
        <v>59</v>
      </c>
      <c r="AU284" s="87">
        <v>136</v>
      </c>
      <c r="AV284" s="87">
        <v>153</v>
      </c>
      <c r="AW284" s="87">
        <v>126</v>
      </c>
      <c r="AX284" s="87">
        <v>113</v>
      </c>
      <c r="AY284" s="87">
        <v>351</v>
      </c>
      <c r="AZ284" s="87">
        <v>156</v>
      </c>
      <c r="BA284" s="87">
        <v>86</v>
      </c>
      <c r="BB284" s="87">
        <v>323</v>
      </c>
      <c r="BC284" s="86">
        <v>270</v>
      </c>
      <c r="BD284" s="87">
        <v>230</v>
      </c>
      <c r="BE284" s="87">
        <v>170</v>
      </c>
      <c r="BF284" s="87">
        <v>217</v>
      </c>
      <c r="BG284" s="87">
        <v>198</v>
      </c>
      <c r="BH284" s="87">
        <v>272</v>
      </c>
      <c r="BI284" s="87">
        <v>551</v>
      </c>
      <c r="BJ284" s="40">
        <v>239</v>
      </c>
      <c r="BK284" s="40">
        <v>363</v>
      </c>
      <c r="BL284" s="40">
        <v>201</v>
      </c>
      <c r="BM284" s="40">
        <v>231</v>
      </c>
      <c r="BN284" s="87"/>
      <c r="BO284" s="86"/>
      <c r="BP284" s="21">
        <v>2</v>
      </c>
      <c r="BQ284" s="21">
        <v>3</v>
      </c>
      <c r="BR284" s="21">
        <v>21</v>
      </c>
      <c r="BS284" s="21">
        <v>12</v>
      </c>
      <c r="BT284" s="21">
        <v>10</v>
      </c>
      <c r="BU284" s="42">
        <v>35</v>
      </c>
      <c r="BV284" s="21">
        <v>25</v>
      </c>
      <c r="BW284" s="21">
        <v>6</v>
      </c>
      <c r="BX284" s="21">
        <v>3</v>
      </c>
      <c r="BY284" s="21">
        <v>34</v>
      </c>
      <c r="BZ284" s="21">
        <v>25</v>
      </c>
      <c r="CA284" s="21">
        <v>6</v>
      </c>
      <c r="CB284" s="21">
        <v>2</v>
      </c>
      <c r="CC284" s="21">
        <v>109</v>
      </c>
      <c r="CD284" s="21">
        <v>7</v>
      </c>
      <c r="CE284" s="21">
        <v>23</v>
      </c>
      <c r="CF284" s="21">
        <v>520</v>
      </c>
      <c r="CG284" s="42">
        <v>-3</v>
      </c>
      <c r="CH284" s="21">
        <v>20</v>
      </c>
      <c r="CI284" s="21">
        <v>67</v>
      </c>
      <c r="CJ284" s="21">
        <v>6</v>
      </c>
      <c r="CK284" s="21">
        <v>8</v>
      </c>
      <c r="CL284" s="21">
        <v>130</v>
      </c>
      <c r="CM284" s="21">
        <v>1</v>
      </c>
      <c r="CN284" s="21">
        <v>8</v>
      </c>
      <c r="CO284" s="21">
        <v>35</v>
      </c>
      <c r="CP284" s="21">
        <f t="shared" si="471"/>
        <v>35</v>
      </c>
      <c r="CQ284" s="344">
        <f t="shared" si="472"/>
        <v>34.444444444444443</v>
      </c>
      <c r="CR284" s="87"/>
      <c r="CS284" s="86"/>
      <c r="CT284" s="85">
        <f t="shared" si="473"/>
        <v>75</v>
      </c>
      <c r="CU284" s="85">
        <f t="shared" si="474"/>
        <v>108</v>
      </c>
      <c r="CV284" s="85">
        <f t="shared" si="475"/>
        <v>186</v>
      </c>
      <c r="CW284" s="85">
        <f t="shared" si="476"/>
        <v>260</v>
      </c>
      <c r="CX284" s="85">
        <f t="shared" si="477"/>
        <v>164</v>
      </c>
      <c r="CY284" s="86">
        <f t="shared" si="478"/>
        <v>166</v>
      </c>
      <c r="CZ284" s="87">
        <f t="shared" si="479"/>
        <v>153</v>
      </c>
      <c r="DA284" s="87">
        <f t="shared" si="480"/>
        <v>141</v>
      </c>
      <c r="DB284" s="87">
        <f t="shared" si="481"/>
        <v>62</v>
      </c>
      <c r="DC284" s="87">
        <f t="shared" si="482"/>
        <v>170</v>
      </c>
      <c r="DD284" s="87">
        <f t="shared" si="483"/>
        <v>178</v>
      </c>
      <c r="DE284" s="87">
        <f t="shared" si="484"/>
        <v>132</v>
      </c>
      <c r="DF284" s="87">
        <f t="shared" si="485"/>
        <v>115</v>
      </c>
      <c r="DG284" s="87">
        <f t="shared" si="486"/>
        <v>460</v>
      </c>
      <c r="DH284" s="87">
        <f t="shared" si="487"/>
        <v>163</v>
      </c>
      <c r="DI284" s="87">
        <f t="shared" si="488"/>
        <v>109</v>
      </c>
      <c r="DJ284" s="87">
        <f t="shared" si="489"/>
        <v>843</v>
      </c>
      <c r="DK284" s="86">
        <f t="shared" si="490"/>
        <v>267</v>
      </c>
      <c r="DL284" s="87">
        <f t="shared" si="491"/>
        <v>250</v>
      </c>
      <c r="DM284" s="87">
        <f t="shared" si="492"/>
        <v>237</v>
      </c>
      <c r="DN284" s="87">
        <f t="shared" si="493"/>
        <v>223</v>
      </c>
      <c r="DO284" s="87">
        <f t="shared" si="494"/>
        <v>206</v>
      </c>
      <c r="DP284" s="87">
        <f t="shared" si="495"/>
        <v>402</v>
      </c>
      <c r="DQ284" s="87">
        <f t="shared" si="496"/>
        <v>552</v>
      </c>
      <c r="DR284" s="87">
        <f t="shared" si="439"/>
        <v>247</v>
      </c>
      <c r="DS284" s="87">
        <f t="shared" si="440"/>
        <v>398</v>
      </c>
      <c r="DT284" s="87">
        <f t="shared" si="497"/>
        <v>236</v>
      </c>
      <c r="DU284" s="87">
        <f t="shared" si="498"/>
        <v>265.44444444444446</v>
      </c>
      <c r="DV284" s="87">
        <f t="shared" si="499"/>
        <v>0</v>
      </c>
      <c r="DW284" s="87">
        <f t="shared" si="500"/>
        <v>0</v>
      </c>
    </row>
    <row r="285" spans="1:127">
      <c r="A285" s="22" t="s">
        <v>22</v>
      </c>
      <c r="B285" s="26">
        <v>4210201442301</v>
      </c>
      <c r="C285" s="22" t="s">
        <v>117</v>
      </c>
      <c r="D285" s="22" t="s">
        <v>119</v>
      </c>
      <c r="E285" s="22">
        <v>226131</v>
      </c>
      <c r="F285" s="80" t="s">
        <v>377</v>
      </c>
      <c r="G285" s="25">
        <v>2372.1880000000001</v>
      </c>
      <c r="H285" s="85">
        <f t="shared" si="441"/>
        <v>147075.65600000002</v>
      </c>
      <c r="I285" s="85">
        <f t="shared" si="442"/>
        <v>104376.272</v>
      </c>
      <c r="J285" s="85">
        <f t="shared" si="443"/>
        <v>120981.588</v>
      </c>
      <c r="K285" s="85">
        <f t="shared" si="444"/>
        <v>83026.58</v>
      </c>
      <c r="L285" s="85">
        <f t="shared" si="445"/>
        <v>113865.024</v>
      </c>
      <c r="M285" s="86">
        <f t="shared" si="446"/>
        <v>177914.1</v>
      </c>
      <c r="N285" s="87">
        <f t="shared" si="447"/>
        <v>106748.46</v>
      </c>
      <c r="O285" s="87">
        <f t="shared" si="448"/>
        <v>66421.263999999996</v>
      </c>
      <c r="P285" s="87">
        <f t="shared" si="449"/>
        <v>59304.700000000004</v>
      </c>
      <c r="Q285" s="87">
        <f t="shared" si="450"/>
        <v>87770.956000000006</v>
      </c>
      <c r="R285" s="87">
        <f t="shared" si="451"/>
        <v>83026.58</v>
      </c>
      <c r="S285" s="87">
        <f t="shared" si="452"/>
        <v>71165.64</v>
      </c>
      <c r="T285" s="87">
        <f t="shared" si="453"/>
        <v>78282.203999999998</v>
      </c>
      <c r="U285" s="87">
        <f t="shared" si="454"/>
        <v>54560.324000000001</v>
      </c>
      <c r="V285" s="87">
        <f t="shared" si="455"/>
        <v>42699.384000000005</v>
      </c>
      <c r="W285" s="87">
        <f t="shared" si="456"/>
        <v>56932.512000000002</v>
      </c>
      <c r="X285" s="87">
        <f t="shared" si="457"/>
        <v>52188.135999999999</v>
      </c>
      <c r="Y285" s="86">
        <f t="shared" si="458"/>
        <v>33210.631999999998</v>
      </c>
      <c r="Z285" s="87">
        <f t="shared" si="459"/>
        <v>35582.82</v>
      </c>
      <c r="AA285" s="87">
        <f t="shared" si="460"/>
        <v>37955.008000000002</v>
      </c>
      <c r="AB285" s="87">
        <f t="shared" si="461"/>
        <v>45071.572</v>
      </c>
      <c r="AC285" s="87">
        <f t="shared" si="462"/>
        <v>54560.324000000001</v>
      </c>
      <c r="AD285" s="87">
        <f t="shared" si="463"/>
        <v>52188.135999999999</v>
      </c>
      <c r="AE285" s="87">
        <f t="shared" si="464"/>
        <v>61676.888000000006</v>
      </c>
      <c r="AF285" s="87">
        <f t="shared" si="465"/>
        <v>59304.700000000004</v>
      </c>
      <c r="AG285" s="87">
        <f t="shared" si="466"/>
        <v>49815.948000000004</v>
      </c>
      <c r="AH285" s="87">
        <f t="shared" si="467"/>
        <v>33210.631999999998</v>
      </c>
      <c r="AI285" s="87">
        <f t="shared" si="468"/>
        <v>5535.1053333333339</v>
      </c>
      <c r="AJ285" s="87">
        <f t="shared" si="469"/>
        <v>0</v>
      </c>
      <c r="AK285" s="86">
        <f t="shared" si="470"/>
        <v>0</v>
      </c>
      <c r="AL285" s="85">
        <v>54</v>
      </c>
      <c r="AM285" s="85">
        <v>44</v>
      </c>
      <c r="AN285" s="85">
        <v>41</v>
      </c>
      <c r="AO285" s="85">
        <v>29</v>
      </c>
      <c r="AP285" s="85">
        <v>41</v>
      </c>
      <c r="AQ285" s="86">
        <v>35</v>
      </c>
      <c r="AR285" s="87">
        <v>34</v>
      </c>
      <c r="AS285" s="87">
        <v>28</v>
      </c>
      <c r="AT285" s="87">
        <v>25</v>
      </c>
      <c r="AU285" s="87">
        <v>35</v>
      </c>
      <c r="AV285" s="87">
        <v>31</v>
      </c>
      <c r="AW285" s="87">
        <v>29</v>
      </c>
      <c r="AX285" s="87">
        <v>32</v>
      </c>
      <c r="AY285" s="87">
        <v>23</v>
      </c>
      <c r="AZ285" s="87">
        <v>18</v>
      </c>
      <c r="BA285" s="87">
        <v>23</v>
      </c>
      <c r="BB285" s="87">
        <v>21</v>
      </c>
      <c r="BC285" s="86">
        <v>14</v>
      </c>
      <c r="BD285" s="87">
        <v>15</v>
      </c>
      <c r="BE285" s="87">
        <v>15</v>
      </c>
      <c r="BF285" s="87">
        <v>16</v>
      </c>
      <c r="BG285" s="87">
        <v>19</v>
      </c>
      <c r="BH285" s="87">
        <v>19</v>
      </c>
      <c r="BI285" s="87">
        <v>25</v>
      </c>
      <c r="BJ285" s="40">
        <v>22</v>
      </c>
      <c r="BK285" s="40">
        <v>18</v>
      </c>
      <c r="BL285" s="40">
        <v>11</v>
      </c>
      <c r="BM285" s="40">
        <v>0</v>
      </c>
      <c r="BN285" s="87"/>
      <c r="BO285" s="86"/>
      <c r="BP285" s="21">
        <v>8</v>
      </c>
      <c r="BQ285" s="21">
        <v>0</v>
      </c>
      <c r="BR285" s="21">
        <v>10</v>
      </c>
      <c r="BS285" s="21">
        <v>6</v>
      </c>
      <c r="BT285" s="21">
        <v>7</v>
      </c>
      <c r="BU285" s="42">
        <v>40</v>
      </c>
      <c r="BV285" s="21">
        <v>11</v>
      </c>
      <c r="BW285" s="21">
        <v>0</v>
      </c>
      <c r="BX285" s="21">
        <v>0</v>
      </c>
      <c r="BY285" s="21">
        <v>2</v>
      </c>
      <c r="BZ285" s="21">
        <v>4</v>
      </c>
      <c r="CA285" s="21">
        <v>1</v>
      </c>
      <c r="CB285" s="21">
        <v>1</v>
      </c>
      <c r="CC285" s="21">
        <v>0</v>
      </c>
      <c r="CD285" s="21">
        <v>0</v>
      </c>
      <c r="CE285" s="21">
        <v>1</v>
      </c>
      <c r="CF285" s="21">
        <v>1</v>
      </c>
      <c r="CG285" s="42">
        <v>0</v>
      </c>
      <c r="CH285" s="21">
        <v>0</v>
      </c>
      <c r="CI285" s="21">
        <v>1</v>
      </c>
      <c r="CJ285" s="21">
        <v>3</v>
      </c>
      <c r="CK285" s="21">
        <v>4</v>
      </c>
      <c r="CL285" s="21">
        <v>3</v>
      </c>
      <c r="CM285" s="21">
        <v>1</v>
      </c>
      <c r="CN285" s="21">
        <v>3</v>
      </c>
      <c r="CO285" s="21">
        <v>3</v>
      </c>
      <c r="CP285" s="21">
        <f t="shared" si="471"/>
        <v>3</v>
      </c>
      <c r="CQ285" s="344">
        <f t="shared" si="472"/>
        <v>2.3333333333333335</v>
      </c>
      <c r="CR285" s="87"/>
      <c r="CS285" s="86"/>
      <c r="CT285" s="85">
        <f t="shared" si="473"/>
        <v>62</v>
      </c>
      <c r="CU285" s="85">
        <f t="shared" si="474"/>
        <v>44</v>
      </c>
      <c r="CV285" s="85">
        <f t="shared" si="475"/>
        <v>51</v>
      </c>
      <c r="CW285" s="85">
        <f t="shared" si="476"/>
        <v>35</v>
      </c>
      <c r="CX285" s="85">
        <f t="shared" si="477"/>
        <v>48</v>
      </c>
      <c r="CY285" s="86">
        <f t="shared" si="478"/>
        <v>75</v>
      </c>
      <c r="CZ285" s="87">
        <f t="shared" si="479"/>
        <v>45</v>
      </c>
      <c r="DA285" s="87">
        <f t="shared" si="480"/>
        <v>28</v>
      </c>
      <c r="DB285" s="87">
        <f t="shared" si="481"/>
        <v>25</v>
      </c>
      <c r="DC285" s="87">
        <f t="shared" si="482"/>
        <v>37</v>
      </c>
      <c r="DD285" s="87">
        <f t="shared" si="483"/>
        <v>35</v>
      </c>
      <c r="DE285" s="87">
        <f t="shared" si="484"/>
        <v>30</v>
      </c>
      <c r="DF285" s="87">
        <f t="shared" si="485"/>
        <v>33</v>
      </c>
      <c r="DG285" s="87">
        <f t="shared" si="486"/>
        <v>23</v>
      </c>
      <c r="DH285" s="87">
        <f t="shared" si="487"/>
        <v>18</v>
      </c>
      <c r="DI285" s="87">
        <f t="shared" si="488"/>
        <v>24</v>
      </c>
      <c r="DJ285" s="87">
        <f t="shared" si="489"/>
        <v>22</v>
      </c>
      <c r="DK285" s="86">
        <f t="shared" si="490"/>
        <v>14</v>
      </c>
      <c r="DL285" s="87">
        <f t="shared" si="491"/>
        <v>15</v>
      </c>
      <c r="DM285" s="87">
        <f t="shared" si="492"/>
        <v>16</v>
      </c>
      <c r="DN285" s="87">
        <f t="shared" si="493"/>
        <v>19</v>
      </c>
      <c r="DO285" s="87">
        <f t="shared" si="494"/>
        <v>23</v>
      </c>
      <c r="DP285" s="87">
        <f t="shared" si="495"/>
        <v>22</v>
      </c>
      <c r="DQ285" s="87">
        <f t="shared" si="496"/>
        <v>26</v>
      </c>
      <c r="DR285" s="87">
        <f t="shared" si="439"/>
        <v>25</v>
      </c>
      <c r="DS285" s="87">
        <f t="shared" si="440"/>
        <v>21</v>
      </c>
      <c r="DT285" s="87">
        <f t="shared" si="497"/>
        <v>14</v>
      </c>
      <c r="DU285" s="87">
        <f t="shared" si="498"/>
        <v>2.3333333333333335</v>
      </c>
      <c r="DV285" s="87">
        <f t="shared" si="499"/>
        <v>0</v>
      </c>
      <c r="DW285" s="87">
        <f t="shared" si="500"/>
        <v>0</v>
      </c>
    </row>
    <row r="286" spans="1:127">
      <c r="A286" s="22" t="s">
        <v>22</v>
      </c>
      <c r="B286" s="26">
        <v>4210201343530</v>
      </c>
      <c r="C286" s="22" t="s">
        <v>117</v>
      </c>
      <c r="D286" s="22" t="s">
        <v>24</v>
      </c>
      <c r="E286" s="22">
        <v>225488</v>
      </c>
      <c r="F286" s="80" t="s">
        <v>378</v>
      </c>
      <c r="G286" s="25">
        <v>904.88890000000004</v>
      </c>
      <c r="H286" s="85">
        <f t="shared" si="441"/>
        <v>15383.1113</v>
      </c>
      <c r="I286" s="85">
        <f t="shared" si="442"/>
        <v>29861.333700000003</v>
      </c>
      <c r="J286" s="85">
        <f t="shared" si="443"/>
        <v>17192.8891</v>
      </c>
      <c r="K286" s="85">
        <f t="shared" si="444"/>
        <v>21717.333600000002</v>
      </c>
      <c r="L286" s="85">
        <f t="shared" si="445"/>
        <v>39815.111600000004</v>
      </c>
      <c r="M286" s="86">
        <f t="shared" si="446"/>
        <v>40720.000500000002</v>
      </c>
      <c r="N286" s="87">
        <f t="shared" si="447"/>
        <v>19002.6669</v>
      </c>
      <c r="O286" s="87">
        <f t="shared" si="448"/>
        <v>35290.667099999999</v>
      </c>
      <c r="P286" s="87">
        <f t="shared" si="449"/>
        <v>19002.6669</v>
      </c>
      <c r="Q286" s="87">
        <f t="shared" si="450"/>
        <v>24432.0003</v>
      </c>
      <c r="R286" s="87">
        <f t="shared" si="451"/>
        <v>49768.889500000005</v>
      </c>
      <c r="S286" s="87">
        <f t="shared" si="452"/>
        <v>64247.111900000004</v>
      </c>
      <c r="T286" s="87">
        <f t="shared" si="453"/>
        <v>85964.445500000002</v>
      </c>
      <c r="U286" s="87">
        <f t="shared" si="454"/>
        <v>91393.778900000005</v>
      </c>
      <c r="V286" s="87">
        <f t="shared" si="455"/>
        <v>57912.889600000002</v>
      </c>
      <c r="W286" s="87">
        <f t="shared" si="456"/>
        <v>49768.889500000005</v>
      </c>
      <c r="X286" s="87">
        <f t="shared" si="457"/>
        <v>47054.222800000003</v>
      </c>
      <c r="Y286" s="86">
        <f t="shared" si="458"/>
        <v>44339.556100000002</v>
      </c>
      <c r="Z286" s="87">
        <f t="shared" si="459"/>
        <v>62437.3341</v>
      </c>
      <c r="AA286" s="87">
        <f t="shared" si="460"/>
        <v>68771.556400000001</v>
      </c>
      <c r="AB286" s="87">
        <f t="shared" si="461"/>
        <v>58817.7785</v>
      </c>
      <c r="AC286" s="87">
        <f t="shared" si="462"/>
        <v>76010.667600000001</v>
      </c>
      <c r="AD286" s="87">
        <f t="shared" si="463"/>
        <v>79630.223200000008</v>
      </c>
      <c r="AE286" s="87">
        <f t="shared" si="464"/>
        <v>79630.223200000008</v>
      </c>
      <c r="AF286" s="87">
        <f t="shared" si="465"/>
        <v>53388.445100000004</v>
      </c>
      <c r="AG286" s="87">
        <f t="shared" si="466"/>
        <v>104967.1124</v>
      </c>
      <c r="AH286" s="87">
        <f t="shared" si="467"/>
        <v>104062.22350000001</v>
      </c>
      <c r="AI286" s="87">
        <f t="shared" si="468"/>
        <v>102352.98891111111</v>
      </c>
      <c r="AJ286" s="87">
        <f t="shared" si="469"/>
        <v>0</v>
      </c>
      <c r="AK286" s="86">
        <f t="shared" si="470"/>
        <v>0</v>
      </c>
      <c r="AL286" s="85">
        <v>16</v>
      </c>
      <c r="AM286" s="85">
        <v>32</v>
      </c>
      <c r="AN286" s="85">
        <v>16</v>
      </c>
      <c r="AO286" s="85">
        <v>22</v>
      </c>
      <c r="AP286" s="85">
        <v>31</v>
      </c>
      <c r="AQ286" s="86">
        <v>33</v>
      </c>
      <c r="AR286" s="87">
        <v>17</v>
      </c>
      <c r="AS286" s="87">
        <v>26</v>
      </c>
      <c r="AT286" s="87">
        <v>17</v>
      </c>
      <c r="AU286" s="87">
        <v>24</v>
      </c>
      <c r="AV286" s="87">
        <v>38</v>
      </c>
      <c r="AW286" s="87">
        <v>68</v>
      </c>
      <c r="AX286" s="87">
        <v>70</v>
      </c>
      <c r="AY286" s="87">
        <v>83</v>
      </c>
      <c r="AZ286" s="87">
        <v>45</v>
      </c>
      <c r="BA286" s="87">
        <v>52</v>
      </c>
      <c r="BB286" s="87">
        <v>50</v>
      </c>
      <c r="BC286" s="86">
        <v>42</v>
      </c>
      <c r="BD286" s="87">
        <v>67</v>
      </c>
      <c r="BE286" s="87">
        <v>43</v>
      </c>
      <c r="BF286" s="87">
        <v>61</v>
      </c>
      <c r="BG286" s="87">
        <v>78</v>
      </c>
      <c r="BH286" s="87">
        <v>59</v>
      </c>
      <c r="BI286" s="87">
        <v>86</v>
      </c>
      <c r="BJ286" s="40">
        <v>59</v>
      </c>
      <c r="BK286" s="40">
        <v>104</v>
      </c>
      <c r="BL286" s="40">
        <v>103</v>
      </c>
      <c r="BM286" s="40">
        <v>102</v>
      </c>
      <c r="BN286" s="87"/>
      <c r="BO286" s="86"/>
      <c r="BP286" s="21">
        <v>1</v>
      </c>
      <c r="BQ286" s="21">
        <v>1</v>
      </c>
      <c r="BR286" s="21">
        <v>3</v>
      </c>
      <c r="BS286" s="21">
        <v>2</v>
      </c>
      <c r="BT286" s="21">
        <v>13</v>
      </c>
      <c r="BU286" s="42">
        <v>12</v>
      </c>
      <c r="BV286" s="21">
        <v>4</v>
      </c>
      <c r="BW286" s="21">
        <v>13</v>
      </c>
      <c r="BX286" s="21">
        <v>4</v>
      </c>
      <c r="BY286" s="21">
        <v>3</v>
      </c>
      <c r="BZ286" s="21">
        <v>17</v>
      </c>
      <c r="CA286" s="21">
        <v>3</v>
      </c>
      <c r="CB286" s="21">
        <v>25</v>
      </c>
      <c r="CC286" s="21">
        <v>18</v>
      </c>
      <c r="CD286" s="21">
        <v>19</v>
      </c>
      <c r="CE286" s="21">
        <v>3</v>
      </c>
      <c r="CF286" s="21">
        <v>2</v>
      </c>
      <c r="CG286" s="42">
        <v>7</v>
      </c>
      <c r="CH286" s="21">
        <v>2</v>
      </c>
      <c r="CI286" s="21">
        <v>33</v>
      </c>
      <c r="CJ286" s="21">
        <v>4</v>
      </c>
      <c r="CK286" s="21">
        <v>6</v>
      </c>
      <c r="CL286" s="21">
        <v>29</v>
      </c>
      <c r="CM286" s="21">
        <v>2</v>
      </c>
      <c r="CN286" s="21">
        <v>0</v>
      </c>
      <c r="CO286" s="21">
        <v>12</v>
      </c>
      <c r="CP286" s="21">
        <f t="shared" si="471"/>
        <v>12</v>
      </c>
      <c r="CQ286" s="344">
        <f t="shared" si="472"/>
        <v>11.111111111111111</v>
      </c>
      <c r="CR286" s="87"/>
      <c r="CS286" s="86"/>
      <c r="CT286" s="85">
        <f t="shared" si="473"/>
        <v>17</v>
      </c>
      <c r="CU286" s="85">
        <f t="shared" si="474"/>
        <v>33</v>
      </c>
      <c r="CV286" s="85">
        <f t="shared" si="475"/>
        <v>19</v>
      </c>
      <c r="CW286" s="85">
        <f t="shared" si="476"/>
        <v>24</v>
      </c>
      <c r="CX286" s="85">
        <f t="shared" si="477"/>
        <v>44</v>
      </c>
      <c r="CY286" s="86">
        <f t="shared" si="478"/>
        <v>45</v>
      </c>
      <c r="CZ286" s="87">
        <f t="shared" si="479"/>
        <v>21</v>
      </c>
      <c r="DA286" s="87">
        <f t="shared" si="480"/>
        <v>39</v>
      </c>
      <c r="DB286" s="87">
        <f t="shared" si="481"/>
        <v>21</v>
      </c>
      <c r="DC286" s="87">
        <f t="shared" si="482"/>
        <v>27</v>
      </c>
      <c r="DD286" s="87">
        <f t="shared" si="483"/>
        <v>55</v>
      </c>
      <c r="DE286" s="87">
        <f t="shared" si="484"/>
        <v>71</v>
      </c>
      <c r="DF286" s="87">
        <f t="shared" si="485"/>
        <v>95</v>
      </c>
      <c r="DG286" s="87">
        <f t="shared" si="486"/>
        <v>101</v>
      </c>
      <c r="DH286" s="87">
        <f t="shared" si="487"/>
        <v>64</v>
      </c>
      <c r="DI286" s="87">
        <f t="shared" si="488"/>
        <v>55</v>
      </c>
      <c r="DJ286" s="87">
        <f t="shared" si="489"/>
        <v>52</v>
      </c>
      <c r="DK286" s="86">
        <f t="shared" si="490"/>
        <v>49</v>
      </c>
      <c r="DL286" s="87">
        <f t="shared" si="491"/>
        <v>69</v>
      </c>
      <c r="DM286" s="87">
        <f t="shared" si="492"/>
        <v>76</v>
      </c>
      <c r="DN286" s="87">
        <f t="shared" si="493"/>
        <v>65</v>
      </c>
      <c r="DO286" s="87">
        <f t="shared" si="494"/>
        <v>84</v>
      </c>
      <c r="DP286" s="87">
        <f t="shared" si="495"/>
        <v>88</v>
      </c>
      <c r="DQ286" s="87">
        <f t="shared" si="496"/>
        <v>88</v>
      </c>
      <c r="DR286" s="87">
        <f t="shared" si="439"/>
        <v>59</v>
      </c>
      <c r="DS286" s="87">
        <f t="shared" si="440"/>
        <v>116</v>
      </c>
      <c r="DT286" s="87">
        <f t="shared" si="497"/>
        <v>115</v>
      </c>
      <c r="DU286" s="87">
        <f t="shared" si="498"/>
        <v>113.11111111111111</v>
      </c>
      <c r="DV286" s="87">
        <f t="shared" si="499"/>
        <v>0</v>
      </c>
      <c r="DW286" s="87">
        <f t="shared" si="500"/>
        <v>0</v>
      </c>
    </row>
    <row r="287" spans="1:127">
      <c r="A287" s="22" t="s">
        <v>22</v>
      </c>
      <c r="B287" s="26">
        <v>4210201319719</v>
      </c>
      <c r="C287" s="22" t="s">
        <v>117</v>
      </c>
      <c r="D287" s="22" t="s">
        <v>24</v>
      </c>
      <c r="E287" s="22">
        <v>225373</v>
      </c>
      <c r="F287" s="80" t="s">
        <v>379</v>
      </c>
      <c r="G287" s="25">
        <v>904.88890000000004</v>
      </c>
      <c r="H287" s="85">
        <f t="shared" si="441"/>
        <v>22622.2225</v>
      </c>
      <c r="I287" s="85">
        <f t="shared" si="442"/>
        <v>28956.444800000001</v>
      </c>
      <c r="J287" s="85">
        <f t="shared" si="443"/>
        <v>18097.778000000002</v>
      </c>
      <c r="K287" s="85">
        <f t="shared" si="444"/>
        <v>24432.0003</v>
      </c>
      <c r="L287" s="85">
        <f t="shared" si="445"/>
        <v>58817.7785</v>
      </c>
      <c r="M287" s="86">
        <f t="shared" si="446"/>
        <v>36195.556000000004</v>
      </c>
      <c r="N287" s="87">
        <f t="shared" si="447"/>
        <v>22622.2225</v>
      </c>
      <c r="O287" s="87">
        <f t="shared" si="448"/>
        <v>37100.444900000002</v>
      </c>
      <c r="P287" s="87">
        <f t="shared" si="449"/>
        <v>30766.222600000001</v>
      </c>
      <c r="Q287" s="87">
        <f t="shared" si="450"/>
        <v>36195.556000000004</v>
      </c>
      <c r="R287" s="87">
        <f t="shared" si="451"/>
        <v>67866.667499999996</v>
      </c>
      <c r="S287" s="87">
        <f t="shared" si="452"/>
        <v>71486.223100000003</v>
      </c>
      <c r="T287" s="87">
        <f t="shared" si="453"/>
        <v>88679.112200000003</v>
      </c>
      <c r="U287" s="87">
        <f t="shared" si="454"/>
        <v>85964.445500000002</v>
      </c>
      <c r="V287" s="87">
        <f t="shared" si="455"/>
        <v>57912.889600000002</v>
      </c>
      <c r="W287" s="87">
        <f t="shared" si="456"/>
        <v>54293.334000000003</v>
      </c>
      <c r="X287" s="87">
        <f t="shared" si="457"/>
        <v>52483.556199999999</v>
      </c>
      <c r="Y287" s="86">
        <f t="shared" si="458"/>
        <v>49768.889500000005</v>
      </c>
      <c r="Z287" s="87">
        <f t="shared" si="459"/>
        <v>57008.000700000004</v>
      </c>
      <c r="AA287" s="87">
        <f t="shared" si="460"/>
        <v>62437.3341</v>
      </c>
      <c r="AB287" s="87">
        <f t="shared" si="461"/>
        <v>43434.667200000004</v>
      </c>
      <c r="AC287" s="87">
        <f t="shared" si="462"/>
        <v>46149.333900000005</v>
      </c>
      <c r="AD287" s="87">
        <f t="shared" si="463"/>
        <v>73296.000899999999</v>
      </c>
      <c r="AE287" s="87">
        <f t="shared" si="464"/>
        <v>83249.7788</v>
      </c>
      <c r="AF287" s="87">
        <f t="shared" si="465"/>
        <v>41624.8894</v>
      </c>
      <c r="AG287" s="87">
        <f t="shared" si="466"/>
        <v>119445.33480000001</v>
      </c>
      <c r="AH287" s="87">
        <f t="shared" si="467"/>
        <v>90488.89</v>
      </c>
      <c r="AI287" s="87">
        <f t="shared" si="468"/>
        <v>109491.55690000001</v>
      </c>
      <c r="AJ287" s="87">
        <f t="shared" si="469"/>
        <v>0</v>
      </c>
      <c r="AK287" s="86">
        <f t="shared" si="470"/>
        <v>0</v>
      </c>
      <c r="AL287" s="85">
        <v>25</v>
      </c>
      <c r="AM287" s="85">
        <v>32</v>
      </c>
      <c r="AN287" s="85">
        <v>19</v>
      </c>
      <c r="AO287" s="85">
        <v>27</v>
      </c>
      <c r="AP287" s="85">
        <v>44</v>
      </c>
      <c r="AQ287" s="86">
        <v>29</v>
      </c>
      <c r="AR287" s="87">
        <v>23</v>
      </c>
      <c r="AS287" s="87">
        <v>34</v>
      </c>
      <c r="AT287" s="87">
        <v>31</v>
      </c>
      <c r="AU287" s="87">
        <v>30</v>
      </c>
      <c r="AV287" s="87">
        <v>58</v>
      </c>
      <c r="AW287" s="87">
        <v>76</v>
      </c>
      <c r="AX287" s="87">
        <v>68</v>
      </c>
      <c r="AY287" s="87">
        <v>73</v>
      </c>
      <c r="AZ287" s="87">
        <v>51</v>
      </c>
      <c r="BA287" s="87">
        <v>54</v>
      </c>
      <c r="BB287" s="87">
        <v>56</v>
      </c>
      <c r="BC287" s="86">
        <v>43</v>
      </c>
      <c r="BD287" s="87">
        <v>62</v>
      </c>
      <c r="BE287" s="87">
        <v>47</v>
      </c>
      <c r="BF287" s="87">
        <v>47</v>
      </c>
      <c r="BG287" s="87">
        <v>48</v>
      </c>
      <c r="BH287" s="87">
        <v>53</v>
      </c>
      <c r="BI287" s="87">
        <v>91</v>
      </c>
      <c r="BJ287" s="40">
        <v>46</v>
      </c>
      <c r="BK287" s="40">
        <v>115</v>
      </c>
      <c r="BL287" s="40">
        <v>83</v>
      </c>
      <c r="BM287" s="40">
        <v>111</v>
      </c>
      <c r="BN287" s="87"/>
      <c r="BO287" s="86"/>
      <c r="BP287" s="21">
        <v>0</v>
      </c>
      <c r="BQ287" s="21">
        <v>0</v>
      </c>
      <c r="BR287" s="21">
        <v>1</v>
      </c>
      <c r="BS287" s="21">
        <v>0</v>
      </c>
      <c r="BT287" s="21">
        <v>21</v>
      </c>
      <c r="BU287" s="42">
        <v>11</v>
      </c>
      <c r="BV287" s="21">
        <v>2</v>
      </c>
      <c r="BW287" s="21">
        <v>7</v>
      </c>
      <c r="BX287" s="21">
        <v>3</v>
      </c>
      <c r="BY287" s="21">
        <v>10</v>
      </c>
      <c r="BZ287" s="21">
        <v>17</v>
      </c>
      <c r="CA287" s="21">
        <v>3</v>
      </c>
      <c r="CB287" s="21">
        <v>30</v>
      </c>
      <c r="CC287" s="21">
        <v>22</v>
      </c>
      <c r="CD287" s="21">
        <v>13</v>
      </c>
      <c r="CE287" s="21">
        <v>6</v>
      </c>
      <c r="CF287" s="21">
        <v>2</v>
      </c>
      <c r="CG287" s="42">
        <v>12</v>
      </c>
      <c r="CH287" s="21">
        <v>1</v>
      </c>
      <c r="CI287" s="21">
        <v>22</v>
      </c>
      <c r="CJ287" s="21">
        <v>1</v>
      </c>
      <c r="CK287" s="21">
        <v>3</v>
      </c>
      <c r="CL287" s="21">
        <v>28</v>
      </c>
      <c r="CM287" s="21">
        <v>1</v>
      </c>
      <c r="CN287" s="21">
        <v>0</v>
      </c>
      <c r="CO287" s="21">
        <v>17</v>
      </c>
      <c r="CP287" s="21">
        <f t="shared" si="471"/>
        <v>17</v>
      </c>
      <c r="CQ287" s="344">
        <f t="shared" si="472"/>
        <v>10</v>
      </c>
      <c r="CR287" s="87"/>
      <c r="CS287" s="86"/>
      <c r="CT287" s="85">
        <f t="shared" si="473"/>
        <v>25</v>
      </c>
      <c r="CU287" s="85">
        <f t="shared" si="474"/>
        <v>32</v>
      </c>
      <c r="CV287" s="85">
        <f t="shared" si="475"/>
        <v>20</v>
      </c>
      <c r="CW287" s="85">
        <f t="shared" si="476"/>
        <v>27</v>
      </c>
      <c r="CX287" s="85">
        <f t="shared" si="477"/>
        <v>65</v>
      </c>
      <c r="CY287" s="86">
        <f t="shared" si="478"/>
        <v>40</v>
      </c>
      <c r="CZ287" s="87">
        <f t="shared" si="479"/>
        <v>25</v>
      </c>
      <c r="DA287" s="87">
        <f t="shared" si="480"/>
        <v>41</v>
      </c>
      <c r="DB287" s="87">
        <f t="shared" si="481"/>
        <v>34</v>
      </c>
      <c r="DC287" s="87">
        <f t="shared" si="482"/>
        <v>40</v>
      </c>
      <c r="DD287" s="87">
        <f t="shared" si="483"/>
        <v>75</v>
      </c>
      <c r="DE287" s="87">
        <f t="shared" si="484"/>
        <v>79</v>
      </c>
      <c r="DF287" s="87">
        <f t="shared" si="485"/>
        <v>98</v>
      </c>
      <c r="DG287" s="87">
        <f t="shared" si="486"/>
        <v>95</v>
      </c>
      <c r="DH287" s="87">
        <f t="shared" si="487"/>
        <v>64</v>
      </c>
      <c r="DI287" s="87">
        <f t="shared" si="488"/>
        <v>60</v>
      </c>
      <c r="DJ287" s="87">
        <f t="shared" si="489"/>
        <v>58</v>
      </c>
      <c r="DK287" s="86">
        <f t="shared" si="490"/>
        <v>55</v>
      </c>
      <c r="DL287" s="87">
        <f t="shared" si="491"/>
        <v>63</v>
      </c>
      <c r="DM287" s="87">
        <f t="shared" si="492"/>
        <v>69</v>
      </c>
      <c r="DN287" s="87">
        <f t="shared" si="493"/>
        <v>48</v>
      </c>
      <c r="DO287" s="87">
        <f t="shared" si="494"/>
        <v>51</v>
      </c>
      <c r="DP287" s="87">
        <f t="shared" si="495"/>
        <v>81</v>
      </c>
      <c r="DQ287" s="87">
        <f t="shared" si="496"/>
        <v>92</v>
      </c>
      <c r="DR287" s="87">
        <f t="shared" si="439"/>
        <v>46</v>
      </c>
      <c r="DS287" s="87">
        <f t="shared" si="440"/>
        <v>132</v>
      </c>
      <c r="DT287" s="87">
        <f t="shared" si="497"/>
        <v>100</v>
      </c>
      <c r="DU287" s="87">
        <f t="shared" si="498"/>
        <v>121</v>
      </c>
      <c r="DV287" s="87">
        <f t="shared" si="499"/>
        <v>0</v>
      </c>
      <c r="DW287" s="87">
        <f t="shared" si="500"/>
        <v>0</v>
      </c>
    </row>
    <row r="288" spans="1:127">
      <c r="A288" s="22" t="s">
        <v>22</v>
      </c>
      <c r="B288" s="26">
        <v>4210201317807</v>
      </c>
      <c r="C288" s="22" t="s">
        <v>117</v>
      </c>
      <c r="D288" s="22" t="s">
        <v>24</v>
      </c>
      <c r="E288" s="22">
        <v>138876</v>
      </c>
      <c r="F288" s="80" t="s">
        <v>380</v>
      </c>
      <c r="G288" s="25">
        <v>472</v>
      </c>
      <c r="H288" s="85">
        <f t="shared" si="441"/>
        <v>67968</v>
      </c>
      <c r="I288" s="85">
        <f t="shared" si="442"/>
        <v>92984</v>
      </c>
      <c r="J288" s="85">
        <f t="shared" si="443"/>
        <v>81656</v>
      </c>
      <c r="K288" s="85">
        <f t="shared" si="444"/>
        <v>93928</v>
      </c>
      <c r="L288" s="85">
        <f t="shared" si="445"/>
        <v>109032</v>
      </c>
      <c r="M288" s="86">
        <f t="shared" si="446"/>
        <v>81184</v>
      </c>
      <c r="N288" s="87">
        <f t="shared" si="447"/>
        <v>109976</v>
      </c>
      <c r="O288" s="87">
        <f t="shared" si="448"/>
        <v>106200</v>
      </c>
      <c r="P288" s="87">
        <f t="shared" si="449"/>
        <v>63720</v>
      </c>
      <c r="Q288" s="87">
        <f t="shared" si="450"/>
        <v>110448</v>
      </c>
      <c r="R288" s="87">
        <f t="shared" si="451"/>
        <v>101008</v>
      </c>
      <c r="S288" s="87">
        <f t="shared" si="452"/>
        <v>69384</v>
      </c>
      <c r="T288" s="87">
        <f t="shared" si="453"/>
        <v>80712</v>
      </c>
      <c r="U288" s="87">
        <f t="shared" si="454"/>
        <v>105728</v>
      </c>
      <c r="V288" s="87">
        <f t="shared" si="455"/>
        <v>85432</v>
      </c>
      <c r="W288" s="87">
        <f t="shared" si="456"/>
        <v>87320</v>
      </c>
      <c r="X288" s="87">
        <f t="shared" si="457"/>
        <v>33984</v>
      </c>
      <c r="Y288" s="86">
        <f t="shared" si="458"/>
        <v>18880</v>
      </c>
      <c r="Z288" s="87">
        <f t="shared" si="459"/>
        <v>26904</v>
      </c>
      <c r="AA288" s="87">
        <f t="shared" si="460"/>
        <v>12744</v>
      </c>
      <c r="AB288" s="87">
        <f t="shared" si="461"/>
        <v>8496</v>
      </c>
      <c r="AC288" s="87">
        <f t="shared" si="462"/>
        <v>14632</v>
      </c>
      <c r="AD288" s="87">
        <f t="shared" si="463"/>
        <v>12744</v>
      </c>
      <c r="AE288" s="87">
        <f t="shared" si="464"/>
        <v>16048</v>
      </c>
      <c r="AF288" s="87">
        <f t="shared" si="465"/>
        <v>5664</v>
      </c>
      <c r="AG288" s="87">
        <f t="shared" si="466"/>
        <v>9440</v>
      </c>
      <c r="AH288" s="87">
        <f t="shared" si="467"/>
        <v>6136</v>
      </c>
      <c r="AI288" s="87">
        <f t="shared" si="468"/>
        <v>5664</v>
      </c>
      <c r="AJ288" s="87">
        <f t="shared" si="469"/>
        <v>0</v>
      </c>
      <c r="AK288" s="86">
        <f t="shared" si="470"/>
        <v>0</v>
      </c>
      <c r="AL288" s="85">
        <v>130</v>
      </c>
      <c r="AM288" s="85">
        <v>188</v>
      </c>
      <c r="AN288" s="85">
        <v>155</v>
      </c>
      <c r="AO288" s="85">
        <v>191</v>
      </c>
      <c r="AP288" s="85">
        <v>222</v>
      </c>
      <c r="AQ288" s="86">
        <v>165</v>
      </c>
      <c r="AR288" s="87">
        <v>211</v>
      </c>
      <c r="AS288" s="87">
        <v>221</v>
      </c>
      <c r="AT288" s="87">
        <v>118</v>
      </c>
      <c r="AU288" s="87">
        <v>203</v>
      </c>
      <c r="AV288" s="87">
        <v>179</v>
      </c>
      <c r="AW288" s="87">
        <v>135</v>
      </c>
      <c r="AX288" s="87">
        <v>168</v>
      </c>
      <c r="AY288" s="87">
        <v>208</v>
      </c>
      <c r="AZ288" s="87">
        <v>180</v>
      </c>
      <c r="BA288" s="87">
        <v>185</v>
      </c>
      <c r="BB288" s="87">
        <v>72</v>
      </c>
      <c r="BC288" s="86">
        <v>40</v>
      </c>
      <c r="BD288" s="87">
        <v>57</v>
      </c>
      <c r="BE288" s="87">
        <v>27</v>
      </c>
      <c r="BF288" s="87">
        <v>18</v>
      </c>
      <c r="BG288" s="87">
        <v>31</v>
      </c>
      <c r="BH288" s="87">
        <v>27</v>
      </c>
      <c r="BI288" s="87">
        <v>34</v>
      </c>
      <c r="BJ288" s="40">
        <v>12</v>
      </c>
      <c r="BK288" s="40">
        <v>20</v>
      </c>
      <c r="BL288" s="40">
        <v>13</v>
      </c>
      <c r="BM288" s="40">
        <v>12</v>
      </c>
      <c r="BN288" s="87"/>
      <c r="BO288" s="86"/>
      <c r="BP288" s="21">
        <v>14</v>
      </c>
      <c r="BQ288" s="21">
        <v>9</v>
      </c>
      <c r="BR288" s="21">
        <v>18</v>
      </c>
      <c r="BS288" s="21">
        <v>8</v>
      </c>
      <c r="BT288" s="21">
        <v>9</v>
      </c>
      <c r="BU288" s="42">
        <v>7</v>
      </c>
      <c r="BV288" s="21">
        <v>22</v>
      </c>
      <c r="BW288" s="21">
        <v>4</v>
      </c>
      <c r="BX288" s="21">
        <v>17</v>
      </c>
      <c r="BY288" s="21">
        <v>31</v>
      </c>
      <c r="BZ288" s="21">
        <v>35</v>
      </c>
      <c r="CA288" s="21">
        <v>12</v>
      </c>
      <c r="CB288" s="21">
        <v>3</v>
      </c>
      <c r="CC288" s="21">
        <v>16</v>
      </c>
      <c r="CD288" s="21">
        <v>1</v>
      </c>
      <c r="CE288" s="21">
        <v>0</v>
      </c>
      <c r="CF288" s="21">
        <v>0</v>
      </c>
      <c r="CG288" s="42">
        <v>0</v>
      </c>
      <c r="CH288" s="21">
        <v>0</v>
      </c>
      <c r="CI288" s="21">
        <v>0</v>
      </c>
      <c r="CJ288" s="21">
        <v>0</v>
      </c>
      <c r="CK288" s="21">
        <v>0</v>
      </c>
      <c r="CL288" s="21">
        <v>0</v>
      </c>
      <c r="CM288" s="21">
        <v>0</v>
      </c>
      <c r="CN288" s="21">
        <v>0</v>
      </c>
      <c r="CO288" s="21">
        <v>0</v>
      </c>
      <c r="CP288" s="21">
        <f t="shared" si="471"/>
        <v>0</v>
      </c>
      <c r="CQ288" s="344">
        <f t="shared" si="472"/>
        <v>0</v>
      </c>
      <c r="CR288" s="87"/>
      <c r="CS288" s="86"/>
      <c r="CT288" s="85">
        <f t="shared" si="473"/>
        <v>144</v>
      </c>
      <c r="CU288" s="85">
        <f t="shared" si="474"/>
        <v>197</v>
      </c>
      <c r="CV288" s="85">
        <f t="shared" si="475"/>
        <v>173</v>
      </c>
      <c r="CW288" s="85">
        <f t="shared" si="476"/>
        <v>199</v>
      </c>
      <c r="CX288" s="85">
        <f t="shared" si="477"/>
        <v>231</v>
      </c>
      <c r="CY288" s="86">
        <f t="shared" si="478"/>
        <v>172</v>
      </c>
      <c r="CZ288" s="87">
        <f t="shared" si="479"/>
        <v>233</v>
      </c>
      <c r="DA288" s="87">
        <f t="shared" si="480"/>
        <v>225</v>
      </c>
      <c r="DB288" s="87">
        <f t="shared" si="481"/>
        <v>135</v>
      </c>
      <c r="DC288" s="87">
        <f t="shared" si="482"/>
        <v>234</v>
      </c>
      <c r="DD288" s="87">
        <f t="shared" si="483"/>
        <v>214</v>
      </c>
      <c r="DE288" s="87">
        <f t="shared" si="484"/>
        <v>147</v>
      </c>
      <c r="DF288" s="87">
        <f t="shared" si="485"/>
        <v>171</v>
      </c>
      <c r="DG288" s="87">
        <f t="shared" si="486"/>
        <v>224</v>
      </c>
      <c r="DH288" s="87">
        <f t="shared" si="487"/>
        <v>181</v>
      </c>
      <c r="DI288" s="87">
        <f t="shared" si="488"/>
        <v>185</v>
      </c>
      <c r="DJ288" s="87">
        <f t="shared" si="489"/>
        <v>72</v>
      </c>
      <c r="DK288" s="86">
        <f t="shared" si="490"/>
        <v>40</v>
      </c>
      <c r="DL288" s="87">
        <f t="shared" si="491"/>
        <v>57</v>
      </c>
      <c r="DM288" s="87">
        <f t="shared" si="492"/>
        <v>27</v>
      </c>
      <c r="DN288" s="87">
        <f t="shared" si="493"/>
        <v>18</v>
      </c>
      <c r="DO288" s="87">
        <f t="shared" si="494"/>
        <v>31</v>
      </c>
      <c r="DP288" s="87">
        <f t="shared" si="495"/>
        <v>27</v>
      </c>
      <c r="DQ288" s="87">
        <f t="shared" si="496"/>
        <v>34</v>
      </c>
      <c r="DR288" s="87">
        <f t="shared" si="439"/>
        <v>12</v>
      </c>
      <c r="DS288" s="87">
        <f t="shared" si="440"/>
        <v>20</v>
      </c>
      <c r="DT288" s="87">
        <f t="shared" si="497"/>
        <v>13</v>
      </c>
      <c r="DU288" s="87">
        <f t="shared" si="498"/>
        <v>12</v>
      </c>
      <c r="DV288" s="87">
        <f t="shared" si="499"/>
        <v>0</v>
      </c>
      <c r="DW288" s="87">
        <f t="shared" si="500"/>
        <v>0</v>
      </c>
    </row>
    <row r="289" spans="1:127">
      <c r="A289" s="22" t="s">
        <v>22</v>
      </c>
      <c r="B289" s="26">
        <v>4210201317104</v>
      </c>
      <c r="C289" s="22" t="s">
        <v>117</v>
      </c>
      <c r="D289" s="22" t="s">
        <v>24</v>
      </c>
      <c r="E289" s="22">
        <v>139028</v>
      </c>
      <c r="F289" s="80" t="s">
        <v>381</v>
      </c>
      <c r="G289" s="25">
        <v>472</v>
      </c>
      <c r="H289" s="85">
        <f t="shared" si="441"/>
        <v>70800</v>
      </c>
      <c r="I289" s="85">
        <f t="shared" si="442"/>
        <v>138296</v>
      </c>
      <c r="J289" s="85">
        <f t="shared" si="443"/>
        <v>120360</v>
      </c>
      <c r="K289" s="85">
        <f t="shared" si="444"/>
        <v>126024</v>
      </c>
      <c r="L289" s="85">
        <f t="shared" si="445"/>
        <v>123192</v>
      </c>
      <c r="M289" s="86">
        <f t="shared" si="446"/>
        <v>108088</v>
      </c>
      <c r="N289" s="87">
        <f t="shared" si="447"/>
        <v>128384</v>
      </c>
      <c r="O289" s="87">
        <f t="shared" si="448"/>
        <v>133104</v>
      </c>
      <c r="P289" s="87">
        <f t="shared" si="449"/>
        <v>84488</v>
      </c>
      <c r="Q289" s="87">
        <f t="shared" si="450"/>
        <v>140184</v>
      </c>
      <c r="R289" s="87">
        <f t="shared" si="451"/>
        <v>128384</v>
      </c>
      <c r="S289" s="87">
        <f t="shared" si="452"/>
        <v>96760</v>
      </c>
      <c r="T289" s="87">
        <f t="shared" si="453"/>
        <v>117056</v>
      </c>
      <c r="U289" s="87">
        <f t="shared" si="454"/>
        <v>130272</v>
      </c>
      <c r="V289" s="87">
        <f t="shared" si="455"/>
        <v>75048</v>
      </c>
      <c r="W289" s="87">
        <f t="shared" si="456"/>
        <v>59472</v>
      </c>
      <c r="X289" s="87">
        <f t="shared" si="457"/>
        <v>26432</v>
      </c>
      <c r="Y289" s="86">
        <f t="shared" si="458"/>
        <v>14160</v>
      </c>
      <c r="Z289" s="87">
        <f t="shared" si="459"/>
        <v>14160</v>
      </c>
      <c r="AA289" s="87">
        <f t="shared" si="460"/>
        <v>8024</v>
      </c>
      <c r="AB289" s="87">
        <f t="shared" si="461"/>
        <v>7080</v>
      </c>
      <c r="AC289" s="87">
        <f t="shared" si="462"/>
        <v>11328</v>
      </c>
      <c r="AD289" s="87">
        <f t="shared" si="463"/>
        <v>11328</v>
      </c>
      <c r="AE289" s="87">
        <f t="shared" si="464"/>
        <v>7080</v>
      </c>
      <c r="AF289" s="87">
        <f t="shared" si="465"/>
        <v>2832</v>
      </c>
      <c r="AG289" s="87">
        <f t="shared" si="466"/>
        <v>3776</v>
      </c>
      <c r="AH289" s="87">
        <f t="shared" si="467"/>
        <v>2360</v>
      </c>
      <c r="AI289" s="87">
        <f t="shared" si="468"/>
        <v>1888</v>
      </c>
      <c r="AJ289" s="87">
        <f t="shared" si="469"/>
        <v>0</v>
      </c>
      <c r="AK289" s="86">
        <f t="shared" si="470"/>
        <v>0</v>
      </c>
      <c r="AL289" s="85">
        <v>145</v>
      </c>
      <c r="AM289" s="85">
        <v>291</v>
      </c>
      <c r="AN289" s="85">
        <v>233</v>
      </c>
      <c r="AO289" s="85">
        <v>252</v>
      </c>
      <c r="AP289" s="85">
        <v>250</v>
      </c>
      <c r="AQ289" s="86">
        <v>208</v>
      </c>
      <c r="AR289" s="87">
        <v>255</v>
      </c>
      <c r="AS289" s="87">
        <v>271</v>
      </c>
      <c r="AT289" s="87">
        <v>165</v>
      </c>
      <c r="AU289" s="87">
        <v>283</v>
      </c>
      <c r="AV289" s="87">
        <v>244</v>
      </c>
      <c r="AW289" s="87">
        <v>195</v>
      </c>
      <c r="AX289" s="87">
        <v>242</v>
      </c>
      <c r="AY289" s="87">
        <v>260</v>
      </c>
      <c r="AZ289" s="87">
        <v>159</v>
      </c>
      <c r="BA289" s="87">
        <v>126</v>
      </c>
      <c r="BB289" s="87">
        <v>56</v>
      </c>
      <c r="BC289" s="86">
        <v>30</v>
      </c>
      <c r="BD289" s="87">
        <v>30</v>
      </c>
      <c r="BE289" s="87">
        <v>17</v>
      </c>
      <c r="BF289" s="87">
        <v>15</v>
      </c>
      <c r="BG289" s="87">
        <v>24</v>
      </c>
      <c r="BH289" s="87">
        <v>24</v>
      </c>
      <c r="BI289" s="87">
        <v>15</v>
      </c>
      <c r="BJ289" s="40">
        <v>6</v>
      </c>
      <c r="BK289" s="40">
        <v>8</v>
      </c>
      <c r="BL289" s="40">
        <v>5</v>
      </c>
      <c r="BM289" s="40">
        <v>4</v>
      </c>
      <c r="BN289" s="87"/>
      <c r="BO289" s="86"/>
      <c r="BP289" s="21">
        <v>5</v>
      </c>
      <c r="BQ289" s="21">
        <v>2</v>
      </c>
      <c r="BR289" s="21">
        <v>22</v>
      </c>
      <c r="BS289" s="21">
        <v>15</v>
      </c>
      <c r="BT289" s="21">
        <v>11</v>
      </c>
      <c r="BU289" s="42">
        <v>21</v>
      </c>
      <c r="BV289" s="21">
        <v>17</v>
      </c>
      <c r="BW289" s="21">
        <v>11</v>
      </c>
      <c r="BX289" s="21">
        <v>14</v>
      </c>
      <c r="BY289" s="21">
        <v>14</v>
      </c>
      <c r="BZ289" s="21">
        <v>28</v>
      </c>
      <c r="CA289" s="21">
        <v>10</v>
      </c>
      <c r="CB289" s="21">
        <v>6</v>
      </c>
      <c r="CC289" s="21">
        <v>16</v>
      </c>
      <c r="CD289" s="21">
        <v>0</v>
      </c>
      <c r="CE289" s="21">
        <v>0</v>
      </c>
      <c r="CF289" s="21">
        <v>0</v>
      </c>
      <c r="CG289" s="42">
        <v>0</v>
      </c>
      <c r="CH289" s="21">
        <v>0</v>
      </c>
      <c r="CI289" s="21">
        <v>0</v>
      </c>
      <c r="CJ289" s="21">
        <v>0</v>
      </c>
      <c r="CK289" s="21">
        <v>0</v>
      </c>
      <c r="CL289" s="21">
        <v>0</v>
      </c>
      <c r="CM289" s="21">
        <v>0</v>
      </c>
      <c r="CN289" s="21">
        <v>0</v>
      </c>
      <c r="CO289" s="21">
        <v>0</v>
      </c>
      <c r="CP289" s="21">
        <f t="shared" si="471"/>
        <v>0</v>
      </c>
      <c r="CQ289" s="344">
        <f t="shared" si="472"/>
        <v>0</v>
      </c>
      <c r="CR289" s="87"/>
      <c r="CS289" s="86"/>
      <c r="CT289" s="85">
        <f t="shared" si="473"/>
        <v>150</v>
      </c>
      <c r="CU289" s="85">
        <f t="shared" si="474"/>
        <v>293</v>
      </c>
      <c r="CV289" s="85">
        <f t="shared" si="475"/>
        <v>255</v>
      </c>
      <c r="CW289" s="85">
        <f t="shared" si="476"/>
        <v>267</v>
      </c>
      <c r="CX289" s="85">
        <f t="shared" si="477"/>
        <v>261</v>
      </c>
      <c r="CY289" s="86">
        <f t="shared" si="478"/>
        <v>229</v>
      </c>
      <c r="CZ289" s="87">
        <f t="shared" si="479"/>
        <v>272</v>
      </c>
      <c r="DA289" s="87">
        <f t="shared" si="480"/>
        <v>282</v>
      </c>
      <c r="DB289" s="87">
        <f t="shared" si="481"/>
        <v>179</v>
      </c>
      <c r="DC289" s="87">
        <f t="shared" si="482"/>
        <v>297</v>
      </c>
      <c r="DD289" s="87">
        <f t="shared" si="483"/>
        <v>272</v>
      </c>
      <c r="DE289" s="87">
        <f t="shared" si="484"/>
        <v>205</v>
      </c>
      <c r="DF289" s="87">
        <f t="shared" si="485"/>
        <v>248</v>
      </c>
      <c r="DG289" s="87">
        <f t="shared" si="486"/>
        <v>276</v>
      </c>
      <c r="DH289" s="87">
        <f t="shared" si="487"/>
        <v>159</v>
      </c>
      <c r="DI289" s="87">
        <f t="shared" si="488"/>
        <v>126</v>
      </c>
      <c r="DJ289" s="87">
        <f t="shared" si="489"/>
        <v>56</v>
      </c>
      <c r="DK289" s="86">
        <f t="shared" si="490"/>
        <v>30</v>
      </c>
      <c r="DL289" s="87">
        <f t="shared" si="491"/>
        <v>30</v>
      </c>
      <c r="DM289" s="87">
        <f t="shared" si="492"/>
        <v>17</v>
      </c>
      <c r="DN289" s="87">
        <f t="shared" si="493"/>
        <v>15</v>
      </c>
      <c r="DO289" s="87">
        <f t="shared" si="494"/>
        <v>24</v>
      </c>
      <c r="DP289" s="87">
        <f t="shared" si="495"/>
        <v>24</v>
      </c>
      <c r="DQ289" s="87">
        <f t="shared" si="496"/>
        <v>15</v>
      </c>
      <c r="DR289" s="87">
        <f t="shared" si="439"/>
        <v>6</v>
      </c>
      <c r="DS289" s="87">
        <f t="shared" si="440"/>
        <v>8</v>
      </c>
      <c r="DT289" s="87">
        <f t="shared" si="497"/>
        <v>5</v>
      </c>
      <c r="DU289" s="87">
        <f t="shared" si="498"/>
        <v>4</v>
      </c>
      <c r="DV289" s="87">
        <f t="shared" si="499"/>
        <v>0</v>
      </c>
      <c r="DW289" s="87">
        <f t="shared" si="500"/>
        <v>0</v>
      </c>
    </row>
    <row r="290" spans="1:127">
      <c r="A290" s="22" t="s">
        <v>22</v>
      </c>
      <c r="B290" s="26">
        <v>4210201318064</v>
      </c>
      <c r="C290" s="22" t="s">
        <v>117</v>
      </c>
      <c r="D290" s="22" t="s">
        <v>24</v>
      </c>
      <c r="E290" s="22">
        <v>139085</v>
      </c>
      <c r="F290" s="80" t="s">
        <v>382</v>
      </c>
      <c r="G290" s="25">
        <v>472</v>
      </c>
      <c r="H290" s="85">
        <f t="shared" si="441"/>
        <v>155288</v>
      </c>
      <c r="I290" s="85">
        <f t="shared" si="442"/>
        <v>233168</v>
      </c>
      <c r="J290" s="85">
        <f t="shared" si="443"/>
        <v>219008</v>
      </c>
      <c r="K290" s="85">
        <f t="shared" si="444"/>
        <v>233640</v>
      </c>
      <c r="L290" s="85">
        <f t="shared" si="445"/>
        <v>261488</v>
      </c>
      <c r="M290" s="86">
        <f t="shared" si="446"/>
        <v>177944</v>
      </c>
      <c r="N290" s="87">
        <f t="shared" si="447"/>
        <v>244968</v>
      </c>
      <c r="O290" s="87">
        <f t="shared" si="448"/>
        <v>247800</v>
      </c>
      <c r="P290" s="87">
        <f t="shared" si="449"/>
        <v>172280</v>
      </c>
      <c r="Q290" s="87">
        <f t="shared" si="450"/>
        <v>256296</v>
      </c>
      <c r="R290" s="87">
        <f t="shared" si="451"/>
        <v>220424</v>
      </c>
      <c r="S290" s="87">
        <f t="shared" si="452"/>
        <v>186440</v>
      </c>
      <c r="T290" s="87">
        <f t="shared" si="453"/>
        <v>160480</v>
      </c>
      <c r="U290" s="87">
        <f t="shared" si="454"/>
        <v>162368</v>
      </c>
      <c r="V290" s="87">
        <f t="shared" si="455"/>
        <v>70800</v>
      </c>
      <c r="W290" s="87">
        <f t="shared" si="456"/>
        <v>33040</v>
      </c>
      <c r="X290" s="87">
        <f t="shared" si="457"/>
        <v>12272</v>
      </c>
      <c r="Y290" s="86">
        <f t="shared" si="458"/>
        <v>2360</v>
      </c>
      <c r="Z290" s="87">
        <f t="shared" si="459"/>
        <v>3776</v>
      </c>
      <c r="AA290" s="87">
        <f t="shared" si="460"/>
        <v>472</v>
      </c>
      <c r="AB290" s="87">
        <f t="shared" si="461"/>
        <v>944</v>
      </c>
      <c r="AC290" s="87">
        <f t="shared" si="462"/>
        <v>944</v>
      </c>
      <c r="AD290" s="87">
        <f t="shared" si="463"/>
        <v>1416</v>
      </c>
      <c r="AE290" s="87">
        <f t="shared" si="464"/>
        <v>0</v>
      </c>
      <c r="AF290" s="87">
        <f t="shared" si="465"/>
        <v>0</v>
      </c>
      <c r="AG290" s="87">
        <f t="shared" si="466"/>
        <v>944</v>
      </c>
      <c r="AH290" s="87">
        <f t="shared" si="467"/>
        <v>472</v>
      </c>
      <c r="AI290" s="87">
        <f t="shared" si="468"/>
        <v>0</v>
      </c>
      <c r="AJ290" s="87">
        <f t="shared" si="469"/>
        <v>0</v>
      </c>
      <c r="AK290" s="86">
        <f t="shared" si="470"/>
        <v>0</v>
      </c>
      <c r="AL290" s="85">
        <v>306</v>
      </c>
      <c r="AM290" s="85">
        <v>482</v>
      </c>
      <c r="AN290" s="85">
        <v>406</v>
      </c>
      <c r="AO290" s="85">
        <v>464</v>
      </c>
      <c r="AP290" s="85">
        <v>501</v>
      </c>
      <c r="AQ290" s="86">
        <v>341</v>
      </c>
      <c r="AR290" s="87">
        <v>477</v>
      </c>
      <c r="AS290" s="87">
        <v>490</v>
      </c>
      <c r="AT290" s="87">
        <v>331</v>
      </c>
      <c r="AU290" s="87">
        <v>471</v>
      </c>
      <c r="AV290" s="87">
        <v>382</v>
      </c>
      <c r="AW290" s="87">
        <v>364</v>
      </c>
      <c r="AX290" s="87">
        <v>327</v>
      </c>
      <c r="AY290" s="87">
        <v>284</v>
      </c>
      <c r="AZ290" s="87">
        <v>129</v>
      </c>
      <c r="BA290" s="87">
        <v>70</v>
      </c>
      <c r="BB290" s="87">
        <v>26</v>
      </c>
      <c r="BC290" s="86">
        <v>5</v>
      </c>
      <c r="BD290" s="87">
        <v>8</v>
      </c>
      <c r="BE290" s="87">
        <v>1</v>
      </c>
      <c r="BF290" s="87">
        <v>2</v>
      </c>
      <c r="BG290" s="87">
        <v>2</v>
      </c>
      <c r="BH290" s="87">
        <v>3</v>
      </c>
      <c r="BI290" s="87">
        <v>0</v>
      </c>
      <c r="BJ290" s="40">
        <v>0</v>
      </c>
      <c r="BK290" s="40">
        <v>2</v>
      </c>
      <c r="BL290" s="40">
        <v>1</v>
      </c>
      <c r="BM290" s="40">
        <v>0</v>
      </c>
      <c r="BN290" s="87"/>
      <c r="BO290" s="86"/>
      <c r="BP290" s="21">
        <v>23</v>
      </c>
      <c r="BQ290" s="21">
        <v>12</v>
      </c>
      <c r="BR290" s="21">
        <v>58</v>
      </c>
      <c r="BS290" s="21">
        <v>31</v>
      </c>
      <c r="BT290" s="21">
        <v>53</v>
      </c>
      <c r="BU290" s="42">
        <v>36</v>
      </c>
      <c r="BV290" s="21">
        <v>42</v>
      </c>
      <c r="BW290" s="21">
        <v>35</v>
      </c>
      <c r="BX290" s="21">
        <v>34</v>
      </c>
      <c r="BY290" s="21">
        <v>72</v>
      </c>
      <c r="BZ290" s="21">
        <v>85</v>
      </c>
      <c r="CA290" s="21">
        <v>31</v>
      </c>
      <c r="CB290" s="21">
        <v>13</v>
      </c>
      <c r="CC290" s="21">
        <v>60</v>
      </c>
      <c r="CD290" s="21">
        <v>21</v>
      </c>
      <c r="CE290" s="21">
        <v>0</v>
      </c>
      <c r="CF290" s="21">
        <v>0</v>
      </c>
      <c r="CG290" s="42">
        <v>0</v>
      </c>
      <c r="CH290" s="21">
        <v>0</v>
      </c>
      <c r="CI290" s="21">
        <v>0</v>
      </c>
      <c r="CJ290" s="21">
        <v>0</v>
      </c>
      <c r="CK290" s="21">
        <v>0</v>
      </c>
      <c r="CL290" s="21">
        <v>0</v>
      </c>
      <c r="CM290" s="21">
        <v>0</v>
      </c>
      <c r="CN290" s="21">
        <v>0</v>
      </c>
      <c r="CO290" s="21">
        <v>0</v>
      </c>
      <c r="CP290" s="21">
        <f t="shared" si="471"/>
        <v>0</v>
      </c>
      <c r="CQ290" s="344">
        <f t="shared" si="472"/>
        <v>0</v>
      </c>
      <c r="CR290" s="87"/>
      <c r="CS290" s="86"/>
      <c r="CT290" s="85">
        <f t="shared" si="473"/>
        <v>329</v>
      </c>
      <c r="CU290" s="85">
        <f t="shared" si="474"/>
        <v>494</v>
      </c>
      <c r="CV290" s="85">
        <f t="shared" si="475"/>
        <v>464</v>
      </c>
      <c r="CW290" s="85">
        <f t="shared" si="476"/>
        <v>495</v>
      </c>
      <c r="CX290" s="85">
        <f t="shared" si="477"/>
        <v>554</v>
      </c>
      <c r="CY290" s="86">
        <f t="shared" si="478"/>
        <v>377</v>
      </c>
      <c r="CZ290" s="87">
        <f t="shared" si="479"/>
        <v>519</v>
      </c>
      <c r="DA290" s="87">
        <f t="shared" si="480"/>
        <v>525</v>
      </c>
      <c r="DB290" s="87">
        <f t="shared" si="481"/>
        <v>365</v>
      </c>
      <c r="DC290" s="87">
        <f t="shared" si="482"/>
        <v>543</v>
      </c>
      <c r="DD290" s="87">
        <f t="shared" si="483"/>
        <v>467</v>
      </c>
      <c r="DE290" s="87">
        <f t="shared" si="484"/>
        <v>395</v>
      </c>
      <c r="DF290" s="87">
        <f t="shared" si="485"/>
        <v>340</v>
      </c>
      <c r="DG290" s="87">
        <f t="shared" si="486"/>
        <v>344</v>
      </c>
      <c r="DH290" s="87">
        <f t="shared" si="487"/>
        <v>150</v>
      </c>
      <c r="DI290" s="87">
        <f t="shared" si="488"/>
        <v>70</v>
      </c>
      <c r="DJ290" s="87">
        <f t="shared" si="489"/>
        <v>26</v>
      </c>
      <c r="DK290" s="86">
        <f t="shared" si="490"/>
        <v>5</v>
      </c>
      <c r="DL290" s="87">
        <f t="shared" si="491"/>
        <v>8</v>
      </c>
      <c r="DM290" s="87">
        <f t="shared" si="492"/>
        <v>1</v>
      </c>
      <c r="DN290" s="87">
        <f t="shared" si="493"/>
        <v>2</v>
      </c>
      <c r="DO290" s="87">
        <f t="shared" si="494"/>
        <v>2</v>
      </c>
      <c r="DP290" s="87">
        <f t="shared" si="495"/>
        <v>3</v>
      </c>
      <c r="DQ290" s="87">
        <f t="shared" si="496"/>
        <v>0</v>
      </c>
      <c r="DR290" s="87">
        <f t="shared" si="439"/>
        <v>0</v>
      </c>
      <c r="DS290" s="87">
        <f t="shared" si="440"/>
        <v>2</v>
      </c>
      <c r="DT290" s="87">
        <f t="shared" si="497"/>
        <v>1</v>
      </c>
      <c r="DU290" s="87">
        <f t="shared" si="498"/>
        <v>0</v>
      </c>
      <c r="DV290" s="87">
        <f t="shared" si="499"/>
        <v>0</v>
      </c>
      <c r="DW290" s="87">
        <f t="shared" si="500"/>
        <v>0</v>
      </c>
    </row>
    <row r="291" spans="1:127">
      <c r="A291" s="22" t="s">
        <v>22</v>
      </c>
      <c r="B291" s="26">
        <v>4210201319757</v>
      </c>
      <c r="C291" s="22" t="s">
        <v>117</v>
      </c>
      <c r="D291" s="22" t="s">
        <v>24</v>
      </c>
      <c r="E291" s="22">
        <v>261717</v>
      </c>
      <c r="F291" s="80" t="s">
        <v>383</v>
      </c>
      <c r="G291" s="25">
        <v>950.1345</v>
      </c>
      <c r="H291" s="85">
        <f t="shared" si="441"/>
        <v>0</v>
      </c>
      <c r="I291" s="85">
        <f t="shared" si="442"/>
        <v>0</v>
      </c>
      <c r="J291" s="85">
        <f t="shared" si="443"/>
        <v>0</v>
      </c>
      <c r="K291" s="85">
        <f t="shared" si="444"/>
        <v>0</v>
      </c>
      <c r="L291" s="85">
        <f t="shared" si="445"/>
        <v>0</v>
      </c>
      <c r="M291" s="86">
        <f t="shared" si="446"/>
        <v>0</v>
      </c>
      <c r="N291" s="87">
        <f t="shared" si="447"/>
        <v>0</v>
      </c>
      <c r="O291" s="87">
        <f t="shared" si="448"/>
        <v>0</v>
      </c>
      <c r="P291" s="87">
        <f t="shared" si="449"/>
        <v>0</v>
      </c>
      <c r="Q291" s="87">
        <f t="shared" si="450"/>
        <v>0</v>
      </c>
      <c r="R291" s="87">
        <f t="shared" si="451"/>
        <v>0</v>
      </c>
      <c r="S291" s="87">
        <f t="shared" si="452"/>
        <v>0</v>
      </c>
      <c r="T291" s="87">
        <f t="shared" si="453"/>
        <v>0</v>
      </c>
      <c r="U291" s="87">
        <f t="shared" si="454"/>
        <v>12351.7485</v>
      </c>
      <c r="V291" s="87">
        <f t="shared" si="455"/>
        <v>41805.917999999998</v>
      </c>
      <c r="W291" s="87">
        <f t="shared" si="456"/>
        <v>49406.993999999999</v>
      </c>
      <c r="X291" s="87">
        <f t="shared" si="457"/>
        <v>42756.052499999998</v>
      </c>
      <c r="Y291" s="86">
        <f t="shared" si="458"/>
        <v>37055.245499999997</v>
      </c>
      <c r="Z291" s="87">
        <f t="shared" si="459"/>
        <v>48456.859499999999</v>
      </c>
      <c r="AA291" s="87">
        <f t="shared" si="460"/>
        <v>54157.666499999999</v>
      </c>
      <c r="AB291" s="87">
        <f t="shared" si="461"/>
        <v>43706.186999999998</v>
      </c>
      <c r="AC291" s="87">
        <f t="shared" si="462"/>
        <v>57958.2045</v>
      </c>
      <c r="AD291" s="87">
        <f t="shared" si="463"/>
        <v>84561.970499999996</v>
      </c>
      <c r="AE291" s="87">
        <f t="shared" si="464"/>
        <v>121617.216</v>
      </c>
      <c r="AF291" s="87">
        <f t="shared" si="465"/>
        <v>62708.877</v>
      </c>
      <c r="AG291" s="87">
        <f t="shared" si="466"/>
        <v>136819.36799999999</v>
      </c>
      <c r="AH291" s="87">
        <f t="shared" si="467"/>
        <v>110215.602</v>
      </c>
      <c r="AI291" s="87">
        <f t="shared" si="468"/>
        <v>123834.19650000001</v>
      </c>
      <c r="AJ291" s="87">
        <f t="shared" si="469"/>
        <v>0</v>
      </c>
      <c r="AK291" s="86">
        <f t="shared" si="470"/>
        <v>0</v>
      </c>
      <c r="AL291" s="85">
        <v>0</v>
      </c>
      <c r="AM291" s="85">
        <v>0</v>
      </c>
      <c r="AN291" s="85">
        <v>0</v>
      </c>
      <c r="AO291" s="85">
        <v>0</v>
      </c>
      <c r="AP291" s="85">
        <v>0</v>
      </c>
      <c r="AQ291" s="86">
        <v>0</v>
      </c>
      <c r="AR291" s="87">
        <v>0</v>
      </c>
      <c r="AS291" s="87">
        <v>0</v>
      </c>
      <c r="AT291" s="87">
        <v>0</v>
      </c>
      <c r="AU291" s="87">
        <v>0</v>
      </c>
      <c r="AV291" s="87">
        <v>0</v>
      </c>
      <c r="AW291" s="87">
        <v>0</v>
      </c>
      <c r="AX291" s="87">
        <v>0</v>
      </c>
      <c r="AY291" s="87">
        <v>13</v>
      </c>
      <c r="AZ291" s="87">
        <v>30</v>
      </c>
      <c r="BA291" s="87">
        <v>48</v>
      </c>
      <c r="BB291" s="87">
        <v>42</v>
      </c>
      <c r="BC291" s="86">
        <v>29</v>
      </c>
      <c r="BD291" s="87">
        <v>50</v>
      </c>
      <c r="BE291" s="87">
        <v>43</v>
      </c>
      <c r="BF291" s="87">
        <v>45</v>
      </c>
      <c r="BG291" s="87">
        <v>60</v>
      </c>
      <c r="BH291" s="87">
        <v>69</v>
      </c>
      <c r="BI291" s="87">
        <v>125</v>
      </c>
      <c r="BJ291" s="40">
        <v>63</v>
      </c>
      <c r="BK291" s="40">
        <v>137</v>
      </c>
      <c r="BL291" s="40">
        <v>109</v>
      </c>
      <c r="BM291" s="40">
        <v>124</v>
      </c>
      <c r="BN291" s="87"/>
      <c r="BO291" s="86"/>
      <c r="BP291" s="21">
        <v>0</v>
      </c>
      <c r="BQ291" s="21">
        <v>0</v>
      </c>
      <c r="BR291" s="21">
        <v>0</v>
      </c>
      <c r="BS291" s="21">
        <v>0</v>
      </c>
      <c r="BT291" s="21">
        <v>0</v>
      </c>
      <c r="BU291" s="42">
        <v>0</v>
      </c>
      <c r="BV291" s="21">
        <v>0</v>
      </c>
      <c r="BW291" s="21">
        <v>0</v>
      </c>
      <c r="BX291" s="21">
        <v>0</v>
      </c>
      <c r="BY291" s="21">
        <v>0</v>
      </c>
      <c r="BZ291" s="21">
        <v>0</v>
      </c>
      <c r="CA291" s="21">
        <v>0</v>
      </c>
      <c r="CB291" s="21">
        <v>0</v>
      </c>
      <c r="CC291" s="21">
        <v>0</v>
      </c>
      <c r="CD291" s="21">
        <v>14</v>
      </c>
      <c r="CE291" s="21">
        <v>4</v>
      </c>
      <c r="CF291" s="21">
        <v>3</v>
      </c>
      <c r="CG291" s="42">
        <v>10</v>
      </c>
      <c r="CH291" s="21">
        <v>1</v>
      </c>
      <c r="CI291" s="21">
        <v>14</v>
      </c>
      <c r="CJ291" s="21">
        <v>1</v>
      </c>
      <c r="CK291" s="21">
        <v>1</v>
      </c>
      <c r="CL291" s="21">
        <v>20</v>
      </c>
      <c r="CM291" s="21">
        <v>3</v>
      </c>
      <c r="CN291" s="21">
        <v>3</v>
      </c>
      <c r="CO291" s="21">
        <v>7</v>
      </c>
      <c r="CP291" s="21">
        <f t="shared" si="471"/>
        <v>7</v>
      </c>
      <c r="CQ291" s="344">
        <f t="shared" si="472"/>
        <v>6.333333333333333</v>
      </c>
      <c r="CR291" s="87"/>
      <c r="CS291" s="86"/>
      <c r="CT291" s="85">
        <f t="shared" si="473"/>
        <v>0</v>
      </c>
      <c r="CU291" s="85">
        <f t="shared" si="474"/>
        <v>0</v>
      </c>
      <c r="CV291" s="85">
        <f t="shared" si="475"/>
        <v>0</v>
      </c>
      <c r="CW291" s="85">
        <f t="shared" si="476"/>
        <v>0</v>
      </c>
      <c r="CX291" s="85">
        <f t="shared" si="477"/>
        <v>0</v>
      </c>
      <c r="CY291" s="86">
        <f t="shared" si="478"/>
        <v>0</v>
      </c>
      <c r="CZ291" s="87">
        <f t="shared" si="479"/>
        <v>0</v>
      </c>
      <c r="DA291" s="87">
        <f t="shared" si="480"/>
        <v>0</v>
      </c>
      <c r="DB291" s="87">
        <f t="shared" si="481"/>
        <v>0</v>
      </c>
      <c r="DC291" s="87">
        <f t="shared" si="482"/>
        <v>0</v>
      </c>
      <c r="DD291" s="87">
        <f t="shared" si="483"/>
        <v>0</v>
      </c>
      <c r="DE291" s="87">
        <f t="shared" si="484"/>
        <v>0</v>
      </c>
      <c r="DF291" s="87">
        <f t="shared" si="485"/>
        <v>0</v>
      </c>
      <c r="DG291" s="87">
        <f t="shared" si="486"/>
        <v>13</v>
      </c>
      <c r="DH291" s="87">
        <f t="shared" si="487"/>
        <v>44</v>
      </c>
      <c r="DI291" s="87">
        <f t="shared" si="488"/>
        <v>52</v>
      </c>
      <c r="DJ291" s="87">
        <f t="shared" si="489"/>
        <v>45</v>
      </c>
      <c r="DK291" s="86">
        <f t="shared" si="490"/>
        <v>39</v>
      </c>
      <c r="DL291" s="87">
        <f t="shared" si="491"/>
        <v>51</v>
      </c>
      <c r="DM291" s="87">
        <f t="shared" si="492"/>
        <v>57</v>
      </c>
      <c r="DN291" s="87">
        <f t="shared" si="493"/>
        <v>46</v>
      </c>
      <c r="DO291" s="87">
        <f t="shared" si="494"/>
        <v>61</v>
      </c>
      <c r="DP291" s="87">
        <f t="shared" si="495"/>
        <v>89</v>
      </c>
      <c r="DQ291" s="87">
        <f t="shared" si="496"/>
        <v>128</v>
      </c>
      <c r="DR291" s="87">
        <f t="shared" si="439"/>
        <v>66</v>
      </c>
      <c r="DS291" s="87">
        <f t="shared" si="440"/>
        <v>144</v>
      </c>
      <c r="DT291" s="87">
        <f t="shared" si="497"/>
        <v>116</v>
      </c>
      <c r="DU291" s="87">
        <f t="shared" si="498"/>
        <v>130.33333333333334</v>
      </c>
      <c r="DV291" s="87">
        <f t="shared" si="499"/>
        <v>0</v>
      </c>
      <c r="DW291" s="87">
        <f t="shared" si="500"/>
        <v>0</v>
      </c>
    </row>
    <row r="292" spans="1:127">
      <c r="A292" s="22" t="s">
        <v>22</v>
      </c>
      <c r="B292" s="26">
        <v>4987176264206</v>
      </c>
      <c r="C292" s="22" t="s">
        <v>117</v>
      </c>
      <c r="D292" s="22" t="s">
        <v>119</v>
      </c>
      <c r="E292" s="22">
        <v>253082</v>
      </c>
      <c r="F292" s="80" t="s">
        <v>384</v>
      </c>
      <c r="G292" s="25">
        <v>1851</v>
      </c>
      <c r="H292" s="85">
        <f t="shared" si="441"/>
        <v>0</v>
      </c>
      <c r="I292" s="85">
        <f t="shared" si="442"/>
        <v>0</v>
      </c>
      <c r="J292" s="85">
        <f t="shared" si="443"/>
        <v>0</v>
      </c>
      <c r="K292" s="85">
        <f t="shared" si="444"/>
        <v>0</v>
      </c>
      <c r="L292" s="85">
        <f t="shared" si="445"/>
        <v>0</v>
      </c>
      <c r="M292" s="86">
        <f t="shared" si="446"/>
        <v>0</v>
      </c>
      <c r="N292" s="87">
        <f t="shared" si="447"/>
        <v>0</v>
      </c>
      <c r="O292" s="87">
        <f t="shared" si="448"/>
        <v>0</v>
      </c>
      <c r="P292" s="87">
        <f t="shared" si="449"/>
        <v>0</v>
      </c>
      <c r="Q292" s="87">
        <f t="shared" si="450"/>
        <v>3702</v>
      </c>
      <c r="R292" s="87">
        <f t="shared" si="451"/>
        <v>109209</v>
      </c>
      <c r="S292" s="87">
        <f t="shared" si="452"/>
        <v>177696</v>
      </c>
      <c r="T292" s="87">
        <f t="shared" si="453"/>
        <v>103656</v>
      </c>
      <c r="U292" s="87">
        <f t="shared" si="454"/>
        <v>129570</v>
      </c>
      <c r="V292" s="87">
        <f t="shared" si="455"/>
        <v>138825</v>
      </c>
      <c r="W292" s="87">
        <f t="shared" si="456"/>
        <v>120315</v>
      </c>
      <c r="X292" s="87">
        <f t="shared" si="457"/>
        <v>116613</v>
      </c>
      <c r="Y292" s="86">
        <f t="shared" si="458"/>
        <v>109209</v>
      </c>
      <c r="Z292" s="87">
        <f t="shared" si="459"/>
        <v>135123</v>
      </c>
      <c r="AA292" s="87">
        <f t="shared" si="460"/>
        <v>279501</v>
      </c>
      <c r="AB292" s="87">
        <f t="shared" si="461"/>
        <v>225822</v>
      </c>
      <c r="AC292" s="87">
        <f t="shared" si="462"/>
        <v>155484</v>
      </c>
      <c r="AD292" s="87">
        <f t="shared" si="463"/>
        <v>272097</v>
      </c>
      <c r="AE292" s="87">
        <f t="shared" si="464"/>
        <v>349839</v>
      </c>
      <c r="AF292" s="87">
        <f t="shared" si="465"/>
        <v>277650</v>
      </c>
      <c r="AG292" s="87">
        <f t="shared" si="466"/>
        <v>333180</v>
      </c>
      <c r="AH292" s="87">
        <f t="shared" si="467"/>
        <v>205461</v>
      </c>
      <c r="AI292" s="87">
        <f t="shared" si="468"/>
        <v>228907</v>
      </c>
      <c r="AJ292" s="87">
        <f t="shared" si="469"/>
        <v>0</v>
      </c>
      <c r="AK292" s="86">
        <f t="shared" si="470"/>
        <v>0</v>
      </c>
      <c r="AL292" s="85">
        <v>0</v>
      </c>
      <c r="AM292" s="85">
        <v>0</v>
      </c>
      <c r="AN292" s="85">
        <v>0</v>
      </c>
      <c r="AO292" s="85">
        <v>0</v>
      </c>
      <c r="AP292" s="85">
        <v>0</v>
      </c>
      <c r="AQ292" s="86">
        <v>0</v>
      </c>
      <c r="AR292" s="87">
        <v>0</v>
      </c>
      <c r="AS292" s="87">
        <v>0</v>
      </c>
      <c r="AT292" s="87">
        <v>0</v>
      </c>
      <c r="AU292" s="87">
        <v>1</v>
      </c>
      <c r="AV292" s="87">
        <v>44</v>
      </c>
      <c r="AW292" s="87">
        <v>92</v>
      </c>
      <c r="AX292" s="87">
        <v>55</v>
      </c>
      <c r="AY292" s="87">
        <v>64</v>
      </c>
      <c r="AZ292" s="87">
        <v>62</v>
      </c>
      <c r="BA292" s="87">
        <v>63</v>
      </c>
      <c r="BB292" s="87">
        <v>61</v>
      </c>
      <c r="BC292" s="86">
        <v>55</v>
      </c>
      <c r="BD292" s="87">
        <v>70</v>
      </c>
      <c r="BE292" s="87">
        <v>94</v>
      </c>
      <c r="BF292" s="87">
        <v>119</v>
      </c>
      <c r="BG292" s="87">
        <v>79</v>
      </c>
      <c r="BH292" s="87">
        <v>93</v>
      </c>
      <c r="BI292" s="87">
        <v>187</v>
      </c>
      <c r="BJ292" s="40">
        <v>109</v>
      </c>
      <c r="BK292" s="40">
        <v>165</v>
      </c>
      <c r="BL292" s="40">
        <v>96</v>
      </c>
      <c r="BM292" s="40">
        <v>102</v>
      </c>
      <c r="BN292" s="87"/>
      <c r="BO292" s="86"/>
      <c r="BP292" s="21">
        <v>0</v>
      </c>
      <c r="BQ292" s="21">
        <v>0</v>
      </c>
      <c r="BR292" s="21">
        <v>0</v>
      </c>
      <c r="BS292" s="21">
        <v>0</v>
      </c>
      <c r="BT292" s="21">
        <v>0</v>
      </c>
      <c r="BU292" s="42">
        <v>0</v>
      </c>
      <c r="BV292" s="21">
        <v>0</v>
      </c>
      <c r="BW292" s="21">
        <v>0</v>
      </c>
      <c r="BX292" s="21">
        <v>0</v>
      </c>
      <c r="BY292" s="21">
        <v>1</v>
      </c>
      <c r="BZ292" s="21">
        <v>15</v>
      </c>
      <c r="CA292" s="21">
        <v>4</v>
      </c>
      <c r="CB292" s="21">
        <v>1</v>
      </c>
      <c r="CC292" s="21">
        <v>6</v>
      </c>
      <c r="CD292" s="21">
        <v>13</v>
      </c>
      <c r="CE292" s="21">
        <v>2</v>
      </c>
      <c r="CF292" s="21">
        <v>2</v>
      </c>
      <c r="CG292" s="42">
        <v>4</v>
      </c>
      <c r="CH292" s="21">
        <v>3</v>
      </c>
      <c r="CI292" s="21">
        <v>57</v>
      </c>
      <c r="CJ292" s="21">
        <v>3</v>
      </c>
      <c r="CK292" s="21">
        <v>5</v>
      </c>
      <c r="CL292" s="21">
        <v>54</v>
      </c>
      <c r="CM292" s="21">
        <v>2</v>
      </c>
      <c r="CN292" s="21">
        <v>41</v>
      </c>
      <c r="CO292" s="21">
        <v>15</v>
      </c>
      <c r="CP292" s="21">
        <f t="shared" si="471"/>
        <v>15</v>
      </c>
      <c r="CQ292" s="344">
        <f t="shared" si="472"/>
        <v>21.666666666666668</v>
      </c>
      <c r="CR292" s="87"/>
      <c r="CS292" s="86"/>
      <c r="CT292" s="85">
        <f t="shared" si="473"/>
        <v>0</v>
      </c>
      <c r="CU292" s="85">
        <f t="shared" si="474"/>
        <v>0</v>
      </c>
      <c r="CV292" s="85">
        <f t="shared" si="475"/>
        <v>0</v>
      </c>
      <c r="CW292" s="85">
        <f t="shared" si="476"/>
        <v>0</v>
      </c>
      <c r="CX292" s="85">
        <f t="shared" si="477"/>
        <v>0</v>
      </c>
      <c r="CY292" s="86">
        <f t="shared" si="478"/>
        <v>0</v>
      </c>
      <c r="CZ292" s="87">
        <f t="shared" si="479"/>
        <v>0</v>
      </c>
      <c r="DA292" s="87">
        <f t="shared" si="480"/>
        <v>0</v>
      </c>
      <c r="DB292" s="87">
        <f t="shared" si="481"/>
        <v>0</v>
      </c>
      <c r="DC292" s="87">
        <f t="shared" si="482"/>
        <v>2</v>
      </c>
      <c r="DD292" s="87">
        <f t="shared" si="483"/>
        <v>59</v>
      </c>
      <c r="DE292" s="87">
        <f t="shared" si="484"/>
        <v>96</v>
      </c>
      <c r="DF292" s="87">
        <f t="shared" si="485"/>
        <v>56</v>
      </c>
      <c r="DG292" s="87">
        <f t="shared" si="486"/>
        <v>70</v>
      </c>
      <c r="DH292" s="87">
        <f t="shared" si="487"/>
        <v>75</v>
      </c>
      <c r="DI292" s="87">
        <f t="shared" si="488"/>
        <v>65</v>
      </c>
      <c r="DJ292" s="87">
        <f t="shared" si="489"/>
        <v>63</v>
      </c>
      <c r="DK292" s="86">
        <f t="shared" si="490"/>
        <v>59</v>
      </c>
      <c r="DL292" s="87">
        <f t="shared" si="491"/>
        <v>73</v>
      </c>
      <c r="DM292" s="87">
        <f t="shared" si="492"/>
        <v>151</v>
      </c>
      <c r="DN292" s="87">
        <f t="shared" si="493"/>
        <v>122</v>
      </c>
      <c r="DO292" s="87">
        <f t="shared" si="494"/>
        <v>84</v>
      </c>
      <c r="DP292" s="87">
        <f t="shared" si="495"/>
        <v>147</v>
      </c>
      <c r="DQ292" s="87">
        <f t="shared" si="496"/>
        <v>189</v>
      </c>
      <c r="DR292" s="87">
        <f t="shared" si="439"/>
        <v>150</v>
      </c>
      <c r="DS292" s="87">
        <f t="shared" si="440"/>
        <v>180</v>
      </c>
      <c r="DT292" s="87">
        <f t="shared" si="497"/>
        <v>111</v>
      </c>
      <c r="DU292" s="87">
        <f t="shared" si="498"/>
        <v>123.66666666666667</v>
      </c>
      <c r="DV292" s="87">
        <f t="shared" si="499"/>
        <v>0</v>
      </c>
      <c r="DW292" s="87">
        <f t="shared" si="500"/>
        <v>0</v>
      </c>
    </row>
    <row r="293" spans="1:127">
      <c r="A293" s="22" t="s">
        <v>22</v>
      </c>
      <c r="B293" s="26">
        <v>4987176264190</v>
      </c>
      <c r="C293" s="22" t="s">
        <v>117</v>
      </c>
      <c r="D293" s="22" t="s">
        <v>119</v>
      </c>
      <c r="E293" s="22">
        <v>253121</v>
      </c>
      <c r="F293" s="80" t="s">
        <v>385</v>
      </c>
      <c r="G293" s="25">
        <v>1851</v>
      </c>
      <c r="H293" s="85">
        <f t="shared" si="441"/>
        <v>0</v>
      </c>
      <c r="I293" s="85">
        <f t="shared" si="442"/>
        <v>0</v>
      </c>
      <c r="J293" s="85">
        <f t="shared" si="443"/>
        <v>0</v>
      </c>
      <c r="K293" s="85">
        <f t="shared" si="444"/>
        <v>0</v>
      </c>
      <c r="L293" s="85">
        <f t="shared" si="445"/>
        <v>0</v>
      </c>
      <c r="M293" s="86">
        <f t="shared" si="446"/>
        <v>0</v>
      </c>
      <c r="N293" s="87">
        <f t="shared" si="447"/>
        <v>0</v>
      </c>
      <c r="O293" s="87">
        <f t="shared" si="448"/>
        <v>0</v>
      </c>
      <c r="P293" s="87">
        <f t="shared" si="449"/>
        <v>0</v>
      </c>
      <c r="Q293" s="87">
        <f t="shared" si="450"/>
        <v>0</v>
      </c>
      <c r="R293" s="87">
        <f t="shared" si="451"/>
        <v>66636</v>
      </c>
      <c r="S293" s="87">
        <f t="shared" si="452"/>
        <v>162888</v>
      </c>
      <c r="T293" s="87">
        <f t="shared" si="453"/>
        <v>103656</v>
      </c>
      <c r="U293" s="87">
        <f t="shared" si="454"/>
        <v>98103</v>
      </c>
      <c r="V293" s="87">
        <f t="shared" si="455"/>
        <v>142527</v>
      </c>
      <c r="W293" s="87">
        <f t="shared" si="456"/>
        <v>112911</v>
      </c>
      <c r="X293" s="87">
        <f t="shared" si="457"/>
        <v>94401</v>
      </c>
      <c r="Y293" s="86">
        <f t="shared" si="458"/>
        <v>77742</v>
      </c>
      <c r="Z293" s="87">
        <f t="shared" si="459"/>
        <v>77742</v>
      </c>
      <c r="AA293" s="87">
        <f t="shared" si="460"/>
        <v>161037</v>
      </c>
      <c r="AB293" s="87">
        <f t="shared" si="461"/>
        <v>124017</v>
      </c>
      <c r="AC293" s="87">
        <f t="shared" si="462"/>
        <v>118464</v>
      </c>
      <c r="AD293" s="87">
        <f t="shared" si="463"/>
        <v>172143</v>
      </c>
      <c r="AE293" s="87">
        <f t="shared" si="464"/>
        <v>172143</v>
      </c>
      <c r="AF293" s="87">
        <f t="shared" si="465"/>
        <v>188802</v>
      </c>
      <c r="AG293" s="87">
        <f t="shared" si="466"/>
        <v>249885</v>
      </c>
      <c r="AH293" s="87">
        <f t="shared" ref="AH293:AH318" si="501">DT293*$G293</f>
        <v>175845</v>
      </c>
      <c r="AI293" s="87">
        <f t="shared" ref="AI293:AI318" si="502">DU293*$G293</f>
        <v>209574.33333333334</v>
      </c>
      <c r="AJ293" s="87">
        <f t="shared" ref="AJ293:AJ318" si="503">DV293*$G293</f>
        <v>0</v>
      </c>
      <c r="AK293" s="86">
        <f t="shared" ref="AK293:AK318" si="504">DW293*$G293</f>
        <v>0</v>
      </c>
      <c r="AL293" s="85">
        <v>0</v>
      </c>
      <c r="AM293" s="85">
        <v>0</v>
      </c>
      <c r="AN293" s="85">
        <v>0</v>
      </c>
      <c r="AO293" s="85">
        <v>0</v>
      </c>
      <c r="AP293" s="85">
        <v>0</v>
      </c>
      <c r="AQ293" s="86">
        <v>0</v>
      </c>
      <c r="AR293" s="87">
        <v>0</v>
      </c>
      <c r="AS293" s="87">
        <v>0</v>
      </c>
      <c r="AT293" s="87">
        <v>0</v>
      </c>
      <c r="AU293" s="87">
        <v>0</v>
      </c>
      <c r="AV293" s="87">
        <v>27</v>
      </c>
      <c r="AW293" s="87">
        <v>87</v>
      </c>
      <c r="AX293" s="87">
        <v>54</v>
      </c>
      <c r="AY293" s="87">
        <v>49</v>
      </c>
      <c r="AZ293" s="87">
        <v>60</v>
      </c>
      <c r="BA293" s="87">
        <v>60</v>
      </c>
      <c r="BB293" s="87">
        <v>50</v>
      </c>
      <c r="BC293" s="86">
        <v>42</v>
      </c>
      <c r="BD293" s="87">
        <v>40</v>
      </c>
      <c r="BE293" s="87">
        <v>48</v>
      </c>
      <c r="BF293" s="87">
        <v>65</v>
      </c>
      <c r="BG293" s="87">
        <v>64</v>
      </c>
      <c r="BH293" s="87">
        <v>56</v>
      </c>
      <c r="BI293" s="87">
        <v>90</v>
      </c>
      <c r="BJ293" s="40">
        <v>72</v>
      </c>
      <c r="BK293" s="40">
        <v>114</v>
      </c>
      <c r="BL293" s="40">
        <v>74</v>
      </c>
      <c r="BM293" s="40">
        <v>96</v>
      </c>
      <c r="BN293" s="87"/>
      <c r="BO293" s="86"/>
      <c r="BP293" s="21">
        <v>0</v>
      </c>
      <c r="BQ293" s="21">
        <v>0</v>
      </c>
      <c r="BR293" s="21">
        <v>0</v>
      </c>
      <c r="BS293" s="21">
        <v>0</v>
      </c>
      <c r="BT293" s="21">
        <v>0</v>
      </c>
      <c r="BU293" s="42">
        <v>0</v>
      </c>
      <c r="BV293" s="21">
        <v>0</v>
      </c>
      <c r="BW293" s="21">
        <v>0</v>
      </c>
      <c r="BX293" s="21">
        <v>0</v>
      </c>
      <c r="BY293" s="21">
        <v>0</v>
      </c>
      <c r="BZ293" s="21">
        <v>9</v>
      </c>
      <c r="CA293" s="21">
        <v>1</v>
      </c>
      <c r="CB293" s="21">
        <v>2</v>
      </c>
      <c r="CC293" s="21">
        <v>4</v>
      </c>
      <c r="CD293" s="21">
        <v>17</v>
      </c>
      <c r="CE293" s="21">
        <v>1</v>
      </c>
      <c r="CF293" s="21">
        <v>1</v>
      </c>
      <c r="CG293" s="42">
        <v>0</v>
      </c>
      <c r="CH293" s="21">
        <v>2</v>
      </c>
      <c r="CI293" s="21">
        <v>39</v>
      </c>
      <c r="CJ293" s="21">
        <v>2</v>
      </c>
      <c r="CK293" s="21">
        <v>0</v>
      </c>
      <c r="CL293" s="21">
        <v>37</v>
      </c>
      <c r="CM293" s="21">
        <v>3</v>
      </c>
      <c r="CN293" s="21">
        <v>30</v>
      </c>
      <c r="CO293" s="21">
        <v>21</v>
      </c>
      <c r="CP293" s="21">
        <f t="shared" si="471"/>
        <v>21</v>
      </c>
      <c r="CQ293" s="344">
        <f t="shared" si="472"/>
        <v>17.222222222222221</v>
      </c>
      <c r="CR293" s="87"/>
      <c r="CS293" s="86"/>
      <c r="CT293" s="85">
        <f t="shared" ref="CT293:CT318" si="505">AL293+BP293</f>
        <v>0</v>
      </c>
      <c r="CU293" s="85">
        <f t="shared" ref="CU293:CU318" si="506">AM293+BQ293</f>
        <v>0</v>
      </c>
      <c r="CV293" s="85">
        <f t="shared" ref="CV293:CV318" si="507">AN293+BR293</f>
        <v>0</v>
      </c>
      <c r="CW293" s="85">
        <f t="shared" ref="CW293:CW318" si="508">AO293+BS293</f>
        <v>0</v>
      </c>
      <c r="CX293" s="85">
        <f t="shared" ref="CX293:CX318" si="509">AP293+BT293</f>
        <v>0</v>
      </c>
      <c r="CY293" s="86">
        <f t="shared" ref="CY293:CY318" si="510">AQ293+BU293</f>
        <v>0</v>
      </c>
      <c r="CZ293" s="87">
        <f t="shared" ref="CZ293:CZ318" si="511">AR293+BV293</f>
        <v>0</v>
      </c>
      <c r="DA293" s="87">
        <f t="shared" ref="DA293:DA318" si="512">AS293+BW293</f>
        <v>0</v>
      </c>
      <c r="DB293" s="87">
        <f t="shared" ref="DB293:DB318" si="513">AT293+BX293</f>
        <v>0</v>
      </c>
      <c r="DC293" s="87">
        <f t="shared" ref="DC293:DC318" si="514">AU293+BY293</f>
        <v>0</v>
      </c>
      <c r="DD293" s="87">
        <f t="shared" ref="DD293:DD318" si="515">AV293+BZ293</f>
        <v>36</v>
      </c>
      <c r="DE293" s="87">
        <f t="shared" ref="DE293:DE318" si="516">AW293+CA293</f>
        <v>88</v>
      </c>
      <c r="DF293" s="87">
        <f t="shared" ref="DF293:DF318" si="517">AX293+CB293</f>
        <v>56</v>
      </c>
      <c r="DG293" s="87">
        <f t="shared" ref="DG293:DG318" si="518">AY293+CC293</f>
        <v>53</v>
      </c>
      <c r="DH293" s="87">
        <f t="shared" ref="DH293:DH318" si="519">AZ293+CD293</f>
        <v>77</v>
      </c>
      <c r="DI293" s="87">
        <f t="shared" ref="DI293:DI318" si="520">BA293+CE293</f>
        <v>61</v>
      </c>
      <c r="DJ293" s="87">
        <f t="shared" ref="DJ293:DJ318" si="521">BB293+CF293</f>
        <v>51</v>
      </c>
      <c r="DK293" s="86">
        <f t="shared" ref="DK293:DK318" si="522">BC293+CG293</f>
        <v>42</v>
      </c>
      <c r="DL293" s="87">
        <f t="shared" ref="DL293:DL318" si="523">BD293+CH293</f>
        <v>42</v>
      </c>
      <c r="DM293" s="87">
        <f t="shared" ref="DM293:DM318" si="524">BE293+CI293</f>
        <v>87</v>
      </c>
      <c r="DN293" s="87">
        <f t="shared" ref="DN293:DN318" si="525">BF293+CJ293</f>
        <v>67</v>
      </c>
      <c r="DO293" s="87">
        <f t="shared" ref="DO293:DO318" si="526">BG293+CK293</f>
        <v>64</v>
      </c>
      <c r="DP293" s="87">
        <f t="shared" ref="DP293:DP318" si="527">BH293+CL293</f>
        <v>93</v>
      </c>
      <c r="DQ293" s="87">
        <f t="shared" ref="DQ293:DQ318" si="528">BI293+CM293</f>
        <v>93</v>
      </c>
      <c r="DR293" s="87">
        <f t="shared" si="439"/>
        <v>102</v>
      </c>
      <c r="DS293" s="87">
        <f t="shared" si="440"/>
        <v>135</v>
      </c>
      <c r="DT293" s="87">
        <f t="shared" si="497"/>
        <v>95</v>
      </c>
      <c r="DU293" s="87">
        <f t="shared" si="498"/>
        <v>113.22222222222223</v>
      </c>
      <c r="DV293" s="87">
        <f t="shared" si="499"/>
        <v>0</v>
      </c>
      <c r="DW293" s="87">
        <f t="shared" si="500"/>
        <v>0</v>
      </c>
    </row>
    <row r="294" spans="1:127">
      <c r="A294" s="22" t="s">
        <v>22</v>
      </c>
      <c r="B294" s="26">
        <v>4987176283931</v>
      </c>
      <c r="C294" s="22" t="s">
        <v>117</v>
      </c>
      <c r="D294" s="22" t="s">
        <v>24</v>
      </c>
      <c r="E294" s="22">
        <v>261643</v>
      </c>
      <c r="F294" s="80" t="s">
        <v>386</v>
      </c>
      <c r="G294" s="25">
        <v>630.26250000000005</v>
      </c>
      <c r="H294" s="85">
        <f t="shared" si="441"/>
        <v>0</v>
      </c>
      <c r="I294" s="85">
        <f t="shared" si="442"/>
        <v>0</v>
      </c>
      <c r="J294" s="85">
        <f t="shared" si="443"/>
        <v>0</v>
      </c>
      <c r="K294" s="85">
        <f t="shared" si="444"/>
        <v>0</v>
      </c>
      <c r="L294" s="85">
        <f t="shared" si="445"/>
        <v>0</v>
      </c>
      <c r="M294" s="86">
        <f t="shared" si="446"/>
        <v>0</v>
      </c>
      <c r="N294" s="87">
        <f t="shared" si="447"/>
        <v>0</v>
      </c>
      <c r="O294" s="87">
        <f t="shared" si="448"/>
        <v>0</v>
      </c>
      <c r="P294" s="87">
        <f t="shared" si="449"/>
        <v>0</v>
      </c>
      <c r="Q294" s="87">
        <f t="shared" si="450"/>
        <v>0</v>
      </c>
      <c r="R294" s="87">
        <f t="shared" si="451"/>
        <v>0</v>
      </c>
      <c r="S294" s="87">
        <f t="shared" si="452"/>
        <v>0</v>
      </c>
      <c r="T294" s="87">
        <f t="shared" si="453"/>
        <v>0</v>
      </c>
      <c r="U294" s="87">
        <f t="shared" si="454"/>
        <v>630.26250000000005</v>
      </c>
      <c r="V294" s="87">
        <f t="shared" si="455"/>
        <v>0</v>
      </c>
      <c r="W294" s="87">
        <f t="shared" si="456"/>
        <v>9453.9375</v>
      </c>
      <c r="X294" s="87">
        <f t="shared" si="457"/>
        <v>126682.76250000001</v>
      </c>
      <c r="Y294" s="86">
        <f t="shared" si="458"/>
        <v>89497.275000000009</v>
      </c>
      <c r="Z294" s="87">
        <f t="shared" si="459"/>
        <v>126682.76250000001</v>
      </c>
      <c r="AA294" s="87">
        <f t="shared" si="460"/>
        <v>84455.175000000003</v>
      </c>
      <c r="AB294" s="87">
        <f t="shared" si="461"/>
        <v>69959.137500000012</v>
      </c>
      <c r="AC294" s="87">
        <f t="shared" si="462"/>
        <v>119749.87500000001</v>
      </c>
      <c r="AD294" s="87">
        <f t="shared" si="463"/>
        <v>124161.71250000001</v>
      </c>
      <c r="AE294" s="87">
        <f t="shared" si="464"/>
        <v>262189.2</v>
      </c>
      <c r="AF294" s="87">
        <f t="shared" si="465"/>
        <v>184036.65000000002</v>
      </c>
      <c r="AG294" s="87">
        <f t="shared" si="466"/>
        <v>313240.46250000002</v>
      </c>
      <c r="AH294" s="87">
        <f t="shared" si="501"/>
        <v>162607.72500000001</v>
      </c>
      <c r="AI294" s="87">
        <f t="shared" si="502"/>
        <v>164708.6</v>
      </c>
      <c r="AJ294" s="87">
        <f t="shared" si="503"/>
        <v>0</v>
      </c>
      <c r="AK294" s="86">
        <f t="shared" si="504"/>
        <v>0</v>
      </c>
      <c r="AL294" s="85">
        <v>0</v>
      </c>
      <c r="AM294" s="85">
        <v>0</v>
      </c>
      <c r="AN294" s="85">
        <v>0</v>
      </c>
      <c r="AO294" s="85">
        <v>0</v>
      </c>
      <c r="AP294" s="85">
        <v>0</v>
      </c>
      <c r="AQ294" s="86">
        <v>0</v>
      </c>
      <c r="AR294" s="87">
        <v>0</v>
      </c>
      <c r="AS294" s="87">
        <v>0</v>
      </c>
      <c r="AT294" s="87">
        <v>0</v>
      </c>
      <c r="AU294" s="87">
        <v>0</v>
      </c>
      <c r="AV294" s="87">
        <v>0</v>
      </c>
      <c r="AW294" s="87">
        <v>0</v>
      </c>
      <c r="AX294" s="87">
        <v>0</v>
      </c>
      <c r="AY294" s="87">
        <v>0</v>
      </c>
      <c r="AZ294" s="87">
        <v>0</v>
      </c>
      <c r="BA294" s="87">
        <v>5</v>
      </c>
      <c r="BB294" s="87">
        <v>188</v>
      </c>
      <c r="BC294" s="86">
        <v>139</v>
      </c>
      <c r="BD294" s="87">
        <v>196</v>
      </c>
      <c r="BE294" s="87">
        <v>134</v>
      </c>
      <c r="BF294" s="87">
        <v>109</v>
      </c>
      <c r="BG294" s="87">
        <v>183</v>
      </c>
      <c r="BH294" s="87">
        <v>190</v>
      </c>
      <c r="BI294" s="87">
        <v>393</v>
      </c>
      <c r="BJ294" s="40">
        <v>284</v>
      </c>
      <c r="BK294" s="40">
        <v>481</v>
      </c>
      <c r="BL294" s="40">
        <v>242</v>
      </c>
      <c r="BM294" s="40">
        <v>252</v>
      </c>
      <c r="BN294" s="87"/>
      <c r="BO294" s="86"/>
      <c r="BP294" s="21">
        <v>0</v>
      </c>
      <c r="BQ294" s="21">
        <v>0</v>
      </c>
      <c r="BR294" s="21">
        <v>0</v>
      </c>
      <c r="BS294" s="21">
        <v>0</v>
      </c>
      <c r="BT294" s="21">
        <v>0</v>
      </c>
      <c r="BU294" s="42">
        <v>0</v>
      </c>
      <c r="BV294" s="21">
        <v>0</v>
      </c>
      <c r="BW294" s="21">
        <v>0</v>
      </c>
      <c r="BX294" s="21">
        <v>0</v>
      </c>
      <c r="BY294" s="21">
        <v>0</v>
      </c>
      <c r="BZ294" s="21">
        <v>0</v>
      </c>
      <c r="CA294" s="21">
        <v>0</v>
      </c>
      <c r="CB294" s="21">
        <v>0</v>
      </c>
      <c r="CC294" s="21">
        <v>1</v>
      </c>
      <c r="CD294" s="21">
        <v>0</v>
      </c>
      <c r="CE294" s="21">
        <v>10</v>
      </c>
      <c r="CF294" s="21">
        <v>13</v>
      </c>
      <c r="CG294" s="42">
        <v>3</v>
      </c>
      <c r="CH294" s="21">
        <v>5</v>
      </c>
      <c r="CI294" s="21">
        <v>0</v>
      </c>
      <c r="CJ294" s="21">
        <v>2</v>
      </c>
      <c r="CK294" s="21">
        <v>7</v>
      </c>
      <c r="CL294" s="21">
        <v>7</v>
      </c>
      <c r="CM294" s="21">
        <v>23</v>
      </c>
      <c r="CN294" s="21">
        <v>8</v>
      </c>
      <c r="CO294" s="21">
        <v>16</v>
      </c>
      <c r="CP294" s="21">
        <f t="shared" si="471"/>
        <v>16</v>
      </c>
      <c r="CQ294" s="344">
        <f t="shared" si="472"/>
        <v>9.3333333333333339</v>
      </c>
      <c r="CR294" s="87"/>
      <c r="CS294" s="86"/>
      <c r="CT294" s="85">
        <f t="shared" si="505"/>
        <v>0</v>
      </c>
      <c r="CU294" s="85">
        <f t="shared" si="506"/>
        <v>0</v>
      </c>
      <c r="CV294" s="85">
        <f t="shared" si="507"/>
        <v>0</v>
      </c>
      <c r="CW294" s="85">
        <f t="shared" si="508"/>
        <v>0</v>
      </c>
      <c r="CX294" s="85">
        <f t="shared" si="509"/>
        <v>0</v>
      </c>
      <c r="CY294" s="86">
        <f t="shared" si="510"/>
        <v>0</v>
      </c>
      <c r="CZ294" s="87">
        <f t="shared" si="511"/>
        <v>0</v>
      </c>
      <c r="DA294" s="87">
        <f t="shared" si="512"/>
        <v>0</v>
      </c>
      <c r="DB294" s="87">
        <f t="shared" si="513"/>
        <v>0</v>
      </c>
      <c r="DC294" s="87">
        <f t="shared" si="514"/>
        <v>0</v>
      </c>
      <c r="DD294" s="87">
        <f t="shared" si="515"/>
        <v>0</v>
      </c>
      <c r="DE294" s="87">
        <f t="shared" si="516"/>
        <v>0</v>
      </c>
      <c r="DF294" s="87">
        <f t="shared" si="517"/>
        <v>0</v>
      </c>
      <c r="DG294" s="87">
        <f t="shared" si="518"/>
        <v>1</v>
      </c>
      <c r="DH294" s="87">
        <f t="shared" si="519"/>
        <v>0</v>
      </c>
      <c r="DI294" s="87">
        <f t="shared" si="520"/>
        <v>15</v>
      </c>
      <c r="DJ294" s="87">
        <f t="shared" si="521"/>
        <v>201</v>
      </c>
      <c r="DK294" s="86">
        <f t="shared" si="522"/>
        <v>142</v>
      </c>
      <c r="DL294" s="87">
        <f t="shared" si="523"/>
        <v>201</v>
      </c>
      <c r="DM294" s="87">
        <f t="shared" si="524"/>
        <v>134</v>
      </c>
      <c r="DN294" s="87">
        <f t="shared" si="525"/>
        <v>111</v>
      </c>
      <c r="DO294" s="87">
        <f t="shared" si="526"/>
        <v>190</v>
      </c>
      <c r="DP294" s="87">
        <f t="shared" si="527"/>
        <v>197</v>
      </c>
      <c r="DQ294" s="87">
        <f t="shared" si="528"/>
        <v>416</v>
      </c>
      <c r="DR294" s="87">
        <f t="shared" si="439"/>
        <v>292</v>
      </c>
      <c r="DS294" s="87">
        <f t="shared" si="440"/>
        <v>497</v>
      </c>
      <c r="DT294" s="87">
        <f t="shared" ref="DT294:DT318" si="529">BL294+CP294</f>
        <v>258</v>
      </c>
      <c r="DU294" s="87">
        <f t="shared" ref="DU294:DU318" si="530">BM294+CQ294</f>
        <v>261.33333333333331</v>
      </c>
      <c r="DV294" s="87">
        <f t="shared" ref="DV294:DV318" si="531">BN294+CR294</f>
        <v>0</v>
      </c>
      <c r="DW294" s="87">
        <f t="shared" ref="DW294:DW318" si="532">BO294+CS294</f>
        <v>0</v>
      </c>
    </row>
    <row r="295" spans="1:127">
      <c r="A295" s="22" t="s">
        <v>22</v>
      </c>
      <c r="B295" s="26">
        <v>4987176283924</v>
      </c>
      <c r="C295" s="22" t="s">
        <v>117</v>
      </c>
      <c r="D295" s="22" t="s">
        <v>24</v>
      </c>
      <c r="E295" s="22">
        <v>261657</v>
      </c>
      <c r="F295" s="80" t="s">
        <v>387</v>
      </c>
      <c r="G295" s="25">
        <v>630.26250000000005</v>
      </c>
      <c r="H295" s="85">
        <f t="shared" si="441"/>
        <v>0</v>
      </c>
      <c r="I295" s="85">
        <f t="shared" si="442"/>
        <v>0</v>
      </c>
      <c r="J295" s="85">
        <f t="shared" si="443"/>
        <v>0</v>
      </c>
      <c r="K295" s="85">
        <f t="shared" si="444"/>
        <v>0</v>
      </c>
      <c r="L295" s="85">
        <f t="shared" si="445"/>
        <v>0</v>
      </c>
      <c r="M295" s="86">
        <f t="shared" si="446"/>
        <v>0</v>
      </c>
      <c r="N295" s="87">
        <f t="shared" si="447"/>
        <v>0</v>
      </c>
      <c r="O295" s="87">
        <f t="shared" si="448"/>
        <v>0</v>
      </c>
      <c r="P295" s="87">
        <f t="shared" si="449"/>
        <v>0</v>
      </c>
      <c r="Q295" s="87">
        <f t="shared" si="450"/>
        <v>0</v>
      </c>
      <c r="R295" s="87">
        <f t="shared" si="451"/>
        <v>0</v>
      </c>
      <c r="S295" s="87">
        <f t="shared" si="452"/>
        <v>0</v>
      </c>
      <c r="T295" s="87">
        <f t="shared" si="453"/>
        <v>0</v>
      </c>
      <c r="U295" s="87">
        <f t="shared" si="454"/>
        <v>1260.5250000000001</v>
      </c>
      <c r="V295" s="87">
        <f t="shared" si="455"/>
        <v>5042.1000000000004</v>
      </c>
      <c r="W295" s="87">
        <f t="shared" si="456"/>
        <v>32773.65</v>
      </c>
      <c r="X295" s="87">
        <f t="shared" si="457"/>
        <v>348535.16250000003</v>
      </c>
      <c r="Y295" s="86">
        <f t="shared" si="458"/>
        <v>253995.78750000001</v>
      </c>
      <c r="Z295" s="87">
        <f t="shared" si="459"/>
        <v>306937.83750000002</v>
      </c>
      <c r="AA295" s="87">
        <f t="shared" si="460"/>
        <v>267861.5625</v>
      </c>
      <c r="AB295" s="87">
        <f t="shared" si="461"/>
        <v>223112.92500000002</v>
      </c>
      <c r="AC295" s="87">
        <f t="shared" si="462"/>
        <v>334039.125</v>
      </c>
      <c r="AD295" s="87">
        <f t="shared" si="463"/>
        <v>354207.52500000002</v>
      </c>
      <c r="AE295" s="87">
        <f t="shared" si="464"/>
        <v>651691.42500000005</v>
      </c>
      <c r="AF295" s="87">
        <f t="shared" si="465"/>
        <v>488453.43750000006</v>
      </c>
      <c r="AG295" s="87">
        <f t="shared" si="466"/>
        <v>634674.33750000002</v>
      </c>
      <c r="AH295" s="87">
        <f t="shared" si="501"/>
        <v>417864.03750000003</v>
      </c>
      <c r="AI295" s="87">
        <f t="shared" si="502"/>
        <v>437052.02916666673</v>
      </c>
      <c r="AJ295" s="87">
        <f t="shared" si="503"/>
        <v>0</v>
      </c>
      <c r="AK295" s="86">
        <f t="shared" si="504"/>
        <v>0</v>
      </c>
      <c r="AL295" s="85">
        <v>0</v>
      </c>
      <c r="AM295" s="85">
        <v>0</v>
      </c>
      <c r="AN295" s="85">
        <v>0</v>
      </c>
      <c r="AO295" s="85">
        <v>0</v>
      </c>
      <c r="AP295" s="85">
        <v>0</v>
      </c>
      <c r="AQ295" s="86">
        <v>0</v>
      </c>
      <c r="AR295" s="87">
        <v>0</v>
      </c>
      <c r="AS295" s="87">
        <v>0</v>
      </c>
      <c r="AT295" s="87">
        <v>0</v>
      </c>
      <c r="AU295" s="87">
        <v>0</v>
      </c>
      <c r="AV295" s="87">
        <v>0</v>
      </c>
      <c r="AW295" s="87">
        <v>0</v>
      </c>
      <c r="AX295" s="87">
        <v>0</v>
      </c>
      <c r="AY295" s="87">
        <v>0</v>
      </c>
      <c r="AZ295" s="87">
        <v>0</v>
      </c>
      <c r="BA295" s="87">
        <v>9</v>
      </c>
      <c r="BB295" s="87">
        <v>469</v>
      </c>
      <c r="BC295" s="86">
        <v>394</v>
      </c>
      <c r="BD295" s="87">
        <v>471</v>
      </c>
      <c r="BE295" s="87">
        <v>414</v>
      </c>
      <c r="BF295" s="87">
        <v>348</v>
      </c>
      <c r="BG295" s="87">
        <v>493</v>
      </c>
      <c r="BH295" s="87">
        <v>516</v>
      </c>
      <c r="BI295" s="87">
        <v>956</v>
      </c>
      <c r="BJ295" s="40">
        <v>736</v>
      </c>
      <c r="BK295" s="40">
        <v>964</v>
      </c>
      <c r="BL295" s="40">
        <v>620</v>
      </c>
      <c r="BM295" s="40">
        <v>658</v>
      </c>
      <c r="BN295" s="87"/>
      <c r="BO295" s="86"/>
      <c r="BP295" s="21">
        <v>0</v>
      </c>
      <c r="BQ295" s="21">
        <v>0</v>
      </c>
      <c r="BR295" s="21">
        <v>0</v>
      </c>
      <c r="BS295" s="21">
        <v>0</v>
      </c>
      <c r="BT295" s="21">
        <v>0</v>
      </c>
      <c r="BU295" s="42">
        <v>0</v>
      </c>
      <c r="BV295" s="21">
        <v>0</v>
      </c>
      <c r="BW295" s="21">
        <v>0</v>
      </c>
      <c r="BX295" s="21">
        <v>0</v>
      </c>
      <c r="BY295" s="21">
        <v>0</v>
      </c>
      <c r="BZ295" s="21">
        <v>0</v>
      </c>
      <c r="CA295" s="21">
        <v>0</v>
      </c>
      <c r="CB295" s="21">
        <v>0</v>
      </c>
      <c r="CC295" s="21">
        <v>2</v>
      </c>
      <c r="CD295" s="21">
        <v>8</v>
      </c>
      <c r="CE295" s="21">
        <v>43</v>
      </c>
      <c r="CF295" s="21">
        <v>84</v>
      </c>
      <c r="CG295" s="42">
        <v>9</v>
      </c>
      <c r="CH295" s="21">
        <v>16</v>
      </c>
      <c r="CI295" s="21">
        <v>11</v>
      </c>
      <c r="CJ295" s="21">
        <v>6</v>
      </c>
      <c r="CK295" s="21">
        <v>37</v>
      </c>
      <c r="CL295" s="21">
        <v>46</v>
      </c>
      <c r="CM295" s="21">
        <v>78</v>
      </c>
      <c r="CN295" s="21">
        <v>39</v>
      </c>
      <c r="CO295" s="21">
        <v>43</v>
      </c>
      <c r="CP295" s="21">
        <f t="shared" si="471"/>
        <v>43</v>
      </c>
      <c r="CQ295" s="344">
        <f t="shared" si="472"/>
        <v>35.444444444444443</v>
      </c>
      <c r="CR295" s="87"/>
      <c r="CS295" s="86"/>
      <c r="CT295" s="85">
        <f t="shared" si="505"/>
        <v>0</v>
      </c>
      <c r="CU295" s="85">
        <f t="shared" si="506"/>
        <v>0</v>
      </c>
      <c r="CV295" s="85">
        <f t="shared" si="507"/>
        <v>0</v>
      </c>
      <c r="CW295" s="85">
        <f t="shared" si="508"/>
        <v>0</v>
      </c>
      <c r="CX295" s="85">
        <f t="shared" si="509"/>
        <v>0</v>
      </c>
      <c r="CY295" s="86">
        <f t="shared" si="510"/>
        <v>0</v>
      </c>
      <c r="CZ295" s="87">
        <f t="shared" si="511"/>
        <v>0</v>
      </c>
      <c r="DA295" s="87">
        <f t="shared" si="512"/>
        <v>0</v>
      </c>
      <c r="DB295" s="87">
        <f t="shared" si="513"/>
        <v>0</v>
      </c>
      <c r="DC295" s="87">
        <f t="shared" si="514"/>
        <v>0</v>
      </c>
      <c r="DD295" s="87">
        <f t="shared" si="515"/>
        <v>0</v>
      </c>
      <c r="DE295" s="87">
        <f t="shared" si="516"/>
        <v>0</v>
      </c>
      <c r="DF295" s="87">
        <f t="shared" si="517"/>
        <v>0</v>
      </c>
      <c r="DG295" s="87">
        <f t="shared" si="518"/>
        <v>2</v>
      </c>
      <c r="DH295" s="87">
        <f t="shared" si="519"/>
        <v>8</v>
      </c>
      <c r="DI295" s="87">
        <f t="shared" si="520"/>
        <v>52</v>
      </c>
      <c r="DJ295" s="87">
        <f t="shared" si="521"/>
        <v>553</v>
      </c>
      <c r="DK295" s="86">
        <f t="shared" si="522"/>
        <v>403</v>
      </c>
      <c r="DL295" s="87">
        <f t="shared" si="523"/>
        <v>487</v>
      </c>
      <c r="DM295" s="87">
        <f t="shared" si="524"/>
        <v>425</v>
      </c>
      <c r="DN295" s="87">
        <f t="shared" si="525"/>
        <v>354</v>
      </c>
      <c r="DO295" s="87">
        <f t="shared" si="526"/>
        <v>530</v>
      </c>
      <c r="DP295" s="87">
        <f t="shared" si="527"/>
        <v>562</v>
      </c>
      <c r="DQ295" s="87">
        <f t="shared" si="528"/>
        <v>1034</v>
      </c>
      <c r="DR295" s="87">
        <f t="shared" ref="DR295:DR358" si="533">BJ295+CN295</f>
        <v>775</v>
      </c>
      <c r="DS295" s="87">
        <f t="shared" si="440"/>
        <v>1007</v>
      </c>
      <c r="DT295" s="87">
        <f t="shared" si="529"/>
        <v>663</v>
      </c>
      <c r="DU295" s="87">
        <f t="shared" si="530"/>
        <v>693.44444444444446</v>
      </c>
      <c r="DV295" s="87">
        <f t="shared" si="531"/>
        <v>0</v>
      </c>
      <c r="DW295" s="87">
        <f t="shared" si="532"/>
        <v>0</v>
      </c>
    </row>
    <row r="296" spans="1:127">
      <c r="A296" s="22" t="s">
        <v>22</v>
      </c>
      <c r="B296" s="26">
        <v>4987176283917</v>
      </c>
      <c r="C296" s="22" t="s">
        <v>117</v>
      </c>
      <c r="D296" s="22" t="s">
        <v>24</v>
      </c>
      <c r="E296" s="22">
        <v>261695</v>
      </c>
      <c r="F296" s="80" t="s">
        <v>388</v>
      </c>
      <c r="G296" s="25">
        <v>630.26250000000005</v>
      </c>
      <c r="H296" s="85">
        <f t="shared" si="441"/>
        <v>0</v>
      </c>
      <c r="I296" s="85">
        <f t="shared" si="442"/>
        <v>0</v>
      </c>
      <c r="J296" s="85">
        <f t="shared" si="443"/>
        <v>0</v>
      </c>
      <c r="K296" s="85">
        <f t="shared" si="444"/>
        <v>0</v>
      </c>
      <c r="L296" s="85">
        <f t="shared" si="445"/>
        <v>0</v>
      </c>
      <c r="M296" s="86">
        <f t="shared" si="446"/>
        <v>0</v>
      </c>
      <c r="N296" s="87">
        <f t="shared" si="447"/>
        <v>0</v>
      </c>
      <c r="O296" s="87">
        <f t="shared" si="448"/>
        <v>0</v>
      </c>
      <c r="P296" s="87">
        <f t="shared" si="449"/>
        <v>0</v>
      </c>
      <c r="Q296" s="87">
        <f t="shared" si="450"/>
        <v>0</v>
      </c>
      <c r="R296" s="87">
        <f t="shared" si="451"/>
        <v>0</v>
      </c>
      <c r="S296" s="87">
        <f t="shared" si="452"/>
        <v>0</v>
      </c>
      <c r="T296" s="87">
        <f t="shared" si="453"/>
        <v>0</v>
      </c>
      <c r="U296" s="87">
        <f t="shared" si="454"/>
        <v>1260.5250000000001</v>
      </c>
      <c r="V296" s="87">
        <f t="shared" si="455"/>
        <v>2521.0500000000002</v>
      </c>
      <c r="W296" s="87">
        <f t="shared" si="456"/>
        <v>13865.775000000001</v>
      </c>
      <c r="X296" s="87">
        <f t="shared" si="457"/>
        <v>235718.17500000002</v>
      </c>
      <c r="Y296" s="86">
        <f t="shared" si="458"/>
        <v>180885.33750000002</v>
      </c>
      <c r="Z296" s="87">
        <f t="shared" si="459"/>
        <v>218701.08750000002</v>
      </c>
      <c r="AA296" s="87">
        <f t="shared" si="460"/>
        <v>178364.28750000001</v>
      </c>
      <c r="AB296" s="87">
        <f t="shared" si="461"/>
        <v>135506.4375</v>
      </c>
      <c r="AC296" s="87">
        <f t="shared" si="462"/>
        <v>246432.63750000001</v>
      </c>
      <c r="AD296" s="87">
        <f t="shared" si="463"/>
        <v>257777.36250000002</v>
      </c>
      <c r="AE296" s="87">
        <f t="shared" si="464"/>
        <v>439292.96250000002</v>
      </c>
      <c r="AF296" s="87">
        <f t="shared" si="465"/>
        <v>349795.6875</v>
      </c>
      <c r="AG296" s="87">
        <f t="shared" si="466"/>
        <v>487823.17500000005</v>
      </c>
      <c r="AH296" s="87">
        <f t="shared" si="501"/>
        <v>282987.86250000005</v>
      </c>
      <c r="AI296" s="87">
        <f t="shared" si="502"/>
        <v>324585.1875</v>
      </c>
      <c r="AJ296" s="87">
        <f t="shared" si="503"/>
        <v>0</v>
      </c>
      <c r="AK296" s="86">
        <f t="shared" si="504"/>
        <v>0</v>
      </c>
      <c r="AL296" s="85">
        <v>0</v>
      </c>
      <c r="AM296" s="85">
        <v>0</v>
      </c>
      <c r="AN296" s="85">
        <v>0</v>
      </c>
      <c r="AO296" s="85">
        <v>0</v>
      </c>
      <c r="AP296" s="85">
        <v>0</v>
      </c>
      <c r="AQ296" s="86">
        <v>0</v>
      </c>
      <c r="AR296" s="87">
        <v>0</v>
      </c>
      <c r="AS296" s="87">
        <v>0</v>
      </c>
      <c r="AT296" s="87">
        <v>0</v>
      </c>
      <c r="AU296" s="87">
        <v>0</v>
      </c>
      <c r="AV296" s="87">
        <v>0</v>
      </c>
      <c r="AW296" s="87">
        <v>0</v>
      </c>
      <c r="AX296" s="87">
        <v>0</v>
      </c>
      <c r="AY296" s="87">
        <v>0</v>
      </c>
      <c r="AZ296" s="87">
        <v>0</v>
      </c>
      <c r="BA296" s="87">
        <v>4</v>
      </c>
      <c r="BB296" s="87">
        <v>344</v>
      </c>
      <c r="BC296" s="86">
        <v>282</v>
      </c>
      <c r="BD296" s="87">
        <v>340</v>
      </c>
      <c r="BE296" s="87">
        <v>277</v>
      </c>
      <c r="BF296" s="87">
        <v>211</v>
      </c>
      <c r="BG296" s="87">
        <v>382</v>
      </c>
      <c r="BH296" s="87">
        <v>378</v>
      </c>
      <c r="BI296" s="87">
        <v>666</v>
      </c>
      <c r="BJ296" s="40">
        <v>542</v>
      </c>
      <c r="BK296" s="40">
        <v>748</v>
      </c>
      <c r="BL296" s="40">
        <v>423</v>
      </c>
      <c r="BM296" s="40">
        <v>498</v>
      </c>
      <c r="BN296" s="87"/>
      <c r="BO296" s="86"/>
      <c r="BP296" s="21">
        <v>0</v>
      </c>
      <c r="BQ296" s="21">
        <v>0</v>
      </c>
      <c r="BR296" s="21">
        <v>0</v>
      </c>
      <c r="BS296" s="21">
        <v>0</v>
      </c>
      <c r="BT296" s="21">
        <v>0</v>
      </c>
      <c r="BU296" s="42">
        <v>0</v>
      </c>
      <c r="BV296" s="21">
        <v>0</v>
      </c>
      <c r="BW296" s="21">
        <v>0</v>
      </c>
      <c r="BX296" s="21">
        <v>0</v>
      </c>
      <c r="BY296" s="21">
        <v>0</v>
      </c>
      <c r="BZ296" s="21">
        <v>0</v>
      </c>
      <c r="CA296" s="21">
        <v>0</v>
      </c>
      <c r="CB296" s="21">
        <v>0</v>
      </c>
      <c r="CC296" s="21">
        <v>2</v>
      </c>
      <c r="CD296" s="21">
        <v>4</v>
      </c>
      <c r="CE296" s="21">
        <v>18</v>
      </c>
      <c r="CF296" s="21">
        <v>30</v>
      </c>
      <c r="CG296" s="42">
        <v>5</v>
      </c>
      <c r="CH296" s="21">
        <v>7</v>
      </c>
      <c r="CI296" s="21">
        <v>6</v>
      </c>
      <c r="CJ296" s="21">
        <v>4</v>
      </c>
      <c r="CK296" s="21">
        <v>9</v>
      </c>
      <c r="CL296" s="21">
        <v>31</v>
      </c>
      <c r="CM296" s="21">
        <v>31</v>
      </c>
      <c r="CN296" s="21">
        <v>13</v>
      </c>
      <c r="CO296" s="21">
        <v>26</v>
      </c>
      <c r="CP296" s="21">
        <f t="shared" si="471"/>
        <v>26</v>
      </c>
      <c r="CQ296" s="344">
        <f t="shared" si="472"/>
        <v>17</v>
      </c>
      <c r="CR296" s="87"/>
      <c r="CS296" s="86"/>
      <c r="CT296" s="85">
        <f t="shared" si="505"/>
        <v>0</v>
      </c>
      <c r="CU296" s="85">
        <f t="shared" si="506"/>
        <v>0</v>
      </c>
      <c r="CV296" s="85">
        <f t="shared" si="507"/>
        <v>0</v>
      </c>
      <c r="CW296" s="85">
        <f t="shared" si="508"/>
        <v>0</v>
      </c>
      <c r="CX296" s="85">
        <f t="shared" si="509"/>
        <v>0</v>
      </c>
      <c r="CY296" s="86">
        <f t="shared" si="510"/>
        <v>0</v>
      </c>
      <c r="CZ296" s="87">
        <f t="shared" si="511"/>
        <v>0</v>
      </c>
      <c r="DA296" s="87">
        <f t="shared" si="512"/>
        <v>0</v>
      </c>
      <c r="DB296" s="87">
        <f t="shared" si="513"/>
        <v>0</v>
      </c>
      <c r="DC296" s="87">
        <f t="shared" si="514"/>
        <v>0</v>
      </c>
      <c r="DD296" s="87">
        <f t="shared" si="515"/>
        <v>0</v>
      </c>
      <c r="DE296" s="87">
        <f t="shared" si="516"/>
        <v>0</v>
      </c>
      <c r="DF296" s="87">
        <f t="shared" si="517"/>
        <v>0</v>
      </c>
      <c r="DG296" s="87">
        <f t="shared" si="518"/>
        <v>2</v>
      </c>
      <c r="DH296" s="87">
        <f t="shared" si="519"/>
        <v>4</v>
      </c>
      <c r="DI296" s="87">
        <f t="shared" si="520"/>
        <v>22</v>
      </c>
      <c r="DJ296" s="87">
        <f t="shared" si="521"/>
        <v>374</v>
      </c>
      <c r="DK296" s="86">
        <f t="shared" si="522"/>
        <v>287</v>
      </c>
      <c r="DL296" s="87">
        <f t="shared" si="523"/>
        <v>347</v>
      </c>
      <c r="DM296" s="87">
        <f t="shared" si="524"/>
        <v>283</v>
      </c>
      <c r="DN296" s="87">
        <f t="shared" si="525"/>
        <v>215</v>
      </c>
      <c r="DO296" s="87">
        <f t="shared" si="526"/>
        <v>391</v>
      </c>
      <c r="DP296" s="87">
        <f t="shared" si="527"/>
        <v>409</v>
      </c>
      <c r="DQ296" s="87">
        <f t="shared" si="528"/>
        <v>697</v>
      </c>
      <c r="DR296" s="87">
        <f t="shared" si="533"/>
        <v>555</v>
      </c>
      <c r="DS296" s="87">
        <f t="shared" si="440"/>
        <v>774</v>
      </c>
      <c r="DT296" s="87">
        <f t="shared" si="529"/>
        <v>449</v>
      </c>
      <c r="DU296" s="87">
        <f t="shared" si="530"/>
        <v>515</v>
      </c>
      <c r="DV296" s="87">
        <f t="shared" si="531"/>
        <v>0</v>
      </c>
      <c r="DW296" s="87">
        <f t="shared" si="532"/>
        <v>0</v>
      </c>
    </row>
    <row r="297" spans="1:127">
      <c r="A297" s="22" t="s">
        <v>22</v>
      </c>
      <c r="B297" s="26">
        <v>889714000434</v>
      </c>
      <c r="C297" s="22" t="s">
        <v>118</v>
      </c>
      <c r="D297" s="22" t="s">
        <v>122</v>
      </c>
      <c r="E297" s="22">
        <v>686455</v>
      </c>
      <c r="F297" s="80" t="s">
        <v>389</v>
      </c>
      <c r="G297" s="25">
        <v>599.4</v>
      </c>
      <c r="H297" s="85">
        <f t="shared" si="441"/>
        <v>339260.39999999997</v>
      </c>
      <c r="I297" s="85">
        <f t="shared" si="442"/>
        <v>562237.19999999995</v>
      </c>
      <c r="J297" s="85">
        <f t="shared" si="443"/>
        <v>392607</v>
      </c>
      <c r="K297" s="85">
        <f t="shared" si="444"/>
        <v>362637</v>
      </c>
      <c r="L297" s="85">
        <f t="shared" si="445"/>
        <v>411787.8</v>
      </c>
      <c r="M297" s="86">
        <f t="shared" si="446"/>
        <v>318281.39999999997</v>
      </c>
      <c r="N297" s="87">
        <f t="shared" si="447"/>
        <v>301498.2</v>
      </c>
      <c r="O297" s="87">
        <f t="shared" si="448"/>
        <v>375224.39999999997</v>
      </c>
      <c r="P297" s="87">
        <f t="shared" si="449"/>
        <v>318281.39999999997</v>
      </c>
      <c r="Q297" s="87">
        <f t="shared" si="450"/>
        <v>384215.39999999997</v>
      </c>
      <c r="R297" s="87">
        <f t="shared" si="451"/>
        <v>392607</v>
      </c>
      <c r="S297" s="87">
        <f t="shared" si="452"/>
        <v>327871.8</v>
      </c>
      <c r="T297" s="87">
        <f t="shared" si="453"/>
        <v>380019.6</v>
      </c>
      <c r="U297" s="87">
        <f t="shared" si="454"/>
        <v>322477.2</v>
      </c>
      <c r="V297" s="87">
        <f t="shared" si="455"/>
        <v>287112.59999999998</v>
      </c>
      <c r="W297" s="87">
        <f t="shared" si="456"/>
        <v>304495.2</v>
      </c>
      <c r="X297" s="87">
        <f t="shared" si="457"/>
        <v>299700</v>
      </c>
      <c r="Y297" s="86">
        <f t="shared" si="458"/>
        <v>224175.6</v>
      </c>
      <c r="Z297" s="87">
        <f t="shared" si="459"/>
        <v>306293.39999999997</v>
      </c>
      <c r="AA297" s="87">
        <f t="shared" si="460"/>
        <v>274525.2</v>
      </c>
      <c r="AB297" s="87">
        <f t="shared" si="461"/>
        <v>289510.2</v>
      </c>
      <c r="AC297" s="87">
        <f t="shared" si="462"/>
        <v>338061.6</v>
      </c>
      <c r="AD297" s="87">
        <f t="shared" si="463"/>
        <v>239760</v>
      </c>
      <c r="AE297" s="87">
        <f t="shared" si="464"/>
        <v>305094.59999999998</v>
      </c>
      <c r="AF297" s="87">
        <f t="shared" si="465"/>
        <v>254145.59999999998</v>
      </c>
      <c r="AG297" s="87">
        <f t="shared" si="466"/>
        <v>299700</v>
      </c>
      <c r="AH297" s="87">
        <f t="shared" si="501"/>
        <v>304495.2</v>
      </c>
      <c r="AI297" s="87">
        <f t="shared" si="502"/>
        <v>349916.4</v>
      </c>
      <c r="AJ297" s="87">
        <f t="shared" si="503"/>
        <v>0</v>
      </c>
      <c r="AK297" s="86">
        <f t="shared" si="504"/>
        <v>0</v>
      </c>
      <c r="AL297" s="85">
        <v>514</v>
      </c>
      <c r="AM297" s="85">
        <v>849</v>
      </c>
      <c r="AN297" s="85">
        <v>522</v>
      </c>
      <c r="AO297" s="85">
        <v>551</v>
      </c>
      <c r="AP297" s="85">
        <v>614</v>
      </c>
      <c r="AQ297" s="86">
        <v>455</v>
      </c>
      <c r="AR297" s="87">
        <v>442</v>
      </c>
      <c r="AS297" s="87">
        <v>564</v>
      </c>
      <c r="AT297" s="87">
        <v>458</v>
      </c>
      <c r="AU297" s="87">
        <v>554</v>
      </c>
      <c r="AV297" s="87">
        <v>575</v>
      </c>
      <c r="AW297" s="87">
        <v>527</v>
      </c>
      <c r="AX297" s="87">
        <v>589</v>
      </c>
      <c r="AY297" s="87">
        <v>472</v>
      </c>
      <c r="AZ297" s="87">
        <v>409</v>
      </c>
      <c r="BA297" s="87">
        <v>464</v>
      </c>
      <c r="BB297" s="87">
        <v>468</v>
      </c>
      <c r="BC297" s="86">
        <v>327</v>
      </c>
      <c r="BD297" s="87">
        <v>476</v>
      </c>
      <c r="BE297" s="87">
        <v>385</v>
      </c>
      <c r="BF297" s="87">
        <v>422</v>
      </c>
      <c r="BG297" s="87">
        <v>495</v>
      </c>
      <c r="BH297" s="87">
        <v>351</v>
      </c>
      <c r="BI297" s="87">
        <v>491</v>
      </c>
      <c r="BJ297" s="40">
        <v>380</v>
      </c>
      <c r="BK297" s="40">
        <v>491</v>
      </c>
      <c r="BL297" s="40">
        <v>499</v>
      </c>
      <c r="BM297" s="40">
        <v>543</v>
      </c>
      <c r="BN297" s="87"/>
      <c r="BO297" s="86"/>
      <c r="BP297" s="21">
        <v>52</v>
      </c>
      <c r="BQ297" s="21">
        <v>89</v>
      </c>
      <c r="BR297" s="21">
        <v>133</v>
      </c>
      <c r="BS297" s="21">
        <v>54</v>
      </c>
      <c r="BT297" s="21">
        <v>73</v>
      </c>
      <c r="BU297" s="42">
        <v>76</v>
      </c>
      <c r="BV297" s="21">
        <v>61</v>
      </c>
      <c r="BW297" s="21">
        <v>62</v>
      </c>
      <c r="BX297" s="21">
        <v>73</v>
      </c>
      <c r="BY297" s="21">
        <v>87</v>
      </c>
      <c r="BZ297" s="21">
        <v>80</v>
      </c>
      <c r="CA297" s="21">
        <v>20</v>
      </c>
      <c r="CB297" s="21">
        <v>45</v>
      </c>
      <c r="CC297" s="21">
        <v>66</v>
      </c>
      <c r="CD297" s="21">
        <v>70</v>
      </c>
      <c r="CE297" s="21">
        <v>44</v>
      </c>
      <c r="CF297" s="21">
        <v>32</v>
      </c>
      <c r="CG297" s="42">
        <v>47</v>
      </c>
      <c r="CH297" s="21">
        <v>35</v>
      </c>
      <c r="CI297" s="21">
        <v>73</v>
      </c>
      <c r="CJ297" s="21">
        <v>61</v>
      </c>
      <c r="CK297" s="21">
        <v>69</v>
      </c>
      <c r="CL297" s="21">
        <v>49</v>
      </c>
      <c r="CM297" s="21">
        <v>18</v>
      </c>
      <c r="CN297" s="21">
        <v>44</v>
      </c>
      <c r="CO297" s="21">
        <v>9</v>
      </c>
      <c r="CP297" s="21">
        <f t="shared" si="471"/>
        <v>9</v>
      </c>
      <c r="CQ297" s="344">
        <f t="shared" si="472"/>
        <v>40.777777777777779</v>
      </c>
      <c r="CR297" s="87"/>
      <c r="CS297" s="86"/>
      <c r="CT297" s="85">
        <f t="shared" si="505"/>
        <v>566</v>
      </c>
      <c r="CU297" s="85">
        <f t="shared" si="506"/>
        <v>938</v>
      </c>
      <c r="CV297" s="85">
        <f t="shared" si="507"/>
        <v>655</v>
      </c>
      <c r="CW297" s="85">
        <f t="shared" si="508"/>
        <v>605</v>
      </c>
      <c r="CX297" s="85">
        <f t="shared" si="509"/>
        <v>687</v>
      </c>
      <c r="CY297" s="86">
        <f t="shared" si="510"/>
        <v>531</v>
      </c>
      <c r="CZ297" s="87">
        <f t="shared" si="511"/>
        <v>503</v>
      </c>
      <c r="DA297" s="87">
        <f t="shared" si="512"/>
        <v>626</v>
      </c>
      <c r="DB297" s="87">
        <f t="shared" si="513"/>
        <v>531</v>
      </c>
      <c r="DC297" s="87">
        <f t="shared" si="514"/>
        <v>641</v>
      </c>
      <c r="DD297" s="87">
        <f t="shared" si="515"/>
        <v>655</v>
      </c>
      <c r="DE297" s="87">
        <f t="shared" si="516"/>
        <v>547</v>
      </c>
      <c r="DF297" s="87">
        <f t="shared" si="517"/>
        <v>634</v>
      </c>
      <c r="DG297" s="87">
        <f t="shared" si="518"/>
        <v>538</v>
      </c>
      <c r="DH297" s="87">
        <f t="shared" si="519"/>
        <v>479</v>
      </c>
      <c r="DI297" s="87">
        <f t="shared" si="520"/>
        <v>508</v>
      </c>
      <c r="DJ297" s="87">
        <f t="shared" si="521"/>
        <v>500</v>
      </c>
      <c r="DK297" s="86">
        <f t="shared" si="522"/>
        <v>374</v>
      </c>
      <c r="DL297" s="87">
        <f t="shared" si="523"/>
        <v>511</v>
      </c>
      <c r="DM297" s="87">
        <f t="shared" si="524"/>
        <v>458</v>
      </c>
      <c r="DN297" s="87">
        <f t="shared" si="525"/>
        <v>483</v>
      </c>
      <c r="DO297" s="87">
        <f t="shared" si="526"/>
        <v>564</v>
      </c>
      <c r="DP297" s="87">
        <f t="shared" si="527"/>
        <v>400</v>
      </c>
      <c r="DQ297" s="87">
        <f t="shared" si="528"/>
        <v>509</v>
      </c>
      <c r="DR297" s="87">
        <f t="shared" si="533"/>
        <v>424</v>
      </c>
      <c r="DS297" s="87">
        <f t="shared" si="440"/>
        <v>500</v>
      </c>
      <c r="DT297" s="87">
        <f t="shared" si="529"/>
        <v>508</v>
      </c>
      <c r="DU297" s="87">
        <f t="shared" si="530"/>
        <v>583.77777777777783</v>
      </c>
      <c r="DV297" s="87">
        <f t="shared" si="531"/>
        <v>0</v>
      </c>
      <c r="DW297" s="87">
        <f t="shared" si="532"/>
        <v>0</v>
      </c>
    </row>
    <row r="298" spans="1:127">
      <c r="A298" s="22" t="s">
        <v>22</v>
      </c>
      <c r="B298" s="26">
        <v>37000734857</v>
      </c>
      <c r="C298" s="22" t="s">
        <v>118</v>
      </c>
      <c r="D298" s="22" t="s">
        <v>122</v>
      </c>
      <c r="E298" s="22">
        <v>286729</v>
      </c>
      <c r="F298" s="80" t="s">
        <v>390</v>
      </c>
      <c r="G298" s="25">
        <v>142.1</v>
      </c>
      <c r="H298" s="85">
        <f t="shared" si="441"/>
        <v>19325.599999999999</v>
      </c>
      <c r="I298" s="85">
        <f t="shared" si="442"/>
        <v>21172.899999999998</v>
      </c>
      <c r="J298" s="85">
        <f t="shared" si="443"/>
        <v>21172.899999999998</v>
      </c>
      <c r="K298" s="85">
        <f t="shared" si="444"/>
        <v>29130.5</v>
      </c>
      <c r="L298" s="85">
        <f t="shared" si="445"/>
        <v>26430.6</v>
      </c>
      <c r="M298" s="86">
        <f t="shared" si="446"/>
        <v>34104</v>
      </c>
      <c r="N298" s="87">
        <f t="shared" si="447"/>
        <v>56129.5</v>
      </c>
      <c r="O298" s="87">
        <f t="shared" si="448"/>
        <v>30409.399999999998</v>
      </c>
      <c r="P298" s="87">
        <f t="shared" si="449"/>
        <v>21030.799999999999</v>
      </c>
      <c r="Q298" s="87">
        <f t="shared" si="450"/>
        <v>19609.8</v>
      </c>
      <c r="R298" s="87">
        <f t="shared" si="451"/>
        <v>26999</v>
      </c>
      <c r="S298" s="87">
        <f t="shared" si="452"/>
        <v>14636.3</v>
      </c>
      <c r="T298" s="87">
        <f t="shared" si="453"/>
        <v>20604.5</v>
      </c>
      <c r="U298" s="87">
        <f t="shared" si="454"/>
        <v>17336.2</v>
      </c>
      <c r="V298" s="87">
        <f t="shared" si="455"/>
        <v>6536.5999999999995</v>
      </c>
      <c r="W298" s="87">
        <f t="shared" si="456"/>
        <v>1989.3999999999999</v>
      </c>
      <c r="X298" s="87">
        <f t="shared" si="457"/>
        <v>1705.1999999999998</v>
      </c>
      <c r="Y298" s="86">
        <f t="shared" si="458"/>
        <v>710.5</v>
      </c>
      <c r="Z298" s="87">
        <f t="shared" si="459"/>
        <v>568.4</v>
      </c>
      <c r="AA298" s="87">
        <f t="shared" si="460"/>
        <v>0</v>
      </c>
      <c r="AB298" s="87">
        <f t="shared" si="461"/>
        <v>0</v>
      </c>
      <c r="AC298" s="87">
        <f t="shared" si="462"/>
        <v>0</v>
      </c>
      <c r="AD298" s="87">
        <f t="shared" si="463"/>
        <v>0</v>
      </c>
      <c r="AE298" s="87">
        <f t="shared" si="464"/>
        <v>0</v>
      </c>
      <c r="AF298" s="87">
        <f t="shared" si="465"/>
        <v>0</v>
      </c>
      <c r="AG298" s="87">
        <f t="shared" si="466"/>
        <v>0</v>
      </c>
      <c r="AH298" s="87">
        <f t="shared" si="501"/>
        <v>0</v>
      </c>
      <c r="AI298" s="87">
        <f t="shared" si="502"/>
        <v>0</v>
      </c>
      <c r="AJ298" s="87">
        <f t="shared" si="503"/>
        <v>0</v>
      </c>
      <c r="AK298" s="86">
        <f t="shared" si="504"/>
        <v>0</v>
      </c>
      <c r="AL298" s="85">
        <v>98</v>
      </c>
      <c r="AM298" s="85">
        <v>134</v>
      </c>
      <c r="AN298" s="85">
        <v>115</v>
      </c>
      <c r="AO298" s="85">
        <v>156</v>
      </c>
      <c r="AP298" s="85">
        <v>153</v>
      </c>
      <c r="AQ298" s="86">
        <v>164</v>
      </c>
      <c r="AR298" s="87">
        <v>234</v>
      </c>
      <c r="AS298" s="87">
        <v>161</v>
      </c>
      <c r="AT298" s="87">
        <v>99</v>
      </c>
      <c r="AU298" s="87">
        <v>109</v>
      </c>
      <c r="AV298" s="87">
        <v>142</v>
      </c>
      <c r="AW298" s="87">
        <v>97</v>
      </c>
      <c r="AX298" s="87">
        <v>145</v>
      </c>
      <c r="AY298" s="87">
        <v>122</v>
      </c>
      <c r="AZ298" s="87">
        <v>46</v>
      </c>
      <c r="BA298" s="87">
        <v>14</v>
      </c>
      <c r="BB298" s="87">
        <v>12</v>
      </c>
      <c r="BC298" s="86">
        <v>5</v>
      </c>
      <c r="BD298" s="87">
        <v>4</v>
      </c>
      <c r="BE298" s="87">
        <v>0</v>
      </c>
      <c r="BF298" s="87">
        <v>0</v>
      </c>
      <c r="BG298" s="87">
        <v>0</v>
      </c>
      <c r="BH298" s="87">
        <v>0</v>
      </c>
      <c r="BI298" s="87">
        <v>0</v>
      </c>
      <c r="BJ298" s="40">
        <v>0</v>
      </c>
      <c r="BK298" s="40">
        <v>0</v>
      </c>
      <c r="BL298" s="40">
        <v>0</v>
      </c>
      <c r="BM298" s="40">
        <v>0</v>
      </c>
      <c r="BN298" s="87"/>
      <c r="BO298" s="86"/>
      <c r="BP298" s="21">
        <v>38</v>
      </c>
      <c r="BQ298" s="21">
        <v>15</v>
      </c>
      <c r="BR298" s="21">
        <v>34</v>
      </c>
      <c r="BS298" s="21">
        <v>49</v>
      </c>
      <c r="BT298" s="21">
        <v>33</v>
      </c>
      <c r="BU298" s="42">
        <v>76</v>
      </c>
      <c r="BV298" s="21">
        <v>161</v>
      </c>
      <c r="BW298" s="21">
        <v>53</v>
      </c>
      <c r="BX298" s="21">
        <v>49</v>
      </c>
      <c r="BY298" s="21">
        <v>29</v>
      </c>
      <c r="BZ298" s="21">
        <v>48</v>
      </c>
      <c r="CA298" s="21">
        <v>6</v>
      </c>
      <c r="CB298" s="21">
        <v>0</v>
      </c>
      <c r="CC298" s="21">
        <v>0</v>
      </c>
      <c r="CD298" s="21">
        <v>0</v>
      </c>
      <c r="CE298" s="21">
        <v>0</v>
      </c>
      <c r="CF298" s="21">
        <v>0</v>
      </c>
      <c r="CG298" s="42">
        <v>0</v>
      </c>
      <c r="CH298" s="21">
        <v>0</v>
      </c>
      <c r="CI298" s="21">
        <v>0</v>
      </c>
      <c r="CJ298" s="21">
        <v>0</v>
      </c>
      <c r="CK298" s="21">
        <v>0</v>
      </c>
      <c r="CL298" s="21">
        <v>0</v>
      </c>
      <c r="CM298" s="21">
        <v>0</v>
      </c>
      <c r="CN298" s="21">
        <v>0</v>
      </c>
      <c r="CO298" s="21">
        <v>0</v>
      </c>
      <c r="CP298" s="21">
        <f t="shared" si="471"/>
        <v>0</v>
      </c>
      <c r="CQ298" s="344">
        <f t="shared" si="472"/>
        <v>0</v>
      </c>
      <c r="CR298" s="87"/>
      <c r="CS298" s="86"/>
      <c r="CT298" s="85">
        <f t="shared" si="505"/>
        <v>136</v>
      </c>
      <c r="CU298" s="85">
        <f t="shared" si="506"/>
        <v>149</v>
      </c>
      <c r="CV298" s="85">
        <f t="shared" si="507"/>
        <v>149</v>
      </c>
      <c r="CW298" s="85">
        <f t="shared" si="508"/>
        <v>205</v>
      </c>
      <c r="CX298" s="85">
        <f t="shared" si="509"/>
        <v>186</v>
      </c>
      <c r="CY298" s="86">
        <f t="shared" si="510"/>
        <v>240</v>
      </c>
      <c r="CZ298" s="87">
        <f t="shared" si="511"/>
        <v>395</v>
      </c>
      <c r="DA298" s="87">
        <f t="shared" si="512"/>
        <v>214</v>
      </c>
      <c r="DB298" s="87">
        <f t="shared" si="513"/>
        <v>148</v>
      </c>
      <c r="DC298" s="87">
        <f t="shared" si="514"/>
        <v>138</v>
      </c>
      <c r="DD298" s="87">
        <f t="shared" si="515"/>
        <v>190</v>
      </c>
      <c r="DE298" s="87">
        <f t="shared" si="516"/>
        <v>103</v>
      </c>
      <c r="DF298" s="87">
        <f t="shared" si="517"/>
        <v>145</v>
      </c>
      <c r="DG298" s="87">
        <f t="shared" si="518"/>
        <v>122</v>
      </c>
      <c r="DH298" s="87">
        <f t="shared" si="519"/>
        <v>46</v>
      </c>
      <c r="DI298" s="87">
        <f t="shared" si="520"/>
        <v>14</v>
      </c>
      <c r="DJ298" s="87">
        <f t="shared" si="521"/>
        <v>12</v>
      </c>
      <c r="DK298" s="86">
        <f t="shared" si="522"/>
        <v>5</v>
      </c>
      <c r="DL298" s="87">
        <f t="shared" si="523"/>
        <v>4</v>
      </c>
      <c r="DM298" s="87">
        <f t="shared" si="524"/>
        <v>0</v>
      </c>
      <c r="DN298" s="87">
        <f t="shared" si="525"/>
        <v>0</v>
      </c>
      <c r="DO298" s="87">
        <f t="shared" si="526"/>
        <v>0</v>
      </c>
      <c r="DP298" s="87">
        <f t="shared" si="527"/>
        <v>0</v>
      </c>
      <c r="DQ298" s="87">
        <f t="shared" si="528"/>
        <v>0</v>
      </c>
      <c r="DR298" s="87">
        <f t="shared" si="533"/>
        <v>0</v>
      </c>
      <c r="DS298" s="87">
        <f t="shared" si="440"/>
        <v>0</v>
      </c>
      <c r="DT298" s="87">
        <f t="shared" si="529"/>
        <v>0</v>
      </c>
      <c r="DU298" s="87">
        <f t="shared" si="530"/>
        <v>0</v>
      </c>
      <c r="DV298" s="87">
        <f t="shared" si="531"/>
        <v>0</v>
      </c>
      <c r="DW298" s="87">
        <f t="shared" si="532"/>
        <v>0</v>
      </c>
    </row>
    <row r="299" spans="1:127">
      <c r="A299" s="22" t="s">
        <v>22</v>
      </c>
      <c r="B299" s="26">
        <v>889714001882</v>
      </c>
      <c r="C299" s="22" t="s">
        <v>118</v>
      </c>
      <c r="D299" s="22" t="s">
        <v>122</v>
      </c>
      <c r="E299" s="22">
        <v>131236</v>
      </c>
      <c r="F299" s="80" t="s">
        <v>391</v>
      </c>
      <c r="G299" s="25">
        <v>927.9</v>
      </c>
      <c r="H299" s="85">
        <f t="shared" si="441"/>
        <v>0</v>
      </c>
      <c r="I299" s="85">
        <f t="shared" si="442"/>
        <v>0</v>
      </c>
      <c r="J299" s="85">
        <f t="shared" si="443"/>
        <v>0</v>
      </c>
      <c r="K299" s="85">
        <f t="shared" si="444"/>
        <v>0</v>
      </c>
      <c r="L299" s="85">
        <f t="shared" si="445"/>
        <v>0</v>
      </c>
      <c r="M299" s="86">
        <f t="shared" si="446"/>
        <v>0</v>
      </c>
      <c r="N299" s="87">
        <f t="shared" si="447"/>
        <v>0</v>
      </c>
      <c r="O299" s="87">
        <f t="shared" si="448"/>
        <v>0</v>
      </c>
      <c r="P299" s="87">
        <f t="shared" si="449"/>
        <v>0</v>
      </c>
      <c r="Q299" s="87">
        <f t="shared" si="450"/>
        <v>0</v>
      </c>
      <c r="R299" s="87">
        <f t="shared" si="451"/>
        <v>0</v>
      </c>
      <c r="S299" s="87">
        <f t="shared" si="452"/>
        <v>0</v>
      </c>
      <c r="T299" s="87">
        <f t="shared" si="453"/>
        <v>0</v>
      </c>
      <c r="U299" s="87">
        <f t="shared" si="454"/>
        <v>0</v>
      </c>
      <c r="V299" s="87">
        <f t="shared" si="455"/>
        <v>0</v>
      </c>
      <c r="W299" s="87">
        <f t="shared" si="456"/>
        <v>0</v>
      </c>
      <c r="X299" s="87">
        <f t="shared" si="457"/>
        <v>0</v>
      </c>
      <c r="Y299" s="86">
        <f t="shared" si="458"/>
        <v>0</v>
      </c>
      <c r="Z299" s="87">
        <f t="shared" si="459"/>
        <v>0</v>
      </c>
      <c r="AA299" s="87">
        <f t="shared" si="460"/>
        <v>0</v>
      </c>
      <c r="AB299" s="87">
        <f t="shared" si="461"/>
        <v>0</v>
      </c>
      <c r="AC299" s="87">
        <f t="shared" si="462"/>
        <v>0</v>
      </c>
      <c r="AD299" s="87">
        <f t="shared" si="463"/>
        <v>0</v>
      </c>
      <c r="AE299" s="87">
        <f t="shared" si="464"/>
        <v>0</v>
      </c>
      <c r="AF299" s="87">
        <f t="shared" si="465"/>
        <v>0</v>
      </c>
      <c r="AG299" s="87">
        <f t="shared" si="466"/>
        <v>0</v>
      </c>
      <c r="AH299" s="87">
        <f t="shared" si="501"/>
        <v>0</v>
      </c>
      <c r="AI299" s="87">
        <f t="shared" si="502"/>
        <v>0</v>
      </c>
      <c r="AJ299" s="87">
        <f t="shared" si="503"/>
        <v>0</v>
      </c>
      <c r="AK299" s="86">
        <f t="shared" si="504"/>
        <v>0</v>
      </c>
      <c r="AL299" s="85">
        <v>0</v>
      </c>
      <c r="AM299" s="85">
        <v>0</v>
      </c>
      <c r="AN299" s="85">
        <v>0</v>
      </c>
      <c r="AO299" s="85">
        <v>0</v>
      </c>
      <c r="AP299" s="85">
        <v>0</v>
      </c>
      <c r="AQ299" s="86">
        <v>0</v>
      </c>
      <c r="AR299" s="87">
        <v>0</v>
      </c>
      <c r="AS299" s="87">
        <v>0</v>
      </c>
      <c r="AT299" s="87">
        <v>0</v>
      </c>
      <c r="AU299" s="87">
        <v>0</v>
      </c>
      <c r="AV299" s="87">
        <v>0</v>
      </c>
      <c r="AW299" s="87">
        <v>0</v>
      </c>
      <c r="AX299" s="87">
        <v>0</v>
      </c>
      <c r="AY299" s="87">
        <v>0</v>
      </c>
      <c r="AZ299" s="87">
        <v>0</v>
      </c>
      <c r="BA299" s="87">
        <v>0</v>
      </c>
      <c r="BB299" s="87">
        <v>0</v>
      </c>
      <c r="BC299" s="86">
        <v>0</v>
      </c>
      <c r="BD299" s="87">
        <v>0</v>
      </c>
      <c r="BE299" s="87">
        <v>0</v>
      </c>
      <c r="BF299" s="87">
        <v>0</v>
      </c>
      <c r="BG299" s="87">
        <v>0</v>
      </c>
      <c r="BH299" s="87">
        <v>0</v>
      </c>
      <c r="BI299" s="87">
        <v>0</v>
      </c>
      <c r="BJ299" s="40">
        <v>0</v>
      </c>
      <c r="BK299" s="40">
        <v>0</v>
      </c>
      <c r="BL299" s="40">
        <v>0</v>
      </c>
      <c r="BM299" s="40" t="s">
        <v>768</v>
      </c>
      <c r="BN299" s="87"/>
      <c r="BO299" s="86"/>
      <c r="BP299" s="21">
        <v>0</v>
      </c>
      <c r="BQ299" s="21">
        <v>0</v>
      </c>
      <c r="BR299" s="21">
        <v>0</v>
      </c>
      <c r="BS299" s="21">
        <v>0</v>
      </c>
      <c r="BT299" s="21">
        <v>0</v>
      </c>
      <c r="BU299" s="42">
        <v>0</v>
      </c>
      <c r="BV299" s="21">
        <v>0</v>
      </c>
      <c r="BW299" s="21">
        <v>0</v>
      </c>
      <c r="BX299" s="21">
        <v>0</v>
      </c>
      <c r="BY299" s="21">
        <v>0</v>
      </c>
      <c r="BZ299" s="21">
        <v>0</v>
      </c>
      <c r="CA299" s="21">
        <v>0</v>
      </c>
      <c r="CB299" s="21">
        <v>0</v>
      </c>
      <c r="CC299" s="21">
        <v>0</v>
      </c>
      <c r="CD299" s="21">
        <v>0</v>
      </c>
      <c r="CE299" s="21">
        <v>0</v>
      </c>
      <c r="CF299" s="21">
        <v>0</v>
      </c>
      <c r="CG299" s="42">
        <v>0</v>
      </c>
      <c r="CH299" s="21">
        <v>0</v>
      </c>
      <c r="CI299" s="21">
        <v>0</v>
      </c>
      <c r="CJ299" s="21">
        <v>0</v>
      </c>
      <c r="CK299" s="21">
        <v>0</v>
      </c>
      <c r="CL299" s="21">
        <v>0</v>
      </c>
      <c r="CM299" s="21">
        <v>0</v>
      </c>
      <c r="CN299" s="21">
        <v>0</v>
      </c>
      <c r="CO299" s="21">
        <v>0</v>
      </c>
      <c r="CP299" s="21">
        <f t="shared" si="471"/>
        <v>0</v>
      </c>
      <c r="CQ299" s="344">
        <f t="shared" si="472"/>
        <v>0</v>
      </c>
      <c r="CR299" s="87"/>
      <c r="CS299" s="86"/>
      <c r="CT299" s="85">
        <f t="shared" si="505"/>
        <v>0</v>
      </c>
      <c r="CU299" s="85">
        <f t="shared" si="506"/>
        <v>0</v>
      </c>
      <c r="CV299" s="85">
        <f t="shared" si="507"/>
        <v>0</v>
      </c>
      <c r="CW299" s="85">
        <f t="shared" si="508"/>
        <v>0</v>
      </c>
      <c r="CX299" s="85">
        <f t="shared" si="509"/>
        <v>0</v>
      </c>
      <c r="CY299" s="86">
        <f t="shared" si="510"/>
        <v>0</v>
      </c>
      <c r="CZ299" s="87">
        <f t="shared" si="511"/>
        <v>0</v>
      </c>
      <c r="DA299" s="87">
        <f t="shared" si="512"/>
        <v>0</v>
      </c>
      <c r="DB299" s="87">
        <f t="shared" si="513"/>
        <v>0</v>
      </c>
      <c r="DC299" s="87">
        <f t="shared" si="514"/>
        <v>0</v>
      </c>
      <c r="DD299" s="87">
        <f t="shared" si="515"/>
        <v>0</v>
      </c>
      <c r="DE299" s="87">
        <f t="shared" si="516"/>
        <v>0</v>
      </c>
      <c r="DF299" s="87">
        <f t="shared" si="517"/>
        <v>0</v>
      </c>
      <c r="DG299" s="87">
        <f t="shared" si="518"/>
        <v>0</v>
      </c>
      <c r="DH299" s="87">
        <f t="shared" si="519"/>
        <v>0</v>
      </c>
      <c r="DI299" s="87">
        <f t="shared" si="520"/>
        <v>0</v>
      </c>
      <c r="DJ299" s="87">
        <f t="shared" si="521"/>
        <v>0</v>
      </c>
      <c r="DK299" s="86">
        <f t="shared" si="522"/>
        <v>0</v>
      </c>
      <c r="DL299" s="87">
        <f t="shared" si="523"/>
        <v>0</v>
      </c>
      <c r="DM299" s="87">
        <f t="shared" si="524"/>
        <v>0</v>
      </c>
      <c r="DN299" s="87">
        <f t="shared" si="525"/>
        <v>0</v>
      </c>
      <c r="DO299" s="87">
        <f t="shared" si="526"/>
        <v>0</v>
      </c>
      <c r="DP299" s="87">
        <f t="shared" si="527"/>
        <v>0</v>
      </c>
      <c r="DQ299" s="87">
        <f t="shared" si="528"/>
        <v>0</v>
      </c>
      <c r="DR299" s="87">
        <f t="shared" si="533"/>
        <v>0</v>
      </c>
      <c r="DS299" s="87">
        <f t="shared" ref="DS299:DT362" si="534">BK299+CO299</f>
        <v>0</v>
      </c>
      <c r="DT299" s="87">
        <f t="shared" si="529"/>
        <v>0</v>
      </c>
      <c r="DU299" s="87">
        <f t="shared" si="530"/>
        <v>0</v>
      </c>
      <c r="DV299" s="87">
        <f t="shared" si="531"/>
        <v>0</v>
      </c>
      <c r="DW299" s="87">
        <f t="shared" si="532"/>
        <v>0</v>
      </c>
    </row>
    <row r="300" spans="1:127">
      <c r="A300" s="22" t="s">
        <v>22</v>
      </c>
      <c r="B300" s="26">
        <v>4987176191540</v>
      </c>
      <c r="C300" s="22" t="s">
        <v>118</v>
      </c>
      <c r="D300" s="22" t="s">
        <v>120</v>
      </c>
      <c r="E300" s="22">
        <v>117305</v>
      </c>
      <c r="F300" s="80" t="s">
        <v>392</v>
      </c>
      <c r="G300" s="25">
        <v>116</v>
      </c>
      <c r="H300" s="85">
        <f t="shared" si="441"/>
        <v>377696</v>
      </c>
      <c r="I300" s="85">
        <f t="shared" si="442"/>
        <v>412148</v>
      </c>
      <c r="J300" s="85">
        <f t="shared" si="443"/>
        <v>421776</v>
      </c>
      <c r="K300" s="85">
        <f t="shared" si="444"/>
        <v>348232</v>
      </c>
      <c r="L300" s="85">
        <f t="shared" si="445"/>
        <v>380828</v>
      </c>
      <c r="M300" s="86">
        <f t="shared" si="446"/>
        <v>329788</v>
      </c>
      <c r="N300" s="87">
        <f t="shared" si="447"/>
        <v>211236</v>
      </c>
      <c r="O300" s="87">
        <f t="shared" si="448"/>
        <v>333384</v>
      </c>
      <c r="P300" s="87">
        <f t="shared" si="449"/>
        <v>187456</v>
      </c>
      <c r="Q300" s="87">
        <f t="shared" si="450"/>
        <v>234436</v>
      </c>
      <c r="R300" s="87">
        <f t="shared" si="451"/>
        <v>451820</v>
      </c>
      <c r="S300" s="87">
        <f t="shared" si="452"/>
        <v>234436</v>
      </c>
      <c r="T300" s="87">
        <f t="shared" si="453"/>
        <v>213672</v>
      </c>
      <c r="U300" s="87">
        <f t="shared" si="454"/>
        <v>179916</v>
      </c>
      <c r="V300" s="87">
        <f t="shared" si="455"/>
        <v>143956</v>
      </c>
      <c r="W300" s="87">
        <f t="shared" si="456"/>
        <v>132008</v>
      </c>
      <c r="X300" s="87">
        <f t="shared" si="457"/>
        <v>212048</v>
      </c>
      <c r="Y300" s="86">
        <f t="shared" si="458"/>
        <v>174580</v>
      </c>
      <c r="Z300" s="87">
        <f t="shared" si="459"/>
        <v>206364</v>
      </c>
      <c r="AA300" s="87">
        <f t="shared" si="460"/>
        <v>210888</v>
      </c>
      <c r="AB300" s="87">
        <f t="shared" si="461"/>
        <v>154280</v>
      </c>
      <c r="AC300" s="232">
        <f t="shared" si="462"/>
        <v>1559852</v>
      </c>
      <c r="AD300" s="232">
        <f t="shared" si="463"/>
        <v>1985456</v>
      </c>
      <c r="AE300" s="87">
        <f t="shared" si="464"/>
        <v>346492</v>
      </c>
      <c r="AF300" s="87">
        <f t="shared" si="465"/>
        <v>270512</v>
      </c>
      <c r="AG300" s="87">
        <f t="shared" si="466"/>
        <v>265872</v>
      </c>
      <c r="AH300" s="87">
        <f t="shared" si="501"/>
        <v>295336</v>
      </c>
      <c r="AI300" s="87">
        <f t="shared" si="502"/>
        <v>375427.55555555556</v>
      </c>
      <c r="AJ300" s="87">
        <f t="shared" si="503"/>
        <v>0</v>
      </c>
      <c r="AK300" s="86">
        <f t="shared" si="504"/>
        <v>0</v>
      </c>
      <c r="AL300" s="85">
        <v>3256</v>
      </c>
      <c r="AM300" s="85">
        <v>3553</v>
      </c>
      <c r="AN300" s="85">
        <v>3636</v>
      </c>
      <c r="AO300" s="85">
        <v>3002</v>
      </c>
      <c r="AP300" s="85">
        <v>3283</v>
      </c>
      <c r="AQ300" s="86">
        <v>2843</v>
      </c>
      <c r="AR300" s="87">
        <v>1821</v>
      </c>
      <c r="AS300" s="87">
        <v>2874</v>
      </c>
      <c r="AT300" s="87">
        <v>1616</v>
      </c>
      <c r="AU300" s="87">
        <v>2021</v>
      </c>
      <c r="AV300" s="87">
        <v>3895</v>
      </c>
      <c r="AW300" s="87">
        <v>1983</v>
      </c>
      <c r="AX300" s="87">
        <v>1796</v>
      </c>
      <c r="AY300" s="87">
        <v>1319</v>
      </c>
      <c r="AZ300" s="87">
        <v>1132</v>
      </c>
      <c r="BA300" s="87">
        <v>1060</v>
      </c>
      <c r="BB300" s="87">
        <v>1625</v>
      </c>
      <c r="BC300" s="86">
        <v>1464</v>
      </c>
      <c r="BD300" s="87">
        <v>1712</v>
      </c>
      <c r="BE300" s="87">
        <v>1759</v>
      </c>
      <c r="BF300" s="87">
        <v>1296</v>
      </c>
      <c r="BG300" s="87">
        <v>11912</v>
      </c>
      <c r="BH300" s="87">
        <v>16906</v>
      </c>
      <c r="BI300" s="87">
        <v>2939</v>
      </c>
      <c r="BJ300" s="40">
        <v>2260</v>
      </c>
      <c r="BK300" s="40">
        <v>2272</v>
      </c>
      <c r="BL300" s="40">
        <v>2526</v>
      </c>
      <c r="BM300" s="40">
        <v>3007</v>
      </c>
      <c r="BN300" s="87"/>
      <c r="BO300" s="86"/>
      <c r="BP300" s="21">
        <v>0</v>
      </c>
      <c r="BQ300" s="21">
        <v>0</v>
      </c>
      <c r="BR300" s="21">
        <v>0</v>
      </c>
      <c r="BS300" s="21">
        <v>0</v>
      </c>
      <c r="BT300" s="21">
        <v>0</v>
      </c>
      <c r="BU300" s="42">
        <v>0</v>
      </c>
      <c r="BV300" s="21">
        <v>0</v>
      </c>
      <c r="BW300" s="21">
        <v>0</v>
      </c>
      <c r="BX300" s="21">
        <v>0</v>
      </c>
      <c r="BY300" s="21">
        <v>0</v>
      </c>
      <c r="BZ300" s="21">
        <v>0</v>
      </c>
      <c r="CA300" s="21">
        <v>38</v>
      </c>
      <c r="CB300" s="21">
        <v>46</v>
      </c>
      <c r="CC300" s="21">
        <v>232</v>
      </c>
      <c r="CD300" s="21">
        <v>109</v>
      </c>
      <c r="CE300" s="21">
        <v>78</v>
      </c>
      <c r="CF300" s="21">
        <v>203</v>
      </c>
      <c r="CG300" s="42">
        <v>41</v>
      </c>
      <c r="CH300" s="21">
        <v>67</v>
      </c>
      <c r="CI300" s="21">
        <v>59</v>
      </c>
      <c r="CJ300" s="21">
        <v>34</v>
      </c>
      <c r="CK300" s="21">
        <v>1535</v>
      </c>
      <c r="CL300" s="21">
        <v>210</v>
      </c>
      <c r="CM300" s="21">
        <v>48</v>
      </c>
      <c r="CN300" s="21">
        <v>72</v>
      </c>
      <c r="CO300" s="21">
        <v>20</v>
      </c>
      <c r="CP300" s="21">
        <f t="shared" si="471"/>
        <v>20</v>
      </c>
      <c r="CQ300" s="344">
        <f t="shared" si="472"/>
        <v>229.44444444444446</v>
      </c>
      <c r="CR300" s="87"/>
      <c r="CS300" s="86"/>
      <c r="CT300" s="85">
        <f t="shared" si="505"/>
        <v>3256</v>
      </c>
      <c r="CU300" s="85">
        <f t="shared" si="506"/>
        <v>3553</v>
      </c>
      <c r="CV300" s="85">
        <f t="shared" si="507"/>
        <v>3636</v>
      </c>
      <c r="CW300" s="85">
        <f t="shared" si="508"/>
        <v>3002</v>
      </c>
      <c r="CX300" s="85">
        <f t="shared" si="509"/>
        <v>3283</v>
      </c>
      <c r="CY300" s="86">
        <f t="shared" si="510"/>
        <v>2843</v>
      </c>
      <c r="CZ300" s="87">
        <f t="shared" si="511"/>
        <v>1821</v>
      </c>
      <c r="DA300" s="87">
        <f t="shared" si="512"/>
        <v>2874</v>
      </c>
      <c r="DB300" s="87">
        <f t="shared" si="513"/>
        <v>1616</v>
      </c>
      <c r="DC300" s="87">
        <f t="shared" si="514"/>
        <v>2021</v>
      </c>
      <c r="DD300" s="87">
        <f t="shared" si="515"/>
        <v>3895</v>
      </c>
      <c r="DE300" s="87">
        <f t="shared" si="516"/>
        <v>2021</v>
      </c>
      <c r="DF300" s="87">
        <f t="shared" si="517"/>
        <v>1842</v>
      </c>
      <c r="DG300" s="87">
        <f t="shared" si="518"/>
        <v>1551</v>
      </c>
      <c r="DH300" s="87">
        <f t="shared" si="519"/>
        <v>1241</v>
      </c>
      <c r="DI300" s="87">
        <f t="shared" si="520"/>
        <v>1138</v>
      </c>
      <c r="DJ300" s="87">
        <f t="shared" si="521"/>
        <v>1828</v>
      </c>
      <c r="DK300" s="86">
        <f t="shared" si="522"/>
        <v>1505</v>
      </c>
      <c r="DL300" s="87">
        <f t="shared" si="523"/>
        <v>1779</v>
      </c>
      <c r="DM300" s="87">
        <f t="shared" si="524"/>
        <v>1818</v>
      </c>
      <c r="DN300" s="87">
        <f t="shared" si="525"/>
        <v>1330</v>
      </c>
      <c r="DO300" s="232">
        <f t="shared" si="526"/>
        <v>13447</v>
      </c>
      <c r="DP300" s="232">
        <f t="shared" si="527"/>
        <v>17116</v>
      </c>
      <c r="DQ300" s="87">
        <f t="shared" si="528"/>
        <v>2987</v>
      </c>
      <c r="DR300" s="87">
        <f t="shared" si="533"/>
        <v>2332</v>
      </c>
      <c r="DS300" s="87">
        <f t="shared" si="534"/>
        <v>2292</v>
      </c>
      <c r="DT300" s="87">
        <f t="shared" si="529"/>
        <v>2546</v>
      </c>
      <c r="DU300" s="87">
        <f t="shared" si="530"/>
        <v>3236.4444444444443</v>
      </c>
      <c r="DV300" s="87">
        <f t="shared" si="531"/>
        <v>0</v>
      </c>
      <c r="DW300" s="87">
        <f t="shared" si="532"/>
        <v>0</v>
      </c>
    </row>
    <row r="301" spans="1:127">
      <c r="A301" s="22" t="s">
        <v>22</v>
      </c>
      <c r="B301" s="26">
        <v>4987176191557</v>
      </c>
      <c r="C301" s="22" t="s">
        <v>118</v>
      </c>
      <c r="D301" s="22" t="s">
        <v>120</v>
      </c>
      <c r="E301" s="22">
        <v>117319</v>
      </c>
      <c r="F301" s="80" t="s">
        <v>393</v>
      </c>
      <c r="G301" s="25">
        <v>116</v>
      </c>
      <c r="H301" s="85">
        <f t="shared" si="441"/>
        <v>190704</v>
      </c>
      <c r="I301" s="85">
        <f t="shared" si="442"/>
        <v>194880</v>
      </c>
      <c r="J301" s="85">
        <f t="shared" si="443"/>
        <v>197780</v>
      </c>
      <c r="K301" s="85">
        <f t="shared" si="444"/>
        <v>171564</v>
      </c>
      <c r="L301" s="85">
        <f t="shared" si="445"/>
        <v>180380</v>
      </c>
      <c r="M301" s="86">
        <f t="shared" si="446"/>
        <v>165764</v>
      </c>
      <c r="N301" s="87">
        <f t="shared" si="447"/>
        <v>99992</v>
      </c>
      <c r="O301" s="87">
        <f t="shared" si="448"/>
        <v>168548</v>
      </c>
      <c r="P301" s="87">
        <f t="shared" si="449"/>
        <v>78068</v>
      </c>
      <c r="Q301" s="87">
        <f t="shared" si="450"/>
        <v>109504</v>
      </c>
      <c r="R301" s="87">
        <f t="shared" si="451"/>
        <v>203464</v>
      </c>
      <c r="S301" s="87">
        <f t="shared" si="452"/>
        <v>93844</v>
      </c>
      <c r="T301" s="87">
        <f t="shared" si="453"/>
        <v>85492</v>
      </c>
      <c r="U301" s="87">
        <f t="shared" si="454"/>
        <v>76444</v>
      </c>
      <c r="V301" s="87">
        <f t="shared" si="455"/>
        <v>63104</v>
      </c>
      <c r="W301" s="87">
        <f t="shared" si="456"/>
        <v>49996</v>
      </c>
      <c r="X301" s="87">
        <f t="shared" si="457"/>
        <v>77488</v>
      </c>
      <c r="Y301" s="86">
        <f t="shared" si="458"/>
        <v>65540</v>
      </c>
      <c r="Z301" s="87">
        <f t="shared" si="459"/>
        <v>66468</v>
      </c>
      <c r="AA301" s="87">
        <f t="shared" si="460"/>
        <v>65772</v>
      </c>
      <c r="AB301" s="87">
        <f t="shared" si="461"/>
        <v>47792</v>
      </c>
      <c r="AC301" s="87">
        <f t="shared" si="462"/>
        <v>78648</v>
      </c>
      <c r="AD301" s="87">
        <f t="shared" si="463"/>
        <v>46168</v>
      </c>
      <c r="AE301" s="87">
        <f t="shared" si="464"/>
        <v>69484</v>
      </c>
      <c r="AF301" s="87">
        <f t="shared" si="465"/>
        <v>55796</v>
      </c>
      <c r="AG301" s="87">
        <f t="shared" si="466"/>
        <v>48720</v>
      </c>
      <c r="AH301" s="87">
        <f t="shared" si="501"/>
        <v>57188</v>
      </c>
      <c r="AI301" s="87">
        <f t="shared" si="502"/>
        <v>66506.666666666672</v>
      </c>
      <c r="AJ301" s="87">
        <f t="shared" si="503"/>
        <v>0</v>
      </c>
      <c r="AK301" s="86">
        <f t="shared" si="504"/>
        <v>0</v>
      </c>
      <c r="AL301" s="85">
        <v>1644</v>
      </c>
      <c r="AM301" s="85">
        <v>1680</v>
      </c>
      <c r="AN301" s="85">
        <v>1705</v>
      </c>
      <c r="AO301" s="85">
        <v>1479</v>
      </c>
      <c r="AP301" s="85">
        <v>1555</v>
      </c>
      <c r="AQ301" s="86">
        <v>1429</v>
      </c>
      <c r="AR301" s="87">
        <v>862</v>
      </c>
      <c r="AS301" s="87">
        <v>1453</v>
      </c>
      <c r="AT301" s="87">
        <v>673</v>
      </c>
      <c r="AU301" s="87">
        <v>944</v>
      </c>
      <c r="AV301" s="87">
        <v>1754</v>
      </c>
      <c r="AW301" s="87">
        <v>802</v>
      </c>
      <c r="AX301" s="87">
        <v>728</v>
      </c>
      <c r="AY301" s="87">
        <v>606</v>
      </c>
      <c r="AZ301" s="87">
        <v>523</v>
      </c>
      <c r="BA301" s="87">
        <v>420</v>
      </c>
      <c r="BB301" s="87">
        <v>614</v>
      </c>
      <c r="BC301" s="86">
        <v>554</v>
      </c>
      <c r="BD301" s="87">
        <v>554</v>
      </c>
      <c r="BE301" s="87">
        <v>556</v>
      </c>
      <c r="BF301" s="87">
        <v>391</v>
      </c>
      <c r="BG301" s="87">
        <v>659</v>
      </c>
      <c r="BH301" s="87">
        <v>368</v>
      </c>
      <c r="BI301" s="87">
        <v>586</v>
      </c>
      <c r="BJ301" s="40">
        <v>459</v>
      </c>
      <c r="BK301" s="40">
        <v>414</v>
      </c>
      <c r="BL301" s="40">
        <v>487</v>
      </c>
      <c r="BM301" s="40">
        <v>557</v>
      </c>
      <c r="BN301" s="87"/>
      <c r="BO301" s="86"/>
      <c r="BP301" s="21">
        <v>0</v>
      </c>
      <c r="BQ301" s="21">
        <v>0</v>
      </c>
      <c r="BR301" s="21">
        <v>0</v>
      </c>
      <c r="BS301" s="21">
        <v>0</v>
      </c>
      <c r="BT301" s="21">
        <v>0</v>
      </c>
      <c r="BU301" s="42">
        <v>0</v>
      </c>
      <c r="BV301" s="21">
        <v>0</v>
      </c>
      <c r="BW301" s="21">
        <v>0</v>
      </c>
      <c r="BX301" s="21">
        <v>0</v>
      </c>
      <c r="BY301" s="21">
        <v>0</v>
      </c>
      <c r="BZ301" s="21">
        <v>0</v>
      </c>
      <c r="CA301" s="21">
        <v>7</v>
      </c>
      <c r="CB301" s="21">
        <v>9</v>
      </c>
      <c r="CC301" s="21">
        <v>53</v>
      </c>
      <c r="CD301" s="21">
        <v>21</v>
      </c>
      <c r="CE301" s="21">
        <v>11</v>
      </c>
      <c r="CF301" s="21">
        <v>54</v>
      </c>
      <c r="CG301" s="42">
        <v>11</v>
      </c>
      <c r="CH301" s="21">
        <v>19</v>
      </c>
      <c r="CI301" s="21">
        <v>11</v>
      </c>
      <c r="CJ301" s="21">
        <v>21</v>
      </c>
      <c r="CK301" s="21">
        <v>19</v>
      </c>
      <c r="CL301" s="21">
        <v>30</v>
      </c>
      <c r="CM301" s="21">
        <v>13</v>
      </c>
      <c r="CN301" s="21">
        <v>22</v>
      </c>
      <c r="CO301" s="21">
        <v>6</v>
      </c>
      <c r="CP301" s="21">
        <f t="shared" si="471"/>
        <v>6</v>
      </c>
      <c r="CQ301" s="344">
        <f t="shared" si="472"/>
        <v>16.333333333333332</v>
      </c>
      <c r="CR301" s="87"/>
      <c r="CS301" s="86"/>
      <c r="CT301" s="85">
        <f t="shared" si="505"/>
        <v>1644</v>
      </c>
      <c r="CU301" s="85">
        <f t="shared" si="506"/>
        <v>1680</v>
      </c>
      <c r="CV301" s="85">
        <f t="shared" si="507"/>
        <v>1705</v>
      </c>
      <c r="CW301" s="85">
        <f t="shared" si="508"/>
        <v>1479</v>
      </c>
      <c r="CX301" s="85">
        <f t="shared" si="509"/>
        <v>1555</v>
      </c>
      <c r="CY301" s="86">
        <f t="shared" si="510"/>
        <v>1429</v>
      </c>
      <c r="CZ301" s="87">
        <f t="shared" si="511"/>
        <v>862</v>
      </c>
      <c r="DA301" s="87">
        <f t="shared" si="512"/>
        <v>1453</v>
      </c>
      <c r="DB301" s="87">
        <f t="shared" si="513"/>
        <v>673</v>
      </c>
      <c r="DC301" s="87">
        <f t="shared" si="514"/>
        <v>944</v>
      </c>
      <c r="DD301" s="87">
        <f t="shared" si="515"/>
        <v>1754</v>
      </c>
      <c r="DE301" s="87">
        <f t="shared" si="516"/>
        <v>809</v>
      </c>
      <c r="DF301" s="87">
        <f t="shared" si="517"/>
        <v>737</v>
      </c>
      <c r="DG301" s="87">
        <f t="shared" si="518"/>
        <v>659</v>
      </c>
      <c r="DH301" s="87">
        <f t="shared" si="519"/>
        <v>544</v>
      </c>
      <c r="DI301" s="87">
        <f t="shared" si="520"/>
        <v>431</v>
      </c>
      <c r="DJ301" s="87">
        <f t="shared" si="521"/>
        <v>668</v>
      </c>
      <c r="DK301" s="86">
        <f t="shared" si="522"/>
        <v>565</v>
      </c>
      <c r="DL301" s="87">
        <f t="shared" si="523"/>
        <v>573</v>
      </c>
      <c r="DM301" s="87">
        <f t="shared" si="524"/>
        <v>567</v>
      </c>
      <c r="DN301" s="87">
        <f t="shared" si="525"/>
        <v>412</v>
      </c>
      <c r="DO301" s="87">
        <f t="shared" si="526"/>
        <v>678</v>
      </c>
      <c r="DP301" s="87">
        <f t="shared" si="527"/>
        <v>398</v>
      </c>
      <c r="DQ301" s="87">
        <f t="shared" si="528"/>
        <v>599</v>
      </c>
      <c r="DR301" s="87">
        <f t="shared" si="533"/>
        <v>481</v>
      </c>
      <c r="DS301" s="87">
        <f t="shared" si="534"/>
        <v>420</v>
      </c>
      <c r="DT301" s="87">
        <f t="shared" si="529"/>
        <v>493</v>
      </c>
      <c r="DU301" s="87">
        <f t="shared" si="530"/>
        <v>573.33333333333337</v>
      </c>
      <c r="DV301" s="87">
        <f t="shared" si="531"/>
        <v>0</v>
      </c>
      <c r="DW301" s="87">
        <f t="shared" si="532"/>
        <v>0</v>
      </c>
    </row>
    <row r="302" spans="1:127">
      <c r="A302" s="22" t="s">
        <v>22</v>
      </c>
      <c r="B302" s="26">
        <v>37000687580</v>
      </c>
      <c r="C302" s="22" t="s">
        <v>118</v>
      </c>
      <c r="D302" s="22" t="s">
        <v>120</v>
      </c>
      <c r="E302" s="22">
        <v>131251</v>
      </c>
      <c r="F302" s="80" t="s">
        <v>394</v>
      </c>
      <c r="G302" s="25">
        <v>116</v>
      </c>
      <c r="H302" s="85">
        <f t="shared" si="441"/>
        <v>1276</v>
      </c>
      <c r="I302" s="85">
        <f t="shared" si="442"/>
        <v>1044</v>
      </c>
      <c r="J302" s="85">
        <f t="shared" si="443"/>
        <v>116</v>
      </c>
      <c r="K302" s="85">
        <f t="shared" si="444"/>
        <v>0</v>
      </c>
      <c r="L302" s="85">
        <f t="shared" si="445"/>
        <v>232</v>
      </c>
      <c r="M302" s="86">
        <f t="shared" si="446"/>
        <v>-116</v>
      </c>
      <c r="N302" s="87">
        <f t="shared" si="447"/>
        <v>0</v>
      </c>
      <c r="O302" s="87">
        <f t="shared" si="448"/>
        <v>0</v>
      </c>
      <c r="P302" s="87">
        <f t="shared" si="449"/>
        <v>0</v>
      </c>
      <c r="Q302" s="87">
        <f t="shared" si="450"/>
        <v>0</v>
      </c>
      <c r="R302" s="87">
        <f t="shared" si="451"/>
        <v>0</v>
      </c>
      <c r="S302" s="87">
        <f t="shared" si="452"/>
        <v>0</v>
      </c>
      <c r="T302" s="87">
        <f t="shared" si="453"/>
        <v>0</v>
      </c>
      <c r="U302" s="87">
        <f t="shared" si="454"/>
        <v>0</v>
      </c>
      <c r="V302" s="87">
        <f t="shared" si="455"/>
        <v>0</v>
      </c>
      <c r="W302" s="87">
        <f t="shared" si="456"/>
        <v>0</v>
      </c>
      <c r="X302" s="87">
        <f t="shared" si="457"/>
        <v>0</v>
      </c>
      <c r="Y302" s="86">
        <f t="shared" si="458"/>
        <v>0</v>
      </c>
      <c r="Z302" s="87">
        <f t="shared" si="459"/>
        <v>0</v>
      </c>
      <c r="AA302" s="87">
        <f t="shared" si="460"/>
        <v>0</v>
      </c>
      <c r="AB302" s="87">
        <f t="shared" si="461"/>
        <v>0</v>
      </c>
      <c r="AC302" s="87">
        <f t="shared" si="462"/>
        <v>0</v>
      </c>
      <c r="AD302" s="87">
        <f t="shared" si="463"/>
        <v>0</v>
      </c>
      <c r="AE302" s="87">
        <f t="shared" si="464"/>
        <v>0</v>
      </c>
      <c r="AF302" s="87">
        <f t="shared" si="465"/>
        <v>0</v>
      </c>
      <c r="AG302" s="87">
        <f t="shared" si="466"/>
        <v>0</v>
      </c>
      <c r="AH302" s="87">
        <f t="shared" si="501"/>
        <v>0</v>
      </c>
      <c r="AI302" s="87">
        <f t="shared" si="502"/>
        <v>0</v>
      </c>
      <c r="AJ302" s="87">
        <f t="shared" si="503"/>
        <v>0</v>
      </c>
      <c r="AK302" s="86">
        <f t="shared" si="504"/>
        <v>0</v>
      </c>
      <c r="AL302" s="85">
        <v>11</v>
      </c>
      <c r="AM302" s="85">
        <v>9</v>
      </c>
      <c r="AN302" s="85">
        <v>1</v>
      </c>
      <c r="AO302" s="85">
        <v>0</v>
      </c>
      <c r="AP302" s="85">
        <v>2</v>
      </c>
      <c r="AQ302" s="86">
        <v>-1</v>
      </c>
      <c r="AR302" s="87">
        <v>0</v>
      </c>
      <c r="AS302" s="87">
        <v>0</v>
      </c>
      <c r="AT302" s="87">
        <v>0</v>
      </c>
      <c r="AU302" s="87">
        <v>0</v>
      </c>
      <c r="AV302" s="87">
        <v>0</v>
      </c>
      <c r="AW302" s="87">
        <v>0</v>
      </c>
      <c r="AX302" s="87">
        <v>0</v>
      </c>
      <c r="AY302" s="87">
        <v>0</v>
      </c>
      <c r="AZ302" s="87">
        <v>0</v>
      </c>
      <c r="BA302" s="87">
        <v>0</v>
      </c>
      <c r="BB302" s="87">
        <v>0</v>
      </c>
      <c r="BC302" s="86">
        <v>0</v>
      </c>
      <c r="BD302" s="87">
        <v>0</v>
      </c>
      <c r="BE302" s="87">
        <v>0</v>
      </c>
      <c r="BF302" s="87">
        <v>0</v>
      </c>
      <c r="BG302" s="87">
        <v>0</v>
      </c>
      <c r="BH302" s="87">
        <v>0</v>
      </c>
      <c r="BI302" s="87">
        <v>0</v>
      </c>
      <c r="BJ302" s="40">
        <v>0</v>
      </c>
      <c r="BK302" s="40">
        <v>0</v>
      </c>
      <c r="BL302" s="40">
        <v>0</v>
      </c>
      <c r="BM302" s="40" t="s">
        <v>768</v>
      </c>
      <c r="BN302" s="87"/>
      <c r="BO302" s="86"/>
      <c r="BP302" s="21">
        <v>0</v>
      </c>
      <c r="BQ302" s="21">
        <v>0</v>
      </c>
      <c r="BR302" s="21">
        <v>0</v>
      </c>
      <c r="BS302" s="21">
        <v>0</v>
      </c>
      <c r="BT302" s="21">
        <v>0</v>
      </c>
      <c r="BU302" s="42">
        <v>0</v>
      </c>
      <c r="BV302" s="21">
        <v>0</v>
      </c>
      <c r="BW302" s="21">
        <v>0</v>
      </c>
      <c r="BX302" s="21">
        <v>0</v>
      </c>
      <c r="BY302" s="21">
        <v>0</v>
      </c>
      <c r="BZ302" s="21">
        <v>0</v>
      </c>
      <c r="CA302" s="21">
        <v>0</v>
      </c>
      <c r="CB302" s="21">
        <v>0</v>
      </c>
      <c r="CC302" s="21">
        <v>0</v>
      </c>
      <c r="CD302" s="21">
        <v>0</v>
      </c>
      <c r="CE302" s="21">
        <v>0</v>
      </c>
      <c r="CF302" s="21">
        <v>0</v>
      </c>
      <c r="CG302" s="42">
        <v>0</v>
      </c>
      <c r="CH302" s="21">
        <v>0</v>
      </c>
      <c r="CI302" s="21">
        <v>0</v>
      </c>
      <c r="CJ302" s="21">
        <v>0</v>
      </c>
      <c r="CK302" s="21">
        <v>0</v>
      </c>
      <c r="CL302" s="21">
        <v>0</v>
      </c>
      <c r="CM302" s="21">
        <v>0</v>
      </c>
      <c r="CN302" s="21">
        <v>0</v>
      </c>
      <c r="CO302" s="21">
        <v>0</v>
      </c>
      <c r="CP302" s="21">
        <f t="shared" si="471"/>
        <v>0</v>
      </c>
      <c r="CQ302" s="344">
        <f t="shared" si="472"/>
        <v>0</v>
      </c>
      <c r="CR302" s="87"/>
      <c r="CS302" s="86"/>
      <c r="CT302" s="85">
        <f t="shared" si="505"/>
        <v>11</v>
      </c>
      <c r="CU302" s="85">
        <f t="shared" si="506"/>
        <v>9</v>
      </c>
      <c r="CV302" s="85">
        <f t="shared" si="507"/>
        <v>1</v>
      </c>
      <c r="CW302" s="85">
        <f t="shared" si="508"/>
        <v>0</v>
      </c>
      <c r="CX302" s="85">
        <f t="shared" si="509"/>
        <v>2</v>
      </c>
      <c r="CY302" s="86">
        <f t="shared" si="510"/>
        <v>-1</v>
      </c>
      <c r="CZ302" s="87">
        <f t="shared" si="511"/>
        <v>0</v>
      </c>
      <c r="DA302" s="87">
        <f t="shared" si="512"/>
        <v>0</v>
      </c>
      <c r="DB302" s="87">
        <f t="shared" si="513"/>
        <v>0</v>
      </c>
      <c r="DC302" s="87">
        <f t="shared" si="514"/>
        <v>0</v>
      </c>
      <c r="DD302" s="87">
        <f t="shared" si="515"/>
        <v>0</v>
      </c>
      <c r="DE302" s="87">
        <f t="shared" si="516"/>
        <v>0</v>
      </c>
      <c r="DF302" s="87">
        <f t="shared" si="517"/>
        <v>0</v>
      </c>
      <c r="DG302" s="87">
        <f t="shared" si="518"/>
        <v>0</v>
      </c>
      <c r="DH302" s="87">
        <f t="shared" si="519"/>
        <v>0</v>
      </c>
      <c r="DI302" s="87">
        <f t="shared" si="520"/>
        <v>0</v>
      </c>
      <c r="DJ302" s="87">
        <f t="shared" si="521"/>
        <v>0</v>
      </c>
      <c r="DK302" s="86">
        <f t="shared" si="522"/>
        <v>0</v>
      </c>
      <c r="DL302" s="87">
        <f t="shared" si="523"/>
        <v>0</v>
      </c>
      <c r="DM302" s="87">
        <f t="shared" si="524"/>
        <v>0</v>
      </c>
      <c r="DN302" s="87">
        <f t="shared" si="525"/>
        <v>0</v>
      </c>
      <c r="DO302" s="87">
        <f t="shared" si="526"/>
        <v>0</v>
      </c>
      <c r="DP302" s="87">
        <f t="shared" si="527"/>
        <v>0</v>
      </c>
      <c r="DQ302" s="87">
        <f t="shared" si="528"/>
        <v>0</v>
      </c>
      <c r="DR302" s="87">
        <f t="shared" si="533"/>
        <v>0</v>
      </c>
      <c r="DS302" s="87">
        <f t="shared" si="534"/>
        <v>0</v>
      </c>
      <c r="DT302" s="87">
        <f t="shared" si="529"/>
        <v>0</v>
      </c>
      <c r="DU302" s="87">
        <f t="shared" si="530"/>
        <v>0</v>
      </c>
      <c r="DV302" s="87">
        <f t="shared" si="531"/>
        <v>0</v>
      </c>
      <c r="DW302" s="87">
        <f t="shared" si="532"/>
        <v>0</v>
      </c>
    </row>
    <row r="303" spans="1:127">
      <c r="A303" s="22" t="s">
        <v>22</v>
      </c>
      <c r="B303" s="26">
        <v>37000819950</v>
      </c>
      <c r="C303" s="22" t="s">
        <v>118</v>
      </c>
      <c r="D303" s="22" t="s">
        <v>120</v>
      </c>
      <c r="E303" s="22">
        <v>137477</v>
      </c>
      <c r="F303" s="80" t="s">
        <v>395</v>
      </c>
      <c r="G303" s="25">
        <v>100.8</v>
      </c>
      <c r="H303" s="85">
        <f t="shared" si="441"/>
        <v>90921.599999999991</v>
      </c>
      <c r="I303" s="85">
        <f t="shared" si="442"/>
        <v>43646.400000000001</v>
      </c>
      <c r="J303" s="85">
        <f t="shared" si="443"/>
        <v>15523.199999999999</v>
      </c>
      <c r="K303" s="85">
        <f t="shared" si="444"/>
        <v>8265.6</v>
      </c>
      <c r="L303" s="85">
        <f t="shared" si="445"/>
        <v>2620.7999999999997</v>
      </c>
      <c r="M303" s="86">
        <f t="shared" si="446"/>
        <v>1008</v>
      </c>
      <c r="N303" s="87">
        <f t="shared" si="447"/>
        <v>100.8</v>
      </c>
      <c r="O303" s="87">
        <f t="shared" si="448"/>
        <v>0</v>
      </c>
      <c r="P303" s="87">
        <f t="shared" si="449"/>
        <v>0</v>
      </c>
      <c r="Q303" s="87">
        <f t="shared" si="450"/>
        <v>0</v>
      </c>
      <c r="R303" s="87">
        <f t="shared" si="451"/>
        <v>0</v>
      </c>
      <c r="S303" s="87">
        <f t="shared" si="452"/>
        <v>0</v>
      </c>
      <c r="T303" s="87">
        <f t="shared" si="453"/>
        <v>0</v>
      </c>
      <c r="U303" s="87">
        <f t="shared" si="454"/>
        <v>0</v>
      </c>
      <c r="V303" s="87">
        <f t="shared" si="455"/>
        <v>0</v>
      </c>
      <c r="W303" s="87">
        <f t="shared" si="456"/>
        <v>0</v>
      </c>
      <c r="X303" s="87">
        <f t="shared" si="457"/>
        <v>0</v>
      </c>
      <c r="Y303" s="86">
        <f t="shared" si="458"/>
        <v>0</v>
      </c>
      <c r="Z303" s="87">
        <f t="shared" si="459"/>
        <v>0</v>
      </c>
      <c r="AA303" s="87">
        <f t="shared" si="460"/>
        <v>0</v>
      </c>
      <c r="AB303" s="87">
        <f t="shared" si="461"/>
        <v>0</v>
      </c>
      <c r="AC303" s="87">
        <f t="shared" si="462"/>
        <v>0</v>
      </c>
      <c r="AD303" s="87">
        <f t="shared" si="463"/>
        <v>0</v>
      </c>
      <c r="AE303" s="87">
        <f t="shared" si="464"/>
        <v>0</v>
      </c>
      <c r="AF303" s="87">
        <f t="shared" si="465"/>
        <v>0</v>
      </c>
      <c r="AG303" s="87">
        <f t="shared" si="466"/>
        <v>0</v>
      </c>
      <c r="AH303" s="87">
        <f t="shared" si="501"/>
        <v>0</v>
      </c>
      <c r="AI303" s="87">
        <f t="shared" si="502"/>
        <v>0</v>
      </c>
      <c r="AJ303" s="87">
        <f t="shared" si="503"/>
        <v>0</v>
      </c>
      <c r="AK303" s="86">
        <f t="shared" si="504"/>
        <v>0</v>
      </c>
      <c r="AL303" s="85">
        <v>823</v>
      </c>
      <c r="AM303" s="85">
        <v>340</v>
      </c>
      <c r="AN303" s="85">
        <v>154</v>
      </c>
      <c r="AO303" s="85">
        <v>68</v>
      </c>
      <c r="AP303" s="85">
        <v>20</v>
      </c>
      <c r="AQ303" s="86">
        <v>10</v>
      </c>
      <c r="AR303" s="87">
        <v>1</v>
      </c>
      <c r="AS303" s="87">
        <v>0</v>
      </c>
      <c r="AT303" s="87">
        <v>0</v>
      </c>
      <c r="AU303" s="87">
        <v>0</v>
      </c>
      <c r="AV303" s="87">
        <v>0</v>
      </c>
      <c r="AW303" s="87">
        <v>0</v>
      </c>
      <c r="AX303" s="87">
        <v>0</v>
      </c>
      <c r="AY303" s="87">
        <v>0</v>
      </c>
      <c r="AZ303" s="87">
        <v>0</v>
      </c>
      <c r="BA303" s="87">
        <v>0</v>
      </c>
      <c r="BB303" s="87">
        <v>0</v>
      </c>
      <c r="BC303" s="86">
        <v>0</v>
      </c>
      <c r="BD303" s="87">
        <v>0</v>
      </c>
      <c r="BE303" s="87">
        <v>0</v>
      </c>
      <c r="BF303" s="87">
        <v>0</v>
      </c>
      <c r="BG303" s="87">
        <v>0</v>
      </c>
      <c r="BH303" s="87">
        <v>0</v>
      </c>
      <c r="BI303" s="87">
        <v>0</v>
      </c>
      <c r="BJ303" s="40">
        <v>0</v>
      </c>
      <c r="BK303" s="40">
        <v>0</v>
      </c>
      <c r="BL303" s="40">
        <v>0</v>
      </c>
      <c r="BM303" s="40">
        <v>0</v>
      </c>
      <c r="BN303" s="87"/>
      <c r="BO303" s="86"/>
      <c r="BP303" s="21">
        <v>79</v>
      </c>
      <c r="BQ303" s="21">
        <v>93</v>
      </c>
      <c r="BR303" s="21">
        <v>0</v>
      </c>
      <c r="BS303" s="21">
        <v>14</v>
      </c>
      <c r="BT303" s="21">
        <v>6</v>
      </c>
      <c r="BU303" s="42">
        <v>0</v>
      </c>
      <c r="BV303" s="21">
        <v>0</v>
      </c>
      <c r="BW303" s="21">
        <v>0</v>
      </c>
      <c r="BX303" s="21">
        <v>0</v>
      </c>
      <c r="BY303" s="21">
        <v>0</v>
      </c>
      <c r="BZ303" s="21">
        <v>0</v>
      </c>
      <c r="CA303" s="21">
        <v>0</v>
      </c>
      <c r="CB303" s="21">
        <v>0</v>
      </c>
      <c r="CC303" s="21">
        <v>0</v>
      </c>
      <c r="CD303" s="21">
        <v>0</v>
      </c>
      <c r="CE303" s="21">
        <v>0</v>
      </c>
      <c r="CF303" s="21">
        <v>0</v>
      </c>
      <c r="CG303" s="42">
        <v>0</v>
      </c>
      <c r="CH303" s="21">
        <v>0</v>
      </c>
      <c r="CI303" s="21">
        <v>0</v>
      </c>
      <c r="CJ303" s="21">
        <v>0</v>
      </c>
      <c r="CK303" s="21">
        <v>0</v>
      </c>
      <c r="CL303" s="21">
        <v>0</v>
      </c>
      <c r="CM303" s="21">
        <v>0</v>
      </c>
      <c r="CN303" s="21">
        <v>0</v>
      </c>
      <c r="CO303" s="21">
        <v>0</v>
      </c>
      <c r="CP303" s="21">
        <f t="shared" si="471"/>
        <v>0</v>
      </c>
      <c r="CQ303" s="344">
        <f t="shared" si="472"/>
        <v>0</v>
      </c>
      <c r="CR303" s="87"/>
      <c r="CS303" s="86"/>
      <c r="CT303" s="85">
        <f t="shared" si="505"/>
        <v>902</v>
      </c>
      <c r="CU303" s="85">
        <f t="shared" si="506"/>
        <v>433</v>
      </c>
      <c r="CV303" s="85">
        <f t="shared" si="507"/>
        <v>154</v>
      </c>
      <c r="CW303" s="85">
        <f t="shared" si="508"/>
        <v>82</v>
      </c>
      <c r="CX303" s="85">
        <f t="shared" si="509"/>
        <v>26</v>
      </c>
      <c r="CY303" s="86">
        <f t="shared" si="510"/>
        <v>10</v>
      </c>
      <c r="CZ303" s="87">
        <f t="shared" si="511"/>
        <v>1</v>
      </c>
      <c r="DA303" s="87">
        <f t="shared" si="512"/>
        <v>0</v>
      </c>
      <c r="DB303" s="87">
        <f t="shared" si="513"/>
        <v>0</v>
      </c>
      <c r="DC303" s="87">
        <f t="shared" si="514"/>
        <v>0</v>
      </c>
      <c r="DD303" s="87">
        <f t="shared" si="515"/>
        <v>0</v>
      </c>
      <c r="DE303" s="87">
        <f t="shared" si="516"/>
        <v>0</v>
      </c>
      <c r="DF303" s="87">
        <f t="shared" si="517"/>
        <v>0</v>
      </c>
      <c r="DG303" s="87">
        <f t="shared" si="518"/>
        <v>0</v>
      </c>
      <c r="DH303" s="87">
        <f t="shared" si="519"/>
        <v>0</v>
      </c>
      <c r="DI303" s="87">
        <f t="shared" si="520"/>
        <v>0</v>
      </c>
      <c r="DJ303" s="87">
        <f t="shared" si="521"/>
        <v>0</v>
      </c>
      <c r="DK303" s="86">
        <f t="shared" si="522"/>
        <v>0</v>
      </c>
      <c r="DL303" s="87">
        <f t="shared" si="523"/>
        <v>0</v>
      </c>
      <c r="DM303" s="87">
        <f t="shared" si="524"/>
        <v>0</v>
      </c>
      <c r="DN303" s="87">
        <f t="shared" si="525"/>
        <v>0</v>
      </c>
      <c r="DO303" s="87">
        <f t="shared" si="526"/>
        <v>0</v>
      </c>
      <c r="DP303" s="87">
        <f t="shared" si="527"/>
        <v>0</v>
      </c>
      <c r="DQ303" s="87">
        <f t="shared" si="528"/>
        <v>0</v>
      </c>
      <c r="DR303" s="87">
        <f t="shared" si="533"/>
        <v>0</v>
      </c>
      <c r="DS303" s="87">
        <f t="shared" si="534"/>
        <v>0</v>
      </c>
      <c r="DT303" s="87">
        <f t="shared" si="529"/>
        <v>0</v>
      </c>
      <c r="DU303" s="87">
        <f t="shared" si="530"/>
        <v>0</v>
      </c>
      <c r="DV303" s="87">
        <f t="shared" si="531"/>
        <v>0</v>
      </c>
      <c r="DW303" s="87">
        <f t="shared" si="532"/>
        <v>0</v>
      </c>
    </row>
    <row r="304" spans="1:127">
      <c r="A304" s="22" t="s">
        <v>22</v>
      </c>
      <c r="B304" s="26">
        <v>37000843979</v>
      </c>
      <c r="C304" s="22" t="s">
        <v>118</v>
      </c>
      <c r="D304" s="22" t="s">
        <v>120</v>
      </c>
      <c r="E304" s="22">
        <v>137496</v>
      </c>
      <c r="F304" s="80" t="s">
        <v>396</v>
      </c>
      <c r="G304" s="25">
        <v>100.8</v>
      </c>
      <c r="H304" s="85">
        <f t="shared" si="441"/>
        <v>14616</v>
      </c>
      <c r="I304" s="85">
        <f t="shared" si="442"/>
        <v>6552</v>
      </c>
      <c r="J304" s="85">
        <f t="shared" si="443"/>
        <v>100.8</v>
      </c>
      <c r="K304" s="85">
        <f t="shared" si="444"/>
        <v>0</v>
      </c>
      <c r="L304" s="85">
        <f t="shared" si="445"/>
        <v>0</v>
      </c>
      <c r="M304" s="86">
        <f t="shared" si="446"/>
        <v>0</v>
      </c>
      <c r="N304" s="87">
        <f t="shared" si="447"/>
        <v>0</v>
      </c>
      <c r="O304" s="87">
        <f t="shared" si="448"/>
        <v>0</v>
      </c>
      <c r="P304" s="87">
        <f t="shared" si="449"/>
        <v>0</v>
      </c>
      <c r="Q304" s="87">
        <f t="shared" si="450"/>
        <v>0</v>
      </c>
      <c r="R304" s="87">
        <f t="shared" si="451"/>
        <v>0</v>
      </c>
      <c r="S304" s="87">
        <f t="shared" si="452"/>
        <v>0</v>
      </c>
      <c r="T304" s="87">
        <f t="shared" si="453"/>
        <v>0</v>
      </c>
      <c r="U304" s="87">
        <f t="shared" si="454"/>
        <v>0</v>
      </c>
      <c r="V304" s="87">
        <f t="shared" si="455"/>
        <v>0</v>
      </c>
      <c r="W304" s="87">
        <f t="shared" si="456"/>
        <v>0</v>
      </c>
      <c r="X304" s="87">
        <f t="shared" si="457"/>
        <v>0</v>
      </c>
      <c r="Y304" s="86">
        <f t="shared" si="458"/>
        <v>0</v>
      </c>
      <c r="Z304" s="87">
        <f t="shared" si="459"/>
        <v>0</v>
      </c>
      <c r="AA304" s="87">
        <f t="shared" si="460"/>
        <v>0</v>
      </c>
      <c r="AB304" s="87">
        <f t="shared" si="461"/>
        <v>0</v>
      </c>
      <c r="AC304" s="87">
        <f t="shared" si="462"/>
        <v>0</v>
      </c>
      <c r="AD304" s="87">
        <f t="shared" si="463"/>
        <v>0</v>
      </c>
      <c r="AE304" s="87">
        <f t="shared" si="464"/>
        <v>0</v>
      </c>
      <c r="AF304" s="87">
        <f t="shared" si="465"/>
        <v>0</v>
      </c>
      <c r="AG304" s="87">
        <f t="shared" si="466"/>
        <v>0</v>
      </c>
      <c r="AH304" s="87">
        <f t="shared" si="501"/>
        <v>0</v>
      </c>
      <c r="AI304" s="87">
        <f t="shared" si="502"/>
        <v>0</v>
      </c>
      <c r="AJ304" s="87">
        <f t="shared" si="503"/>
        <v>0</v>
      </c>
      <c r="AK304" s="86">
        <f t="shared" si="504"/>
        <v>0</v>
      </c>
      <c r="AL304" s="85">
        <v>145</v>
      </c>
      <c r="AM304" s="85">
        <v>65</v>
      </c>
      <c r="AN304" s="85">
        <v>1</v>
      </c>
      <c r="AO304" s="85">
        <v>0</v>
      </c>
      <c r="AP304" s="85">
        <v>0</v>
      </c>
      <c r="AQ304" s="86">
        <v>0</v>
      </c>
      <c r="AR304" s="87">
        <v>0</v>
      </c>
      <c r="AS304" s="87">
        <v>0</v>
      </c>
      <c r="AT304" s="87">
        <v>0</v>
      </c>
      <c r="AU304" s="87">
        <v>0</v>
      </c>
      <c r="AV304" s="87">
        <v>0</v>
      </c>
      <c r="AW304" s="87">
        <v>0</v>
      </c>
      <c r="AX304" s="87">
        <v>0</v>
      </c>
      <c r="AY304" s="87">
        <v>0</v>
      </c>
      <c r="AZ304" s="87">
        <v>0</v>
      </c>
      <c r="BA304" s="87">
        <v>0</v>
      </c>
      <c r="BB304" s="87">
        <v>0</v>
      </c>
      <c r="BC304" s="86">
        <v>0</v>
      </c>
      <c r="BD304" s="87">
        <v>0</v>
      </c>
      <c r="BE304" s="87">
        <v>0</v>
      </c>
      <c r="BF304" s="87">
        <v>0</v>
      </c>
      <c r="BG304" s="87">
        <v>0</v>
      </c>
      <c r="BH304" s="87">
        <v>0</v>
      </c>
      <c r="BI304" s="87">
        <v>0</v>
      </c>
      <c r="BJ304" s="40">
        <v>0</v>
      </c>
      <c r="BK304" s="40">
        <v>0</v>
      </c>
      <c r="BL304" s="40">
        <v>0</v>
      </c>
      <c r="BM304" s="40" t="s">
        <v>768</v>
      </c>
      <c r="BN304" s="87"/>
      <c r="BO304" s="86"/>
      <c r="BP304" s="21">
        <v>0</v>
      </c>
      <c r="BQ304" s="21">
        <v>0</v>
      </c>
      <c r="BR304" s="21">
        <v>0</v>
      </c>
      <c r="BS304" s="21">
        <v>0</v>
      </c>
      <c r="BT304" s="21">
        <v>0</v>
      </c>
      <c r="BU304" s="42">
        <v>0</v>
      </c>
      <c r="BV304" s="21">
        <v>0</v>
      </c>
      <c r="BW304" s="21">
        <v>0</v>
      </c>
      <c r="BX304" s="21">
        <v>0</v>
      </c>
      <c r="BY304" s="21">
        <v>0</v>
      </c>
      <c r="BZ304" s="21">
        <v>0</v>
      </c>
      <c r="CA304" s="21">
        <v>0</v>
      </c>
      <c r="CB304" s="21">
        <v>0</v>
      </c>
      <c r="CC304" s="21">
        <v>0</v>
      </c>
      <c r="CD304" s="21">
        <v>0</v>
      </c>
      <c r="CE304" s="21">
        <v>0</v>
      </c>
      <c r="CF304" s="21">
        <v>0</v>
      </c>
      <c r="CG304" s="42">
        <v>0</v>
      </c>
      <c r="CH304" s="21">
        <v>0</v>
      </c>
      <c r="CI304" s="21">
        <v>0</v>
      </c>
      <c r="CJ304" s="21">
        <v>0</v>
      </c>
      <c r="CK304" s="21">
        <v>0</v>
      </c>
      <c r="CL304" s="21">
        <v>0</v>
      </c>
      <c r="CM304" s="21">
        <v>0</v>
      </c>
      <c r="CN304" s="21">
        <v>0</v>
      </c>
      <c r="CO304" s="21">
        <v>0</v>
      </c>
      <c r="CP304" s="21">
        <f t="shared" si="471"/>
        <v>0</v>
      </c>
      <c r="CQ304" s="344">
        <f t="shared" si="472"/>
        <v>0</v>
      </c>
      <c r="CR304" s="87"/>
      <c r="CS304" s="86"/>
      <c r="CT304" s="85">
        <f t="shared" si="505"/>
        <v>145</v>
      </c>
      <c r="CU304" s="85">
        <f t="shared" si="506"/>
        <v>65</v>
      </c>
      <c r="CV304" s="85">
        <f t="shared" si="507"/>
        <v>1</v>
      </c>
      <c r="CW304" s="85">
        <f t="shared" si="508"/>
        <v>0</v>
      </c>
      <c r="CX304" s="85">
        <f t="shared" si="509"/>
        <v>0</v>
      </c>
      <c r="CY304" s="86">
        <f t="shared" si="510"/>
        <v>0</v>
      </c>
      <c r="CZ304" s="87">
        <f t="shared" si="511"/>
        <v>0</v>
      </c>
      <c r="DA304" s="87">
        <f t="shared" si="512"/>
        <v>0</v>
      </c>
      <c r="DB304" s="87">
        <f t="shared" si="513"/>
        <v>0</v>
      </c>
      <c r="DC304" s="87">
        <f t="shared" si="514"/>
        <v>0</v>
      </c>
      <c r="DD304" s="87">
        <f t="shared" si="515"/>
        <v>0</v>
      </c>
      <c r="DE304" s="87">
        <f t="shared" si="516"/>
        <v>0</v>
      </c>
      <c r="DF304" s="87">
        <f t="shared" si="517"/>
        <v>0</v>
      </c>
      <c r="DG304" s="87">
        <f t="shared" si="518"/>
        <v>0</v>
      </c>
      <c r="DH304" s="87">
        <f t="shared" si="519"/>
        <v>0</v>
      </c>
      <c r="DI304" s="87">
        <f t="shared" si="520"/>
        <v>0</v>
      </c>
      <c r="DJ304" s="87">
        <f t="shared" si="521"/>
        <v>0</v>
      </c>
      <c r="DK304" s="86">
        <f t="shared" si="522"/>
        <v>0</v>
      </c>
      <c r="DL304" s="87">
        <f t="shared" si="523"/>
        <v>0</v>
      </c>
      <c r="DM304" s="87">
        <f t="shared" si="524"/>
        <v>0</v>
      </c>
      <c r="DN304" s="87">
        <f t="shared" si="525"/>
        <v>0</v>
      </c>
      <c r="DO304" s="87">
        <f t="shared" si="526"/>
        <v>0</v>
      </c>
      <c r="DP304" s="87">
        <f t="shared" si="527"/>
        <v>0</v>
      </c>
      <c r="DQ304" s="87">
        <f t="shared" si="528"/>
        <v>0</v>
      </c>
      <c r="DR304" s="87">
        <f t="shared" si="533"/>
        <v>0</v>
      </c>
      <c r="DS304" s="87">
        <f t="shared" si="534"/>
        <v>0</v>
      </c>
      <c r="DT304" s="87">
        <f t="shared" si="529"/>
        <v>0</v>
      </c>
      <c r="DU304" s="87">
        <f t="shared" si="530"/>
        <v>0</v>
      </c>
      <c r="DV304" s="87">
        <f t="shared" si="531"/>
        <v>0</v>
      </c>
      <c r="DW304" s="87">
        <f t="shared" si="532"/>
        <v>0</v>
      </c>
    </row>
    <row r="305" spans="1:127">
      <c r="A305" s="22" t="s">
        <v>22</v>
      </c>
      <c r="B305" s="26">
        <v>4987176252227</v>
      </c>
      <c r="C305" s="22" t="s">
        <v>118</v>
      </c>
      <c r="D305" s="22" t="s">
        <v>120</v>
      </c>
      <c r="E305" s="22">
        <v>239716</v>
      </c>
      <c r="F305" s="80" t="s">
        <v>397</v>
      </c>
      <c r="G305" s="25">
        <v>103.8</v>
      </c>
      <c r="H305" s="85">
        <f t="shared" si="441"/>
        <v>0</v>
      </c>
      <c r="I305" s="85">
        <f t="shared" si="442"/>
        <v>0</v>
      </c>
      <c r="J305" s="85">
        <f t="shared" si="443"/>
        <v>0</v>
      </c>
      <c r="K305" s="85">
        <f t="shared" si="444"/>
        <v>311.39999999999998</v>
      </c>
      <c r="L305" s="85">
        <f t="shared" si="445"/>
        <v>43388.4</v>
      </c>
      <c r="M305" s="86">
        <f t="shared" si="446"/>
        <v>53872.2</v>
      </c>
      <c r="N305" s="87">
        <f t="shared" si="447"/>
        <v>31866.6</v>
      </c>
      <c r="O305" s="87">
        <f t="shared" si="448"/>
        <v>50862</v>
      </c>
      <c r="P305" s="87">
        <f t="shared" si="449"/>
        <v>19410.599999999999</v>
      </c>
      <c r="Q305" s="87">
        <f t="shared" si="450"/>
        <v>33112.199999999997</v>
      </c>
      <c r="R305" s="87">
        <f t="shared" si="451"/>
        <v>46606.2</v>
      </c>
      <c r="S305" s="87">
        <f t="shared" si="452"/>
        <v>20967.599999999999</v>
      </c>
      <c r="T305" s="87">
        <f t="shared" si="453"/>
        <v>471771</v>
      </c>
      <c r="U305" s="87">
        <f t="shared" si="454"/>
        <v>211233</v>
      </c>
      <c r="V305" s="87">
        <f t="shared" si="455"/>
        <v>41001</v>
      </c>
      <c r="W305" s="87">
        <f t="shared" si="456"/>
        <v>43180.799999999996</v>
      </c>
      <c r="X305" s="87">
        <f t="shared" si="457"/>
        <v>105876</v>
      </c>
      <c r="Y305" s="86">
        <f t="shared" si="458"/>
        <v>92693.4</v>
      </c>
      <c r="Z305" s="87">
        <f t="shared" si="459"/>
        <v>62591.4</v>
      </c>
      <c r="AA305" s="87">
        <f t="shared" si="460"/>
        <v>60100.2</v>
      </c>
      <c r="AB305" s="87">
        <f t="shared" si="461"/>
        <v>45049.2</v>
      </c>
      <c r="AC305" s="87">
        <f t="shared" si="462"/>
        <v>90202.2</v>
      </c>
      <c r="AD305" s="87">
        <f t="shared" si="463"/>
        <v>59062.2</v>
      </c>
      <c r="AE305" s="87">
        <f t="shared" si="464"/>
        <v>93835.199999999997</v>
      </c>
      <c r="AF305" s="87">
        <f t="shared" si="465"/>
        <v>68508</v>
      </c>
      <c r="AG305" s="87">
        <f t="shared" si="466"/>
        <v>69130.8</v>
      </c>
      <c r="AH305" s="87">
        <f t="shared" si="501"/>
        <v>83662.8</v>
      </c>
      <c r="AI305" s="87">
        <f t="shared" si="502"/>
        <v>87192</v>
      </c>
      <c r="AJ305" s="87">
        <f t="shared" si="503"/>
        <v>0</v>
      </c>
      <c r="AK305" s="86">
        <f t="shared" si="504"/>
        <v>0</v>
      </c>
      <c r="AL305" s="85">
        <v>0</v>
      </c>
      <c r="AM305" s="85">
        <v>0</v>
      </c>
      <c r="AN305" s="85">
        <v>0</v>
      </c>
      <c r="AO305" s="85">
        <v>0</v>
      </c>
      <c r="AP305" s="85">
        <v>400</v>
      </c>
      <c r="AQ305" s="86">
        <v>474</v>
      </c>
      <c r="AR305" s="87">
        <v>292</v>
      </c>
      <c r="AS305" s="87">
        <v>464</v>
      </c>
      <c r="AT305" s="87">
        <v>178</v>
      </c>
      <c r="AU305" s="87">
        <v>299</v>
      </c>
      <c r="AV305" s="87">
        <v>423</v>
      </c>
      <c r="AW305" s="87">
        <v>194</v>
      </c>
      <c r="AX305" s="87">
        <v>4258</v>
      </c>
      <c r="AY305" s="87">
        <v>2011</v>
      </c>
      <c r="AZ305" s="87">
        <v>385</v>
      </c>
      <c r="BA305" s="87">
        <v>409</v>
      </c>
      <c r="BB305" s="87">
        <v>987</v>
      </c>
      <c r="BC305" s="86">
        <v>883</v>
      </c>
      <c r="BD305" s="87">
        <v>595</v>
      </c>
      <c r="BE305" s="87">
        <v>568</v>
      </c>
      <c r="BF305" s="87">
        <v>423</v>
      </c>
      <c r="BG305" s="87">
        <v>861</v>
      </c>
      <c r="BH305" s="87">
        <v>526</v>
      </c>
      <c r="BI305" s="87">
        <v>897</v>
      </c>
      <c r="BJ305" s="40">
        <v>644</v>
      </c>
      <c r="BK305" s="40">
        <v>655</v>
      </c>
      <c r="BL305" s="40">
        <v>795</v>
      </c>
      <c r="BM305" s="40">
        <v>826</v>
      </c>
      <c r="BN305" s="87"/>
      <c r="BO305" s="86"/>
      <c r="BP305" s="21">
        <v>0</v>
      </c>
      <c r="BQ305" s="21">
        <v>0</v>
      </c>
      <c r="BR305" s="21">
        <v>0</v>
      </c>
      <c r="BS305" s="21">
        <v>3</v>
      </c>
      <c r="BT305" s="21">
        <v>18</v>
      </c>
      <c r="BU305" s="42">
        <v>45</v>
      </c>
      <c r="BV305" s="21">
        <v>15</v>
      </c>
      <c r="BW305" s="21">
        <v>26</v>
      </c>
      <c r="BX305" s="21">
        <v>9</v>
      </c>
      <c r="BY305" s="21">
        <v>20</v>
      </c>
      <c r="BZ305" s="21">
        <v>26</v>
      </c>
      <c r="CA305" s="21">
        <v>8</v>
      </c>
      <c r="CB305" s="21">
        <v>287</v>
      </c>
      <c r="CC305" s="21">
        <v>24</v>
      </c>
      <c r="CD305" s="21">
        <v>10</v>
      </c>
      <c r="CE305" s="21">
        <v>7</v>
      </c>
      <c r="CF305" s="21">
        <v>33</v>
      </c>
      <c r="CG305" s="42">
        <v>10</v>
      </c>
      <c r="CH305" s="21">
        <v>8</v>
      </c>
      <c r="CI305" s="21">
        <v>11</v>
      </c>
      <c r="CJ305" s="21">
        <v>11</v>
      </c>
      <c r="CK305" s="21">
        <v>8</v>
      </c>
      <c r="CL305" s="21">
        <v>43</v>
      </c>
      <c r="CM305" s="21">
        <v>7</v>
      </c>
      <c r="CN305" s="21">
        <v>16</v>
      </c>
      <c r="CO305" s="21">
        <v>11</v>
      </c>
      <c r="CP305" s="21">
        <f t="shared" si="471"/>
        <v>11</v>
      </c>
      <c r="CQ305" s="344">
        <f t="shared" si="472"/>
        <v>14</v>
      </c>
      <c r="CR305" s="87"/>
      <c r="CS305" s="86"/>
      <c r="CT305" s="85">
        <f t="shared" si="505"/>
        <v>0</v>
      </c>
      <c r="CU305" s="85">
        <f t="shared" si="506"/>
        <v>0</v>
      </c>
      <c r="CV305" s="85">
        <f t="shared" si="507"/>
        <v>0</v>
      </c>
      <c r="CW305" s="85">
        <f t="shared" si="508"/>
        <v>3</v>
      </c>
      <c r="CX305" s="85">
        <f t="shared" si="509"/>
        <v>418</v>
      </c>
      <c r="CY305" s="86">
        <f t="shared" si="510"/>
        <v>519</v>
      </c>
      <c r="CZ305" s="87">
        <f t="shared" si="511"/>
        <v>307</v>
      </c>
      <c r="DA305" s="87">
        <f t="shared" si="512"/>
        <v>490</v>
      </c>
      <c r="DB305" s="87">
        <f t="shared" si="513"/>
        <v>187</v>
      </c>
      <c r="DC305" s="87">
        <f t="shared" si="514"/>
        <v>319</v>
      </c>
      <c r="DD305" s="87">
        <f t="shared" si="515"/>
        <v>449</v>
      </c>
      <c r="DE305" s="87">
        <f t="shared" si="516"/>
        <v>202</v>
      </c>
      <c r="DF305" s="232">
        <f t="shared" si="517"/>
        <v>4545</v>
      </c>
      <c r="DG305" s="232">
        <f t="shared" si="518"/>
        <v>2035</v>
      </c>
      <c r="DH305" s="87">
        <f t="shared" si="519"/>
        <v>395</v>
      </c>
      <c r="DI305" s="87">
        <f t="shared" si="520"/>
        <v>416</v>
      </c>
      <c r="DJ305" s="87">
        <f t="shared" si="521"/>
        <v>1020</v>
      </c>
      <c r="DK305" s="86">
        <f t="shared" si="522"/>
        <v>893</v>
      </c>
      <c r="DL305" s="87">
        <f t="shared" si="523"/>
        <v>603</v>
      </c>
      <c r="DM305" s="87">
        <f t="shared" si="524"/>
        <v>579</v>
      </c>
      <c r="DN305" s="87">
        <f t="shared" si="525"/>
        <v>434</v>
      </c>
      <c r="DO305" s="87">
        <f t="shared" si="526"/>
        <v>869</v>
      </c>
      <c r="DP305" s="87">
        <f t="shared" si="527"/>
        <v>569</v>
      </c>
      <c r="DQ305" s="87">
        <f t="shared" si="528"/>
        <v>904</v>
      </c>
      <c r="DR305" s="87">
        <f t="shared" si="533"/>
        <v>660</v>
      </c>
      <c r="DS305" s="87">
        <f t="shared" si="534"/>
        <v>666</v>
      </c>
      <c r="DT305" s="87">
        <f t="shared" si="529"/>
        <v>806</v>
      </c>
      <c r="DU305" s="87">
        <f t="shared" si="530"/>
        <v>840</v>
      </c>
      <c r="DV305" s="87">
        <f t="shared" si="531"/>
        <v>0</v>
      </c>
      <c r="DW305" s="87">
        <f t="shared" si="532"/>
        <v>0</v>
      </c>
    </row>
    <row r="306" spans="1:127">
      <c r="A306" s="22" t="s">
        <v>22</v>
      </c>
      <c r="B306" s="26">
        <v>4987176252210</v>
      </c>
      <c r="C306" s="22" t="s">
        <v>118</v>
      </c>
      <c r="D306" s="22" t="s">
        <v>120</v>
      </c>
      <c r="E306" s="22">
        <v>239780</v>
      </c>
      <c r="F306" s="80" t="s">
        <v>398</v>
      </c>
      <c r="G306" s="25">
        <v>103.8</v>
      </c>
      <c r="H306" s="85">
        <f t="shared" si="441"/>
        <v>0</v>
      </c>
      <c r="I306" s="85">
        <f t="shared" si="442"/>
        <v>0</v>
      </c>
      <c r="J306" s="85">
        <f t="shared" si="443"/>
        <v>0</v>
      </c>
      <c r="K306" s="85">
        <f t="shared" si="444"/>
        <v>1141.8</v>
      </c>
      <c r="L306" s="85">
        <f t="shared" si="445"/>
        <v>64667.4</v>
      </c>
      <c r="M306" s="86">
        <f t="shared" si="446"/>
        <v>82417.2</v>
      </c>
      <c r="N306" s="87">
        <f t="shared" si="447"/>
        <v>46917.599999999999</v>
      </c>
      <c r="O306" s="87">
        <f t="shared" si="448"/>
        <v>74009.399999999994</v>
      </c>
      <c r="P306" s="87">
        <f t="shared" si="449"/>
        <v>34046.400000000001</v>
      </c>
      <c r="Q306" s="87">
        <f t="shared" si="450"/>
        <v>43180.799999999996</v>
      </c>
      <c r="R306" s="87">
        <f t="shared" si="451"/>
        <v>75670.2</v>
      </c>
      <c r="S306" s="87">
        <f t="shared" si="452"/>
        <v>44011.199999999997</v>
      </c>
      <c r="T306" s="87">
        <f t="shared" si="453"/>
        <v>590725.79999999993</v>
      </c>
      <c r="U306" s="87">
        <f t="shared" si="454"/>
        <v>235314.6</v>
      </c>
      <c r="V306" s="87">
        <f t="shared" si="455"/>
        <v>89890.8</v>
      </c>
      <c r="W306" s="87">
        <f t="shared" si="456"/>
        <v>98402.4</v>
      </c>
      <c r="X306" s="87">
        <f t="shared" si="457"/>
        <v>220263.6</v>
      </c>
      <c r="Y306" s="86">
        <f t="shared" si="458"/>
        <v>176979</v>
      </c>
      <c r="Z306" s="87">
        <f t="shared" si="459"/>
        <v>153831.6</v>
      </c>
      <c r="AA306" s="87">
        <f t="shared" si="460"/>
        <v>141479.4</v>
      </c>
      <c r="AB306" s="87">
        <f t="shared" si="461"/>
        <v>110754.59999999999</v>
      </c>
      <c r="AC306" s="232">
        <f t="shared" si="462"/>
        <v>1022222.4</v>
      </c>
      <c r="AD306" s="232">
        <f t="shared" si="463"/>
        <v>1422890.4</v>
      </c>
      <c r="AE306" s="87">
        <f t="shared" si="464"/>
        <v>172308</v>
      </c>
      <c r="AF306" s="87">
        <f t="shared" si="465"/>
        <v>136393.19999999998</v>
      </c>
      <c r="AG306" s="87">
        <f t="shared" si="466"/>
        <v>134836.19999999998</v>
      </c>
      <c r="AH306" s="87">
        <f t="shared" si="501"/>
        <v>148018.79999999999</v>
      </c>
      <c r="AI306" s="87">
        <f t="shared" si="502"/>
        <v>169897.53333333333</v>
      </c>
      <c r="AJ306" s="87">
        <f t="shared" si="503"/>
        <v>0</v>
      </c>
      <c r="AK306" s="86">
        <f t="shared" si="504"/>
        <v>0</v>
      </c>
      <c r="AL306" s="85">
        <v>0</v>
      </c>
      <c r="AM306" s="85">
        <v>0</v>
      </c>
      <c r="AN306" s="85">
        <v>0</v>
      </c>
      <c r="AO306" s="85">
        <v>0</v>
      </c>
      <c r="AP306" s="85">
        <v>572</v>
      </c>
      <c r="AQ306" s="86">
        <v>691</v>
      </c>
      <c r="AR306" s="87">
        <v>431</v>
      </c>
      <c r="AS306" s="87">
        <v>679</v>
      </c>
      <c r="AT306" s="87">
        <v>308</v>
      </c>
      <c r="AU306" s="87">
        <v>390</v>
      </c>
      <c r="AV306" s="87">
        <v>698</v>
      </c>
      <c r="AW306" s="87">
        <v>403</v>
      </c>
      <c r="AX306" s="87">
        <v>5227</v>
      </c>
      <c r="AY306" s="87">
        <v>2078</v>
      </c>
      <c r="AZ306" s="87">
        <v>847</v>
      </c>
      <c r="BA306" s="87">
        <v>930</v>
      </c>
      <c r="BB306" s="87">
        <v>2008</v>
      </c>
      <c r="BC306" s="86">
        <v>1698</v>
      </c>
      <c r="BD306" s="87">
        <v>1445</v>
      </c>
      <c r="BE306" s="87">
        <v>1340</v>
      </c>
      <c r="BF306" s="87">
        <v>1029</v>
      </c>
      <c r="BG306" s="87">
        <v>9319</v>
      </c>
      <c r="BH306" s="87">
        <v>13649</v>
      </c>
      <c r="BI306" s="87">
        <v>1647</v>
      </c>
      <c r="BJ306" s="40">
        <v>1282</v>
      </c>
      <c r="BK306" s="40">
        <v>1292</v>
      </c>
      <c r="BL306" s="40">
        <v>1419</v>
      </c>
      <c r="BM306" s="40">
        <v>1554</v>
      </c>
      <c r="BN306" s="87"/>
      <c r="BO306" s="86"/>
      <c r="BP306" s="21">
        <v>0</v>
      </c>
      <c r="BQ306" s="21">
        <v>0</v>
      </c>
      <c r="BR306" s="21">
        <v>0</v>
      </c>
      <c r="BS306" s="21">
        <v>11</v>
      </c>
      <c r="BT306" s="21">
        <v>51</v>
      </c>
      <c r="BU306" s="42">
        <v>103</v>
      </c>
      <c r="BV306" s="21">
        <v>21</v>
      </c>
      <c r="BW306" s="21">
        <v>34</v>
      </c>
      <c r="BX306" s="21">
        <v>20</v>
      </c>
      <c r="BY306" s="21">
        <v>26</v>
      </c>
      <c r="BZ306" s="21">
        <v>31</v>
      </c>
      <c r="CA306" s="21">
        <v>21</v>
      </c>
      <c r="CB306" s="21">
        <v>464</v>
      </c>
      <c r="CC306" s="21">
        <v>189</v>
      </c>
      <c r="CD306" s="21">
        <v>19</v>
      </c>
      <c r="CE306" s="21">
        <v>18</v>
      </c>
      <c r="CF306" s="21">
        <v>114</v>
      </c>
      <c r="CG306" s="42">
        <v>7</v>
      </c>
      <c r="CH306" s="21">
        <v>37</v>
      </c>
      <c r="CI306" s="21">
        <v>23</v>
      </c>
      <c r="CJ306" s="21">
        <v>38</v>
      </c>
      <c r="CK306" s="21">
        <v>529</v>
      </c>
      <c r="CL306" s="21">
        <v>59</v>
      </c>
      <c r="CM306" s="21">
        <v>13</v>
      </c>
      <c r="CN306" s="21">
        <v>32</v>
      </c>
      <c r="CO306" s="21">
        <v>7</v>
      </c>
      <c r="CP306" s="21">
        <f t="shared" si="471"/>
        <v>7</v>
      </c>
      <c r="CQ306" s="344">
        <f t="shared" si="472"/>
        <v>82.777777777777771</v>
      </c>
      <c r="CR306" s="87"/>
      <c r="CS306" s="86"/>
      <c r="CT306" s="85">
        <f t="shared" si="505"/>
        <v>0</v>
      </c>
      <c r="CU306" s="85">
        <f t="shared" si="506"/>
        <v>0</v>
      </c>
      <c r="CV306" s="85">
        <f t="shared" si="507"/>
        <v>0</v>
      </c>
      <c r="CW306" s="85">
        <f t="shared" si="508"/>
        <v>11</v>
      </c>
      <c r="CX306" s="85">
        <f t="shared" si="509"/>
        <v>623</v>
      </c>
      <c r="CY306" s="86">
        <f t="shared" si="510"/>
        <v>794</v>
      </c>
      <c r="CZ306" s="87">
        <f t="shared" si="511"/>
        <v>452</v>
      </c>
      <c r="DA306" s="87">
        <f t="shared" si="512"/>
        <v>713</v>
      </c>
      <c r="DB306" s="87">
        <f t="shared" si="513"/>
        <v>328</v>
      </c>
      <c r="DC306" s="87">
        <f t="shared" si="514"/>
        <v>416</v>
      </c>
      <c r="DD306" s="87">
        <f t="shared" si="515"/>
        <v>729</v>
      </c>
      <c r="DE306" s="87">
        <f t="shared" si="516"/>
        <v>424</v>
      </c>
      <c r="DF306" s="232">
        <f t="shared" si="517"/>
        <v>5691</v>
      </c>
      <c r="DG306" s="232">
        <f t="shared" si="518"/>
        <v>2267</v>
      </c>
      <c r="DH306" s="87">
        <f t="shared" si="519"/>
        <v>866</v>
      </c>
      <c r="DI306" s="87">
        <f t="shared" si="520"/>
        <v>948</v>
      </c>
      <c r="DJ306" s="87">
        <f t="shared" si="521"/>
        <v>2122</v>
      </c>
      <c r="DK306" s="86">
        <f t="shared" si="522"/>
        <v>1705</v>
      </c>
      <c r="DL306" s="87">
        <f t="shared" si="523"/>
        <v>1482</v>
      </c>
      <c r="DM306" s="87">
        <f t="shared" si="524"/>
        <v>1363</v>
      </c>
      <c r="DN306" s="87">
        <f t="shared" si="525"/>
        <v>1067</v>
      </c>
      <c r="DO306" s="232">
        <f t="shared" si="526"/>
        <v>9848</v>
      </c>
      <c r="DP306" s="232">
        <f t="shared" si="527"/>
        <v>13708</v>
      </c>
      <c r="DQ306" s="87">
        <f t="shared" si="528"/>
        <v>1660</v>
      </c>
      <c r="DR306" s="87">
        <f t="shared" si="533"/>
        <v>1314</v>
      </c>
      <c r="DS306" s="87">
        <f t="shared" si="534"/>
        <v>1299</v>
      </c>
      <c r="DT306" s="87">
        <f t="shared" si="529"/>
        <v>1426</v>
      </c>
      <c r="DU306" s="87">
        <f t="shared" si="530"/>
        <v>1636.7777777777778</v>
      </c>
      <c r="DV306" s="87">
        <f t="shared" si="531"/>
        <v>0</v>
      </c>
      <c r="DW306" s="87">
        <f t="shared" si="532"/>
        <v>0</v>
      </c>
    </row>
    <row r="307" spans="1:127">
      <c r="A307" s="22" t="s">
        <v>22</v>
      </c>
      <c r="B307" s="26">
        <v>4987176130600</v>
      </c>
      <c r="C307" s="22" t="s">
        <v>118</v>
      </c>
      <c r="D307" s="22" t="s">
        <v>120</v>
      </c>
      <c r="E307" s="22">
        <v>146433</v>
      </c>
      <c r="F307" s="80" t="s">
        <v>399</v>
      </c>
      <c r="G307" s="25">
        <v>89.600000000000009</v>
      </c>
      <c r="H307" s="85">
        <f t="shared" si="441"/>
        <v>0</v>
      </c>
      <c r="I307" s="85">
        <f t="shared" si="442"/>
        <v>0</v>
      </c>
      <c r="J307" s="85">
        <f t="shared" si="443"/>
        <v>0</v>
      </c>
      <c r="K307" s="85">
        <f t="shared" si="444"/>
        <v>0</v>
      </c>
      <c r="L307" s="85">
        <f t="shared" si="445"/>
        <v>0</v>
      </c>
      <c r="M307" s="86">
        <f t="shared" si="446"/>
        <v>0</v>
      </c>
      <c r="N307" s="87">
        <f t="shared" si="447"/>
        <v>0</v>
      </c>
      <c r="O307" s="87">
        <f t="shared" si="448"/>
        <v>0</v>
      </c>
      <c r="P307" s="87">
        <f t="shared" si="449"/>
        <v>0</v>
      </c>
      <c r="Q307" s="87">
        <f t="shared" si="450"/>
        <v>0</v>
      </c>
      <c r="R307" s="87">
        <f t="shared" si="451"/>
        <v>0</v>
      </c>
      <c r="S307" s="87">
        <f t="shared" si="452"/>
        <v>0</v>
      </c>
      <c r="T307" s="87">
        <f t="shared" si="453"/>
        <v>0</v>
      </c>
      <c r="U307" s="87">
        <f t="shared" si="454"/>
        <v>0</v>
      </c>
      <c r="V307" s="87">
        <f t="shared" si="455"/>
        <v>0</v>
      </c>
      <c r="W307" s="87">
        <f t="shared" si="456"/>
        <v>0</v>
      </c>
      <c r="X307" s="87">
        <f t="shared" si="457"/>
        <v>0</v>
      </c>
      <c r="Y307" s="86">
        <f t="shared" si="458"/>
        <v>0</v>
      </c>
      <c r="Z307" s="87">
        <f t="shared" si="459"/>
        <v>0</v>
      </c>
      <c r="AA307" s="87">
        <f t="shared" si="460"/>
        <v>0</v>
      </c>
      <c r="AB307" s="87">
        <f t="shared" si="461"/>
        <v>0</v>
      </c>
      <c r="AC307" s="87">
        <f t="shared" si="462"/>
        <v>0</v>
      </c>
      <c r="AD307" s="87">
        <f t="shared" si="463"/>
        <v>0</v>
      </c>
      <c r="AE307" s="87">
        <f t="shared" si="464"/>
        <v>0</v>
      </c>
      <c r="AF307" s="87">
        <f t="shared" si="465"/>
        <v>0</v>
      </c>
      <c r="AG307" s="87">
        <f t="shared" si="466"/>
        <v>0</v>
      </c>
      <c r="AH307" s="87">
        <f t="shared" si="501"/>
        <v>0</v>
      </c>
      <c r="AI307" s="87">
        <f t="shared" si="502"/>
        <v>0</v>
      </c>
      <c r="AJ307" s="87">
        <f t="shared" si="503"/>
        <v>0</v>
      </c>
      <c r="AK307" s="86">
        <f t="shared" si="504"/>
        <v>0</v>
      </c>
      <c r="AL307" s="85">
        <v>0</v>
      </c>
      <c r="AM307" s="85">
        <v>0</v>
      </c>
      <c r="AN307" s="85">
        <v>0</v>
      </c>
      <c r="AO307" s="85">
        <v>0</v>
      </c>
      <c r="AP307" s="85">
        <v>0</v>
      </c>
      <c r="AQ307" s="86">
        <v>0</v>
      </c>
      <c r="AR307" s="87">
        <v>0</v>
      </c>
      <c r="AS307" s="87">
        <v>0</v>
      </c>
      <c r="AT307" s="87">
        <v>0</v>
      </c>
      <c r="AU307" s="87">
        <v>0</v>
      </c>
      <c r="AV307" s="87">
        <v>0</v>
      </c>
      <c r="AW307" s="87">
        <v>0</v>
      </c>
      <c r="AX307" s="87">
        <v>0</v>
      </c>
      <c r="AY307" s="87">
        <v>0</v>
      </c>
      <c r="AZ307" s="87">
        <v>0</v>
      </c>
      <c r="BA307" s="87">
        <v>0</v>
      </c>
      <c r="BB307" s="87">
        <v>0</v>
      </c>
      <c r="BC307" s="86">
        <v>0</v>
      </c>
      <c r="BD307" s="87">
        <v>0</v>
      </c>
      <c r="BE307" s="87">
        <v>0</v>
      </c>
      <c r="BF307" s="87">
        <v>0</v>
      </c>
      <c r="BG307" s="87">
        <v>0</v>
      </c>
      <c r="BH307" s="87">
        <v>0</v>
      </c>
      <c r="BI307" s="87">
        <v>0</v>
      </c>
      <c r="BJ307" s="40">
        <v>0</v>
      </c>
      <c r="BK307" s="40">
        <v>0</v>
      </c>
      <c r="BL307" s="40">
        <v>0</v>
      </c>
      <c r="BM307" s="40" t="s">
        <v>768</v>
      </c>
      <c r="BN307" s="87"/>
      <c r="BO307" s="86"/>
      <c r="BP307" s="21">
        <v>0</v>
      </c>
      <c r="BQ307" s="21">
        <v>0</v>
      </c>
      <c r="BR307" s="21">
        <v>0</v>
      </c>
      <c r="BS307" s="21">
        <v>0</v>
      </c>
      <c r="BT307" s="21">
        <v>0</v>
      </c>
      <c r="BU307" s="42">
        <v>0</v>
      </c>
      <c r="BV307" s="21">
        <v>0</v>
      </c>
      <c r="BW307" s="21">
        <v>0</v>
      </c>
      <c r="BX307" s="21">
        <v>0</v>
      </c>
      <c r="BY307" s="21">
        <v>0</v>
      </c>
      <c r="BZ307" s="21">
        <v>0</v>
      </c>
      <c r="CA307" s="21">
        <v>0</v>
      </c>
      <c r="CB307" s="21">
        <v>0</v>
      </c>
      <c r="CC307" s="21">
        <v>0</v>
      </c>
      <c r="CD307" s="21">
        <v>0</v>
      </c>
      <c r="CE307" s="21">
        <v>0</v>
      </c>
      <c r="CF307" s="21">
        <v>0</v>
      </c>
      <c r="CG307" s="42">
        <v>0</v>
      </c>
      <c r="CH307" s="21">
        <v>0</v>
      </c>
      <c r="CI307" s="21">
        <v>0</v>
      </c>
      <c r="CJ307" s="21">
        <v>0</v>
      </c>
      <c r="CK307" s="21">
        <v>0</v>
      </c>
      <c r="CL307" s="21">
        <v>0</v>
      </c>
      <c r="CM307" s="21">
        <v>0</v>
      </c>
      <c r="CN307" s="21">
        <v>0</v>
      </c>
      <c r="CO307" s="21">
        <v>0</v>
      </c>
      <c r="CP307" s="21">
        <f t="shared" si="471"/>
        <v>0</v>
      </c>
      <c r="CQ307" s="344">
        <f t="shared" si="472"/>
        <v>0</v>
      </c>
      <c r="CR307" s="87"/>
      <c r="CS307" s="86"/>
      <c r="CT307" s="85">
        <f t="shared" si="505"/>
        <v>0</v>
      </c>
      <c r="CU307" s="85">
        <f t="shared" si="506"/>
        <v>0</v>
      </c>
      <c r="CV307" s="85">
        <f t="shared" si="507"/>
        <v>0</v>
      </c>
      <c r="CW307" s="85">
        <f t="shared" si="508"/>
        <v>0</v>
      </c>
      <c r="CX307" s="85">
        <f t="shared" si="509"/>
        <v>0</v>
      </c>
      <c r="CY307" s="86">
        <f t="shared" si="510"/>
        <v>0</v>
      </c>
      <c r="CZ307" s="87">
        <f t="shared" si="511"/>
        <v>0</v>
      </c>
      <c r="DA307" s="87">
        <f t="shared" si="512"/>
        <v>0</v>
      </c>
      <c r="DB307" s="87">
        <f t="shared" si="513"/>
        <v>0</v>
      </c>
      <c r="DC307" s="87">
        <f t="shared" si="514"/>
        <v>0</v>
      </c>
      <c r="DD307" s="87">
        <f t="shared" si="515"/>
        <v>0</v>
      </c>
      <c r="DE307" s="87">
        <f t="shared" si="516"/>
        <v>0</v>
      </c>
      <c r="DF307" s="87">
        <f t="shared" si="517"/>
        <v>0</v>
      </c>
      <c r="DG307" s="87">
        <f t="shared" si="518"/>
        <v>0</v>
      </c>
      <c r="DH307" s="87">
        <f t="shared" si="519"/>
        <v>0</v>
      </c>
      <c r="DI307" s="87">
        <f t="shared" si="520"/>
        <v>0</v>
      </c>
      <c r="DJ307" s="87">
        <f t="shared" si="521"/>
        <v>0</v>
      </c>
      <c r="DK307" s="86">
        <f t="shared" si="522"/>
        <v>0</v>
      </c>
      <c r="DL307" s="87">
        <f t="shared" si="523"/>
        <v>0</v>
      </c>
      <c r="DM307" s="87">
        <f t="shared" si="524"/>
        <v>0</v>
      </c>
      <c r="DN307" s="87">
        <f t="shared" si="525"/>
        <v>0</v>
      </c>
      <c r="DO307" s="87">
        <f t="shared" si="526"/>
        <v>0</v>
      </c>
      <c r="DP307" s="87">
        <f t="shared" si="527"/>
        <v>0</v>
      </c>
      <c r="DQ307" s="87">
        <f t="shared" si="528"/>
        <v>0</v>
      </c>
      <c r="DR307" s="87">
        <f t="shared" si="533"/>
        <v>0</v>
      </c>
      <c r="DS307" s="87">
        <f t="shared" si="534"/>
        <v>0</v>
      </c>
      <c r="DT307" s="87">
        <f t="shared" si="529"/>
        <v>0</v>
      </c>
      <c r="DU307" s="87">
        <f t="shared" si="530"/>
        <v>0</v>
      </c>
      <c r="DV307" s="87">
        <f t="shared" si="531"/>
        <v>0</v>
      </c>
      <c r="DW307" s="87">
        <f t="shared" si="532"/>
        <v>0</v>
      </c>
    </row>
    <row r="308" spans="1:127">
      <c r="A308" s="22" t="s">
        <v>22</v>
      </c>
      <c r="B308" s="26">
        <v>4987176209306</v>
      </c>
      <c r="C308" s="22" t="s">
        <v>118</v>
      </c>
      <c r="D308" s="22" t="s">
        <v>120</v>
      </c>
      <c r="E308" s="22">
        <v>211399</v>
      </c>
      <c r="F308" s="80" t="s">
        <v>400</v>
      </c>
      <c r="G308" s="25">
        <v>89.600000000000009</v>
      </c>
      <c r="H308" s="85">
        <f t="shared" si="441"/>
        <v>11020.800000000001</v>
      </c>
      <c r="I308" s="85">
        <f t="shared" si="442"/>
        <v>11110.400000000001</v>
      </c>
      <c r="J308" s="85">
        <f t="shared" si="443"/>
        <v>6720.0000000000009</v>
      </c>
      <c r="K308" s="85">
        <f t="shared" si="444"/>
        <v>5107.2000000000007</v>
      </c>
      <c r="L308" s="85">
        <f t="shared" si="445"/>
        <v>2150.4</v>
      </c>
      <c r="M308" s="86">
        <f t="shared" si="446"/>
        <v>358.40000000000003</v>
      </c>
      <c r="N308" s="87">
        <f t="shared" si="447"/>
        <v>179.20000000000002</v>
      </c>
      <c r="O308" s="87">
        <f t="shared" si="448"/>
        <v>268.8</v>
      </c>
      <c r="P308" s="87">
        <f t="shared" si="449"/>
        <v>89.600000000000009</v>
      </c>
      <c r="Q308" s="87">
        <f t="shared" si="450"/>
        <v>0</v>
      </c>
      <c r="R308" s="87">
        <f t="shared" si="451"/>
        <v>0</v>
      </c>
      <c r="S308" s="87">
        <f t="shared" si="452"/>
        <v>0</v>
      </c>
      <c r="T308" s="87">
        <f t="shared" si="453"/>
        <v>0</v>
      </c>
      <c r="U308" s="87">
        <f t="shared" si="454"/>
        <v>0</v>
      </c>
      <c r="V308" s="87">
        <f t="shared" si="455"/>
        <v>0</v>
      </c>
      <c r="W308" s="87">
        <f t="shared" si="456"/>
        <v>0</v>
      </c>
      <c r="X308" s="87">
        <f t="shared" si="457"/>
        <v>0</v>
      </c>
      <c r="Y308" s="86">
        <f t="shared" si="458"/>
        <v>0</v>
      </c>
      <c r="Z308" s="87">
        <f t="shared" si="459"/>
        <v>0</v>
      </c>
      <c r="AA308" s="87">
        <f t="shared" si="460"/>
        <v>0</v>
      </c>
      <c r="AB308" s="87">
        <f t="shared" si="461"/>
        <v>0</v>
      </c>
      <c r="AC308" s="87">
        <f t="shared" si="462"/>
        <v>0</v>
      </c>
      <c r="AD308" s="87">
        <f t="shared" si="463"/>
        <v>0</v>
      </c>
      <c r="AE308" s="87">
        <f t="shared" si="464"/>
        <v>0</v>
      </c>
      <c r="AF308" s="87">
        <f t="shared" si="465"/>
        <v>0</v>
      </c>
      <c r="AG308" s="87">
        <f t="shared" si="466"/>
        <v>0</v>
      </c>
      <c r="AH308" s="87">
        <f t="shared" si="501"/>
        <v>0</v>
      </c>
      <c r="AI308" s="87">
        <f t="shared" si="502"/>
        <v>0</v>
      </c>
      <c r="AJ308" s="87">
        <f t="shared" si="503"/>
        <v>0</v>
      </c>
      <c r="AK308" s="86">
        <f t="shared" si="504"/>
        <v>0</v>
      </c>
      <c r="AL308" s="85">
        <v>121</v>
      </c>
      <c r="AM308" s="85">
        <v>124</v>
      </c>
      <c r="AN308" s="85">
        <v>75</v>
      </c>
      <c r="AO308" s="85">
        <v>57</v>
      </c>
      <c r="AP308" s="85">
        <v>24</v>
      </c>
      <c r="AQ308" s="86">
        <v>4</v>
      </c>
      <c r="AR308" s="87">
        <v>2</v>
      </c>
      <c r="AS308" s="87">
        <v>3</v>
      </c>
      <c r="AT308" s="87">
        <v>1</v>
      </c>
      <c r="AU308" s="87">
        <v>0</v>
      </c>
      <c r="AV308" s="87">
        <v>0</v>
      </c>
      <c r="AW308" s="87">
        <v>0</v>
      </c>
      <c r="AX308" s="87">
        <v>0</v>
      </c>
      <c r="AY308" s="87">
        <v>0</v>
      </c>
      <c r="AZ308" s="87">
        <v>0</v>
      </c>
      <c r="BA308" s="87">
        <v>0</v>
      </c>
      <c r="BB308" s="87">
        <v>0</v>
      </c>
      <c r="BC308" s="86">
        <v>0</v>
      </c>
      <c r="BD308" s="87">
        <v>0</v>
      </c>
      <c r="BE308" s="87">
        <v>0</v>
      </c>
      <c r="BF308" s="87">
        <v>0</v>
      </c>
      <c r="BG308" s="87">
        <v>0</v>
      </c>
      <c r="BH308" s="87">
        <v>0</v>
      </c>
      <c r="BI308" s="87">
        <v>0</v>
      </c>
      <c r="BJ308" s="40">
        <v>0</v>
      </c>
      <c r="BK308" s="40">
        <v>0</v>
      </c>
      <c r="BL308" s="40">
        <v>0</v>
      </c>
      <c r="BM308" s="40">
        <v>0</v>
      </c>
      <c r="BN308" s="87"/>
      <c r="BO308" s="86"/>
      <c r="BP308" s="21">
        <v>2</v>
      </c>
      <c r="BQ308" s="21">
        <v>0</v>
      </c>
      <c r="BR308" s="21">
        <v>0</v>
      </c>
      <c r="BS308" s="21">
        <v>0</v>
      </c>
      <c r="BT308" s="21">
        <v>0</v>
      </c>
      <c r="BU308" s="42">
        <v>0</v>
      </c>
      <c r="BV308" s="21">
        <v>0</v>
      </c>
      <c r="BW308" s="21">
        <v>0</v>
      </c>
      <c r="BX308" s="21">
        <v>0</v>
      </c>
      <c r="BY308" s="21">
        <v>0</v>
      </c>
      <c r="BZ308" s="21">
        <v>0</v>
      </c>
      <c r="CA308" s="21">
        <v>0</v>
      </c>
      <c r="CB308" s="21">
        <v>0</v>
      </c>
      <c r="CC308" s="21">
        <v>0</v>
      </c>
      <c r="CD308" s="21">
        <v>0</v>
      </c>
      <c r="CE308" s="21">
        <v>0</v>
      </c>
      <c r="CF308" s="21">
        <v>0</v>
      </c>
      <c r="CG308" s="42">
        <v>0</v>
      </c>
      <c r="CH308" s="21">
        <v>0</v>
      </c>
      <c r="CI308" s="21">
        <v>0</v>
      </c>
      <c r="CJ308" s="21">
        <v>0</v>
      </c>
      <c r="CK308" s="21">
        <v>0</v>
      </c>
      <c r="CL308" s="21">
        <v>0</v>
      </c>
      <c r="CM308" s="21">
        <v>0</v>
      </c>
      <c r="CN308" s="21">
        <v>0</v>
      </c>
      <c r="CO308" s="21">
        <v>0</v>
      </c>
      <c r="CP308" s="21">
        <f t="shared" si="471"/>
        <v>0</v>
      </c>
      <c r="CQ308" s="344">
        <f t="shared" si="472"/>
        <v>0</v>
      </c>
      <c r="CR308" s="87"/>
      <c r="CS308" s="86"/>
      <c r="CT308" s="85">
        <f t="shared" si="505"/>
        <v>123</v>
      </c>
      <c r="CU308" s="85">
        <f t="shared" si="506"/>
        <v>124</v>
      </c>
      <c r="CV308" s="85">
        <f t="shared" si="507"/>
        <v>75</v>
      </c>
      <c r="CW308" s="85">
        <f t="shared" si="508"/>
        <v>57</v>
      </c>
      <c r="CX308" s="85">
        <f t="shared" si="509"/>
        <v>24</v>
      </c>
      <c r="CY308" s="86">
        <f t="shared" si="510"/>
        <v>4</v>
      </c>
      <c r="CZ308" s="87">
        <f t="shared" si="511"/>
        <v>2</v>
      </c>
      <c r="DA308" s="87">
        <f t="shared" si="512"/>
        <v>3</v>
      </c>
      <c r="DB308" s="87">
        <f t="shared" si="513"/>
        <v>1</v>
      </c>
      <c r="DC308" s="87">
        <f t="shared" si="514"/>
        <v>0</v>
      </c>
      <c r="DD308" s="87">
        <f t="shared" si="515"/>
        <v>0</v>
      </c>
      <c r="DE308" s="87">
        <f t="shared" si="516"/>
        <v>0</v>
      </c>
      <c r="DF308" s="87">
        <f t="shared" si="517"/>
        <v>0</v>
      </c>
      <c r="DG308" s="87">
        <f t="shared" si="518"/>
        <v>0</v>
      </c>
      <c r="DH308" s="87">
        <f t="shared" si="519"/>
        <v>0</v>
      </c>
      <c r="DI308" s="87">
        <f t="shared" si="520"/>
        <v>0</v>
      </c>
      <c r="DJ308" s="87">
        <f t="shared" si="521"/>
        <v>0</v>
      </c>
      <c r="DK308" s="86">
        <f t="shared" si="522"/>
        <v>0</v>
      </c>
      <c r="DL308" s="87">
        <f t="shared" si="523"/>
        <v>0</v>
      </c>
      <c r="DM308" s="87">
        <f t="shared" si="524"/>
        <v>0</v>
      </c>
      <c r="DN308" s="87">
        <f t="shared" si="525"/>
        <v>0</v>
      </c>
      <c r="DO308" s="87">
        <f t="shared" si="526"/>
        <v>0</v>
      </c>
      <c r="DP308" s="87">
        <f t="shared" si="527"/>
        <v>0</v>
      </c>
      <c r="DQ308" s="87">
        <f t="shared" si="528"/>
        <v>0</v>
      </c>
      <c r="DR308" s="87">
        <f t="shared" si="533"/>
        <v>0</v>
      </c>
      <c r="DS308" s="87">
        <f t="shared" si="534"/>
        <v>0</v>
      </c>
      <c r="DT308" s="87">
        <f t="shared" si="529"/>
        <v>0</v>
      </c>
      <c r="DU308" s="87">
        <f t="shared" si="530"/>
        <v>0</v>
      </c>
      <c r="DV308" s="87">
        <f t="shared" si="531"/>
        <v>0</v>
      </c>
      <c r="DW308" s="87">
        <f t="shared" si="532"/>
        <v>0</v>
      </c>
    </row>
    <row r="309" spans="1:127">
      <c r="A309" s="22" t="s">
        <v>22</v>
      </c>
      <c r="B309" s="26">
        <v>4987176157133</v>
      </c>
      <c r="C309" s="22" t="s">
        <v>118</v>
      </c>
      <c r="D309" s="22" t="s">
        <v>122</v>
      </c>
      <c r="E309" s="22">
        <v>151352</v>
      </c>
      <c r="F309" s="80" t="s">
        <v>401</v>
      </c>
      <c r="G309" s="25">
        <v>830</v>
      </c>
      <c r="H309" s="85">
        <f t="shared" si="441"/>
        <v>0</v>
      </c>
      <c r="I309" s="85">
        <f t="shared" si="442"/>
        <v>0</v>
      </c>
      <c r="J309" s="85">
        <f t="shared" si="443"/>
        <v>0</v>
      </c>
      <c r="K309" s="85">
        <f t="shared" si="444"/>
        <v>0</v>
      </c>
      <c r="L309" s="85">
        <f t="shared" si="445"/>
        <v>0</v>
      </c>
      <c r="M309" s="86">
        <f t="shared" si="446"/>
        <v>0</v>
      </c>
      <c r="N309" s="87">
        <f t="shared" si="447"/>
        <v>0</v>
      </c>
      <c r="O309" s="87">
        <f t="shared" si="448"/>
        <v>0</v>
      </c>
      <c r="P309" s="87">
        <f t="shared" si="449"/>
        <v>0</v>
      </c>
      <c r="Q309" s="87">
        <f t="shared" si="450"/>
        <v>0</v>
      </c>
      <c r="R309" s="87">
        <f t="shared" si="451"/>
        <v>0</v>
      </c>
      <c r="S309" s="87">
        <f t="shared" si="452"/>
        <v>0</v>
      </c>
      <c r="T309" s="87">
        <f t="shared" si="453"/>
        <v>0</v>
      </c>
      <c r="U309" s="87">
        <f t="shared" si="454"/>
        <v>0</v>
      </c>
      <c r="V309" s="87">
        <f t="shared" si="455"/>
        <v>0</v>
      </c>
      <c r="W309" s="87">
        <f t="shared" si="456"/>
        <v>0</v>
      </c>
      <c r="X309" s="87">
        <f t="shared" si="457"/>
        <v>0</v>
      </c>
      <c r="Y309" s="86">
        <f t="shared" si="458"/>
        <v>0</v>
      </c>
      <c r="Z309" s="87">
        <f t="shared" si="459"/>
        <v>0</v>
      </c>
      <c r="AA309" s="87">
        <f t="shared" si="460"/>
        <v>0</v>
      </c>
      <c r="AB309" s="87">
        <f t="shared" si="461"/>
        <v>0</v>
      </c>
      <c r="AC309" s="87">
        <f t="shared" si="462"/>
        <v>0</v>
      </c>
      <c r="AD309" s="87">
        <f t="shared" si="463"/>
        <v>0</v>
      </c>
      <c r="AE309" s="87">
        <f t="shared" si="464"/>
        <v>0</v>
      </c>
      <c r="AF309" s="87">
        <f t="shared" si="465"/>
        <v>0</v>
      </c>
      <c r="AG309" s="87">
        <f t="shared" si="466"/>
        <v>0</v>
      </c>
      <c r="AH309" s="87">
        <f t="shared" si="501"/>
        <v>0</v>
      </c>
      <c r="AI309" s="87">
        <f t="shared" si="502"/>
        <v>0</v>
      </c>
      <c r="AJ309" s="87">
        <f t="shared" si="503"/>
        <v>0</v>
      </c>
      <c r="AK309" s="86">
        <f t="shared" si="504"/>
        <v>0</v>
      </c>
      <c r="AL309" s="85">
        <v>0</v>
      </c>
      <c r="AM309" s="85">
        <v>0</v>
      </c>
      <c r="AN309" s="85">
        <v>0</v>
      </c>
      <c r="AO309" s="85">
        <v>0</v>
      </c>
      <c r="AP309" s="85">
        <v>0</v>
      </c>
      <c r="AQ309" s="86">
        <v>0</v>
      </c>
      <c r="AR309" s="87">
        <v>0</v>
      </c>
      <c r="AS309" s="87">
        <v>0</v>
      </c>
      <c r="AT309" s="87">
        <v>0</v>
      </c>
      <c r="AU309" s="87">
        <v>0</v>
      </c>
      <c r="AV309" s="87">
        <v>0</v>
      </c>
      <c r="AW309" s="87">
        <v>0</v>
      </c>
      <c r="AX309" s="87">
        <v>0</v>
      </c>
      <c r="AY309" s="87">
        <v>0</v>
      </c>
      <c r="AZ309" s="87">
        <v>0</v>
      </c>
      <c r="BA309" s="87">
        <v>0</v>
      </c>
      <c r="BB309" s="87">
        <v>0</v>
      </c>
      <c r="BC309" s="86">
        <v>0</v>
      </c>
      <c r="BD309" s="87">
        <v>0</v>
      </c>
      <c r="BE309" s="87">
        <v>0</v>
      </c>
      <c r="BF309" s="87">
        <v>0</v>
      </c>
      <c r="BG309" s="87">
        <v>0</v>
      </c>
      <c r="BH309" s="87">
        <v>0</v>
      </c>
      <c r="BI309" s="87">
        <v>0</v>
      </c>
      <c r="BJ309" s="40">
        <v>0</v>
      </c>
      <c r="BK309" s="40">
        <v>0</v>
      </c>
      <c r="BL309" s="40">
        <v>0</v>
      </c>
      <c r="BM309" s="40" t="s">
        <v>768</v>
      </c>
      <c r="BN309" s="87"/>
      <c r="BO309" s="86"/>
      <c r="BP309" s="21">
        <v>0</v>
      </c>
      <c r="BQ309" s="21">
        <v>0</v>
      </c>
      <c r="BR309" s="21">
        <v>0</v>
      </c>
      <c r="BS309" s="21">
        <v>0</v>
      </c>
      <c r="BT309" s="21">
        <v>0</v>
      </c>
      <c r="BU309" s="42">
        <v>0</v>
      </c>
      <c r="BV309" s="21">
        <v>0</v>
      </c>
      <c r="BW309" s="21">
        <v>0</v>
      </c>
      <c r="BX309" s="21">
        <v>0</v>
      </c>
      <c r="BY309" s="21">
        <v>0</v>
      </c>
      <c r="BZ309" s="21">
        <v>0</v>
      </c>
      <c r="CA309" s="21">
        <v>0</v>
      </c>
      <c r="CB309" s="21">
        <v>0</v>
      </c>
      <c r="CC309" s="21">
        <v>0</v>
      </c>
      <c r="CD309" s="21">
        <v>0</v>
      </c>
      <c r="CE309" s="21">
        <v>0</v>
      </c>
      <c r="CF309" s="21">
        <v>0</v>
      </c>
      <c r="CG309" s="42">
        <v>0</v>
      </c>
      <c r="CH309" s="21">
        <v>0</v>
      </c>
      <c r="CI309" s="21">
        <v>0</v>
      </c>
      <c r="CJ309" s="21">
        <v>0</v>
      </c>
      <c r="CK309" s="21">
        <v>0</v>
      </c>
      <c r="CL309" s="21">
        <v>0</v>
      </c>
      <c r="CM309" s="21">
        <v>0</v>
      </c>
      <c r="CN309" s="21">
        <v>0</v>
      </c>
      <c r="CO309" s="21">
        <v>0</v>
      </c>
      <c r="CP309" s="21">
        <f t="shared" si="471"/>
        <v>0</v>
      </c>
      <c r="CQ309" s="344">
        <f t="shared" si="472"/>
        <v>0</v>
      </c>
      <c r="CR309" s="87"/>
      <c r="CS309" s="86"/>
      <c r="CT309" s="85">
        <f t="shared" si="505"/>
        <v>0</v>
      </c>
      <c r="CU309" s="85">
        <f t="shared" si="506"/>
        <v>0</v>
      </c>
      <c r="CV309" s="85">
        <f t="shared" si="507"/>
        <v>0</v>
      </c>
      <c r="CW309" s="85">
        <f t="shared" si="508"/>
        <v>0</v>
      </c>
      <c r="CX309" s="85">
        <f t="shared" si="509"/>
        <v>0</v>
      </c>
      <c r="CY309" s="86">
        <f t="shared" si="510"/>
        <v>0</v>
      </c>
      <c r="CZ309" s="87">
        <f t="shared" si="511"/>
        <v>0</v>
      </c>
      <c r="DA309" s="87">
        <f t="shared" si="512"/>
        <v>0</v>
      </c>
      <c r="DB309" s="87">
        <f t="shared" si="513"/>
        <v>0</v>
      </c>
      <c r="DC309" s="87">
        <f t="shared" si="514"/>
        <v>0</v>
      </c>
      <c r="DD309" s="87">
        <f t="shared" si="515"/>
        <v>0</v>
      </c>
      <c r="DE309" s="87">
        <f t="shared" si="516"/>
        <v>0</v>
      </c>
      <c r="DF309" s="87">
        <f t="shared" si="517"/>
        <v>0</v>
      </c>
      <c r="DG309" s="87">
        <f t="shared" si="518"/>
        <v>0</v>
      </c>
      <c r="DH309" s="87">
        <f t="shared" si="519"/>
        <v>0</v>
      </c>
      <c r="DI309" s="87">
        <f t="shared" si="520"/>
        <v>0</v>
      </c>
      <c r="DJ309" s="87">
        <f t="shared" si="521"/>
        <v>0</v>
      </c>
      <c r="DK309" s="86">
        <f t="shared" si="522"/>
        <v>0</v>
      </c>
      <c r="DL309" s="87">
        <f t="shared" si="523"/>
        <v>0</v>
      </c>
      <c r="DM309" s="87">
        <f t="shared" si="524"/>
        <v>0</v>
      </c>
      <c r="DN309" s="87">
        <f t="shared" si="525"/>
        <v>0</v>
      </c>
      <c r="DO309" s="87">
        <f t="shared" si="526"/>
        <v>0</v>
      </c>
      <c r="DP309" s="87">
        <f t="shared" si="527"/>
        <v>0</v>
      </c>
      <c r="DQ309" s="87">
        <f t="shared" si="528"/>
        <v>0</v>
      </c>
      <c r="DR309" s="87">
        <f t="shared" si="533"/>
        <v>0</v>
      </c>
      <c r="DS309" s="87">
        <f t="shared" si="534"/>
        <v>0</v>
      </c>
      <c r="DT309" s="87">
        <f t="shared" si="529"/>
        <v>0</v>
      </c>
      <c r="DU309" s="87">
        <f t="shared" si="530"/>
        <v>0</v>
      </c>
      <c r="DV309" s="87">
        <f t="shared" si="531"/>
        <v>0</v>
      </c>
      <c r="DW309" s="87">
        <f t="shared" si="532"/>
        <v>0</v>
      </c>
    </row>
    <row r="310" spans="1:127">
      <c r="A310" s="22" t="s">
        <v>22</v>
      </c>
      <c r="B310" s="26">
        <v>4987176139436</v>
      </c>
      <c r="C310" s="22" t="s">
        <v>118</v>
      </c>
      <c r="D310" s="22" t="s">
        <v>120</v>
      </c>
      <c r="E310" s="22">
        <v>192335</v>
      </c>
      <c r="F310" s="80" t="s">
        <v>402</v>
      </c>
      <c r="G310" s="25">
        <v>103.8</v>
      </c>
      <c r="H310" s="85">
        <f t="shared" si="441"/>
        <v>82521</v>
      </c>
      <c r="I310" s="85">
        <f t="shared" si="442"/>
        <v>77331</v>
      </c>
      <c r="J310" s="85">
        <f t="shared" si="443"/>
        <v>94873.2</v>
      </c>
      <c r="K310" s="85">
        <f t="shared" si="444"/>
        <v>63837</v>
      </c>
      <c r="L310" s="85">
        <f t="shared" si="445"/>
        <v>72452.399999999994</v>
      </c>
      <c r="M310" s="86">
        <f t="shared" si="446"/>
        <v>107121.59999999999</v>
      </c>
      <c r="N310" s="87">
        <f t="shared" si="447"/>
        <v>72867.599999999991</v>
      </c>
      <c r="O310" s="87">
        <f t="shared" si="448"/>
        <v>102554.4</v>
      </c>
      <c r="P310" s="87">
        <f t="shared" si="449"/>
        <v>30517.200000000001</v>
      </c>
      <c r="Q310" s="87">
        <f t="shared" si="450"/>
        <v>80860.2</v>
      </c>
      <c r="R310" s="87">
        <f t="shared" si="451"/>
        <v>144178.19999999998</v>
      </c>
      <c r="S310" s="87">
        <f t="shared" si="452"/>
        <v>84181.8</v>
      </c>
      <c r="T310" s="87">
        <f t="shared" si="453"/>
        <v>111688.8</v>
      </c>
      <c r="U310" s="87">
        <f t="shared" si="454"/>
        <v>87814.8</v>
      </c>
      <c r="V310" s="87">
        <f t="shared" si="455"/>
        <v>87295.8</v>
      </c>
      <c r="W310" s="87">
        <f t="shared" si="456"/>
        <v>83870.399999999994</v>
      </c>
      <c r="X310" s="87">
        <f t="shared" si="457"/>
        <v>130580.4</v>
      </c>
      <c r="Y310" s="86">
        <f t="shared" si="458"/>
        <v>110858.4</v>
      </c>
      <c r="Z310" s="87">
        <f t="shared" si="459"/>
        <v>129334.8</v>
      </c>
      <c r="AA310" s="87">
        <f t="shared" si="460"/>
        <v>128193</v>
      </c>
      <c r="AB310" s="87">
        <f t="shared" si="461"/>
        <v>102139.2</v>
      </c>
      <c r="AC310" s="87">
        <f t="shared" si="462"/>
        <v>163485</v>
      </c>
      <c r="AD310" s="87">
        <f t="shared" si="463"/>
        <v>105253.2</v>
      </c>
      <c r="AE310" s="87">
        <f t="shared" si="464"/>
        <v>165249.60000000001</v>
      </c>
      <c r="AF310" s="87">
        <f t="shared" si="465"/>
        <v>116463.59999999999</v>
      </c>
      <c r="AG310" s="87">
        <f t="shared" si="466"/>
        <v>117813</v>
      </c>
      <c r="AH310" s="87">
        <f t="shared" si="501"/>
        <v>124663.8</v>
      </c>
      <c r="AI310" s="87">
        <f t="shared" si="502"/>
        <v>143912.93333333332</v>
      </c>
      <c r="AJ310" s="87">
        <f t="shared" si="503"/>
        <v>0</v>
      </c>
      <c r="AK310" s="86">
        <f t="shared" si="504"/>
        <v>0</v>
      </c>
      <c r="AL310" s="85">
        <v>767</v>
      </c>
      <c r="AM310" s="85">
        <v>725</v>
      </c>
      <c r="AN310" s="85">
        <v>873</v>
      </c>
      <c r="AO310" s="85">
        <v>606</v>
      </c>
      <c r="AP310" s="85">
        <v>685</v>
      </c>
      <c r="AQ310" s="86">
        <v>972</v>
      </c>
      <c r="AR310" s="87">
        <v>692</v>
      </c>
      <c r="AS310" s="87">
        <v>982</v>
      </c>
      <c r="AT310" s="87">
        <v>282</v>
      </c>
      <c r="AU310" s="87">
        <v>754</v>
      </c>
      <c r="AV310" s="87">
        <v>1363</v>
      </c>
      <c r="AW310" s="87">
        <v>784</v>
      </c>
      <c r="AX310" s="87">
        <v>1055</v>
      </c>
      <c r="AY310" s="87">
        <v>790</v>
      </c>
      <c r="AZ310" s="87">
        <v>813</v>
      </c>
      <c r="BA310" s="87">
        <v>783</v>
      </c>
      <c r="BB310" s="87">
        <v>1180</v>
      </c>
      <c r="BC310" s="86">
        <v>1047</v>
      </c>
      <c r="BD310" s="87">
        <v>1187</v>
      </c>
      <c r="BE310" s="87">
        <v>1212</v>
      </c>
      <c r="BF310" s="87">
        <v>958</v>
      </c>
      <c r="BG310" s="87">
        <v>1546</v>
      </c>
      <c r="BH310" s="87">
        <v>922</v>
      </c>
      <c r="BI310" s="87">
        <v>1568</v>
      </c>
      <c r="BJ310" s="40">
        <v>1101</v>
      </c>
      <c r="BK310" s="40">
        <v>1126</v>
      </c>
      <c r="BL310" s="40">
        <v>1192</v>
      </c>
      <c r="BM310" s="40">
        <v>1354</v>
      </c>
      <c r="BN310" s="87"/>
      <c r="BO310" s="86"/>
      <c r="BP310" s="21">
        <v>28</v>
      </c>
      <c r="BQ310" s="21">
        <v>20</v>
      </c>
      <c r="BR310" s="21">
        <v>41</v>
      </c>
      <c r="BS310" s="21">
        <v>9</v>
      </c>
      <c r="BT310" s="21">
        <v>13</v>
      </c>
      <c r="BU310" s="42">
        <v>60</v>
      </c>
      <c r="BV310" s="21">
        <v>10</v>
      </c>
      <c r="BW310" s="21">
        <v>6</v>
      </c>
      <c r="BX310" s="21">
        <v>12</v>
      </c>
      <c r="BY310" s="21">
        <v>25</v>
      </c>
      <c r="BZ310" s="21">
        <v>26</v>
      </c>
      <c r="CA310" s="21">
        <v>27</v>
      </c>
      <c r="CB310" s="21">
        <v>21</v>
      </c>
      <c r="CC310" s="21">
        <v>56</v>
      </c>
      <c r="CD310" s="21">
        <v>28</v>
      </c>
      <c r="CE310" s="21">
        <v>25</v>
      </c>
      <c r="CF310" s="21">
        <v>78</v>
      </c>
      <c r="CG310" s="42">
        <v>21</v>
      </c>
      <c r="CH310" s="21">
        <v>59</v>
      </c>
      <c r="CI310" s="21">
        <v>23</v>
      </c>
      <c r="CJ310" s="21">
        <v>26</v>
      </c>
      <c r="CK310" s="21">
        <v>29</v>
      </c>
      <c r="CL310" s="21">
        <v>92</v>
      </c>
      <c r="CM310" s="21">
        <v>24</v>
      </c>
      <c r="CN310" s="21">
        <v>21</v>
      </c>
      <c r="CO310" s="21">
        <v>9</v>
      </c>
      <c r="CP310" s="21">
        <f t="shared" si="471"/>
        <v>9</v>
      </c>
      <c r="CQ310" s="344">
        <f t="shared" si="472"/>
        <v>32.444444444444443</v>
      </c>
      <c r="CR310" s="87"/>
      <c r="CS310" s="86"/>
      <c r="CT310" s="85">
        <f t="shared" si="505"/>
        <v>795</v>
      </c>
      <c r="CU310" s="85">
        <f t="shared" si="506"/>
        <v>745</v>
      </c>
      <c r="CV310" s="85">
        <f t="shared" si="507"/>
        <v>914</v>
      </c>
      <c r="CW310" s="85">
        <f t="shared" si="508"/>
        <v>615</v>
      </c>
      <c r="CX310" s="85">
        <f t="shared" si="509"/>
        <v>698</v>
      </c>
      <c r="CY310" s="86">
        <f t="shared" si="510"/>
        <v>1032</v>
      </c>
      <c r="CZ310" s="87">
        <f t="shared" si="511"/>
        <v>702</v>
      </c>
      <c r="DA310" s="87">
        <f t="shared" si="512"/>
        <v>988</v>
      </c>
      <c r="DB310" s="87">
        <f t="shared" si="513"/>
        <v>294</v>
      </c>
      <c r="DC310" s="87">
        <f t="shared" si="514"/>
        <v>779</v>
      </c>
      <c r="DD310" s="87">
        <f t="shared" si="515"/>
        <v>1389</v>
      </c>
      <c r="DE310" s="87">
        <f t="shared" si="516"/>
        <v>811</v>
      </c>
      <c r="DF310" s="87">
        <f t="shared" si="517"/>
        <v>1076</v>
      </c>
      <c r="DG310" s="87">
        <f t="shared" si="518"/>
        <v>846</v>
      </c>
      <c r="DH310" s="87">
        <f t="shared" si="519"/>
        <v>841</v>
      </c>
      <c r="DI310" s="87">
        <f t="shared" si="520"/>
        <v>808</v>
      </c>
      <c r="DJ310" s="87">
        <f t="shared" si="521"/>
        <v>1258</v>
      </c>
      <c r="DK310" s="86">
        <f t="shared" si="522"/>
        <v>1068</v>
      </c>
      <c r="DL310" s="87">
        <f t="shared" si="523"/>
        <v>1246</v>
      </c>
      <c r="DM310" s="87">
        <f t="shared" si="524"/>
        <v>1235</v>
      </c>
      <c r="DN310" s="87">
        <f t="shared" si="525"/>
        <v>984</v>
      </c>
      <c r="DO310" s="87">
        <f t="shared" si="526"/>
        <v>1575</v>
      </c>
      <c r="DP310" s="87">
        <f t="shared" si="527"/>
        <v>1014</v>
      </c>
      <c r="DQ310" s="87">
        <f t="shared" si="528"/>
        <v>1592</v>
      </c>
      <c r="DR310" s="87">
        <f t="shared" si="533"/>
        <v>1122</v>
      </c>
      <c r="DS310" s="87">
        <f t="shared" si="534"/>
        <v>1135</v>
      </c>
      <c r="DT310" s="87">
        <f t="shared" si="529"/>
        <v>1201</v>
      </c>
      <c r="DU310" s="87">
        <f t="shared" si="530"/>
        <v>1386.4444444444443</v>
      </c>
      <c r="DV310" s="87">
        <f t="shared" si="531"/>
        <v>0</v>
      </c>
      <c r="DW310" s="87">
        <f t="shared" si="532"/>
        <v>0</v>
      </c>
    </row>
    <row r="311" spans="1:127">
      <c r="A311" s="22" t="s">
        <v>22</v>
      </c>
      <c r="B311" s="26">
        <v>4987176139429</v>
      </c>
      <c r="C311" s="22" t="s">
        <v>118</v>
      </c>
      <c r="D311" s="22" t="s">
        <v>120</v>
      </c>
      <c r="E311" s="22">
        <v>192563</v>
      </c>
      <c r="F311" s="80" t="s">
        <v>403</v>
      </c>
      <c r="G311" s="25">
        <v>103.8</v>
      </c>
      <c r="H311" s="85">
        <f t="shared" si="441"/>
        <v>88749</v>
      </c>
      <c r="I311" s="85">
        <f t="shared" si="442"/>
        <v>93835.199999999997</v>
      </c>
      <c r="J311" s="85">
        <f t="shared" si="443"/>
        <v>109093.8</v>
      </c>
      <c r="K311" s="85">
        <f t="shared" si="444"/>
        <v>90098.4</v>
      </c>
      <c r="L311" s="85">
        <f t="shared" si="445"/>
        <v>95288.4</v>
      </c>
      <c r="M311" s="86">
        <f t="shared" si="446"/>
        <v>112000.2</v>
      </c>
      <c r="N311" s="87">
        <f t="shared" si="447"/>
        <v>77434.8</v>
      </c>
      <c r="O311" s="87">
        <f t="shared" si="448"/>
        <v>127570.2</v>
      </c>
      <c r="P311" s="87">
        <f t="shared" si="449"/>
        <v>66743.399999999994</v>
      </c>
      <c r="Q311" s="87">
        <f t="shared" si="450"/>
        <v>94042.8</v>
      </c>
      <c r="R311" s="87">
        <f t="shared" si="451"/>
        <v>159852</v>
      </c>
      <c r="S311" s="87">
        <f t="shared" si="452"/>
        <v>84597</v>
      </c>
      <c r="T311" s="87">
        <f t="shared" si="453"/>
        <v>107225.4</v>
      </c>
      <c r="U311" s="87">
        <f t="shared" si="454"/>
        <v>102658.2</v>
      </c>
      <c r="V311" s="87">
        <f t="shared" si="455"/>
        <v>87088.2</v>
      </c>
      <c r="W311" s="87">
        <f t="shared" si="456"/>
        <v>86465.4</v>
      </c>
      <c r="X311" s="87">
        <f t="shared" si="457"/>
        <v>125805.59999999999</v>
      </c>
      <c r="Y311" s="86">
        <f t="shared" si="458"/>
        <v>104111.4</v>
      </c>
      <c r="Z311" s="87">
        <f t="shared" si="459"/>
        <v>125182.8</v>
      </c>
      <c r="AA311" s="87">
        <f t="shared" si="460"/>
        <v>112519.2</v>
      </c>
      <c r="AB311" s="87">
        <f t="shared" si="461"/>
        <v>92901</v>
      </c>
      <c r="AC311" s="87">
        <f t="shared" si="462"/>
        <v>130372.8</v>
      </c>
      <c r="AD311" s="87">
        <f t="shared" si="463"/>
        <v>73801.8</v>
      </c>
      <c r="AE311" s="87">
        <f t="shared" si="464"/>
        <v>109405.2</v>
      </c>
      <c r="AF311" s="87">
        <f t="shared" si="465"/>
        <v>85842.599999999991</v>
      </c>
      <c r="AG311" s="87">
        <f t="shared" si="466"/>
        <v>86050.2</v>
      </c>
      <c r="AH311" s="87">
        <f t="shared" si="501"/>
        <v>93316.2</v>
      </c>
      <c r="AI311" s="87">
        <f t="shared" si="502"/>
        <v>99671.066666666666</v>
      </c>
      <c r="AJ311" s="87">
        <f t="shared" si="503"/>
        <v>0</v>
      </c>
      <c r="AK311" s="86">
        <f t="shared" si="504"/>
        <v>0</v>
      </c>
      <c r="AL311" s="85">
        <v>797</v>
      </c>
      <c r="AM311" s="85">
        <v>866</v>
      </c>
      <c r="AN311" s="85">
        <v>968</v>
      </c>
      <c r="AO311" s="85">
        <v>818</v>
      </c>
      <c r="AP311" s="85">
        <v>885</v>
      </c>
      <c r="AQ311" s="86">
        <v>946</v>
      </c>
      <c r="AR311" s="87">
        <v>707</v>
      </c>
      <c r="AS311" s="87">
        <v>1175</v>
      </c>
      <c r="AT311" s="87">
        <v>585</v>
      </c>
      <c r="AU311" s="87">
        <v>838</v>
      </c>
      <c r="AV311" s="87">
        <v>1473</v>
      </c>
      <c r="AW311" s="87">
        <v>767</v>
      </c>
      <c r="AX311" s="87">
        <v>1020</v>
      </c>
      <c r="AY311" s="87">
        <v>826</v>
      </c>
      <c r="AZ311" s="87">
        <v>804</v>
      </c>
      <c r="BA311" s="87">
        <v>795</v>
      </c>
      <c r="BB311" s="87">
        <v>1120</v>
      </c>
      <c r="BC311" s="86">
        <v>969</v>
      </c>
      <c r="BD311" s="87">
        <v>1143</v>
      </c>
      <c r="BE311" s="87">
        <v>1051</v>
      </c>
      <c r="BF311" s="87">
        <v>852</v>
      </c>
      <c r="BG311" s="87">
        <v>1211</v>
      </c>
      <c r="BH311" s="87">
        <v>623</v>
      </c>
      <c r="BI311" s="87">
        <v>1035</v>
      </c>
      <c r="BJ311" s="40">
        <v>798</v>
      </c>
      <c r="BK311" s="40">
        <v>817</v>
      </c>
      <c r="BL311" s="40">
        <v>887</v>
      </c>
      <c r="BM311" s="40">
        <v>922</v>
      </c>
      <c r="BN311" s="87"/>
      <c r="BO311" s="86"/>
      <c r="BP311" s="21">
        <v>58</v>
      </c>
      <c r="BQ311" s="21">
        <v>38</v>
      </c>
      <c r="BR311" s="21">
        <v>83</v>
      </c>
      <c r="BS311" s="21">
        <v>50</v>
      </c>
      <c r="BT311" s="21">
        <v>33</v>
      </c>
      <c r="BU311" s="42">
        <v>133</v>
      </c>
      <c r="BV311" s="21">
        <v>39</v>
      </c>
      <c r="BW311" s="21">
        <v>54</v>
      </c>
      <c r="BX311" s="21">
        <v>58</v>
      </c>
      <c r="BY311" s="21">
        <v>68</v>
      </c>
      <c r="BZ311" s="21">
        <v>67</v>
      </c>
      <c r="CA311" s="21">
        <v>48</v>
      </c>
      <c r="CB311" s="21">
        <v>13</v>
      </c>
      <c r="CC311" s="21">
        <v>163</v>
      </c>
      <c r="CD311" s="21">
        <v>35</v>
      </c>
      <c r="CE311" s="21">
        <v>38</v>
      </c>
      <c r="CF311" s="21">
        <v>92</v>
      </c>
      <c r="CG311" s="42">
        <v>34</v>
      </c>
      <c r="CH311" s="21">
        <v>63</v>
      </c>
      <c r="CI311" s="21">
        <v>33</v>
      </c>
      <c r="CJ311" s="21">
        <v>43</v>
      </c>
      <c r="CK311" s="21">
        <v>45</v>
      </c>
      <c r="CL311" s="21">
        <v>88</v>
      </c>
      <c r="CM311" s="21">
        <v>19</v>
      </c>
      <c r="CN311" s="21">
        <v>29</v>
      </c>
      <c r="CO311" s="21">
        <v>12</v>
      </c>
      <c r="CP311" s="21">
        <f t="shared" si="471"/>
        <v>12</v>
      </c>
      <c r="CQ311" s="344">
        <f t="shared" si="472"/>
        <v>38.222222222222221</v>
      </c>
      <c r="CR311" s="87"/>
      <c r="CS311" s="86"/>
      <c r="CT311" s="85">
        <f t="shared" si="505"/>
        <v>855</v>
      </c>
      <c r="CU311" s="85">
        <f t="shared" si="506"/>
        <v>904</v>
      </c>
      <c r="CV311" s="85">
        <f t="shared" si="507"/>
        <v>1051</v>
      </c>
      <c r="CW311" s="85">
        <f t="shared" si="508"/>
        <v>868</v>
      </c>
      <c r="CX311" s="85">
        <f t="shared" si="509"/>
        <v>918</v>
      </c>
      <c r="CY311" s="86">
        <f t="shared" si="510"/>
        <v>1079</v>
      </c>
      <c r="CZ311" s="87">
        <f t="shared" si="511"/>
        <v>746</v>
      </c>
      <c r="DA311" s="87">
        <f t="shared" si="512"/>
        <v>1229</v>
      </c>
      <c r="DB311" s="87">
        <f t="shared" si="513"/>
        <v>643</v>
      </c>
      <c r="DC311" s="87">
        <f t="shared" si="514"/>
        <v>906</v>
      </c>
      <c r="DD311" s="87">
        <f t="shared" si="515"/>
        <v>1540</v>
      </c>
      <c r="DE311" s="87">
        <f t="shared" si="516"/>
        <v>815</v>
      </c>
      <c r="DF311" s="87">
        <f t="shared" si="517"/>
        <v>1033</v>
      </c>
      <c r="DG311" s="87">
        <f t="shared" si="518"/>
        <v>989</v>
      </c>
      <c r="DH311" s="87">
        <f t="shared" si="519"/>
        <v>839</v>
      </c>
      <c r="DI311" s="87">
        <f t="shared" si="520"/>
        <v>833</v>
      </c>
      <c r="DJ311" s="87">
        <f t="shared" si="521"/>
        <v>1212</v>
      </c>
      <c r="DK311" s="86">
        <f t="shared" si="522"/>
        <v>1003</v>
      </c>
      <c r="DL311" s="87">
        <f t="shared" si="523"/>
        <v>1206</v>
      </c>
      <c r="DM311" s="87">
        <f t="shared" si="524"/>
        <v>1084</v>
      </c>
      <c r="DN311" s="87">
        <f t="shared" si="525"/>
        <v>895</v>
      </c>
      <c r="DO311" s="87">
        <f t="shared" si="526"/>
        <v>1256</v>
      </c>
      <c r="DP311" s="87">
        <f t="shared" si="527"/>
        <v>711</v>
      </c>
      <c r="DQ311" s="87">
        <f t="shared" si="528"/>
        <v>1054</v>
      </c>
      <c r="DR311" s="87">
        <f t="shared" si="533"/>
        <v>827</v>
      </c>
      <c r="DS311" s="87">
        <f t="shared" si="534"/>
        <v>829</v>
      </c>
      <c r="DT311" s="87">
        <f t="shared" si="529"/>
        <v>899</v>
      </c>
      <c r="DU311" s="87">
        <f t="shared" si="530"/>
        <v>960.22222222222217</v>
      </c>
      <c r="DV311" s="87">
        <f t="shared" si="531"/>
        <v>0</v>
      </c>
      <c r="DW311" s="87">
        <f t="shared" si="532"/>
        <v>0</v>
      </c>
    </row>
    <row r="312" spans="1:127">
      <c r="A312" s="22" t="s">
        <v>22</v>
      </c>
      <c r="B312" s="26">
        <v>4987176191564</v>
      </c>
      <c r="C312" s="22" t="s">
        <v>118</v>
      </c>
      <c r="D312" s="22" t="s">
        <v>120</v>
      </c>
      <c r="E312" s="22">
        <v>219191</v>
      </c>
      <c r="F312" s="80" t="s">
        <v>404</v>
      </c>
      <c r="G312" s="25">
        <v>101.39999999999999</v>
      </c>
      <c r="H312" s="85">
        <f t="shared" si="441"/>
        <v>121172.99999999999</v>
      </c>
      <c r="I312" s="85">
        <f t="shared" si="442"/>
        <v>136281.59999999998</v>
      </c>
      <c r="J312" s="85">
        <f t="shared" si="443"/>
        <v>154330.79999999999</v>
      </c>
      <c r="K312" s="85">
        <f t="shared" si="444"/>
        <v>125228.99999999999</v>
      </c>
      <c r="L312" s="85">
        <f t="shared" si="445"/>
        <v>158386.79999999999</v>
      </c>
      <c r="M312" s="86">
        <f t="shared" si="446"/>
        <v>198541.19999999998</v>
      </c>
      <c r="N312" s="87">
        <f t="shared" si="447"/>
        <v>127054.19999999998</v>
      </c>
      <c r="O312" s="87">
        <f t="shared" si="448"/>
        <v>194383.8</v>
      </c>
      <c r="P312" s="87">
        <f t="shared" si="449"/>
        <v>99169.2</v>
      </c>
      <c r="Q312" s="87">
        <f t="shared" si="450"/>
        <v>147131.4</v>
      </c>
      <c r="R312" s="87">
        <f t="shared" si="451"/>
        <v>253297.19999999998</v>
      </c>
      <c r="S312" s="87">
        <f t="shared" si="452"/>
        <v>126851.4</v>
      </c>
      <c r="T312" s="87">
        <f t="shared" si="453"/>
        <v>123606.59999999999</v>
      </c>
      <c r="U312" s="87">
        <f t="shared" si="454"/>
        <v>108497.99999999999</v>
      </c>
      <c r="V312" s="87">
        <f t="shared" si="455"/>
        <v>102413.99999999999</v>
      </c>
      <c r="W312" s="87">
        <f t="shared" si="456"/>
        <v>88826.4</v>
      </c>
      <c r="X312" s="87">
        <f t="shared" si="457"/>
        <v>141453</v>
      </c>
      <c r="Y312" s="86">
        <f t="shared" si="458"/>
        <v>107686.79999999999</v>
      </c>
      <c r="Z312" s="87">
        <f t="shared" si="459"/>
        <v>136687.19999999998</v>
      </c>
      <c r="AA312" s="87">
        <f t="shared" si="460"/>
        <v>130298.99999999999</v>
      </c>
      <c r="AB312" s="87">
        <f t="shared" si="461"/>
        <v>100487.4</v>
      </c>
      <c r="AC312" s="87">
        <f t="shared" si="462"/>
        <v>155953.19999999998</v>
      </c>
      <c r="AD312" s="87">
        <f t="shared" si="463"/>
        <v>93794.999999999985</v>
      </c>
      <c r="AE312" s="87">
        <f t="shared" si="464"/>
        <v>137295.59999999998</v>
      </c>
      <c r="AF312" s="87">
        <f t="shared" si="465"/>
        <v>122592.59999999999</v>
      </c>
      <c r="AG312" s="87">
        <f t="shared" si="466"/>
        <v>105455.99999999999</v>
      </c>
      <c r="AH312" s="87">
        <f t="shared" si="501"/>
        <v>110931.59999999999</v>
      </c>
      <c r="AI312" s="87">
        <f t="shared" si="502"/>
        <v>137813.86666666664</v>
      </c>
      <c r="AJ312" s="87">
        <f t="shared" si="503"/>
        <v>0</v>
      </c>
      <c r="AK312" s="86">
        <f t="shared" si="504"/>
        <v>0</v>
      </c>
      <c r="AL312" s="85">
        <v>1135</v>
      </c>
      <c r="AM312" s="85">
        <v>1263</v>
      </c>
      <c r="AN312" s="85">
        <v>1375</v>
      </c>
      <c r="AO312" s="85">
        <v>1163</v>
      </c>
      <c r="AP312" s="85">
        <v>1495</v>
      </c>
      <c r="AQ312" s="86">
        <v>1735</v>
      </c>
      <c r="AR312" s="87">
        <v>1216</v>
      </c>
      <c r="AS312" s="87">
        <v>1877</v>
      </c>
      <c r="AT312" s="87">
        <v>940</v>
      </c>
      <c r="AU312" s="87">
        <v>1421</v>
      </c>
      <c r="AV312" s="87">
        <v>2430</v>
      </c>
      <c r="AW312" s="87">
        <v>1245</v>
      </c>
      <c r="AX312" s="87">
        <v>1203</v>
      </c>
      <c r="AY312" s="87">
        <v>986</v>
      </c>
      <c r="AZ312" s="87">
        <v>959</v>
      </c>
      <c r="BA312" s="87">
        <v>848</v>
      </c>
      <c r="BB312" s="87">
        <v>1267</v>
      </c>
      <c r="BC312" s="86">
        <v>1016</v>
      </c>
      <c r="BD312" s="87">
        <v>1295</v>
      </c>
      <c r="BE312" s="87">
        <v>1236</v>
      </c>
      <c r="BF312" s="87">
        <v>947</v>
      </c>
      <c r="BG312" s="87">
        <v>1485</v>
      </c>
      <c r="BH312" s="87">
        <v>828</v>
      </c>
      <c r="BI312" s="87">
        <v>1342</v>
      </c>
      <c r="BJ312" s="40">
        <v>1160</v>
      </c>
      <c r="BK312" s="40">
        <v>1029</v>
      </c>
      <c r="BL312" s="40">
        <v>1083</v>
      </c>
      <c r="BM312" s="40">
        <v>1317</v>
      </c>
      <c r="BN312" s="87"/>
      <c r="BO312" s="86"/>
      <c r="BP312" s="21">
        <v>60</v>
      </c>
      <c r="BQ312" s="21">
        <v>81</v>
      </c>
      <c r="BR312" s="21">
        <v>147</v>
      </c>
      <c r="BS312" s="21">
        <v>72</v>
      </c>
      <c r="BT312" s="21">
        <v>67</v>
      </c>
      <c r="BU312" s="42">
        <v>223</v>
      </c>
      <c r="BV312" s="21">
        <v>37</v>
      </c>
      <c r="BW312" s="21">
        <v>40</v>
      </c>
      <c r="BX312" s="21">
        <v>38</v>
      </c>
      <c r="BY312" s="21">
        <v>30</v>
      </c>
      <c r="BZ312" s="21">
        <v>68</v>
      </c>
      <c r="CA312" s="21">
        <v>6</v>
      </c>
      <c r="CB312" s="21">
        <v>16</v>
      </c>
      <c r="CC312" s="21">
        <v>84</v>
      </c>
      <c r="CD312" s="21">
        <v>51</v>
      </c>
      <c r="CE312" s="21">
        <v>28</v>
      </c>
      <c r="CF312" s="21">
        <v>128</v>
      </c>
      <c r="CG312" s="42">
        <v>46</v>
      </c>
      <c r="CH312" s="21">
        <v>53</v>
      </c>
      <c r="CI312" s="21">
        <v>49</v>
      </c>
      <c r="CJ312" s="21">
        <v>44</v>
      </c>
      <c r="CK312" s="21">
        <v>53</v>
      </c>
      <c r="CL312" s="21">
        <v>97</v>
      </c>
      <c r="CM312" s="21">
        <v>12</v>
      </c>
      <c r="CN312" s="21">
        <v>49</v>
      </c>
      <c r="CO312" s="21">
        <v>11</v>
      </c>
      <c r="CP312" s="21">
        <f t="shared" si="471"/>
        <v>11</v>
      </c>
      <c r="CQ312" s="344">
        <f t="shared" si="472"/>
        <v>42.111111111111114</v>
      </c>
      <c r="CR312" s="87"/>
      <c r="CS312" s="86"/>
      <c r="CT312" s="85">
        <f t="shared" si="505"/>
        <v>1195</v>
      </c>
      <c r="CU312" s="85">
        <f t="shared" si="506"/>
        <v>1344</v>
      </c>
      <c r="CV312" s="85">
        <f t="shared" si="507"/>
        <v>1522</v>
      </c>
      <c r="CW312" s="85">
        <f t="shared" si="508"/>
        <v>1235</v>
      </c>
      <c r="CX312" s="85">
        <f t="shared" si="509"/>
        <v>1562</v>
      </c>
      <c r="CY312" s="86">
        <f t="shared" si="510"/>
        <v>1958</v>
      </c>
      <c r="CZ312" s="87">
        <f t="shared" si="511"/>
        <v>1253</v>
      </c>
      <c r="DA312" s="87">
        <f t="shared" si="512"/>
        <v>1917</v>
      </c>
      <c r="DB312" s="87">
        <f t="shared" si="513"/>
        <v>978</v>
      </c>
      <c r="DC312" s="87">
        <f t="shared" si="514"/>
        <v>1451</v>
      </c>
      <c r="DD312" s="87">
        <f t="shared" si="515"/>
        <v>2498</v>
      </c>
      <c r="DE312" s="87">
        <f t="shared" si="516"/>
        <v>1251</v>
      </c>
      <c r="DF312" s="87">
        <f t="shared" si="517"/>
        <v>1219</v>
      </c>
      <c r="DG312" s="87">
        <f t="shared" si="518"/>
        <v>1070</v>
      </c>
      <c r="DH312" s="87">
        <f t="shared" si="519"/>
        <v>1010</v>
      </c>
      <c r="DI312" s="87">
        <f t="shared" si="520"/>
        <v>876</v>
      </c>
      <c r="DJ312" s="87">
        <f t="shared" si="521"/>
        <v>1395</v>
      </c>
      <c r="DK312" s="86">
        <f t="shared" si="522"/>
        <v>1062</v>
      </c>
      <c r="DL312" s="87">
        <f t="shared" si="523"/>
        <v>1348</v>
      </c>
      <c r="DM312" s="87">
        <f t="shared" si="524"/>
        <v>1285</v>
      </c>
      <c r="DN312" s="87">
        <f t="shared" si="525"/>
        <v>991</v>
      </c>
      <c r="DO312" s="87">
        <f t="shared" si="526"/>
        <v>1538</v>
      </c>
      <c r="DP312" s="87">
        <f t="shared" si="527"/>
        <v>925</v>
      </c>
      <c r="DQ312" s="87">
        <f t="shared" si="528"/>
        <v>1354</v>
      </c>
      <c r="DR312" s="87">
        <f t="shared" si="533"/>
        <v>1209</v>
      </c>
      <c r="DS312" s="87">
        <f t="shared" si="534"/>
        <v>1040</v>
      </c>
      <c r="DT312" s="87">
        <f t="shared" si="529"/>
        <v>1094</v>
      </c>
      <c r="DU312" s="87">
        <f t="shared" si="530"/>
        <v>1359.1111111111111</v>
      </c>
      <c r="DV312" s="87">
        <f t="shared" si="531"/>
        <v>0</v>
      </c>
      <c r="DW312" s="87">
        <f t="shared" si="532"/>
        <v>0</v>
      </c>
    </row>
    <row r="313" spans="1:127">
      <c r="A313" s="22" t="s">
        <v>22</v>
      </c>
      <c r="B313" s="26">
        <v>4987176268419</v>
      </c>
      <c r="C313" s="22" t="s">
        <v>118</v>
      </c>
      <c r="D313" s="22" t="s">
        <v>120</v>
      </c>
      <c r="E313" s="22">
        <v>242583</v>
      </c>
      <c r="F313" s="80" t="s">
        <v>405</v>
      </c>
      <c r="G313" s="25">
        <v>219.018</v>
      </c>
      <c r="H313" s="85">
        <f t="shared" si="441"/>
        <v>0</v>
      </c>
      <c r="I313" s="85">
        <f t="shared" si="442"/>
        <v>0</v>
      </c>
      <c r="J313" s="85">
        <f t="shared" si="443"/>
        <v>0</v>
      </c>
      <c r="K313" s="85">
        <f t="shared" si="444"/>
        <v>0</v>
      </c>
      <c r="L313" s="85">
        <f t="shared" si="445"/>
        <v>0</v>
      </c>
      <c r="M313" s="86">
        <f t="shared" si="446"/>
        <v>71180.850000000006</v>
      </c>
      <c r="N313" s="87">
        <f t="shared" si="447"/>
        <v>256470.07800000001</v>
      </c>
      <c r="O313" s="87">
        <f t="shared" si="448"/>
        <v>306187.16399999999</v>
      </c>
      <c r="P313" s="87">
        <f t="shared" si="449"/>
        <v>236758.45800000001</v>
      </c>
      <c r="Q313" s="87">
        <f t="shared" si="450"/>
        <v>229311.84599999999</v>
      </c>
      <c r="R313" s="87">
        <f t="shared" si="451"/>
        <v>171491.09400000001</v>
      </c>
      <c r="S313" s="87">
        <f t="shared" si="452"/>
        <v>114984.45</v>
      </c>
      <c r="T313" s="87">
        <f t="shared" si="453"/>
        <v>124183.20600000001</v>
      </c>
      <c r="U313" s="87">
        <f t="shared" si="454"/>
        <v>204124.77600000001</v>
      </c>
      <c r="V313" s="87">
        <f t="shared" si="455"/>
        <v>194049.948</v>
      </c>
      <c r="W313" s="87">
        <f t="shared" si="456"/>
        <v>613688.43599999999</v>
      </c>
      <c r="X313" s="87">
        <f t="shared" si="457"/>
        <v>734367.35400000005</v>
      </c>
      <c r="Y313" s="86">
        <f t="shared" si="458"/>
        <v>265668.83399999997</v>
      </c>
      <c r="Z313" s="87">
        <f t="shared" si="459"/>
        <v>332250.30599999998</v>
      </c>
      <c r="AA313" s="87">
        <f t="shared" si="460"/>
        <v>296331.35399999999</v>
      </c>
      <c r="AB313" s="87">
        <f t="shared" si="461"/>
        <v>296331.35399999999</v>
      </c>
      <c r="AC313" s="87">
        <f t="shared" si="462"/>
        <v>243328.99799999999</v>
      </c>
      <c r="AD313" s="87">
        <f t="shared" si="463"/>
        <v>192078.78599999999</v>
      </c>
      <c r="AE313" s="87">
        <f t="shared" si="464"/>
        <v>273772.5</v>
      </c>
      <c r="AF313" s="87">
        <f t="shared" si="465"/>
        <v>222960.32399999999</v>
      </c>
      <c r="AG313" s="87">
        <f t="shared" si="466"/>
        <v>224274.432</v>
      </c>
      <c r="AH313" s="87">
        <f t="shared" si="501"/>
        <v>181565.92199999999</v>
      </c>
      <c r="AI313" s="87">
        <f t="shared" si="502"/>
        <v>271411.97266666667</v>
      </c>
      <c r="AJ313" s="87">
        <f t="shared" si="503"/>
        <v>0</v>
      </c>
      <c r="AK313" s="86">
        <f t="shared" si="504"/>
        <v>0</v>
      </c>
      <c r="AL313" s="85">
        <v>0</v>
      </c>
      <c r="AM313" s="85">
        <v>0</v>
      </c>
      <c r="AN313" s="85">
        <v>0</v>
      </c>
      <c r="AO313" s="85">
        <v>0</v>
      </c>
      <c r="AP313" s="85">
        <v>0</v>
      </c>
      <c r="AQ313" s="86">
        <v>268</v>
      </c>
      <c r="AR313" s="87">
        <v>805</v>
      </c>
      <c r="AS313" s="87">
        <v>860</v>
      </c>
      <c r="AT313" s="87">
        <v>602</v>
      </c>
      <c r="AU313" s="87">
        <v>508</v>
      </c>
      <c r="AV313" s="87">
        <v>418</v>
      </c>
      <c r="AW313" s="87">
        <v>426</v>
      </c>
      <c r="AX313" s="87">
        <v>466</v>
      </c>
      <c r="AY313" s="87">
        <v>692</v>
      </c>
      <c r="AZ313" s="87">
        <v>687</v>
      </c>
      <c r="BA313" s="87">
        <v>2496</v>
      </c>
      <c r="BB313" s="87">
        <v>3013</v>
      </c>
      <c r="BC313" s="86">
        <v>889</v>
      </c>
      <c r="BD313" s="87">
        <v>1195</v>
      </c>
      <c r="BE313" s="87">
        <v>925</v>
      </c>
      <c r="BF313" s="87">
        <v>998</v>
      </c>
      <c r="BG313" s="87">
        <v>896</v>
      </c>
      <c r="BH313" s="87">
        <v>572</v>
      </c>
      <c r="BI313" s="87">
        <v>1035</v>
      </c>
      <c r="BJ313" s="40">
        <v>789</v>
      </c>
      <c r="BK313" s="40">
        <v>928</v>
      </c>
      <c r="BL313" s="40">
        <v>733</v>
      </c>
      <c r="BM313" s="40">
        <v>988</v>
      </c>
      <c r="BN313" s="87"/>
      <c r="BO313" s="86"/>
      <c r="BP313" s="21">
        <v>0</v>
      </c>
      <c r="BQ313" s="21">
        <v>0</v>
      </c>
      <c r="BR313" s="21">
        <v>0</v>
      </c>
      <c r="BS313" s="21">
        <v>0</v>
      </c>
      <c r="BT313" s="21">
        <v>0</v>
      </c>
      <c r="BU313" s="42">
        <v>57</v>
      </c>
      <c r="BV313" s="21">
        <v>366</v>
      </c>
      <c r="BW313" s="21">
        <v>538</v>
      </c>
      <c r="BX313" s="21">
        <v>479</v>
      </c>
      <c r="BY313" s="21">
        <v>539</v>
      </c>
      <c r="BZ313" s="21">
        <v>365</v>
      </c>
      <c r="CA313" s="21">
        <v>99</v>
      </c>
      <c r="CB313" s="21">
        <v>101</v>
      </c>
      <c r="CC313" s="21">
        <v>240</v>
      </c>
      <c r="CD313" s="21">
        <v>199</v>
      </c>
      <c r="CE313" s="21">
        <v>306</v>
      </c>
      <c r="CF313" s="21">
        <v>340</v>
      </c>
      <c r="CG313" s="42">
        <v>324</v>
      </c>
      <c r="CH313" s="21">
        <v>322</v>
      </c>
      <c r="CI313" s="21">
        <v>428</v>
      </c>
      <c r="CJ313" s="21">
        <v>355</v>
      </c>
      <c r="CK313" s="21">
        <v>215</v>
      </c>
      <c r="CL313" s="21">
        <v>305</v>
      </c>
      <c r="CM313" s="21">
        <v>215</v>
      </c>
      <c r="CN313" s="21">
        <v>229</v>
      </c>
      <c r="CO313" s="21">
        <v>96</v>
      </c>
      <c r="CP313" s="21">
        <f t="shared" si="471"/>
        <v>96</v>
      </c>
      <c r="CQ313" s="344">
        <f t="shared" si="472"/>
        <v>251.22222222222223</v>
      </c>
      <c r="CR313" s="87"/>
      <c r="CS313" s="86"/>
      <c r="CT313" s="85">
        <f t="shared" si="505"/>
        <v>0</v>
      </c>
      <c r="CU313" s="85">
        <f t="shared" si="506"/>
        <v>0</v>
      </c>
      <c r="CV313" s="85">
        <f t="shared" si="507"/>
        <v>0</v>
      </c>
      <c r="CW313" s="85">
        <f t="shared" si="508"/>
        <v>0</v>
      </c>
      <c r="CX313" s="85">
        <f t="shared" si="509"/>
        <v>0</v>
      </c>
      <c r="CY313" s="86">
        <f t="shared" si="510"/>
        <v>325</v>
      </c>
      <c r="CZ313" s="87">
        <f t="shared" si="511"/>
        <v>1171</v>
      </c>
      <c r="DA313" s="87">
        <f t="shared" si="512"/>
        <v>1398</v>
      </c>
      <c r="DB313" s="87">
        <f t="shared" si="513"/>
        <v>1081</v>
      </c>
      <c r="DC313" s="87">
        <f t="shared" si="514"/>
        <v>1047</v>
      </c>
      <c r="DD313" s="87">
        <f t="shared" si="515"/>
        <v>783</v>
      </c>
      <c r="DE313" s="87">
        <f t="shared" si="516"/>
        <v>525</v>
      </c>
      <c r="DF313" s="87">
        <f t="shared" si="517"/>
        <v>567</v>
      </c>
      <c r="DG313" s="87">
        <f t="shared" si="518"/>
        <v>932</v>
      </c>
      <c r="DH313" s="87">
        <f t="shared" si="519"/>
        <v>886</v>
      </c>
      <c r="DI313" s="87">
        <f t="shared" si="520"/>
        <v>2802</v>
      </c>
      <c r="DJ313" s="87">
        <f t="shared" si="521"/>
        <v>3353</v>
      </c>
      <c r="DK313" s="86">
        <f t="shared" si="522"/>
        <v>1213</v>
      </c>
      <c r="DL313" s="87">
        <f t="shared" si="523"/>
        <v>1517</v>
      </c>
      <c r="DM313" s="87">
        <f t="shared" si="524"/>
        <v>1353</v>
      </c>
      <c r="DN313" s="87">
        <f t="shared" si="525"/>
        <v>1353</v>
      </c>
      <c r="DO313" s="87">
        <f t="shared" si="526"/>
        <v>1111</v>
      </c>
      <c r="DP313" s="87">
        <f t="shared" si="527"/>
        <v>877</v>
      </c>
      <c r="DQ313" s="87">
        <f t="shared" si="528"/>
        <v>1250</v>
      </c>
      <c r="DR313" s="87">
        <f t="shared" si="533"/>
        <v>1018</v>
      </c>
      <c r="DS313" s="87">
        <f t="shared" si="534"/>
        <v>1024</v>
      </c>
      <c r="DT313" s="87">
        <f t="shared" si="529"/>
        <v>829</v>
      </c>
      <c r="DU313" s="87">
        <f t="shared" si="530"/>
        <v>1239.2222222222222</v>
      </c>
      <c r="DV313" s="87">
        <f t="shared" si="531"/>
        <v>0</v>
      </c>
      <c r="DW313" s="87">
        <f t="shared" si="532"/>
        <v>0</v>
      </c>
    </row>
    <row r="314" spans="1:127">
      <c r="A314" s="22" t="s">
        <v>22</v>
      </c>
      <c r="B314" s="26">
        <v>4902430880640</v>
      </c>
      <c r="C314" s="22" t="s">
        <v>118</v>
      </c>
      <c r="D314" s="22" t="s">
        <v>122</v>
      </c>
      <c r="E314" s="22">
        <v>240721</v>
      </c>
      <c r="F314" s="80" t="s">
        <v>406</v>
      </c>
      <c r="G314" s="25">
        <v>799</v>
      </c>
      <c r="H314" s="85">
        <f t="shared" si="441"/>
        <v>0</v>
      </c>
      <c r="I314" s="85">
        <f t="shared" si="442"/>
        <v>0</v>
      </c>
      <c r="J314" s="85">
        <f t="shared" si="443"/>
        <v>0</v>
      </c>
      <c r="K314" s="85">
        <f t="shared" si="444"/>
        <v>0</v>
      </c>
      <c r="L314" s="85">
        <f t="shared" si="445"/>
        <v>0</v>
      </c>
      <c r="M314" s="86">
        <f t="shared" si="446"/>
        <v>0</v>
      </c>
      <c r="N314" s="87">
        <f t="shared" si="447"/>
        <v>0</v>
      </c>
      <c r="O314" s="87">
        <f t="shared" si="448"/>
        <v>0</v>
      </c>
      <c r="P314" s="87">
        <f t="shared" si="449"/>
        <v>0</v>
      </c>
      <c r="Q314" s="87">
        <f t="shared" si="450"/>
        <v>0</v>
      </c>
      <c r="R314" s="87">
        <f t="shared" si="451"/>
        <v>0</v>
      </c>
      <c r="S314" s="87">
        <f t="shared" si="452"/>
        <v>0</v>
      </c>
      <c r="T314" s="87">
        <f t="shared" si="453"/>
        <v>0</v>
      </c>
      <c r="U314" s="87">
        <f t="shared" si="454"/>
        <v>0</v>
      </c>
      <c r="V314" s="87">
        <f t="shared" si="455"/>
        <v>0</v>
      </c>
      <c r="W314" s="87">
        <f t="shared" si="456"/>
        <v>0</v>
      </c>
      <c r="X314" s="87">
        <f t="shared" si="457"/>
        <v>0</v>
      </c>
      <c r="Y314" s="86">
        <f t="shared" si="458"/>
        <v>0</v>
      </c>
      <c r="Z314" s="87">
        <f t="shared" si="459"/>
        <v>0</v>
      </c>
      <c r="AA314" s="87">
        <f t="shared" si="460"/>
        <v>0</v>
      </c>
      <c r="AB314" s="87">
        <f t="shared" si="461"/>
        <v>0</v>
      </c>
      <c r="AC314" s="87">
        <f t="shared" si="462"/>
        <v>0</v>
      </c>
      <c r="AD314" s="87">
        <f t="shared" si="463"/>
        <v>0</v>
      </c>
      <c r="AE314" s="87">
        <f t="shared" si="464"/>
        <v>0</v>
      </c>
      <c r="AF314" s="87">
        <f t="shared" si="465"/>
        <v>0</v>
      </c>
      <c r="AG314" s="87">
        <f t="shared" si="466"/>
        <v>0</v>
      </c>
      <c r="AH314" s="87">
        <f t="shared" si="501"/>
        <v>0</v>
      </c>
      <c r="AI314" s="87">
        <f t="shared" si="502"/>
        <v>0</v>
      </c>
      <c r="AJ314" s="87">
        <f t="shared" si="503"/>
        <v>0</v>
      </c>
      <c r="AK314" s="86">
        <f t="shared" si="504"/>
        <v>0</v>
      </c>
      <c r="AL314" s="85">
        <v>0</v>
      </c>
      <c r="AM314" s="85">
        <v>0</v>
      </c>
      <c r="AN314" s="85">
        <v>0</v>
      </c>
      <c r="AO314" s="85">
        <v>0</v>
      </c>
      <c r="AP314" s="85">
        <v>0</v>
      </c>
      <c r="AQ314" s="86">
        <v>0</v>
      </c>
      <c r="AR314" s="87">
        <v>0</v>
      </c>
      <c r="AS314" s="87">
        <v>0</v>
      </c>
      <c r="AT314" s="87">
        <v>0</v>
      </c>
      <c r="AU314" s="87">
        <v>0</v>
      </c>
      <c r="AV314" s="87">
        <v>0</v>
      </c>
      <c r="AW314" s="87">
        <v>0</v>
      </c>
      <c r="AX314" s="87">
        <v>0</v>
      </c>
      <c r="AY314" s="87">
        <v>0</v>
      </c>
      <c r="AZ314" s="87">
        <v>0</v>
      </c>
      <c r="BA314" s="87">
        <v>0</v>
      </c>
      <c r="BB314" s="87">
        <v>0</v>
      </c>
      <c r="BC314" s="86">
        <v>0</v>
      </c>
      <c r="BD314" s="87">
        <v>0</v>
      </c>
      <c r="BE314" s="87">
        <v>0</v>
      </c>
      <c r="BF314" s="87">
        <v>0</v>
      </c>
      <c r="BG314" s="87">
        <v>0</v>
      </c>
      <c r="BH314" s="87">
        <v>0</v>
      </c>
      <c r="BI314" s="87">
        <v>0</v>
      </c>
      <c r="BJ314" s="40">
        <v>0</v>
      </c>
      <c r="BK314" s="40">
        <v>0</v>
      </c>
      <c r="BL314" s="40">
        <v>0</v>
      </c>
      <c r="BM314" s="40" t="s">
        <v>768</v>
      </c>
      <c r="BN314" s="87"/>
      <c r="BO314" s="86"/>
      <c r="BP314" s="21">
        <v>0</v>
      </c>
      <c r="BQ314" s="21">
        <v>0</v>
      </c>
      <c r="BR314" s="21">
        <v>0</v>
      </c>
      <c r="BS314" s="21">
        <v>0</v>
      </c>
      <c r="BT314" s="21">
        <v>0</v>
      </c>
      <c r="BU314" s="42">
        <v>0</v>
      </c>
      <c r="BV314" s="21">
        <v>0</v>
      </c>
      <c r="BW314" s="21">
        <v>0</v>
      </c>
      <c r="BX314" s="21">
        <v>0</v>
      </c>
      <c r="BY314" s="21">
        <v>0</v>
      </c>
      <c r="BZ314" s="21">
        <v>0</v>
      </c>
      <c r="CA314" s="21">
        <v>0</v>
      </c>
      <c r="CB314" s="21">
        <v>0</v>
      </c>
      <c r="CC314" s="21">
        <v>0</v>
      </c>
      <c r="CD314" s="21">
        <v>0</v>
      </c>
      <c r="CE314" s="21">
        <v>0</v>
      </c>
      <c r="CF314" s="21">
        <v>0</v>
      </c>
      <c r="CG314" s="42">
        <v>0</v>
      </c>
      <c r="CH314" s="21">
        <v>0</v>
      </c>
      <c r="CI314" s="21">
        <v>0</v>
      </c>
      <c r="CJ314" s="21">
        <v>0</v>
      </c>
      <c r="CK314" s="21">
        <v>0</v>
      </c>
      <c r="CL314" s="21">
        <v>0</v>
      </c>
      <c r="CM314" s="21">
        <v>0</v>
      </c>
      <c r="CN314" s="21">
        <v>0</v>
      </c>
      <c r="CO314" s="21">
        <v>0</v>
      </c>
      <c r="CP314" s="21">
        <f t="shared" si="471"/>
        <v>0</v>
      </c>
      <c r="CQ314" s="344">
        <f t="shared" si="472"/>
        <v>0</v>
      </c>
      <c r="CR314" s="87"/>
      <c r="CS314" s="86"/>
      <c r="CT314" s="85">
        <f t="shared" si="505"/>
        <v>0</v>
      </c>
      <c r="CU314" s="85">
        <f t="shared" si="506"/>
        <v>0</v>
      </c>
      <c r="CV314" s="85">
        <f t="shared" si="507"/>
        <v>0</v>
      </c>
      <c r="CW314" s="85">
        <f t="shared" si="508"/>
        <v>0</v>
      </c>
      <c r="CX314" s="85">
        <f t="shared" si="509"/>
        <v>0</v>
      </c>
      <c r="CY314" s="86">
        <f t="shared" si="510"/>
        <v>0</v>
      </c>
      <c r="CZ314" s="87">
        <f t="shared" si="511"/>
        <v>0</v>
      </c>
      <c r="DA314" s="87">
        <f t="shared" si="512"/>
        <v>0</v>
      </c>
      <c r="DB314" s="87">
        <f t="shared" si="513"/>
        <v>0</v>
      </c>
      <c r="DC314" s="87">
        <f t="shared" si="514"/>
        <v>0</v>
      </c>
      <c r="DD314" s="87">
        <f t="shared" si="515"/>
        <v>0</v>
      </c>
      <c r="DE314" s="87">
        <f t="shared" si="516"/>
        <v>0</v>
      </c>
      <c r="DF314" s="87">
        <f t="shared" si="517"/>
        <v>0</v>
      </c>
      <c r="DG314" s="87">
        <f t="shared" si="518"/>
        <v>0</v>
      </c>
      <c r="DH314" s="87">
        <f t="shared" si="519"/>
        <v>0</v>
      </c>
      <c r="DI314" s="87">
        <f t="shared" si="520"/>
        <v>0</v>
      </c>
      <c r="DJ314" s="87">
        <f t="shared" si="521"/>
        <v>0</v>
      </c>
      <c r="DK314" s="86">
        <f t="shared" si="522"/>
        <v>0</v>
      </c>
      <c r="DL314" s="87">
        <f t="shared" si="523"/>
        <v>0</v>
      </c>
      <c r="DM314" s="87">
        <f t="shared" si="524"/>
        <v>0</v>
      </c>
      <c r="DN314" s="87">
        <f t="shared" si="525"/>
        <v>0</v>
      </c>
      <c r="DO314" s="87">
        <f t="shared" si="526"/>
        <v>0</v>
      </c>
      <c r="DP314" s="87">
        <f t="shared" si="527"/>
        <v>0</v>
      </c>
      <c r="DQ314" s="87">
        <f t="shared" si="528"/>
        <v>0</v>
      </c>
      <c r="DR314" s="87">
        <f t="shared" si="533"/>
        <v>0</v>
      </c>
      <c r="DS314" s="87">
        <f t="shared" si="534"/>
        <v>0</v>
      </c>
      <c r="DT314" s="87">
        <f t="shared" si="529"/>
        <v>0</v>
      </c>
      <c r="DU314" s="87">
        <f t="shared" si="530"/>
        <v>0</v>
      </c>
      <c r="DV314" s="87">
        <f t="shared" si="531"/>
        <v>0</v>
      </c>
      <c r="DW314" s="87">
        <f t="shared" si="532"/>
        <v>0</v>
      </c>
    </row>
    <row r="315" spans="1:127">
      <c r="A315" s="22" t="s">
        <v>22</v>
      </c>
      <c r="B315" s="26">
        <v>4987176239518</v>
      </c>
      <c r="C315" s="22" t="s">
        <v>118</v>
      </c>
      <c r="D315" s="22" t="s">
        <v>120</v>
      </c>
      <c r="E315" s="22">
        <v>225716</v>
      </c>
      <c r="F315" s="80" t="s">
        <v>407</v>
      </c>
      <c r="G315" s="25">
        <v>85.8</v>
      </c>
      <c r="H315" s="85">
        <f t="shared" si="441"/>
        <v>22737</v>
      </c>
      <c r="I315" s="85">
        <f t="shared" si="442"/>
        <v>113170.2</v>
      </c>
      <c r="J315" s="85">
        <f t="shared" si="443"/>
        <v>112140.59999999999</v>
      </c>
      <c r="K315" s="85">
        <f t="shared" si="444"/>
        <v>1215013.8</v>
      </c>
      <c r="L315" s="85">
        <f t="shared" si="445"/>
        <v>1579663.8</v>
      </c>
      <c r="M315" s="86">
        <f t="shared" si="446"/>
        <v>199485</v>
      </c>
      <c r="N315" s="87">
        <f t="shared" si="447"/>
        <v>155469.6</v>
      </c>
      <c r="O315" s="87">
        <f t="shared" si="448"/>
        <v>1064692.2</v>
      </c>
      <c r="P315" s="87">
        <f t="shared" si="449"/>
        <v>1796051.4</v>
      </c>
      <c r="Q315" s="87">
        <f t="shared" si="450"/>
        <v>258944.4</v>
      </c>
      <c r="R315" s="87">
        <f t="shared" si="451"/>
        <v>346889.39999999997</v>
      </c>
      <c r="S315" s="87">
        <f t="shared" si="452"/>
        <v>84770.4</v>
      </c>
      <c r="T315" s="87">
        <f t="shared" si="453"/>
        <v>11754.6</v>
      </c>
      <c r="U315" s="87">
        <f t="shared" si="454"/>
        <v>8065.2</v>
      </c>
      <c r="V315" s="87">
        <f t="shared" si="455"/>
        <v>4461.5999999999995</v>
      </c>
      <c r="W315" s="87">
        <f t="shared" si="456"/>
        <v>4375.8</v>
      </c>
      <c r="X315" s="87">
        <f t="shared" si="457"/>
        <v>3861</v>
      </c>
      <c r="Y315" s="86">
        <f t="shared" si="458"/>
        <v>1716</v>
      </c>
      <c r="Z315" s="87">
        <f t="shared" si="459"/>
        <v>171.6</v>
      </c>
      <c r="AA315" s="87">
        <f t="shared" si="460"/>
        <v>0</v>
      </c>
      <c r="AB315" s="87">
        <f t="shared" si="461"/>
        <v>0</v>
      </c>
      <c r="AC315" s="87">
        <f t="shared" si="462"/>
        <v>0</v>
      </c>
      <c r="AD315" s="87">
        <f t="shared" si="463"/>
        <v>0</v>
      </c>
      <c r="AE315" s="87">
        <f t="shared" si="464"/>
        <v>0</v>
      </c>
      <c r="AF315" s="87">
        <f t="shared" si="465"/>
        <v>0</v>
      </c>
      <c r="AG315" s="87">
        <f t="shared" si="466"/>
        <v>0</v>
      </c>
      <c r="AH315" s="87">
        <f t="shared" si="501"/>
        <v>0</v>
      </c>
      <c r="AI315" s="87">
        <f t="shared" si="502"/>
        <v>85.8</v>
      </c>
      <c r="AJ315" s="87">
        <f t="shared" si="503"/>
        <v>0</v>
      </c>
      <c r="AK315" s="86">
        <f t="shared" si="504"/>
        <v>0</v>
      </c>
      <c r="AL315" s="85">
        <v>186</v>
      </c>
      <c r="AM315" s="85">
        <v>1087</v>
      </c>
      <c r="AN315" s="85">
        <v>356</v>
      </c>
      <c r="AO315" s="85">
        <v>13751</v>
      </c>
      <c r="AP315" s="85">
        <v>17552</v>
      </c>
      <c r="AQ315" s="86">
        <v>867</v>
      </c>
      <c r="AR315" s="87">
        <v>925</v>
      </c>
      <c r="AS315" s="87">
        <v>11838</v>
      </c>
      <c r="AT315" s="87">
        <v>20057</v>
      </c>
      <c r="AU315" s="87">
        <v>1720</v>
      </c>
      <c r="AV315" s="87">
        <v>2235</v>
      </c>
      <c r="AW315" s="87">
        <v>987</v>
      </c>
      <c r="AX315" s="87">
        <v>137</v>
      </c>
      <c r="AY315" s="87">
        <v>94</v>
      </c>
      <c r="AZ315" s="87">
        <v>52</v>
      </c>
      <c r="BA315" s="87">
        <v>51</v>
      </c>
      <c r="BB315" s="87">
        <v>45</v>
      </c>
      <c r="BC315" s="86">
        <v>20</v>
      </c>
      <c r="BD315" s="87">
        <v>2</v>
      </c>
      <c r="BE315" s="87">
        <v>0</v>
      </c>
      <c r="BF315" s="87">
        <v>0</v>
      </c>
      <c r="BG315" s="87">
        <v>0</v>
      </c>
      <c r="BH315" s="87">
        <v>0</v>
      </c>
      <c r="BI315" s="87">
        <v>0</v>
      </c>
      <c r="BJ315" s="40">
        <v>0</v>
      </c>
      <c r="BK315" s="40">
        <v>0</v>
      </c>
      <c r="BL315" s="40">
        <v>0</v>
      </c>
      <c r="BM315" s="40">
        <v>1</v>
      </c>
      <c r="BN315" s="87"/>
      <c r="BO315" s="86"/>
      <c r="BP315" s="21">
        <v>79</v>
      </c>
      <c r="BQ315" s="21">
        <v>232</v>
      </c>
      <c r="BR315" s="21">
        <v>951</v>
      </c>
      <c r="BS315" s="21">
        <v>410</v>
      </c>
      <c r="BT315" s="21">
        <v>859</v>
      </c>
      <c r="BU315" s="42">
        <v>1458</v>
      </c>
      <c r="BV315" s="21">
        <v>887</v>
      </c>
      <c r="BW315" s="21">
        <v>571</v>
      </c>
      <c r="BX315" s="21">
        <v>876</v>
      </c>
      <c r="BY315" s="21">
        <v>1298</v>
      </c>
      <c r="BZ315" s="21">
        <v>1808</v>
      </c>
      <c r="CA315" s="21">
        <v>1</v>
      </c>
      <c r="CB315" s="21">
        <v>0</v>
      </c>
      <c r="CC315" s="21">
        <v>0</v>
      </c>
      <c r="CD315" s="21">
        <v>0</v>
      </c>
      <c r="CE315" s="21">
        <v>0</v>
      </c>
      <c r="CF315" s="21">
        <v>0</v>
      </c>
      <c r="CG315" s="42">
        <v>0</v>
      </c>
      <c r="CH315" s="21">
        <v>0</v>
      </c>
      <c r="CI315" s="21">
        <v>0</v>
      </c>
      <c r="CJ315" s="21">
        <v>0</v>
      </c>
      <c r="CK315" s="21">
        <v>0</v>
      </c>
      <c r="CL315" s="21">
        <v>0</v>
      </c>
      <c r="CM315" s="21">
        <v>0</v>
      </c>
      <c r="CN315" s="21">
        <v>0</v>
      </c>
      <c r="CO315" s="21">
        <v>0</v>
      </c>
      <c r="CP315" s="21">
        <f t="shared" si="471"/>
        <v>0</v>
      </c>
      <c r="CQ315" s="344">
        <f t="shared" si="472"/>
        <v>0</v>
      </c>
      <c r="CR315" s="87"/>
      <c r="CS315" s="86"/>
      <c r="CT315" s="85">
        <f t="shared" si="505"/>
        <v>265</v>
      </c>
      <c r="CU315" s="85">
        <f t="shared" si="506"/>
        <v>1319</v>
      </c>
      <c r="CV315" s="85">
        <f t="shared" si="507"/>
        <v>1307</v>
      </c>
      <c r="CW315" s="85">
        <f t="shared" si="508"/>
        <v>14161</v>
      </c>
      <c r="CX315" s="85">
        <f t="shared" si="509"/>
        <v>18411</v>
      </c>
      <c r="CY315" s="86">
        <f t="shared" si="510"/>
        <v>2325</v>
      </c>
      <c r="CZ315" s="87">
        <f t="shared" si="511"/>
        <v>1812</v>
      </c>
      <c r="DA315" s="87">
        <f t="shared" si="512"/>
        <v>12409</v>
      </c>
      <c r="DB315" s="87">
        <f t="shared" si="513"/>
        <v>20933</v>
      </c>
      <c r="DC315" s="87">
        <f t="shared" si="514"/>
        <v>3018</v>
      </c>
      <c r="DD315" s="87">
        <f t="shared" si="515"/>
        <v>4043</v>
      </c>
      <c r="DE315" s="87">
        <f t="shared" si="516"/>
        <v>988</v>
      </c>
      <c r="DF315" s="87">
        <f t="shared" si="517"/>
        <v>137</v>
      </c>
      <c r="DG315" s="87">
        <f t="shared" si="518"/>
        <v>94</v>
      </c>
      <c r="DH315" s="87">
        <f t="shared" si="519"/>
        <v>52</v>
      </c>
      <c r="DI315" s="87">
        <f t="shared" si="520"/>
        <v>51</v>
      </c>
      <c r="DJ315" s="87">
        <f t="shared" si="521"/>
        <v>45</v>
      </c>
      <c r="DK315" s="86">
        <f t="shared" si="522"/>
        <v>20</v>
      </c>
      <c r="DL315" s="87">
        <f t="shared" si="523"/>
        <v>2</v>
      </c>
      <c r="DM315" s="87">
        <f t="shared" si="524"/>
        <v>0</v>
      </c>
      <c r="DN315" s="87">
        <f t="shared" si="525"/>
        <v>0</v>
      </c>
      <c r="DO315" s="87">
        <f t="shared" si="526"/>
        <v>0</v>
      </c>
      <c r="DP315" s="87">
        <f t="shared" si="527"/>
        <v>0</v>
      </c>
      <c r="DQ315" s="87">
        <f t="shared" si="528"/>
        <v>0</v>
      </c>
      <c r="DR315" s="87">
        <f t="shared" si="533"/>
        <v>0</v>
      </c>
      <c r="DS315" s="87">
        <f t="shared" si="534"/>
        <v>0</v>
      </c>
      <c r="DT315" s="87">
        <f t="shared" si="529"/>
        <v>0</v>
      </c>
      <c r="DU315" s="87">
        <f t="shared" si="530"/>
        <v>1</v>
      </c>
      <c r="DV315" s="87">
        <f t="shared" si="531"/>
        <v>0</v>
      </c>
      <c r="DW315" s="87">
        <f t="shared" si="532"/>
        <v>0</v>
      </c>
    </row>
    <row r="316" spans="1:127">
      <c r="A316" s="22" t="s">
        <v>22</v>
      </c>
      <c r="B316" s="26">
        <v>4902430712675</v>
      </c>
      <c r="C316" s="22" t="s">
        <v>118</v>
      </c>
      <c r="D316" s="22" t="s">
        <v>120</v>
      </c>
      <c r="E316" s="22">
        <v>328762</v>
      </c>
      <c r="F316" s="80" t="s">
        <v>408</v>
      </c>
      <c r="G316" s="25">
        <v>100.8</v>
      </c>
      <c r="H316" s="85">
        <f t="shared" si="441"/>
        <v>0</v>
      </c>
      <c r="I316" s="85">
        <f t="shared" si="442"/>
        <v>0</v>
      </c>
      <c r="J316" s="85">
        <f t="shared" si="443"/>
        <v>0</v>
      </c>
      <c r="K316" s="85">
        <f t="shared" si="444"/>
        <v>0</v>
      </c>
      <c r="L316" s="85">
        <f t="shared" si="445"/>
        <v>0</v>
      </c>
      <c r="M316" s="86">
        <f t="shared" si="446"/>
        <v>0</v>
      </c>
      <c r="N316" s="87">
        <f t="shared" si="447"/>
        <v>0</v>
      </c>
      <c r="O316" s="87">
        <f t="shared" si="448"/>
        <v>0</v>
      </c>
      <c r="P316" s="87">
        <f t="shared" si="449"/>
        <v>0</v>
      </c>
      <c r="Q316" s="87">
        <f t="shared" si="450"/>
        <v>0</v>
      </c>
      <c r="R316" s="87">
        <f t="shared" si="451"/>
        <v>0</v>
      </c>
      <c r="S316" s="87">
        <f t="shared" si="452"/>
        <v>0</v>
      </c>
      <c r="T316" s="87">
        <f t="shared" si="453"/>
        <v>0</v>
      </c>
      <c r="U316" s="87">
        <f t="shared" si="454"/>
        <v>0</v>
      </c>
      <c r="V316" s="87">
        <f t="shared" si="455"/>
        <v>0</v>
      </c>
      <c r="W316" s="87">
        <f t="shared" si="456"/>
        <v>0</v>
      </c>
      <c r="X316" s="87">
        <f t="shared" si="457"/>
        <v>0</v>
      </c>
      <c r="Y316" s="86">
        <f t="shared" si="458"/>
        <v>0</v>
      </c>
      <c r="Z316" s="87">
        <f t="shared" si="459"/>
        <v>0</v>
      </c>
      <c r="AA316" s="87">
        <f t="shared" si="460"/>
        <v>0</v>
      </c>
      <c r="AB316" s="87">
        <f t="shared" si="461"/>
        <v>0</v>
      </c>
      <c r="AC316" s="87">
        <f t="shared" si="462"/>
        <v>0</v>
      </c>
      <c r="AD316" s="87">
        <f t="shared" si="463"/>
        <v>0</v>
      </c>
      <c r="AE316" s="87">
        <f t="shared" si="464"/>
        <v>0</v>
      </c>
      <c r="AF316" s="87">
        <f t="shared" si="465"/>
        <v>0</v>
      </c>
      <c r="AG316" s="87">
        <f t="shared" si="466"/>
        <v>0</v>
      </c>
      <c r="AH316" s="87">
        <f t="shared" si="501"/>
        <v>0</v>
      </c>
      <c r="AI316" s="87">
        <f t="shared" si="502"/>
        <v>0</v>
      </c>
      <c r="AJ316" s="87">
        <f t="shared" si="503"/>
        <v>0</v>
      </c>
      <c r="AK316" s="86">
        <f t="shared" si="504"/>
        <v>0</v>
      </c>
      <c r="AL316" s="85">
        <v>0</v>
      </c>
      <c r="AM316" s="85">
        <v>0</v>
      </c>
      <c r="AN316" s="85">
        <v>0</v>
      </c>
      <c r="AO316" s="85">
        <v>0</v>
      </c>
      <c r="AP316" s="85">
        <v>0</v>
      </c>
      <c r="AQ316" s="86">
        <v>0</v>
      </c>
      <c r="AR316" s="87">
        <v>0</v>
      </c>
      <c r="AS316" s="87">
        <v>0</v>
      </c>
      <c r="AT316" s="87">
        <v>0</v>
      </c>
      <c r="AU316" s="87">
        <v>0</v>
      </c>
      <c r="AV316" s="87">
        <v>0</v>
      </c>
      <c r="AW316" s="87">
        <v>0</v>
      </c>
      <c r="AX316" s="87">
        <v>0</v>
      </c>
      <c r="AY316" s="87">
        <v>0</v>
      </c>
      <c r="AZ316" s="87">
        <v>0</v>
      </c>
      <c r="BA316" s="87">
        <v>0</v>
      </c>
      <c r="BB316" s="87">
        <v>0</v>
      </c>
      <c r="BC316" s="86">
        <v>0</v>
      </c>
      <c r="BD316" s="87">
        <v>0</v>
      </c>
      <c r="BE316" s="87">
        <v>0</v>
      </c>
      <c r="BF316" s="87">
        <v>0</v>
      </c>
      <c r="BG316" s="87">
        <v>0</v>
      </c>
      <c r="BH316" s="87">
        <v>0</v>
      </c>
      <c r="BI316" s="87">
        <v>0</v>
      </c>
      <c r="BJ316" s="40">
        <v>0</v>
      </c>
      <c r="BK316" s="40">
        <v>0</v>
      </c>
      <c r="BL316" s="40">
        <v>0</v>
      </c>
      <c r="BM316" s="40" t="s">
        <v>768</v>
      </c>
      <c r="BN316" s="87"/>
      <c r="BO316" s="86"/>
      <c r="BP316" s="21">
        <v>0</v>
      </c>
      <c r="BQ316" s="21">
        <v>0</v>
      </c>
      <c r="BR316" s="21">
        <v>0</v>
      </c>
      <c r="BS316" s="21">
        <v>0</v>
      </c>
      <c r="BT316" s="21">
        <v>0</v>
      </c>
      <c r="BU316" s="42">
        <v>0</v>
      </c>
      <c r="BV316" s="21">
        <v>0</v>
      </c>
      <c r="BW316" s="21">
        <v>0</v>
      </c>
      <c r="BX316" s="21">
        <v>0</v>
      </c>
      <c r="BY316" s="21">
        <v>0</v>
      </c>
      <c r="BZ316" s="21">
        <v>0</v>
      </c>
      <c r="CA316" s="21">
        <v>0</v>
      </c>
      <c r="CB316" s="21">
        <v>0</v>
      </c>
      <c r="CC316" s="21">
        <v>0</v>
      </c>
      <c r="CD316" s="21">
        <v>0</v>
      </c>
      <c r="CE316" s="21">
        <v>0</v>
      </c>
      <c r="CF316" s="21">
        <v>0</v>
      </c>
      <c r="CG316" s="42">
        <v>0</v>
      </c>
      <c r="CH316" s="21">
        <v>0</v>
      </c>
      <c r="CI316" s="21">
        <v>0</v>
      </c>
      <c r="CJ316" s="21">
        <v>0</v>
      </c>
      <c r="CK316" s="21">
        <v>0</v>
      </c>
      <c r="CL316" s="21">
        <v>0</v>
      </c>
      <c r="CM316" s="21">
        <v>0</v>
      </c>
      <c r="CN316" s="21">
        <v>0</v>
      </c>
      <c r="CO316" s="21">
        <v>0</v>
      </c>
      <c r="CP316" s="21">
        <f t="shared" si="471"/>
        <v>0</v>
      </c>
      <c r="CQ316" s="344">
        <f t="shared" si="472"/>
        <v>0</v>
      </c>
      <c r="CR316" s="87"/>
      <c r="CS316" s="86"/>
      <c r="CT316" s="85">
        <f t="shared" si="505"/>
        <v>0</v>
      </c>
      <c r="CU316" s="85">
        <f t="shared" si="506"/>
        <v>0</v>
      </c>
      <c r="CV316" s="85">
        <f t="shared" si="507"/>
        <v>0</v>
      </c>
      <c r="CW316" s="85">
        <f t="shared" si="508"/>
        <v>0</v>
      </c>
      <c r="CX316" s="85">
        <f t="shared" si="509"/>
        <v>0</v>
      </c>
      <c r="CY316" s="86">
        <f t="shared" si="510"/>
        <v>0</v>
      </c>
      <c r="CZ316" s="87">
        <f t="shared" si="511"/>
        <v>0</v>
      </c>
      <c r="DA316" s="87">
        <f t="shared" si="512"/>
        <v>0</v>
      </c>
      <c r="DB316" s="87">
        <f t="shared" si="513"/>
        <v>0</v>
      </c>
      <c r="DC316" s="87">
        <f t="shared" si="514"/>
        <v>0</v>
      </c>
      <c r="DD316" s="87">
        <f t="shared" si="515"/>
        <v>0</v>
      </c>
      <c r="DE316" s="87">
        <f t="shared" si="516"/>
        <v>0</v>
      </c>
      <c r="DF316" s="87">
        <f t="shared" si="517"/>
        <v>0</v>
      </c>
      <c r="DG316" s="87">
        <f t="shared" si="518"/>
        <v>0</v>
      </c>
      <c r="DH316" s="87">
        <f t="shared" si="519"/>
        <v>0</v>
      </c>
      <c r="DI316" s="87">
        <f t="shared" si="520"/>
        <v>0</v>
      </c>
      <c r="DJ316" s="87">
        <f t="shared" si="521"/>
        <v>0</v>
      </c>
      <c r="DK316" s="86">
        <f t="shared" si="522"/>
        <v>0</v>
      </c>
      <c r="DL316" s="87">
        <f t="shared" si="523"/>
        <v>0</v>
      </c>
      <c r="DM316" s="87">
        <f t="shared" si="524"/>
        <v>0</v>
      </c>
      <c r="DN316" s="87">
        <f t="shared" si="525"/>
        <v>0</v>
      </c>
      <c r="DO316" s="87">
        <f t="shared" si="526"/>
        <v>0</v>
      </c>
      <c r="DP316" s="87">
        <f t="shared" si="527"/>
        <v>0</v>
      </c>
      <c r="DQ316" s="87">
        <f t="shared" si="528"/>
        <v>0</v>
      </c>
      <c r="DR316" s="87">
        <f t="shared" si="533"/>
        <v>0</v>
      </c>
      <c r="DS316" s="87">
        <f t="shared" si="534"/>
        <v>0</v>
      </c>
      <c r="DT316" s="87">
        <f t="shared" si="529"/>
        <v>0</v>
      </c>
      <c r="DU316" s="87">
        <f t="shared" si="530"/>
        <v>0</v>
      </c>
      <c r="DV316" s="87">
        <f t="shared" si="531"/>
        <v>0</v>
      </c>
      <c r="DW316" s="87">
        <f t="shared" si="532"/>
        <v>0</v>
      </c>
    </row>
    <row r="317" spans="1:127">
      <c r="A317" s="22" t="s">
        <v>22</v>
      </c>
      <c r="B317" s="26">
        <v>4987176291837</v>
      </c>
      <c r="C317" s="22" t="s">
        <v>118</v>
      </c>
      <c r="D317" s="22" t="s">
        <v>120</v>
      </c>
      <c r="E317" s="22">
        <v>255302</v>
      </c>
      <c r="F317" s="80" t="s">
        <v>409</v>
      </c>
      <c r="G317" s="25">
        <v>87.05</v>
      </c>
      <c r="H317" s="38">
        <f t="shared" si="441"/>
        <v>0</v>
      </c>
      <c r="I317" s="38">
        <f t="shared" si="442"/>
        <v>0</v>
      </c>
      <c r="J317" s="38">
        <f t="shared" si="443"/>
        <v>0</v>
      </c>
      <c r="K317" s="38">
        <f t="shared" si="444"/>
        <v>0</v>
      </c>
      <c r="L317" s="38">
        <f t="shared" si="445"/>
        <v>0</v>
      </c>
      <c r="M317" s="39">
        <f t="shared" si="446"/>
        <v>0</v>
      </c>
      <c r="N317" s="40">
        <f t="shared" si="447"/>
        <v>0</v>
      </c>
      <c r="O317" s="40">
        <f t="shared" si="448"/>
        <v>0</v>
      </c>
      <c r="P317" s="40">
        <f t="shared" si="449"/>
        <v>0</v>
      </c>
      <c r="Q317" s="40">
        <f t="shared" si="450"/>
        <v>0</v>
      </c>
      <c r="R317" s="40">
        <f t="shared" si="451"/>
        <v>565563.85</v>
      </c>
      <c r="S317" s="40">
        <f t="shared" si="452"/>
        <v>1512754.9</v>
      </c>
      <c r="T317" s="40">
        <f t="shared" si="453"/>
        <v>100107.5</v>
      </c>
      <c r="U317" s="40">
        <f t="shared" si="454"/>
        <v>88268.7</v>
      </c>
      <c r="V317" s="40">
        <f t="shared" si="455"/>
        <v>67115.55</v>
      </c>
      <c r="W317" s="40">
        <f t="shared" si="456"/>
        <v>266373</v>
      </c>
      <c r="X317" s="40">
        <f t="shared" si="457"/>
        <v>341671.25</v>
      </c>
      <c r="Y317" s="39">
        <f t="shared" si="458"/>
        <v>128572.84999999999</v>
      </c>
      <c r="Z317" s="40">
        <f t="shared" si="459"/>
        <v>160694.29999999999</v>
      </c>
      <c r="AA317" s="40">
        <f t="shared" si="460"/>
        <v>203261.75</v>
      </c>
      <c r="AB317" s="40">
        <f t="shared" si="461"/>
        <v>123959.2</v>
      </c>
      <c r="AC317" s="40">
        <f t="shared" si="462"/>
        <v>62501.9</v>
      </c>
      <c r="AD317" s="40">
        <f t="shared" si="463"/>
        <v>27420.75</v>
      </c>
      <c r="AE317" s="40">
        <f t="shared" si="464"/>
        <v>21327.25</v>
      </c>
      <c r="AF317" s="40">
        <f t="shared" si="465"/>
        <v>6354.65</v>
      </c>
      <c r="AG317" s="40">
        <f t="shared" si="466"/>
        <v>4265.45</v>
      </c>
      <c r="AH317" s="40">
        <f t="shared" si="501"/>
        <v>3046.75</v>
      </c>
      <c r="AI317" s="40">
        <f t="shared" si="502"/>
        <v>11606.666666666664</v>
      </c>
      <c r="AJ317" s="40">
        <f t="shared" si="503"/>
        <v>0</v>
      </c>
      <c r="AK317" s="39">
        <f t="shared" si="504"/>
        <v>0</v>
      </c>
      <c r="AL317" s="38">
        <v>0</v>
      </c>
      <c r="AM317" s="38">
        <v>0</v>
      </c>
      <c r="AN317" s="38">
        <v>0</v>
      </c>
      <c r="AO317" s="38">
        <v>0</v>
      </c>
      <c r="AP317" s="38">
        <v>0</v>
      </c>
      <c r="AQ317" s="39">
        <v>0</v>
      </c>
      <c r="AR317" s="40">
        <v>0</v>
      </c>
      <c r="AS317" s="40">
        <v>0</v>
      </c>
      <c r="AT317" s="40">
        <v>0</v>
      </c>
      <c r="AU317" s="40">
        <v>0</v>
      </c>
      <c r="AV317" s="40">
        <v>6239</v>
      </c>
      <c r="AW317" s="40">
        <v>17202</v>
      </c>
      <c r="AX317" s="40">
        <v>960</v>
      </c>
      <c r="AY317" s="40">
        <v>424</v>
      </c>
      <c r="AZ317" s="40">
        <v>423</v>
      </c>
      <c r="BA317" s="40">
        <v>794</v>
      </c>
      <c r="BB317" s="40">
        <v>2231</v>
      </c>
      <c r="BC317" s="39">
        <v>1379</v>
      </c>
      <c r="BD317" s="40">
        <v>1179</v>
      </c>
      <c r="BE317" s="40">
        <v>1982</v>
      </c>
      <c r="BF317" s="40">
        <v>1424</v>
      </c>
      <c r="BG317" s="40">
        <v>718</v>
      </c>
      <c r="BH317" s="40">
        <v>315</v>
      </c>
      <c r="BI317" s="40">
        <v>245</v>
      </c>
      <c r="BJ317" s="40">
        <v>73</v>
      </c>
      <c r="BK317" s="40">
        <v>49</v>
      </c>
      <c r="BL317" s="40">
        <v>35</v>
      </c>
      <c r="BM317" s="40">
        <v>20</v>
      </c>
      <c r="BN317" s="40"/>
      <c r="BO317" s="39"/>
      <c r="BP317" s="21">
        <v>0</v>
      </c>
      <c r="BQ317" s="21">
        <v>0</v>
      </c>
      <c r="BR317" s="21">
        <v>0</v>
      </c>
      <c r="BS317" s="21">
        <v>0</v>
      </c>
      <c r="BT317" s="21">
        <v>0</v>
      </c>
      <c r="BU317" s="42">
        <v>0</v>
      </c>
      <c r="BV317" s="21">
        <v>0</v>
      </c>
      <c r="BW317" s="21">
        <v>0</v>
      </c>
      <c r="BX317" s="21">
        <v>0</v>
      </c>
      <c r="BY317" s="21">
        <v>0</v>
      </c>
      <c r="BZ317" s="21">
        <v>258</v>
      </c>
      <c r="CA317" s="21">
        <v>176</v>
      </c>
      <c r="CB317" s="21">
        <v>190</v>
      </c>
      <c r="CC317" s="21">
        <v>590</v>
      </c>
      <c r="CD317" s="21">
        <v>348</v>
      </c>
      <c r="CE317" s="21">
        <v>2266</v>
      </c>
      <c r="CF317" s="21">
        <v>1694</v>
      </c>
      <c r="CG317" s="42">
        <v>98</v>
      </c>
      <c r="CH317" s="21">
        <v>667</v>
      </c>
      <c r="CI317" s="21">
        <v>353</v>
      </c>
      <c r="CJ317" s="21">
        <v>0</v>
      </c>
      <c r="CK317" s="21">
        <v>0</v>
      </c>
      <c r="CL317" s="21">
        <v>0</v>
      </c>
      <c r="CM317" s="21">
        <v>0</v>
      </c>
      <c r="CN317" s="21">
        <v>0</v>
      </c>
      <c r="CO317" s="21">
        <v>0</v>
      </c>
      <c r="CP317" s="21">
        <f t="shared" si="471"/>
        <v>0</v>
      </c>
      <c r="CQ317" s="343">
        <f t="shared" si="472"/>
        <v>113.33333333333333</v>
      </c>
      <c r="CR317" s="40"/>
      <c r="CS317" s="39"/>
      <c r="CT317" s="38">
        <f t="shared" si="505"/>
        <v>0</v>
      </c>
      <c r="CU317" s="38">
        <f t="shared" si="506"/>
        <v>0</v>
      </c>
      <c r="CV317" s="38">
        <f t="shared" si="507"/>
        <v>0</v>
      </c>
      <c r="CW317" s="38">
        <f t="shared" si="508"/>
        <v>0</v>
      </c>
      <c r="CX317" s="38">
        <f t="shared" si="509"/>
        <v>0</v>
      </c>
      <c r="CY317" s="39">
        <f t="shared" si="510"/>
        <v>0</v>
      </c>
      <c r="CZ317" s="40">
        <f t="shared" si="511"/>
        <v>0</v>
      </c>
      <c r="DA317" s="40">
        <f t="shared" si="512"/>
        <v>0</v>
      </c>
      <c r="DB317" s="40">
        <f t="shared" si="513"/>
        <v>0</v>
      </c>
      <c r="DC317" s="40">
        <f t="shared" si="514"/>
        <v>0</v>
      </c>
      <c r="DD317" s="40">
        <f t="shared" si="515"/>
        <v>6497</v>
      </c>
      <c r="DE317" s="40">
        <f t="shared" si="516"/>
        <v>17378</v>
      </c>
      <c r="DF317" s="40">
        <f t="shared" si="517"/>
        <v>1150</v>
      </c>
      <c r="DG317" s="40">
        <f t="shared" si="518"/>
        <v>1014</v>
      </c>
      <c r="DH317" s="40">
        <f t="shared" si="519"/>
        <v>771</v>
      </c>
      <c r="DI317" s="40">
        <f t="shared" si="520"/>
        <v>3060</v>
      </c>
      <c r="DJ317" s="40">
        <f t="shared" si="521"/>
        <v>3925</v>
      </c>
      <c r="DK317" s="39">
        <f t="shared" si="522"/>
        <v>1477</v>
      </c>
      <c r="DL317" s="40">
        <f t="shared" si="523"/>
        <v>1846</v>
      </c>
      <c r="DM317" s="40">
        <f t="shared" si="524"/>
        <v>2335</v>
      </c>
      <c r="DN317" s="40">
        <f t="shared" si="525"/>
        <v>1424</v>
      </c>
      <c r="DO317" s="40">
        <f t="shared" si="526"/>
        <v>718</v>
      </c>
      <c r="DP317" s="40">
        <f t="shared" si="527"/>
        <v>315</v>
      </c>
      <c r="DQ317" s="40">
        <f t="shared" si="528"/>
        <v>245</v>
      </c>
      <c r="DR317" s="87">
        <f t="shared" si="533"/>
        <v>73</v>
      </c>
      <c r="DS317" s="40">
        <f t="shared" si="534"/>
        <v>49</v>
      </c>
      <c r="DT317" s="40">
        <f t="shared" si="529"/>
        <v>35</v>
      </c>
      <c r="DU317" s="40">
        <f t="shared" si="530"/>
        <v>133.33333333333331</v>
      </c>
      <c r="DV317" s="40">
        <f t="shared" si="531"/>
        <v>0</v>
      </c>
      <c r="DW317" s="40">
        <f t="shared" si="532"/>
        <v>0</v>
      </c>
    </row>
    <row r="318" spans="1:127">
      <c r="A318" s="22" t="s">
        <v>22</v>
      </c>
      <c r="B318" s="26">
        <v>4987176333100</v>
      </c>
      <c r="C318" s="22" t="s">
        <v>118</v>
      </c>
      <c r="D318" s="22" t="s">
        <v>123</v>
      </c>
      <c r="E318" s="22">
        <v>268946</v>
      </c>
      <c r="F318" s="80" t="s">
        <v>410</v>
      </c>
      <c r="G318" s="25">
        <v>249.29999999999998</v>
      </c>
      <c r="H318" s="38">
        <f t="shared" si="441"/>
        <v>0</v>
      </c>
      <c r="I318" s="38">
        <f t="shared" si="442"/>
        <v>0</v>
      </c>
      <c r="J318" s="38">
        <f t="shared" si="443"/>
        <v>0</v>
      </c>
      <c r="K318" s="38">
        <f t="shared" si="444"/>
        <v>0</v>
      </c>
      <c r="L318" s="38">
        <f t="shared" si="445"/>
        <v>0</v>
      </c>
      <c r="M318" s="39">
        <f t="shared" si="446"/>
        <v>0</v>
      </c>
      <c r="N318" s="40">
        <f t="shared" si="447"/>
        <v>0</v>
      </c>
      <c r="O318" s="40">
        <f t="shared" si="448"/>
        <v>0</v>
      </c>
      <c r="P318" s="40">
        <f t="shared" si="449"/>
        <v>0</v>
      </c>
      <c r="Q318" s="40">
        <f t="shared" si="450"/>
        <v>0</v>
      </c>
      <c r="R318" s="40">
        <f t="shared" si="451"/>
        <v>0</v>
      </c>
      <c r="S318" s="40">
        <f t="shared" si="452"/>
        <v>0</v>
      </c>
      <c r="T318" s="40">
        <f t="shared" si="453"/>
        <v>0</v>
      </c>
      <c r="U318" s="40">
        <f t="shared" si="454"/>
        <v>0</v>
      </c>
      <c r="V318" s="40">
        <f t="shared" si="455"/>
        <v>0</v>
      </c>
      <c r="W318" s="40">
        <f t="shared" si="456"/>
        <v>0</v>
      </c>
      <c r="X318" s="40">
        <f t="shared" si="457"/>
        <v>0</v>
      </c>
      <c r="Y318" s="39">
        <f t="shared" si="458"/>
        <v>16204.499999999998</v>
      </c>
      <c r="Z318" s="40">
        <f t="shared" si="459"/>
        <v>586852.19999999995</v>
      </c>
      <c r="AA318" s="40">
        <f t="shared" si="460"/>
        <v>977255.99999999988</v>
      </c>
      <c r="AB318" s="40">
        <f t="shared" si="461"/>
        <v>480401.1</v>
      </c>
      <c r="AC318" s="40">
        <f t="shared" si="462"/>
        <v>567656.1</v>
      </c>
      <c r="AD318" s="40">
        <f t="shared" si="463"/>
        <v>523779.3</v>
      </c>
      <c r="AE318" s="40">
        <f t="shared" si="464"/>
        <v>506577.6</v>
      </c>
      <c r="AF318" s="40">
        <f t="shared" si="465"/>
        <v>391650.3</v>
      </c>
      <c r="AG318" s="40">
        <f t="shared" si="466"/>
        <v>441260.99999999994</v>
      </c>
      <c r="AH318" s="40">
        <f t="shared" si="501"/>
        <v>309132</v>
      </c>
      <c r="AI318" s="40">
        <f t="shared" si="502"/>
        <v>342704.4</v>
      </c>
      <c r="AJ318" s="40">
        <f t="shared" si="503"/>
        <v>0</v>
      </c>
      <c r="AK318" s="39">
        <f t="shared" si="504"/>
        <v>0</v>
      </c>
      <c r="AL318" s="38">
        <v>0</v>
      </c>
      <c r="AM318" s="38">
        <v>0</v>
      </c>
      <c r="AN318" s="38">
        <v>0</v>
      </c>
      <c r="AO318" s="38">
        <v>0</v>
      </c>
      <c r="AP318" s="38">
        <v>0</v>
      </c>
      <c r="AQ318" s="39">
        <v>0</v>
      </c>
      <c r="AR318" s="40">
        <v>0</v>
      </c>
      <c r="AS318" s="40">
        <v>0</v>
      </c>
      <c r="AT318" s="40">
        <v>0</v>
      </c>
      <c r="AU318" s="40">
        <v>0</v>
      </c>
      <c r="AV318" s="40">
        <v>0</v>
      </c>
      <c r="AW318" s="40">
        <v>0</v>
      </c>
      <c r="AX318" s="40">
        <v>0</v>
      </c>
      <c r="AY318" s="40">
        <v>0</v>
      </c>
      <c r="AZ318" s="40">
        <v>0</v>
      </c>
      <c r="BA318" s="40">
        <v>0</v>
      </c>
      <c r="BB318" s="40">
        <v>0</v>
      </c>
      <c r="BC318" s="39">
        <v>0</v>
      </c>
      <c r="BD318" s="40">
        <v>1754</v>
      </c>
      <c r="BE318" s="40">
        <v>3405</v>
      </c>
      <c r="BF318" s="40">
        <v>1804</v>
      </c>
      <c r="BG318" s="40">
        <v>1761</v>
      </c>
      <c r="BH318" s="40">
        <v>1884</v>
      </c>
      <c r="BI318" s="40">
        <v>1928</v>
      </c>
      <c r="BJ318" s="40">
        <v>1416</v>
      </c>
      <c r="BK318" s="40">
        <v>1703</v>
      </c>
      <c r="BL318" s="40">
        <v>1173</v>
      </c>
      <c r="BM318" s="40">
        <v>1112</v>
      </c>
      <c r="BN318" s="40"/>
      <c r="BO318" s="39"/>
      <c r="BP318" s="21">
        <v>0</v>
      </c>
      <c r="BQ318" s="21">
        <v>0</v>
      </c>
      <c r="BR318" s="21">
        <v>0</v>
      </c>
      <c r="BS318" s="21">
        <v>0</v>
      </c>
      <c r="BT318" s="21">
        <v>0</v>
      </c>
      <c r="BU318" s="42">
        <v>0</v>
      </c>
      <c r="BV318" s="21">
        <v>0</v>
      </c>
      <c r="BW318" s="21">
        <v>0</v>
      </c>
      <c r="BX318" s="21">
        <v>0</v>
      </c>
      <c r="BY318" s="21">
        <v>0</v>
      </c>
      <c r="BZ318" s="21">
        <v>0</v>
      </c>
      <c r="CA318" s="21">
        <v>0</v>
      </c>
      <c r="CB318" s="21">
        <v>0</v>
      </c>
      <c r="CC318" s="21">
        <v>0</v>
      </c>
      <c r="CD318" s="21">
        <v>0</v>
      </c>
      <c r="CE318" s="21">
        <v>0</v>
      </c>
      <c r="CF318" s="21">
        <v>0</v>
      </c>
      <c r="CG318" s="42">
        <v>65</v>
      </c>
      <c r="CH318" s="21">
        <v>600</v>
      </c>
      <c r="CI318" s="21">
        <v>515</v>
      </c>
      <c r="CJ318" s="21">
        <v>123</v>
      </c>
      <c r="CK318" s="21">
        <v>516</v>
      </c>
      <c r="CL318" s="21">
        <v>217</v>
      </c>
      <c r="CM318" s="21">
        <v>104</v>
      </c>
      <c r="CN318" s="21">
        <v>155</v>
      </c>
      <c r="CO318" s="21">
        <v>67</v>
      </c>
      <c r="CP318" s="21">
        <f t="shared" si="471"/>
        <v>67</v>
      </c>
      <c r="CQ318" s="343">
        <f t="shared" si="472"/>
        <v>262.66666666666669</v>
      </c>
      <c r="CR318" s="40"/>
      <c r="CS318" s="39"/>
      <c r="CT318" s="38">
        <f t="shared" si="505"/>
        <v>0</v>
      </c>
      <c r="CU318" s="38">
        <f t="shared" si="506"/>
        <v>0</v>
      </c>
      <c r="CV318" s="38">
        <f t="shared" si="507"/>
        <v>0</v>
      </c>
      <c r="CW318" s="38">
        <f t="shared" si="508"/>
        <v>0</v>
      </c>
      <c r="CX318" s="38">
        <f t="shared" si="509"/>
        <v>0</v>
      </c>
      <c r="CY318" s="39">
        <f t="shared" si="510"/>
        <v>0</v>
      </c>
      <c r="CZ318" s="40">
        <f t="shared" si="511"/>
        <v>0</v>
      </c>
      <c r="DA318" s="40">
        <f t="shared" si="512"/>
        <v>0</v>
      </c>
      <c r="DB318" s="40">
        <f t="shared" si="513"/>
        <v>0</v>
      </c>
      <c r="DC318" s="40">
        <f t="shared" si="514"/>
        <v>0</v>
      </c>
      <c r="DD318" s="40">
        <f t="shared" si="515"/>
        <v>0</v>
      </c>
      <c r="DE318" s="40">
        <f t="shared" si="516"/>
        <v>0</v>
      </c>
      <c r="DF318" s="40">
        <f t="shared" si="517"/>
        <v>0</v>
      </c>
      <c r="DG318" s="40">
        <f t="shared" si="518"/>
        <v>0</v>
      </c>
      <c r="DH318" s="40">
        <f t="shared" si="519"/>
        <v>0</v>
      </c>
      <c r="DI318" s="40">
        <f t="shared" si="520"/>
        <v>0</v>
      </c>
      <c r="DJ318" s="40">
        <f t="shared" si="521"/>
        <v>0</v>
      </c>
      <c r="DK318" s="39">
        <f t="shared" si="522"/>
        <v>65</v>
      </c>
      <c r="DL318" s="40">
        <f t="shared" si="523"/>
        <v>2354</v>
      </c>
      <c r="DM318" s="40">
        <f t="shared" si="524"/>
        <v>3920</v>
      </c>
      <c r="DN318" s="40">
        <f t="shared" si="525"/>
        <v>1927</v>
      </c>
      <c r="DO318" s="40">
        <f t="shared" si="526"/>
        <v>2277</v>
      </c>
      <c r="DP318" s="40">
        <f t="shared" si="527"/>
        <v>2101</v>
      </c>
      <c r="DQ318" s="40">
        <f t="shared" si="528"/>
        <v>2032</v>
      </c>
      <c r="DR318" s="87">
        <f t="shared" si="533"/>
        <v>1571</v>
      </c>
      <c r="DS318" s="40">
        <f t="shared" si="534"/>
        <v>1770</v>
      </c>
      <c r="DT318" s="40">
        <f t="shared" si="529"/>
        <v>1240</v>
      </c>
      <c r="DU318" s="40">
        <f t="shared" si="530"/>
        <v>1374.6666666666667</v>
      </c>
      <c r="DV318" s="40">
        <f t="shared" si="531"/>
        <v>0</v>
      </c>
      <c r="DW318" s="40">
        <f t="shared" si="532"/>
        <v>0</v>
      </c>
    </row>
    <row r="319" spans="1:127">
      <c r="A319" s="22" t="s">
        <v>22</v>
      </c>
      <c r="B319" s="26">
        <v>4987176376886</v>
      </c>
      <c r="C319" s="22" t="s">
        <v>118</v>
      </c>
      <c r="D319" s="22" t="s">
        <v>120</v>
      </c>
      <c r="E319" s="22">
        <v>280447</v>
      </c>
      <c r="F319" s="80" t="s">
        <v>757</v>
      </c>
      <c r="G319" s="25">
        <v>66.100000000000009</v>
      </c>
      <c r="H319" s="38">
        <f t="shared" si="441"/>
        <v>0</v>
      </c>
      <c r="I319" s="38">
        <f t="shared" si="442"/>
        <v>0</v>
      </c>
      <c r="J319" s="38">
        <f t="shared" si="443"/>
        <v>0</v>
      </c>
      <c r="K319" s="38">
        <f t="shared" si="444"/>
        <v>0</v>
      </c>
      <c r="L319" s="38">
        <f t="shared" si="445"/>
        <v>0</v>
      </c>
      <c r="M319" s="39">
        <f t="shared" si="446"/>
        <v>0</v>
      </c>
      <c r="N319" s="40">
        <f t="shared" si="447"/>
        <v>0</v>
      </c>
      <c r="O319" s="40">
        <f t="shared" si="448"/>
        <v>0</v>
      </c>
      <c r="P319" s="40">
        <f t="shared" si="449"/>
        <v>0</v>
      </c>
      <c r="Q319" s="40">
        <f t="shared" si="450"/>
        <v>0</v>
      </c>
      <c r="R319" s="40">
        <f t="shared" si="451"/>
        <v>0</v>
      </c>
      <c r="S319" s="40">
        <f t="shared" si="452"/>
        <v>0</v>
      </c>
      <c r="T319" s="40">
        <f t="shared" si="453"/>
        <v>0</v>
      </c>
      <c r="U319" s="40">
        <f t="shared" si="454"/>
        <v>0</v>
      </c>
      <c r="V319" s="40">
        <f t="shared" si="455"/>
        <v>0</v>
      </c>
      <c r="W319" s="40">
        <f t="shared" si="456"/>
        <v>0</v>
      </c>
      <c r="X319" s="40">
        <f t="shared" si="457"/>
        <v>0</v>
      </c>
      <c r="Y319" s="39">
        <f t="shared" si="458"/>
        <v>0</v>
      </c>
      <c r="Z319" s="40">
        <f t="shared" si="459"/>
        <v>0</v>
      </c>
      <c r="AA319" s="40">
        <f t="shared" si="460"/>
        <v>0</v>
      </c>
      <c r="AB319" s="40">
        <f t="shared" si="461"/>
        <v>0</v>
      </c>
      <c r="AC319" s="40">
        <f t="shared" si="462"/>
        <v>0</v>
      </c>
      <c r="AD319" s="40">
        <f t="shared" si="463"/>
        <v>0</v>
      </c>
      <c r="AE319" s="40">
        <f t="shared" si="464"/>
        <v>0</v>
      </c>
      <c r="AF319" s="40">
        <f t="shared" si="465"/>
        <v>330.50000000000006</v>
      </c>
      <c r="AG319" s="40">
        <f t="shared" si="466"/>
        <v>20160.500000000004</v>
      </c>
      <c r="AH319" s="40"/>
      <c r="AI319" s="40"/>
      <c r="AJ319" s="40"/>
      <c r="AK319" s="39"/>
      <c r="AL319" s="38"/>
      <c r="AM319" s="38"/>
      <c r="AN319" s="38"/>
      <c r="AO319" s="38"/>
      <c r="AP319" s="38"/>
      <c r="AQ319" s="39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  <c r="BC319" s="39"/>
      <c r="BD319" s="40"/>
      <c r="BE319" s="40"/>
      <c r="BF319" s="40"/>
      <c r="BG319" s="40"/>
      <c r="BH319" s="40"/>
      <c r="BI319" s="40"/>
      <c r="BJ319" s="40"/>
      <c r="BK319" s="40">
        <v>289</v>
      </c>
      <c r="BL319" s="40">
        <v>457</v>
      </c>
      <c r="BM319" s="40">
        <v>577</v>
      </c>
      <c r="BN319" s="40"/>
      <c r="BO319" s="39"/>
      <c r="CA319" s="21">
        <v>0</v>
      </c>
      <c r="CB319" s="21">
        <v>0</v>
      </c>
      <c r="CC319" s="21">
        <v>0</v>
      </c>
      <c r="CD319" s="21">
        <v>0</v>
      </c>
      <c r="CE319" s="21">
        <v>0</v>
      </c>
      <c r="CF319" s="21">
        <v>0</v>
      </c>
      <c r="CG319" s="42">
        <v>0</v>
      </c>
      <c r="CH319" s="21">
        <v>0</v>
      </c>
      <c r="CI319" s="21">
        <v>0</v>
      </c>
      <c r="CJ319" s="21">
        <v>0</v>
      </c>
      <c r="CK319" s="21">
        <v>0</v>
      </c>
      <c r="CL319" s="21">
        <v>0</v>
      </c>
      <c r="CM319" s="21">
        <v>0</v>
      </c>
      <c r="CN319" s="21">
        <v>5</v>
      </c>
      <c r="CO319" s="21">
        <v>16</v>
      </c>
      <c r="CP319" s="21">
        <f t="shared" si="471"/>
        <v>16</v>
      </c>
      <c r="CQ319" s="343">
        <f t="shared" si="472"/>
        <v>4.1111111111111107</v>
      </c>
      <c r="CR319" s="40"/>
      <c r="CS319" s="39"/>
      <c r="CT319" s="38"/>
      <c r="CU319" s="38"/>
      <c r="CV319" s="38"/>
      <c r="CW319" s="38"/>
      <c r="CX319" s="38"/>
      <c r="CY319" s="39"/>
      <c r="CZ319" s="40"/>
      <c r="DA319" s="40"/>
      <c r="DB319" s="40"/>
      <c r="DC319" s="40"/>
      <c r="DD319" s="40"/>
      <c r="DE319" s="40"/>
      <c r="DF319" s="40"/>
      <c r="DG319" s="40"/>
      <c r="DH319" s="40"/>
      <c r="DI319" s="40"/>
      <c r="DJ319" s="40"/>
      <c r="DK319" s="39"/>
      <c r="DL319" s="40"/>
      <c r="DM319" s="40"/>
      <c r="DN319" s="40"/>
      <c r="DO319" s="40"/>
      <c r="DP319" s="40"/>
      <c r="DQ319" s="40"/>
      <c r="DR319" s="40">
        <f t="shared" si="533"/>
        <v>5</v>
      </c>
      <c r="DS319" s="40">
        <f t="shared" si="534"/>
        <v>305</v>
      </c>
      <c r="DT319" s="40"/>
      <c r="DU319" s="40"/>
      <c r="DV319" s="40"/>
      <c r="DW319" s="40"/>
    </row>
    <row r="320" spans="1:127">
      <c r="A320" s="22" t="s">
        <v>133</v>
      </c>
      <c r="B320" s="26">
        <v>4902430650854</v>
      </c>
      <c r="C320" s="22" t="s">
        <v>133</v>
      </c>
      <c r="D320" s="22" t="s">
        <v>26</v>
      </c>
      <c r="E320" s="22">
        <v>241780</v>
      </c>
      <c r="F320" s="80" t="s">
        <v>411</v>
      </c>
      <c r="G320" s="25">
        <v>130.70000000000002</v>
      </c>
      <c r="H320" s="38">
        <f t="shared" si="441"/>
        <v>4443.8</v>
      </c>
      <c r="I320" s="38">
        <f t="shared" si="442"/>
        <v>8234.1</v>
      </c>
      <c r="J320" s="38">
        <f t="shared" si="443"/>
        <v>6142.9000000000005</v>
      </c>
      <c r="K320" s="38">
        <f t="shared" si="444"/>
        <v>6535.0000000000009</v>
      </c>
      <c r="L320" s="38">
        <f t="shared" si="445"/>
        <v>6535.0000000000009</v>
      </c>
      <c r="M320" s="39">
        <f t="shared" si="446"/>
        <v>5620.1</v>
      </c>
      <c r="N320" s="40">
        <f t="shared" si="447"/>
        <v>4182.4000000000005</v>
      </c>
      <c r="O320" s="40">
        <f t="shared" si="448"/>
        <v>6142.9000000000005</v>
      </c>
      <c r="P320" s="40">
        <f t="shared" si="449"/>
        <v>4051.7000000000007</v>
      </c>
      <c r="Q320" s="40">
        <f t="shared" si="450"/>
        <v>5228.0000000000009</v>
      </c>
      <c r="R320" s="40">
        <f t="shared" si="451"/>
        <v>4313.1000000000004</v>
      </c>
      <c r="S320" s="40">
        <f t="shared" si="452"/>
        <v>3398.2000000000003</v>
      </c>
      <c r="T320" s="40">
        <f t="shared" si="453"/>
        <v>4182.4000000000005</v>
      </c>
      <c r="U320" s="40">
        <f t="shared" si="454"/>
        <v>5097.3000000000011</v>
      </c>
      <c r="V320" s="40">
        <f t="shared" si="455"/>
        <v>3790.3000000000006</v>
      </c>
      <c r="W320" s="40">
        <f t="shared" si="456"/>
        <v>4574.5000000000009</v>
      </c>
      <c r="X320" s="40">
        <f t="shared" si="457"/>
        <v>7842.0000000000009</v>
      </c>
      <c r="Y320" s="39">
        <f t="shared" si="458"/>
        <v>3790.3000000000006</v>
      </c>
      <c r="Z320" s="40">
        <f t="shared" si="459"/>
        <v>3398.2000000000003</v>
      </c>
      <c r="AA320" s="40">
        <f t="shared" si="460"/>
        <v>4443.8</v>
      </c>
      <c r="AB320" s="40">
        <f t="shared" si="461"/>
        <v>3659.6000000000004</v>
      </c>
      <c r="AC320" s="40">
        <f t="shared" si="462"/>
        <v>4443.8</v>
      </c>
      <c r="AD320" s="40">
        <f t="shared" si="463"/>
        <v>784.2</v>
      </c>
      <c r="AE320" s="40">
        <f t="shared" si="464"/>
        <v>1699.1000000000001</v>
      </c>
      <c r="AF320" s="40">
        <f t="shared" si="465"/>
        <v>522.80000000000007</v>
      </c>
      <c r="AG320" s="40">
        <f t="shared" si="466"/>
        <v>784.2</v>
      </c>
      <c r="AH320" s="40">
        <f t="shared" ref="AH320:AH383" si="535">DT320*$G320</f>
        <v>0</v>
      </c>
      <c r="AI320" s="40">
        <f t="shared" ref="AI320:AI383" si="536">DU320*$G320</f>
        <v>537.32222222222219</v>
      </c>
      <c r="AJ320" s="40">
        <f t="shared" ref="AJ320:AJ383" si="537">DV320*$G320</f>
        <v>0</v>
      </c>
      <c r="AK320" s="39">
        <f t="shared" ref="AK320:AK383" si="538">DW320*$G320</f>
        <v>0</v>
      </c>
      <c r="AL320" s="38">
        <v>28</v>
      </c>
      <c r="AM320" s="38">
        <v>52</v>
      </c>
      <c r="AN320" s="38">
        <v>33</v>
      </c>
      <c r="AO320" s="38">
        <v>27</v>
      </c>
      <c r="AP320" s="38">
        <v>39</v>
      </c>
      <c r="AQ320" s="39">
        <v>25</v>
      </c>
      <c r="AR320" s="40">
        <v>27</v>
      </c>
      <c r="AS320" s="40">
        <v>41</v>
      </c>
      <c r="AT320" s="40">
        <v>27</v>
      </c>
      <c r="AU320" s="40">
        <v>33</v>
      </c>
      <c r="AV320" s="40">
        <v>22</v>
      </c>
      <c r="AW320" s="40">
        <v>20</v>
      </c>
      <c r="AX320" s="40">
        <v>30</v>
      </c>
      <c r="AY320" s="40">
        <v>23</v>
      </c>
      <c r="AZ320" s="40">
        <v>11</v>
      </c>
      <c r="BA320" s="40">
        <v>26</v>
      </c>
      <c r="BB320" s="40">
        <v>27</v>
      </c>
      <c r="BC320" s="39">
        <v>14</v>
      </c>
      <c r="BD320" s="40">
        <v>14</v>
      </c>
      <c r="BE320" s="40">
        <v>21</v>
      </c>
      <c r="BF320" s="40">
        <v>17</v>
      </c>
      <c r="BG320" s="40">
        <v>33</v>
      </c>
      <c r="BH320" s="40">
        <v>6</v>
      </c>
      <c r="BI320" s="40">
        <v>13</v>
      </c>
      <c r="BJ320" s="40">
        <v>4</v>
      </c>
      <c r="BK320" s="40">
        <v>6</v>
      </c>
      <c r="BL320" s="40">
        <v>0</v>
      </c>
      <c r="BM320" s="40">
        <v>0</v>
      </c>
      <c r="BN320" s="40"/>
      <c r="BO320" s="39"/>
      <c r="BP320" s="21">
        <v>6</v>
      </c>
      <c r="BQ320" s="21">
        <v>11</v>
      </c>
      <c r="BR320" s="21">
        <v>14</v>
      </c>
      <c r="BS320" s="21">
        <v>23</v>
      </c>
      <c r="BT320" s="21">
        <v>11</v>
      </c>
      <c r="BU320" s="42">
        <v>18</v>
      </c>
      <c r="BV320" s="21">
        <v>5</v>
      </c>
      <c r="BW320" s="21">
        <v>6</v>
      </c>
      <c r="BX320" s="21">
        <v>4</v>
      </c>
      <c r="BY320" s="21">
        <v>7</v>
      </c>
      <c r="BZ320" s="21">
        <v>11</v>
      </c>
      <c r="CA320" s="21">
        <v>6</v>
      </c>
      <c r="CB320" s="21">
        <v>2</v>
      </c>
      <c r="CC320" s="21">
        <v>16</v>
      </c>
      <c r="CD320" s="21">
        <v>18</v>
      </c>
      <c r="CE320" s="21">
        <v>9</v>
      </c>
      <c r="CF320" s="21">
        <v>33</v>
      </c>
      <c r="CG320" s="42">
        <v>15</v>
      </c>
      <c r="CH320" s="21">
        <v>12</v>
      </c>
      <c r="CI320" s="21">
        <v>13</v>
      </c>
      <c r="CJ320" s="21">
        <v>11</v>
      </c>
      <c r="CK320" s="21">
        <v>1</v>
      </c>
      <c r="CL320" s="21">
        <v>0</v>
      </c>
      <c r="CM320" s="21">
        <v>0</v>
      </c>
      <c r="CN320" s="21">
        <v>0</v>
      </c>
      <c r="CO320" s="21">
        <v>0</v>
      </c>
      <c r="CP320" s="21">
        <f t="shared" si="471"/>
        <v>0</v>
      </c>
      <c r="CQ320" s="343">
        <f t="shared" si="472"/>
        <v>4.1111111111111107</v>
      </c>
      <c r="CR320" s="40"/>
      <c r="CS320" s="39"/>
      <c r="CT320" s="38">
        <f t="shared" ref="CT320:CT349" si="539">AL320+BP320</f>
        <v>34</v>
      </c>
      <c r="CU320" s="38">
        <f t="shared" ref="CU320:CU349" si="540">AM320+BQ320</f>
        <v>63</v>
      </c>
      <c r="CV320" s="38">
        <f t="shared" ref="CV320:CV349" si="541">AN320+BR320</f>
        <v>47</v>
      </c>
      <c r="CW320" s="38">
        <f t="shared" ref="CW320:CW349" si="542">AO320+BS320</f>
        <v>50</v>
      </c>
      <c r="CX320" s="38">
        <f t="shared" ref="CX320:CX349" si="543">AP320+BT320</f>
        <v>50</v>
      </c>
      <c r="CY320" s="39">
        <f t="shared" ref="CY320:CY349" si="544">AQ320+BU320</f>
        <v>43</v>
      </c>
      <c r="CZ320" s="40">
        <f t="shared" ref="CZ320:CZ349" si="545">AR320+BV320</f>
        <v>32</v>
      </c>
      <c r="DA320" s="40">
        <f t="shared" ref="DA320:DA349" si="546">AS320+BW320</f>
        <v>47</v>
      </c>
      <c r="DB320" s="40">
        <f t="shared" ref="DB320:DB349" si="547">AT320+BX320</f>
        <v>31</v>
      </c>
      <c r="DC320" s="40">
        <f t="shared" ref="DC320:DC349" si="548">AU320+BY320</f>
        <v>40</v>
      </c>
      <c r="DD320" s="40">
        <f t="shared" ref="DD320:DD349" si="549">AV320+BZ320</f>
        <v>33</v>
      </c>
      <c r="DE320" s="40">
        <f t="shared" ref="DE320:DE349" si="550">AW320+CA320</f>
        <v>26</v>
      </c>
      <c r="DF320" s="40">
        <f t="shared" ref="DF320:DF349" si="551">AX320+CB320</f>
        <v>32</v>
      </c>
      <c r="DG320" s="40">
        <f t="shared" ref="DG320:DG349" si="552">AY320+CC320</f>
        <v>39</v>
      </c>
      <c r="DH320" s="40">
        <f t="shared" ref="DH320:DH349" si="553">AZ320+CD320</f>
        <v>29</v>
      </c>
      <c r="DI320" s="40">
        <f t="shared" ref="DI320:DI349" si="554">BA320+CE320</f>
        <v>35</v>
      </c>
      <c r="DJ320" s="40">
        <f t="shared" ref="DJ320:DJ349" si="555">BB320+CF320</f>
        <v>60</v>
      </c>
      <c r="DK320" s="39">
        <f t="shared" ref="DK320:DK349" si="556">BC320+CG320</f>
        <v>29</v>
      </c>
      <c r="DL320" s="40">
        <f t="shared" ref="DL320:DL349" si="557">BD320+CH320</f>
        <v>26</v>
      </c>
      <c r="DM320" s="40">
        <f t="shared" ref="DM320:DM349" si="558">BE320+CI320</f>
        <v>34</v>
      </c>
      <c r="DN320" s="40">
        <f t="shared" ref="DN320:DN349" si="559">BF320+CJ320</f>
        <v>28</v>
      </c>
      <c r="DO320" s="40">
        <f t="shared" ref="DO320:DO349" si="560">BG320+CK320</f>
        <v>34</v>
      </c>
      <c r="DP320" s="40">
        <f t="shared" ref="DP320:DP349" si="561">BH320+CL320</f>
        <v>6</v>
      </c>
      <c r="DQ320" s="40">
        <f t="shared" ref="DQ320:DQ349" si="562">BI320+CM320</f>
        <v>13</v>
      </c>
      <c r="DR320" s="87">
        <f t="shared" si="533"/>
        <v>4</v>
      </c>
      <c r="DS320" s="40">
        <f t="shared" si="534"/>
        <v>6</v>
      </c>
      <c r="DT320" s="40">
        <f t="shared" ref="DT320:DT349" si="563">BL320+CP320</f>
        <v>0</v>
      </c>
      <c r="DU320" s="40">
        <f t="shared" ref="DU320:DU349" si="564">BM320+CQ320</f>
        <v>4.1111111111111107</v>
      </c>
      <c r="DV320" s="40">
        <f t="shared" ref="DV320:DV349" si="565">BN320+CR320</f>
        <v>0</v>
      </c>
      <c r="DW320" s="40">
        <f t="shared" ref="DW320:DW349" si="566">BO320+CS320</f>
        <v>0</v>
      </c>
    </row>
    <row r="321" spans="1:127">
      <c r="A321" s="22" t="s">
        <v>133</v>
      </c>
      <c r="B321" s="26">
        <v>6900068807440</v>
      </c>
      <c r="C321" s="22" t="s">
        <v>133</v>
      </c>
      <c r="D321" s="22" t="s">
        <v>26</v>
      </c>
      <c r="E321" s="22">
        <v>534723</v>
      </c>
      <c r="F321" s="80" t="s">
        <v>412</v>
      </c>
      <c r="G321" s="25">
        <v>233</v>
      </c>
      <c r="H321" s="38">
        <f t="shared" si="441"/>
        <v>233</v>
      </c>
      <c r="I321" s="38">
        <f t="shared" si="442"/>
        <v>233</v>
      </c>
      <c r="J321" s="38">
        <f t="shared" si="443"/>
        <v>233</v>
      </c>
      <c r="K321" s="38">
        <f t="shared" si="444"/>
        <v>0</v>
      </c>
      <c r="L321" s="38">
        <f t="shared" si="445"/>
        <v>0</v>
      </c>
      <c r="M321" s="39">
        <f t="shared" si="446"/>
        <v>233</v>
      </c>
      <c r="N321" s="40">
        <f t="shared" si="447"/>
        <v>0</v>
      </c>
      <c r="O321" s="40">
        <f t="shared" si="448"/>
        <v>0</v>
      </c>
      <c r="P321" s="40">
        <f t="shared" si="449"/>
        <v>0</v>
      </c>
      <c r="Q321" s="40">
        <f t="shared" si="450"/>
        <v>0</v>
      </c>
      <c r="R321" s="40">
        <f t="shared" si="451"/>
        <v>0</v>
      </c>
      <c r="S321" s="40">
        <f t="shared" si="452"/>
        <v>233</v>
      </c>
      <c r="T321" s="40">
        <f t="shared" si="453"/>
        <v>0</v>
      </c>
      <c r="U321" s="40">
        <f t="shared" si="454"/>
        <v>233</v>
      </c>
      <c r="V321" s="40">
        <f t="shared" si="455"/>
        <v>0</v>
      </c>
      <c r="W321" s="40">
        <f t="shared" si="456"/>
        <v>0</v>
      </c>
      <c r="X321" s="40">
        <f t="shared" si="457"/>
        <v>0</v>
      </c>
      <c r="Y321" s="39">
        <f t="shared" si="458"/>
        <v>0</v>
      </c>
      <c r="Z321" s="40">
        <f t="shared" si="459"/>
        <v>0</v>
      </c>
      <c r="AA321" s="40">
        <f t="shared" si="460"/>
        <v>0</v>
      </c>
      <c r="AB321" s="40">
        <f t="shared" si="461"/>
        <v>0</v>
      </c>
      <c r="AC321" s="40">
        <f t="shared" si="462"/>
        <v>0</v>
      </c>
      <c r="AD321" s="40">
        <f t="shared" si="463"/>
        <v>233</v>
      </c>
      <c r="AE321" s="40">
        <f t="shared" si="464"/>
        <v>0</v>
      </c>
      <c r="AF321" s="40">
        <f t="shared" si="465"/>
        <v>0</v>
      </c>
      <c r="AG321" s="40">
        <f t="shared" si="466"/>
        <v>0</v>
      </c>
      <c r="AH321" s="40">
        <f t="shared" si="535"/>
        <v>233</v>
      </c>
      <c r="AI321" s="40">
        <f t="shared" si="536"/>
        <v>0</v>
      </c>
      <c r="AJ321" s="40">
        <f t="shared" si="537"/>
        <v>0</v>
      </c>
      <c r="AK321" s="39">
        <f t="shared" si="538"/>
        <v>0</v>
      </c>
      <c r="AL321" s="38">
        <v>1</v>
      </c>
      <c r="AM321" s="38">
        <v>1</v>
      </c>
      <c r="AN321" s="38">
        <v>1</v>
      </c>
      <c r="AO321" s="38">
        <v>0</v>
      </c>
      <c r="AP321" s="38">
        <v>0</v>
      </c>
      <c r="AQ321" s="39">
        <v>1</v>
      </c>
      <c r="AR321" s="40">
        <v>0</v>
      </c>
      <c r="AS321" s="40">
        <v>0</v>
      </c>
      <c r="AT321" s="40">
        <v>0</v>
      </c>
      <c r="AU321" s="40">
        <v>0</v>
      </c>
      <c r="AV321" s="40">
        <v>0</v>
      </c>
      <c r="AW321" s="40">
        <v>1</v>
      </c>
      <c r="AX321" s="40">
        <v>0</v>
      </c>
      <c r="AY321" s="40">
        <v>1</v>
      </c>
      <c r="AZ321" s="40">
        <v>0</v>
      </c>
      <c r="BA321" s="40">
        <v>0</v>
      </c>
      <c r="BB321" s="40">
        <v>0</v>
      </c>
      <c r="BC321" s="39">
        <v>0</v>
      </c>
      <c r="BD321" s="40">
        <v>0</v>
      </c>
      <c r="BE321" s="40">
        <v>0</v>
      </c>
      <c r="BF321" s="40">
        <v>0</v>
      </c>
      <c r="BG321" s="40">
        <v>0</v>
      </c>
      <c r="BH321" s="40">
        <v>1</v>
      </c>
      <c r="BI321" s="40">
        <v>0</v>
      </c>
      <c r="BJ321" s="40">
        <v>0</v>
      </c>
      <c r="BK321" s="40">
        <v>0</v>
      </c>
      <c r="BL321" s="40">
        <v>1</v>
      </c>
      <c r="BM321" s="40">
        <v>0</v>
      </c>
      <c r="BN321" s="40"/>
      <c r="BO321" s="39"/>
      <c r="BP321" s="21">
        <v>0</v>
      </c>
      <c r="BQ321" s="21">
        <v>0</v>
      </c>
      <c r="BR321" s="21">
        <v>0</v>
      </c>
      <c r="BS321" s="21">
        <v>0</v>
      </c>
      <c r="BT321" s="21">
        <v>0</v>
      </c>
      <c r="BU321" s="42">
        <v>0</v>
      </c>
      <c r="BV321" s="21">
        <v>0</v>
      </c>
      <c r="BW321" s="21">
        <v>0</v>
      </c>
      <c r="BX321" s="21">
        <v>0</v>
      </c>
      <c r="BY321" s="21">
        <v>0</v>
      </c>
      <c r="BZ321" s="21">
        <v>0</v>
      </c>
      <c r="CA321" s="21">
        <v>0</v>
      </c>
      <c r="CB321" s="21">
        <v>0</v>
      </c>
      <c r="CC321" s="21">
        <v>0</v>
      </c>
      <c r="CD321" s="21">
        <v>0</v>
      </c>
      <c r="CE321" s="21">
        <v>0</v>
      </c>
      <c r="CF321" s="21">
        <v>0</v>
      </c>
      <c r="CG321" s="42">
        <v>0</v>
      </c>
      <c r="CH321" s="21">
        <v>0</v>
      </c>
      <c r="CI321" s="21">
        <v>0</v>
      </c>
      <c r="CJ321" s="21">
        <v>0</v>
      </c>
      <c r="CK321" s="21">
        <v>0</v>
      </c>
      <c r="CL321" s="21">
        <v>0</v>
      </c>
      <c r="CM321" s="21">
        <v>0</v>
      </c>
      <c r="CN321" s="21">
        <v>0</v>
      </c>
      <c r="CO321" s="21">
        <v>0</v>
      </c>
      <c r="CP321" s="21">
        <f t="shared" si="471"/>
        <v>0</v>
      </c>
      <c r="CQ321" s="343">
        <f t="shared" si="472"/>
        <v>0</v>
      </c>
      <c r="CR321" s="40"/>
      <c r="CS321" s="39"/>
      <c r="CT321" s="38">
        <f t="shared" si="539"/>
        <v>1</v>
      </c>
      <c r="CU321" s="38">
        <f t="shared" si="540"/>
        <v>1</v>
      </c>
      <c r="CV321" s="38">
        <f t="shared" si="541"/>
        <v>1</v>
      </c>
      <c r="CW321" s="38">
        <f t="shared" si="542"/>
        <v>0</v>
      </c>
      <c r="CX321" s="38">
        <f t="shared" si="543"/>
        <v>0</v>
      </c>
      <c r="CY321" s="39">
        <f t="shared" si="544"/>
        <v>1</v>
      </c>
      <c r="CZ321" s="40">
        <f t="shared" si="545"/>
        <v>0</v>
      </c>
      <c r="DA321" s="40">
        <f t="shared" si="546"/>
        <v>0</v>
      </c>
      <c r="DB321" s="40">
        <f t="shared" si="547"/>
        <v>0</v>
      </c>
      <c r="DC321" s="40">
        <f t="shared" si="548"/>
        <v>0</v>
      </c>
      <c r="DD321" s="40">
        <f t="shared" si="549"/>
        <v>0</v>
      </c>
      <c r="DE321" s="40">
        <f t="shared" si="550"/>
        <v>1</v>
      </c>
      <c r="DF321" s="40">
        <f t="shared" si="551"/>
        <v>0</v>
      </c>
      <c r="DG321" s="40">
        <f t="shared" si="552"/>
        <v>1</v>
      </c>
      <c r="DH321" s="40">
        <f t="shared" si="553"/>
        <v>0</v>
      </c>
      <c r="DI321" s="40">
        <f t="shared" si="554"/>
        <v>0</v>
      </c>
      <c r="DJ321" s="40">
        <f t="shared" si="555"/>
        <v>0</v>
      </c>
      <c r="DK321" s="39">
        <f t="shared" si="556"/>
        <v>0</v>
      </c>
      <c r="DL321" s="40">
        <f t="shared" si="557"/>
        <v>0</v>
      </c>
      <c r="DM321" s="40">
        <f t="shared" si="558"/>
        <v>0</v>
      </c>
      <c r="DN321" s="40">
        <f t="shared" si="559"/>
        <v>0</v>
      </c>
      <c r="DO321" s="40">
        <f t="shared" si="560"/>
        <v>0</v>
      </c>
      <c r="DP321" s="40">
        <f t="shared" si="561"/>
        <v>1</v>
      </c>
      <c r="DQ321" s="40">
        <f t="shared" si="562"/>
        <v>0</v>
      </c>
      <c r="DR321" s="87">
        <f t="shared" si="533"/>
        <v>0</v>
      </c>
      <c r="DS321" s="40">
        <f t="shared" si="534"/>
        <v>0</v>
      </c>
      <c r="DT321" s="40">
        <f t="shared" si="563"/>
        <v>1</v>
      </c>
      <c r="DU321" s="40">
        <f t="shared" si="564"/>
        <v>0</v>
      </c>
      <c r="DV321" s="40">
        <f t="shared" si="565"/>
        <v>0</v>
      </c>
      <c r="DW321" s="40">
        <f t="shared" si="566"/>
        <v>0</v>
      </c>
    </row>
    <row r="322" spans="1:127">
      <c r="A322" s="22" t="s">
        <v>133</v>
      </c>
      <c r="B322" s="26">
        <v>4902430651172</v>
      </c>
      <c r="C322" s="22" t="s">
        <v>133</v>
      </c>
      <c r="D322" s="22" t="s">
        <v>26</v>
      </c>
      <c r="E322" s="22">
        <v>119013</v>
      </c>
      <c r="F322" s="80" t="s">
        <v>413</v>
      </c>
      <c r="G322" s="25">
        <v>761.1</v>
      </c>
      <c r="H322" s="38">
        <f t="shared" si="441"/>
        <v>23594.100000000002</v>
      </c>
      <c r="I322" s="38">
        <f t="shared" si="442"/>
        <v>29682.9</v>
      </c>
      <c r="J322" s="38">
        <f t="shared" si="443"/>
        <v>36532.800000000003</v>
      </c>
      <c r="K322" s="38">
        <f t="shared" si="444"/>
        <v>42621.599999999999</v>
      </c>
      <c r="L322" s="38">
        <f t="shared" si="445"/>
        <v>50232.6</v>
      </c>
      <c r="M322" s="39">
        <f t="shared" si="446"/>
        <v>25877.4</v>
      </c>
      <c r="N322" s="40">
        <f t="shared" si="447"/>
        <v>24355.200000000001</v>
      </c>
      <c r="O322" s="40">
        <f t="shared" si="448"/>
        <v>24355.200000000001</v>
      </c>
      <c r="P322" s="40">
        <f t="shared" si="449"/>
        <v>20549.7</v>
      </c>
      <c r="Q322" s="40">
        <f t="shared" si="450"/>
        <v>19027.5</v>
      </c>
      <c r="R322" s="40">
        <f t="shared" si="451"/>
        <v>19027.5</v>
      </c>
      <c r="S322" s="40">
        <f t="shared" si="452"/>
        <v>13699.800000000001</v>
      </c>
      <c r="T322" s="40">
        <f t="shared" si="453"/>
        <v>13699.800000000001</v>
      </c>
      <c r="U322" s="40">
        <f t="shared" si="454"/>
        <v>15983.1</v>
      </c>
      <c r="V322" s="40">
        <f t="shared" si="455"/>
        <v>9894.3000000000011</v>
      </c>
      <c r="W322" s="40">
        <f t="shared" si="456"/>
        <v>5327.7</v>
      </c>
      <c r="X322" s="40">
        <f t="shared" si="457"/>
        <v>5327.7</v>
      </c>
      <c r="Y322" s="39">
        <f t="shared" si="458"/>
        <v>3044.4</v>
      </c>
      <c r="Z322" s="40">
        <f t="shared" si="459"/>
        <v>1522.2</v>
      </c>
      <c r="AA322" s="40">
        <f t="shared" si="460"/>
        <v>1522.2</v>
      </c>
      <c r="AB322" s="40">
        <f t="shared" si="461"/>
        <v>6088.8</v>
      </c>
      <c r="AC322" s="40">
        <f t="shared" si="462"/>
        <v>4566.6000000000004</v>
      </c>
      <c r="AD322" s="40">
        <f t="shared" si="463"/>
        <v>3044.4</v>
      </c>
      <c r="AE322" s="40">
        <f t="shared" si="464"/>
        <v>6088.8</v>
      </c>
      <c r="AF322" s="40">
        <f t="shared" si="465"/>
        <v>0</v>
      </c>
      <c r="AG322" s="40">
        <f t="shared" si="466"/>
        <v>761.1</v>
      </c>
      <c r="AH322" s="40">
        <f t="shared" si="535"/>
        <v>0</v>
      </c>
      <c r="AI322" s="40">
        <f t="shared" si="536"/>
        <v>1522.2</v>
      </c>
      <c r="AJ322" s="40">
        <f t="shared" si="537"/>
        <v>0</v>
      </c>
      <c r="AK322" s="39">
        <f t="shared" si="538"/>
        <v>0</v>
      </c>
      <c r="AL322" s="38">
        <v>22</v>
      </c>
      <c r="AM322" s="38">
        <v>27</v>
      </c>
      <c r="AN322" s="38">
        <v>20</v>
      </c>
      <c r="AO322" s="38">
        <v>26</v>
      </c>
      <c r="AP322" s="38">
        <v>19</v>
      </c>
      <c r="AQ322" s="39">
        <v>12</v>
      </c>
      <c r="AR322" s="40">
        <v>20</v>
      </c>
      <c r="AS322" s="40">
        <v>22</v>
      </c>
      <c r="AT322" s="40">
        <v>13</v>
      </c>
      <c r="AU322" s="40">
        <v>11</v>
      </c>
      <c r="AV322" s="40">
        <v>5</v>
      </c>
      <c r="AW322" s="40">
        <v>18</v>
      </c>
      <c r="AX322" s="40">
        <v>18</v>
      </c>
      <c r="AY322" s="40">
        <v>21</v>
      </c>
      <c r="AZ322" s="40">
        <v>13</v>
      </c>
      <c r="BA322" s="40">
        <v>7</v>
      </c>
      <c r="BB322" s="40">
        <v>7</v>
      </c>
      <c r="BC322" s="39">
        <v>4</v>
      </c>
      <c r="BD322" s="40">
        <v>2</v>
      </c>
      <c r="BE322" s="40">
        <v>2</v>
      </c>
      <c r="BF322" s="40">
        <v>8</v>
      </c>
      <c r="BG322" s="40">
        <v>6</v>
      </c>
      <c r="BH322" s="40">
        <v>4</v>
      </c>
      <c r="BI322" s="40">
        <v>8</v>
      </c>
      <c r="BJ322" s="40">
        <v>0</v>
      </c>
      <c r="BK322" s="40">
        <v>1</v>
      </c>
      <c r="BL322" s="40">
        <v>0</v>
      </c>
      <c r="BM322" s="40">
        <v>2</v>
      </c>
      <c r="BN322" s="40"/>
      <c r="BO322" s="39"/>
      <c r="BP322" s="21">
        <v>9</v>
      </c>
      <c r="BQ322" s="21">
        <v>12</v>
      </c>
      <c r="BR322" s="21">
        <v>28</v>
      </c>
      <c r="BS322" s="21">
        <v>30</v>
      </c>
      <c r="BT322" s="21">
        <v>47</v>
      </c>
      <c r="BU322" s="42">
        <v>22</v>
      </c>
      <c r="BV322" s="21">
        <v>12</v>
      </c>
      <c r="BW322" s="21">
        <v>10</v>
      </c>
      <c r="BX322" s="21">
        <v>14</v>
      </c>
      <c r="BY322" s="21">
        <v>14</v>
      </c>
      <c r="BZ322" s="21">
        <v>20</v>
      </c>
      <c r="CA322" s="21">
        <v>0</v>
      </c>
      <c r="CB322" s="21">
        <v>0</v>
      </c>
      <c r="CC322" s="21">
        <v>0</v>
      </c>
      <c r="CD322" s="21">
        <v>0</v>
      </c>
      <c r="CE322" s="21">
        <v>0</v>
      </c>
      <c r="CF322" s="21">
        <v>0</v>
      </c>
      <c r="CG322" s="42">
        <v>0</v>
      </c>
      <c r="CH322" s="21">
        <v>0</v>
      </c>
      <c r="CI322" s="21">
        <v>0</v>
      </c>
      <c r="CJ322" s="21">
        <v>0</v>
      </c>
      <c r="CK322" s="21">
        <v>0</v>
      </c>
      <c r="CL322" s="21">
        <v>0</v>
      </c>
      <c r="CM322" s="21">
        <v>0</v>
      </c>
      <c r="CN322" s="21">
        <v>0</v>
      </c>
      <c r="CO322" s="21">
        <v>0</v>
      </c>
      <c r="CP322" s="21">
        <f t="shared" si="471"/>
        <v>0</v>
      </c>
      <c r="CQ322" s="343">
        <f t="shared" si="472"/>
        <v>0</v>
      </c>
      <c r="CR322" s="40"/>
      <c r="CS322" s="39"/>
      <c r="CT322" s="38">
        <f t="shared" si="539"/>
        <v>31</v>
      </c>
      <c r="CU322" s="38">
        <f t="shared" si="540"/>
        <v>39</v>
      </c>
      <c r="CV322" s="38">
        <f t="shared" si="541"/>
        <v>48</v>
      </c>
      <c r="CW322" s="38">
        <f t="shared" si="542"/>
        <v>56</v>
      </c>
      <c r="CX322" s="38">
        <f t="shared" si="543"/>
        <v>66</v>
      </c>
      <c r="CY322" s="39">
        <f t="shared" si="544"/>
        <v>34</v>
      </c>
      <c r="CZ322" s="40">
        <f t="shared" si="545"/>
        <v>32</v>
      </c>
      <c r="DA322" s="40">
        <f t="shared" si="546"/>
        <v>32</v>
      </c>
      <c r="DB322" s="40">
        <f t="shared" si="547"/>
        <v>27</v>
      </c>
      <c r="DC322" s="40">
        <f t="shared" si="548"/>
        <v>25</v>
      </c>
      <c r="DD322" s="40">
        <f t="shared" si="549"/>
        <v>25</v>
      </c>
      <c r="DE322" s="40">
        <f t="shared" si="550"/>
        <v>18</v>
      </c>
      <c r="DF322" s="40">
        <f t="shared" si="551"/>
        <v>18</v>
      </c>
      <c r="DG322" s="40">
        <f t="shared" si="552"/>
        <v>21</v>
      </c>
      <c r="DH322" s="40">
        <f t="shared" si="553"/>
        <v>13</v>
      </c>
      <c r="DI322" s="40">
        <f t="shared" si="554"/>
        <v>7</v>
      </c>
      <c r="DJ322" s="40">
        <f t="shared" si="555"/>
        <v>7</v>
      </c>
      <c r="DK322" s="39">
        <f t="shared" si="556"/>
        <v>4</v>
      </c>
      <c r="DL322" s="40">
        <f t="shared" si="557"/>
        <v>2</v>
      </c>
      <c r="DM322" s="40">
        <f t="shared" si="558"/>
        <v>2</v>
      </c>
      <c r="DN322" s="40">
        <f t="shared" si="559"/>
        <v>8</v>
      </c>
      <c r="DO322" s="40">
        <f t="shared" si="560"/>
        <v>6</v>
      </c>
      <c r="DP322" s="40">
        <f t="shared" si="561"/>
        <v>4</v>
      </c>
      <c r="DQ322" s="40">
        <f t="shared" si="562"/>
        <v>8</v>
      </c>
      <c r="DR322" s="87">
        <f t="shared" si="533"/>
        <v>0</v>
      </c>
      <c r="DS322" s="40">
        <f t="shared" si="534"/>
        <v>1</v>
      </c>
      <c r="DT322" s="40">
        <f t="shared" si="563"/>
        <v>0</v>
      </c>
      <c r="DU322" s="40">
        <f t="shared" si="564"/>
        <v>2</v>
      </c>
      <c r="DV322" s="40">
        <f t="shared" si="565"/>
        <v>0</v>
      </c>
      <c r="DW322" s="40">
        <f t="shared" si="566"/>
        <v>0</v>
      </c>
    </row>
    <row r="323" spans="1:127">
      <c r="A323" s="22" t="s">
        <v>133</v>
      </c>
      <c r="B323" s="26">
        <v>4987176169969</v>
      </c>
      <c r="C323" s="22" t="s">
        <v>133</v>
      </c>
      <c r="D323" s="22" t="s">
        <v>26</v>
      </c>
      <c r="E323" s="22">
        <v>183086</v>
      </c>
      <c r="F323" s="80" t="s">
        <v>414</v>
      </c>
      <c r="G323" s="25">
        <v>298.90000000000003</v>
      </c>
      <c r="H323" s="38">
        <f t="shared" ref="H323:H386" si="567">CT323*$G323</f>
        <v>19727.400000000001</v>
      </c>
      <c r="I323" s="38">
        <f t="shared" ref="I323:I386" si="568">CU323*$G323</f>
        <v>31384.500000000004</v>
      </c>
      <c r="J323" s="38">
        <f t="shared" ref="J323:J386" si="569">CV323*$G323</f>
        <v>19129.600000000002</v>
      </c>
      <c r="K323" s="38">
        <f t="shared" ref="K323:K386" si="570">CW323*$G323</f>
        <v>20923.000000000004</v>
      </c>
      <c r="L323" s="38">
        <f t="shared" ref="L323:L386" si="571">CX323*$G323</f>
        <v>26303.200000000004</v>
      </c>
      <c r="M323" s="39">
        <f t="shared" ref="M323:M386" si="572">CY323*$G323</f>
        <v>19428.500000000004</v>
      </c>
      <c r="N323" s="40">
        <f t="shared" ref="N323:N386" si="573">CZ323*$G323</f>
        <v>14945.000000000002</v>
      </c>
      <c r="O323" s="40">
        <f t="shared" ref="O323:O386" si="574">DA323*$G323</f>
        <v>23314.200000000004</v>
      </c>
      <c r="P323" s="40">
        <f t="shared" ref="P323:P386" si="575">DB323*$G323</f>
        <v>17934.000000000004</v>
      </c>
      <c r="Q323" s="40">
        <f t="shared" ref="Q323:Q386" si="576">DC323*$G323</f>
        <v>17037.300000000003</v>
      </c>
      <c r="R323" s="40">
        <f t="shared" ref="R323:R386" si="577">DD323*$G323</f>
        <v>23912.000000000004</v>
      </c>
      <c r="S323" s="40">
        <f t="shared" ref="S323:S386" si="578">DE323*$G323</f>
        <v>25705.4</v>
      </c>
      <c r="T323" s="40">
        <f t="shared" ref="T323:T386" si="579">DF323*$G323</f>
        <v>41547.100000000006</v>
      </c>
      <c r="U323" s="40">
        <f t="shared" ref="U323:U386" si="580">DG323*$G323</f>
        <v>22417.500000000004</v>
      </c>
      <c r="V323" s="40">
        <f t="shared" ref="V323:V386" si="581">DH323*$G323</f>
        <v>21520.800000000003</v>
      </c>
      <c r="W323" s="40">
        <f t="shared" ref="W323:W386" si="582">DI323*$G323</f>
        <v>24808.700000000004</v>
      </c>
      <c r="X323" s="40">
        <f t="shared" ref="X323:X386" si="583">DJ323*$G323</f>
        <v>35868.000000000007</v>
      </c>
      <c r="Y323" s="39">
        <f t="shared" ref="Y323:Y386" si="584">DK323*$G323</f>
        <v>33177.9</v>
      </c>
      <c r="Z323" s="40">
        <f t="shared" ref="Z323:Z386" si="585">DL323*$G323</f>
        <v>47824.000000000007</v>
      </c>
      <c r="AA323" s="40">
        <f t="shared" ref="AA323:AA386" si="586">DM323*$G323</f>
        <v>41248.200000000004</v>
      </c>
      <c r="AB323" s="40">
        <f t="shared" ref="AB323:AB386" si="587">DN323*$G323</f>
        <v>32580.100000000002</v>
      </c>
      <c r="AC323" s="40">
        <f t="shared" ref="AC323:AC386" si="588">DO323*$G323</f>
        <v>54698.700000000004</v>
      </c>
      <c r="AD323" s="40">
        <f t="shared" ref="AD323:AD386" si="589">DP323*$G323</f>
        <v>47525.100000000006</v>
      </c>
      <c r="AE323" s="40">
        <f t="shared" ref="AE323:AE386" si="590">DQ323*$G323</f>
        <v>50813.000000000007</v>
      </c>
      <c r="AF323" s="40">
        <f t="shared" ref="AF323:AF386" si="591">DR323*$G323</f>
        <v>34672.400000000001</v>
      </c>
      <c r="AG323" s="40">
        <f t="shared" ref="AG323:AG386" si="592">DS323*$G323</f>
        <v>71138.200000000012</v>
      </c>
      <c r="AH323" s="40">
        <f t="shared" si="535"/>
        <v>58883.30000000001</v>
      </c>
      <c r="AI323" s="40">
        <f t="shared" si="536"/>
        <v>57820.544444444458</v>
      </c>
      <c r="AJ323" s="40">
        <f t="shared" si="537"/>
        <v>0</v>
      </c>
      <c r="AK323" s="39">
        <f t="shared" si="538"/>
        <v>0</v>
      </c>
      <c r="AL323" s="38">
        <v>66</v>
      </c>
      <c r="AM323" s="38">
        <v>104</v>
      </c>
      <c r="AN323" s="38">
        <v>57</v>
      </c>
      <c r="AO323" s="38">
        <v>68</v>
      </c>
      <c r="AP323" s="38">
        <v>85</v>
      </c>
      <c r="AQ323" s="39">
        <v>63</v>
      </c>
      <c r="AR323" s="40">
        <v>48</v>
      </c>
      <c r="AS323" s="40">
        <v>76</v>
      </c>
      <c r="AT323" s="40">
        <v>60</v>
      </c>
      <c r="AU323" s="40">
        <v>54</v>
      </c>
      <c r="AV323" s="40">
        <v>77</v>
      </c>
      <c r="AW323" s="40">
        <v>86</v>
      </c>
      <c r="AX323" s="40">
        <v>136</v>
      </c>
      <c r="AY323" s="40">
        <v>73</v>
      </c>
      <c r="AZ323" s="40">
        <v>72</v>
      </c>
      <c r="BA323" s="40">
        <v>77</v>
      </c>
      <c r="BB323" s="40">
        <v>115</v>
      </c>
      <c r="BC323" s="39">
        <v>110</v>
      </c>
      <c r="BD323" s="40">
        <v>152</v>
      </c>
      <c r="BE323" s="40">
        <v>136</v>
      </c>
      <c r="BF323" s="40">
        <v>104</v>
      </c>
      <c r="BG323" s="40">
        <v>170</v>
      </c>
      <c r="BH323" s="40">
        <v>146</v>
      </c>
      <c r="BI323" s="40">
        <v>168</v>
      </c>
      <c r="BJ323" s="40">
        <v>114</v>
      </c>
      <c r="BK323" s="40">
        <v>236</v>
      </c>
      <c r="BL323" s="40">
        <v>195</v>
      </c>
      <c r="BM323" s="40">
        <v>188</v>
      </c>
      <c r="BN323" s="40"/>
      <c r="BO323" s="39"/>
      <c r="BP323" s="21">
        <v>0</v>
      </c>
      <c r="BQ323" s="21">
        <v>1</v>
      </c>
      <c r="BR323" s="21">
        <v>7</v>
      </c>
      <c r="BS323" s="21">
        <v>2</v>
      </c>
      <c r="BT323" s="21">
        <v>3</v>
      </c>
      <c r="BU323" s="42">
        <v>2</v>
      </c>
      <c r="BV323" s="21">
        <v>2</v>
      </c>
      <c r="BW323" s="21">
        <v>2</v>
      </c>
      <c r="BX323" s="21">
        <v>0</v>
      </c>
      <c r="BY323" s="21">
        <v>3</v>
      </c>
      <c r="BZ323" s="21">
        <v>3</v>
      </c>
      <c r="CA323" s="21">
        <v>0</v>
      </c>
      <c r="CB323" s="21">
        <v>3</v>
      </c>
      <c r="CC323" s="21">
        <v>2</v>
      </c>
      <c r="CD323" s="21">
        <v>0</v>
      </c>
      <c r="CE323" s="21">
        <v>6</v>
      </c>
      <c r="CF323" s="21">
        <v>5</v>
      </c>
      <c r="CG323" s="42">
        <v>1</v>
      </c>
      <c r="CH323" s="21">
        <v>8</v>
      </c>
      <c r="CI323" s="21">
        <v>2</v>
      </c>
      <c r="CJ323" s="21">
        <v>5</v>
      </c>
      <c r="CK323" s="21">
        <v>13</v>
      </c>
      <c r="CL323" s="21">
        <v>13</v>
      </c>
      <c r="CM323" s="21">
        <v>2</v>
      </c>
      <c r="CN323" s="21">
        <v>2</v>
      </c>
      <c r="CO323" s="21">
        <v>2</v>
      </c>
      <c r="CP323" s="21">
        <f t="shared" si="471"/>
        <v>2</v>
      </c>
      <c r="CQ323" s="343">
        <f t="shared" si="472"/>
        <v>5.4444444444444446</v>
      </c>
      <c r="CR323" s="40"/>
      <c r="CS323" s="39"/>
      <c r="CT323" s="38">
        <f t="shared" si="539"/>
        <v>66</v>
      </c>
      <c r="CU323" s="38">
        <f t="shared" si="540"/>
        <v>105</v>
      </c>
      <c r="CV323" s="38">
        <f t="shared" si="541"/>
        <v>64</v>
      </c>
      <c r="CW323" s="38">
        <f t="shared" si="542"/>
        <v>70</v>
      </c>
      <c r="CX323" s="38">
        <f t="shared" si="543"/>
        <v>88</v>
      </c>
      <c r="CY323" s="39">
        <f t="shared" si="544"/>
        <v>65</v>
      </c>
      <c r="CZ323" s="40">
        <f t="shared" si="545"/>
        <v>50</v>
      </c>
      <c r="DA323" s="40">
        <f t="shared" si="546"/>
        <v>78</v>
      </c>
      <c r="DB323" s="40">
        <f t="shared" si="547"/>
        <v>60</v>
      </c>
      <c r="DC323" s="40">
        <f t="shared" si="548"/>
        <v>57</v>
      </c>
      <c r="DD323" s="40">
        <f t="shared" si="549"/>
        <v>80</v>
      </c>
      <c r="DE323" s="40">
        <f t="shared" si="550"/>
        <v>86</v>
      </c>
      <c r="DF323" s="40">
        <f t="shared" si="551"/>
        <v>139</v>
      </c>
      <c r="DG323" s="40">
        <f t="shared" si="552"/>
        <v>75</v>
      </c>
      <c r="DH323" s="40">
        <f t="shared" si="553"/>
        <v>72</v>
      </c>
      <c r="DI323" s="40">
        <f t="shared" si="554"/>
        <v>83</v>
      </c>
      <c r="DJ323" s="40">
        <f t="shared" si="555"/>
        <v>120</v>
      </c>
      <c r="DK323" s="39">
        <f t="shared" si="556"/>
        <v>111</v>
      </c>
      <c r="DL323" s="40">
        <f t="shared" si="557"/>
        <v>160</v>
      </c>
      <c r="DM323" s="40">
        <f t="shared" si="558"/>
        <v>138</v>
      </c>
      <c r="DN323" s="40">
        <f t="shared" si="559"/>
        <v>109</v>
      </c>
      <c r="DO323" s="40">
        <f t="shared" si="560"/>
        <v>183</v>
      </c>
      <c r="DP323" s="40">
        <f t="shared" si="561"/>
        <v>159</v>
      </c>
      <c r="DQ323" s="40">
        <f t="shared" si="562"/>
        <v>170</v>
      </c>
      <c r="DR323" s="87">
        <f t="shared" si="533"/>
        <v>116</v>
      </c>
      <c r="DS323" s="40">
        <f t="shared" si="534"/>
        <v>238</v>
      </c>
      <c r="DT323" s="40">
        <f t="shared" si="563"/>
        <v>197</v>
      </c>
      <c r="DU323" s="40">
        <f t="shared" si="564"/>
        <v>193.44444444444446</v>
      </c>
      <c r="DV323" s="40">
        <f t="shared" si="565"/>
        <v>0</v>
      </c>
      <c r="DW323" s="40">
        <f t="shared" si="566"/>
        <v>0</v>
      </c>
    </row>
    <row r="324" spans="1:127">
      <c r="A324" s="22" t="s">
        <v>133</v>
      </c>
      <c r="B324" s="26">
        <v>4987176169976</v>
      </c>
      <c r="C324" s="22" t="s">
        <v>133</v>
      </c>
      <c r="D324" s="22" t="s">
        <v>26</v>
      </c>
      <c r="E324" s="22">
        <v>184487</v>
      </c>
      <c r="F324" s="80" t="s">
        <v>415</v>
      </c>
      <c r="G324" s="25">
        <v>358.15749999999997</v>
      </c>
      <c r="H324" s="38">
        <f t="shared" si="567"/>
        <v>25787.339999999997</v>
      </c>
      <c r="I324" s="38">
        <f t="shared" si="568"/>
        <v>42978.899999999994</v>
      </c>
      <c r="J324" s="38">
        <f t="shared" si="569"/>
        <v>27936.284999999996</v>
      </c>
      <c r="K324" s="38">
        <f t="shared" si="570"/>
        <v>21489.449999999997</v>
      </c>
      <c r="L324" s="38">
        <f t="shared" si="571"/>
        <v>33308.647499999999</v>
      </c>
      <c r="M324" s="39">
        <f t="shared" si="572"/>
        <v>23638.394999999997</v>
      </c>
      <c r="N324" s="40">
        <f t="shared" si="573"/>
        <v>28294.442499999997</v>
      </c>
      <c r="O324" s="40">
        <f t="shared" si="574"/>
        <v>30085.229999999996</v>
      </c>
      <c r="P324" s="40">
        <f t="shared" si="575"/>
        <v>33666.805</v>
      </c>
      <c r="Q324" s="40">
        <f t="shared" si="576"/>
        <v>40471.797499999993</v>
      </c>
      <c r="R324" s="40">
        <f t="shared" si="577"/>
        <v>39755.482499999998</v>
      </c>
      <c r="S324" s="40">
        <f t="shared" si="578"/>
        <v>35815.75</v>
      </c>
      <c r="T324" s="40">
        <f t="shared" si="579"/>
        <v>29727.072499999998</v>
      </c>
      <c r="U324" s="40">
        <f t="shared" si="580"/>
        <v>14684.457499999999</v>
      </c>
      <c r="V324" s="40">
        <f t="shared" si="581"/>
        <v>12177.355</v>
      </c>
      <c r="W324" s="40">
        <f t="shared" si="582"/>
        <v>12177.355</v>
      </c>
      <c r="X324" s="40">
        <f t="shared" si="583"/>
        <v>12177.355</v>
      </c>
      <c r="Y324" s="39">
        <f t="shared" si="584"/>
        <v>7879.4649999999992</v>
      </c>
      <c r="Z324" s="40">
        <f t="shared" si="585"/>
        <v>7521.307499999999</v>
      </c>
      <c r="AA324" s="40">
        <f t="shared" si="586"/>
        <v>5730.5199999999995</v>
      </c>
      <c r="AB324" s="40">
        <f t="shared" si="587"/>
        <v>2507.1025</v>
      </c>
      <c r="AC324" s="40">
        <f t="shared" si="588"/>
        <v>5730.5199999999995</v>
      </c>
      <c r="AD324" s="40">
        <f t="shared" si="589"/>
        <v>3581.5749999999998</v>
      </c>
      <c r="AE324" s="40">
        <f t="shared" si="590"/>
        <v>3223.4174999999996</v>
      </c>
      <c r="AF324" s="40">
        <f t="shared" si="591"/>
        <v>358.15749999999997</v>
      </c>
      <c r="AG324" s="40">
        <f t="shared" si="592"/>
        <v>0</v>
      </c>
      <c r="AH324" s="40">
        <f t="shared" si="535"/>
        <v>358.15749999999997</v>
      </c>
      <c r="AI324" s="40">
        <f t="shared" si="536"/>
        <v>358.15749999999997</v>
      </c>
      <c r="AJ324" s="40">
        <f t="shared" si="537"/>
        <v>0</v>
      </c>
      <c r="AK324" s="39">
        <f t="shared" si="538"/>
        <v>0</v>
      </c>
      <c r="AL324" s="38">
        <v>71</v>
      </c>
      <c r="AM324" s="38">
        <v>116</v>
      </c>
      <c r="AN324" s="38">
        <v>73</v>
      </c>
      <c r="AO324" s="38">
        <v>58</v>
      </c>
      <c r="AP324" s="38">
        <v>90</v>
      </c>
      <c r="AQ324" s="39">
        <v>63</v>
      </c>
      <c r="AR324" s="40">
        <v>76</v>
      </c>
      <c r="AS324" s="40">
        <v>83</v>
      </c>
      <c r="AT324" s="40">
        <v>88</v>
      </c>
      <c r="AU324" s="40">
        <v>110</v>
      </c>
      <c r="AV324" s="40">
        <v>102</v>
      </c>
      <c r="AW324" s="40">
        <v>100</v>
      </c>
      <c r="AX324" s="40">
        <v>83</v>
      </c>
      <c r="AY324" s="40">
        <v>41</v>
      </c>
      <c r="AZ324" s="40">
        <v>34</v>
      </c>
      <c r="BA324" s="40">
        <v>34</v>
      </c>
      <c r="BB324" s="40">
        <v>34</v>
      </c>
      <c r="BC324" s="39">
        <v>22</v>
      </c>
      <c r="BD324" s="40">
        <v>21</v>
      </c>
      <c r="BE324" s="40">
        <v>16</v>
      </c>
      <c r="BF324" s="40">
        <v>7</v>
      </c>
      <c r="BG324" s="40">
        <v>16</v>
      </c>
      <c r="BH324" s="40">
        <v>10</v>
      </c>
      <c r="BI324" s="40">
        <v>9</v>
      </c>
      <c r="BJ324" s="40">
        <v>1</v>
      </c>
      <c r="BK324" s="40">
        <v>0</v>
      </c>
      <c r="BL324" s="40">
        <v>1</v>
      </c>
      <c r="BM324" s="40">
        <v>1</v>
      </c>
      <c r="BN324" s="40"/>
      <c r="BO324" s="39"/>
      <c r="BP324" s="21">
        <v>1</v>
      </c>
      <c r="BQ324" s="21">
        <v>4</v>
      </c>
      <c r="BR324" s="21">
        <v>5</v>
      </c>
      <c r="BS324" s="21">
        <v>2</v>
      </c>
      <c r="BT324" s="21">
        <v>3</v>
      </c>
      <c r="BU324" s="42">
        <v>3</v>
      </c>
      <c r="BV324" s="21">
        <v>3</v>
      </c>
      <c r="BW324" s="21">
        <v>1</v>
      </c>
      <c r="BX324" s="21">
        <v>6</v>
      </c>
      <c r="BY324" s="21">
        <v>3</v>
      </c>
      <c r="BZ324" s="21">
        <v>9</v>
      </c>
      <c r="CA324" s="21">
        <v>0</v>
      </c>
      <c r="CB324" s="21">
        <v>0</v>
      </c>
      <c r="CC324" s="21">
        <v>0</v>
      </c>
      <c r="CD324" s="21">
        <v>0</v>
      </c>
      <c r="CE324" s="21">
        <v>0</v>
      </c>
      <c r="CF324" s="21">
        <v>0</v>
      </c>
      <c r="CG324" s="42">
        <v>0</v>
      </c>
      <c r="CH324" s="21">
        <v>0</v>
      </c>
      <c r="CI324" s="21">
        <v>0</v>
      </c>
      <c r="CJ324" s="21">
        <v>0</v>
      </c>
      <c r="CK324" s="21">
        <v>0</v>
      </c>
      <c r="CL324" s="21">
        <v>0</v>
      </c>
      <c r="CM324" s="21">
        <v>0</v>
      </c>
      <c r="CN324" s="21">
        <v>0</v>
      </c>
      <c r="CO324" s="21">
        <v>0</v>
      </c>
      <c r="CP324" s="21">
        <f t="shared" si="471"/>
        <v>0</v>
      </c>
      <c r="CQ324" s="343">
        <f t="shared" si="472"/>
        <v>0</v>
      </c>
      <c r="CR324" s="40"/>
      <c r="CS324" s="39"/>
      <c r="CT324" s="38">
        <f t="shared" si="539"/>
        <v>72</v>
      </c>
      <c r="CU324" s="38">
        <f t="shared" si="540"/>
        <v>120</v>
      </c>
      <c r="CV324" s="38">
        <f t="shared" si="541"/>
        <v>78</v>
      </c>
      <c r="CW324" s="38">
        <f t="shared" si="542"/>
        <v>60</v>
      </c>
      <c r="CX324" s="38">
        <f t="shared" si="543"/>
        <v>93</v>
      </c>
      <c r="CY324" s="39">
        <f t="shared" si="544"/>
        <v>66</v>
      </c>
      <c r="CZ324" s="40">
        <f t="shared" si="545"/>
        <v>79</v>
      </c>
      <c r="DA324" s="40">
        <f t="shared" si="546"/>
        <v>84</v>
      </c>
      <c r="DB324" s="40">
        <f t="shared" si="547"/>
        <v>94</v>
      </c>
      <c r="DC324" s="40">
        <f t="shared" si="548"/>
        <v>113</v>
      </c>
      <c r="DD324" s="40">
        <f t="shared" si="549"/>
        <v>111</v>
      </c>
      <c r="DE324" s="40">
        <f t="shared" si="550"/>
        <v>100</v>
      </c>
      <c r="DF324" s="40">
        <f t="shared" si="551"/>
        <v>83</v>
      </c>
      <c r="DG324" s="40">
        <f t="shared" si="552"/>
        <v>41</v>
      </c>
      <c r="DH324" s="40">
        <f t="shared" si="553"/>
        <v>34</v>
      </c>
      <c r="DI324" s="40">
        <f t="shared" si="554"/>
        <v>34</v>
      </c>
      <c r="DJ324" s="40">
        <f t="shared" si="555"/>
        <v>34</v>
      </c>
      <c r="DK324" s="39">
        <f t="shared" si="556"/>
        <v>22</v>
      </c>
      <c r="DL324" s="40">
        <f t="shared" si="557"/>
        <v>21</v>
      </c>
      <c r="DM324" s="40">
        <f t="shared" si="558"/>
        <v>16</v>
      </c>
      <c r="DN324" s="40">
        <f t="shared" si="559"/>
        <v>7</v>
      </c>
      <c r="DO324" s="40">
        <f t="shared" si="560"/>
        <v>16</v>
      </c>
      <c r="DP324" s="40">
        <f t="shared" si="561"/>
        <v>10</v>
      </c>
      <c r="DQ324" s="40">
        <f t="shared" si="562"/>
        <v>9</v>
      </c>
      <c r="DR324" s="87">
        <f t="shared" si="533"/>
        <v>1</v>
      </c>
      <c r="DS324" s="40">
        <f t="shared" si="534"/>
        <v>0</v>
      </c>
      <c r="DT324" s="40">
        <f t="shared" si="563"/>
        <v>1</v>
      </c>
      <c r="DU324" s="40">
        <f t="shared" si="564"/>
        <v>1</v>
      </c>
      <c r="DV324" s="40">
        <f t="shared" si="565"/>
        <v>0</v>
      </c>
      <c r="DW324" s="40">
        <f t="shared" si="566"/>
        <v>0</v>
      </c>
    </row>
    <row r="325" spans="1:127">
      <c r="A325" s="22" t="s">
        <v>133</v>
      </c>
      <c r="B325" s="26">
        <v>7702018889242</v>
      </c>
      <c r="C325" s="22" t="s">
        <v>133</v>
      </c>
      <c r="D325" s="22" t="s">
        <v>27</v>
      </c>
      <c r="E325" s="22">
        <v>722609</v>
      </c>
      <c r="F325" s="80" t="s">
        <v>416</v>
      </c>
      <c r="G325" s="25">
        <v>178.16666666666666</v>
      </c>
      <c r="H325" s="38">
        <f t="shared" si="567"/>
        <v>0</v>
      </c>
      <c r="I325" s="38">
        <f t="shared" si="568"/>
        <v>0</v>
      </c>
      <c r="J325" s="38">
        <f t="shared" si="569"/>
        <v>0</v>
      </c>
      <c r="K325" s="38">
        <f t="shared" si="570"/>
        <v>0</v>
      </c>
      <c r="L325" s="38">
        <f t="shared" si="571"/>
        <v>0</v>
      </c>
      <c r="M325" s="39">
        <f t="shared" si="572"/>
        <v>178.16666666666666</v>
      </c>
      <c r="N325" s="40">
        <f t="shared" si="573"/>
        <v>0</v>
      </c>
      <c r="O325" s="40">
        <f t="shared" si="574"/>
        <v>0</v>
      </c>
      <c r="P325" s="40">
        <f t="shared" si="575"/>
        <v>0</v>
      </c>
      <c r="Q325" s="40">
        <f t="shared" si="576"/>
        <v>0</v>
      </c>
      <c r="R325" s="40">
        <f t="shared" si="577"/>
        <v>0</v>
      </c>
      <c r="S325" s="40">
        <f t="shared" si="578"/>
        <v>0</v>
      </c>
      <c r="T325" s="40">
        <f t="shared" si="579"/>
        <v>0</v>
      </c>
      <c r="U325" s="40">
        <f t="shared" si="580"/>
        <v>0</v>
      </c>
      <c r="V325" s="40">
        <f t="shared" si="581"/>
        <v>0</v>
      </c>
      <c r="W325" s="40">
        <f t="shared" si="582"/>
        <v>0</v>
      </c>
      <c r="X325" s="40">
        <f t="shared" si="583"/>
        <v>0</v>
      </c>
      <c r="Y325" s="39">
        <f t="shared" si="584"/>
        <v>0</v>
      </c>
      <c r="Z325" s="40">
        <f t="shared" si="585"/>
        <v>0</v>
      </c>
      <c r="AA325" s="40">
        <f t="shared" si="586"/>
        <v>0</v>
      </c>
      <c r="AB325" s="40">
        <f t="shared" si="587"/>
        <v>0</v>
      </c>
      <c r="AC325" s="40">
        <f t="shared" si="588"/>
        <v>0</v>
      </c>
      <c r="AD325" s="40">
        <f t="shared" si="589"/>
        <v>0</v>
      </c>
      <c r="AE325" s="40">
        <f t="shared" si="590"/>
        <v>0</v>
      </c>
      <c r="AF325" s="40">
        <f t="shared" si="591"/>
        <v>0</v>
      </c>
      <c r="AG325" s="40">
        <f t="shared" si="592"/>
        <v>0</v>
      </c>
      <c r="AH325" s="40">
        <f t="shared" si="535"/>
        <v>0</v>
      </c>
      <c r="AI325" s="40">
        <f t="shared" si="536"/>
        <v>0</v>
      </c>
      <c r="AJ325" s="40">
        <f t="shared" si="537"/>
        <v>0</v>
      </c>
      <c r="AK325" s="39">
        <f t="shared" si="538"/>
        <v>0</v>
      </c>
      <c r="AL325" s="38">
        <v>0</v>
      </c>
      <c r="AM325" s="38">
        <v>0</v>
      </c>
      <c r="AN325" s="38">
        <v>0</v>
      </c>
      <c r="AO325" s="38">
        <v>0</v>
      </c>
      <c r="AP325" s="38">
        <v>0</v>
      </c>
      <c r="AQ325" s="39">
        <v>1</v>
      </c>
      <c r="AR325" s="40">
        <v>0</v>
      </c>
      <c r="AS325" s="40">
        <v>0</v>
      </c>
      <c r="AT325" s="40">
        <v>0</v>
      </c>
      <c r="AU325" s="40">
        <v>0</v>
      </c>
      <c r="AV325" s="40">
        <v>0</v>
      </c>
      <c r="AW325" s="40">
        <v>0</v>
      </c>
      <c r="AX325" s="40">
        <v>0</v>
      </c>
      <c r="AY325" s="40">
        <v>0</v>
      </c>
      <c r="AZ325" s="40">
        <v>0</v>
      </c>
      <c r="BA325" s="40">
        <v>0</v>
      </c>
      <c r="BB325" s="40">
        <v>0</v>
      </c>
      <c r="BC325" s="39">
        <v>0</v>
      </c>
      <c r="BD325" s="40">
        <v>0</v>
      </c>
      <c r="BE325" s="40">
        <v>0</v>
      </c>
      <c r="BF325" s="40">
        <v>0</v>
      </c>
      <c r="BG325" s="40">
        <v>0</v>
      </c>
      <c r="BH325" s="40">
        <v>0</v>
      </c>
      <c r="BI325" s="40">
        <v>0</v>
      </c>
      <c r="BJ325" s="40">
        <v>0</v>
      </c>
      <c r="BK325" s="40">
        <v>0</v>
      </c>
      <c r="BL325" s="40">
        <v>0</v>
      </c>
      <c r="BM325" s="40" t="s">
        <v>768</v>
      </c>
      <c r="BN325" s="40"/>
      <c r="BO325" s="39"/>
      <c r="BP325" s="21">
        <v>0</v>
      </c>
      <c r="BQ325" s="21">
        <v>0</v>
      </c>
      <c r="BR325" s="21">
        <v>0</v>
      </c>
      <c r="BS325" s="21">
        <v>0</v>
      </c>
      <c r="BT325" s="21">
        <v>0</v>
      </c>
      <c r="BU325" s="42">
        <v>0</v>
      </c>
      <c r="BV325" s="21">
        <v>0</v>
      </c>
      <c r="BW325" s="21">
        <v>0</v>
      </c>
      <c r="BX325" s="21">
        <v>0</v>
      </c>
      <c r="BY325" s="21">
        <v>0</v>
      </c>
      <c r="BZ325" s="21">
        <v>0</v>
      </c>
      <c r="CA325" s="21">
        <v>0</v>
      </c>
      <c r="CB325" s="21">
        <v>0</v>
      </c>
      <c r="CC325" s="21">
        <v>0</v>
      </c>
      <c r="CD325" s="21">
        <v>0</v>
      </c>
      <c r="CE325" s="21">
        <v>0</v>
      </c>
      <c r="CF325" s="21">
        <v>0</v>
      </c>
      <c r="CG325" s="42">
        <v>0</v>
      </c>
      <c r="CH325" s="21">
        <v>0</v>
      </c>
      <c r="CI325" s="21">
        <v>0</v>
      </c>
      <c r="CJ325" s="21">
        <v>0</v>
      </c>
      <c r="CK325" s="21">
        <v>0</v>
      </c>
      <c r="CL325" s="21">
        <v>0</v>
      </c>
      <c r="CM325" s="21">
        <v>0</v>
      </c>
      <c r="CN325" s="21">
        <v>0</v>
      </c>
      <c r="CO325" s="21">
        <v>0</v>
      </c>
      <c r="CP325" s="21">
        <f t="shared" ref="CP325:CP388" si="593">CO325</f>
        <v>0</v>
      </c>
      <c r="CQ325" s="343">
        <f t="shared" ref="CQ325:CQ388" si="594">AVERAGE(CH325:CP325)</f>
        <v>0</v>
      </c>
      <c r="CR325" s="40"/>
      <c r="CS325" s="39"/>
      <c r="CT325" s="38">
        <f t="shared" si="539"/>
        <v>0</v>
      </c>
      <c r="CU325" s="38">
        <f t="shared" si="540"/>
        <v>0</v>
      </c>
      <c r="CV325" s="38">
        <f t="shared" si="541"/>
        <v>0</v>
      </c>
      <c r="CW325" s="38">
        <f t="shared" si="542"/>
        <v>0</v>
      </c>
      <c r="CX325" s="38">
        <f t="shared" si="543"/>
        <v>0</v>
      </c>
      <c r="CY325" s="39">
        <f t="shared" si="544"/>
        <v>1</v>
      </c>
      <c r="CZ325" s="40">
        <f t="shared" si="545"/>
        <v>0</v>
      </c>
      <c r="DA325" s="40">
        <f t="shared" si="546"/>
        <v>0</v>
      </c>
      <c r="DB325" s="40">
        <f t="shared" si="547"/>
        <v>0</v>
      </c>
      <c r="DC325" s="40">
        <f t="shared" si="548"/>
        <v>0</v>
      </c>
      <c r="DD325" s="40">
        <f t="shared" si="549"/>
        <v>0</v>
      </c>
      <c r="DE325" s="40">
        <f t="shared" si="550"/>
        <v>0</v>
      </c>
      <c r="DF325" s="40">
        <f t="shared" si="551"/>
        <v>0</v>
      </c>
      <c r="DG325" s="40">
        <f t="shared" si="552"/>
        <v>0</v>
      </c>
      <c r="DH325" s="40">
        <f t="shared" si="553"/>
        <v>0</v>
      </c>
      <c r="DI325" s="40">
        <f t="shared" si="554"/>
        <v>0</v>
      </c>
      <c r="DJ325" s="40">
        <f t="shared" si="555"/>
        <v>0</v>
      </c>
      <c r="DK325" s="39">
        <f t="shared" si="556"/>
        <v>0</v>
      </c>
      <c r="DL325" s="40">
        <f t="shared" si="557"/>
        <v>0</v>
      </c>
      <c r="DM325" s="40">
        <f t="shared" si="558"/>
        <v>0</v>
      </c>
      <c r="DN325" s="40">
        <f t="shared" si="559"/>
        <v>0</v>
      </c>
      <c r="DO325" s="40">
        <f t="shared" si="560"/>
        <v>0</v>
      </c>
      <c r="DP325" s="40">
        <f t="shared" si="561"/>
        <v>0</v>
      </c>
      <c r="DQ325" s="40">
        <f t="shared" si="562"/>
        <v>0</v>
      </c>
      <c r="DR325" s="87">
        <f t="shared" si="533"/>
        <v>0</v>
      </c>
      <c r="DS325" s="40">
        <f t="shared" si="534"/>
        <v>0</v>
      </c>
      <c r="DT325" s="40">
        <f t="shared" si="563"/>
        <v>0</v>
      </c>
      <c r="DU325" s="40">
        <f t="shared" si="564"/>
        <v>0</v>
      </c>
      <c r="DV325" s="40">
        <f t="shared" si="565"/>
        <v>0</v>
      </c>
      <c r="DW325" s="40">
        <f t="shared" si="566"/>
        <v>0</v>
      </c>
    </row>
    <row r="326" spans="1:127">
      <c r="A326" s="22" t="s">
        <v>133</v>
      </c>
      <c r="B326" s="26">
        <v>4902430903462</v>
      </c>
      <c r="C326" s="22" t="s">
        <v>133</v>
      </c>
      <c r="D326" s="22" t="s">
        <v>27</v>
      </c>
      <c r="E326" s="22">
        <v>118955</v>
      </c>
      <c r="F326" s="80" t="s">
        <v>417</v>
      </c>
      <c r="G326" s="25">
        <v>358.1583333333333</v>
      </c>
      <c r="H326" s="38">
        <f t="shared" si="567"/>
        <v>3939.7416666666663</v>
      </c>
      <c r="I326" s="38">
        <f t="shared" si="568"/>
        <v>7163.1666666666661</v>
      </c>
      <c r="J326" s="38">
        <f t="shared" si="569"/>
        <v>5730.5333333333328</v>
      </c>
      <c r="K326" s="38">
        <f t="shared" si="570"/>
        <v>4297.8999999999996</v>
      </c>
      <c r="L326" s="38">
        <f t="shared" si="571"/>
        <v>2507.1083333333331</v>
      </c>
      <c r="M326" s="39">
        <f t="shared" si="572"/>
        <v>4297.8999999999996</v>
      </c>
      <c r="N326" s="40">
        <f t="shared" si="573"/>
        <v>2865.2666666666664</v>
      </c>
      <c r="O326" s="40">
        <f t="shared" si="574"/>
        <v>4656.0583333333325</v>
      </c>
      <c r="P326" s="40">
        <f t="shared" si="575"/>
        <v>3581.583333333333</v>
      </c>
      <c r="Q326" s="40">
        <f t="shared" si="576"/>
        <v>0</v>
      </c>
      <c r="R326" s="40">
        <f t="shared" si="577"/>
        <v>0</v>
      </c>
      <c r="S326" s="40">
        <f t="shared" si="578"/>
        <v>0</v>
      </c>
      <c r="T326" s="40">
        <f t="shared" si="579"/>
        <v>0</v>
      </c>
      <c r="U326" s="40">
        <f t="shared" si="580"/>
        <v>0</v>
      </c>
      <c r="V326" s="40">
        <f t="shared" si="581"/>
        <v>0</v>
      </c>
      <c r="W326" s="40">
        <f t="shared" si="582"/>
        <v>0</v>
      </c>
      <c r="X326" s="40">
        <f t="shared" si="583"/>
        <v>0</v>
      </c>
      <c r="Y326" s="39">
        <f t="shared" si="584"/>
        <v>0</v>
      </c>
      <c r="Z326" s="40">
        <f t="shared" si="585"/>
        <v>0</v>
      </c>
      <c r="AA326" s="40">
        <f t="shared" si="586"/>
        <v>0</v>
      </c>
      <c r="AB326" s="40">
        <f t="shared" si="587"/>
        <v>0</v>
      </c>
      <c r="AC326" s="40">
        <f t="shared" si="588"/>
        <v>0</v>
      </c>
      <c r="AD326" s="40">
        <f t="shared" si="589"/>
        <v>0</v>
      </c>
      <c r="AE326" s="40">
        <f t="shared" si="590"/>
        <v>0</v>
      </c>
      <c r="AF326" s="40">
        <f t="shared" si="591"/>
        <v>0</v>
      </c>
      <c r="AG326" s="40">
        <f t="shared" si="592"/>
        <v>0</v>
      </c>
      <c r="AH326" s="40">
        <f t="shared" si="535"/>
        <v>0</v>
      </c>
      <c r="AI326" s="40">
        <f t="shared" si="536"/>
        <v>0</v>
      </c>
      <c r="AJ326" s="40">
        <f t="shared" si="537"/>
        <v>0</v>
      </c>
      <c r="AK326" s="39">
        <f t="shared" si="538"/>
        <v>0</v>
      </c>
      <c r="AL326" s="38">
        <v>8</v>
      </c>
      <c r="AM326" s="38">
        <v>16</v>
      </c>
      <c r="AN326" s="38">
        <v>5</v>
      </c>
      <c r="AO326" s="38">
        <v>9</v>
      </c>
      <c r="AP326" s="38">
        <v>4</v>
      </c>
      <c r="AQ326" s="39">
        <v>8</v>
      </c>
      <c r="AR326" s="40">
        <v>8</v>
      </c>
      <c r="AS326" s="40">
        <v>7</v>
      </c>
      <c r="AT326" s="40">
        <v>5</v>
      </c>
      <c r="AU326" s="40">
        <v>0</v>
      </c>
      <c r="AV326" s="40">
        <v>0</v>
      </c>
      <c r="AW326" s="40">
        <v>0</v>
      </c>
      <c r="AX326" s="40">
        <v>0</v>
      </c>
      <c r="AY326" s="40">
        <v>0</v>
      </c>
      <c r="AZ326" s="40">
        <v>0</v>
      </c>
      <c r="BA326" s="40">
        <v>0</v>
      </c>
      <c r="BB326" s="40">
        <v>0</v>
      </c>
      <c r="BC326" s="39">
        <v>0</v>
      </c>
      <c r="BD326" s="40">
        <v>0</v>
      </c>
      <c r="BE326" s="40">
        <v>0</v>
      </c>
      <c r="BF326" s="40">
        <v>0</v>
      </c>
      <c r="BG326" s="40">
        <v>0</v>
      </c>
      <c r="BH326" s="40">
        <v>0</v>
      </c>
      <c r="BI326" s="40">
        <v>0</v>
      </c>
      <c r="BJ326" s="40">
        <v>0</v>
      </c>
      <c r="BK326" s="40">
        <v>0</v>
      </c>
      <c r="BL326" s="40">
        <v>0</v>
      </c>
      <c r="BM326" s="40">
        <v>0</v>
      </c>
      <c r="BN326" s="40"/>
      <c r="BO326" s="39"/>
      <c r="BP326" s="21">
        <v>3</v>
      </c>
      <c r="BQ326" s="21">
        <v>4</v>
      </c>
      <c r="BR326" s="21">
        <v>11</v>
      </c>
      <c r="BS326" s="21">
        <v>3</v>
      </c>
      <c r="BT326" s="21">
        <v>3</v>
      </c>
      <c r="BU326" s="42">
        <v>4</v>
      </c>
      <c r="BV326" s="21">
        <v>0</v>
      </c>
      <c r="BW326" s="21">
        <v>6</v>
      </c>
      <c r="BX326" s="21">
        <v>5</v>
      </c>
      <c r="BY326" s="21">
        <v>0</v>
      </c>
      <c r="BZ326" s="21">
        <v>0</v>
      </c>
      <c r="CA326" s="21">
        <v>0</v>
      </c>
      <c r="CB326" s="21">
        <v>0</v>
      </c>
      <c r="CC326" s="21">
        <v>0</v>
      </c>
      <c r="CD326" s="21">
        <v>0</v>
      </c>
      <c r="CE326" s="21">
        <v>0</v>
      </c>
      <c r="CF326" s="21">
        <v>0</v>
      </c>
      <c r="CG326" s="42">
        <v>0</v>
      </c>
      <c r="CH326" s="21">
        <v>0</v>
      </c>
      <c r="CI326" s="21">
        <v>0</v>
      </c>
      <c r="CJ326" s="21">
        <v>0</v>
      </c>
      <c r="CK326" s="21">
        <v>0</v>
      </c>
      <c r="CL326" s="21">
        <v>0</v>
      </c>
      <c r="CM326" s="21">
        <v>0</v>
      </c>
      <c r="CN326" s="21">
        <v>0</v>
      </c>
      <c r="CO326" s="21">
        <v>0</v>
      </c>
      <c r="CP326" s="21">
        <f t="shared" si="593"/>
        <v>0</v>
      </c>
      <c r="CQ326" s="343">
        <f t="shared" si="594"/>
        <v>0</v>
      </c>
      <c r="CR326" s="40"/>
      <c r="CS326" s="39"/>
      <c r="CT326" s="38">
        <f t="shared" si="539"/>
        <v>11</v>
      </c>
      <c r="CU326" s="38">
        <f t="shared" si="540"/>
        <v>20</v>
      </c>
      <c r="CV326" s="38">
        <f t="shared" si="541"/>
        <v>16</v>
      </c>
      <c r="CW326" s="38">
        <f t="shared" si="542"/>
        <v>12</v>
      </c>
      <c r="CX326" s="38">
        <f t="shared" si="543"/>
        <v>7</v>
      </c>
      <c r="CY326" s="39">
        <f t="shared" si="544"/>
        <v>12</v>
      </c>
      <c r="CZ326" s="40">
        <f t="shared" si="545"/>
        <v>8</v>
      </c>
      <c r="DA326" s="40">
        <f t="shared" si="546"/>
        <v>13</v>
      </c>
      <c r="DB326" s="40">
        <f t="shared" si="547"/>
        <v>10</v>
      </c>
      <c r="DC326" s="40">
        <f t="shared" si="548"/>
        <v>0</v>
      </c>
      <c r="DD326" s="40">
        <f t="shared" si="549"/>
        <v>0</v>
      </c>
      <c r="DE326" s="40">
        <f t="shared" si="550"/>
        <v>0</v>
      </c>
      <c r="DF326" s="40">
        <f t="shared" si="551"/>
        <v>0</v>
      </c>
      <c r="DG326" s="40">
        <f t="shared" si="552"/>
        <v>0</v>
      </c>
      <c r="DH326" s="40">
        <f t="shared" si="553"/>
        <v>0</v>
      </c>
      <c r="DI326" s="40">
        <f t="shared" si="554"/>
        <v>0</v>
      </c>
      <c r="DJ326" s="40">
        <f t="shared" si="555"/>
        <v>0</v>
      </c>
      <c r="DK326" s="39">
        <f t="shared" si="556"/>
        <v>0</v>
      </c>
      <c r="DL326" s="40">
        <f t="shared" si="557"/>
        <v>0</v>
      </c>
      <c r="DM326" s="40">
        <f t="shared" si="558"/>
        <v>0</v>
      </c>
      <c r="DN326" s="40">
        <f t="shared" si="559"/>
        <v>0</v>
      </c>
      <c r="DO326" s="40">
        <f t="shared" si="560"/>
        <v>0</v>
      </c>
      <c r="DP326" s="40">
        <f t="shared" si="561"/>
        <v>0</v>
      </c>
      <c r="DQ326" s="40">
        <f t="shared" si="562"/>
        <v>0</v>
      </c>
      <c r="DR326" s="87">
        <f t="shared" si="533"/>
        <v>0</v>
      </c>
      <c r="DS326" s="40">
        <f t="shared" si="534"/>
        <v>0</v>
      </c>
      <c r="DT326" s="40">
        <f t="shared" si="563"/>
        <v>0</v>
      </c>
      <c r="DU326" s="40">
        <f t="shared" si="564"/>
        <v>0</v>
      </c>
      <c r="DV326" s="40">
        <f t="shared" si="565"/>
        <v>0</v>
      </c>
      <c r="DW326" s="40">
        <f t="shared" si="566"/>
        <v>0</v>
      </c>
    </row>
    <row r="327" spans="1:127">
      <c r="A327" s="22" t="s">
        <v>133</v>
      </c>
      <c r="B327" s="26">
        <v>4902430698856</v>
      </c>
      <c r="C327" s="22" t="s">
        <v>133</v>
      </c>
      <c r="D327" s="22" t="s">
        <v>27</v>
      </c>
      <c r="E327" s="22">
        <v>119000</v>
      </c>
      <c r="F327" s="80" t="s">
        <v>418</v>
      </c>
      <c r="G327" s="25">
        <v>555.4</v>
      </c>
      <c r="H327" s="38">
        <f t="shared" si="567"/>
        <v>1110.8</v>
      </c>
      <c r="I327" s="38">
        <f t="shared" si="568"/>
        <v>0</v>
      </c>
      <c r="J327" s="38">
        <f t="shared" si="569"/>
        <v>0</v>
      </c>
      <c r="K327" s="38">
        <f t="shared" si="570"/>
        <v>0</v>
      </c>
      <c r="L327" s="38">
        <f t="shared" si="571"/>
        <v>0</v>
      </c>
      <c r="M327" s="39">
        <f t="shared" si="572"/>
        <v>0</v>
      </c>
      <c r="N327" s="40">
        <f t="shared" si="573"/>
        <v>0</v>
      </c>
      <c r="O327" s="40">
        <f t="shared" si="574"/>
        <v>0</v>
      </c>
      <c r="P327" s="40">
        <f t="shared" si="575"/>
        <v>0</v>
      </c>
      <c r="Q327" s="40">
        <f t="shared" si="576"/>
        <v>555.4</v>
      </c>
      <c r="R327" s="40">
        <f t="shared" si="577"/>
        <v>0</v>
      </c>
      <c r="S327" s="40">
        <f t="shared" si="578"/>
        <v>0</v>
      </c>
      <c r="T327" s="40">
        <f t="shared" si="579"/>
        <v>0</v>
      </c>
      <c r="U327" s="40">
        <f t="shared" si="580"/>
        <v>555.4</v>
      </c>
      <c r="V327" s="40">
        <f t="shared" si="581"/>
        <v>0</v>
      </c>
      <c r="W327" s="40">
        <f t="shared" si="582"/>
        <v>0</v>
      </c>
      <c r="X327" s="40">
        <f t="shared" si="583"/>
        <v>0</v>
      </c>
      <c r="Y327" s="39">
        <f t="shared" si="584"/>
        <v>0</v>
      </c>
      <c r="Z327" s="40">
        <f t="shared" si="585"/>
        <v>0</v>
      </c>
      <c r="AA327" s="40">
        <f t="shared" si="586"/>
        <v>0</v>
      </c>
      <c r="AB327" s="40">
        <f t="shared" si="587"/>
        <v>0</v>
      </c>
      <c r="AC327" s="40">
        <f t="shared" si="588"/>
        <v>0</v>
      </c>
      <c r="AD327" s="40">
        <f t="shared" si="589"/>
        <v>0</v>
      </c>
      <c r="AE327" s="40">
        <f t="shared" si="590"/>
        <v>555.4</v>
      </c>
      <c r="AF327" s="40">
        <f t="shared" si="591"/>
        <v>0</v>
      </c>
      <c r="AG327" s="40">
        <f t="shared" si="592"/>
        <v>0</v>
      </c>
      <c r="AH327" s="40">
        <f t="shared" si="535"/>
        <v>0</v>
      </c>
      <c r="AI327" s="40">
        <f t="shared" si="536"/>
        <v>0</v>
      </c>
      <c r="AJ327" s="40">
        <f t="shared" si="537"/>
        <v>0</v>
      </c>
      <c r="AK327" s="39">
        <f t="shared" si="538"/>
        <v>0</v>
      </c>
      <c r="AL327" s="38">
        <v>2</v>
      </c>
      <c r="AM327" s="38">
        <v>0</v>
      </c>
      <c r="AN327" s="38">
        <v>0</v>
      </c>
      <c r="AO327" s="38">
        <v>0</v>
      </c>
      <c r="AP327" s="38">
        <v>0</v>
      </c>
      <c r="AQ327" s="39">
        <v>0</v>
      </c>
      <c r="AR327" s="40">
        <v>0</v>
      </c>
      <c r="AS327" s="40">
        <v>0</v>
      </c>
      <c r="AT327" s="40">
        <v>0</v>
      </c>
      <c r="AU327" s="40">
        <v>1</v>
      </c>
      <c r="AV327" s="40">
        <v>0</v>
      </c>
      <c r="AW327" s="40">
        <v>0</v>
      </c>
      <c r="AX327" s="40">
        <v>0</v>
      </c>
      <c r="AY327" s="40">
        <v>1</v>
      </c>
      <c r="AZ327" s="40">
        <v>0</v>
      </c>
      <c r="BA327" s="40">
        <v>0</v>
      </c>
      <c r="BB327" s="40">
        <v>0</v>
      </c>
      <c r="BC327" s="39">
        <v>0</v>
      </c>
      <c r="BD327" s="40">
        <v>0</v>
      </c>
      <c r="BE327" s="40">
        <v>0</v>
      </c>
      <c r="BF327" s="40">
        <v>0</v>
      </c>
      <c r="BG327" s="40">
        <v>0</v>
      </c>
      <c r="BH327" s="40">
        <v>0</v>
      </c>
      <c r="BI327" s="40">
        <v>1</v>
      </c>
      <c r="BJ327" s="40">
        <v>0</v>
      </c>
      <c r="BK327" s="40">
        <v>0</v>
      </c>
      <c r="BL327" s="40">
        <v>0</v>
      </c>
      <c r="BM327" s="40">
        <v>0</v>
      </c>
      <c r="BN327" s="40"/>
      <c r="BO327" s="39"/>
      <c r="BP327" s="21">
        <v>0</v>
      </c>
      <c r="BQ327" s="21">
        <v>0</v>
      </c>
      <c r="BR327" s="21">
        <v>0</v>
      </c>
      <c r="BS327" s="21">
        <v>0</v>
      </c>
      <c r="BT327" s="21">
        <v>0</v>
      </c>
      <c r="BU327" s="42">
        <v>0</v>
      </c>
      <c r="BV327" s="21">
        <v>0</v>
      </c>
      <c r="BW327" s="21">
        <v>0</v>
      </c>
      <c r="BX327" s="21">
        <v>0</v>
      </c>
      <c r="BY327" s="21">
        <v>0</v>
      </c>
      <c r="BZ327" s="21">
        <v>0</v>
      </c>
      <c r="CA327" s="21">
        <v>0</v>
      </c>
      <c r="CB327" s="21">
        <v>0</v>
      </c>
      <c r="CC327" s="21">
        <v>0</v>
      </c>
      <c r="CD327" s="21">
        <v>0</v>
      </c>
      <c r="CE327" s="21">
        <v>0</v>
      </c>
      <c r="CF327" s="21">
        <v>0</v>
      </c>
      <c r="CG327" s="42">
        <v>0</v>
      </c>
      <c r="CH327" s="21">
        <v>0</v>
      </c>
      <c r="CI327" s="21">
        <v>0</v>
      </c>
      <c r="CJ327" s="21">
        <v>0</v>
      </c>
      <c r="CK327" s="21">
        <v>0</v>
      </c>
      <c r="CL327" s="21">
        <v>0</v>
      </c>
      <c r="CM327" s="21">
        <v>0</v>
      </c>
      <c r="CN327" s="21">
        <v>0</v>
      </c>
      <c r="CO327" s="21">
        <v>0</v>
      </c>
      <c r="CP327" s="21">
        <f t="shared" si="593"/>
        <v>0</v>
      </c>
      <c r="CQ327" s="343">
        <f t="shared" si="594"/>
        <v>0</v>
      </c>
      <c r="CR327" s="40"/>
      <c r="CS327" s="39"/>
      <c r="CT327" s="38">
        <f t="shared" si="539"/>
        <v>2</v>
      </c>
      <c r="CU327" s="38">
        <f t="shared" si="540"/>
        <v>0</v>
      </c>
      <c r="CV327" s="38">
        <f t="shared" si="541"/>
        <v>0</v>
      </c>
      <c r="CW327" s="38">
        <f t="shared" si="542"/>
        <v>0</v>
      </c>
      <c r="CX327" s="38">
        <f t="shared" si="543"/>
        <v>0</v>
      </c>
      <c r="CY327" s="39">
        <f t="shared" si="544"/>
        <v>0</v>
      </c>
      <c r="CZ327" s="40">
        <f t="shared" si="545"/>
        <v>0</v>
      </c>
      <c r="DA327" s="40">
        <f t="shared" si="546"/>
        <v>0</v>
      </c>
      <c r="DB327" s="40">
        <f t="shared" si="547"/>
        <v>0</v>
      </c>
      <c r="DC327" s="40">
        <f t="shared" si="548"/>
        <v>1</v>
      </c>
      <c r="DD327" s="40">
        <f t="shared" si="549"/>
        <v>0</v>
      </c>
      <c r="DE327" s="40">
        <f t="shared" si="550"/>
        <v>0</v>
      </c>
      <c r="DF327" s="40">
        <f t="shared" si="551"/>
        <v>0</v>
      </c>
      <c r="DG327" s="40">
        <f t="shared" si="552"/>
        <v>1</v>
      </c>
      <c r="DH327" s="40">
        <f t="shared" si="553"/>
        <v>0</v>
      </c>
      <c r="DI327" s="40">
        <f t="shared" si="554"/>
        <v>0</v>
      </c>
      <c r="DJ327" s="40">
        <f t="shared" si="555"/>
        <v>0</v>
      </c>
      <c r="DK327" s="39">
        <f t="shared" si="556"/>
        <v>0</v>
      </c>
      <c r="DL327" s="40">
        <f t="shared" si="557"/>
        <v>0</v>
      </c>
      <c r="DM327" s="40">
        <f t="shared" si="558"/>
        <v>0</v>
      </c>
      <c r="DN327" s="40">
        <f t="shared" si="559"/>
        <v>0</v>
      </c>
      <c r="DO327" s="40">
        <f t="shared" si="560"/>
        <v>0</v>
      </c>
      <c r="DP327" s="40">
        <f t="shared" si="561"/>
        <v>0</v>
      </c>
      <c r="DQ327" s="40">
        <f t="shared" si="562"/>
        <v>1</v>
      </c>
      <c r="DR327" s="87">
        <f t="shared" si="533"/>
        <v>0</v>
      </c>
      <c r="DS327" s="40">
        <f t="shared" si="534"/>
        <v>0</v>
      </c>
      <c r="DT327" s="40">
        <f t="shared" si="563"/>
        <v>0</v>
      </c>
      <c r="DU327" s="40">
        <f t="shared" si="564"/>
        <v>0</v>
      </c>
      <c r="DV327" s="40">
        <f t="shared" si="565"/>
        <v>0</v>
      </c>
      <c r="DW327" s="40">
        <f t="shared" si="566"/>
        <v>0</v>
      </c>
    </row>
    <row r="328" spans="1:127">
      <c r="A328" s="22" t="s">
        <v>133</v>
      </c>
      <c r="B328" s="26">
        <v>4987176169921</v>
      </c>
      <c r="C328" s="22" t="s">
        <v>133</v>
      </c>
      <c r="D328" s="22" t="s">
        <v>27</v>
      </c>
      <c r="E328" s="22">
        <v>183225</v>
      </c>
      <c r="F328" s="80" t="s">
        <v>419</v>
      </c>
      <c r="G328" s="25">
        <v>201.70000000000002</v>
      </c>
      <c r="H328" s="38">
        <f t="shared" si="567"/>
        <v>41146.800000000003</v>
      </c>
      <c r="I328" s="38">
        <f t="shared" si="568"/>
        <v>51635.200000000004</v>
      </c>
      <c r="J328" s="38">
        <f t="shared" si="569"/>
        <v>36507.700000000004</v>
      </c>
      <c r="K328" s="38">
        <f t="shared" si="570"/>
        <v>45180.800000000003</v>
      </c>
      <c r="L328" s="38">
        <f t="shared" si="571"/>
        <v>41146.800000000003</v>
      </c>
      <c r="M328" s="39">
        <f t="shared" si="572"/>
        <v>36306</v>
      </c>
      <c r="N328" s="40">
        <f t="shared" si="573"/>
        <v>45987.600000000006</v>
      </c>
      <c r="O328" s="40">
        <f t="shared" si="574"/>
        <v>43163.8</v>
      </c>
      <c r="P328" s="40">
        <f t="shared" si="575"/>
        <v>25212.500000000004</v>
      </c>
      <c r="Q328" s="40">
        <f t="shared" si="576"/>
        <v>46996.100000000006</v>
      </c>
      <c r="R328" s="40">
        <f t="shared" si="577"/>
        <v>48609.700000000004</v>
      </c>
      <c r="S328" s="40">
        <f t="shared" si="578"/>
        <v>30456.700000000004</v>
      </c>
      <c r="T328" s="40">
        <f t="shared" si="579"/>
        <v>73015.400000000009</v>
      </c>
      <c r="U328" s="40">
        <f t="shared" si="580"/>
        <v>56677.700000000004</v>
      </c>
      <c r="V328" s="40">
        <f t="shared" si="581"/>
        <v>46996.100000000006</v>
      </c>
      <c r="W328" s="40">
        <f t="shared" si="582"/>
        <v>43970.600000000006</v>
      </c>
      <c r="X328" s="40">
        <f t="shared" si="583"/>
        <v>55467.500000000007</v>
      </c>
      <c r="Y328" s="39">
        <f t="shared" si="584"/>
        <v>59703.200000000004</v>
      </c>
      <c r="Z328" s="40">
        <f t="shared" si="585"/>
        <v>65149.100000000006</v>
      </c>
      <c r="AA328" s="40">
        <f t="shared" si="586"/>
        <v>46794.400000000001</v>
      </c>
      <c r="AB328" s="40">
        <f t="shared" si="587"/>
        <v>42155.3</v>
      </c>
      <c r="AC328" s="40">
        <f t="shared" si="588"/>
        <v>57282.8</v>
      </c>
      <c r="AD328" s="40">
        <f t="shared" si="589"/>
        <v>50223.3</v>
      </c>
      <c r="AE328" s="40">
        <f t="shared" si="590"/>
        <v>71200.100000000006</v>
      </c>
      <c r="AF328" s="40">
        <f t="shared" si="591"/>
        <v>47601.200000000004</v>
      </c>
      <c r="AG328" s="40">
        <f t="shared" si="592"/>
        <v>67166.100000000006</v>
      </c>
      <c r="AH328" s="40">
        <f t="shared" si="535"/>
        <v>38524.700000000004</v>
      </c>
      <c r="AI328" s="40">
        <f t="shared" si="536"/>
        <v>67054.044444444458</v>
      </c>
      <c r="AJ328" s="40">
        <f t="shared" si="537"/>
        <v>0</v>
      </c>
      <c r="AK328" s="39">
        <f t="shared" si="538"/>
        <v>0</v>
      </c>
      <c r="AL328" s="38">
        <v>199</v>
      </c>
      <c r="AM328" s="38">
        <v>254</v>
      </c>
      <c r="AN328" s="38">
        <v>174</v>
      </c>
      <c r="AO328" s="38">
        <v>215</v>
      </c>
      <c r="AP328" s="38">
        <v>202</v>
      </c>
      <c r="AQ328" s="39">
        <v>174</v>
      </c>
      <c r="AR328" s="40">
        <v>218</v>
      </c>
      <c r="AS328" s="40">
        <v>207</v>
      </c>
      <c r="AT328" s="40">
        <v>123</v>
      </c>
      <c r="AU328" s="40">
        <v>224</v>
      </c>
      <c r="AV328" s="40">
        <v>228</v>
      </c>
      <c r="AW328" s="40">
        <v>146</v>
      </c>
      <c r="AX328" s="40">
        <v>348</v>
      </c>
      <c r="AY328" s="40">
        <v>261</v>
      </c>
      <c r="AZ328" s="40">
        <v>211</v>
      </c>
      <c r="BA328" s="40">
        <v>213</v>
      </c>
      <c r="BB328" s="40">
        <v>260</v>
      </c>
      <c r="BC328" s="39">
        <v>238</v>
      </c>
      <c r="BD328" s="40">
        <v>309</v>
      </c>
      <c r="BE328" s="40">
        <v>208</v>
      </c>
      <c r="BF328" s="40">
        <v>198</v>
      </c>
      <c r="BG328" s="40">
        <v>270</v>
      </c>
      <c r="BH328" s="40">
        <v>239</v>
      </c>
      <c r="BI328" s="40">
        <v>344</v>
      </c>
      <c r="BJ328" s="40">
        <v>223</v>
      </c>
      <c r="BK328" s="40">
        <v>329</v>
      </c>
      <c r="BL328" s="40">
        <v>187</v>
      </c>
      <c r="BM328" s="40">
        <v>321</v>
      </c>
      <c r="BN328" s="40"/>
      <c r="BO328" s="39"/>
      <c r="BP328" s="21">
        <v>5</v>
      </c>
      <c r="BQ328" s="21">
        <v>2</v>
      </c>
      <c r="BR328" s="21">
        <v>7</v>
      </c>
      <c r="BS328" s="21">
        <v>9</v>
      </c>
      <c r="BT328" s="21">
        <v>2</v>
      </c>
      <c r="BU328" s="42">
        <v>6</v>
      </c>
      <c r="BV328" s="21">
        <v>10</v>
      </c>
      <c r="BW328" s="21">
        <v>7</v>
      </c>
      <c r="BX328" s="21">
        <v>2</v>
      </c>
      <c r="BY328" s="21">
        <v>9</v>
      </c>
      <c r="BZ328" s="21">
        <v>13</v>
      </c>
      <c r="CA328" s="21">
        <v>5</v>
      </c>
      <c r="CB328" s="21">
        <v>14</v>
      </c>
      <c r="CC328" s="21">
        <v>20</v>
      </c>
      <c r="CD328" s="21">
        <v>22</v>
      </c>
      <c r="CE328" s="21">
        <v>5</v>
      </c>
      <c r="CF328" s="21">
        <v>15</v>
      </c>
      <c r="CG328" s="42">
        <v>58</v>
      </c>
      <c r="CH328" s="21">
        <v>14</v>
      </c>
      <c r="CI328" s="21">
        <v>24</v>
      </c>
      <c r="CJ328" s="21">
        <v>11</v>
      </c>
      <c r="CK328" s="21">
        <v>14</v>
      </c>
      <c r="CL328" s="21">
        <v>10</v>
      </c>
      <c r="CM328" s="21">
        <v>9</v>
      </c>
      <c r="CN328" s="21">
        <v>13</v>
      </c>
      <c r="CO328" s="21">
        <v>4</v>
      </c>
      <c r="CP328" s="21">
        <f t="shared" si="593"/>
        <v>4</v>
      </c>
      <c r="CQ328" s="343">
        <f t="shared" si="594"/>
        <v>11.444444444444445</v>
      </c>
      <c r="CR328" s="40"/>
      <c r="CS328" s="39"/>
      <c r="CT328" s="38">
        <f t="shared" si="539"/>
        <v>204</v>
      </c>
      <c r="CU328" s="38">
        <f t="shared" si="540"/>
        <v>256</v>
      </c>
      <c r="CV328" s="38">
        <f t="shared" si="541"/>
        <v>181</v>
      </c>
      <c r="CW328" s="38">
        <f t="shared" si="542"/>
        <v>224</v>
      </c>
      <c r="CX328" s="38">
        <f t="shared" si="543"/>
        <v>204</v>
      </c>
      <c r="CY328" s="39">
        <f t="shared" si="544"/>
        <v>180</v>
      </c>
      <c r="CZ328" s="40">
        <f t="shared" si="545"/>
        <v>228</v>
      </c>
      <c r="DA328" s="40">
        <f t="shared" si="546"/>
        <v>214</v>
      </c>
      <c r="DB328" s="40">
        <f t="shared" si="547"/>
        <v>125</v>
      </c>
      <c r="DC328" s="40">
        <f t="shared" si="548"/>
        <v>233</v>
      </c>
      <c r="DD328" s="40">
        <f t="shared" si="549"/>
        <v>241</v>
      </c>
      <c r="DE328" s="40">
        <f t="shared" si="550"/>
        <v>151</v>
      </c>
      <c r="DF328" s="40">
        <f t="shared" si="551"/>
        <v>362</v>
      </c>
      <c r="DG328" s="40">
        <f t="shared" si="552"/>
        <v>281</v>
      </c>
      <c r="DH328" s="40">
        <f t="shared" si="553"/>
        <v>233</v>
      </c>
      <c r="DI328" s="40">
        <f t="shared" si="554"/>
        <v>218</v>
      </c>
      <c r="DJ328" s="40">
        <f t="shared" si="555"/>
        <v>275</v>
      </c>
      <c r="DK328" s="39">
        <f t="shared" si="556"/>
        <v>296</v>
      </c>
      <c r="DL328" s="40">
        <f t="shared" si="557"/>
        <v>323</v>
      </c>
      <c r="DM328" s="40">
        <f t="shared" si="558"/>
        <v>232</v>
      </c>
      <c r="DN328" s="40">
        <f t="shared" si="559"/>
        <v>209</v>
      </c>
      <c r="DO328" s="40">
        <f t="shared" si="560"/>
        <v>284</v>
      </c>
      <c r="DP328" s="40">
        <f t="shared" si="561"/>
        <v>249</v>
      </c>
      <c r="DQ328" s="40">
        <f t="shared" si="562"/>
        <v>353</v>
      </c>
      <c r="DR328" s="87">
        <f t="shared" si="533"/>
        <v>236</v>
      </c>
      <c r="DS328" s="40">
        <f t="shared" si="534"/>
        <v>333</v>
      </c>
      <c r="DT328" s="40">
        <f t="shared" si="563"/>
        <v>191</v>
      </c>
      <c r="DU328" s="40">
        <f t="shared" si="564"/>
        <v>332.44444444444446</v>
      </c>
      <c r="DV328" s="40">
        <f t="shared" si="565"/>
        <v>0</v>
      </c>
      <c r="DW328" s="40">
        <f t="shared" si="566"/>
        <v>0</v>
      </c>
    </row>
    <row r="329" spans="1:127">
      <c r="A329" s="22" t="s">
        <v>133</v>
      </c>
      <c r="B329" s="26">
        <v>4987176176172</v>
      </c>
      <c r="C329" s="22" t="s">
        <v>133</v>
      </c>
      <c r="D329" s="22" t="s">
        <v>27</v>
      </c>
      <c r="E329" s="22">
        <v>184455</v>
      </c>
      <c r="F329" s="80" t="s">
        <v>420</v>
      </c>
      <c r="G329" s="25">
        <v>358.15749999999997</v>
      </c>
      <c r="H329" s="38">
        <f t="shared" si="567"/>
        <v>88106.744999999995</v>
      </c>
      <c r="I329" s="38">
        <f t="shared" si="568"/>
        <v>150426.15</v>
      </c>
      <c r="J329" s="38">
        <f t="shared" si="569"/>
        <v>79152.807499999995</v>
      </c>
      <c r="K329" s="38">
        <f t="shared" si="570"/>
        <v>86674.114999999991</v>
      </c>
      <c r="L329" s="38">
        <f t="shared" si="571"/>
        <v>118191.97499999999</v>
      </c>
      <c r="M329" s="39">
        <f t="shared" si="572"/>
        <v>97776.997499999998</v>
      </c>
      <c r="N329" s="40">
        <f t="shared" si="573"/>
        <v>88823.06</v>
      </c>
      <c r="O329" s="40">
        <f t="shared" si="574"/>
        <v>109238.03749999999</v>
      </c>
      <c r="P329" s="40">
        <f t="shared" si="575"/>
        <v>97776.997499999998</v>
      </c>
      <c r="Q329" s="40">
        <f t="shared" si="576"/>
        <v>108521.72249999999</v>
      </c>
      <c r="R329" s="40">
        <f t="shared" si="577"/>
        <v>107805.40749999999</v>
      </c>
      <c r="S329" s="40">
        <f t="shared" si="578"/>
        <v>128578.5425</v>
      </c>
      <c r="T329" s="40">
        <f t="shared" si="579"/>
        <v>149351.67749999999</v>
      </c>
      <c r="U329" s="40">
        <f t="shared" si="580"/>
        <v>107447.24999999999</v>
      </c>
      <c r="V329" s="40">
        <f t="shared" si="581"/>
        <v>133950.905</v>
      </c>
      <c r="W329" s="40">
        <f t="shared" si="582"/>
        <v>150426.15</v>
      </c>
      <c r="X329" s="40">
        <f t="shared" si="583"/>
        <v>179078.74999999997</v>
      </c>
      <c r="Y329" s="39">
        <f t="shared" si="584"/>
        <v>171199.28499999997</v>
      </c>
      <c r="Z329" s="40">
        <f t="shared" si="585"/>
        <v>255366.29749999999</v>
      </c>
      <c r="AA329" s="40">
        <f t="shared" si="586"/>
        <v>145770.10249999998</v>
      </c>
      <c r="AB329" s="40">
        <f t="shared" si="587"/>
        <v>142188.5275</v>
      </c>
      <c r="AC329" s="40">
        <f t="shared" si="588"/>
        <v>153649.56749999998</v>
      </c>
      <c r="AD329" s="40">
        <f t="shared" si="589"/>
        <v>133234.59</v>
      </c>
      <c r="AE329" s="40">
        <f t="shared" si="590"/>
        <v>167617.71</v>
      </c>
      <c r="AF329" s="40">
        <f t="shared" si="591"/>
        <v>134667.22</v>
      </c>
      <c r="AG329" s="40">
        <f t="shared" si="592"/>
        <v>144337.47249999997</v>
      </c>
      <c r="AH329" s="40">
        <f t="shared" si="535"/>
        <v>118908.29</v>
      </c>
      <c r="AI329" s="40">
        <f t="shared" si="536"/>
        <v>156077.07944444442</v>
      </c>
      <c r="AJ329" s="40">
        <f t="shared" si="537"/>
        <v>0</v>
      </c>
      <c r="AK329" s="39">
        <f t="shared" si="538"/>
        <v>0</v>
      </c>
      <c r="AL329" s="38">
        <v>242</v>
      </c>
      <c r="AM329" s="38">
        <v>415</v>
      </c>
      <c r="AN329" s="38">
        <v>215</v>
      </c>
      <c r="AO329" s="38">
        <v>236</v>
      </c>
      <c r="AP329" s="38">
        <v>330</v>
      </c>
      <c r="AQ329" s="39">
        <v>273</v>
      </c>
      <c r="AR329" s="40">
        <v>245</v>
      </c>
      <c r="AS329" s="40">
        <v>305</v>
      </c>
      <c r="AT329" s="40">
        <v>273</v>
      </c>
      <c r="AU329" s="40">
        <v>300</v>
      </c>
      <c r="AV329" s="40">
        <v>295</v>
      </c>
      <c r="AW329" s="40">
        <v>357</v>
      </c>
      <c r="AX329" s="40">
        <v>402</v>
      </c>
      <c r="AY329" s="40">
        <v>279</v>
      </c>
      <c r="AZ329" s="40">
        <v>350</v>
      </c>
      <c r="BA329" s="40">
        <v>413</v>
      </c>
      <c r="BB329" s="40">
        <v>491</v>
      </c>
      <c r="BC329" s="39">
        <v>462</v>
      </c>
      <c r="BD329" s="40">
        <v>708</v>
      </c>
      <c r="BE329" s="40">
        <v>398</v>
      </c>
      <c r="BF329" s="40">
        <v>393</v>
      </c>
      <c r="BG329" s="40">
        <v>421</v>
      </c>
      <c r="BH329" s="40">
        <v>361</v>
      </c>
      <c r="BI329" s="40">
        <v>465</v>
      </c>
      <c r="BJ329" s="40">
        <v>373</v>
      </c>
      <c r="BK329" s="40">
        <v>403</v>
      </c>
      <c r="BL329" s="40">
        <v>332</v>
      </c>
      <c r="BM329" s="40">
        <v>431</v>
      </c>
      <c r="BN329" s="40"/>
      <c r="BO329" s="39"/>
      <c r="BP329" s="21">
        <v>4</v>
      </c>
      <c r="BQ329" s="21">
        <v>5</v>
      </c>
      <c r="BR329" s="21">
        <v>6</v>
      </c>
      <c r="BS329" s="21">
        <v>6</v>
      </c>
      <c r="BT329" s="21">
        <v>0</v>
      </c>
      <c r="BU329" s="42">
        <v>0</v>
      </c>
      <c r="BV329" s="21">
        <v>3</v>
      </c>
      <c r="BW329" s="21">
        <v>0</v>
      </c>
      <c r="BX329" s="21">
        <v>0</v>
      </c>
      <c r="BY329" s="21">
        <v>3</v>
      </c>
      <c r="BZ329" s="21">
        <v>6</v>
      </c>
      <c r="CA329" s="21">
        <v>2</v>
      </c>
      <c r="CB329" s="21">
        <v>15</v>
      </c>
      <c r="CC329" s="21">
        <v>21</v>
      </c>
      <c r="CD329" s="21">
        <v>24</v>
      </c>
      <c r="CE329" s="21">
        <v>7</v>
      </c>
      <c r="CF329" s="21">
        <v>9</v>
      </c>
      <c r="CG329" s="42">
        <v>16</v>
      </c>
      <c r="CH329" s="21">
        <v>5</v>
      </c>
      <c r="CI329" s="21">
        <v>9</v>
      </c>
      <c r="CJ329" s="21">
        <v>4</v>
      </c>
      <c r="CK329" s="21">
        <v>8</v>
      </c>
      <c r="CL329" s="21">
        <v>11</v>
      </c>
      <c r="CM329" s="21">
        <v>3</v>
      </c>
      <c r="CN329" s="21">
        <v>3</v>
      </c>
      <c r="CO329" s="21">
        <v>0</v>
      </c>
      <c r="CP329" s="21">
        <f t="shared" si="593"/>
        <v>0</v>
      </c>
      <c r="CQ329" s="343">
        <f t="shared" si="594"/>
        <v>4.7777777777777777</v>
      </c>
      <c r="CR329" s="40"/>
      <c r="CS329" s="39"/>
      <c r="CT329" s="38">
        <f t="shared" si="539"/>
        <v>246</v>
      </c>
      <c r="CU329" s="38">
        <f t="shared" si="540"/>
        <v>420</v>
      </c>
      <c r="CV329" s="38">
        <f t="shared" si="541"/>
        <v>221</v>
      </c>
      <c r="CW329" s="38">
        <f t="shared" si="542"/>
        <v>242</v>
      </c>
      <c r="CX329" s="38">
        <f t="shared" si="543"/>
        <v>330</v>
      </c>
      <c r="CY329" s="39">
        <f t="shared" si="544"/>
        <v>273</v>
      </c>
      <c r="CZ329" s="40">
        <f t="shared" si="545"/>
        <v>248</v>
      </c>
      <c r="DA329" s="40">
        <f t="shared" si="546"/>
        <v>305</v>
      </c>
      <c r="DB329" s="40">
        <f t="shared" si="547"/>
        <v>273</v>
      </c>
      <c r="DC329" s="40">
        <f t="shared" si="548"/>
        <v>303</v>
      </c>
      <c r="DD329" s="40">
        <f t="shared" si="549"/>
        <v>301</v>
      </c>
      <c r="DE329" s="40">
        <f t="shared" si="550"/>
        <v>359</v>
      </c>
      <c r="DF329" s="40">
        <f t="shared" si="551"/>
        <v>417</v>
      </c>
      <c r="DG329" s="40">
        <f t="shared" si="552"/>
        <v>300</v>
      </c>
      <c r="DH329" s="40">
        <f t="shared" si="553"/>
        <v>374</v>
      </c>
      <c r="DI329" s="40">
        <f t="shared" si="554"/>
        <v>420</v>
      </c>
      <c r="DJ329" s="40">
        <f t="shared" si="555"/>
        <v>500</v>
      </c>
      <c r="DK329" s="39">
        <f t="shared" si="556"/>
        <v>478</v>
      </c>
      <c r="DL329" s="40">
        <f t="shared" si="557"/>
        <v>713</v>
      </c>
      <c r="DM329" s="40">
        <f t="shared" si="558"/>
        <v>407</v>
      </c>
      <c r="DN329" s="40">
        <f t="shared" si="559"/>
        <v>397</v>
      </c>
      <c r="DO329" s="40">
        <f t="shared" si="560"/>
        <v>429</v>
      </c>
      <c r="DP329" s="40">
        <f t="shared" si="561"/>
        <v>372</v>
      </c>
      <c r="DQ329" s="40">
        <f t="shared" si="562"/>
        <v>468</v>
      </c>
      <c r="DR329" s="87">
        <f t="shared" si="533"/>
        <v>376</v>
      </c>
      <c r="DS329" s="40">
        <f t="shared" si="534"/>
        <v>403</v>
      </c>
      <c r="DT329" s="40">
        <f t="shared" si="563"/>
        <v>332</v>
      </c>
      <c r="DU329" s="40">
        <f t="shared" si="564"/>
        <v>435.77777777777777</v>
      </c>
      <c r="DV329" s="40">
        <f t="shared" si="565"/>
        <v>0</v>
      </c>
      <c r="DW329" s="40">
        <f t="shared" si="566"/>
        <v>0</v>
      </c>
    </row>
    <row r="330" spans="1:127">
      <c r="A330" s="22" t="s">
        <v>133</v>
      </c>
      <c r="B330" s="26">
        <v>4987176169914</v>
      </c>
      <c r="C330" s="22" t="s">
        <v>133</v>
      </c>
      <c r="D330" s="22" t="s">
        <v>27</v>
      </c>
      <c r="E330" s="22">
        <v>183236</v>
      </c>
      <c r="F330" s="80" t="s">
        <v>421</v>
      </c>
      <c r="G330" s="25">
        <v>596.33999999999992</v>
      </c>
      <c r="H330" s="38">
        <f t="shared" si="567"/>
        <v>25046.279999999995</v>
      </c>
      <c r="I330" s="38">
        <f t="shared" si="568"/>
        <v>30413.339999999997</v>
      </c>
      <c r="J330" s="38">
        <f t="shared" si="569"/>
        <v>19679.219999999998</v>
      </c>
      <c r="K330" s="38">
        <f t="shared" si="570"/>
        <v>32202.359999999997</v>
      </c>
      <c r="L330" s="38">
        <f t="shared" si="571"/>
        <v>41743.799999999996</v>
      </c>
      <c r="M330" s="39">
        <f t="shared" si="572"/>
        <v>25046.279999999995</v>
      </c>
      <c r="N330" s="40">
        <f t="shared" si="573"/>
        <v>19679.219999999998</v>
      </c>
      <c r="O330" s="40">
        <f t="shared" si="574"/>
        <v>22660.92</v>
      </c>
      <c r="P330" s="40">
        <f t="shared" si="575"/>
        <v>17890.199999999997</v>
      </c>
      <c r="Q330" s="40">
        <f t="shared" si="576"/>
        <v>29816.999999999996</v>
      </c>
      <c r="R330" s="40">
        <f t="shared" si="577"/>
        <v>24449.939999999995</v>
      </c>
      <c r="S330" s="40">
        <f t="shared" si="578"/>
        <v>22064.579999999998</v>
      </c>
      <c r="T330" s="40">
        <f t="shared" si="579"/>
        <v>19679.219999999998</v>
      </c>
      <c r="U330" s="40">
        <f t="shared" si="580"/>
        <v>10734.119999999999</v>
      </c>
      <c r="V330" s="40">
        <f t="shared" si="581"/>
        <v>10734.119999999999</v>
      </c>
      <c r="W330" s="40">
        <f t="shared" si="582"/>
        <v>10734.119999999999</v>
      </c>
      <c r="X330" s="40">
        <f t="shared" si="583"/>
        <v>30413.339999999997</v>
      </c>
      <c r="Y330" s="39">
        <f t="shared" si="584"/>
        <v>13715.819999999998</v>
      </c>
      <c r="Z330" s="40">
        <f t="shared" si="585"/>
        <v>22064.579999999998</v>
      </c>
      <c r="AA330" s="40">
        <f t="shared" si="586"/>
        <v>20871.899999999998</v>
      </c>
      <c r="AB330" s="40">
        <f t="shared" si="587"/>
        <v>44129.159999999996</v>
      </c>
      <c r="AC330" s="40">
        <f t="shared" si="588"/>
        <v>24449.939999999995</v>
      </c>
      <c r="AD330" s="40">
        <f t="shared" si="589"/>
        <v>23257.26</v>
      </c>
      <c r="AE330" s="40">
        <f t="shared" si="590"/>
        <v>29816.999999999996</v>
      </c>
      <c r="AF330" s="40">
        <f t="shared" si="591"/>
        <v>17293.859999999997</v>
      </c>
      <c r="AG330" s="40">
        <f t="shared" si="592"/>
        <v>16697.519999999997</v>
      </c>
      <c r="AH330" s="40">
        <f t="shared" si="535"/>
        <v>12523.139999999998</v>
      </c>
      <c r="AI330" s="40">
        <f t="shared" si="536"/>
        <v>21136.939999999995</v>
      </c>
      <c r="AJ330" s="40">
        <f t="shared" si="537"/>
        <v>0</v>
      </c>
      <c r="AK330" s="39">
        <f t="shared" si="538"/>
        <v>0</v>
      </c>
      <c r="AL330" s="38">
        <v>32</v>
      </c>
      <c r="AM330" s="38">
        <v>38</v>
      </c>
      <c r="AN330" s="38">
        <v>19</v>
      </c>
      <c r="AO330" s="38">
        <v>39</v>
      </c>
      <c r="AP330" s="38">
        <v>35</v>
      </c>
      <c r="AQ330" s="39">
        <v>21</v>
      </c>
      <c r="AR330" s="40">
        <v>19</v>
      </c>
      <c r="AS330" s="40">
        <v>29</v>
      </c>
      <c r="AT330" s="40">
        <v>19</v>
      </c>
      <c r="AU330" s="40">
        <v>34</v>
      </c>
      <c r="AV330" s="40">
        <v>14</v>
      </c>
      <c r="AW330" s="40">
        <v>20</v>
      </c>
      <c r="AX330" s="40">
        <v>21</v>
      </c>
      <c r="AY330" s="40">
        <v>11</v>
      </c>
      <c r="AZ330" s="40">
        <v>9</v>
      </c>
      <c r="BA330" s="40">
        <v>11</v>
      </c>
      <c r="BB330" s="40">
        <v>22</v>
      </c>
      <c r="BC330" s="39">
        <v>9</v>
      </c>
      <c r="BD330" s="40">
        <v>22</v>
      </c>
      <c r="BE330" s="40">
        <v>17</v>
      </c>
      <c r="BF330" s="40">
        <v>12</v>
      </c>
      <c r="BG330" s="40">
        <v>17</v>
      </c>
      <c r="BH330" s="40">
        <v>5</v>
      </c>
      <c r="BI330" s="40">
        <v>32</v>
      </c>
      <c r="BJ330" s="40">
        <v>12</v>
      </c>
      <c r="BK330" s="40">
        <v>21</v>
      </c>
      <c r="BL330" s="40">
        <v>14</v>
      </c>
      <c r="BM330" s="40">
        <v>13</v>
      </c>
      <c r="BN330" s="40"/>
      <c r="BO330" s="39"/>
      <c r="BP330" s="21">
        <v>10</v>
      </c>
      <c r="BQ330" s="21">
        <v>13</v>
      </c>
      <c r="BR330" s="21">
        <v>14</v>
      </c>
      <c r="BS330" s="21">
        <v>15</v>
      </c>
      <c r="BT330" s="21">
        <v>35</v>
      </c>
      <c r="BU330" s="42">
        <v>21</v>
      </c>
      <c r="BV330" s="21">
        <v>14</v>
      </c>
      <c r="BW330" s="21">
        <v>9</v>
      </c>
      <c r="BX330" s="21">
        <v>11</v>
      </c>
      <c r="BY330" s="21">
        <v>16</v>
      </c>
      <c r="BZ330" s="21">
        <v>27</v>
      </c>
      <c r="CA330" s="21">
        <v>17</v>
      </c>
      <c r="CB330" s="21">
        <v>12</v>
      </c>
      <c r="CC330" s="21">
        <v>7</v>
      </c>
      <c r="CD330" s="21">
        <v>9</v>
      </c>
      <c r="CE330" s="21">
        <v>7</v>
      </c>
      <c r="CF330" s="21">
        <v>29</v>
      </c>
      <c r="CG330" s="42">
        <v>14</v>
      </c>
      <c r="CH330" s="21">
        <v>15</v>
      </c>
      <c r="CI330" s="21">
        <v>18</v>
      </c>
      <c r="CJ330" s="21">
        <v>62</v>
      </c>
      <c r="CK330" s="21">
        <v>24</v>
      </c>
      <c r="CL330" s="21">
        <v>34</v>
      </c>
      <c r="CM330" s="21">
        <v>18</v>
      </c>
      <c r="CN330" s="21">
        <v>17</v>
      </c>
      <c r="CO330" s="21">
        <v>7</v>
      </c>
      <c r="CP330" s="21">
        <f t="shared" si="593"/>
        <v>7</v>
      </c>
      <c r="CQ330" s="343">
        <f t="shared" si="594"/>
        <v>22.444444444444443</v>
      </c>
      <c r="CR330" s="40"/>
      <c r="CS330" s="39"/>
      <c r="CT330" s="38">
        <f t="shared" si="539"/>
        <v>42</v>
      </c>
      <c r="CU330" s="38">
        <f t="shared" si="540"/>
        <v>51</v>
      </c>
      <c r="CV330" s="38">
        <f t="shared" si="541"/>
        <v>33</v>
      </c>
      <c r="CW330" s="38">
        <f t="shared" si="542"/>
        <v>54</v>
      </c>
      <c r="CX330" s="38">
        <f t="shared" si="543"/>
        <v>70</v>
      </c>
      <c r="CY330" s="39">
        <f t="shared" si="544"/>
        <v>42</v>
      </c>
      <c r="CZ330" s="40">
        <f t="shared" si="545"/>
        <v>33</v>
      </c>
      <c r="DA330" s="40">
        <f t="shared" si="546"/>
        <v>38</v>
      </c>
      <c r="DB330" s="40">
        <f t="shared" si="547"/>
        <v>30</v>
      </c>
      <c r="DC330" s="40">
        <f t="shared" si="548"/>
        <v>50</v>
      </c>
      <c r="DD330" s="40">
        <f t="shared" si="549"/>
        <v>41</v>
      </c>
      <c r="DE330" s="40">
        <f t="shared" si="550"/>
        <v>37</v>
      </c>
      <c r="DF330" s="40">
        <f t="shared" si="551"/>
        <v>33</v>
      </c>
      <c r="DG330" s="40">
        <f t="shared" si="552"/>
        <v>18</v>
      </c>
      <c r="DH330" s="40">
        <f t="shared" si="553"/>
        <v>18</v>
      </c>
      <c r="DI330" s="40">
        <f t="shared" si="554"/>
        <v>18</v>
      </c>
      <c r="DJ330" s="40">
        <f t="shared" si="555"/>
        <v>51</v>
      </c>
      <c r="DK330" s="39">
        <f t="shared" si="556"/>
        <v>23</v>
      </c>
      <c r="DL330" s="40">
        <f t="shared" si="557"/>
        <v>37</v>
      </c>
      <c r="DM330" s="40">
        <f t="shared" si="558"/>
        <v>35</v>
      </c>
      <c r="DN330" s="40">
        <f t="shared" si="559"/>
        <v>74</v>
      </c>
      <c r="DO330" s="40">
        <f t="shared" si="560"/>
        <v>41</v>
      </c>
      <c r="DP330" s="40">
        <f t="shared" si="561"/>
        <v>39</v>
      </c>
      <c r="DQ330" s="40">
        <f t="shared" si="562"/>
        <v>50</v>
      </c>
      <c r="DR330" s="87">
        <f t="shared" si="533"/>
        <v>29</v>
      </c>
      <c r="DS330" s="40">
        <f t="shared" si="534"/>
        <v>28</v>
      </c>
      <c r="DT330" s="40">
        <f t="shared" si="563"/>
        <v>21</v>
      </c>
      <c r="DU330" s="40">
        <f t="shared" si="564"/>
        <v>35.444444444444443</v>
      </c>
      <c r="DV330" s="40">
        <f t="shared" si="565"/>
        <v>0</v>
      </c>
      <c r="DW330" s="40">
        <f t="shared" si="566"/>
        <v>0</v>
      </c>
    </row>
    <row r="331" spans="1:127">
      <c r="A331" s="22" t="s">
        <v>133</v>
      </c>
      <c r="B331" s="26">
        <v>6900068812468</v>
      </c>
      <c r="C331" s="22" t="s">
        <v>133</v>
      </c>
      <c r="D331" s="22" t="s">
        <v>28</v>
      </c>
      <c r="E331" s="22">
        <v>103185</v>
      </c>
      <c r="F331" s="80" t="s">
        <v>422</v>
      </c>
      <c r="G331" s="25">
        <v>509.7</v>
      </c>
      <c r="H331" s="38">
        <f t="shared" si="567"/>
        <v>20388</v>
      </c>
      <c r="I331" s="38">
        <f t="shared" si="568"/>
        <v>10194</v>
      </c>
      <c r="J331" s="38">
        <f t="shared" si="569"/>
        <v>4587.3</v>
      </c>
      <c r="K331" s="38">
        <f t="shared" si="570"/>
        <v>6626.0999999999995</v>
      </c>
      <c r="L331" s="38">
        <f t="shared" si="571"/>
        <v>2548.5</v>
      </c>
      <c r="M331" s="39">
        <f t="shared" si="572"/>
        <v>2548.5</v>
      </c>
      <c r="N331" s="40">
        <f t="shared" si="573"/>
        <v>2038.8</v>
      </c>
      <c r="O331" s="40">
        <f t="shared" si="574"/>
        <v>1529.1</v>
      </c>
      <c r="P331" s="40">
        <f t="shared" si="575"/>
        <v>509.7</v>
      </c>
      <c r="Q331" s="40">
        <f t="shared" si="576"/>
        <v>0</v>
      </c>
      <c r="R331" s="40">
        <f t="shared" si="577"/>
        <v>0</v>
      </c>
      <c r="S331" s="40">
        <f t="shared" si="578"/>
        <v>0</v>
      </c>
      <c r="T331" s="40">
        <f t="shared" si="579"/>
        <v>0</v>
      </c>
      <c r="U331" s="40">
        <f t="shared" si="580"/>
        <v>0</v>
      </c>
      <c r="V331" s="40">
        <f t="shared" si="581"/>
        <v>0</v>
      </c>
      <c r="W331" s="40">
        <f t="shared" si="582"/>
        <v>0</v>
      </c>
      <c r="X331" s="40">
        <f t="shared" si="583"/>
        <v>0</v>
      </c>
      <c r="Y331" s="39">
        <f t="shared" si="584"/>
        <v>0</v>
      </c>
      <c r="Z331" s="40">
        <f t="shared" si="585"/>
        <v>0</v>
      </c>
      <c r="AA331" s="40">
        <f t="shared" si="586"/>
        <v>0</v>
      </c>
      <c r="AB331" s="40">
        <f t="shared" si="587"/>
        <v>0</v>
      </c>
      <c r="AC331" s="40">
        <f t="shared" si="588"/>
        <v>0</v>
      </c>
      <c r="AD331" s="40">
        <f t="shared" si="589"/>
        <v>0</v>
      </c>
      <c r="AE331" s="40">
        <f t="shared" si="590"/>
        <v>509.7</v>
      </c>
      <c r="AF331" s="40">
        <f t="shared" si="591"/>
        <v>0</v>
      </c>
      <c r="AG331" s="40">
        <f t="shared" si="592"/>
        <v>0</v>
      </c>
      <c r="AH331" s="40">
        <f t="shared" si="535"/>
        <v>0</v>
      </c>
      <c r="AI331" s="40">
        <f t="shared" si="536"/>
        <v>0</v>
      </c>
      <c r="AJ331" s="40">
        <f t="shared" si="537"/>
        <v>0</v>
      </c>
      <c r="AK331" s="39">
        <f t="shared" si="538"/>
        <v>0</v>
      </c>
      <c r="AL331" s="38">
        <v>22</v>
      </c>
      <c r="AM331" s="38">
        <v>18</v>
      </c>
      <c r="AN331" s="38">
        <v>8</v>
      </c>
      <c r="AO331" s="38">
        <v>13</v>
      </c>
      <c r="AP331" s="38">
        <v>5</v>
      </c>
      <c r="AQ331" s="39">
        <v>5</v>
      </c>
      <c r="AR331" s="40">
        <v>4</v>
      </c>
      <c r="AS331" s="40">
        <v>3</v>
      </c>
      <c r="AT331" s="40">
        <v>1</v>
      </c>
      <c r="AU331" s="40">
        <v>0</v>
      </c>
      <c r="AV331" s="40">
        <v>0</v>
      </c>
      <c r="AW331" s="40">
        <v>0</v>
      </c>
      <c r="AX331" s="40">
        <v>0</v>
      </c>
      <c r="AY331" s="40">
        <v>0</v>
      </c>
      <c r="AZ331" s="40">
        <v>0</v>
      </c>
      <c r="BA331" s="40">
        <v>0</v>
      </c>
      <c r="BB331" s="40">
        <v>0</v>
      </c>
      <c r="BC331" s="39">
        <v>0</v>
      </c>
      <c r="BD331" s="40">
        <v>0</v>
      </c>
      <c r="BE331" s="40">
        <v>0</v>
      </c>
      <c r="BF331" s="40">
        <v>0</v>
      </c>
      <c r="BG331" s="40">
        <v>0</v>
      </c>
      <c r="BH331" s="40">
        <v>0</v>
      </c>
      <c r="BI331" s="40">
        <v>1</v>
      </c>
      <c r="BJ331" s="40">
        <v>0</v>
      </c>
      <c r="BK331" s="40">
        <v>0</v>
      </c>
      <c r="BL331" s="40">
        <v>0</v>
      </c>
      <c r="BM331" s="40">
        <v>0</v>
      </c>
      <c r="BN331" s="40"/>
      <c r="BO331" s="39"/>
      <c r="BP331" s="21">
        <v>18</v>
      </c>
      <c r="BQ331" s="21">
        <v>2</v>
      </c>
      <c r="BR331" s="21">
        <v>1</v>
      </c>
      <c r="BS331" s="21">
        <v>0</v>
      </c>
      <c r="BT331" s="21">
        <v>0</v>
      </c>
      <c r="BU331" s="42">
        <v>0</v>
      </c>
      <c r="BV331" s="21">
        <v>0</v>
      </c>
      <c r="BW331" s="21">
        <v>0</v>
      </c>
      <c r="BX331" s="21">
        <v>0</v>
      </c>
      <c r="BY331" s="21">
        <v>0</v>
      </c>
      <c r="BZ331" s="21">
        <v>0</v>
      </c>
      <c r="CA331" s="21">
        <v>0</v>
      </c>
      <c r="CB331" s="21">
        <v>0</v>
      </c>
      <c r="CC331" s="21">
        <v>0</v>
      </c>
      <c r="CD331" s="21">
        <v>0</v>
      </c>
      <c r="CE331" s="21">
        <v>0</v>
      </c>
      <c r="CF331" s="21">
        <v>0</v>
      </c>
      <c r="CG331" s="42">
        <v>0</v>
      </c>
      <c r="CH331" s="21">
        <v>0</v>
      </c>
      <c r="CI331" s="21">
        <v>0</v>
      </c>
      <c r="CJ331" s="21">
        <v>0</v>
      </c>
      <c r="CK331" s="21">
        <v>0</v>
      </c>
      <c r="CL331" s="21">
        <v>0</v>
      </c>
      <c r="CM331" s="21">
        <v>0</v>
      </c>
      <c r="CN331" s="21">
        <v>0</v>
      </c>
      <c r="CO331" s="21">
        <v>0</v>
      </c>
      <c r="CP331" s="21">
        <f t="shared" si="593"/>
        <v>0</v>
      </c>
      <c r="CQ331" s="343">
        <f t="shared" si="594"/>
        <v>0</v>
      </c>
      <c r="CR331" s="40"/>
      <c r="CS331" s="39"/>
      <c r="CT331" s="38">
        <f t="shared" si="539"/>
        <v>40</v>
      </c>
      <c r="CU331" s="38">
        <f t="shared" si="540"/>
        <v>20</v>
      </c>
      <c r="CV331" s="38">
        <f t="shared" si="541"/>
        <v>9</v>
      </c>
      <c r="CW331" s="38">
        <f t="shared" si="542"/>
        <v>13</v>
      </c>
      <c r="CX331" s="38">
        <f t="shared" si="543"/>
        <v>5</v>
      </c>
      <c r="CY331" s="39">
        <f t="shared" si="544"/>
        <v>5</v>
      </c>
      <c r="CZ331" s="40">
        <f t="shared" si="545"/>
        <v>4</v>
      </c>
      <c r="DA331" s="40">
        <f t="shared" si="546"/>
        <v>3</v>
      </c>
      <c r="DB331" s="40">
        <f t="shared" si="547"/>
        <v>1</v>
      </c>
      <c r="DC331" s="40">
        <f t="shared" si="548"/>
        <v>0</v>
      </c>
      <c r="DD331" s="40">
        <f t="shared" si="549"/>
        <v>0</v>
      </c>
      <c r="DE331" s="40">
        <f t="shared" si="550"/>
        <v>0</v>
      </c>
      <c r="DF331" s="40">
        <f t="shared" si="551"/>
        <v>0</v>
      </c>
      <c r="DG331" s="40">
        <f t="shared" si="552"/>
        <v>0</v>
      </c>
      <c r="DH331" s="40">
        <f t="shared" si="553"/>
        <v>0</v>
      </c>
      <c r="DI331" s="40">
        <f t="shared" si="554"/>
        <v>0</v>
      </c>
      <c r="DJ331" s="40">
        <f t="shared" si="555"/>
        <v>0</v>
      </c>
      <c r="DK331" s="39">
        <f t="shared" si="556"/>
        <v>0</v>
      </c>
      <c r="DL331" s="40">
        <f t="shared" si="557"/>
        <v>0</v>
      </c>
      <c r="DM331" s="40">
        <f t="shared" si="558"/>
        <v>0</v>
      </c>
      <c r="DN331" s="40">
        <f t="shared" si="559"/>
        <v>0</v>
      </c>
      <c r="DO331" s="40">
        <f t="shared" si="560"/>
        <v>0</v>
      </c>
      <c r="DP331" s="40">
        <f t="shared" si="561"/>
        <v>0</v>
      </c>
      <c r="DQ331" s="40">
        <f t="shared" si="562"/>
        <v>1</v>
      </c>
      <c r="DR331" s="87">
        <f t="shared" si="533"/>
        <v>0</v>
      </c>
      <c r="DS331" s="40">
        <f t="shared" si="534"/>
        <v>0</v>
      </c>
      <c r="DT331" s="40">
        <f t="shared" si="563"/>
        <v>0</v>
      </c>
      <c r="DU331" s="40">
        <f t="shared" si="564"/>
        <v>0</v>
      </c>
      <c r="DV331" s="40">
        <f t="shared" si="565"/>
        <v>0</v>
      </c>
      <c r="DW331" s="40">
        <f t="shared" si="566"/>
        <v>0</v>
      </c>
    </row>
    <row r="332" spans="1:127">
      <c r="A332" s="22" t="s">
        <v>133</v>
      </c>
      <c r="B332" s="26">
        <v>4987176169952</v>
      </c>
      <c r="C332" s="22" t="s">
        <v>133</v>
      </c>
      <c r="D332" s="22" t="s">
        <v>28</v>
      </c>
      <c r="E332" s="22">
        <v>183243</v>
      </c>
      <c r="F332" s="80" t="s">
        <v>423</v>
      </c>
      <c r="G332" s="25">
        <v>254.6</v>
      </c>
      <c r="H332" s="38">
        <f t="shared" si="567"/>
        <v>68996.599999999991</v>
      </c>
      <c r="I332" s="38">
        <f t="shared" si="568"/>
        <v>99294</v>
      </c>
      <c r="J332" s="38">
        <f t="shared" si="569"/>
        <v>58558</v>
      </c>
      <c r="K332" s="38">
        <f t="shared" si="570"/>
        <v>73834</v>
      </c>
      <c r="L332" s="38">
        <f t="shared" si="571"/>
        <v>79435.199999999997</v>
      </c>
      <c r="M332" s="39">
        <f t="shared" si="572"/>
        <v>64413.799999999996</v>
      </c>
      <c r="N332" s="40">
        <f t="shared" si="573"/>
        <v>63395.4</v>
      </c>
      <c r="O332" s="40">
        <f t="shared" si="574"/>
        <v>76125.399999999994</v>
      </c>
      <c r="P332" s="40">
        <f t="shared" si="575"/>
        <v>63395.4</v>
      </c>
      <c r="Q332" s="40">
        <f t="shared" si="576"/>
        <v>46591.799999999996</v>
      </c>
      <c r="R332" s="40">
        <f t="shared" si="577"/>
        <v>74852.399999999994</v>
      </c>
      <c r="S332" s="40">
        <f t="shared" si="578"/>
        <v>80453.599999999991</v>
      </c>
      <c r="T332" s="40">
        <f t="shared" si="579"/>
        <v>109732.59999999999</v>
      </c>
      <c r="U332" s="40">
        <f t="shared" si="580"/>
        <v>62886.2</v>
      </c>
      <c r="V332" s="40">
        <f t="shared" si="581"/>
        <v>61867.799999999996</v>
      </c>
      <c r="W332" s="40">
        <f t="shared" si="582"/>
        <v>70524.2</v>
      </c>
      <c r="X332" s="40">
        <f t="shared" si="583"/>
        <v>91146.8</v>
      </c>
      <c r="Y332" s="39">
        <f t="shared" si="584"/>
        <v>68742</v>
      </c>
      <c r="Z332" s="40">
        <f t="shared" si="585"/>
        <v>92165.2</v>
      </c>
      <c r="AA332" s="40">
        <f t="shared" si="586"/>
        <v>71542.599999999991</v>
      </c>
      <c r="AB332" s="40">
        <f t="shared" si="587"/>
        <v>69251.199999999997</v>
      </c>
      <c r="AC332" s="40">
        <f t="shared" si="588"/>
        <v>74088.599999999991</v>
      </c>
      <c r="AD332" s="40">
        <f t="shared" si="589"/>
        <v>60594.799999999996</v>
      </c>
      <c r="AE332" s="40">
        <f t="shared" si="590"/>
        <v>75616.2</v>
      </c>
      <c r="AF332" s="40">
        <f t="shared" si="591"/>
        <v>47864.799999999996</v>
      </c>
      <c r="AG332" s="40">
        <f t="shared" si="592"/>
        <v>66705.2</v>
      </c>
      <c r="AH332" s="40">
        <f t="shared" si="535"/>
        <v>43791.199999999997</v>
      </c>
      <c r="AI332" s="40">
        <f t="shared" si="536"/>
        <v>53720.6</v>
      </c>
      <c r="AJ332" s="40">
        <f t="shared" si="537"/>
        <v>0</v>
      </c>
      <c r="AK332" s="39">
        <f t="shared" si="538"/>
        <v>0</v>
      </c>
      <c r="AL332" s="38">
        <v>265</v>
      </c>
      <c r="AM332" s="38">
        <v>387</v>
      </c>
      <c r="AN332" s="38">
        <v>220</v>
      </c>
      <c r="AO332" s="38">
        <v>284</v>
      </c>
      <c r="AP332" s="38">
        <v>309</v>
      </c>
      <c r="AQ332" s="39">
        <v>246</v>
      </c>
      <c r="AR332" s="40">
        <v>243</v>
      </c>
      <c r="AS332" s="40">
        <v>288</v>
      </c>
      <c r="AT332" s="40">
        <v>242</v>
      </c>
      <c r="AU332" s="40">
        <v>178</v>
      </c>
      <c r="AV332" s="40">
        <v>281</v>
      </c>
      <c r="AW332" s="40">
        <v>311</v>
      </c>
      <c r="AX332" s="40">
        <v>426</v>
      </c>
      <c r="AY332" s="40">
        <v>229</v>
      </c>
      <c r="AZ332" s="40">
        <v>230</v>
      </c>
      <c r="BA332" s="40">
        <v>273</v>
      </c>
      <c r="BB332" s="40">
        <v>344</v>
      </c>
      <c r="BC332" s="39">
        <v>263</v>
      </c>
      <c r="BD332" s="40">
        <v>359</v>
      </c>
      <c r="BE332" s="40">
        <v>272</v>
      </c>
      <c r="BF332" s="40">
        <v>266</v>
      </c>
      <c r="BG332" s="40">
        <v>276</v>
      </c>
      <c r="BH332" s="40">
        <v>230</v>
      </c>
      <c r="BI332" s="40">
        <v>290</v>
      </c>
      <c r="BJ332" s="40">
        <v>180</v>
      </c>
      <c r="BK332" s="40">
        <v>254</v>
      </c>
      <c r="BL332" s="40">
        <v>164</v>
      </c>
      <c r="BM332" s="40">
        <v>203</v>
      </c>
      <c r="BN332" s="40"/>
      <c r="BO332" s="39"/>
      <c r="BP332" s="21">
        <v>6</v>
      </c>
      <c r="BQ332" s="21">
        <v>3</v>
      </c>
      <c r="BR332" s="21">
        <v>10</v>
      </c>
      <c r="BS332" s="21">
        <v>6</v>
      </c>
      <c r="BT332" s="21">
        <v>3</v>
      </c>
      <c r="BU332" s="42">
        <v>7</v>
      </c>
      <c r="BV332" s="21">
        <v>6</v>
      </c>
      <c r="BW332" s="21">
        <v>11</v>
      </c>
      <c r="BX332" s="21">
        <v>7</v>
      </c>
      <c r="BY332" s="21">
        <v>5</v>
      </c>
      <c r="BZ332" s="21">
        <v>13</v>
      </c>
      <c r="CA332" s="21">
        <v>5</v>
      </c>
      <c r="CB332" s="21">
        <v>5</v>
      </c>
      <c r="CC332" s="21">
        <v>18</v>
      </c>
      <c r="CD332" s="21">
        <v>13</v>
      </c>
      <c r="CE332" s="21">
        <v>4</v>
      </c>
      <c r="CF332" s="21">
        <v>14</v>
      </c>
      <c r="CG332" s="42">
        <v>7</v>
      </c>
      <c r="CH332" s="21">
        <v>3</v>
      </c>
      <c r="CI332" s="21">
        <v>9</v>
      </c>
      <c r="CJ332" s="21">
        <v>6</v>
      </c>
      <c r="CK332" s="21">
        <v>15</v>
      </c>
      <c r="CL332" s="21">
        <v>8</v>
      </c>
      <c r="CM332" s="21">
        <v>7</v>
      </c>
      <c r="CN332" s="21">
        <v>8</v>
      </c>
      <c r="CO332" s="21">
        <v>8</v>
      </c>
      <c r="CP332" s="21">
        <f t="shared" si="593"/>
        <v>8</v>
      </c>
      <c r="CQ332" s="343">
        <f t="shared" si="594"/>
        <v>8</v>
      </c>
      <c r="CR332" s="40"/>
      <c r="CS332" s="39"/>
      <c r="CT332" s="38">
        <f t="shared" si="539"/>
        <v>271</v>
      </c>
      <c r="CU332" s="38">
        <f t="shared" si="540"/>
        <v>390</v>
      </c>
      <c r="CV332" s="38">
        <f t="shared" si="541"/>
        <v>230</v>
      </c>
      <c r="CW332" s="38">
        <f t="shared" si="542"/>
        <v>290</v>
      </c>
      <c r="CX332" s="38">
        <f t="shared" si="543"/>
        <v>312</v>
      </c>
      <c r="CY332" s="39">
        <f t="shared" si="544"/>
        <v>253</v>
      </c>
      <c r="CZ332" s="40">
        <f t="shared" si="545"/>
        <v>249</v>
      </c>
      <c r="DA332" s="40">
        <f t="shared" si="546"/>
        <v>299</v>
      </c>
      <c r="DB332" s="40">
        <f t="shared" si="547"/>
        <v>249</v>
      </c>
      <c r="DC332" s="40">
        <f t="shared" si="548"/>
        <v>183</v>
      </c>
      <c r="DD332" s="40">
        <f t="shared" si="549"/>
        <v>294</v>
      </c>
      <c r="DE332" s="40">
        <f t="shared" si="550"/>
        <v>316</v>
      </c>
      <c r="DF332" s="40">
        <f t="shared" si="551"/>
        <v>431</v>
      </c>
      <c r="DG332" s="40">
        <f t="shared" si="552"/>
        <v>247</v>
      </c>
      <c r="DH332" s="40">
        <f t="shared" si="553"/>
        <v>243</v>
      </c>
      <c r="DI332" s="40">
        <f t="shared" si="554"/>
        <v>277</v>
      </c>
      <c r="DJ332" s="40">
        <f t="shared" si="555"/>
        <v>358</v>
      </c>
      <c r="DK332" s="39">
        <f t="shared" si="556"/>
        <v>270</v>
      </c>
      <c r="DL332" s="40">
        <f t="shared" si="557"/>
        <v>362</v>
      </c>
      <c r="DM332" s="40">
        <f t="shared" si="558"/>
        <v>281</v>
      </c>
      <c r="DN332" s="40">
        <f t="shared" si="559"/>
        <v>272</v>
      </c>
      <c r="DO332" s="40">
        <f t="shared" si="560"/>
        <v>291</v>
      </c>
      <c r="DP332" s="40">
        <f t="shared" si="561"/>
        <v>238</v>
      </c>
      <c r="DQ332" s="40">
        <f t="shared" si="562"/>
        <v>297</v>
      </c>
      <c r="DR332" s="87">
        <f t="shared" si="533"/>
        <v>188</v>
      </c>
      <c r="DS332" s="40">
        <f t="shared" si="534"/>
        <v>262</v>
      </c>
      <c r="DT332" s="40">
        <f t="shared" si="563"/>
        <v>172</v>
      </c>
      <c r="DU332" s="40">
        <f t="shared" si="564"/>
        <v>211</v>
      </c>
      <c r="DV332" s="40">
        <f t="shared" si="565"/>
        <v>0</v>
      </c>
      <c r="DW332" s="40">
        <f t="shared" si="566"/>
        <v>0</v>
      </c>
    </row>
    <row r="333" spans="1:127">
      <c r="A333" s="22" t="s">
        <v>133</v>
      </c>
      <c r="B333" s="26">
        <v>4987176169938</v>
      </c>
      <c r="C333" s="22" t="s">
        <v>133</v>
      </c>
      <c r="D333" s="22" t="s">
        <v>28</v>
      </c>
      <c r="E333" s="22">
        <v>184428</v>
      </c>
      <c r="F333" s="80" t="s">
        <v>424</v>
      </c>
      <c r="G333" s="25">
        <v>438.85849999999999</v>
      </c>
      <c r="H333" s="38">
        <f t="shared" si="567"/>
        <v>179931.98499999999</v>
      </c>
      <c r="I333" s="38">
        <f t="shared" si="568"/>
        <v>251904.77900000001</v>
      </c>
      <c r="J333" s="38">
        <f t="shared" si="569"/>
        <v>167643.94699999999</v>
      </c>
      <c r="K333" s="38">
        <f t="shared" si="570"/>
        <v>165010.796</v>
      </c>
      <c r="L333" s="38">
        <f t="shared" si="571"/>
        <v>191342.30599999998</v>
      </c>
      <c r="M333" s="39">
        <f t="shared" si="572"/>
        <v>191781.16449999998</v>
      </c>
      <c r="N333" s="40">
        <f t="shared" si="573"/>
        <v>219429.25</v>
      </c>
      <c r="O333" s="40">
        <f t="shared" si="574"/>
        <v>190025.73050000001</v>
      </c>
      <c r="P333" s="40">
        <f t="shared" si="575"/>
        <v>134729.5595</v>
      </c>
      <c r="Q333" s="40">
        <f t="shared" si="576"/>
        <v>151845.041</v>
      </c>
      <c r="R333" s="40">
        <f t="shared" si="577"/>
        <v>143945.58799999999</v>
      </c>
      <c r="S333" s="40">
        <f t="shared" si="578"/>
        <v>129463.25749999999</v>
      </c>
      <c r="T333" s="40">
        <f t="shared" si="579"/>
        <v>66706.491999999998</v>
      </c>
      <c r="U333" s="40">
        <f t="shared" si="580"/>
        <v>29403.519499999999</v>
      </c>
      <c r="V333" s="40">
        <f t="shared" si="581"/>
        <v>24576.076000000001</v>
      </c>
      <c r="W333" s="40">
        <f t="shared" si="582"/>
        <v>12288.038</v>
      </c>
      <c r="X333" s="40">
        <f t="shared" si="583"/>
        <v>10971.4625</v>
      </c>
      <c r="Y333" s="39">
        <f t="shared" si="584"/>
        <v>5266.3019999999997</v>
      </c>
      <c r="Z333" s="40">
        <f t="shared" si="585"/>
        <v>4388.585</v>
      </c>
      <c r="AA333" s="40">
        <f t="shared" si="586"/>
        <v>877.71699999999998</v>
      </c>
      <c r="AB333" s="40">
        <f t="shared" si="587"/>
        <v>438.85849999999999</v>
      </c>
      <c r="AC333" s="40">
        <f t="shared" si="588"/>
        <v>0</v>
      </c>
      <c r="AD333" s="40">
        <f t="shared" si="589"/>
        <v>0</v>
      </c>
      <c r="AE333" s="40">
        <f t="shared" si="590"/>
        <v>0</v>
      </c>
      <c r="AF333" s="40">
        <f t="shared" si="591"/>
        <v>438.85849999999999</v>
      </c>
      <c r="AG333" s="40">
        <f t="shared" si="592"/>
        <v>438.85849999999999</v>
      </c>
      <c r="AH333" s="40">
        <f t="shared" si="535"/>
        <v>0</v>
      </c>
      <c r="AI333" s="40">
        <f t="shared" si="536"/>
        <v>0</v>
      </c>
      <c r="AJ333" s="40">
        <f t="shared" si="537"/>
        <v>0</v>
      </c>
      <c r="AK333" s="39">
        <f t="shared" si="538"/>
        <v>0</v>
      </c>
      <c r="AL333" s="38">
        <v>406</v>
      </c>
      <c r="AM333" s="38">
        <v>570</v>
      </c>
      <c r="AN333" s="38">
        <v>370</v>
      </c>
      <c r="AO333" s="38">
        <v>371</v>
      </c>
      <c r="AP333" s="38">
        <v>432</v>
      </c>
      <c r="AQ333" s="39">
        <v>430</v>
      </c>
      <c r="AR333" s="40">
        <v>469</v>
      </c>
      <c r="AS333" s="40">
        <v>431</v>
      </c>
      <c r="AT333" s="40">
        <v>300</v>
      </c>
      <c r="AU333" s="40">
        <v>342</v>
      </c>
      <c r="AV333" s="40">
        <v>312</v>
      </c>
      <c r="AW333" s="40">
        <v>295</v>
      </c>
      <c r="AX333" s="40">
        <v>152</v>
      </c>
      <c r="AY333" s="40">
        <v>67</v>
      </c>
      <c r="AZ333" s="40">
        <v>56</v>
      </c>
      <c r="BA333" s="40">
        <v>28</v>
      </c>
      <c r="BB333" s="40">
        <v>25</v>
      </c>
      <c r="BC333" s="39">
        <v>12</v>
      </c>
      <c r="BD333" s="40">
        <v>10</v>
      </c>
      <c r="BE333" s="40">
        <v>2</v>
      </c>
      <c r="BF333" s="40">
        <v>1</v>
      </c>
      <c r="BG333" s="40">
        <v>0</v>
      </c>
      <c r="BH333" s="40">
        <v>0</v>
      </c>
      <c r="BI333" s="40">
        <v>0</v>
      </c>
      <c r="BJ333" s="40">
        <v>1</v>
      </c>
      <c r="BK333" s="40">
        <v>1</v>
      </c>
      <c r="BL333" s="40">
        <v>0</v>
      </c>
      <c r="BM333" s="40">
        <v>0</v>
      </c>
      <c r="BN333" s="40"/>
      <c r="BO333" s="39"/>
      <c r="BP333" s="21">
        <v>4</v>
      </c>
      <c r="BQ333" s="21">
        <v>4</v>
      </c>
      <c r="BR333" s="21">
        <v>12</v>
      </c>
      <c r="BS333" s="21">
        <v>5</v>
      </c>
      <c r="BT333" s="21">
        <v>4</v>
      </c>
      <c r="BU333" s="42">
        <v>7</v>
      </c>
      <c r="BV333" s="21">
        <v>31</v>
      </c>
      <c r="BW333" s="21">
        <v>2</v>
      </c>
      <c r="BX333" s="21">
        <v>7</v>
      </c>
      <c r="BY333" s="21">
        <v>4</v>
      </c>
      <c r="BZ333" s="21">
        <v>16</v>
      </c>
      <c r="CA333" s="21">
        <v>0</v>
      </c>
      <c r="CB333" s="21">
        <v>0</v>
      </c>
      <c r="CC333" s="21">
        <v>0</v>
      </c>
      <c r="CD333" s="21">
        <v>0</v>
      </c>
      <c r="CE333" s="21">
        <v>0</v>
      </c>
      <c r="CF333" s="21">
        <v>0</v>
      </c>
      <c r="CG333" s="42">
        <v>0</v>
      </c>
      <c r="CH333" s="21">
        <v>0</v>
      </c>
      <c r="CI333" s="21">
        <v>0</v>
      </c>
      <c r="CJ333" s="21">
        <v>0</v>
      </c>
      <c r="CK333" s="21">
        <v>0</v>
      </c>
      <c r="CL333" s="21">
        <v>0</v>
      </c>
      <c r="CM333" s="21">
        <v>0</v>
      </c>
      <c r="CN333" s="21">
        <v>0</v>
      </c>
      <c r="CO333" s="21">
        <v>0</v>
      </c>
      <c r="CP333" s="21">
        <f t="shared" si="593"/>
        <v>0</v>
      </c>
      <c r="CQ333" s="343">
        <f t="shared" si="594"/>
        <v>0</v>
      </c>
      <c r="CR333" s="40"/>
      <c r="CS333" s="39"/>
      <c r="CT333" s="38">
        <f t="shared" si="539"/>
        <v>410</v>
      </c>
      <c r="CU333" s="38">
        <f t="shared" si="540"/>
        <v>574</v>
      </c>
      <c r="CV333" s="38">
        <f t="shared" si="541"/>
        <v>382</v>
      </c>
      <c r="CW333" s="38">
        <f t="shared" si="542"/>
        <v>376</v>
      </c>
      <c r="CX333" s="38">
        <f t="shared" si="543"/>
        <v>436</v>
      </c>
      <c r="CY333" s="39">
        <f t="shared" si="544"/>
        <v>437</v>
      </c>
      <c r="CZ333" s="40">
        <f t="shared" si="545"/>
        <v>500</v>
      </c>
      <c r="DA333" s="40">
        <f t="shared" si="546"/>
        <v>433</v>
      </c>
      <c r="DB333" s="40">
        <f t="shared" si="547"/>
        <v>307</v>
      </c>
      <c r="DC333" s="40">
        <f t="shared" si="548"/>
        <v>346</v>
      </c>
      <c r="DD333" s="40">
        <f t="shared" si="549"/>
        <v>328</v>
      </c>
      <c r="DE333" s="40">
        <f t="shared" si="550"/>
        <v>295</v>
      </c>
      <c r="DF333" s="40">
        <f t="shared" si="551"/>
        <v>152</v>
      </c>
      <c r="DG333" s="40">
        <f t="shared" si="552"/>
        <v>67</v>
      </c>
      <c r="DH333" s="40">
        <f t="shared" si="553"/>
        <v>56</v>
      </c>
      <c r="DI333" s="40">
        <f t="shared" si="554"/>
        <v>28</v>
      </c>
      <c r="DJ333" s="40">
        <f t="shared" si="555"/>
        <v>25</v>
      </c>
      <c r="DK333" s="39">
        <f t="shared" si="556"/>
        <v>12</v>
      </c>
      <c r="DL333" s="40">
        <f t="shared" si="557"/>
        <v>10</v>
      </c>
      <c r="DM333" s="40">
        <f t="shared" si="558"/>
        <v>2</v>
      </c>
      <c r="DN333" s="40">
        <f t="shared" si="559"/>
        <v>1</v>
      </c>
      <c r="DO333" s="40">
        <f t="shared" si="560"/>
        <v>0</v>
      </c>
      <c r="DP333" s="40">
        <f t="shared" si="561"/>
        <v>0</v>
      </c>
      <c r="DQ333" s="40">
        <f t="shared" si="562"/>
        <v>0</v>
      </c>
      <c r="DR333" s="87">
        <f t="shared" si="533"/>
        <v>1</v>
      </c>
      <c r="DS333" s="40">
        <f t="shared" si="534"/>
        <v>1</v>
      </c>
      <c r="DT333" s="40">
        <f t="shared" si="563"/>
        <v>0</v>
      </c>
      <c r="DU333" s="40">
        <f t="shared" si="564"/>
        <v>0</v>
      </c>
      <c r="DV333" s="40">
        <f t="shared" si="565"/>
        <v>0</v>
      </c>
      <c r="DW333" s="40">
        <f t="shared" si="566"/>
        <v>0</v>
      </c>
    </row>
    <row r="334" spans="1:127">
      <c r="A334" s="22" t="s">
        <v>133</v>
      </c>
      <c r="B334" s="26">
        <v>4987176169945</v>
      </c>
      <c r="C334" s="22" t="s">
        <v>133</v>
      </c>
      <c r="D334" s="22" t="s">
        <v>28</v>
      </c>
      <c r="E334" s="22">
        <v>183161</v>
      </c>
      <c r="F334" s="80" t="s">
        <v>425</v>
      </c>
      <c r="G334" s="25">
        <v>666.8</v>
      </c>
      <c r="H334" s="38">
        <f t="shared" si="567"/>
        <v>26005.199999999997</v>
      </c>
      <c r="I334" s="38">
        <f t="shared" si="568"/>
        <v>28672.399999999998</v>
      </c>
      <c r="J334" s="38">
        <f t="shared" si="569"/>
        <v>25338.399999999998</v>
      </c>
      <c r="K334" s="38">
        <f t="shared" si="570"/>
        <v>24671.599999999999</v>
      </c>
      <c r="L334" s="38">
        <f t="shared" si="571"/>
        <v>23338</v>
      </c>
      <c r="M334" s="39">
        <f t="shared" si="572"/>
        <v>24671.599999999999</v>
      </c>
      <c r="N334" s="40">
        <f t="shared" si="573"/>
        <v>18670.399999999998</v>
      </c>
      <c r="O334" s="40">
        <f t="shared" si="574"/>
        <v>23338</v>
      </c>
      <c r="P334" s="40">
        <f t="shared" si="575"/>
        <v>25338.399999999998</v>
      </c>
      <c r="Q334" s="40">
        <f t="shared" si="576"/>
        <v>21337.599999999999</v>
      </c>
      <c r="R334" s="40">
        <f t="shared" si="577"/>
        <v>32673.199999999997</v>
      </c>
      <c r="S334" s="40">
        <f t="shared" si="578"/>
        <v>14002.8</v>
      </c>
      <c r="T334" s="40">
        <f t="shared" si="579"/>
        <v>12669.199999999999</v>
      </c>
      <c r="U334" s="40">
        <f t="shared" si="580"/>
        <v>10668.8</v>
      </c>
      <c r="V334" s="40">
        <f t="shared" si="581"/>
        <v>4667.5999999999995</v>
      </c>
      <c r="W334" s="40">
        <f t="shared" si="582"/>
        <v>2667.2</v>
      </c>
      <c r="X334" s="40">
        <f t="shared" si="583"/>
        <v>3334</v>
      </c>
      <c r="Y334" s="39">
        <f t="shared" si="584"/>
        <v>2000.3999999999999</v>
      </c>
      <c r="Z334" s="40">
        <f t="shared" si="585"/>
        <v>1333.6</v>
      </c>
      <c r="AA334" s="40">
        <f t="shared" si="586"/>
        <v>2000.3999999999999</v>
      </c>
      <c r="AB334" s="40">
        <f t="shared" si="587"/>
        <v>666.8</v>
      </c>
      <c r="AC334" s="40">
        <f t="shared" si="588"/>
        <v>1333.6</v>
      </c>
      <c r="AD334" s="40">
        <f t="shared" si="589"/>
        <v>666.8</v>
      </c>
      <c r="AE334" s="40">
        <f t="shared" si="590"/>
        <v>0</v>
      </c>
      <c r="AF334" s="40">
        <f t="shared" si="591"/>
        <v>666.8</v>
      </c>
      <c r="AG334" s="40">
        <f t="shared" si="592"/>
        <v>1333.6</v>
      </c>
      <c r="AH334" s="40">
        <f t="shared" si="535"/>
        <v>666.8</v>
      </c>
      <c r="AI334" s="40">
        <f t="shared" si="536"/>
        <v>666.8</v>
      </c>
      <c r="AJ334" s="40">
        <f t="shared" si="537"/>
        <v>0</v>
      </c>
      <c r="AK334" s="39">
        <f t="shared" si="538"/>
        <v>0</v>
      </c>
      <c r="AL334" s="38">
        <v>21</v>
      </c>
      <c r="AM334" s="38">
        <v>38</v>
      </c>
      <c r="AN334" s="38">
        <v>22</v>
      </c>
      <c r="AO334" s="38">
        <v>24</v>
      </c>
      <c r="AP334" s="38">
        <v>20</v>
      </c>
      <c r="AQ334" s="39">
        <v>22</v>
      </c>
      <c r="AR334" s="40">
        <v>23</v>
      </c>
      <c r="AS334" s="40">
        <v>22</v>
      </c>
      <c r="AT334" s="40">
        <v>16</v>
      </c>
      <c r="AU334" s="40">
        <v>22</v>
      </c>
      <c r="AV334" s="40">
        <v>11</v>
      </c>
      <c r="AW334" s="40">
        <v>21</v>
      </c>
      <c r="AX334" s="40">
        <v>19</v>
      </c>
      <c r="AY334" s="40">
        <v>16</v>
      </c>
      <c r="AZ334" s="40">
        <v>7</v>
      </c>
      <c r="BA334" s="40">
        <v>4</v>
      </c>
      <c r="BB334" s="40">
        <v>5</v>
      </c>
      <c r="BC334" s="39">
        <v>3</v>
      </c>
      <c r="BD334" s="40">
        <v>2</v>
      </c>
      <c r="BE334" s="40">
        <v>3</v>
      </c>
      <c r="BF334" s="40">
        <v>1</v>
      </c>
      <c r="BG334" s="40">
        <v>2</v>
      </c>
      <c r="BH334" s="40">
        <v>1</v>
      </c>
      <c r="BI334" s="40">
        <v>0</v>
      </c>
      <c r="BJ334" s="40">
        <v>1</v>
      </c>
      <c r="BK334" s="40">
        <v>2</v>
      </c>
      <c r="BL334" s="40">
        <v>1</v>
      </c>
      <c r="BM334" s="40">
        <v>1</v>
      </c>
      <c r="BN334" s="40"/>
      <c r="BO334" s="39"/>
      <c r="BP334" s="21">
        <v>18</v>
      </c>
      <c r="BQ334" s="21">
        <v>5</v>
      </c>
      <c r="BR334" s="21">
        <v>16</v>
      </c>
      <c r="BS334" s="21">
        <v>13</v>
      </c>
      <c r="BT334" s="21">
        <v>15</v>
      </c>
      <c r="BU334" s="42">
        <v>15</v>
      </c>
      <c r="BV334" s="21">
        <v>5</v>
      </c>
      <c r="BW334" s="21">
        <v>13</v>
      </c>
      <c r="BX334" s="21">
        <v>22</v>
      </c>
      <c r="BY334" s="21">
        <v>10</v>
      </c>
      <c r="BZ334" s="21">
        <v>38</v>
      </c>
      <c r="CA334" s="21">
        <v>0</v>
      </c>
      <c r="CB334" s="21">
        <v>0</v>
      </c>
      <c r="CC334" s="21">
        <v>0</v>
      </c>
      <c r="CD334" s="21">
        <v>0</v>
      </c>
      <c r="CE334" s="21">
        <v>0</v>
      </c>
      <c r="CF334" s="21">
        <v>0</v>
      </c>
      <c r="CG334" s="42">
        <v>0</v>
      </c>
      <c r="CH334" s="21">
        <v>0</v>
      </c>
      <c r="CI334" s="21">
        <v>0</v>
      </c>
      <c r="CJ334" s="21">
        <v>0</v>
      </c>
      <c r="CK334" s="21">
        <v>0</v>
      </c>
      <c r="CL334" s="21">
        <v>0</v>
      </c>
      <c r="CM334" s="21">
        <v>0</v>
      </c>
      <c r="CN334" s="21">
        <v>0</v>
      </c>
      <c r="CO334" s="21">
        <v>0</v>
      </c>
      <c r="CP334" s="21">
        <f t="shared" si="593"/>
        <v>0</v>
      </c>
      <c r="CQ334" s="343">
        <f t="shared" si="594"/>
        <v>0</v>
      </c>
      <c r="CR334" s="40"/>
      <c r="CS334" s="39"/>
      <c r="CT334" s="38">
        <f t="shared" si="539"/>
        <v>39</v>
      </c>
      <c r="CU334" s="38">
        <f t="shared" si="540"/>
        <v>43</v>
      </c>
      <c r="CV334" s="38">
        <f t="shared" si="541"/>
        <v>38</v>
      </c>
      <c r="CW334" s="38">
        <f t="shared" si="542"/>
        <v>37</v>
      </c>
      <c r="CX334" s="38">
        <f t="shared" si="543"/>
        <v>35</v>
      </c>
      <c r="CY334" s="39">
        <f t="shared" si="544"/>
        <v>37</v>
      </c>
      <c r="CZ334" s="40">
        <f t="shared" si="545"/>
        <v>28</v>
      </c>
      <c r="DA334" s="40">
        <f t="shared" si="546"/>
        <v>35</v>
      </c>
      <c r="DB334" s="40">
        <f t="shared" si="547"/>
        <v>38</v>
      </c>
      <c r="DC334" s="40">
        <f t="shared" si="548"/>
        <v>32</v>
      </c>
      <c r="DD334" s="40">
        <f t="shared" si="549"/>
        <v>49</v>
      </c>
      <c r="DE334" s="40">
        <f t="shared" si="550"/>
        <v>21</v>
      </c>
      <c r="DF334" s="40">
        <f t="shared" si="551"/>
        <v>19</v>
      </c>
      <c r="DG334" s="40">
        <f t="shared" si="552"/>
        <v>16</v>
      </c>
      <c r="DH334" s="40">
        <f t="shared" si="553"/>
        <v>7</v>
      </c>
      <c r="DI334" s="40">
        <f t="shared" si="554"/>
        <v>4</v>
      </c>
      <c r="DJ334" s="40">
        <f t="shared" si="555"/>
        <v>5</v>
      </c>
      <c r="DK334" s="39">
        <f t="shared" si="556"/>
        <v>3</v>
      </c>
      <c r="DL334" s="40">
        <f t="shared" si="557"/>
        <v>2</v>
      </c>
      <c r="DM334" s="40">
        <f t="shared" si="558"/>
        <v>3</v>
      </c>
      <c r="DN334" s="40">
        <f t="shared" si="559"/>
        <v>1</v>
      </c>
      <c r="DO334" s="40">
        <f t="shared" si="560"/>
        <v>2</v>
      </c>
      <c r="DP334" s="40">
        <f t="shared" si="561"/>
        <v>1</v>
      </c>
      <c r="DQ334" s="40">
        <f t="shared" si="562"/>
        <v>0</v>
      </c>
      <c r="DR334" s="87">
        <f t="shared" si="533"/>
        <v>1</v>
      </c>
      <c r="DS334" s="40">
        <f t="shared" si="534"/>
        <v>2</v>
      </c>
      <c r="DT334" s="40">
        <f t="shared" si="563"/>
        <v>1</v>
      </c>
      <c r="DU334" s="40">
        <f t="shared" si="564"/>
        <v>1</v>
      </c>
      <c r="DV334" s="40">
        <f t="shared" si="565"/>
        <v>0</v>
      </c>
      <c r="DW334" s="40">
        <f t="shared" si="566"/>
        <v>0</v>
      </c>
    </row>
    <row r="335" spans="1:127">
      <c r="A335" s="22" t="s">
        <v>133</v>
      </c>
      <c r="B335" s="26">
        <v>7702018495788</v>
      </c>
      <c r="C335" s="22" t="s">
        <v>133</v>
      </c>
      <c r="D335" s="22" t="s">
        <v>29</v>
      </c>
      <c r="E335" s="22">
        <v>301604</v>
      </c>
      <c r="F335" s="80" t="s">
        <v>426</v>
      </c>
      <c r="G335" s="25">
        <v>418.4</v>
      </c>
      <c r="H335" s="38">
        <f t="shared" si="567"/>
        <v>23848.799999999999</v>
      </c>
      <c r="I335" s="38">
        <f t="shared" si="568"/>
        <v>37237.599999999999</v>
      </c>
      <c r="J335" s="38">
        <f t="shared" si="569"/>
        <v>27614.399999999998</v>
      </c>
      <c r="K335" s="38">
        <f t="shared" si="570"/>
        <v>29706.399999999998</v>
      </c>
      <c r="L335" s="38">
        <f t="shared" si="571"/>
        <v>38911.199999999997</v>
      </c>
      <c r="M335" s="39">
        <f t="shared" si="572"/>
        <v>31380</v>
      </c>
      <c r="N335" s="40">
        <f t="shared" si="573"/>
        <v>22175.199999999997</v>
      </c>
      <c r="O335" s="40">
        <f t="shared" si="574"/>
        <v>29706.399999999998</v>
      </c>
      <c r="P335" s="40">
        <f t="shared" si="575"/>
        <v>30961.599999999999</v>
      </c>
      <c r="Q335" s="40">
        <f t="shared" si="576"/>
        <v>19664.8</v>
      </c>
      <c r="R335" s="40">
        <f t="shared" si="577"/>
        <v>26777.599999999999</v>
      </c>
      <c r="S335" s="40">
        <f t="shared" si="578"/>
        <v>22593.599999999999</v>
      </c>
      <c r="T335" s="40">
        <f t="shared" si="579"/>
        <v>22593.599999999999</v>
      </c>
      <c r="U335" s="40">
        <f t="shared" si="580"/>
        <v>20920</v>
      </c>
      <c r="V335" s="40">
        <f t="shared" si="581"/>
        <v>13807.199999999999</v>
      </c>
      <c r="W335" s="40">
        <f t="shared" si="582"/>
        <v>12552</v>
      </c>
      <c r="X335" s="40">
        <f t="shared" si="583"/>
        <v>12133.599999999999</v>
      </c>
      <c r="Y335" s="39">
        <f t="shared" si="584"/>
        <v>10041.599999999999</v>
      </c>
      <c r="Z335" s="40">
        <f t="shared" si="585"/>
        <v>10460</v>
      </c>
      <c r="AA335" s="40">
        <f t="shared" si="586"/>
        <v>4184</v>
      </c>
      <c r="AB335" s="40">
        <f t="shared" si="587"/>
        <v>5857.5999999999995</v>
      </c>
      <c r="AC335" s="40">
        <f t="shared" si="588"/>
        <v>7112.7999999999993</v>
      </c>
      <c r="AD335" s="40">
        <f t="shared" si="589"/>
        <v>6276</v>
      </c>
      <c r="AE335" s="40">
        <f t="shared" si="590"/>
        <v>7531.2</v>
      </c>
      <c r="AF335" s="40">
        <f t="shared" si="591"/>
        <v>5020.7999999999993</v>
      </c>
      <c r="AG335" s="40">
        <f t="shared" si="592"/>
        <v>5439.2</v>
      </c>
      <c r="AH335" s="40">
        <f t="shared" si="535"/>
        <v>4602.3999999999996</v>
      </c>
      <c r="AI335" s="40">
        <f t="shared" si="536"/>
        <v>4184</v>
      </c>
      <c r="AJ335" s="40">
        <f t="shared" si="537"/>
        <v>0</v>
      </c>
      <c r="AK335" s="39">
        <f t="shared" si="538"/>
        <v>0</v>
      </c>
      <c r="AL335" s="38">
        <v>48</v>
      </c>
      <c r="AM335" s="38">
        <v>83</v>
      </c>
      <c r="AN335" s="38">
        <v>58</v>
      </c>
      <c r="AO335" s="38">
        <v>61</v>
      </c>
      <c r="AP335" s="38">
        <v>89</v>
      </c>
      <c r="AQ335" s="39">
        <v>68</v>
      </c>
      <c r="AR335" s="40">
        <v>48</v>
      </c>
      <c r="AS335" s="40">
        <v>68</v>
      </c>
      <c r="AT335" s="40">
        <v>63</v>
      </c>
      <c r="AU335" s="40">
        <v>39</v>
      </c>
      <c r="AV335" s="40">
        <v>51</v>
      </c>
      <c r="AW335" s="40">
        <v>51</v>
      </c>
      <c r="AX335" s="40">
        <v>48</v>
      </c>
      <c r="AY335" s="40">
        <v>49</v>
      </c>
      <c r="AZ335" s="40">
        <v>33</v>
      </c>
      <c r="BA335" s="40">
        <v>30</v>
      </c>
      <c r="BB335" s="40">
        <v>29</v>
      </c>
      <c r="BC335" s="39">
        <v>24</v>
      </c>
      <c r="BD335" s="40">
        <v>25</v>
      </c>
      <c r="BE335" s="40">
        <v>10</v>
      </c>
      <c r="BF335" s="40">
        <v>14</v>
      </c>
      <c r="BG335" s="40">
        <v>17</v>
      </c>
      <c r="BH335" s="40">
        <v>15</v>
      </c>
      <c r="BI335" s="40">
        <v>18</v>
      </c>
      <c r="BJ335" s="40">
        <v>12</v>
      </c>
      <c r="BK335" s="40">
        <v>13</v>
      </c>
      <c r="BL335" s="40">
        <v>11</v>
      </c>
      <c r="BM335" s="40">
        <v>10</v>
      </c>
      <c r="BN335" s="40"/>
      <c r="BO335" s="39"/>
      <c r="BP335" s="21">
        <v>9</v>
      </c>
      <c r="BQ335" s="21">
        <v>6</v>
      </c>
      <c r="BR335" s="21">
        <v>8</v>
      </c>
      <c r="BS335" s="21">
        <v>10</v>
      </c>
      <c r="BT335" s="21">
        <v>4</v>
      </c>
      <c r="BU335" s="42">
        <v>7</v>
      </c>
      <c r="BV335" s="21">
        <v>5</v>
      </c>
      <c r="BW335" s="21">
        <v>3</v>
      </c>
      <c r="BX335" s="21">
        <v>11</v>
      </c>
      <c r="BY335" s="21">
        <v>8</v>
      </c>
      <c r="BZ335" s="21">
        <v>13</v>
      </c>
      <c r="CA335" s="21">
        <v>3</v>
      </c>
      <c r="CB335" s="21">
        <v>6</v>
      </c>
      <c r="CC335" s="21">
        <v>1</v>
      </c>
      <c r="CD335" s="21">
        <v>0</v>
      </c>
      <c r="CE335" s="21">
        <v>0</v>
      </c>
      <c r="CF335" s="21">
        <v>0</v>
      </c>
      <c r="CG335" s="42">
        <v>0</v>
      </c>
      <c r="CH335" s="21">
        <v>0</v>
      </c>
      <c r="CI335" s="21">
        <v>0</v>
      </c>
      <c r="CJ335" s="21">
        <v>0</v>
      </c>
      <c r="CK335" s="21">
        <v>0</v>
      </c>
      <c r="CL335" s="21">
        <v>0</v>
      </c>
      <c r="CM335" s="21">
        <v>0</v>
      </c>
      <c r="CN335" s="21">
        <v>0</v>
      </c>
      <c r="CO335" s="21">
        <v>0</v>
      </c>
      <c r="CP335" s="21">
        <f t="shared" si="593"/>
        <v>0</v>
      </c>
      <c r="CQ335" s="343">
        <f t="shared" si="594"/>
        <v>0</v>
      </c>
      <c r="CR335" s="40"/>
      <c r="CS335" s="39"/>
      <c r="CT335" s="38">
        <f t="shared" si="539"/>
        <v>57</v>
      </c>
      <c r="CU335" s="38">
        <f t="shared" si="540"/>
        <v>89</v>
      </c>
      <c r="CV335" s="38">
        <f t="shared" si="541"/>
        <v>66</v>
      </c>
      <c r="CW335" s="38">
        <f t="shared" si="542"/>
        <v>71</v>
      </c>
      <c r="CX335" s="38">
        <f t="shared" si="543"/>
        <v>93</v>
      </c>
      <c r="CY335" s="39">
        <f t="shared" si="544"/>
        <v>75</v>
      </c>
      <c r="CZ335" s="40">
        <f t="shared" si="545"/>
        <v>53</v>
      </c>
      <c r="DA335" s="40">
        <f t="shared" si="546"/>
        <v>71</v>
      </c>
      <c r="DB335" s="40">
        <f t="shared" si="547"/>
        <v>74</v>
      </c>
      <c r="DC335" s="40">
        <f t="shared" si="548"/>
        <v>47</v>
      </c>
      <c r="DD335" s="40">
        <f t="shared" si="549"/>
        <v>64</v>
      </c>
      <c r="DE335" s="40">
        <f t="shared" si="550"/>
        <v>54</v>
      </c>
      <c r="DF335" s="40">
        <f t="shared" si="551"/>
        <v>54</v>
      </c>
      <c r="DG335" s="40">
        <f t="shared" si="552"/>
        <v>50</v>
      </c>
      <c r="DH335" s="40">
        <f t="shared" si="553"/>
        <v>33</v>
      </c>
      <c r="DI335" s="40">
        <f t="shared" si="554"/>
        <v>30</v>
      </c>
      <c r="DJ335" s="40">
        <f t="shared" si="555"/>
        <v>29</v>
      </c>
      <c r="DK335" s="39">
        <f t="shared" si="556"/>
        <v>24</v>
      </c>
      <c r="DL335" s="40">
        <f t="shared" si="557"/>
        <v>25</v>
      </c>
      <c r="DM335" s="40">
        <f t="shared" si="558"/>
        <v>10</v>
      </c>
      <c r="DN335" s="40">
        <f t="shared" si="559"/>
        <v>14</v>
      </c>
      <c r="DO335" s="40">
        <f t="shared" si="560"/>
        <v>17</v>
      </c>
      <c r="DP335" s="40">
        <f t="shared" si="561"/>
        <v>15</v>
      </c>
      <c r="DQ335" s="40">
        <f t="shared" si="562"/>
        <v>18</v>
      </c>
      <c r="DR335" s="87">
        <f t="shared" si="533"/>
        <v>12</v>
      </c>
      <c r="DS335" s="40">
        <f t="shared" si="534"/>
        <v>13</v>
      </c>
      <c r="DT335" s="40">
        <f t="shared" si="563"/>
        <v>11</v>
      </c>
      <c r="DU335" s="40">
        <f t="shared" si="564"/>
        <v>10</v>
      </c>
      <c r="DV335" s="40">
        <f t="shared" si="565"/>
        <v>0</v>
      </c>
      <c r="DW335" s="40">
        <f t="shared" si="566"/>
        <v>0</v>
      </c>
    </row>
    <row r="336" spans="1:127">
      <c r="A336" s="22" t="s">
        <v>133</v>
      </c>
      <c r="B336" s="26">
        <v>4987176156716</v>
      </c>
      <c r="C336" s="22" t="s">
        <v>133</v>
      </c>
      <c r="D336" s="22" t="s">
        <v>29</v>
      </c>
      <c r="E336" s="22">
        <v>183219</v>
      </c>
      <c r="F336" s="80" t="s">
        <v>427</v>
      </c>
      <c r="G336" s="25">
        <v>229.70000000000002</v>
      </c>
      <c r="H336" s="38">
        <f t="shared" si="567"/>
        <v>11025.6</v>
      </c>
      <c r="I336" s="38">
        <f t="shared" si="568"/>
        <v>16538.400000000001</v>
      </c>
      <c r="J336" s="38">
        <f t="shared" si="569"/>
        <v>11714.7</v>
      </c>
      <c r="K336" s="38">
        <f t="shared" si="570"/>
        <v>14241.400000000001</v>
      </c>
      <c r="L336" s="38">
        <f t="shared" si="571"/>
        <v>12633.500000000002</v>
      </c>
      <c r="M336" s="39">
        <f t="shared" si="572"/>
        <v>14471.1</v>
      </c>
      <c r="N336" s="40">
        <f t="shared" si="573"/>
        <v>12174.1</v>
      </c>
      <c r="O336" s="40">
        <f t="shared" si="574"/>
        <v>14700.800000000001</v>
      </c>
      <c r="P336" s="40">
        <f t="shared" si="575"/>
        <v>14241.400000000001</v>
      </c>
      <c r="Q336" s="40">
        <f t="shared" si="576"/>
        <v>12174.1</v>
      </c>
      <c r="R336" s="40">
        <f t="shared" si="577"/>
        <v>13092.900000000001</v>
      </c>
      <c r="S336" s="40">
        <f t="shared" si="578"/>
        <v>13782.000000000002</v>
      </c>
      <c r="T336" s="40">
        <f t="shared" si="579"/>
        <v>14471.1</v>
      </c>
      <c r="U336" s="40">
        <f t="shared" si="580"/>
        <v>14241.400000000001</v>
      </c>
      <c r="V336" s="40">
        <f t="shared" si="581"/>
        <v>7809.8</v>
      </c>
      <c r="W336" s="40">
        <f t="shared" si="582"/>
        <v>8039.5000000000009</v>
      </c>
      <c r="X336" s="40">
        <f t="shared" si="583"/>
        <v>13552.300000000001</v>
      </c>
      <c r="Y336" s="39">
        <f t="shared" si="584"/>
        <v>10566.2</v>
      </c>
      <c r="Z336" s="40">
        <f t="shared" si="585"/>
        <v>10566.2</v>
      </c>
      <c r="AA336" s="40">
        <f t="shared" si="586"/>
        <v>9647.4000000000015</v>
      </c>
      <c r="AB336" s="40">
        <f t="shared" si="587"/>
        <v>10566.2</v>
      </c>
      <c r="AC336" s="40">
        <f t="shared" si="588"/>
        <v>13552.300000000001</v>
      </c>
      <c r="AD336" s="40">
        <f t="shared" si="589"/>
        <v>11485</v>
      </c>
      <c r="AE336" s="40">
        <f t="shared" si="590"/>
        <v>9417.7000000000007</v>
      </c>
      <c r="AF336" s="40">
        <f t="shared" si="591"/>
        <v>11255.300000000001</v>
      </c>
      <c r="AG336" s="40">
        <f t="shared" si="592"/>
        <v>14471.1</v>
      </c>
      <c r="AH336" s="40">
        <f t="shared" si="535"/>
        <v>9647.4000000000015</v>
      </c>
      <c r="AI336" s="40">
        <f t="shared" si="536"/>
        <v>11918.877777777778</v>
      </c>
      <c r="AJ336" s="40">
        <f t="shared" si="537"/>
        <v>0</v>
      </c>
      <c r="AK336" s="39">
        <f t="shared" si="538"/>
        <v>0</v>
      </c>
      <c r="AL336" s="38">
        <v>48</v>
      </c>
      <c r="AM336" s="38">
        <v>71</v>
      </c>
      <c r="AN336" s="38">
        <v>48</v>
      </c>
      <c r="AO336" s="38">
        <v>60</v>
      </c>
      <c r="AP336" s="38">
        <v>55</v>
      </c>
      <c r="AQ336" s="39">
        <v>59</v>
      </c>
      <c r="AR336" s="40">
        <v>52</v>
      </c>
      <c r="AS336" s="40">
        <v>62</v>
      </c>
      <c r="AT336" s="40">
        <v>61</v>
      </c>
      <c r="AU336" s="40">
        <v>53</v>
      </c>
      <c r="AV336" s="40">
        <v>56</v>
      </c>
      <c r="AW336" s="40">
        <v>58</v>
      </c>
      <c r="AX336" s="40">
        <v>57</v>
      </c>
      <c r="AY336" s="40">
        <v>58</v>
      </c>
      <c r="AZ336" s="40">
        <v>32</v>
      </c>
      <c r="BA336" s="40">
        <v>33</v>
      </c>
      <c r="BB336" s="40">
        <v>47</v>
      </c>
      <c r="BC336" s="39">
        <v>42</v>
      </c>
      <c r="BD336" s="40">
        <v>44</v>
      </c>
      <c r="BE336" s="40">
        <v>41</v>
      </c>
      <c r="BF336" s="40">
        <v>44</v>
      </c>
      <c r="BG336" s="40">
        <v>55</v>
      </c>
      <c r="BH336" s="40">
        <v>45</v>
      </c>
      <c r="BI336" s="40">
        <v>40</v>
      </c>
      <c r="BJ336" s="40">
        <v>42</v>
      </c>
      <c r="BK336" s="40">
        <v>61</v>
      </c>
      <c r="BL336" s="40">
        <v>40</v>
      </c>
      <c r="BM336" s="40">
        <v>49</v>
      </c>
      <c r="BN336" s="40"/>
      <c r="BO336" s="39"/>
      <c r="BP336" s="21">
        <v>0</v>
      </c>
      <c r="BQ336" s="21">
        <v>1</v>
      </c>
      <c r="BR336" s="21">
        <v>3</v>
      </c>
      <c r="BS336" s="21">
        <v>2</v>
      </c>
      <c r="BT336" s="21">
        <v>0</v>
      </c>
      <c r="BU336" s="42">
        <v>4</v>
      </c>
      <c r="BV336" s="21">
        <v>1</v>
      </c>
      <c r="BW336" s="21">
        <v>2</v>
      </c>
      <c r="BX336" s="21">
        <v>1</v>
      </c>
      <c r="BY336" s="21">
        <v>0</v>
      </c>
      <c r="BZ336" s="21">
        <v>1</v>
      </c>
      <c r="CA336" s="21">
        <v>2</v>
      </c>
      <c r="CB336" s="21">
        <v>6</v>
      </c>
      <c r="CC336" s="21">
        <v>4</v>
      </c>
      <c r="CD336" s="21">
        <v>2</v>
      </c>
      <c r="CE336" s="21">
        <v>2</v>
      </c>
      <c r="CF336" s="21">
        <v>12</v>
      </c>
      <c r="CG336" s="42">
        <v>4</v>
      </c>
      <c r="CH336" s="21">
        <v>2</v>
      </c>
      <c r="CI336" s="21">
        <v>1</v>
      </c>
      <c r="CJ336" s="21">
        <v>2</v>
      </c>
      <c r="CK336" s="21">
        <v>4</v>
      </c>
      <c r="CL336" s="21">
        <v>5</v>
      </c>
      <c r="CM336" s="21">
        <v>1</v>
      </c>
      <c r="CN336" s="21">
        <v>7</v>
      </c>
      <c r="CO336" s="21">
        <v>2</v>
      </c>
      <c r="CP336" s="21">
        <f t="shared" si="593"/>
        <v>2</v>
      </c>
      <c r="CQ336" s="343">
        <f t="shared" si="594"/>
        <v>2.8888888888888888</v>
      </c>
      <c r="CR336" s="40"/>
      <c r="CS336" s="39"/>
      <c r="CT336" s="38">
        <f t="shared" si="539"/>
        <v>48</v>
      </c>
      <c r="CU336" s="38">
        <f t="shared" si="540"/>
        <v>72</v>
      </c>
      <c r="CV336" s="38">
        <f t="shared" si="541"/>
        <v>51</v>
      </c>
      <c r="CW336" s="38">
        <f t="shared" si="542"/>
        <v>62</v>
      </c>
      <c r="CX336" s="38">
        <f t="shared" si="543"/>
        <v>55</v>
      </c>
      <c r="CY336" s="39">
        <f t="shared" si="544"/>
        <v>63</v>
      </c>
      <c r="CZ336" s="40">
        <f t="shared" si="545"/>
        <v>53</v>
      </c>
      <c r="DA336" s="40">
        <f t="shared" si="546"/>
        <v>64</v>
      </c>
      <c r="DB336" s="40">
        <f t="shared" si="547"/>
        <v>62</v>
      </c>
      <c r="DC336" s="40">
        <f t="shared" si="548"/>
        <v>53</v>
      </c>
      <c r="DD336" s="40">
        <f t="shared" si="549"/>
        <v>57</v>
      </c>
      <c r="DE336" s="40">
        <f t="shared" si="550"/>
        <v>60</v>
      </c>
      <c r="DF336" s="40">
        <f t="shared" si="551"/>
        <v>63</v>
      </c>
      <c r="DG336" s="40">
        <f t="shared" si="552"/>
        <v>62</v>
      </c>
      <c r="DH336" s="40">
        <f t="shared" si="553"/>
        <v>34</v>
      </c>
      <c r="DI336" s="40">
        <f t="shared" si="554"/>
        <v>35</v>
      </c>
      <c r="DJ336" s="40">
        <f t="shared" si="555"/>
        <v>59</v>
      </c>
      <c r="DK336" s="39">
        <f t="shared" si="556"/>
        <v>46</v>
      </c>
      <c r="DL336" s="40">
        <f t="shared" si="557"/>
        <v>46</v>
      </c>
      <c r="DM336" s="40">
        <f t="shared" si="558"/>
        <v>42</v>
      </c>
      <c r="DN336" s="40">
        <f t="shared" si="559"/>
        <v>46</v>
      </c>
      <c r="DO336" s="40">
        <f t="shared" si="560"/>
        <v>59</v>
      </c>
      <c r="DP336" s="40">
        <f t="shared" si="561"/>
        <v>50</v>
      </c>
      <c r="DQ336" s="40">
        <f t="shared" si="562"/>
        <v>41</v>
      </c>
      <c r="DR336" s="87">
        <f t="shared" si="533"/>
        <v>49</v>
      </c>
      <c r="DS336" s="40">
        <f t="shared" si="534"/>
        <v>63</v>
      </c>
      <c r="DT336" s="40">
        <f t="shared" si="563"/>
        <v>42</v>
      </c>
      <c r="DU336" s="40">
        <f t="shared" si="564"/>
        <v>51.888888888888886</v>
      </c>
      <c r="DV336" s="40">
        <f t="shared" si="565"/>
        <v>0</v>
      </c>
      <c r="DW336" s="40">
        <f t="shared" si="566"/>
        <v>0</v>
      </c>
    </row>
    <row r="337" spans="1:127">
      <c r="A337" s="22" t="s">
        <v>133</v>
      </c>
      <c r="B337" s="26">
        <v>3014260274917</v>
      </c>
      <c r="C337" s="22" t="s">
        <v>133</v>
      </c>
      <c r="D337" s="22" t="s">
        <v>30</v>
      </c>
      <c r="E337" s="22">
        <v>216197</v>
      </c>
      <c r="F337" s="80" t="s">
        <v>428</v>
      </c>
      <c r="G337" s="25">
        <v>273.5</v>
      </c>
      <c r="H337" s="38">
        <f t="shared" si="567"/>
        <v>4923</v>
      </c>
      <c r="I337" s="38">
        <f t="shared" si="568"/>
        <v>3829</v>
      </c>
      <c r="J337" s="38">
        <f t="shared" si="569"/>
        <v>3282</v>
      </c>
      <c r="K337" s="38">
        <f t="shared" si="570"/>
        <v>3008.5</v>
      </c>
      <c r="L337" s="38">
        <f t="shared" si="571"/>
        <v>4102.5</v>
      </c>
      <c r="M337" s="39">
        <f t="shared" si="572"/>
        <v>2188</v>
      </c>
      <c r="N337" s="40">
        <f t="shared" si="573"/>
        <v>3555.5</v>
      </c>
      <c r="O337" s="40">
        <f t="shared" si="574"/>
        <v>2461.5</v>
      </c>
      <c r="P337" s="40">
        <f t="shared" si="575"/>
        <v>820.5</v>
      </c>
      <c r="Q337" s="40">
        <f t="shared" si="576"/>
        <v>1641</v>
      </c>
      <c r="R337" s="40">
        <f t="shared" si="577"/>
        <v>547</v>
      </c>
      <c r="S337" s="40">
        <f t="shared" si="578"/>
        <v>0</v>
      </c>
      <c r="T337" s="40">
        <f t="shared" si="579"/>
        <v>1914.5</v>
      </c>
      <c r="U337" s="40">
        <f t="shared" si="580"/>
        <v>547</v>
      </c>
      <c r="V337" s="40">
        <f t="shared" si="581"/>
        <v>820.5</v>
      </c>
      <c r="W337" s="40">
        <f t="shared" si="582"/>
        <v>273.5</v>
      </c>
      <c r="X337" s="40">
        <f t="shared" si="583"/>
        <v>547</v>
      </c>
      <c r="Y337" s="39">
        <f t="shared" si="584"/>
        <v>0</v>
      </c>
      <c r="Z337" s="40">
        <f t="shared" si="585"/>
        <v>0</v>
      </c>
      <c r="AA337" s="40">
        <f t="shared" si="586"/>
        <v>0</v>
      </c>
      <c r="AB337" s="40">
        <f t="shared" si="587"/>
        <v>547</v>
      </c>
      <c r="AC337" s="40">
        <f t="shared" si="588"/>
        <v>547</v>
      </c>
      <c r="AD337" s="40">
        <f t="shared" si="589"/>
        <v>0</v>
      </c>
      <c r="AE337" s="40">
        <f t="shared" si="590"/>
        <v>0</v>
      </c>
      <c r="AF337" s="40">
        <f t="shared" si="591"/>
        <v>0</v>
      </c>
      <c r="AG337" s="40">
        <f t="shared" si="592"/>
        <v>547</v>
      </c>
      <c r="AH337" s="40">
        <f t="shared" si="535"/>
        <v>0</v>
      </c>
      <c r="AI337" s="40">
        <f t="shared" si="536"/>
        <v>547</v>
      </c>
      <c r="AJ337" s="40">
        <f t="shared" si="537"/>
        <v>0</v>
      </c>
      <c r="AK337" s="39">
        <f t="shared" si="538"/>
        <v>0</v>
      </c>
      <c r="AL337" s="38">
        <v>18</v>
      </c>
      <c r="AM337" s="38">
        <v>14</v>
      </c>
      <c r="AN337" s="38">
        <v>12</v>
      </c>
      <c r="AO337" s="38">
        <v>11</v>
      </c>
      <c r="AP337" s="38">
        <v>15</v>
      </c>
      <c r="AQ337" s="39">
        <v>8</v>
      </c>
      <c r="AR337" s="40">
        <v>13</v>
      </c>
      <c r="AS337" s="40">
        <v>9</v>
      </c>
      <c r="AT337" s="40">
        <v>3</v>
      </c>
      <c r="AU337" s="40">
        <v>6</v>
      </c>
      <c r="AV337" s="40">
        <v>2</v>
      </c>
      <c r="AW337" s="40">
        <v>0</v>
      </c>
      <c r="AX337" s="40">
        <v>7</v>
      </c>
      <c r="AY337" s="40">
        <v>2</v>
      </c>
      <c r="AZ337" s="40">
        <v>3</v>
      </c>
      <c r="BA337" s="40">
        <v>1</v>
      </c>
      <c r="BB337" s="40">
        <v>2</v>
      </c>
      <c r="BC337" s="39">
        <v>0</v>
      </c>
      <c r="BD337" s="40">
        <v>0</v>
      </c>
      <c r="BE337" s="40">
        <v>0</v>
      </c>
      <c r="BF337" s="40">
        <v>2</v>
      </c>
      <c r="BG337" s="40">
        <v>2</v>
      </c>
      <c r="BH337" s="40">
        <v>0</v>
      </c>
      <c r="BI337" s="40">
        <v>0</v>
      </c>
      <c r="BJ337" s="40">
        <v>0</v>
      </c>
      <c r="BK337" s="40">
        <v>2</v>
      </c>
      <c r="BL337" s="40">
        <v>0</v>
      </c>
      <c r="BM337" s="40">
        <v>2</v>
      </c>
      <c r="BN337" s="40"/>
      <c r="BO337" s="39"/>
      <c r="BP337" s="21">
        <v>0</v>
      </c>
      <c r="BQ337" s="21">
        <v>0</v>
      </c>
      <c r="BR337" s="21">
        <v>0</v>
      </c>
      <c r="BS337" s="21">
        <v>0</v>
      </c>
      <c r="BT337" s="21">
        <v>0</v>
      </c>
      <c r="BU337" s="42">
        <v>0</v>
      </c>
      <c r="BV337" s="21">
        <v>0</v>
      </c>
      <c r="BW337" s="21">
        <v>0</v>
      </c>
      <c r="BX337" s="21">
        <v>0</v>
      </c>
      <c r="BY337" s="21">
        <v>0</v>
      </c>
      <c r="BZ337" s="21">
        <v>0</v>
      </c>
      <c r="CA337" s="21">
        <v>0</v>
      </c>
      <c r="CB337" s="21">
        <v>0</v>
      </c>
      <c r="CC337" s="21">
        <v>0</v>
      </c>
      <c r="CD337" s="21">
        <v>0</v>
      </c>
      <c r="CE337" s="21">
        <v>0</v>
      </c>
      <c r="CF337" s="21">
        <v>0</v>
      </c>
      <c r="CG337" s="42">
        <v>0</v>
      </c>
      <c r="CH337" s="21">
        <v>0</v>
      </c>
      <c r="CI337" s="21">
        <v>0</v>
      </c>
      <c r="CJ337" s="21">
        <v>0</v>
      </c>
      <c r="CK337" s="21">
        <v>0</v>
      </c>
      <c r="CL337" s="21">
        <v>0</v>
      </c>
      <c r="CM337" s="21">
        <v>0</v>
      </c>
      <c r="CN337" s="21">
        <v>0</v>
      </c>
      <c r="CO337" s="21">
        <v>0</v>
      </c>
      <c r="CP337" s="21">
        <f t="shared" si="593"/>
        <v>0</v>
      </c>
      <c r="CQ337" s="343">
        <f t="shared" si="594"/>
        <v>0</v>
      </c>
      <c r="CR337" s="40"/>
      <c r="CS337" s="39"/>
      <c r="CT337" s="38">
        <f t="shared" si="539"/>
        <v>18</v>
      </c>
      <c r="CU337" s="38">
        <f t="shared" si="540"/>
        <v>14</v>
      </c>
      <c r="CV337" s="38">
        <f t="shared" si="541"/>
        <v>12</v>
      </c>
      <c r="CW337" s="38">
        <f t="shared" si="542"/>
        <v>11</v>
      </c>
      <c r="CX337" s="38">
        <f t="shared" si="543"/>
        <v>15</v>
      </c>
      <c r="CY337" s="39">
        <f t="shared" si="544"/>
        <v>8</v>
      </c>
      <c r="CZ337" s="40">
        <f t="shared" si="545"/>
        <v>13</v>
      </c>
      <c r="DA337" s="40">
        <f t="shared" si="546"/>
        <v>9</v>
      </c>
      <c r="DB337" s="40">
        <f t="shared" si="547"/>
        <v>3</v>
      </c>
      <c r="DC337" s="40">
        <f t="shared" si="548"/>
        <v>6</v>
      </c>
      <c r="DD337" s="40">
        <f t="shared" si="549"/>
        <v>2</v>
      </c>
      <c r="DE337" s="40">
        <f t="shared" si="550"/>
        <v>0</v>
      </c>
      <c r="DF337" s="40">
        <f t="shared" si="551"/>
        <v>7</v>
      </c>
      <c r="DG337" s="40">
        <f t="shared" si="552"/>
        <v>2</v>
      </c>
      <c r="DH337" s="40">
        <f t="shared" si="553"/>
        <v>3</v>
      </c>
      <c r="DI337" s="40">
        <f t="shared" si="554"/>
        <v>1</v>
      </c>
      <c r="DJ337" s="40">
        <f t="shared" si="555"/>
        <v>2</v>
      </c>
      <c r="DK337" s="39">
        <f t="shared" si="556"/>
        <v>0</v>
      </c>
      <c r="DL337" s="40">
        <f t="shared" si="557"/>
        <v>0</v>
      </c>
      <c r="DM337" s="40">
        <f t="shared" si="558"/>
        <v>0</v>
      </c>
      <c r="DN337" s="40">
        <f t="shared" si="559"/>
        <v>2</v>
      </c>
      <c r="DO337" s="40">
        <f t="shared" si="560"/>
        <v>2</v>
      </c>
      <c r="DP337" s="40">
        <f t="shared" si="561"/>
        <v>0</v>
      </c>
      <c r="DQ337" s="40">
        <f t="shared" si="562"/>
        <v>0</v>
      </c>
      <c r="DR337" s="87">
        <f t="shared" si="533"/>
        <v>0</v>
      </c>
      <c r="DS337" s="40">
        <f t="shared" si="534"/>
        <v>2</v>
      </c>
      <c r="DT337" s="40">
        <f t="shared" si="563"/>
        <v>0</v>
      </c>
      <c r="DU337" s="40">
        <f t="shared" si="564"/>
        <v>2</v>
      </c>
      <c r="DV337" s="40">
        <f t="shared" si="565"/>
        <v>0</v>
      </c>
      <c r="DW337" s="40">
        <f t="shared" si="566"/>
        <v>0</v>
      </c>
    </row>
    <row r="338" spans="1:127">
      <c r="A338" s="22" t="s">
        <v>133</v>
      </c>
      <c r="B338" s="26">
        <v>4902430341783</v>
      </c>
      <c r="C338" s="22" t="s">
        <v>133</v>
      </c>
      <c r="D338" s="22" t="s">
        <v>30</v>
      </c>
      <c r="E338" s="22">
        <v>121743</v>
      </c>
      <c r="F338" s="80" t="s">
        <v>429</v>
      </c>
      <c r="G338" s="25">
        <v>155</v>
      </c>
      <c r="H338" s="38">
        <f t="shared" si="567"/>
        <v>3410</v>
      </c>
      <c r="I338" s="38">
        <f t="shared" si="568"/>
        <v>3565</v>
      </c>
      <c r="J338" s="38">
        <f t="shared" si="569"/>
        <v>1085</v>
      </c>
      <c r="K338" s="38">
        <f t="shared" si="570"/>
        <v>1860</v>
      </c>
      <c r="L338" s="38">
        <f t="shared" si="571"/>
        <v>930</v>
      </c>
      <c r="M338" s="39">
        <f t="shared" si="572"/>
        <v>775</v>
      </c>
      <c r="N338" s="40">
        <f t="shared" si="573"/>
        <v>0</v>
      </c>
      <c r="O338" s="40">
        <f t="shared" si="574"/>
        <v>0</v>
      </c>
      <c r="P338" s="40">
        <f t="shared" si="575"/>
        <v>155</v>
      </c>
      <c r="Q338" s="40">
        <f t="shared" si="576"/>
        <v>0</v>
      </c>
      <c r="R338" s="40">
        <f t="shared" si="577"/>
        <v>0</v>
      </c>
      <c r="S338" s="40">
        <f t="shared" si="578"/>
        <v>0</v>
      </c>
      <c r="T338" s="40">
        <f t="shared" si="579"/>
        <v>0</v>
      </c>
      <c r="U338" s="40">
        <f t="shared" si="580"/>
        <v>0</v>
      </c>
      <c r="V338" s="40">
        <f t="shared" si="581"/>
        <v>0</v>
      </c>
      <c r="W338" s="40">
        <f t="shared" si="582"/>
        <v>0</v>
      </c>
      <c r="X338" s="40">
        <f t="shared" si="583"/>
        <v>0</v>
      </c>
      <c r="Y338" s="39">
        <f t="shared" si="584"/>
        <v>0</v>
      </c>
      <c r="Z338" s="40">
        <f t="shared" si="585"/>
        <v>0</v>
      </c>
      <c r="AA338" s="40">
        <f t="shared" si="586"/>
        <v>0</v>
      </c>
      <c r="AB338" s="40">
        <f t="shared" si="587"/>
        <v>0</v>
      </c>
      <c r="AC338" s="40">
        <f t="shared" si="588"/>
        <v>0</v>
      </c>
      <c r="AD338" s="40">
        <f t="shared" si="589"/>
        <v>0</v>
      </c>
      <c r="AE338" s="40">
        <f t="shared" si="590"/>
        <v>0</v>
      </c>
      <c r="AF338" s="40">
        <f t="shared" si="591"/>
        <v>0</v>
      </c>
      <c r="AG338" s="40">
        <f t="shared" si="592"/>
        <v>0</v>
      </c>
      <c r="AH338" s="40">
        <f t="shared" si="535"/>
        <v>0</v>
      </c>
      <c r="AI338" s="40">
        <f t="shared" si="536"/>
        <v>0</v>
      </c>
      <c r="AJ338" s="40">
        <f t="shared" si="537"/>
        <v>0</v>
      </c>
      <c r="AK338" s="39">
        <f t="shared" si="538"/>
        <v>0</v>
      </c>
      <c r="AL338" s="38">
        <v>22</v>
      </c>
      <c r="AM338" s="38">
        <v>23</v>
      </c>
      <c r="AN338" s="38">
        <v>7</v>
      </c>
      <c r="AO338" s="38">
        <v>12</v>
      </c>
      <c r="AP338" s="38">
        <v>6</v>
      </c>
      <c r="AQ338" s="39">
        <v>5</v>
      </c>
      <c r="AR338" s="40">
        <v>0</v>
      </c>
      <c r="AS338" s="40">
        <v>0</v>
      </c>
      <c r="AT338" s="40">
        <v>1</v>
      </c>
      <c r="AU338" s="40">
        <v>0</v>
      </c>
      <c r="AV338" s="40">
        <v>0</v>
      </c>
      <c r="AW338" s="40">
        <v>0</v>
      </c>
      <c r="AX338" s="40">
        <v>0</v>
      </c>
      <c r="AY338" s="40">
        <v>0</v>
      </c>
      <c r="AZ338" s="40">
        <v>0</v>
      </c>
      <c r="BA338" s="40">
        <v>0</v>
      </c>
      <c r="BB338" s="40">
        <v>0</v>
      </c>
      <c r="BC338" s="39">
        <v>0</v>
      </c>
      <c r="BD338" s="40">
        <v>0</v>
      </c>
      <c r="BE338" s="40">
        <v>0</v>
      </c>
      <c r="BF338" s="40">
        <v>0</v>
      </c>
      <c r="BG338" s="40">
        <v>0</v>
      </c>
      <c r="BH338" s="40">
        <v>0</v>
      </c>
      <c r="BI338" s="40">
        <v>0</v>
      </c>
      <c r="BJ338" s="40">
        <v>0</v>
      </c>
      <c r="BK338" s="40">
        <v>0</v>
      </c>
      <c r="BL338" s="40">
        <v>0</v>
      </c>
      <c r="BM338" s="40">
        <v>0</v>
      </c>
      <c r="BN338" s="40"/>
      <c r="BO338" s="39"/>
      <c r="BP338" s="21">
        <v>0</v>
      </c>
      <c r="BQ338" s="21">
        <v>0</v>
      </c>
      <c r="BR338" s="21">
        <v>0</v>
      </c>
      <c r="BS338" s="21">
        <v>0</v>
      </c>
      <c r="BT338" s="21">
        <v>0</v>
      </c>
      <c r="BU338" s="42">
        <v>0</v>
      </c>
      <c r="BV338" s="21">
        <v>0</v>
      </c>
      <c r="BW338" s="21">
        <v>0</v>
      </c>
      <c r="BX338" s="21">
        <v>0</v>
      </c>
      <c r="BY338" s="21">
        <v>0</v>
      </c>
      <c r="BZ338" s="21">
        <v>0</v>
      </c>
      <c r="CA338" s="21">
        <v>0</v>
      </c>
      <c r="CB338" s="21">
        <v>0</v>
      </c>
      <c r="CC338" s="21">
        <v>0</v>
      </c>
      <c r="CD338" s="21">
        <v>0</v>
      </c>
      <c r="CE338" s="21">
        <v>0</v>
      </c>
      <c r="CF338" s="21">
        <v>0</v>
      </c>
      <c r="CG338" s="42">
        <v>0</v>
      </c>
      <c r="CH338" s="21">
        <v>0</v>
      </c>
      <c r="CI338" s="21">
        <v>0</v>
      </c>
      <c r="CJ338" s="21">
        <v>0</v>
      </c>
      <c r="CK338" s="21">
        <v>0</v>
      </c>
      <c r="CL338" s="21">
        <v>0</v>
      </c>
      <c r="CM338" s="21">
        <v>0</v>
      </c>
      <c r="CN338" s="21">
        <v>0</v>
      </c>
      <c r="CO338" s="21">
        <v>0</v>
      </c>
      <c r="CP338" s="21">
        <f t="shared" si="593"/>
        <v>0</v>
      </c>
      <c r="CQ338" s="343">
        <f t="shared" si="594"/>
        <v>0</v>
      </c>
      <c r="CR338" s="40"/>
      <c r="CS338" s="39"/>
      <c r="CT338" s="38">
        <f t="shared" si="539"/>
        <v>22</v>
      </c>
      <c r="CU338" s="38">
        <f t="shared" si="540"/>
        <v>23</v>
      </c>
      <c r="CV338" s="38">
        <f t="shared" si="541"/>
        <v>7</v>
      </c>
      <c r="CW338" s="38">
        <f t="shared" si="542"/>
        <v>12</v>
      </c>
      <c r="CX338" s="38">
        <f t="shared" si="543"/>
        <v>6</v>
      </c>
      <c r="CY338" s="39">
        <f t="shared" si="544"/>
        <v>5</v>
      </c>
      <c r="CZ338" s="40">
        <f t="shared" si="545"/>
        <v>0</v>
      </c>
      <c r="DA338" s="40">
        <f t="shared" si="546"/>
        <v>0</v>
      </c>
      <c r="DB338" s="40">
        <f t="shared" si="547"/>
        <v>1</v>
      </c>
      <c r="DC338" s="40">
        <f t="shared" si="548"/>
        <v>0</v>
      </c>
      <c r="DD338" s="40">
        <f t="shared" si="549"/>
        <v>0</v>
      </c>
      <c r="DE338" s="40">
        <f t="shared" si="550"/>
        <v>0</v>
      </c>
      <c r="DF338" s="40">
        <f t="shared" si="551"/>
        <v>0</v>
      </c>
      <c r="DG338" s="40">
        <f t="shared" si="552"/>
        <v>0</v>
      </c>
      <c r="DH338" s="40">
        <f t="shared" si="553"/>
        <v>0</v>
      </c>
      <c r="DI338" s="40">
        <f t="shared" si="554"/>
        <v>0</v>
      </c>
      <c r="DJ338" s="40">
        <f t="shared" si="555"/>
        <v>0</v>
      </c>
      <c r="DK338" s="39">
        <f t="shared" si="556"/>
        <v>0</v>
      </c>
      <c r="DL338" s="40">
        <f t="shared" si="557"/>
        <v>0</v>
      </c>
      <c r="DM338" s="40">
        <f t="shared" si="558"/>
        <v>0</v>
      </c>
      <c r="DN338" s="40">
        <f t="shared" si="559"/>
        <v>0</v>
      </c>
      <c r="DO338" s="40">
        <f t="shared" si="560"/>
        <v>0</v>
      </c>
      <c r="DP338" s="40">
        <f t="shared" si="561"/>
        <v>0</v>
      </c>
      <c r="DQ338" s="40">
        <f t="shared" si="562"/>
        <v>0</v>
      </c>
      <c r="DR338" s="87">
        <f t="shared" si="533"/>
        <v>0</v>
      </c>
      <c r="DS338" s="40">
        <f t="shared" si="534"/>
        <v>0</v>
      </c>
      <c r="DT338" s="40">
        <f t="shared" si="563"/>
        <v>0</v>
      </c>
      <c r="DU338" s="40">
        <f t="shared" si="564"/>
        <v>0</v>
      </c>
      <c r="DV338" s="40">
        <f t="shared" si="565"/>
        <v>0</v>
      </c>
      <c r="DW338" s="40">
        <f t="shared" si="566"/>
        <v>0</v>
      </c>
    </row>
    <row r="339" spans="1:127">
      <c r="A339" s="22" t="s">
        <v>133</v>
      </c>
      <c r="B339" s="26">
        <v>4902430236645</v>
      </c>
      <c r="C339" s="22" t="s">
        <v>133</v>
      </c>
      <c r="D339" s="22" t="s">
        <v>30</v>
      </c>
      <c r="E339" s="22">
        <v>121909</v>
      </c>
      <c r="F339" s="80" t="s">
        <v>430</v>
      </c>
      <c r="G339" s="25">
        <v>171</v>
      </c>
      <c r="H339" s="38">
        <f t="shared" si="567"/>
        <v>4275</v>
      </c>
      <c r="I339" s="38">
        <f t="shared" si="568"/>
        <v>8721</v>
      </c>
      <c r="J339" s="38">
        <f t="shared" si="569"/>
        <v>4275</v>
      </c>
      <c r="K339" s="38">
        <f t="shared" si="570"/>
        <v>3249</v>
      </c>
      <c r="L339" s="38">
        <f t="shared" si="571"/>
        <v>4446</v>
      </c>
      <c r="M339" s="39">
        <f t="shared" si="572"/>
        <v>5472</v>
      </c>
      <c r="N339" s="40">
        <f t="shared" si="573"/>
        <v>2736</v>
      </c>
      <c r="O339" s="40">
        <f t="shared" si="574"/>
        <v>2394</v>
      </c>
      <c r="P339" s="40">
        <f t="shared" si="575"/>
        <v>1197</v>
      </c>
      <c r="Q339" s="40">
        <f t="shared" si="576"/>
        <v>1881</v>
      </c>
      <c r="R339" s="40">
        <f t="shared" si="577"/>
        <v>342</v>
      </c>
      <c r="S339" s="40">
        <f t="shared" si="578"/>
        <v>684</v>
      </c>
      <c r="T339" s="40">
        <f t="shared" si="579"/>
        <v>855</v>
      </c>
      <c r="U339" s="40">
        <f t="shared" si="580"/>
        <v>684</v>
      </c>
      <c r="V339" s="40">
        <f t="shared" si="581"/>
        <v>171</v>
      </c>
      <c r="W339" s="40">
        <f t="shared" si="582"/>
        <v>171</v>
      </c>
      <c r="X339" s="40">
        <f t="shared" si="583"/>
        <v>1368</v>
      </c>
      <c r="Y339" s="39">
        <f t="shared" si="584"/>
        <v>171</v>
      </c>
      <c r="Z339" s="40">
        <f t="shared" si="585"/>
        <v>0</v>
      </c>
      <c r="AA339" s="40">
        <f t="shared" si="586"/>
        <v>513</v>
      </c>
      <c r="AB339" s="40">
        <f t="shared" si="587"/>
        <v>513</v>
      </c>
      <c r="AC339" s="40">
        <f t="shared" si="588"/>
        <v>513</v>
      </c>
      <c r="AD339" s="40">
        <f t="shared" si="589"/>
        <v>0</v>
      </c>
      <c r="AE339" s="40">
        <f t="shared" si="590"/>
        <v>513</v>
      </c>
      <c r="AF339" s="40">
        <f t="shared" si="591"/>
        <v>171</v>
      </c>
      <c r="AG339" s="40">
        <f t="shared" si="592"/>
        <v>171</v>
      </c>
      <c r="AH339" s="40">
        <f t="shared" si="535"/>
        <v>684</v>
      </c>
      <c r="AI339" s="40">
        <f t="shared" si="536"/>
        <v>0</v>
      </c>
      <c r="AJ339" s="40">
        <f t="shared" si="537"/>
        <v>0</v>
      </c>
      <c r="AK339" s="39">
        <f t="shared" si="538"/>
        <v>0</v>
      </c>
      <c r="AL339" s="38">
        <v>22</v>
      </c>
      <c r="AM339" s="38">
        <v>42</v>
      </c>
      <c r="AN339" s="38">
        <v>16</v>
      </c>
      <c r="AO339" s="38">
        <v>15</v>
      </c>
      <c r="AP339" s="38">
        <v>24</v>
      </c>
      <c r="AQ339" s="39">
        <v>13</v>
      </c>
      <c r="AR339" s="40">
        <v>15</v>
      </c>
      <c r="AS339" s="40">
        <v>9</v>
      </c>
      <c r="AT339" s="40">
        <v>4</v>
      </c>
      <c r="AU339" s="40">
        <v>9</v>
      </c>
      <c r="AV339" s="40">
        <v>2</v>
      </c>
      <c r="AW339" s="40">
        <v>4</v>
      </c>
      <c r="AX339" s="40">
        <v>5</v>
      </c>
      <c r="AY339" s="40">
        <v>4</v>
      </c>
      <c r="AZ339" s="40">
        <v>1</v>
      </c>
      <c r="BA339" s="40">
        <v>1</v>
      </c>
      <c r="BB339" s="40">
        <v>8</v>
      </c>
      <c r="BC339" s="39">
        <v>1</v>
      </c>
      <c r="BD339" s="40">
        <v>0</v>
      </c>
      <c r="BE339" s="40">
        <v>3</v>
      </c>
      <c r="BF339" s="40">
        <v>3</v>
      </c>
      <c r="BG339" s="40">
        <v>3</v>
      </c>
      <c r="BH339" s="40">
        <v>0</v>
      </c>
      <c r="BI339" s="40">
        <v>3</v>
      </c>
      <c r="BJ339" s="40">
        <v>1</v>
      </c>
      <c r="BK339" s="40">
        <v>1</v>
      </c>
      <c r="BL339" s="40">
        <v>4</v>
      </c>
      <c r="BM339" s="40">
        <v>0</v>
      </c>
      <c r="BN339" s="40"/>
      <c r="BO339" s="39"/>
      <c r="BP339" s="21">
        <v>3</v>
      </c>
      <c r="BQ339" s="21">
        <v>9</v>
      </c>
      <c r="BR339" s="21">
        <v>9</v>
      </c>
      <c r="BS339" s="21">
        <v>4</v>
      </c>
      <c r="BT339" s="21">
        <v>2</v>
      </c>
      <c r="BU339" s="42">
        <v>19</v>
      </c>
      <c r="BV339" s="21">
        <v>1</v>
      </c>
      <c r="BW339" s="21">
        <v>5</v>
      </c>
      <c r="BX339" s="21">
        <v>3</v>
      </c>
      <c r="BY339" s="21">
        <v>2</v>
      </c>
      <c r="BZ339" s="21">
        <v>0</v>
      </c>
      <c r="CA339" s="21">
        <v>0</v>
      </c>
      <c r="CB339" s="21">
        <v>0</v>
      </c>
      <c r="CC339" s="21">
        <v>0</v>
      </c>
      <c r="CD339" s="21">
        <v>0</v>
      </c>
      <c r="CE339" s="21">
        <v>0</v>
      </c>
      <c r="CF339" s="21">
        <v>0</v>
      </c>
      <c r="CG339" s="42">
        <v>0</v>
      </c>
      <c r="CH339" s="21">
        <v>0</v>
      </c>
      <c r="CI339" s="21">
        <v>0</v>
      </c>
      <c r="CJ339" s="21">
        <v>0</v>
      </c>
      <c r="CK339" s="21">
        <v>0</v>
      </c>
      <c r="CL339" s="21">
        <v>0</v>
      </c>
      <c r="CM339" s="21">
        <v>0</v>
      </c>
      <c r="CN339" s="21">
        <v>0</v>
      </c>
      <c r="CO339" s="21">
        <v>0</v>
      </c>
      <c r="CP339" s="21">
        <f t="shared" si="593"/>
        <v>0</v>
      </c>
      <c r="CQ339" s="343">
        <f t="shared" si="594"/>
        <v>0</v>
      </c>
      <c r="CR339" s="40"/>
      <c r="CS339" s="39"/>
      <c r="CT339" s="38">
        <f t="shared" si="539"/>
        <v>25</v>
      </c>
      <c r="CU339" s="38">
        <f t="shared" si="540"/>
        <v>51</v>
      </c>
      <c r="CV339" s="38">
        <f t="shared" si="541"/>
        <v>25</v>
      </c>
      <c r="CW339" s="38">
        <f t="shared" si="542"/>
        <v>19</v>
      </c>
      <c r="CX339" s="38">
        <f t="shared" si="543"/>
        <v>26</v>
      </c>
      <c r="CY339" s="39">
        <f t="shared" si="544"/>
        <v>32</v>
      </c>
      <c r="CZ339" s="40">
        <f t="shared" si="545"/>
        <v>16</v>
      </c>
      <c r="DA339" s="40">
        <f t="shared" si="546"/>
        <v>14</v>
      </c>
      <c r="DB339" s="40">
        <f t="shared" si="547"/>
        <v>7</v>
      </c>
      <c r="DC339" s="40">
        <f t="shared" si="548"/>
        <v>11</v>
      </c>
      <c r="DD339" s="40">
        <f t="shared" si="549"/>
        <v>2</v>
      </c>
      <c r="DE339" s="40">
        <f t="shared" si="550"/>
        <v>4</v>
      </c>
      <c r="DF339" s="40">
        <f t="shared" si="551"/>
        <v>5</v>
      </c>
      <c r="DG339" s="40">
        <f t="shared" si="552"/>
        <v>4</v>
      </c>
      <c r="DH339" s="40">
        <f t="shared" si="553"/>
        <v>1</v>
      </c>
      <c r="DI339" s="40">
        <f t="shared" si="554"/>
        <v>1</v>
      </c>
      <c r="DJ339" s="40">
        <f t="shared" si="555"/>
        <v>8</v>
      </c>
      <c r="DK339" s="39">
        <f t="shared" si="556"/>
        <v>1</v>
      </c>
      <c r="DL339" s="40">
        <f t="shared" si="557"/>
        <v>0</v>
      </c>
      <c r="DM339" s="40">
        <f t="shared" si="558"/>
        <v>3</v>
      </c>
      <c r="DN339" s="40">
        <f t="shared" si="559"/>
        <v>3</v>
      </c>
      <c r="DO339" s="40">
        <f t="shared" si="560"/>
        <v>3</v>
      </c>
      <c r="DP339" s="40">
        <f t="shared" si="561"/>
        <v>0</v>
      </c>
      <c r="DQ339" s="40">
        <f t="shared" si="562"/>
        <v>3</v>
      </c>
      <c r="DR339" s="87">
        <f t="shared" si="533"/>
        <v>1</v>
      </c>
      <c r="DS339" s="40">
        <f t="shared" si="534"/>
        <v>1</v>
      </c>
      <c r="DT339" s="40">
        <f t="shared" si="563"/>
        <v>4</v>
      </c>
      <c r="DU339" s="40">
        <f t="shared" si="564"/>
        <v>0</v>
      </c>
      <c r="DV339" s="40">
        <f t="shared" si="565"/>
        <v>0</v>
      </c>
      <c r="DW339" s="40">
        <f t="shared" si="566"/>
        <v>0</v>
      </c>
    </row>
    <row r="340" spans="1:127">
      <c r="A340" s="22" t="s">
        <v>133</v>
      </c>
      <c r="B340" s="26">
        <v>4987176072436</v>
      </c>
      <c r="C340" s="22" t="s">
        <v>133</v>
      </c>
      <c r="D340" s="22" t="s">
        <v>30</v>
      </c>
      <c r="E340" s="22">
        <v>137881</v>
      </c>
      <c r="F340" s="80" t="s">
        <v>431</v>
      </c>
      <c r="G340" s="25">
        <v>416</v>
      </c>
      <c r="H340" s="38">
        <f t="shared" si="567"/>
        <v>3328</v>
      </c>
      <c r="I340" s="38">
        <f t="shared" si="568"/>
        <v>15808</v>
      </c>
      <c r="J340" s="38">
        <f t="shared" si="569"/>
        <v>5824</v>
      </c>
      <c r="K340" s="38">
        <f t="shared" si="570"/>
        <v>6656</v>
      </c>
      <c r="L340" s="38">
        <f t="shared" si="571"/>
        <v>2496</v>
      </c>
      <c r="M340" s="39">
        <f t="shared" si="572"/>
        <v>4992</v>
      </c>
      <c r="N340" s="40">
        <f t="shared" si="573"/>
        <v>2912</v>
      </c>
      <c r="O340" s="40">
        <f t="shared" si="574"/>
        <v>1664</v>
      </c>
      <c r="P340" s="40">
        <f t="shared" si="575"/>
        <v>416</v>
      </c>
      <c r="Q340" s="40">
        <f t="shared" si="576"/>
        <v>0</v>
      </c>
      <c r="R340" s="40">
        <f t="shared" si="577"/>
        <v>0</v>
      </c>
      <c r="S340" s="40">
        <f t="shared" si="578"/>
        <v>0</v>
      </c>
      <c r="T340" s="40">
        <f t="shared" si="579"/>
        <v>0</v>
      </c>
      <c r="U340" s="40">
        <f t="shared" si="580"/>
        <v>0</v>
      </c>
      <c r="V340" s="40">
        <f t="shared" si="581"/>
        <v>0</v>
      </c>
      <c r="W340" s="40">
        <f t="shared" si="582"/>
        <v>0</v>
      </c>
      <c r="X340" s="40">
        <f t="shared" si="583"/>
        <v>0</v>
      </c>
      <c r="Y340" s="39">
        <f t="shared" si="584"/>
        <v>0</v>
      </c>
      <c r="Z340" s="40">
        <f t="shared" si="585"/>
        <v>0</v>
      </c>
      <c r="AA340" s="40">
        <f t="shared" si="586"/>
        <v>0</v>
      </c>
      <c r="AB340" s="40">
        <f t="shared" si="587"/>
        <v>0</v>
      </c>
      <c r="AC340" s="40">
        <f t="shared" si="588"/>
        <v>0</v>
      </c>
      <c r="AD340" s="40">
        <f t="shared" si="589"/>
        <v>0</v>
      </c>
      <c r="AE340" s="40">
        <f t="shared" si="590"/>
        <v>0</v>
      </c>
      <c r="AF340" s="40">
        <f t="shared" si="591"/>
        <v>0</v>
      </c>
      <c r="AG340" s="40">
        <f t="shared" si="592"/>
        <v>0</v>
      </c>
      <c r="AH340" s="40">
        <f t="shared" si="535"/>
        <v>0</v>
      </c>
      <c r="AI340" s="40">
        <f t="shared" si="536"/>
        <v>0</v>
      </c>
      <c r="AJ340" s="40">
        <f t="shared" si="537"/>
        <v>0</v>
      </c>
      <c r="AK340" s="39">
        <f t="shared" si="538"/>
        <v>0</v>
      </c>
      <c r="AL340" s="38">
        <v>8</v>
      </c>
      <c r="AM340" s="38">
        <v>38</v>
      </c>
      <c r="AN340" s="38">
        <v>14</v>
      </c>
      <c r="AO340" s="38">
        <v>16</v>
      </c>
      <c r="AP340" s="38">
        <v>6</v>
      </c>
      <c r="AQ340" s="39">
        <v>12</v>
      </c>
      <c r="AR340" s="40">
        <v>7</v>
      </c>
      <c r="AS340" s="40">
        <v>4</v>
      </c>
      <c r="AT340" s="40">
        <v>1</v>
      </c>
      <c r="AU340" s="40">
        <v>0</v>
      </c>
      <c r="AV340" s="40">
        <v>0</v>
      </c>
      <c r="AW340" s="40">
        <v>0</v>
      </c>
      <c r="AX340" s="40">
        <v>0</v>
      </c>
      <c r="AY340" s="40">
        <v>0</v>
      </c>
      <c r="AZ340" s="40">
        <v>0</v>
      </c>
      <c r="BA340" s="40">
        <v>0</v>
      </c>
      <c r="BB340" s="40">
        <v>0</v>
      </c>
      <c r="BC340" s="39">
        <v>0</v>
      </c>
      <c r="BD340" s="40">
        <v>0</v>
      </c>
      <c r="BE340" s="40">
        <v>0</v>
      </c>
      <c r="BF340" s="40">
        <v>0</v>
      </c>
      <c r="BG340" s="40">
        <v>0</v>
      </c>
      <c r="BH340" s="40">
        <v>0</v>
      </c>
      <c r="BI340" s="40">
        <v>0</v>
      </c>
      <c r="BJ340" s="40">
        <v>0</v>
      </c>
      <c r="BK340" s="40">
        <v>0</v>
      </c>
      <c r="BL340" s="40">
        <v>0</v>
      </c>
      <c r="BM340" s="40">
        <v>0</v>
      </c>
      <c r="BN340" s="40"/>
      <c r="BO340" s="39"/>
      <c r="BP340" s="21">
        <v>0</v>
      </c>
      <c r="BQ340" s="21">
        <v>0</v>
      </c>
      <c r="BR340" s="21">
        <v>0</v>
      </c>
      <c r="BS340" s="21">
        <v>0</v>
      </c>
      <c r="BT340" s="21">
        <v>0</v>
      </c>
      <c r="BU340" s="42">
        <v>0</v>
      </c>
      <c r="BV340" s="21">
        <v>0</v>
      </c>
      <c r="BW340" s="21">
        <v>0</v>
      </c>
      <c r="BX340" s="21">
        <v>0</v>
      </c>
      <c r="BY340" s="21">
        <v>0</v>
      </c>
      <c r="BZ340" s="21">
        <v>0</v>
      </c>
      <c r="CA340" s="21">
        <v>0</v>
      </c>
      <c r="CB340" s="21">
        <v>0</v>
      </c>
      <c r="CC340" s="21">
        <v>0</v>
      </c>
      <c r="CD340" s="21">
        <v>0</v>
      </c>
      <c r="CE340" s="21">
        <v>0</v>
      </c>
      <c r="CF340" s="21">
        <v>0</v>
      </c>
      <c r="CG340" s="42">
        <v>0</v>
      </c>
      <c r="CH340" s="21">
        <v>0</v>
      </c>
      <c r="CI340" s="21">
        <v>0</v>
      </c>
      <c r="CJ340" s="21">
        <v>0</v>
      </c>
      <c r="CK340" s="21">
        <v>0</v>
      </c>
      <c r="CL340" s="21">
        <v>0</v>
      </c>
      <c r="CM340" s="21">
        <v>0</v>
      </c>
      <c r="CN340" s="21">
        <v>0</v>
      </c>
      <c r="CO340" s="21">
        <v>0</v>
      </c>
      <c r="CP340" s="21">
        <f t="shared" si="593"/>
        <v>0</v>
      </c>
      <c r="CQ340" s="343">
        <f t="shared" si="594"/>
        <v>0</v>
      </c>
      <c r="CR340" s="40"/>
      <c r="CS340" s="39"/>
      <c r="CT340" s="38">
        <f t="shared" si="539"/>
        <v>8</v>
      </c>
      <c r="CU340" s="38">
        <f t="shared" si="540"/>
        <v>38</v>
      </c>
      <c r="CV340" s="38">
        <f t="shared" si="541"/>
        <v>14</v>
      </c>
      <c r="CW340" s="38">
        <f t="shared" si="542"/>
        <v>16</v>
      </c>
      <c r="CX340" s="38">
        <f t="shared" si="543"/>
        <v>6</v>
      </c>
      <c r="CY340" s="39">
        <f t="shared" si="544"/>
        <v>12</v>
      </c>
      <c r="CZ340" s="40">
        <f t="shared" si="545"/>
        <v>7</v>
      </c>
      <c r="DA340" s="40">
        <f t="shared" si="546"/>
        <v>4</v>
      </c>
      <c r="DB340" s="40">
        <f t="shared" si="547"/>
        <v>1</v>
      </c>
      <c r="DC340" s="40">
        <f t="shared" si="548"/>
        <v>0</v>
      </c>
      <c r="DD340" s="40">
        <f t="shared" si="549"/>
        <v>0</v>
      </c>
      <c r="DE340" s="40">
        <f t="shared" si="550"/>
        <v>0</v>
      </c>
      <c r="DF340" s="40">
        <f t="shared" si="551"/>
        <v>0</v>
      </c>
      <c r="DG340" s="40">
        <f t="shared" si="552"/>
        <v>0</v>
      </c>
      <c r="DH340" s="40">
        <f t="shared" si="553"/>
        <v>0</v>
      </c>
      <c r="DI340" s="40">
        <f t="shared" si="554"/>
        <v>0</v>
      </c>
      <c r="DJ340" s="40">
        <f t="shared" si="555"/>
        <v>0</v>
      </c>
      <c r="DK340" s="39">
        <f t="shared" si="556"/>
        <v>0</v>
      </c>
      <c r="DL340" s="40">
        <f t="shared" si="557"/>
        <v>0</v>
      </c>
      <c r="DM340" s="40">
        <f t="shared" si="558"/>
        <v>0</v>
      </c>
      <c r="DN340" s="40">
        <f t="shared" si="559"/>
        <v>0</v>
      </c>
      <c r="DO340" s="40">
        <f t="shared" si="560"/>
        <v>0</v>
      </c>
      <c r="DP340" s="40">
        <f t="shared" si="561"/>
        <v>0</v>
      </c>
      <c r="DQ340" s="40">
        <f t="shared" si="562"/>
        <v>0</v>
      </c>
      <c r="DR340" s="87">
        <f t="shared" si="533"/>
        <v>0</v>
      </c>
      <c r="DS340" s="40">
        <f t="shared" si="534"/>
        <v>0</v>
      </c>
      <c r="DT340" s="40">
        <f t="shared" si="563"/>
        <v>0</v>
      </c>
      <c r="DU340" s="40">
        <f t="shared" si="564"/>
        <v>0</v>
      </c>
      <c r="DV340" s="40">
        <f t="shared" si="565"/>
        <v>0</v>
      </c>
      <c r="DW340" s="40">
        <f t="shared" si="566"/>
        <v>0</v>
      </c>
    </row>
    <row r="341" spans="1:127">
      <c r="A341" s="22" t="s">
        <v>133</v>
      </c>
      <c r="B341" s="26">
        <v>47400179134</v>
      </c>
      <c r="C341" s="22" t="s">
        <v>133</v>
      </c>
      <c r="D341" s="22" t="s">
        <v>30</v>
      </c>
      <c r="E341" s="22">
        <v>137914</v>
      </c>
      <c r="F341" s="80" t="s">
        <v>432</v>
      </c>
      <c r="G341" s="25">
        <v>252.08750000000001</v>
      </c>
      <c r="H341" s="38">
        <f t="shared" si="567"/>
        <v>3025.05</v>
      </c>
      <c r="I341" s="38">
        <f t="shared" si="568"/>
        <v>7058.45</v>
      </c>
      <c r="J341" s="38">
        <f t="shared" si="569"/>
        <v>3277.1375000000003</v>
      </c>
      <c r="K341" s="38">
        <f t="shared" si="570"/>
        <v>2268.7874999999999</v>
      </c>
      <c r="L341" s="38">
        <f t="shared" si="571"/>
        <v>756.26250000000005</v>
      </c>
      <c r="M341" s="39">
        <f t="shared" si="572"/>
        <v>756.26250000000005</v>
      </c>
      <c r="N341" s="40">
        <f t="shared" si="573"/>
        <v>1008.35</v>
      </c>
      <c r="O341" s="40">
        <f t="shared" si="574"/>
        <v>756.26250000000005</v>
      </c>
      <c r="P341" s="40">
        <f t="shared" si="575"/>
        <v>756.26250000000005</v>
      </c>
      <c r="Q341" s="40">
        <f t="shared" si="576"/>
        <v>0</v>
      </c>
      <c r="R341" s="40">
        <f t="shared" si="577"/>
        <v>0</v>
      </c>
      <c r="S341" s="40">
        <f t="shared" si="578"/>
        <v>0</v>
      </c>
      <c r="T341" s="40">
        <f t="shared" si="579"/>
        <v>0</v>
      </c>
      <c r="U341" s="40">
        <f t="shared" si="580"/>
        <v>0</v>
      </c>
      <c r="V341" s="40">
        <f t="shared" si="581"/>
        <v>0</v>
      </c>
      <c r="W341" s="40">
        <f t="shared" si="582"/>
        <v>0</v>
      </c>
      <c r="X341" s="40">
        <f t="shared" si="583"/>
        <v>0</v>
      </c>
      <c r="Y341" s="39">
        <f t="shared" si="584"/>
        <v>0</v>
      </c>
      <c r="Z341" s="40">
        <f t="shared" si="585"/>
        <v>0</v>
      </c>
      <c r="AA341" s="40">
        <f t="shared" si="586"/>
        <v>0</v>
      </c>
      <c r="AB341" s="40">
        <f t="shared" si="587"/>
        <v>0</v>
      </c>
      <c r="AC341" s="40">
        <f t="shared" si="588"/>
        <v>0</v>
      </c>
      <c r="AD341" s="40">
        <f t="shared" si="589"/>
        <v>0</v>
      </c>
      <c r="AE341" s="40">
        <f t="shared" si="590"/>
        <v>0</v>
      </c>
      <c r="AF341" s="40">
        <f t="shared" si="591"/>
        <v>0</v>
      </c>
      <c r="AG341" s="40">
        <f t="shared" si="592"/>
        <v>0</v>
      </c>
      <c r="AH341" s="40">
        <f t="shared" si="535"/>
        <v>0</v>
      </c>
      <c r="AI341" s="40">
        <f t="shared" si="536"/>
        <v>0</v>
      </c>
      <c r="AJ341" s="40">
        <f t="shared" si="537"/>
        <v>0</v>
      </c>
      <c r="AK341" s="39">
        <f t="shared" si="538"/>
        <v>0</v>
      </c>
      <c r="AL341" s="38">
        <v>7</v>
      </c>
      <c r="AM341" s="38">
        <v>28</v>
      </c>
      <c r="AN341" s="38">
        <v>13</v>
      </c>
      <c r="AO341" s="38">
        <v>9</v>
      </c>
      <c r="AP341" s="38">
        <v>3</v>
      </c>
      <c r="AQ341" s="39">
        <v>3</v>
      </c>
      <c r="AR341" s="40">
        <v>4</v>
      </c>
      <c r="AS341" s="40">
        <v>3</v>
      </c>
      <c r="AT341" s="40">
        <v>3</v>
      </c>
      <c r="AU341" s="40">
        <v>0</v>
      </c>
      <c r="AV341" s="40">
        <v>0</v>
      </c>
      <c r="AW341" s="40">
        <v>0</v>
      </c>
      <c r="AX341" s="40">
        <v>0</v>
      </c>
      <c r="AY341" s="40">
        <v>0</v>
      </c>
      <c r="AZ341" s="40">
        <v>0</v>
      </c>
      <c r="BA341" s="40">
        <v>0</v>
      </c>
      <c r="BB341" s="40">
        <v>0</v>
      </c>
      <c r="BC341" s="39">
        <v>0</v>
      </c>
      <c r="BD341" s="40">
        <v>0</v>
      </c>
      <c r="BE341" s="40">
        <v>0</v>
      </c>
      <c r="BF341" s="40">
        <v>0</v>
      </c>
      <c r="BG341" s="40">
        <v>0</v>
      </c>
      <c r="BH341" s="40">
        <v>0</v>
      </c>
      <c r="BI341" s="40">
        <v>0</v>
      </c>
      <c r="BJ341" s="40">
        <v>0</v>
      </c>
      <c r="BK341" s="40">
        <v>0</v>
      </c>
      <c r="BL341" s="40">
        <v>0</v>
      </c>
      <c r="BM341" s="40">
        <v>0</v>
      </c>
      <c r="BN341" s="40"/>
      <c r="BO341" s="39"/>
      <c r="BP341" s="21">
        <v>5</v>
      </c>
      <c r="BQ341" s="21">
        <v>0</v>
      </c>
      <c r="BR341" s="21">
        <v>0</v>
      </c>
      <c r="BS341" s="21">
        <v>0</v>
      </c>
      <c r="BT341" s="21">
        <v>0</v>
      </c>
      <c r="BU341" s="42">
        <v>0</v>
      </c>
      <c r="BV341" s="21">
        <v>0</v>
      </c>
      <c r="BW341" s="21">
        <v>0</v>
      </c>
      <c r="BX341" s="21">
        <v>0</v>
      </c>
      <c r="BY341" s="21">
        <v>0</v>
      </c>
      <c r="BZ341" s="21">
        <v>0</v>
      </c>
      <c r="CA341" s="21">
        <v>0</v>
      </c>
      <c r="CB341" s="21">
        <v>0</v>
      </c>
      <c r="CC341" s="21">
        <v>0</v>
      </c>
      <c r="CD341" s="21">
        <v>0</v>
      </c>
      <c r="CE341" s="21">
        <v>0</v>
      </c>
      <c r="CF341" s="21">
        <v>0</v>
      </c>
      <c r="CG341" s="42">
        <v>0</v>
      </c>
      <c r="CH341" s="21">
        <v>0</v>
      </c>
      <c r="CI341" s="21">
        <v>0</v>
      </c>
      <c r="CJ341" s="21">
        <v>0</v>
      </c>
      <c r="CK341" s="21">
        <v>0</v>
      </c>
      <c r="CL341" s="21">
        <v>0</v>
      </c>
      <c r="CM341" s="21">
        <v>0</v>
      </c>
      <c r="CN341" s="21">
        <v>0</v>
      </c>
      <c r="CO341" s="21">
        <v>0</v>
      </c>
      <c r="CP341" s="21">
        <f t="shared" si="593"/>
        <v>0</v>
      </c>
      <c r="CQ341" s="343">
        <f t="shared" si="594"/>
        <v>0</v>
      </c>
      <c r="CR341" s="40"/>
      <c r="CS341" s="39"/>
      <c r="CT341" s="38">
        <f t="shared" si="539"/>
        <v>12</v>
      </c>
      <c r="CU341" s="38">
        <f t="shared" si="540"/>
        <v>28</v>
      </c>
      <c r="CV341" s="38">
        <f t="shared" si="541"/>
        <v>13</v>
      </c>
      <c r="CW341" s="38">
        <f t="shared" si="542"/>
        <v>9</v>
      </c>
      <c r="CX341" s="38">
        <f t="shared" si="543"/>
        <v>3</v>
      </c>
      <c r="CY341" s="39">
        <f t="shared" si="544"/>
        <v>3</v>
      </c>
      <c r="CZ341" s="40">
        <f t="shared" si="545"/>
        <v>4</v>
      </c>
      <c r="DA341" s="40">
        <f t="shared" si="546"/>
        <v>3</v>
      </c>
      <c r="DB341" s="40">
        <f t="shared" si="547"/>
        <v>3</v>
      </c>
      <c r="DC341" s="40">
        <f t="shared" si="548"/>
        <v>0</v>
      </c>
      <c r="DD341" s="40">
        <f t="shared" si="549"/>
        <v>0</v>
      </c>
      <c r="DE341" s="40">
        <f t="shared" si="550"/>
        <v>0</v>
      </c>
      <c r="DF341" s="40">
        <f t="shared" si="551"/>
        <v>0</v>
      </c>
      <c r="DG341" s="40">
        <f t="shared" si="552"/>
        <v>0</v>
      </c>
      <c r="DH341" s="40">
        <f t="shared" si="553"/>
        <v>0</v>
      </c>
      <c r="DI341" s="40">
        <f t="shared" si="554"/>
        <v>0</v>
      </c>
      <c r="DJ341" s="40">
        <f t="shared" si="555"/>
        <v>0</v>
      </c>
      <c r="DK341" s="39">
        <f t="shared" si="556"/>
        <v>0</v>
      </c>
      <c r="DL341" s="40">
        <f t="shared" si="557"/>
        <v>0</v>
      </c>
      <c r="DM341" s="40">
        <f t="shared" si="558"/>
        <v>0</v>
      </c>
      <c r="DN341" s="40">
        <f t="shared" si="559"/>
        <v>0</v>
      </c>
      <c r="DO341" s="40">
        <f t="shared" si="560"/>
        <v>0</v>
      </c>
      <c r="DP341" s="40">
        <f t="shared" si="561"/>
        <v>0</v>
      </c>
      <c r="DQ341" s="40">
        <f t="shared" si="562"/>
        <v>0</v>
      </c>
      <c r="DR341" s="87">
        <f t="shared" si="533"/>
        <v>0</v>
      </c>
      <c r="DS341" s="40">
        <f t="shared" si="534"/>
        <v>0</v>
      </c>
      <c r="DT341" s="40">
        <f t="shared" si="563"/>
        <v>0</v>
      </c>
      <c r="DU341" s="40">
        <f t="shared" si="564"/>
        <v>0</v>
      </c>
      <c r="DV341" s="40">
        <f t="shared" si="565"/>
        <v>0</v>
      </c>
      <c r="DW341" s="40">
        <f t="shared" si="566"/>
        <v>0</v>
      </c>
    </row>
    <row r="342" spans="1:127">
      <c r="A342" s="22" t="s">
        <v>133</v>
      </c>
      <c r="B342" s="26">
        <v>4987176247681</v>
      </c>
      <c r="C342" s="22" t="s">
        <v>133</v>
      </c>
      <c r="D342" s="22" t="s">
        <v>30</v>
      </c>
      <c r="E342" s="22">
        <v>231865</v>
      </c>
      <c r="F342" s="80" t="s">
        <v>430</v>
      </c>
      <c r="G342" s="25">
        <v>189.7</v>
      </c>
      <c r="H342" s="38">
        <f t="shared" si="567"/>
        <v>189.7</v>
      </c>
      <c r="I342" s="38">
        <f t="shared" si="568"/>
        <v>1897</v>
      </c>
      <c r="J342" s="38">
        <f t="shared" si="569"/>
        <v>1327.8999999999999</v>
      </c>
      <c r="K342" s="38">
        <f t="shared" si="570"/>
        <v>569.09999999999991</v>
      </c>
      <c r="L342" s="38">
        <f t="shared" si="571"/>
        <v>758.8</v>
      </c>
      <c r="M342" s="39">
        <f t="shared" si="572"/>
        <v>1138.1999999999998</v>
      </c>
      <c r="N342" s="40">
        <f t="shared" si="573"/>
        <v>189.7</v>
      </c>
      <c r="O342" s="40">
        <f t="shared" si="574"/>
        <v>948.5</v>
      </c>
      <c r="P342" s="40">
        <f t="shared" si="575"/>
        <v>379.4</v>
      </c>
      <c r="Q342" s="40">
        <f t="shared" si="576"/>
        <v>1327.8999999999999</v>
      </c>
      <c r="R342" s="40">
        <f t="shared" si="577"/>
        <v>948.5</v>
      </c>
      <c r="S342" s="40">
        <f t="shared" si="578"/>
        <v>2466.1</v>
      </c>
      <c r="T342" s="40">
        <f t="shared" si="579"/>
        <v>758.8</v>
      </c>
      <c r="U342" s="40">
        <f t="shared" si="580"/>
        <v>1138.1999999999998</v>
      </c>
      <c r="V342" s="40">
        <f t="shared" si="581"/>
        <v>1138.1999999999998</v>
      </c>
      <c r="W342" s="40">
        <f t="shared" si="582"/>
        <v>0</v>
      </c>
      <c r="X342" s="40">
        <f t="shared" si="583"/>
        <v>0</v>
      </c>
      <c r="Y342" s="39">
        <f t="shared" si="584"/>
        <v>0</v>
      </c>
      <c r="Z342" s="40">
        <f t="shared" si="585"/>
        <v>0</v>
      </c>
      <c r="AA342" s="40">
        <f t="shared" si="586"/>
        <v>0</v>
      </c>
      <c r="AB342" s="40">
        <f t="shared" si="587"/>
        <v>0</v>
      </c>
      <c r="AC342" s="40">
        <f t="shared" si="588"/>
        <v>0</v>
      </c>
      <c r="AD342" s="40">
        <f t="shared" si="589"/>
        <v>0</v>
      </c>
      <c r="AE342" s="40">
        <f t="shared" si="590"/>
        <v>0</v>
      </c>
      <c r="AF342" s="40">
        <f t="shared" si="591"/>
        <v>0</v>
      </c>
      <c r="AG342" s="40">
        <f t="shared" si="592"/>
        <v>0</v>
      </c>
      <c r="AH342" s="40">
        <f t="shared" si="535"/>
        <v>0</v>
      </c>
      <c r="AI342" s="40">
        <f t="shared" si="536"/>
        <v>0</v>
      </c>
      <c r="AJ342" s="40">
        <f t="shared" si="537"/>
        <v>0</v>
      </c>
      <c r="AK342" s="39">
        <f t="shared" si="538"/>
        <v>0</v>
      </c>
      <c r="AL342" s="38">
        <v>1</v>
      </c>
      <c r="AM342" s="38">
        <v>10</v>
      </c>
      <c r="AN342" s="38">
        <v>3</v>
      </c>
      <c r="AO342" s="38">
        <v>3</v>
      </c>
      <c r="AP342" s="38">
        <v>1</v>
      </c>
      <c r="AQ342" s="39">
        <v>5</v>
      </c>
      <c r="AR342" s="40">
        <v>1</v>
      </c>
      <c r="AS342" s="40">
        <v>5</v>
      </c>
      <c r="AT342" s="40">
        <v>2</v>
      </c>
      <c r="AU342" s="40">
        <v>5</v>
      </c>
      <c r="AV342" s="40">
        <v>5</v>
      </c>
      <c r="AW342" s="40">
        <v>12</v>
      </c>
      <c r="AX342" s="40">
        <v>4</v>
      </c>
      <c r="AY342" s="40">
        <v>5</v>
      </c>
      <c r="AZ342" s="40">
        <v>5</v>
      </c>
      <c r="BA342" s="40">
        <v>0</v>
      </c>
      <c r="BB342" s="40">
        <v>0</v>
      </c>
      <c r="BC342" s="39">
        <v>0</v>
      </c>
      <c r="BD342" s="40">
        <v>0</v>
      </c>
      <c r="BE342" s="40">
        <v>0</v>
      </c>
      <c r="BF342" s="40">
        <v>0</v>
      </c>
      <c r="BG342" s="40">
        <v>0</v>
      </c>
      <c r="BH342" s="40">
        <v>0</v>
      </c>
      <c r="BI342" s="40">
        <v>0</v>
      </c>
      <c r="BJ342" s="40">
        <v>0</v>
      </c>
      <c r="BK342" s="40">
        <v>0</v>
      </c>
      <c r="BL342" s="40">
        <v>0</v>
      </c>
      <c r="BM342" s="40">
        <v>0</v>
      </c>
      <c r="BN342" s="40"/>
      <c r="BO342" s="39"/>
      <c r="BP342" s="21">
        <v>0</v>
      </c>
      <c r="BQ342" s="21">
        <v>0</v>
      </c>
      <c r="BR342" s="21">
        <v>4</v>
      </c>
      <c r="BS342" s="21">
        <v>0</v>
      </c>
      <c r="BT342" s="21">
        <v>3</v>
      </c>
      <c r="BU342" s="42">
        <v>1</v>
      </c>
      <c r="BV342" s="21">
        <v>0</v>
      </c>
      <c r="BW342" s="21">
        <v>0</v>
      </c>
      <c r="BX342" s="21">
        <v>0</v>
      </c>
      <c r="BY342" s="21">
        <v>2</v>
      </c>
      <c r="BZ342" s="21">
        <v>0</v>
      </c>
      <c r="CA342" s="21">
        <v>1</v>
      </c>
      <c r="CB342" s="21">
        <v>0</v>
      </c>
      <c r="CC342" s="21">
        <v>1</v>
      </c>
      <c r="CD342" s="21">
        <v>1</v>
      </c>
      <c r="CE342" s="21">
        <v>0</v>
      </c>
      <c r="CF342" s="21">
        <v>0</v>
      </c>
      <c r="CG342" s="42">
        <v>0</v>
      </c>
      <c r="CH342" s="21">
        <v>0</v>
      </c>
      <c r="CI342" s="21">
        <v>0</v>
      </c>
      <c r="CJ342" s="21">
        <v>0</v>
      </c>
      <c r="CK342" s="21">
        <v>0</v>
      </c>
      <c r="CL342" s="21">
        <v>0</v>
      </c>
      <c r="CM342" s="21">
        <v>0</v>
      </c>
      <c r="CN342" s="21">
        <v>0</v>
      </c>
      <c r="CO342" s="21">
        <v>0</v>
      </c>
      <c r="CP342" s="21">
        <f t="shared" si="593"/>
        <v>0</v>
      </c>
      <c r="CQ342" s="343">
        <f t="shared" si="594"/>
        <v>0</v>
      </c>
      <c r="CR342" s="40"/>
      <c r="CS342" s="39"/>
      <c r="CT342" s="38">
        <f t="shared" si="539"/>
        <v>1</v>
      </c>
      <c r="CU342" s="38">
        <f t="shared" si="540"/>
        <v>10</v>
      </c>
      <c r="CV342" s="38">
        <f t="shared" si="541"/>
        <v>7</v>
      </c>
      <c r="CW342" s="38">
        <f t="shared" si="542"/>
        <v>3</v>
      </c>
      <c r="CX342" s="38">
        <f t="shared" si="543"/>
        <v>4</v>
      </c>
      <c r="CY342" s="39">
        <f t="shared" si="544"/>
        <v>6</v>
      </c>
      <c r="CZ342" s="40">
        <f t="shared" si="545"/>
        <v>1</v>
      </c>
      <c r="DA342" s="40">
        <f t="shared" si="546"/>
        <v>5</v>
      </c>
      <c r="DB342" s="40">
        <f t="shared" si="547"/>
        <v>2</v>
      </c>
      <c r="DC342" s="40">
        <f t="shared" si="548"/>
        <v>7</v>
      </c>
      <c r="DD342" s="40">
        <f t="shared" si="549"/>
        <v>5</v>
      </c>
      <c r="DE342" s="40">
        <f t="shared" si="550"/>
        <v>13</v>
      </c>
      <c r="DF342" s="40">
        <f t="shared" si="551"/>
        <v>4</v>
      </c>
      <c r="DG342" s="40">
        <f t="shared" si="552"/>
        <v>6</v>
      </c>
      <c r="DH342" s="40">
        <f t="shared" si="553"/>
        <v>6</v>
      </c>
      <c r="DI342" s="40">
        <f t="shared" si="554"/>
        <v>0</v>
      </c>
      <c r="DJ342" s="40">
        <f t="shared" si="555"/>
        <v>0</v>
      </c>
      <c r="DK342" s="39">
        <f t="shared" si="556"/>
        <v>0</v>
      </c>
      <c r="DL342" s="40">
        <f t="shared" si="557"/>
        <v>0</v>
      </c>
      <c r="DM342" s="40">
        <f t="shared" si="558"/>
        <v>0</v>
      </c>
      <c r="DN342" s="40">
        <f t="shared" si="559"/>
        <v>0</v>
      </c>
      <c r="DO342" s="40">
        <f t="shared" si="560"/>
        <v>0</v>
      </c>
      <c r="DP342" s="40">
        <f t="shared" si="561"/>
        <v>0</v>
      </c>
      <c r="DQ342" s="40">
        <f t="shared" si="562"/>
        <v>0</v>
      </c>
      <c r="DR342" s="87">
        <f t="shared" si="533"/>
        <v>0</v>
      </c>
      <c r="DS342" s="40">
        <f t="shared" si="534"/>
        <v>0</v>
      </c>
      <c r="DT342" s="40">
        <f t="shared" si="563"/>
        <v>0</v>
      </c>
      <c r="DU342" s="40">
        <f t="shared" si="564"/>
        <v>0</v>
      </c>
      <c r="DV342" s="40">
        <f t="shared" si="565"/>
        <v>0</v>
      </c>
      <c r="DW342" s="40">
        <f t="shared" si="566"/>
        <v>0</v>
      </c>
    </row>
    <row r="343" spans="1:127">
      <c r="A343" s="22" t="s">
        <v>133</v>
      </c>
      <c r="B343" s="26">
        <v>4987176247674</v>
      </c>
      <c r="C343" s="22" t="s">
        <v>133</v>
      </c>
      <c r="D343" s="22" t="s">
        <v>30</v>
      </c>
      <c r="E343" s="22">
        <v>232130</v>
      </c>
      <c r="F343" s="80" t="s">
        <v>429</v>
      </c>
      <c r="G343" s="25">
        <v>174.5</v>
      </c>
      <c r="H343" s="38">
        <f t="shared" si="567"/>
        <v>2268.5</v>
      </c>
      <c r="I343" s="38">
        <f t="shared" si="568"/>
        <v>16577.5</v>
      </c>
      <c r="J343" s="38">
        <f t="shared" si="569"/>
        <v>12040.5</v>
      </c>
      <c r="K343" s="38">
        <f t="shared" si="570"/>
        <v>12040.5</v>
      </c>
      <c r="L343" s="38">
        <f t="shared" si="571"/>
        <v>13785.5</v>
      </c>
      <c r="M343" s="39">
        <f t="shared" si="572"/>
        <v>9074</v>
      </c>
      <c r="N343" s="40">
        <f t="shared" si="573"/>
        <v>9074</v>
      </c>
      <c r="O343" s="40">
        <f t="shared" si="574"/>
        <v>11517</v>
      </c>
      <c r="P343" s="40">
        <f t="shared" si="575"/>
        <v>22685</v>
      </c>
      <c r="Q343" s="40">
        <f t="shared" si="576"/>
        <v>13436.5</v>
      </c>
      <c r="R343" s="40">
        <f t="shared" si="577"/>
        <v>17101</v>
      </c>
      <c r="S343" s="40">
        <f t="shared" si="578"/>
        <v>19369.5</v>
      </c>
      <c r="T343" s="40">
        <f t="shared" si="579"/>
        <v>25302.5</v>
      </c>
      <c r="U343" s="40">
        <f t="shared" si="580"/>
        <v>27920</v>
      </c>
      <c r="V343" s="40">
        <f t="shared" si="581"/>
        <v>16403</v>
      </c>
      <c r="W343" s="40">
        <f t="shared" si="582"/>
        <v>12913</v>
      </c>
      <c r="X343" s="40">
        <f t="shared" si="583"/>
        <v>19369.5</v>
      </c>
      <c r="Y343" s="39">
        <f t="shared" si="584"/>
        <v>18497</v>
      </c>
      <c r="Z343" s="40">
        <f t="shared" si="585"/>
        <v>23906.5</v>
      </c>
      <c r="AA343" s="40">
        <f t="shared" si="586"/>
        <v>17275.5</v>
      </c>
      <c r="AB343" s="40">
        <f t="shared" si="587"/>
        <v>15879.5</v>
      </c>
      <c r="AC343" s="40">
        <f t="shared" si="588"/>
        <v>18322.5</v>
      </c>
      <c r="AD343" s="40">
        <f t="shared" si="589"/>
        <v>12913</v>
      </c>
      <c r="AE343" s="40">
        <f t="shared" si="590"/>
        <v>23383</v>
      </c>
      <c r="AF343" s="40">
        <f t="shared" si="591"/>
        <v>20067.5</v>
      </c>
      <c r="AG343" s="40">
        <f t="shared" si="592"/>
        <v>22336</v>
      </c>
      <c r="AH343" s="40">
        <f t="shared" si="535"/>
        <v>17275.5</v>
      </c>
      <c r="AI343" s="40">
        <f t="shared" si="536"/>
        <v>16480.555555555555</v>
      </c>
      <c r="AJ343" s="40">
        <f t="shared" si="537"/>
        <v>0</v>
      </c>
      <c r="AK343" s="39">
        <f t="shared" si="538"/>
        <v>0</v>
      </c>
      <c r="AL343" s="38">
        <v>13</v>
      </c>
      <c r="AM343" s="38">
        <v>88</v>
      </c>
      <c r="AN343" s="38">
        <v>56</v>
      </c>
      <c r="AO343" s="38">
        <v>64</v>
      </c>
      <c r="AP343" s="38">
        <v>69</v>
      </c>
      <c r="AQ343" s="39">
        <v>45</v>
      </c>
      <c r="AR343" s="40">
        <v>31</v>
      </c>
      <c r="AS343" s="40">
        <v>61</v>
      </c>
      <c r="AT343" s="40">
        <v>103</v>
      </c>
      <c r="AU343" s="40">
        <v>70</v>
      </c>
      <c r="AV343" s="40">
        <v>86</v>
      </c>
      <c r="AW343" s="40">
        <v>111</v>
      </c>
      <c r="AX343" s="40">
        <v>134</v>
      </c>
      <c r="AY343" s="40">
        <v>142</v>
      </c>
      <c r="AZ343" s="40">
        <v>87</v>
      </c>
      <c r="BA343" s="40">
        <v>69</v>
      </c>
      <c r="BB343" s="40">
        <v>105</v>
      </c>
      <c r="BC343" s="39">
        <v>95</v>
      </c>
      <c r="BD343" s="40">
        <v>123</v>
      </c>
      <c r="BE343" s="40">
        <v>94</v>
      </c>
      <c r="BF343" s="40">
        <v>81</v>
      </c>
      <c r="BG343" s="40">
        <v>98</v>
      </c>
      <c r="BH343" s="40">
        <v>66</v>
      </c>
      <c r="BI343" s="40">
        <v>130</v>
      </c>
      <c r="BJ343" s="40">
        <v>111</v>
      </c>
      <c r="BK343" s="40">
        <v>125</v>
      </c>
      <c r="BL343" s="40">
        <v>96</v>
      </c>
      <c r="BM343" s="40">
        <v>88</v>
      </c>
      <c r="BN343" s="40"/>
      <c r="BO343" s="39"/>
      <c r="BP343" s="21">
        <v>0</v>
      </c>
      <c r="BQ343" s="21">
        <v>7</v>
      </c>
      <c r="BR343" s="21">
        <v>13</v>
      </c>
      <c r="BS343" s="21">
        <v>5</v>
      </c>
      <c r="BT343" s="21">
        <v>10</v>
      </c>
      <c r="BU343" s="42">
        <v>7</v>
      </c>
      <c r="BV343" s="21">
        <v>21</v>
      </c>
      <c r="BW343" s="21">
        <v>5</v>
      </c>
      <c r="BX343" s="21">
        <v>27</v>
      </c>
      <c r="BY343" s="21">
        <v>7</v>
      </c>
      <c r="BZ343" s="21">
        <v>12</v>
      </c>
      <c r="CA343" s="21">
        <v>0</v>
      </c>
      <c r="CB343" s="21">
        <v>11</v>
      </c>
      <c r="CC343" s="21">
        <v>18</v>
      </c>
      <c r="CD343" s="21">
        <v>7</v>
      </c>
      <c r="CE343" s="21">
        <v>5</v>
      </c>
      <c r="CF343" s="21">
        <v>6</v>
      </c>
      <c r="CG343" s="42">
        <v>11</v>
      </c>
      <c r="CH343" s="21">
        <v>14</v>
      </c>
      <c r="CI343" s="21">
        <v>5</v>
      </c>
      <c r="CJ343" s="21">
        <v>10</v>
      </c>
      <c r="CK343" s="21">
        <v>7</v>
      </c>
      <c r="CL343" s="21">
        <v>8</v>
      </c>
      <c r="CM343" s="21">
        <v>4</v>
      </c>
      <c r="CN343" s="21">
        <v>4</v>
      </c>
      <c r="CO343" s="21">
        <v>3</v>
      </c>
      <c r="CP343" s="21">
        <f t="shared" si="593"/>
        <v>3</v>
      </c>
      <c r="CQ343" s="343">
        <f t="shared" si="594"/>
        <v>6.4444444444444446</v>
      </c>
      <c r="CR343" s="40"/>
      <c r="CS343" s="39"/>
      <c r="CT343" s="38">
        <f t="shared" si="539"/>
        <v>13</v>
      </c>
      <c r="CU343" s="38">
        <f t="shared" si="540"/>
        <v>95</v>
      </c>
      <c r="CV343" s="38">
        <f t="shared" si="541"/>
        <v>69</v>
      </c>
      <c r="CW343" s="38">
        <f t="shared" si="542"/>
        <v>69</v>
      </c>
      <c r="CX343" s="38">
        <f t="shared" si="543"/>
        <v>79</v>
      </c>
      <c r="CY343" s="39">
        <f t="shared" si="544"/>
        <v>52</v>
      </c>
      <c r="CZ343" s="40">
        <f t="shared" si="545"/>
        <v>52</v>
      </c>
      <c r="DA343" s="40">
        <f t="shared" si="546"/>
        <v>66</v>
      </c>
      <c r="DB343" s="40">
        <f t="shared" si="547"/>
        <v>130</v>
      </c>
      <c r="DC343" s="40">
        <f t="shared" si="548"/>
        <v>77</v>
      </c>
      <c r="DD343" s="40">
        <f t="shared" si="549"/>
        <v>98</v>
      </c>
      <c r="DE343" s="40">
        <f t="shared" si="550"/>
        <v>111</v>
      </c>
      <c r="DF343" s="40">
        <f t="shared" si="551"/>
        <v>145</v>
      </c>
      <c r="DG343" s="40">
        <f t="shared" si="552"/>
        <v>160</v>
      </c>
      <c r="DH343" s="40">
        <f t="shared" si="553"/>
        <v>94</v>
      </c>
      <c r="DI343" s="40">
        <f t="shared" si="554"/>
        <v>74</v>
      </c>
      <c r="DJ343" s="40">
        <f t="shared" si="555"/>
        <v>111</v>
      </c>
      <c r="DK343" s="39">
        <f t="shared" si="556"/>
        <v>106</v>
      </c>
      <c r="DL343" s="40">
        <f t="shared" si="557"/>
        <v>137</v>
      </c>
      <c r="DM343" s="40">
        <f t="shared" si="558"/>
        <v>99</v>
      </c>
      <c r="DN343" s="40">
        <f t="shared" si="559"/>
        <v>91</v>
      </c>
      <c r="DO343" s="40">
        <f t="shared" si="560"/>
        <v>105</v>
      </c>
      <c r="DP343" s="40">
        <f t="shared" si="561"/>
        <v>74</v>
      </c>
      <c r="DQ343" s="40">
        <f t="shared" si="562"/>
        <v>134</v>
      </c>
      <c r="DR343" s="87">
        <f t="shared" si="533"/>
        <v>115</v>
      </c>
      <c r="DS343" s="40">
        <f t="shared" si="534"/>
        <v>128</v>
      </c>
      <c r="DT343" s="40">
        <f t="shared" si="563"/>
        <v>99</v>
      </c>
      <c r="DU343" s="40">
        <f t="shared" si="564"/>
        <v>94.444444444444443</v>
      </c>
      <c r="DV343" s="40">
        <f t="shared" si="565"/>
        <v>0</v>
      </c>
      <c r="DW343" s="40">
        <f t="shared" si="566"/>
        <v>0</v>
      </c>
    </row>
    <row r="344" spans="1:127">
      <c r="A344" s="22" t="s">
        <v>133</v>
      </c>
      <c r="B344" s="26">
        <v>4902430341820</v>
      </c>
      <c r="C344" s="22" t="s">
        <v>133</v>
      </c>
      <c r="D344" s="22" t="s">
        <v>30</v>
      </c>
      <c r="E344" s="22">
        <v>232198</v>
      </c>
      <c r="F344" s="80" t="s">
        <v>433</v>
      </c>
      <c r="G344" s="25">
        <v>457.7</v>
      </c>
      <c r="H344" s="38">
        <f t="shared" si="567"/>
        <v>6407.8</v>
      </c>
      <c r="I344" s="38">
        <f t="shared" si="568"/>
        <v>21969.599999999999</v>
      </c>
      <c r="J344" s="38">
        <f t="shared" si="569"/>
        <v>25631.200000000001</v>
      </c>
      <c r="K344" s="38">
        <f t="shared" si="570"/>
        <v>27004.3</v>
      </c>
      <c r="L344" s="38">
        <f t="shared" si="571"/>
        <v>25631.200000000001</v>
      </c>
      <c r="M344" s="39">
        <f t="shared" si="572"/>
        <v>21969.599999999999</v>
      </c>
      <c r="N344" s="40">
        <f t="shared" si="573"/>
        <v>27462</v>
      </c>
      <c r="O344" s="40">
        <f t="shared" si="574"/>
        <v>18765.7</v>
      </c>
      <c r="P344" s="40">
        <f t="shared" si="575"/>
        <v>18308</v>
      </c>
      <c r="Q344" s="40">
        <f t="shared" si="576"/>
        <v>18765.7</v>
      </c>
      <c r="R344" s="40">
        <f t="shared" si="577"/>
        <v>27004.3</v>
      </c>
      <c r="S344" s="40">
        <f t="shared" si="578"/>
        <v>17392.599999999999</v>
      </c>
      <c r="T344" s="40">
        <f t="shared" si="579"/>
        <v>13731</v>
      </c>
      <c r="U344" s="40">
        <f t="shared" si="580"/>
        <v>24258.1</v>
      </c>
      <c r="V344" s="40">
        <f t="shared" si="581"/>
        <v>11442.5</v>
      </c>
      <c r="W344" s="40">
        <f t="shared" si="582"/>
        <v>8238.6</v>
      </c>
      <c r="X344" s="40">
        <f t="shared" si="583"/>
        <v>10984.8</v>
      </c>
      <c r="Y344" s="39">
        <f t="shared" si="584"/>
        <v>15104.1</v>
      </c>
      <c r="Z344" s="40">
        <f t="shared" si="585"/>
        <v>16019.5</v>
      </c>
      <c r="AA344" s="40">
        <f t="shared" si="586"/>
        <v>11900.199999999999</v>
      </c>
      <c r="AB344" s="40">
        <f t="shared" si="587"/>
        <v>10069.4</v>
      </c>
      <c r="AC344" s="40">
        <f t="shared" si="588"/>
        <v>18765.7</v>
      </c>
      <c r="AD344" s="40">
        <f t="shared" si="589"/>
        <v>19681.099999999999</v>
      </c>
      <c r="AE344" s="40">
        <f t="shared" si="590"/>
        <v>19223.399999999998</v>
      </c>
      <c r="AF344" s="40">
        <f t="shared" si="591"/>
        <v>16477.2</v>
      </c>
      <c r="AG344" s="40">
        <f t="shared" si="592"/>
        <v>6407.8</v>
      </c>
      <c r="AH344" s="40">
        <f t="shared" si="535"/>
        <v>5034.7</v>
      </c>
      <c r="AI344" s="40">
        <f t="shared" si="536"/>
        <v>16070.355555555556</v>
      </c>
      <c r="AJ344" s="40">
        <f t="shared" si="537"/>
        <v>0</v>
      </c>
      <c r="AK344" s="39">
        <f t="shared" si="538"/>
        <v>0</v>
      </c>
      <c r="AL344" s="38">
        <v>11</v>
      </c>
      <c r="AM344" s="38">
        <v>34</v>
      </c>
      <c r="AN344" s="38">
        <v>31</v>
      </c>
      <c r="AO344" s="38">
        <v>43</v>
      </c>
      <c r="AP344" s="38">
        <v>43</v>
      </c>
      <c r="AQ344" s="39">
        <v>29</v>
      </c>
      <c r="AR344" s="40">
        <v>25</v>
      </c>
      <c r="AS344" s="40">
        <v>28</v>
      </c>
      <c r="AT344" s="40">
        <v>21</v>
      </c>
      <c r="AU344" s="40">
        <v>30</v>
      </c>
      <c r="AV344" s="40">
        <v>32</v>
      </c>
      <c r="AW344" s="40">
        <v>33</v>
      </c>
      <c r="AX344" s="40">
        <v>25</v>
      </c>
      <c r="AY344" s="40">
        <v>22</v>
      </c>
      <c r="AZ344" s="40">
        <v>17</v>
      </c>
      <c r="BA344" s="40">
        <v>15</v>
      </c>
      <c r="BB344" s="40">
        <v>16</v>
      </c>
      <c r="BC344" s="39">
        <v>18</v>
      </c>
      <c r="BD344" s="40">
        <v>23</v>
      </c>
      <c r="BE344" s="40">
        <v>16</v>
      </c>
      <c r="BF344" s="40">
        <v>14</v>
      </c>
      <c r="BG344" s="40">
        <v>14</v>
      </c>
      <c r="BH344" s="40">
        <v>14</v>
      </c>
      <c r="BI344" s="40">
        <v>20</v>
      </c>
      <c r="BJ344" s="40">
        <v>12</v>
      </c>
      <c r="BK344" s="40">
        <v>12</v>
      </c>
      <c r="BL344" s="40">
        <v>9</v>
      </c>
      <c r="BM344" s="40">
        <v>20</v>
      </c>
      <c r="BN344" s="40"/>
      <c r="BO344" s="39"/>
      <c r="BP344" s="21">
        <v>3</v>
      </c>
      <c r="BQ344" s="21">
        <v>14</v>
      </c>
      <c r="BR344" s="21">
        <v>25</v>
      </c>
      <c r="BS344" s="21">
        <v>16</v>
      </c>
      <c r="BT344" s="21">
        <v>13</v>
      </c>
      <c r="BU344" s="42">
        <v>19</v>
      </c>
      <c r="BV344" s="21">
        <v>35</v>
      </c>
      <c r="BW344" s="21">
        <v>13</v>
      </c>
      <c r="BX344" s="21">
        <v>19</v>
      </c>
      <c r="BY344" s="21">
        <v>11</v>
      </c>
      <c r="BZ344" s="21">
        <v>27</v>
      </c>
      <c r="CA344" s="21">
        <v>5</v>
      </c>
      <c r="CB344" s="21">
        <v>5</v>
      </c>
      <c r="CC344" s="21">
        <v>31</v>
      </c>
      <c r="CD344" s="21">
        <v>8</v>
      </c>
      <c r="CE344" s="21">
        <v>3</v>
      </c>
      <c r="CF344" s="21">
        <v>8</v>
      </c>
      <c r="CG344" s="42">
        <v>15</v>
      </c>
      <c r="CH344" s="21">
        <v>12</v>
      </c>
      <c r="CI344" s="21">
        <v>10</v>
      </c>
      <c r="CJ344" s="21">
        <v>8</v>
      </c>
      <c r="CK344" s="21">
        <v>27</v>
      </c>
      <c r="CL344" s="21">
        <v>29</v>
      </c>
      <c r="CM344" s="21">
        <v>22</v>
      </c>
      <c r="CN344" s="21">
        <v>24</v>
      </c>
      <c r="CO344" s="21">
        <v>2</v>
      </c>
      <c r="CP344" s="21">
        <f t="shared" si="593"/>
        <v>2</v>
      </c>
      <c r="CQ344" s="343">
        <f t="shared" si="594"/>
        <v>15.111111111111111</v>
      </c>
      <c r="CR344" s="40"/>
      <c r="CS344" s="39"/>
      <c r="CT344" s="38">
        <f t="shared" si="539"/>
        <v>14</v>
      </c>
      <c r="CU344" s="38">
        <f t="shared" si="540"/>
        <v>48</v>
      </c>
      <c r="CV344" s="38">
        <f t="shared" si="541"/>
        <v>56</v>
      </c>
      <c r="CW344" s="38">
        <f t="shared" si="542"/>
        <v>59</v>
      </c>
      <c r="CX344" s="38">
        <f t="shared" si="543"/>
        <v>56</v>
      </c>
      <c r="CY344" s="39">
        <f t="shared" si="544"/>
        <v>48</v>
      </c>
      <c r="CZ344" s="40">
        <f t="shared" si="545"/>
        <v>60</v>
      </c>
      <c r="DA344" s="40">
        <f t="shared" si="546"/>
        <v>41</v>
      </c>
      <c r="DB344" s="40">
        <f t="shared" si="547"/>
        <v>40</v>
      </c>
      <c r="DC344" s="40">
        <f t="shared" si="548"/>
        <v>41</v>
      </c>
      <c r="DD344" s="40">
        <f t="shared" si="549"/>
        <v>59</v>
      </c>
      <c r="DE344" s="40">
        <f t="shared" si="550"/>
        <v>38</v>
      </c>
      <c r="DF344" s="40">
        <f t="shared" si="551"/>
        <v>30</v>
      </c>
      <c r="DG344" s="40">
        <f t="shared" si="552"/>
        <v>53</v>
      </c>
      <c r="DH344" s="40">
        <f t="shared" si="553"/>
        <v>25</v>
      </c>
      <c r="DI344" s="40">
        <f t="shared" si="554"/>
        <v>18</v>
      </c>
      <c r="DJ344" s="40">
        <f t="shared" si="555"/>
        <v>24</v>
      </c>
      <c r="DK344" s="39">
        <f t="shared" si="556"/>
        <v>33</v>
      </c>
      <c r="DL344" s="40">
        <f t="shared" si="557"/>
        <v>35</v>
      </c>
      <c r="DM344" s="40">
        <f t="shared" si="558"/>
        <v>26</v>
      </c>
      <c r="DN344" s="40">
        <f t="shared" si="559"/>
        <v>22</v>
      </c>
      <c r="DO344" s="40">
        <f t="shared" si="560"/>
        <v>41</v>
      </c>
      <c r="DP344" s="40">
        <f t="shared" si="561"/>
        <v>43</v>
      </c>
      <c r="DQ344" s="40">
        <f t="shared" si="562"/>
        <v>42</v>
      </c>
      <c r="DR344" s="87">
        <f t="shared" si="533"/>
        <v>36</v>
      </c>
      <c r="DS344" s="40">
        <f t="shared" si="534"/>
        <v>14</v>
      </c>
      <c r="DT344" s="40">
        <f t="shared" si="563"/>
        <v>11</v>
      </c>
      <c r="DU344" s="40">
        <f t="shared" si="564"/>
        <v>35.111111111111114</v>
      </c>
      <c r="DV344" s="40">
        <f t="shared" si="565"/>
        <v>0</v>
      </c>
      <c r="DW344" s="40">
        <f t="shared" si="566"/>
        <v>0</v>
      </c>
    </row>
    <row r="345" spans="1:127">
      <c r="A345" s="22" t="s">
        <v>133</v>
      </c>
      <c r="B345" s="26">
        <v>4902430341844</v>
      </c>
      <c r="C345" s="22" t="s">
        <v>133</v>
      </c>
      <c r="D345" s="22" t="s">
        <v>30</v>
      </c>
      <c r="E345" s="22">
        <v>232217</v>
      </c>
      <c r="F345" s="80" t="s">
        <v>434</v>
      </c>
      <c r="G345" s="25">
        <v>272.59999999999997</v>
      </c>
      <c r="H345" s="38">
        <f t="shared" si="567"/>
        <v>4361.5999999999995</v>
      </c>
      <c r="I345" s="38">
        <f t="shared" si="568"/>
        <v>23443.599999999999</v>
      </c>
      <c r="J345" s="38">
        <f t="shared" si="569"/>
        <v>24261.399999999998</v>
      </c>
      <c r="K345" s="38">
        <f t="shared" si="570"/>
        <v>14992.999999999998</v>
      </c>
      <c r="L345" s="38">
        <f t="shared" si="571"/>
        <v>12539.599999999999</v>
      </c>
      <c r="M345" s="39">
        <f t="shared" si="572"/>
        <v>8995.7999999999993</v>
      </c>
      <c r="N345" s="40">
        <f t="shared" si="573"/>
        <v>8450.5999999999985</v>
      </c>
      <c r="O345" s="40">
        <f t="shared" si="574"/>
        <v>18264.199999999997</v>
      </c>
      <c r="P345" s="40">
        <f t="shared" si="575"/>
        <v>16355.999999999998</v>
      </c>
      <c r="Q345" s="40">
        <f t="shared" si="576"/>
        <v>13629.999999999998</v>
      </c>
      <c r="R345" s="40">
        <f t="shared" si="577"/>
        <v>22898.399999999998</v>
      </c>
      <c r="S345" s="40">
        <f t="shared" si="578"/>
        <v>17446.399999999998</v>
      </c>
      <c r="T345" s="40">
        <f t="shared" si="579"/>
        <v>27259.999999999996</v>
      </c>
      <c r="U345" s="40">
        <f t="shared" si="580"/>
        <v>25079.199999999997</v>
      </c>
      <c r="V345" s="40">
        <f t="shared" si="581"/>
        <v>20990.199999999997</v>
      </c>
      <c r="W345" s="40">
        <f t="shared" si="582"/>
        <v>16628.599999999999</v>
      </c>
      <c r="X345" s="40">
        <f t="shared" si="583"/>
        <v>23170.999999999996</v>
      </c>
      <c r="Y345" s="39">
        <f t="shared" si="584"/>
        <v>16355.999999999998</v>
      </c>
      <c r="Z345" s="40">
        <f t="shared" si="585"/>
        <v>22353.199999999997</v>
      </c>
      <c r="AA345" s="40">
        <f t="shared" si="586"/>
        <v>16628.599999999999</v>
      </c>
      <c r="AB345" s="40">
        <f t="shared" si="587"/>
        <v>15810.799999999997</v>
      </c>
      <c r="AC345" s="40">
        <f t="shared" si="588"/>
        <v>20717.599999999999</v>
      </c>
      <c r="AD345" s="40">
        <f t="shared" si="589"/>
        <v>20717.599999999999</v>
      </c>
      <c r="AE345" s="40">
        <f t="shared" si="590"/>
        <v>26987.399999999998</v>
      </c>
      <c r="AF345" s="40">
        <f t="shared" si="591"/>
        <v>19627.199999999997</v>
      </c>
      <c r="AG345" s="40">
        <f t="shared" si="592"/>
        <v>25351.799999999996</v>
      </c>
      <c r="AH345" s="40">
        <f t="shared" si="535"/>
        <v>19354.599999999999</v>
      </c>
      <c r="AI345" s="40">
        <f t="shared" si="536"/>
        <v>22413.777777777777</v>
      </c>
      <c r="AJ345" s="40">
        <f t="shared" si="537"/>
        <v>0</v>
      </c>
      <c r="AK345" s="39">
        <f t="shared" si="538"/>
        <v>0</v>
      </c>
      <c r="AL345" s="38">
        <v>14</v>
      </c>
      <c r="AM345" s="38">
        <v>72</v>
      </c>
      <c r="AN345" s="38">
        <v>77</v>
      </c>
      <c r="AO345" s="38">
        <v>51</v>
      </c>
      <c r="AP345" s="38">
        <v>38</v>
      </c>
      <c r="AQ345" s="39">
        <v>28</v>
      </c>
      <c r="AR345" s="40">
        <v>27</v>
      </c>
      <c r="AS345" s="40">
        <v>62</v>
      </c>
      <c r="AT345" s="40">
        <v>50</v>
      </c>
      <c r="AU345" s="40">
        <v>47</v>
      </c>
      <c r="AV345" s="40">
        <v>81</v>
      </c>
      <c r="AW345" s="40">
        <v>61</v>
      </c>
      <c r="AX345" s="40">
        <v>91</v>
      </c>
      <c r="AY345" s="40">
        <v>75</v>
      </c>
      <c r="AZ345" s="40">
        <v>68</v>
      </c>
      <c r="BA345" s="40">
        <v>53</v>
      </c>
      <c r="BB345" s="40">
        <v>78</v>
      </c>
      <c r="BC345" s="39">
        <v>53</v>
      </c>
      <c r="BD345" s="40">
        <v>78</v>
      </c>
      <c r="BE345" s="40">
        <v>58</v>
      </c>
      <c r="BF345" s="40">
        <v>55</v>
      </c>
      <c r="BG345" s="40">
        <v>68</v>
      </c>
      <c r="BH345" s="40">
        <v>71</v>
      </c>
      <c r="BI345" s="40">
        <v>94</v>
      </c>
      <c r="BJ345" s="40">
        <v>70</v>
      </c>
      <c r="BK345" s="40">
        <v>89</v>
      </c>
      <c r="BL345" s="40">
        <v>67</v>
      </c>
      <c r="BM345" s="40">
        <v>78</v>
      </c>
      <c r="BN345" s="40"/>
      <c r="BO345" s="39"/>
      <c r="BP345" s="21">
        <v>2</v>
      </c>
      <c r="BQ345" s="21">
        <v>14</v>
      </c>
      <c r="BR345" s="21">
        <v>12</v>
      </c>
      <c r="BS345" s="21">
        <v>4</v>
      </c>
      <c r="BT345" s="21">
        <v>8</v>
      </c>
      <c r="BU345" s="42">
        <v>5</v>
      </c>
      <c r="BV345" s="21">
        <v>4</v>
      </c>
      <c r="BW345" s="21">
        <v>5</v>
      </c>
      <c r="BX345" s="21">
        <v>10</v>
      </c>
      <c r="BY345" s="21">
        <v>3</v>
      </c>
      <c r="BZ345" s="21">
        <v>3</v>
      </c>
      <c r="CA345" s="21">
        <v>3</v>
      </c>
      <c r="CB345" s="21">
        <v>9</v>
      </c>
      <c r="CC345" s="21">
        <v>17</v>
      </c>
      <c r="CD345" s="21">
        <v>9</v>
      </c>
      <c r="CE345" s="21">
        <v>8</v>
      </c>
      <c r="CF345" s="21">
        <v>7</v>
      </c>
      <c r="CG345" s="42">
        <v>7</v>
      </c>
      <c r="CH345" s="21">
        <v>4</v>
      </c>
      <c r="CI345" s="21">
        <v>3</v>
      </c>
      <c r="CJ345" s="21">
        <v>3</v>
      </c>
      <c r="CK345" s="21">
        <v>8</v>
      </c>
      <c r="CL345" s="21">
        <v>5</v>
      </c>
      <c r="CM345" s="21">
        <v>5</v>
      </c>
      <c r="CN345" s="21">
        <v>2</v>
      </c>
      <c r="CO345" s="21">
        <v>4</v>
      </c>
      <c r="CP345" s="21">
        <f t="shared" si="593"/>
        <v>4</v>
      </c>
      <c r="CQ345" s="343">
        <f t="shared" si="594"/>
        <v>4.2222222222222223</v>
      </c>
      <c r="CR345" s="40"/>
      <c r="CS345" s="39"/>
      <c r="CT345" s="38">
        <f t="shared" si="539"/>
        <v>16</v>
      </c>
      <c r="CU345" s="38">
        <f t="shared" si="540"/>
        <v>86</v>
      </c>
      <c r="CV345" s="38">
        <f t="shared" si="541"/>
        <v>89</v>
      </c>
      <c r="CW345" s="38">
        <f t="shared" si="542"/>
        <v>55</v>
      </c>
      <c r="CX345" s="38">
        <f t="shared" si="543"/>
        <v>46</v>
      </c>
      <c r="CY345" s="39">
        <f t="shared" si="544"/>
        <v>33</v>
      </c>
      <c r="CZ345" s="40">
        <f t="shared" si="545"/>
        <v>31</v>
      </c>
      <c r="DA345" s="40">
        <f t="shared" si="546"/>
        <v>67</v>
      </c>
      <c r="DB345" s="40">
        <f t="shared" si="547"/>
        <v>60</v>
      </c>
      <c r="DC345" s="40">
        <f t="shared" si="548"/>
        <v>50</v>
      </c>
      <c r="DD345" s="40">
        <f t="shared" si="549"/>
        <v>84</v>
      </c>
      <c r="DE345" s="40">
        <f t="shared" si="550"/>
        <v>64</v>
      </c>
      <c r="DF345" s="40">
        <f t="shared" si="551"/>
        <v>100</v>
      </c>
      <c r="DG345" s="40">
        <f t="shared" si="552"/>
        <v>92</v>
      </c>
      <c r="DH345" s="40">
        <f t="shared" si="553"/>
        <v>77</v>
      </c>
      <c r="DI345" s="40">
        <f t="shared" si="554"/>
        <v>61</v>
      </c>
      <c r="DJ345" s="40">
        <f t="shared" si="555"/>
        <v>85</v>
      </c>
      <c r="DK345" s="39">
        <f t="shared" si="556"/>
        <v>60</v>
      </c>
      <c r="DL345" s="40">
        <f t="shared" si="557"/>
        <v>82</v>
      </c>
      <c r="DM345" s="40">
        <f t="shared" si="558"/>
        <v>61</v>
      </c>
      <c r="DN345" s="40">
        <f t="shared" si="559"/>
        <v>58</v>
      </c>
      <c r="DO345" s="40">
        <f t="shared" si="560"/>
        <v>76</v>
      </c>
      <c r="DP345" s="40">
        <f t="shared" si="561"/>
        <v>76</v>
      </c>
      <c r="DQ345" s="40">
        <f t="shared" si="562"/>
        <v>99</v>
      </c>
      <c r="DR345" s="87">
        <f t="shared" si="533"/>
        <v>72</v>
      </c>
      <c r="DS345" s="40">
        <f t="shared" si="534"/>
        <v>93</v>
      </c>
      <c r="DT345" s="40">
        <f t="shared" si="563"/>
        <v>71</v>
      </c>
      <c r="DU345" s="40">
        <f t="shared" si="564"/>
        <v>82.222222222222229</v>
      </c>
      <c r="DV345" s="40">
        <f t="shared" si="565"/>
        <v>0</v>
      </c>
      <c r="DW345" s="40">
        <f t="shared" si="566"/>
        <v>0</v>
      </c>
    </row>
    <row r="346" spans="1:127">
      <c r="A346" s="22" t="s">
        <v>133</v>
      </c>
      <c r="B346" s="26">
        <v>4902430340526</v>
      </c>
      <c r="C346" s="22" t="s">
        <v>133</v>
      </c>
      <c r="D346" s="22" t="s">
        <v>30</v>
      </c>
      <c r="E346" s="22">
        <v>232016</v>
      </c>
      <c r="F346" s="80" t="s">
        <v>435</v>
      </c>
      <c r="G346" s="25">
        <v>307.8</v>
      </c>
      <c r="H346" s="38">
        <f t="shared" si="567"/>
        <v>307.8</v>
      </c>
      <c r="I346" s="38">
        <f t="shared" si="568"/>
        <v>0</v>
      </c>
      <c r="J346" s="38">
        <f t="shared" si="569"/>
        <v>2154.6</v>
      </c>
      <c r="K346" s="38">
        <f t="shared" si="570"/>
        <v>2770.2000000000003</v>
      </c>
      <c r="L346" s="38">
        <f t="shared" si="571"/>
        <v>615.6</v>
      </c>
      <c r="M346" s="39">
        <f t="shared" si="572"/>
        <v>1539</v>
      </c>
      <c r="N346" s="40">
        <f t="shared" si="573"/>
        <v>1539</v>
      </c>
      <c r="O346" s="40">
        <f t="shared" si="574"/>
        <v>1846.8000000000002</v>
      </c>
      <c r="P346" s="40">
        <f t="shared" si="575"/>
        <v>2462.4</v>
      </c>
      <c r="Q346" s="40">
        <f t="shared" si="576"/>
        <v>2462.4</v>
      </c>
      <c r="R346" s="40">
        <f t="shared" si="577"/>
        <v>2462.4</v>
      </c>
      <c r="S346" s="40">
        <f t="shared" si="578"/>
        <v>3078</v>
      </c>
      <c r="T346" s="40">
        <f t="shared" si="579"/>
        <v>4309.2</v>
      </c>
      <c r="U346" s="40">
        <f t="shared" si="580"/>
        <v>6156</v>
      </c>
      <c r="V346" s="40">
        <f t="shared" si="581"/>
        <v>5540.4000000000005</v>
      </c>
      <c r="W346" s="40">
        <f t="shared" si="582"/>
        <v>923.40000000000009</v>
      </c>
      <c r="X346" s="40">
        <f t="shared" si="583"/>
        <v>2154.6</v>
      </c>
      <c r="Y346" s="39">
        <f t="shared" si="584"/>
        <v>923.40000000000009</v>
      </c>
      <c r="Z346" s="40">
        <f t="shared" si="585"/>
        <v>2154.6</v>
      </c>
      <c r="AA346" s="40">
        <f t="shared" si="586"/>
        <v>1539</v>
      </c>
      <c r="AB346" s="40">
        <f t="shared" si="587"/>
        <v>1231.2</v>
      </c>
      <c r="AC346" s="40">
        <f t="shared" si="588"/>
        <v>2462.4</v>
      </c>
      <c r="AD346" s="40">
        <f t="shared" si="589"/>
        <v>307.8</v>
      </c>
      <c r="AE346" s="40">
        <f t="shared" si="590"/>
        <v>2770.2000000000003</v>
      </c>
      <c r="AF346" s="40">
        <f t="shared" si="591"/>
        <v>1846.8000000000002</v>
      </c>
      <c r="AG346" s="40">
        <f t="shared" si="592"/>
        <v>1539</v>
      </c>
      <c r="AH346" s="40">
        <f t="shared" si="535"/>
        <v>1539</v>
      </c>
      <c r="AI346" s="40">
        <f t="shared" si="536"/>
        <v>1060.2</v>
      </c>
      <c r="AJ346" s="40">
        <f t="shared" si="537"/>
        <v>0</v>
      </c>
      <c r="AK346" s="39">
        <f t="shared" si="538"/>
        <v>0</v>
      </c>
      <c r="AL346" s="38">
        <v>1</v>
      </c>
      <c r="AM346" s="38">
        <v>0</v>
      </c>
      <c r="AN346" s="38">
        <v>4</v>
      </c>
      <c r="AO346" s="38">
        <v>6</v>
      </c>
      <c r="AP346" s="38">
        <v>1</v>
      </c>
      <c r="AQ346" s="39">
        <v>3</v>
      </c>
      <c r="AR346" s="40">
        <v>5</v>
      </c>
      <c r="AS346" s="40">
        <v>5</v>
      </c>
      <c r="AT346" s="40">
        <v>3</v>
      </c>
      <c r="AU346" s="40">
        <v>6</v>
      </c>
      <c r="AV346" s="40">
        <v>6</v>
      </c>
      <c r="AW346" s="40">
        <v>10</v>
      </c>
      <c r="AX346" s="40">
        <v>11</v>
      </c>
      <c r="AY346" s="40">
        <v>3</v>
      </c>
      <c r="AZ346" s="40">
        <v>7</v>
      </c>
      <c r="BA346" s="40">
        <v>3</v>
      </c>
      <c r="BB346" s="40">
        <v>6</v>
      </c>
      <c r="BC346" s="39">
        <v>2</v>
      </c>
      <c r="BD346" s="40">
        <v>7</v>
      </c>
      <c r="BE346" s="40">
        <v>4</v>
      </c>
      <c r="BF346" s="40">
        <v>4</v>
      </c>
      <c r="BG346" s="40">
        <v>6</v>
      </c>
      <c r="BH346" s="40">
        <v>1</v>
      </c>
      <c r="BI346" s="40">
        <v>9</v>
      </c>
      <c r="BJ346" s="40">
        <v>5</v>
      </c>
      <c r="BK346" s="40">
        <v>5</v>
      </c>
      <c r="BL346" s="40">
        <v>5</v>
      </c>
      <c r="BM346" s="40">
        <v>3</v>
      </c>
      <c r="BN346" s="40"/>
      <c r="BO346" s="39"/>
      <c r="BP346" s="21">
        <v>0</v>
      </c>
      <c r="BQ346" s="21">
        <v>0</v>
      </c>
      <c r="BR346" s="21">
        <v>3</v>
      </c>
      <c r="BS346" s="21">
        <v>3</v>
      </c>
      <c r="BT346" s="21">
        <v>1</v>
      </c>
      <c r="BU346" s="42">
        <v>2</v>
      </c>
      <c r="BV346" s="21">
        <v>0</v>
      </c>
      <c r="BW346" s="21">
        <v>1</v>
      </c>
      <c r="BX346" s="21">
        <v>5</v>
      </c>
      <c r="BY346" s="21">
        <v>2</v>
      </c>
      <c r="BZ346" s="21">
        <v>2</v>
      </c>
      <c r="CA346" s="21">
        <v>0</v>
      </c>
      <c r="CB346" s="21">
        <v>3</v>
      </c>
      <c r="CC346" s="21">
        <v>17</v>
      </c>
      <c r="CD346" s="21">
        <v>11</v>
      </c>
      <c r="CE346" s="21">
        <v>0</v>
      </c>
      <c r="CF346" s="21">
        <v>1</v>
      </c>
      <c r="CG346" s="42">
        <v>1</v>
      </c>
      <c r="CH346" s="21">
        <v>0</v>
      </c>
      <c r="CI346" s="21">
        <v>1</v>
      </c>
      <c r="CJ346" s="21">
        <v>0</v>
      </c>
      <c r="CK346" s="21">
        <v>2</v>
      </c>
      <c r="CL346" s="21">
        <v>0</v>
      </c>
      <c r="CM346" s="21">
        <v>0</v>
      </c>
      <c r="CN346" s="21">
        <v>1</v>
      </c>
      <c r="CO346" s="21">
        <v>0</v>
      </c>
      <c r="CP346" s="21">
        <f t="shared" si="593"/>
        <v>0</v>
      </c>
      <c r="CQ346" s="343">
        <f t="shared" si="594"/>
        <v>0.44444444444444442</v>
      </c>
      <c r="CR346" s="40"/>
      <c r="CS346" s="39"/>
      <c r="CT346" s="38">
        <f t="shared" si="539"/>
        <v>1</v>
      </c>
      <c r="CU346" s="38">
        <f t="shared" si="540"/>
        <v>0</v>
      </c>
      <c r="CV346" s="38">
        <f t="shared" si="541"/>
        <v>7</v>
      </c>
      <c r="CW346" s="38">
        <f t="shared" si="542"/>
        <v>9</v>
      </c>
      <c r="CX346" s="38">
        <f t="shared" si="543"/>
        <v>2</v>
      </c>
      <c r="CY346" s="39">
        <f t="shared" si="544"/>
        <v>5</v>
      </c>
      <c r="CZ346" s="40">
        <f t="shared" si="545"/>
        <v>5</v>
      </c>
      <c r="DA346" s="40">
        <f t="shared" si="546"/>
        <v>6</v>
      </c>
      <c r="DB346" s="40">
        <f t="shared" si="547"/>
        <v>8</v>
      </c>
      <c r="DC346" s="40">
        <f t="shared" si="548"/>
        <v>8</v>
      </c>
      <c r="DD346" s="40">
        <f t="shared" si="549"/>
        <v>8</v>
      </c>
      <c r="DE346" s="40">
        <f t="shared" si="550"/>
        <v>10</v>
      </c>
      <c r="DF346" s="40">
        <f t="shared" si="551"/>
        <v>14</v>
      </c>
      <c r="DG346" s="40">
        <f t="shared" si="552"/>
        <v>20</v>
      </c>
      <c r="DH346" s="40">
        <f t="shared" si="553"/>
        <v>18</v>
      </c>
      <c r="DI346" s="40">
        <f t="shared" si="554"/>
        <v>3</v>
      </c>
      <c r="DJ346" s="40">
        <f t="shared" si="555"/>
        <v>7</v>
      </c>
      <c r="DK346" s="39">
        <f t="shared" si="556"/>
        <v>3</v>
      </c>
      <c r="DL346" s="40">
        <f t="shared" si="557"/>
        <v>7</v>
      </c>
      <c r="DM346" s="40">
        <f t="shared" si="558"/>
        <v>5</v>
      </c>
      <c r="DN346" s="40">
        <f t="shared" si="559"/>
        <v>4</v>
      </c>
      <c r="DO346" s="40">
        <f t="shared" si="560"/>
        <v>8</v>
      </c>
      <c r="DP346" s="40">
        <f t="shared" si="561"/>
        <v>1</v>
      </c>
      <c r="DQ346" s="40">
        <f t="shared" si="562"/>
        <v>9</v>
      </c>
      <c r="DR346" s="87">
        <f t="shared" si="533"/>
        <v>6</v>
      </c>
      <c r="DS346" s="40">
        <f t="shared" si="534"/>
        <v>5</v>
      </c>
      <c r="DT346" s="40">
        <f t="shared" si="563"/>
        <v>5</v>
      </c>
      <c r="DU346" s="40">
        <f t="shared" si="564"/>
        <v>3.4444444444444446</v>
      </c>
      <c r="DV346" s="40">
        <f t="shared" si="565"/>
        <v>0</v>
      </c>
      <c r="DW346" s="40">
        <f t="shared" si="566"/>
        <v>0</v>
      </c>
    </row>
    <row r="347" spans="1:127">
      <c r="A347" s="22" t="s">
        <v>133</v>
      </c>
      <c r="B347" s="26">
        <v>4987176134578</v>
      </c>
      <c r="C347" s="22" t="s">
        <v>133</v>
      </c>
      <c r="D347" s="22" t="s">
        <v>31</v>
      </c>
      <c r="E347" s="22">
        <v>223671</v>
      </c>
      <c r="F347" s="80" t="s">
        <v>436</v>
      </c>
      <c r="G347" s="25">
        <v>608.80000000000007</v>
      </c>
      <c r="H347" s="38">
        <f t="shared" si="567"/>
        <v>154635.20000000001</v>
      </c>
      <c r="I347" s="38">
        <f t="shared" si="568"/>
        <v>157679.20000000001</v>
      </c>
      <c r="J347" s="38">
        <f t="shared" si="569"/>
        <v>46268.800000000003</v>
      </c>
      <c r="K347" s="38">
        <f t="shared" si="570"/>
        <v>73664.800000000003</v>
      </c>
      <c r="L347" s="38">
        <f t="shared" si="571"/>
        <v>103496.00000000001</v>
      </c>
      <c r="M347" s="39">
        <f t="shared" si="572"/>
        <v>13393.600000000002</v>
      </c>
      <c r="N347" s="40">
        <f t="shared" si="573"/>
        <v>27396.000000000004</v>
      </c>
      <c r="O347" s="40">
        <f t="shared" si="574"/>
        <v>126630.40000000001</v>
      </c>
      <c r="P347" s="40">
        <f t="shared" si="575"/>
        <v>66968.000000000015</v>
      </c>
      <c r="Q347" s="40">
        <f t="shared" si="576"/>
        <v>66968.000000000015</v>
      </c>
      <c r="R347" s="40">
        <f t="shared" si="577"/>
        <v>124195.20000000001</v>
      </c>
      <c r="S347" s="40">
        <f t="shared" si="578"/>
        <v>141850.40000000002</v>
      </c>
      <c r="T347" s="40">
        <f t="shared" si="579"/>
        <v>138806.40000000002</v>
      </c>
      <c r="U347" s="40">
        <f t="shared" si="580"/>
        <v>94364.000000000015</v>
      </c>
      <c r="V347" s="40">
        <f t="shared" si="581"/>
        <v>79144.000000000015</v>
      </c>
      <c r="W347" s="40">
        <f t="shared" si="582"/>
        <v>96190.400000000009</v>
      </c>
      <c r="X347" s="40">
        <f t="shared" si="583"/>
        <v>113845.6</v>
      </c>
      <c r="Y347" s="39">
        <f t="shared" si="584"/>
        <v>124804.00000000001</v>
      </c>
      <c r="Z347" s="40">
        <f t="shared" si="585"/>
        <v>113236.80000000002</v>
      </c>
      <c r="AA347" s="40">
        <f t="shared" si="586"/>
        <v>83405.600000000006</v>
      </c>
      <c r="AB347" s="40">
        <f t="shared" si="587"/>
        <v>104104.80000000002</v>
      </c>
      <c r="AC347" s="40">
        <f t="shared" si="588"/>
        <v>161940.80000000002</v>
      </c>
      <c r="AD347" s="40">
        <f t="shared" si="589"/>
        <v>141850.40000000002</v>
      </c>
      <c r="AE347" s="40">
        <f t="shared" si="590"/>
        <v>180813.6</v>
      </c>
      <c r="AF347" s="40">
        <f t="shared" si="591"/>
        <v>74273.600000000006</v>
      </c>
      <c r="AG347" s="40">
        <f t="shared" si="592"/>
        <v>135762.40000000002</v>
      </c>
      <c r="AH347" s="40">
        <f t="shared" si="535"/>
        <v>104713.60000000001</v>
      </c>
      <c r="AI347" s="40">
        <f t="shared" si="536"/>
        <v>98828.533333333355</v>
      </c>
      <c r="AJ347" s="40">
        <f t="shared" si="537"/>
        <v>0</v>
      </c>
      <c r="AK347" s="39">
        <f t="shared" si="538"/>
        <v>0</v>
      </c>
      <c r="AL347" s="38">
        <v>167</v>
      </c>
      <c r="AM347" s="38">
        <v>157</v>
      </c>
      <c r="AN347" s="38">
        <v>40</v>
      </c>
      <c r="AO347" s="38">
        <v>80</v>
      </c>
      <c r="AP347" s="38">
        <v>90</v>
      </c>
      <c r="AQ347" s="39">
        <v>18</v>
      </c>
      <c r="AR347" s="40">
        <v>34</v>
      </c>
      <c r="AS347" s="40">
        <v>111</v>
      </c>
      <c r="AT347" s="40">
        <v>103</v>
      </c>
      <c r="AU347" s="40">
        <v>108</v>
      </c>
      <c r="AV347" s="40">
        <v>172</v>
      </c>
      <c r="AW347" s="40">
        <v>231</v>
      </c>
      <c r="AX347" s="40">
        <v>228</v>
      </c>
      <c r="AY347" s="40">
        <v>152</v>
      </c>
      <c r="AZ347" s="40">
        <v>130</v>
      </c>
      <c r="BA347" s="40">
        <v>142</v>
      </c>
      <c r="BB347" s="40">
        <v>186</v>
      </c>
      <c r="BC347" s="39">
        <v>157</v>
      </c>
      <c r="BD347" s="40">
        <v>182</v>
      </c>
      <c r="BE347" s="40">
        <v>136</v>
      </c>
      <c r="BF347" s="40">
        <v>127</v>
      </c>
      <c r="BG347" s="40">
        <v>264</v>
      </c>
      <c r="BH347" s="40">
        <v>156</v>
      </c>
      <c r="BI347" s="40">
        <v>295</v>
      </c>
      <c r="BJ347" s="40">
        <v>120</v>
      </c>
      <c r="BK347" s="40">
        <v>220</v>
      </c>
      <c r="BL347" s="40">
        <v>169</v>
      </c>
      <c r="BM347" s="40">
        <v>147</v>
      </c>
      <c r="BN347" s="40"/>
      <c r="BO347" s="39"/>
      <c r="BP347" s="21">
        <v>87</v>
      </c>
      <c r="BQ347" s="21">
        <v>102</v>
      </c>
      <c r="BR347" s="21">
        <v>36</v>
      </c>
      <c r="BS347" s="21">
        <v>41</v>
      </c>
      <c r="BT347" s="21">
        <v>80</v>
      </c>
      <c r="BU347" s="42">
        <v>4</v>
      </c>
      <c r="BV347" s="21">
        <v>11</v>
      </c>
      <c r="BW347" s="21">
        <v>97</v>
      </c>
      <c r="BX347" s="21">
        <v>7</v>
      </c>
      <c r="BY347" s="21">
        <v>2</v>
      </c>
      <c r="BZ347" s="21">
        <v>32</v>
      </c>
      <c r="CA347" s="21">
        <v>2</v>
      </c>
      <c r="CB347" s="21">
        <v>0</v>
      </c>
      <c r="CC347" s="21">
        <v>3</v>
      </c>
      <c r="CD347" s="21">
        <v>0</v>
      </c>
      <c r="CE347" s="21">
        <v>16</v>
      </c>
      <c r="CF347" s="21">
        <v>1</v>
      </c>
      <c r="CG347" s="42">
        <v>48</v>
      </c>
      <c r="CH347" s="21">
        <v>4</v>
      </c>
      <c r="CI347" s="21">
        <v>1</v>
      </c>
      <c r="CJ347" s="21">
        <v>44</v>
      </c>
      <c r="CK347" s="21">
        <v>2</v>
      </c>
      <c r="CL347" s="21">
        <v>77</v>
      </c>
      <c r="CM347" s="21">
        <v>2</v>
      </c>
      <c r="CN347" s="21">
        <v>2</v>
      </c>
      <c r="CO347" s="21">
        <v>3</v>
      </c>
      <c r="CP347" s="21">
        <f t="shared" si="593"/>
        <v>3</v>
      </c>
      <c r="CQ347" s="343">
        <f t="shared" si="594"/>
        <v>15.333333333333334</v>
      </c>
      <c r="CR347" s="40"/>
      <c r="CS347" s="39"/>
      <c r="CT347" s="38">
        <f t="shared" si="539"/>
        <v>254</v>
      </c>
      <c r="CU347" s="38">
        <f t="shared" si="540"/>
        <v>259</v>
      </c>
      <c r="CV347" s="38">
        <f t="shared" si="541"/>
        <v>76</v>
      </c>
      <c r="CW347" s="38">
        <f t="shared" si="542"/>
        <v>121</v>
      </c>
      <c r="CX347" s="38">
        <f t="shared" si="543"/>
        <v>170</v>
      </c>
      <c r="CY347" s="39">
        <f t="shared" si="544"/>
        <v>22</v>
      </c>
      <c r="CZ347" s="40">
        <f t="shared" si="545"/>
        <v>45</v>
      </c>
      <c r="DA347" s="40">
        <f t="shared" si="546"/>
        <v>208</v>
      </c>
      <c r="DB347" s="40">
        <f t="shared" si="547"/>
        <v>110</v>
      </c>
      <c r="DC347" s="40">
        <f t="shared" si="548"/>
        <v>110</v>
      </c>
      <c r="DD347" s="40">
        <f t="shared" si="549"/>
        <v>204</v>
      </c>
      <c r="DE347" s="40">
        <f t="shared" si="550"/>
        <v>233</v>
      </c>
      <c r="DF347" s="40">
        <f t="shared" si="551"/>
        <v>228</v>
      </c>
      <c r="DG347" s="40">
        <f t="shared" si="552"/>
        <v>155</v>
      </c>
      <c r="DH347" s="40">
        <f t="shared" si="553"/>
        <v>130</v>
      </c>
      <c r="DI347" s="40">
        <f t="shared" si="554"/>
        <v>158</v>
      </c>
      <c r="DJ347" s="40">
        <f t="shared" si="555"/>
        <v>187</v>
      </c>
      <c r="DK347" s="39">
        <f t="shared" si="556"/>
        <v>205</v>
      </c>
      <c r="DL347" s="40">
        <f t="shared" si="557"/>
        <v>186</v>
      </c>
      <c r="DM347" s="40">
        <f t="shared" si="558"/>
        <v>137</v>
      </c>
      <c r="DN347" s="40">
        <f t="shared" si="559"/>
        <v>171</v>
      </c>
      <c r="DO347" s="40">
        <f t="shared" si="560"/>
        <v>266</v>
      </c>
      <c r="DP347" s="40">
        <f t="shared" si="561"/>
        <v>233</v>
      </c>
      <c r="DQ347" s="40">
        <f t="shared" si="562"/>
        <v>297</v>
      </c>
      <c r="DR347" s="87">
        <f t="shared" si="533"/>
        <v>122</v>
      </c>
      <c r="DS347" s="40">
        <f t="shared" si="534"/>
        <v>223</v>
      </c>
      <c r="DT347" s="40">
        <f t="shared" si="563"/>
        <v>172</v>
      </c>
      <c r="DU347" s="40">
        <f t="shared" si="564"/>
        <v>162.33333333333334</v>
      </c>
      <c r="DV347" s="40">
        <f t="shared" si="565"/>
        <v>0</v>
      </c>
      <c r="DW347" s="40">
        <f t="shared" si="566"/>
        <v>0</v>
      </c>
    </row>
    <row r="348" spans="1:127">
      <c r="A348" s="22" t="s">
        <v>133</v>
      </c>
      <c r="B348" s="26">
        <v>4987176132178</v>
      </c>
      <c r="C348" s="22" t="s">
        <v>133</v>
      </c>
      <c r="D348" s="22" t="s">
        <v>31</v>
      </c>
      <c r="E348" s="22">
        <v>223538</v>
      </c>
      <c r="F348" s="80" t="s">
        <v>437</v>
      </c>
      <c r="G348" s="25">
        <v>642</v>
      </c>
      <c r="H348" s="38">
        <f t="shared" si="567"/>
        <v>35310</v>
      </c>
      <c r="I348" s="38">
        <f t="shared" si="568"/>
        <v>30816</v>
      </c>
      <c r="J348" s="38">
        <f t="shared" si="569"/>
        <v>26322</v>
      </c>
      <c r="K348" s="38">
        <f t="shared" si="570"/>
        <v>32100</v>
      </c>
      <c r="L348" s="38">
        <f t="shared" si="571"/>
        <v>32742</v>
      </c>
      <c r="M348" s="39">
        <f t="shared" si="572"/>
        <v>26322</v>
      </c>
      <c r="N348" s="40">
        <f t="shared" si="573"/>
        <v>30174</v>
      </c>
      <c r="O348" s="40">
        <f t="shared" si="574"/>
        <v>69336</v>
      </c>
      <c r="P348" s="40">
        <f t="shared" si="575"/>
        <v>65484</v>
      </c>
      <c r="Q348" s="40">
        <f t="shared" si="576"/>
        <v>91806</v>
      </c>
      <c r="R348" s="40">
        <f t="shared" si="577"/>
        <v>132252</v>
      </c>
      <c r="S348" s="40">
        <f t="shared" si="578"/>
        <v>109140</v>
      </c>
      <c r="T348" s="40">
        <f t="shared" si="579"/>
        <v>125832</v>
      </c>
      <c r="U348" s="40">
        <f t="shared" si="580"/>
        <v>104004</v>
      </c>
      <c r="V348" s="40">
        <f t="shared" si="581"/>
        <v>85386</v>
      </c>
      <c r="W348" s="40">
        <f t="shared" si="582"/>
        <v>118128</v>
      </c>
      <c r="X348" s="40">
        <f t="shared" si="583"/>
        <v>128400</v>
      </c>
      <c r="Y348" s="39">
        <f t="shared" si="584"/>
        <v>129684</v>
      </c>
      <c r="Z348" s="40">
        <f t="shared" si="585"/>
        <v>150870</v>
      </c>
      <c r="AA348" s="40">
        <f t="shared" si="586"/>
        <v>101436</v>
      </c>
      <c r="AB348" s="40">
        <f t="shared" si="587"/>
        <v>110424</v>
      </c>
      <c r="AC348" s="40">
        <f t="shared" si="588"/>
        <v>130326</v>
      </c>
      <c r="AD348" s="40">
        <f t="shared" si="589"/>
        <v>112350</v>
      </c>
      <c r="AE348" s="40">
        <f t="shared" si="590"/>
        <v>148302</v>
      </c>
      <c r="AF348" s="40">
        <f t="shared" si="591"/>
        <v>112350</v>
      </c>
      <c r="AG348" s="40">
        <f t="shared" si="592"/>
        <v>166920</v>
      </c>
      <c r="AH348" s="40">
        <f t="shared" si="535"/>
        <v>129684</v>
      </c>
      <c r="AI348" s="40">
        <f t="shared" si="536"/>
        <v>151583.33333333334</v>
      </c>
      <c r="AJ348" s="40">
        <f t="shared" si="537"/>
        <v>0</v>
      </c>
      <c r="AK348" s="39">
        <f t="shared" si="538"/>
        <v>0</v>
      </c>
      <c r="AL348" s="38">
        <v>51</v>
      </c>
      <c r="AM348" s="38">
        <v>43</v>
      </c>
      <c r="AN348" s="38">
        <v>34</v>
      </c>
      <c r="AO348" s="38">
        <v>45</v>
      </c>
      <c r="AP348" s="38">
        <v>41</v>
      </c>
      <c r="AQ348" s="39">
        <v>38</v>
      </c>
      <c r="AR348" s="40">
        <v>43</v>
      </c>
      <c r="AS348" s="40">
        <v>102</v>
      </c>
      <c r="AT348" s="40">
        <v>89</v>
      </c>
      <c r="AU348" s="40">
        <v>130</v>
      </c>
      <c r="AV348" s="40">
        <v>169</v>
      </c>
      <c r="AW348" s="40">
        <v>166</v>
      </c>
      <c r="AX348" s="40">
        <v>191</v>
      </c>
      <c r="AY348" s="40">
        <v>151</v>
      </c>
      <c r="AZ348" s="40">
        <v>130</v>
      </c>
      <c r="BA348" s="40">
        <v>162</v>
      </c>
      <c r="BB348" s="40">
        <v>198</v>
      </c>
      <c r="BC348" s="39">
        <v>183</v>
      </c>
      <c r="BD348" s="40">
        <v>230</v>
      </c>
      <c r="BE348" s="40">
        <v>153</v>
      </c>
      <c r="BF348" s="40">
        <v>166</v>
      </c>
      <c r="BG348" s="40">
        <v>195</v>
      </c>
      <c r="BH348" s="40">
        <v>171</v>
      </c>
      <c r="BI348" s="40">
        <v>224</v>
      </c>
      <c r="BJ348" s="40">
        <v>166</v>
      </c>
      <c r="BK348" s="40">
        <v>259</v>
      </c>
      <c r="BL348" s="40">
        <v>201</v>
      </c>
      <c r="BM348" s="40">
        <v>231</v>
      </c>
      <c r="BN348" s="40"/>
      <c r="BO348" s="39"/>
      <c r="BP348" s="21">
        <v>4</v>
      </c>
      <c r="BQ348" s="21">
        <v>5</v>
      </c>
      <c r="BR348" s="21">
        <v>7</v>
      </c>
      <c r="BS348" s="21">
        <v>5</v>
      </c>
      <c r="BT348" s="21">
        <v>10</v>
      </c>
      <c r="BU348" s="42">
        <v>3</v>
      </c>
      <c r="BV348" s="21">
        <v>4</v>
      </c>
      <c r="BW348" s="21">
        <v>6</v>
      </c>
      <c r="BX348" s="21">
        <v>13</v>
      </c>
      <c r="BY348" s="21">
        <v>13</v>
      </c>
      <c r="BZ348" s="21">
        <v>37</v>
      </c>
      <c r="CA348" s="21">
        <v>4</v>
      </c>
      <c r="CB348" s="21">
        <v>5</v>
      </c>
      <c r="CC348" s="21">
        <v>11</v>
      </c>
      <c r="CD348" s="21">
        <v>3</v>
      </c>
      <c r="CE348" s="21">
        <v>22</v>
      </c>
      <c r="CF348" s="21">
        <v>2</v>
      </c>
      <c r="CG348" s="42">
        <v>19</v>
      </c>
      <c r="CH348" s="21">
        <v>5</v>
      </c>
      <c r="CI348" s="21">
        <v>5</v>
      </c>
      <c r="CJ348" s="21">
        <v>6</v>
      </c>
      <c r="CK348" s="21">
        <v>8</v>
      </c>
      <c r="CL348" s="21">
        <v>4</v>
      </c>
      <c r="CM348" s="21">
        <v>7</v>
      </c>
      <c r="CN348" s="21">
        <v>9</v>
      </c>
      <c r="CO348" s="21">
        <v>1</v>
      </c>
      <c r="CP348" s="21">
        <f t="shared" si="593"/>
        <v>1</v>
      </c>
      <c r="CQ348" s="343">
        <f t="shared" si="594"/>
        <v>5.1111111111111107</v>
      </c>
      <c r="CR348" s="40"/>
      <c r="CS348" s="39"/>
      <c r="CT348" s="38">
        <f t="shared" si="539"/>
        <v>55</v>
      </c>
      <c r="CU348" s="38">
        <f t="shared" si="540"/>
        <v>48</v>
      </c>
      <c r="CV348" s="38">
        <f t="shared" si="541"/>
        <v>41</v>
      </c>
      <c r="CW348" s="38">
        <f t="shared" si="542"/>
        <v>50</v>
      </c>
      <c r="CX348" s="38">
        <f t="shared" si="543"/>
        <v>51</v>
      </c>
      <c r="CY348" s="39">
        <f t="shared" si="544"/>
        <v>41</v>
      </c>
      <c r="CZ348" s="40">
        <f t="shared" si="545"/>
        <v>47</v>
      </c>
      <c r="DA348" s="40">
        <f t="shared" si="546"/>
        <v>108</v>
      </c>
      <c r="DB348" s="40">
        <f t="shared" si="547"/>
        <v>102</v>
      </c>
      <c r="DC348" s="40">
        <f t="shared" si="548"/>
        <v>143</v>
      </c>
      <c r="DD348" s="40">
        <f t="shared" si="549"/>
        <v>206</v>
      </c>
      <c r="DE348" s="40">
        <f t="shared" si="550"/>
        <v>170</v>
      </c>
      <c r="DF348" s="40">
        <f t="shared" si="551"/>
        <v>196</v>
      </c>
      <c r="DG348" s="40">
        <f t="shared" si="552"/>
        <v>162</v>
      </c>
      <c r="DH348" s="40">
        <f t="shared" si="553"/>
        <v>133</v>
      </c>
      <c r="DI348" s="40">
        <f t="shared" si="554"/>
        <v>184</v>
      </c>
      <c r="DJ348" s="40">
        <f t="shared" si="555"/>
        <v>200</v>
      </c>
      <c r="DK348" s="39">
        <f t="shared" si="556"/>
        <v>202</v>
      </c>
      <c r="DL348" s="40">
        <f t="shared" si="557"/>
        <v>235</v>
      </c>
      <c r="DM348" s="40">
        <f t="shared" si="558"/>
        <v>158</v>
      </c>
      <c r="DN348" s="40">
        <f t="shared" si="559"/>
        <v>172</v>
      </c>
      <c r="DO348" s="40">
        <f t="shared" si="560"/>
        <v>203</v>
      </c>
      <c r="DP348" s="40">
        <f t="shared" si="561"/>
        <v>175</v>
      </c>
      <c r="DQ348" s="40">
        <f t="shared" si="562"/>
        <v>231</v>
      </c>
      <c r="DR348" s="87">
        <f t="shared" si="533"/>
        <v>175</v>
      </c>
      <c r="DS348" s="40">
        <f t="shared" si="534"/>
        <v>260</v>
      </c>
      <c r="DT348" s="40">
        <f t="shared" si="563"/>
        <v>202</v>
      </c>
      <c r="DU348" s="40">
        <f t="shared" si="564"/>
        <v>236.11111111111111</v>
      </c>
      <c r="DV348" s="40">
        <f t="shared" si="565"/>
        <v>0</v>
      </c>
      <c r="DW348" s="40">
        <f t="shared" si="566"/>
        <v>0</v>
      </c>
    </row>
    <row r="349" spans="1:127">
      <c r="A349" s="22" t="s">
        <v>133</v>
      </c>
      <c r="B349" s="26">
        <v>4987176134585</v>
      </c>
      <c r="C349" s="22" t="s">
        <v>133</v>
      </c>
      <c r="D349" s="22" t="s">
        <v>747</v>
      </c>
      <c r="E349" s="22">
        <v>238652</v>
      </c>
      <c r="F349" s="80" t="s">
        <v>438</v>
      </c>
      <c r="G349" s="25">
        <v>746.9</v>
      </c>
      <c r="H349" s="38">
        <f t="shared" si="567"/>
        <v>0</v>
      </c>
      <c r="I349" s="38">
        <f t="shared" si="568"/>
        <v>0</v>
      </c>
      <c r="J349" s="38">
        <f t="shared" si="569"/>
        <v>0</v>
      </c>
      <c r="K349" s="38">
        <f t="shared" si="570"/>
        <v>1493.8</v>
      </c>
      <c r="L349" s="38">
        <f t="shared" si="571"/>
        <v>89628</v>
      </c>
      <c r="M349" s="39">
        <f t="shared" si="572"/>
        <v>72449.3</v>
      </c>
      <c r="N349" s="40">
        <f t="shared" si="573"/>
        <v>58258.2</v>
      </c>
      <c r="O349" s="40">
        <f t="shared" si="574"/>
        <v>70208.599999999991</v>
      </c>
      <c r="P349" s="40">
        <f t="shared" si="575"/>
        <v>46307.799999999996</v>
      </c>
      <c r="Q349" s="40">
        <f t="shared" si="576"/>
        <v>47054.7</v>
      </c>
      <c r="R349" s="40">
        <f t="shared" si="577"/>
        <v>63486.5</v>
      </c>
      <c r="S349" s="40">
        <f t="shared" si="578"/>
        <v>53029.9</v>
      </c>
      <c r="T349" s="40">
        <f t="shared" si="579"/>
        <v>130707.5</v>
      </c>
      <c r="U349" s="40">
        <f t="shared" si="580"/>
        <v>63486.5</v>
      </c>
      <c r="V349" s="40">
        <f t="shared" si="581"/>
        <v>56764.4</v>
      </c>
      <c r="W349" s="40">
        <f t="shared" si="582"/>
        <v>36598.1</v>
      </c>
      <c r="X349" s="40">
        <f t="shared" si="583"/>
        <v>36598.1</v>
      </c>
      <c r="Y349" s="39">
        <f t="shared" si="584"/>
        <v>36598.1</v>
      </c>
      <c r="Z349" s="40">
        <f t="shared" si="585"/>
        <v>32116.7</v>
      </c>
      <c r="AA349" s="40">
        <f t="shared" si="586"/>
        <v>41079.5</v>
      </c>
      <c r="AB349" s="40">
        <f t="shared" si="587"/>
        <v>28382.2</v>
      </c>
      <c r="AC349" s="40">
        <f t="shared" si="588"/>
        <v>35104.299999999996</v>
      </c>
      <c r="AD349" s="40">
        <f t="shared" si="589"/>
        <v>32116.7</v>
      </c>
      <c r="AE349" s="40">
        <f t="shared" si="590"/>
        <v>29876</v>
      </c>
      <c r="AF349" s="40">
        <f t="shared" si="591"/>
        <v>24647.7</v>
      </c>
      <c r="AG349" s="40">
        <f t="shared" si="592"/>
        <v>28382.2</v>
      </c>
      <c r="AH349" s="40">
        <f t="shared" si="535"/>
        <v>20913.2</v>
      </c>
      <c r="AI349" s="40">
        <f t="shared" si="536"/>
        <v>34357.4</v>
      </c>
      <c r="AJ349" s="40">
        <f t="shared" si="537"/>
        <v>0</v>
      </c>
      <c r="AK349" s="39">
        <f t="shared" si="538"/>
        <v>0</v>
      </c>
      <c r="AL349" s="38">
        <v>0</v>
      </c>
      <c r="AM349" s="38">
        <v>0</v>
      </c>
      <c r="AN349" s="38">
        <v>0</v>
      </c>
      <c r="AO349" s="38">
        <v>0</v>
      </c>
      <c r="AP349" s="38">
        <v>110</v>
      </c>
      <c r="AQ349" s="39">
        <v>65</v>
      </c>
      <c r="AR349" s="40">
        <v>67</v>
      </c>
      <c r="AS349" s="40">
        <v>79</v>
      </c>
      <c r="AT349" s="40">
        <v>58</v>
      </c>
      <c r="AU349" s="40">
        <v>58</v>
      </c>
      <c r="AV349" s="40">
        <v>77</v>
      </c>
      <c r="AW349" s="40">
        <v>70</v>
      </c>
      <c r="AX349" s="40">
        <v>171</v>
      </c>
      <c r="AY349" s="40">
        <v>79</v>
      </c>
      <c r="AZ349" s="40">
        <v>74</v>
      </c>
      <c r="BA349" s="40">
        <v>45</v>
      </c>
      <c r="BB349" s="40">
        <v>47</v>
      </c>
      <c r="BC349" s="39">
        <v>44</v>
      </c>
      <c r="BD349" s="40">
        <v>39</v>
      </c>
      <c r="BE349" s="40">
        <v>51</v>
      </c>
      <c r="BF349" s="40">
        <v>35</v>
      </c>
      <c r="BG349" s="40">
        <v>43</v>
      </c>
      <c r="BH349" s="40">
        <v>37</v>
      </c>
      <c r="BI349" s="40">
        <v>40</v>
      </c>
      <c r="BJ349" s="40">
        <v>33</v>
      </c>
      <c r="BK349" s="40">
        <v>35</v>
      </c>
      <c r="BL349" s="40">
        <v>25</v>
      </c>
      <c r="BM349" s="40">
        <v>43</v>
      </c>
      <c r="BN349" s="40"/>
      <c r="BO349" s="39"/>
      <c r="BP349" s="21">
        <v>0</v>
      </c>
      <c r="BQ349" s="21">
        <v>0</v>
      </c>
      <c r="BR349" s="21">
        <v>0</v>
      </c>
      <c r="BS349" s="21">
        <v>2</v>
      </c>
      <c r="BT349" s="21">
        <v>10</v>
      </c>
      <c r="BU349" s="42">
        <v>32</v>
      </c>
      <c r="BV349" s="21">
        <v>11</v>
      </c>
      <c r="BW349" s="21">
        <v>15</v>
      </c>
      <c r="BX349" s="21">
        <v>4</v>
      </c>
      <c r="BY349" s="21">
        <v>5</v>
      </c>
      <c r="BZ349" s="21">
        <v>8</v>
      </c>
      <c r="CA349" s="21">
        <v>1</v>
      </c>
      <c r="CB349" s="21">
        <v>4</v>
      </c>
      <c r="CC349" s="21">
        <v>6</v>
      </c>
      <c r="CD349" s="21">
        <v>2</v>
      </c>
      <c r="CE349" s="21">
        <v>4</v>
      </c>
      <c r="CF349" s="21">
        <v>2</v>
      </c>
      <c r="CG349" s="42">
        <v>5</v>
      </c>
      <c r="CH349" s="21">
        <v>4</v>
      </c>
      <c r="CI349" s="21">
        <v>4</v>
      </c>
      <c r="CJ349" s="21">
        <v>3</v>
      </c>
      <c r="CK349" s="21">
        <v>4</v>
      </c>
      <c r="CL349" s="21">
        <v>6</v>
      </c>
      <c r="CM349" s="21">
        <v>0</v>
      </c>
      <c r="CN349" s="21">
        <v>0</v>
      </c>
      <c r="CO349" s="21">
        <v>3</v>
      </c>
      <c r="CP349" s="21">
        <f t="shared" si="593"/>
        <v>3</v>
      </c>
      <c r="CQ349" s="343">
        <f t="shared" si="594"/>
        <v>3</v>
      </c>
      <c r="CR349" s="40"/>
      <c r="CS349" s="39"/>
      <c r="CT349" s="38">
        <f t="shared" si="539"/>
        <v>0</v>
      </c>
      <c r="CU349" s="38">
        <f t="shared" si="540"/>
        <v>0</v>
      </c>
      <c r="CV349" s="38">
        <f t="shared" si="541"/>
        <v>0</v>
      </c>
      <c r="CW349" s="38">
        <f t="shared" si="542"/>
        <v>2</v>
      </c>
      <c r="CX349" s="38">
        <f t="shared" si="543"/>
        <v>120</v>
      </c>
      <c r="CY349" s="39">
        <f t="shared" si="544"/>
        <v>97</v>
      </c>
      <c r="CZ349" s="40">
        <f t="shared" si="545"/>
        <v>78</v>
      </c>
      <c r="DA349" s="40">
        <f t="shared" si="546"/>
        <v>94</v>
      </c>
      <c r="DB349" s="40">
        <f t="shared" si="547"/>
        <v>62</v>
      </c>
      <c r="DC349" s="40">
        <f t="shared" si="548"/>
        <v>63</v>
      </c>
      <c r="DD349" s="40">
        <f t="shared" si="549"/>
        <v>85</v>
      </c>
      <c r="DE349" s="40">
        <f t="shared" si="550"/>
        <v>71</v>
      </c>
      <c r="DF349" s="40">
        <f t="shared" si="551"/>
        <v>175</v>
      </c>
      <c r="DG349" s="40">
        <f t="shared" si="552"/>
        <v>85</v>
      </c>
      <c r="DH349" s="40">
        <f t="shared" si="553"/>
        <v>76</v>
      </c>
      <c r="DI349" s="40">
        <f t="shared" si="554"/>
        <v>49</v>
      </c>
      <c r="DJ349" s="40">
        <f t="shared" si="555"/>
        <v>49</v>
      </c>
      <c r="DK349" s="39">
        <f t="shared" si="556"/>
        <v>49</v>
      </c>
      <c r="DL349" s="40">
        <f t="shared" si="557"/>
        <v>43</v>
      </c>
      <c r="DM349" s="40">
        <f t="shared" si="558"/>
        <v>55</v>
      </c>
      <c r="DN349" s="40">
        <f t="shared" si="559"/>
        <v>38</v>
      </c>
      <c r="DO349" s="40">
        <f t="shared" si="560"/>
        <v>47</v>
      </c>
      <c r="DP349" s="40">
        <f t="shared" si="561"/>
        <v>43</v>
      </c>
      <c r="DQ349" s="40">
        <f t="shared" si="562"/>
        <v>40</v>
      </c>
      <c r="DR349" s="87">
        <f t="shared" si="533"/>
        <v>33</v>
      </c>
      <c r="DS349" s="40">
        <f t="shared" si="534"/>
        <v>38</v>
      </c>
      <c r="DT349" s="40">
        <f t="shared" si="563"/>
        <v>28</v>
      </c>
      <c r="DU349" s="40">
        <f t="shared" si="564"/>
        <v>46</v>
      </c>
      <c r="DV349" s="40">
        <f t="shared" si="565"/>
        <v>0</v>
      </c>
      <c r="DW349" s="40">
        <f t="shared" si="566"/>
        <v>0</v>
      </c>
    </row>
    <row r="350" spans="1:127">
      <c r="A350" s="22" t="s">
        <v>133</v>
      </c>
      <c r="B350" s="26">
        <v>4987176168474</v>
      </c>
      <c r="C350" s="22" t="s">
        <v>133</v>
      </c>
      <c r="D350" s="22" t="s">
        <v>747</v>
      </c>
      <c r="E350" s="22">
        <v>280185</v>
      </c>
      <c r="F350" s="80" t="s">
        <v>748</v>
      </c>
      <c r="G350" s="25">
        <v>320.59999999999997</v>
      </c>
      <c r="H350" s="38">
        <f t="shared" si="567"/>
        <v>0</v>
      </c>
      <c r="I350" s="38">
        <f t="shared" si="568"/>
        <v>0</v>
      </c>
      <c r="J350" s="38">
        <f t="shared" si="569"/>
        <v>0</v>
      </c>
      <c r="K350" s="38">
        <f t="shared" si="570"/>
        <v>0</v>
      </c>
      <c r="L350" s="38">
        <f t="shared" si="571"/>
        <v>0</v>
      </c>
      <c r="M350" s="39">
        <f t="shared" si="572"/>
        <v>0</v>
      </c>
      <c r="N350" s="40">
        <f t="shared" si="573"/>
        <v>0</v>
      </c>
      <c r="O350" s="40">
        <f t="shared" si="574"/>
        <v>0</v>
      </c>
      <c r="P350" s="40">
        <f t="shared" si="575"/>
        <v>0</v>
      </c>
      <c r="Q350" s="40">
        <f t="shared" si="576"/>
        <v>0</v>
      </c>
      <c r="R350" s="40">
        <f t="shared" si="577"/>
        <v>0</v>
      </c>
      <c r="S350" s="40">
        <f t="shared" si="578"/>
        <v>0</v>
      </c>
      <c r="T350" s="40">
        <f t="shared" si="579"/>
        <v>0</v>
      </c>
      <c r="U350" s="40">
        <f t="shared" si="580"/>
        <v>0</v>
      </c>
      <c r="V350" s="40">
        <f t="shared" si="581"/>
        <v>0</v>
      </c>
      <c r="W350" s="40">
        <f t="shared" si="582"/>
        <v>0</v>
      </c>
      <c r="X350" s="40">
        <f t="shared" si="583"/>
        <v>0</v>
      </c>
      <c r="Y350" s="39">
        <f t="shared" si="584"/>
        <v>0</v>
      </c>
      <c r="Z350" s="40">
        <f t="shared" si="585"/>
        <v>0</v>
      </c>
      <c r="AA350" s="40">
        <f t="shared" si="586"/>
        <v>0</v>
      </c>
      <c r="AB350" s="40">
        <f t="shared" si="587"/>
        <v>0</v>
      </c>
      <c r="AC350" s="40">
        <f t="shared" si="588"/>
        <v>0</v>
      </c>
      <c r="AD350" s="40">
        <f t="shared" si="589"/>
        <v>0</v>
      </c>
      <c r="AE350" s="40">
        <f t="shared" si="590"/>
        <v>0</v>
      </c>
      <c r="AF350" s="40">
        <f t="shared" si="591"/>
        <v>21159.599999999999</v>
      </c>
      <c r="AG350" s="40">
        <f t="shared" si="592"/>
        <v>46807.6</v>
      </c>
      <c r="AH350" s="40">
        <f t="shared" si="535"/>
        <v>39113.199999999997</v>
      </c>
      <c r="AI350" s="40">
        <f t="shared" si="536"/>
        <v>0</v>
      </c>
      <c r="AJ350" s="40">
        <f t="shared" si="537"/>
        <v>0</v>
      </c>
      <c r="AK350" s="39">
        <f t="shared" si="538"/>
        <v>0</v>
      </c>
      <c r="AL350" s="38"/>
      <c r="AM350" s="38"/>
      <c r="AN350" s="38"/>
      <c r="AO350" s="38"/>
      <c r="AP350" s="38"/>
      <c r="AQ350" s="39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  <c r="BC350" s="39"/>
      <c r="BD350" s="40"/>
      <c r="BE350" s="40"/>
      <c r="BF350" s="40"/>
      <c r="BG350" s="40"/>
      <c r="BH350" s="40"/>
      <c r="BI350" s="40"/>
      <c r="BJ350" s="40">
        <v>54</v>
      </c>
      <c r="BK350" s="40">
        <v>132</v>
      </c>
      <c r="BL350" s="40">
        <v>108</v>
      </c>
      <c r="BM350" s="40">
        <v>71</v>
      </c>
      <c r="BN350" s="40"/>
      <c r="BO350" s="39"/>
      <c r="CA350" s="21">
        <v>0</v>
      </c>
      <c r="CB350" s="21">
        <v>0</v>
      </c>
      <c r="CC350" s="21">
        <v>0</v>
      </c>
      <c r="CD350" s="21">
        <v>0</v>
      </c>
      <c r="CE350" s="21">
        <v>0</v>
      </c>
      <c r="CF350" s="21">
        <v>0</v>
      </c>
      <c r="CG350" s="42">
        <v>0</v>
      </c>
      <c r="CH350" s="21">
        <v>0</v>
      </c>
      <c r="CI350" s="21">
        <v>0</v>
      </c>
      <c r="CJ350" s="21">
        <v>0</v>
      </c>
      <c r="CK350" s="21">
        <v>0</v>
      </c>
      <c r="CL350" s="21">
        <v>0</v>
      </c>
      <c r="CM350" s="21">
        <v>0</v>
      </c>
      <c r="CN350" s="21">
        <v>12</v>
      </c>
      <c r="CO350" s="21">
        <v>14</v>
      </c>
      <c r="CP350" s="21">
        <f t="shared" si="593"/>
        <v>14</v>
      </c>
      <c r="CQ350" s="343">
        <f t="shared" si="594"/>
        <v>4.4444444444444446</v>
      </c>
      <c r="CR350" s="40"/>
      <c r="CS350" s="39"/>
      <c r="CT350" s="38"/>
      <c r="CU350" s="38"/>
      <c r="CV350" s="38"/>
      <c r="CW350" s="38"/>
      <c r="CX350" s="38"/>
      <c r="CY350" s="39"/>
      <c r="CZ350" s="40"/>
      <c r="DA350" s="40"/>
      <c r="DB350" s="40"/>
      <c r="DC350" s="40"/>
      <c r="DD350" s="40"/>
      <c r="DE350" s="40"/>
      <c r="DF350" s="40"/>
      <c r="DG350" s="40"/>
      <c r="DH350" s="40"/>
      <c r="DI350" s="40"/>
      <c r="DJ350" s="40"/>
      <c r="DK350" s="39"/>
      <c r="DL350" s="40"/>
      <c r="DM350" s="40"/>
      <c r="DN350" s="40"/>
      <c r="DO350" s="40"/>
      <c r="DP350" s="40"/>
      <c r="DQ350" s="40"/>
      <c r="DR350" s="40">
        <f t="shared" si="533"/>
        <v>66</v>
      </c>
      <c r="DS350" s="40">
        <f t="shared" si="534"/>
        <v>146</v>
      </c>
      <c r="DT350" s="40">
        <f t="shared" si="534"/>
        <v>122</v>
      </c>
      <c r="DU350" s="40"/>
      <c r="DV350" s="40"/>
      <c r="DW350" s="40"/>
    </row>
    <row r="351" spans="1:127">
      <c r="A351" s="22" t="s">
        <v>133</v>
      </c>
      <c r="B351" s="26">
        <v>6900068002500</v>
      </c>
      <c r="C351" s="22" t="s">
        <v>133</v>
      </c>
      <c r="D351" s="22" t="s">
        <v>130</v>
      </c>
      <c r="E351" s="22">
        <v>201554</v>
      </c>
      <c r="F351" s="80" t="s">
        <v>439</v>
      </c>
      <c r="G351" s="25">
        <v>608.76166666666666</v>
      </c>
      <c r="H351" s="38">
        <f t="shared" si="567"/>
        <v>23741.704999999998</v>
      </c>
      <c r="I351" s="38">
        <f t="shared" si="568"/>
        <v>52962.264999999999</v>
      </c>
      <c r="J351" s="38">
        <f t="shared" si="569"/>
        <v>24959.228333333333</v>
      </c>
      <c r="K351" s="38">
        <f t="shared" si="570"/>
        <v>23741.704999999998</v>
      </c>
      <c r="L351" s="38">
        <f t="shared" si="571"/>
        <v>21306.658333333333</v>
      </c>
      <c r="M351" s="39">
        <f t="shared" si="572"/>
        <v>23132.943333333333</v>
      </c>
      <c r="N351" s="40">
        <f t="shared" si="573"/>
        <v>24959.228333333333</v>
      </c>
      <c r="O351" s="40">
        <f t="shared" si="574"/>
        <v>26176.751666666667</v>
      </c>
      <c r="P351" s="40">
        <f t="shared" si="575"/>
        <v>21306.658333333333</v>
      </c>
      <c r="Q351" s="40">
        <f t="shared" si="576"/>
        <v>24350.466666666667</v>
      </c>
      <c r="R351" s="40">
        <f t="shared" si="577"/>
        <v>26176.751666666667</v>
      </c>
      <c r="S351" s="40">
        <f t="shared" si="578"/>
        <v>29220.559999999998</v>
      </c>
      <c r="T351" s="40">
        <f t="shared" si="579"/>
        <v>26785.513333333332</v>
      </c>
      <c r="U351" s="40">
        <f t="shared" si="580"/>
        <v>30438.083333333332</v>
      </c>
      <c r="V351" s="40">
        <f t="shared" si="581"/>
        <v>22524.181666666667</v>
      </c>
      <c r="W351" s="40">
        <f t="shared" si="582"/>
        <v>26785.513333333332</v>
      </c>
      <c r="X351" s="40">
        <f t="shared" si="583"/>
        <v>24959.228333333333</v>
      </c>
      <c r="Y351" s="39">
        <f t="shared" si="584"/>
        <v>12783.994999999999</v>
      </c>
      <c r="Z351" s="40">
        <f t="shared" si="585"/>
        <v>23132.943333333333</v>
      </c>
      <c r="AA351" s="40">
        <f t="shared" si="586"/>
        <v>16436.564999999999</v>
      </c>
      <c r="AB351" s="40">
        <f t="shared" si="587"/>
        <v>14001.518333333333</v>
      </c>
      <c r="AC351" s="40">
        <f t="shared" si="588"/>
        <v>0</v>
      </c>
      <c r="AD351" s="40">
        <f t="shared" si="589"/>
        <v>0</v>
      </c>
      <c r="AE351" s="40">
        <f t="shared" si="590"/>
        <v>0</v>
      </c>
      <c r="AF351" s="40">
        <f t="shared" si="591"/>
        <v>0</v>
      </c>
      <c r="AG351" s="40">
        <f t="shared" si="592"/>
        <v>0</v>
      </c>
      <c r="AH351" s="40">
        <f t="shared" si="535"/>
        <v>0</v>
      </c>
      <c r="AI351" s="40">
        <f t="shared" si="536"/>
        <v>744.04203703703706</v>
      </c>
      <c r="AJ351" s="40">
        <f t="shared" si="537"/>
        <v>0</v>
      </c>
      <c r="AK351" s="39">
        <f t="shared" si="538"/>
        <v>0</v>
      </c>
      <c r="AL351" s="38">
        <v>38</v>
      </c>
      <c r="AM351" s="38">
        <v>82</v>
      </c>
      <c r="AN351" s="38">
        <v>36</v>
      </c>
      <c r="AO351" s="38">
        <v>36</v>
      </c>
      <c r="AP351" s="38">
        <v>34</v>
      </c>
      <c r="AQ351" s="39">
        <v>33</v>
      </c>
      <c r="AR351" s="40">
        <v>36</v>
      </c>
      <c r="AS351" s="40">
        <v>43</v>
      </c>
      <c r="AT351" s="40">
        <v>30</v>
      </c>
      <c r="AU351" s="40">
        <v>36</v>
      </c>
      <c r="AV351" s="40">
        <v>36</v>
      </c>
      <c r="AW351" s="40">
        <v>47</v>
      </c>
      <c r="AX351" s="40">
        <v>43</v>
      </c>
      <c r="AY351" s="40">
        <v>38</v>
      </c>
      <c r="AZ351" s="40">
        <v>25</v>
      </c>
      <c r="BA351" s="40">
        <v>31</v>
      </c>
      <c r="BB351" s="40">
        <v>36</v>
      </c>
      <c r="BC351" s="39">
        <v>18</v>
      </c>
      <c r="BD351" s="40">
        <v>34</v>
      </c>
      <c r="BE351" s="40">
        <v>20</v>
      </c>
      <c r="BF351" s="40">
        <v>23</v>
      </c>
      <c r="BG351" s="40">
        <v>0</v>
      </c>
      <c r="BH351" s="40">
        <v>0</v>
      </c>
      <c r="BI351" s="40">
        <v>0</v>
      </c>
      <c r="BJ351" s="40">
        <v>0</v>
      </c>
      <c r="BK351" s="40">
        <v>0</v>
      </c>
      <c r="BL351" s="40">
        <v>0</v>
      </c>
      <c r="BM351" s="40">
        <v>0</v>
      </c>
      <c r="BN351" s="40"/>
      <c r="BO351" s="39"/>
      <c r="BP351" s="21">
        <v>1</v>
      </c>
      <c r="BQ351" s="21">
        <v>5</v>
      </c>
      <c r="BR351" s="21">
        <v>5</v>
      </c>
      <c r="BS351" s="21">
        <v>3</v>
      </c>
      <c r="BT351" s="21">
        <v>1</v>
      </c>
      <c r="BU351" s="42">
        <v>5</v>
      </c>
      <c r="BV351" s="21">
        <v>5</v>
      </c>
      <c r="BW351" s="21">
        <v>0</v>
      </c>
      <c r="BX351" s="21">
        <v>5</v>
      </c>
      <c r="BY351" s="21">
        <v>4</v>
      </c>
      <c r="BZ351" s="21">
        <v>7</v>
      </c>
      <c r="CA351" s="21">
        <v>1</v>
      </c>
      <c r="CB351" s="21">
        <v>1</v>
      </c>
      <c r="CC351" s="21">
        <v>12</v>
      </c>
      <c r="CD351" s="21">
        <v>12</v>
      </c>
      <c r="CE351" s="21">
        <v>13</v>
      </c>
      <c r="CF351" s="21">
        <v>5</v>
      </c>
      <c r="CG351" s="42">
        <v>3</v>
      </c>
      <c r="CH351" s="21">
        <v>4</v>
      </c>
      <c r="CI351" s="21">
        <v>7</v>
      </c>
      <c r="CJ351" s="21">
        <v>0</v>
      </c>
      <c r="CK351" s="21">
        <v>0</v>
      </c>
      <c r="CL351" s="21">
        <v>0</v>
      </c>
      <c r="CM351" s="21">
        <v>0</v>
      </c>
      <c r="CN351" s="21">
        <v>0</v>
      </c>
      <c r="CO351" s="21">
        <v>0</v>
      </c>
      <c r="CP351" s="21">
        <f t="shared" si="593"/>
        <v>0</v>
      </c>
      <c r="CQ351" s="343">
        <f t="shared" si="594"/>
        <v>1.2222222222222223</v>
      </c>
      <c r="CR351" s="40"/>
      <c r="CS351" s="39"/>
      <c r="CT351" s="38">
        <f t="shared" ref="CT351:CT414" si="595">AL351+BP351</f>
        <v>39</v>
      </c>
      <c r="CU351" s="38">
        <f t="shared" ref="CU351:CU414" si="596">AM351+BQ351</f>
        <v>87</v>
      </c>
      <c r="CV351" s="38">
        <f t="shared" ref="CV351:CV414" si="597">AN351+BR351</f>
        <v>41</v>
      </c>
      <c r="CW351" s="38">
        <f t="shared" ref="CW351:CW414" si="598">AO351+BS351</f>
        <v>39</v>
      </c>
      <c r="CX351" s="38">
        <f t="shared" ref="CX351:CX414" si="599">AP351+BT351</f>
        <v>35</v>
      </c>
      <c r="CY351" s="39">
        <f t="shared" ref="CY351:CY414" si="600">AQ351+BU351</f>
        <v>38</v>
      </c>
      <c r="CZ351" s="40">
        <f t="shared" ref="CZ351:CZ414" si="601">AR351+BV351</f>
        <v>41</v>
      </c>
      <c r="DA351" s="40">
        <f t="shared" ref="DA351:DA414" si="602">AS351+BW351</f>
        <v>43</v>
      </c>
      <c r="DB351" s="40">
        <f t="shared" ref="DB351:DB414" si="603">AT351+BX351</f>
        <v>35</v>
      </c>
      <c r="DC351" s="40">
        <f t="shared" ref="DC351:DC414" si="604">AU351+BY351</f>
        <v>40</v>
      </c>
      <c r="DD351" s="40">
        <f t="shared" ref="DD351:DD414" si="605">AV351+BZ351</f>
        <v>43</v>
      </c>
      <c r="DE351" s="40">
        <f t="shared" ref="DE351:DE414" si="606">AW351+CA351</f>
        <v>48</v>
      </c>
      <c r="DF351" s="40">
        <f t="shared" ref="DF351:DF414" si="607">AX351+CB351</f>
        <v>44</v>
      </c>
      <c r="DG351" s="40">
        <f t="shared" ref="DG351:DG414" si="608">AY351+CC351</f>
        <v>50</v>
      </c>
      <c r="DH351" s="40">
        <f t="shared" ref="DH351:DH414" si="609">AZ351+CD351</f>
        <v>37</v>
      </c>
      <c r="DI351" s="40">
        <f t="shared" ref="DI351:DI414" si="610">BA351+CE351</f>
        <v>44</v>
      </c>
      <c r="DJ351" s="40">
        <f t="shared" ref="DJ351:DJ414" si="611">BB351+CF351</f>
        <v>41</v>
      </c>
      <c r="DK351" s="39">
        <f t="shared" ref="DK351:DK414" si="612">BC351+CG351</f>
        <v>21</v>
      </c>
      <c r="DL351" s="40">
        <f t="shared" ref="DL351:DL414" si="613">BD351+CH351</f>
        <v>38</v>
      </c>
      <c r="DM351" s="40">
        <f t="shared" ref="DM351:DM414" si="614">BE351+CI351</f>
        <v>27</v>
      </c>
      <c r="DN351" s="40">
        <f t="shared" ref="DN351:DN414" si="615">BF351+CJ351</f>
        <v>23</v>
      </c>
      <c r="DO351" s="40">
        <f t="shared" ref="DO351:DO414" si="616">BG351+CK351</f>
        <v>0</v>
      </c>
      <c r="DP351" s="40">
        <f t="shared" ref="DP351:DP414" si="617">BH351+CL351</f>
        <v>0</v>
      </c>
      <c r="DQ351" s="40">
        <f t="shared" ref="DQ351:DQ414" si="618">BI351+CM351</f>
        <v>0</v>
      </c>
      <c r="DR351" s="40">
        <f t="shared" si="533"/>
        <v>0</v>
      </c>
      <c r="DS351" s="40">
        <f t="shared" si="534"/>
        <v>0</v>
      </c>
      <c r="DT351" s="40">
        <f t="shared" ref="DT351:DT414" si="619">BL351+CP351</f>
        <v>0</v>
      </c>
      <c r="DU351" s="40">
        <f t="shared" ref="DU351:DU414" si="620">BM351+CQ351</f>
        <v>1.2222222222222223</v>
      </c>
      <c r="DV351" s="40">
        <f t="shared" ref="DV351:DV414" si="621">BN351+CR351</f>
        <v>0</v>
      </c>
      <c r="DW351" s="40">
        <f t="shared" ref="DW351:DW414" si="622">BO351+CS351</f>
        <v>0</v>
      </c>
    </row>
    <row r="352" spans="1:127">
      <c r="A352" s="22" t="s">
        <v>133</v>
      </c>
      <c r="B352" s="26">
        <v>4901781230258</v>
      </c>
      <c r="C352" s="22" t="s">
        <v>133</v>
      </c>
      <c r="D352" s="22" t="s">
        <v>32</v>
      </c>
      <c r="E352" s="22">
        <v>815305</v>
      </c>
      <c r="F352" s="80" t="s">
        <v>440</v>
      </c>
      <c r="G352" s="25">
        <v>62.613333333333337</v>
      </c>
      <c r="H352" s="38">
        <f t="shared" si="567"/>
        <v>32558.933333333334</v>
      </c>
      <c r="I352" s="38">
        <f t="shared" si="568"/>
        <v>55224.960000000006</v>
      </c>
      <c r="J352" s="38">
        <f t="shared" si="569"/>
        <v>36754.026666666672</v>
      </c>
      <c r="K352" s="38">
        <f t="shared" si="570"/>
        <v>36127.893333333333</v>
      </c>
      <c r="L352" s="38">
        <f t="shared" si="571"/>
        <v>39321.173333333332</v>
      </c>
      <c r="M352" s="39">
        <f t="shared" si="572"/>
        <v>39321.173333333332</v>
      </c>
      <c r="N352" s="40">
        <f t="shared" si="573"/>
        <v>40886.506666666668</v>
      </c>
      <c r="O352" s="40">
        <f t="shared" si="574"/>
        <v>51342.933333333334</v>
      </c>
      <c r="P352" s="40">
        <f t="shared" si="575"/>
        <v>41700.480000000003</v>
      </c>
      <c r="Q352" s="40">
        <f t="shared" si="576"/>
        <v>31807.573333333334</v>
      </c>
      <c r="R352" s="40">
        <f t="shared" si="577"/>
        <v>50779.413333333338</v>
      </c>
      <c r="S352" s="40">
        <f t="shared" si="578"/>
        <v>50278.506666666668</v>
      </c>
      <c r="T352" s="40">
        <f t="shared" si="579"/>
        <v>58606.080000000002</v>
      </c>
      <c r="U352" s="40">
        <f t="shared" si="580"/>
        <v>66557.973333333342</v>
      </c>
      <c r="V352" s="40">
        <f t="shared" si="581"/>
        <v>38194.133333333339</v>
      </c>
      <c r="W352" s="40">
        <f t="shared" si="582"/>
        <v>16279.466666666667</v>
      </c>
      <c r="X352" s="40">
        <f t="shared" si="583"/>
        <v>7075.3066666666673</v>
      </c>
      <c r="Y352" s="39">
        <f t="shared" si="584"/>
        <v>1753.1733333333334</v>
      </c>
      <c r="Z352" s="40">
        <f t="shared" si="585"/>
        <v>688.74666666666667</v>
      </c>
      <c r="AA352" s="40">
        <f t="shared" si="586"/>
        <v>187.84</v>
      </c>
      <c r="AB352" s="40">
        <f t="shared" si="587"/>
        <v>125.22666666666667</v>
      </c>
      <c r="AC352" s="40">
        <f t="shared" si="588"/>
        <v>0</v>
      </c>
      <c r="AD352" s="40">
        <f t="shared" si="589"/>
        <v>187.84</v>
      </c>
      <c r="AE352" s="40">
        <f t="shared" si="590"/>
        <v>0</v>
      </c>
      <c r="AF352" s="40">
        <f t="shared" si="591"/>
        <v>62.613333333333337</v>
      </c>
      <c r="AG352" s="40">
        <f t="shared" si="592"/>
        <v>0</v>
      </c>
      <c r="AH352" s="40">
        <f t="shared" si="535"/>
        <v>0</v>
      </c>
      <c r="AI352" s="40">
        <f t="shared" si="536"/>
        <v>0</v>
      </c>
      <c r="AJ352" s="40">
        <f t="shared" si="537"/>
        <v>0</v>
      </c>
      <c r="AK352" s="39">
        <f t="shared" si="538"/>
        <v>0</v>
      </c>
      <c r="AL352" s="38">
        <v>484</v>
      </c>
      <c r="AM352" s="38">
        <v>848</v>
      </c>
      <c r="AN352" s="38">
        <v>516</v>
      </c>
      <c r="AO352" s="38">
        <v>535</v>
      </c>
      <c r="AP352" s="38">
        <v>594</v>
      </c>
      <c r="AQ352" s="39">
        <v>559</v>
      </c>
      <c r="AR352" s="40">
        <v>613</v>
      </c>
      <c r="AS352" s="40">
        <v>784</v>
      </c>
      <c r="AT352" s="40">
        <v>614</v>
      </c>
      <c r="AU352" s="40">
        <v>473</v>
      </c>
      <c r="AV352" s="40">
        <v>741</v>
      </c>
      <c r="AW352" s="40">
        <v>767</v>
      </c>
      <c r="AX352" s="40">
        <v>893</v>
      </c>
      <c r="AY352" s="40">
        <v>912</v>
      </c>
      <c r="AZ352" s="40">
        <v>610</v>
      </c>
      <c r="BA352" s="40">
        <v>260</v>
      </c>
      <c r="BB352" s="40">
        <v>113</v>
      </c>
      <c r="BC352" s="39">
        <v>28</v>
      </c>
      <c r="BD352" s="40">
        <v>11</v>
      </c>
      <c r="BE352" s="40">
        <v>3</v>
      </c>
      <c r="BF352" s="40">
        <v>2</v>
      </c>
      <c r="BG352" s="40">
        <v>0</v>
      </c>
      <c r="BH352" s="40">
        <v>3</v>
      </c>
      <c r="BI352" s="40">
        <v>0</v>
      </c>
      <c r="BJ352" s="40">
        <v>1</v>
      </c>
      <c r="BK352" s="40">
        <v>0</v>
      </c>
      <c r="BL352" s="40">
        <v>0</v>
      </c>
      <c r="BM352" s="40">
        <v>0</v>
      </c>
      <c r="BN352" s="40"/>
      <c r="BO352" s="39"/>
      <c r="BP352" s="21">
        <v>36</v>
      </c>
      <c r="BQ352" s="21">
        <v>34</v>
      </c>
      <c r="BR352" s="21">
        <v>71</v>
      </c>
      <c r="BS352" s="21">
        <v>42</v>
      </c>
      <c r="BT352" s="21">
        <v>34</v>
      </c>
      <c r="BU352" s="42">
        <v>69</v>
      </c>
      <c r="BV352" s="21">
        <v>40</v>
      </c>
      <c r="BW352" s="21">
        <v>36</v>
      </c>
      <c r="BX352" s="21">
        <v>52</v>
      </c>
      <c r="BY352" s="21">
        <v>35</v>
      </c>
      <c r="BZ352" s="21">
        <v>70</v>
      </c>
      <c r="CA352" s="21">
        <v>36</v>
      </c>
      <c r="CB352" s="21">
        <v>43</v>
      </c>
      <c r="CC352" s="21">
        <v>151</v>
      </c>
      <c r="CD352" s="21">
        <v>0</v>
      </c>
      <c r="CE352" s="21">
        <v>0</v>
      </c>
      <c r="CF352" s="21">
        <v>0</v>
      </c>
      <c r="CG352" s="42">
        <v>0</v>
      </c>
      <c r="CH352" s="21">
        <v>0</v>
      </c>
      <c r="CI352" s="21">
        <v>0</v>
      </c>
      <c r="CJ352" s="21">
        <v>0</v>
      </c>
      <c r="CK352" s="21">
        <v>0</v>
      </c>
      <c r="CL352" s="21">
        <v>0</v>
      </c>
      <c r="CM352" s="21">
        <v>0</v>
      </c>
      <c r="CN352" s="21">
        <v>0</v>
      </c>
      <c r="CO352" s="21">
        <v>0</v>
      </c>
      <c r="CP352" s="21">
        <f t="shared" si="593"/>
        <v>0</v>
      </c>
      <c r="CQ352" s="343">
        <f t="shared" si="594"/>
        <v>0</v>
      </c>
      <c r="CR352" s="40"/>
      <c r="CS352" s="39"/>
      <c r="CT352" s="38">
        <f t="shared" si="595"/>
        <v>520</v>
      </c>
      <c r="CU352" s="38">
        <f t="shared" si="596"/>
        <v>882</v>
      </c>
      <c r="CV352" s="38">
        <f t="shared" si="597"/>
        <v>587</v>
      </c>
      <c r="CW352" s="38">
        <f t="shared" si="598"/>
        <v>577</v>
      </c>
      <c r="CX352" s="38">
        <f t="shared" si="599"/>
        <v>628</v>
      </c>
      <c r="CY352" s="39">
        <f t="shared" si="600"/>
        <v>628</v>
      </c>
      <c r="CZ352" s="40">
        <f t="shared" si="601"/>
        <v>653</v>
      </c>
      <c r="DA352" s="40">
        <f t="shared" si="602"/>
        <v>820</v>
      </c>
      <c r="DB352" s="40">
        <f t="shared" si="603"/>
        <v>666</v>
      </c>
      <c r="DC352" s="40">
        <f t="shared" si="604"/>
        <v>508</v>
      </c>
      <c r="DD352" s="40">
        <f t="shared" si="605"/>
        <v>811</v>
      </c>
      <c r="DE352" s="40">
        <f t="shared" si="606"/>
        <v>803</v>
      </c>
      <c r="DF352" s="40">
        <f t="shared" si="607"/>
        <v>936</v>
      </c>
      <c r="DG352" s="40">
        <f t="shared" si="608"/>
        <v>1063</v>
      </c>
      <c r="DH352" s="40">
        <f t="shared" si="609"/>
        <v>610</v>
      </c>
      <c r="DI352" s="40">
        <f t="shared" si="610"/>
        <v>260</v>
      </c>
      <c r="DJ352" s="40">
        <f t="shared" si="611"/>
        <v>113</v>
      </c>
      <c r="DK352" s="39">
        <f t="shared" si="612"/>
        <v>28</v>
      </c>
      <c r="DL352" s="40">
        <f t="shared" si="613"/>
        <v>11</v>
      </c>
      <c r="DM352" s="40">
        <f t="shared" si="614"/>
        <v>3</v>
      </c>
      <c r="DN352" s="40">
        <f t="shared" si="615"/>
        <v>2</v>
      </c>
      <c r="DO352" s="40">
        <f t="shared" si="616"/>
        <v>0</v>
      </c>
      <c r="DP352" s="40">
        <f t="shared" si="617"/>
        <v>3</v>
      </c>
      <c r="DQ352" s="40">
        <f t="shared" si="618"/>
        <v>0</v>
      </c>
      <c r="DR352" s="40">
        <f t="shared" si="533"/>
        <v>1</v>
      </c>
      <c r="DS352" s="40">
        <f t="shared" si="534"/>
        <v>0</v>
      </c>
      <c r="DT352" s="40">
        <f t="shared" si="619"/>
        <v>0</v>
      </c>
      <c r="DU352" s="40">
        <f t="shared" si="620"/>
        <v>0</v>
      </c>
      <c r="DV352" s="40">
        <f t="shared" si="621"/>
        <v>0</v>
      </c>
      <c r="DW352" s="40">
        <f t="shared" si="622"/>
        <v>0</v>
      </c>
    </row>
    <row r="353" spans="1:127">
      <c r="A353" s="22" t="s">
        <v>133</v>
      </c>
      <c r="B353" s="26">
        <v>4987176272768</v>
      </c>
      <c r="C353" s="22" t="s">
        <v>133</v>
      </c>
      <c r="D353" s="22" t="s">
        <v>28</v>
      </c>
      <c r="E353" s="22">
        <v>256275</v>
      </c>
      <c r="F353" s="80" t="s">
        <v>441</v>
      </c>
      <c r="G353" s="25">
        <v>526.58000000000004</v>
      </c>
      <c r="H353" s="38">
        <f t="shared" si="567"/>
        <v>0</v>
      </c>
      <c r="I353" s="38">
        <f t="shared" si="568"/>
        <v>0</v>
      </c>
      <c r="J353" s="38">
        <f t="shared" si="569"/>
        <v>0</v>
      </c>
      <c r="K353" s="38">
        <f t="shared" si="570"/>
        <v>0</v>
      </c>
      <c r="L353" s="38">
        <f t="shared" si="571"/>
        <v>0</v>
      </c>
      <c r="M353" s="39">
        <f t="shared" si="572"/>
        <v>0</v>
      </c>
      <c r="N353" s="40">
        <f t="shared" si="573"/>
        <v>0</v>
      </c>
      <c r="O353" s="40">
        <f t="shared" si="574"/>
        <v>0</v>
      </c>
      <c r="P353" s="40">
        <f t="shared" si="575"/>
        <v>0</v>
      </c>
      <c r="Q353" s="40">
        <f t="shared" si="576"/>
        <v>0</v>
      </c>
      <c r="R353" s="40">
        <f t="shared" si="577"/>
        <v>0</v>
      </c>
      <c r="S353" s="40">
        <f t="shared" si="578"/>
        <v>1579.7400000000002</v>
      </c>
      <c r="T353" s="40">
        <f t="shared" si="579"/>
        <v>48971.94</v>
      </c>
      <c r="U353" s="40">
        <f t="shared" si="580"/>
        <v>116900.76000000001</v>
      </c>
      <c r="V353" s="40">
        <f t="shared" si="581"/>
        <v>71614.880000000005</v>
      </c>
      <c r="W353" s="40">
        <f t="shared" si="582"/>
        <v>38966.920000000006</v>
      </c>
      <c r="X353" s="40">
        <f t="shared" si="583"/>
        <v>51604.840000000004</v>
      </c>
      <c r="Y353" s="39">
        <f t="shared" si="584"/>
        <v>26329.000000000004</v>
      </c>
      <c r="Z353" s="40">
        <f t="shared" si="585"/>
        <v>33701.120000000003</v>
      </c>
      <c r="AA353" s="40">
        <f t="shared" si="586"/>
        <v>87938.86</v>
      </c>
      <c r="AB353" s="40">
        <f t="shared" si="587"/>
        <v>73194.62000000001</v>
      </c>
      <c r="AC353" s="40">
        <f t="shared" si="588"/>
        <v>162713.22</v>
      </c>
      <c r="AD353" s="40">
        <f t="shared" si="589"/>
        <v>144282.92000000001</v>
      </c>
      <c r="AE353" s="40">
        <f t="shared" si="590"/>
        <v>170611.92</v>
      </c>
      <c r="AF353" s="40">
        <f t="shared" si="591"/>
        <v>120586.82</v>
      </c>
      <c r="AG353" s="40">
        <f t="shared" si="592"/>
        <v>141650.02000000002</v>
      </c>
      <c r="AH353" s="40">
        <f t="shared" si="535"/>
        <v>104262.84000000001</v>
      </c>
      <c r="AI353" s="40">
        <f t="shared" si="536"/>
        <v>150426.35333333336</v>
      </c>
      <c r="AJ353" s="40">
        <f t="shared" si="537"/>
        <v>0</v>
      </c>
      <c r="AK353" s="39">
        <f t="shared" si="538"/>
        <v>0</v>
      </c>
      <c r="AL353" s="38">
        <v>0</v>
      </c>
      <c r="AM353" s="38">
        <v>0</v>
      </c>
      <c r="AN353" s="38">
        <v>0</v>
      </c>
      <c r="AO353" s="38">
        <v>0</v>
      </c>
      <c r="AP353" s="38">
        <v>0</v>
      </c>
      <c r="AQ353" s="39">
        <v>0</v>
      </c>
      <c r="AR353" s="40">
        <v>0</v>
      </c>
      <c r="AS353" s="40">
        <v>0</v>
      </c>
      <c r="AT353" s="40">
        <v>0</v>
      </c>
      <c r="AU353" s="40">
        <v>0</v>
      </c>
      <c r="AV353" s="40">
        <v>0</v>
      </c>
      <c r="AW353" s="40">
        <v>0</v>
      </c>
      <c r="AX353" s="40">
        <v>89</v>
      </c>
      <c r="AY353" s="40">
        <v>214</v>
      </c>
      <c r="AZ353" s="40">
        <v>132</v>
      </c>
      <c r="BA353" s="40">
        <v>72</v>
      </c>
      <c r="BB353" s="40">
        <v>93</v>
      </c>
      <c r="BC353" s="39">
        <v>48</v>
      </c>
      <c r="BD353" s="40">
        <v>63</v>
      </c>
      <c r="BE353" s="40">
        <v>165</v>
      </c>
      <c r="BF353" s="40">
        <v>136</v>
      </c>
      <c r="BG353" s="40">
        <v>301</v>
      </c>
      <c r="BH353" s="40">
        <v>269</v>
      </c>
      <c r="BI353" s="40">
        <v>321</v>
      </c>
      <c r="BJ353" s="40">
        <v>227</v>
      </c>
      <c r="BK353" s="40">
        <v>269</v>
      </c>
      <c r="BL353" s="40">
        <v>198</v>
      </c>
      <c r="BM353" s="40">
        <v>283</v>
      </c>
      <c r="BN353" s="40"/>
      <c r="BO353" s="39"/>
      <c r="BP353" s="21">
        <v>0</v>
      </c>
      <c r="BQ353" s="21">
        <v>0</v>
      </c>
      <c r="BR353" s="21">
        <v>0</v>
      </c>
      <c r="BS353" s="21">
        <v>0</v>
      </c>
      <c r="BT353" s="21">
        <v>0</v>
      </c>
      <c r="BU353" s="42">
        <v>0</v>
      </c>
      <c r="BV353" s="21">
        <v>0</v>
      </c>
      <c r="BW353" s="21">
        <v>0</v>
      </c>
      <c r="BX353" s="21">
        <v>0</v>
      </c>
      <c r="BY353" s="21">
        <v>0</v>
      </c>
      <c r="BZ353" s="21">
        <v>0</v>
      </c>
      <c r="CA353" s="21">
        <v>3</v>
      </c>
      <c r="CB353" s="21">
        <v>4</v>
      </c>
      <c r="CC353" s="21">
        <v>8</v>
      </c>
      <c r="CD353" s="21">
        <v>4</v>
      </c>
      <c r="CE353" s="21">
        <v>2</v>
      </c>
      <c r="CF353" s="21">
        <v>5</v>
      </c>
      <c r="CG353" s="42">
        <v>2</v>
      </c>
      <c r="CH353" s="21">
        <v>1</v>
      </c>
      <c r="CI353" s="21">
        <v>2</v>
      </c>
      <c r="CJ353" s="21">
        <v>3</v>
      </c>
      <c r="CK353" s="21">
        <v>8</v>
      </c>
      <c r="CL353" s="21">
        <v>5</v>
      </c>
      <c r="CM353" s="21">
        <v>3</v>
      </c>
      <c r="CN353" s="21">
        <v>2</v>
      </c>
      <c r="CO353" s="21">
        <v>0</v>
      </c>
      <c r="CP353" s="21">
        <f t="shared" si="593"/>
        <v>0</v>
      </c>
      <c r="CQ353" s="343">
        <f t="shared" si="594"/>
        <v>2.6666666666666665</v>
      </c>
      <c r="CR353" s="40"/>
      <c r="CS353" s="39"/>
      <c r="CT353" s="38">
        <f t="shared" si="595"/>
        <v>0</v>
      </c>
      <c r="CU353" s="38">
        <f t="shared" si="596"/>
        <v>0</v>
      </c>
      <c r="CV353" s="38">
        <f t="shared" si="597"/>
        <v>0</v>
      </c>
      <c r="CW353" s="38">
        <f t="shared" si="598"/>
        <v>0</v>
      </c>
      <c r="CX353" s="38">
        <f t="shared" si="599"/>
        <v>0</v>
      </c>
      <c r="CY353" s="39">
        <f t="shared" si="600"/>
        <v>0</v>
      </c>
      <c r="CZ353" s="40">
        <f t="shared" si="601"/>
        <v>0</v>
      </c>
      <c r="DA353" s="40">
        <f t="shared" si="602"/>
        <v>0</v>
      </c>
      <c r="DB353" s="40">
        <f t="shared" si="603"/>
        <v>0</v>
      </c>
      <c r="DC353" s="40">
        <f t="shared" si="604"/>
        <v>0</v>
      </c>
      <c r="DD353" s="40">
        <f t="shared" si="605"/>
        <v>0</v>
      </c>
      <c r="DE353" s="40">
        <f t="shared" si="606"/>
        <v>3</v>
      </c>
      <c r="DF353" s="40">
        <f t="shared" si="607"/>
        <v>93</v>
      </c>
      <c r="DG353" s="40">
        <f t="shared" si="608"/>
        <v>222</v>
      </c>
      <c r="DH353" s="40">
        <f t="shared" si="609"/>
        <v>136</v>
      </c>
      <c r="DI353" s="40">
        <f t="shared" si="610"/>
        <v>74</v>
      </c>
      <c r="DJ353" s="40">
        <f t="shared" si="611"/>
        <v>98</v>
      </c>
      <c r="DK353" s="39">
        <f t="shared" si="612"/>
        <v>50</v>
      </c>
      <c r="DL353" s="40">
        <f t="shared" si="613"/>
        <v>64</v>
      </c>
      <c r="DM353" s="40">
        <f t="shared" si="614"/>
        <v>167</v>
      </c>
      <c r="DN353" s="40">
        <f t="shared" si="615"/>
        <v>139</v>
      </c>
      <c r="DO353" s="40">
        <f t="shared" si="616"/>
        <v>309</v>
      </c>
      <c r="DP353" s="40">
        <f t="shared" si="617"/>
        <v>274</v>
      </c>
      <c r="DQ353" s="40">
        <f t="shared" si="618"/>
        <v>324</v>
      </c>
      <c r="DR353" s="40">
        <f t="shared" si="533"/>
        <v>229</v>
      </c>
      <c r="DS353" s="40">
        <f t="shared" si="534"/>
        <v>269</v>
      </c>
      <c r="DT353" s="40">
        <f t="shared" si="619"/>
        <v>198</v>
      </c>
      <c r="DU353" s="40">
        <f t="shared" si="620"/>
        <v>285.66666666666669</v>
      </c>
      <c r="DV353" s="40">
        <f t="shared" si="621"/>
        <v>0</v>
      </c>
      <c r="DW353" s="40">
        <f t="shared" si="622"/>
        <v>0</v>
      </c>
    </row>
    <row r="354" spans="1:127">
      <c r="A354" s="22" t="s">
        <v>133</v>
      </c>
      <c r="B354" s="26">
        <v>4987176272799</v>
      </c>
      <c r="C354" s="22" t="s">
        <v>133</v>
      </c>
      <c r="D354" s="22" t="s">
        <v>26</v>
      </c>
      <c r="E354" s="22">
        <v>256292</v>
      </c>
      <c r="F354" s="80" t="s">
        <v>442</v>
      </c>
      <c r="G354" s="25">
        <v>607.32000000000005</v>
      </c>
      <c r="H354" s="38">
        <f t="shared" si="567"/>
        <v>0</v>
      </c>
      <c r="I354" s="38">
        <f t="shared" si="568"/>
        <v>0</v>
      </c>
      <c r="J354" s="38">
        <f t="shared" si="569"/>
        <v>0</v>
      </c>
      <c r="K354" s="38">
        <f t="shared" si="570"/>
        <v>0</v>
      </c>
      <c r="L354" s="38">
        <f t="shared" si="571"/>
        <v>0</v>
      </c>
      <c r="M354" s="39">
        <f t="shared" si="572"/>
        <v>0</v>
      </c>
      <c r="N354" s="40">
        <f t="shared" si="573"/>
        <v>0</v>
      </c>
      <c r="O354" s="40">
        <f t="shared" si="574"/>
        <v>0</v>
      </c>
      <c r="P354" s="40">
        <f t="shared" si="575"/>
        <v>0</v>
      </c>
      <c r="Q354" s="40">
        <f t="shared" si="576"/>
        <v>0</v>
      </c>
      <c r="R354" s="40">
        <f t="shared" si="577"/>
        <v>0</v>
      </c>
      <c r="S354" s="40">
        <f t="shared" si="578"/>
        <v>0</v>
      </c>
      <c r="T354" s="40">
        <f t="shared" si="579"/>
        <v>9109.8000000000011</v>
      </c>
      <c r="U354" s="40">
        <f t="shared" si="580"/>
        <v>35831.880000000005</v>
      </c>
      <c r="V354" s="40">
        <f t="shared" si="581"/>
        <v>20041.560000000001</v>
      </c>
      <c r="W354" s="40">
        <f t="shared" si="582"/>
        <v>22470.84</v>
      </c>
      <c r="X354" s="40">
        <f t="shared" si="583"/>
        <v>23685.480000000003</v>
      </c>
      <c r="Y354" s="39">
        <f t="shared" si="584"/>
        <v>19434.240000000002</v>
      </c>
      <c r="Z354" s="40">
        <f t="shared" si="585"/>
        <v>17004.960000000003</v>
      </c>
      <c r="AA354" s="40">
        <f t="shared" si="586"/>
        <v>12146.400000000001</v>
      </c>
      <c r="AB354" s="40">
        <f t="shared" si="587"/>
        <v>11539.080000000002</v>
      </c>
      <c r="AC354" s="40">
        <f t="shared" si="588"/>
        <v>15790.320000000002</v>
      </c>
      <c r="AD354" s="40">
        <f t="shared" si="589"/>
        <v>13968.36</v>
      </c>
      <c r="AE354" s="40">
        <f t="shared" si="590"/>
        <v>26114.760000000002</v>
      </c>
      <c r="AF354" s="40">
        <f t="shared" si="591"/>
        <v>37653.840000000004</v>
      </c>
      <c r="AG354" s="40">
        <f t="shared" si="592"/>
        <v>53444.160000000003</v>
      </c>
      <c r="AH354" s="40">
        <f t="shared" si="535"/>
        <v>37653.840000000004</v>
      </c>
      <c r="AI354" s="40">
        <f t="shared" si="536"/>
        <v>52971.80000000001</v>
      </c>
      <c r="AJ354" s="40">
        <f t="shared" si="537"/>
        <v>0</v>
      </c>
      <c r="AK354" s="39">
        <f t="shared" si="538"/>
        <v>0</v>
      </c>
      <c r="AL354" s="38">
        <v>0</v>
      </c>
      <c r="AM354" s="38">
        <v>0</v>
      </c>
      <c r="AN354" s="38">
        <v>0</v>
      </c>
      <c r="AO354" s="38">
        <v>0</v>
      </c>
      <c r="AP354" s="38">
        <v>0</v>
      </c>
      <c r="AQ354" s="39">
        <v>0</v>
      </c>
      <c r="AR354" s="40">
        <v>0</v>
      </c>
      <c r="AS354" s="40">
        <v>0</v>
      </c>
      <c r="AT354" s="40">
        <v>0</v>
      </c>
      <c r="AU354" s="40">
        <v>0</v>
      </c>
      <c r="AV354" s="40">
        <v>0</v>
      </c>
      <c r="AW354" s="40">
        <v>0</v>
      </c>
      <c r="AX354" s="40">
        <v>11</v>
      </c>
      <c r="AY354" s="40">
        <v>58</v>
      </c>
      <c r="AZ354" s="40">
        <v>33</v>
      </c>
      <c r="BA354" s="40">
        <v>32</v>
      </c>
      <c r="BB354" s="40">
        <v>31</v>
      </c>
      <c r="BC354" s="39">
        <v>32</v>
      </c>
      <c r="BD354" s="40">
        <v>26</v>
      </c>
      <c r="BE354" s="40">
        <v>16</v>
      </c>
      <c r="BF354" s="40">
        <v>18</v>
      </c>
      <c r="BG354" s="40">
        <v>22</v>
      </c>
      <c r="BH354" s="40">
        <v>18</v>
      </c>
      <c r="BI354" s="40">
        <v>41</v>
      </c>
      <c r="BJ354" s="40">
        <v>62</v>
      </c>
      <c r="BK354" s="40">
        <v>87</v>
      </c>
      <c r="BL354" s="40">
        <v>61</v>
      </c>
      <c r="BM354" s="40">
        <v>85</v>
      </c>
      <c r="BN354" s="40"/>
      <c r="BO354" s="39"/>
      <c r="BP354" s="21">
        <v>0</v>
      </c>
      <c r="BQ354" s="21">
        <v>0</v>
      </c>
      <c r="BR354" s="21">
        <v>0</v>
      </c>
      <c r="BS354" s="21">
        <v>0</v>
      </c>
      <c r="BT354" s="21">
        <v>0</v>
      </c>
      <c r="BU354" s="42">
        <v>0</v>
      </c>
      <c r="BV354" s="21">
        <v>0</v>
      </c>
      <c r="BW354" s="21">
        <v>0</v>
      </c>
      <c r="BX354" s="21">
        <v>0</v>
      </c>
      <c r="BY354" s="21">
        <v>0</v>
      </c>
      <c r="BZ354" s="21">
        <v>0</v>
      </c>
      <c r="CA354" s="21">
        <v>0</v>
      </c>
      <c r="CB354" s="21">
        <v>4</v>
      </c>
      <c r="CC354" s="21">
        <v>1</v>
      </c>
      <c r="CD354" s="21">
        <v>0</v>
      </c>
      <c r="CE354" s="21">
        <v>5</v>
      </c>
      <c r="CF354" s="21">
        <v>8</v>
      </c>
      <c r="CG354" s="42">
        <v>0</v>
      </c>
      <c r="CH354" s="21">
        <v>2</v>
      </c>
      <c r="CI354" s="21">
        <v>4</v>
      </c>
      <c r="CJ354" s="21">
        <v>1</v>
      </c>
      <c r="CK354" s="21">
        <v>4</v>
      </c>
      <c r="CL354" s="21">
        <v>5</v>
      </c>
      <c r="CM354" s="21">
        <v>2</v>
      </c>
      <c r="CN354" s="21">
        <v>0</v>
      </c>
      <c r="CO354" s="21">
        <v>1</v>
      </c>
      <c r="CP354" s="21">
        <f t="shared" si="593"/>
        <v>1</v>
      </c>
      <c r="CQ354" s="343">
        <f t="shared" si="594"/>
        <v>2.2222222222222223</v>
      </c>
      <c r="CR354" s="40"/>
      <c r="CS354" s="39"/>
      <c r="CT354" s="38">
        <f t="shared" si="595"/>
        <v>0</v>
      </c>
      <c r="CU354" s="38">
        <f t="shared" si="596"/>
        <v>0</v>
      </c>
      <c r="CV354" s="38">
        <f t="shared" si="597"/>
        <v>0</v>
      </c>
      <c r="CW354" s="38">
        <f t="shared" si="598"/>
        <v>0</v>
      </c>
      <c r="CX354" s="38">
        <f t="shared" si="599"/>
        <v>0</v>
      </c>
      <c r="CY354" s="39">
        <f t="shared" si="600"/>
        <v>0</v>
      </c>
      <c r="CZ354" s="40">
        <f t="shared" si="601"/>
        <v>0</v>
      </c>
      <c r="DA354" s="40">
        <f t="shared" si="602"/>
        <v>0</v>
      </c>
      <c r="DB354" s="40">
        <f t="shared" si="603"/>
        <v>0</v>
      </c>
      <c r="DC354" s="40">
        <f t="shared" si="604"/>
        <v>0</v>
      </c>
      <c r="DD354" s="40">
        <f t="shared" si="605"/>
        <v>0</v>
      </c>
      <c r="DE354" s="40">
        <f t="shared" si="606"/>
        <v>0</v>
      </c>
      <c r="DF354" s="40">
        <f t="shared" si="607"/>
        <v>15</v>
      </c>
      <c r="DG354" s="40">
        <f t="shared" si="608"/>
        <v>59</v>
      </c>
      <c r="DH354" s="40">
        <f t="shared" si="609"/>
        <v>33</v>
      </c>
      <c r="DI354" s="40">
        <f t="shared" si="610"/>
        <v>37</v>
      </c>
      <c r="DJ354" s="40">
        <f t="shared" si="611"/>
        <v>39</v>
      </c>
      <c r="DK354" s="39">
        <f t="shared" si="612"/>
        <v>32</v>
      </c>
      <c r="DL354" s="40">
        <f t="shared" si="613"/>
        <v>28</v>
      </c>
      <c r="DM354" s="40">
        <f t="shared" si="614"/>
        <v>20</v>
      </c>
      <c r="DN354" s="40">
        <f t="shared" si="615"/>
        <v>19</v>
      </c>
      <c r="DO354" s="40">
        <f t="shared" si="616"/>
        <v>26</v>
      </c>
      <c r="DP354" s="40">
        <f t="shared" si="617"/>
        <v>23</v>
      </c>
      <c r="DQ354" s="40">
        <f t="shared" si="618"/>
        <v>43</v>
      </c>
      <c r="DR354" s="40">
        <f t="shared" si="533"/>
        <v>62</v>
      </c>
      <c r="DS354" s="40">
        <f t="shared" si="534"/>
        <v>88</v>
      </c>
      <c r="DT354" s="40">
        <f t="shared" si="619"/>
        <v>62</v>
      </c>
      <c r="DU354" s="40">
        <f t="shared" si="620"/>
        <v>87.222222222222229</v>
      </c>
      <c r="DV354" s="40">
        <f t="shared" si="621"/>
        <v>0</v>
      </c>
      <c r="DW354" s="40">
        <f t="shared" si="622"/>
        <v>0</v>
      </c>
    </row>
    <row r="355" spans="1:127">
      <c r="A355" s="22" t="s">
        <v>133</v>
      </c>
      <c r="B355" s="26">
        <v>4987176274168</v>
      </c>
      <c r="C355" s="22" t="s">
        <v>133</v>
      </c>
      <c r="D355" s="22" t="s">
        <v>29</v>
      </c>
      <c r="E355" s="22">
        <v>256306</v>
      </c>
      <c r="F355" s="80" t="s">
        <v>443</v>
      </c>
      <c r="G355" s="25">
        <v>508.32</v>
      </c>
      <c r="H355" s="38">
        <f t="shared" si="567"/>
        <v>0</v>
      </c>
      <c r="I355" s="38">
        <f t="shared" si="568"/>
        <v>0</v>
      </c>
      <c r="J355" s="38">
        <f t="shared" si="569"/>
        <v>0</v>
      </c>
      <c r="K355" s="38">
        <f t="shared" si="570"/>
        <v>0</v>
      </c>
      <c r="L355" s="38">
        <f t="shared" si="571"/>
        <v>0</v>
      </c>
      <c r="M355" s="39">
        <f t="shared" si="572"/>
        <v>0</v>
      </c>
      <c r="N355" s="40">
        <f t="shared" si="573"/>
        <v>0</v>
      </c>
      <c r="O355" s="40">
        <f t="shared" si="574"/>
        <v>0</v>
      </c>
      <c r="P355" s="40">
        <f t="shared" si="575"/>
        <v>0</v>
      </c>
      <c r="Q355" s="40">
        <f t="shared" si="576"/>
        <v>0</v>
      </c>
      <c r="R355" s="40">
        <f t="shared" si="577"/>
        <v>0</v>
      </c>
      <c r="S355" s="40">
        <f t="shared" si="578"/>
        <v>1016.64</v>
      </c>
      <c r="T355" s="40">
        <f t="shared" si="579"/>
        <v>5591.5199999999995</v>
      </c>
      <c r="U355" s="40">
        <f t="shared" si="580"/>
        <v>8641.44</v>
      </c>
      <c r="V355" s="40">
        <f t="shared" si="581"/>
        <v>5083.2</v>
      </c>
      <c r="W355" s="40">
        <f t="shared" si="582"/>
        <v>4066.56</v>
      </c>
      <c r="X355" s="40">
        <f t="shared" si="583"/>
        <v>6608.16</v>
      </c>
      <c r="Y355" s="39">
        <f t="shared" si="584"/>
        <v>6608.16</v>
      </c>
      <c r="Z355" s="40">
        <f t="shared" si="585"/>
        <v>6608.16</v>
      </c>
      <c r="AA355" s="40">
        <f t="shared" si="586"/>
        <v>4066.56</v>
      </c>
      <c r="AB355" s="40">
        <f t="shared" si="587"/>
        <v>7116.48</v>
      </c>
      <c r="AC355" s="40">
        <f t="shared" si="588"/>
        <v>8641.44</v>
      </c>
      <c r="AD355" s="40">
        <f t="shared" si="589"/>
        <v>11183.039999999999</v>
      </c>
      <c r="AE355" s="40">
        <f t="shared" si="590"/>
        <v>4574.88</v>
      </c>
      <c r="AF355" s="40">
        <f t="shared" si="591"/>
        <v>7116.48</v>
      </c>
      <c r="AG355" s="40">
        <f t="shared" si="592"/>
        <v>2033.28</v>
      </c>
      <c r="AH355" s="40">
        <f t="shared" si="535"/>
        <v>1524.96</v>
      </c>
      <c r="AI355" s="40">
        <f t="shared" si="536"/>
        <v>7003.52</v>
      </c>
      <c r="AJ355" s="40">
        <f t="shared" si="537"/>
        <v>0</v>
      </c>
      <c r="AK355" s="39">
        <f t="shared" si="538"/>
        <v>0</v>
      </c>
      <c r="AL355" s="38">
        <v>0</v>
      </c>
      <c r="AM355" s="38">
        <v>0</v>
      </c>
      <c r="AN355" s="38">
        <v>0</v>
      </c>
      <c r="AO355" s="38">
        <v>0</v>
      </c>
      <c r="AP355" s="38">
        <v>0</v>
      </c>
      <c r="AQ355" s="39">
        <v>0</v>
      </c>
      <c r="AR355" s="40">
        <v>0</v>
      </c>
      <c r="AS355" s="40">
        <v>0</v>
      </c>
      <c r="AT355" s="40">
        <v>0</v>
      </c>
      <c r="AU355" s="40">
        <v>0</v>
      </c>
      <c r="AV355" s="40">
        <v>0</v>
      </c>
      <c r="AW355" s="40">
        <v>0</v>
      </c>
      <c r="AX355" s="40">
        <v>1</v>
      </c>
      <c r="AY355" s="40">
        <v>0</v>
      </c>
      <c r="AZ355" s="40">
        <v>1</v>
      </c>
      <c r="BA355" s="40">
        <v>3</v>
      </c>
      <c r="BB355" s="40">
        <v>2</v>
      </c>
      <c r="BC355" s="39">
        <v>4</v>
      </c>
      <c r="BD355" s="40">
        <v>4</v>
      </c>
      <c r="BE355" s="40">
        <v>1</v>
      </c>
      <c r="BF355" s="40">
        <v>1</v>
      </c>
      <c r="BG355" s="40">
        <v>3</v>
      </c>
      <c r="BH355" s="40">
        <v>5</v>
      </c>
      <c r="BI355" s="40">
        <v>4</v>
      </c>
      <c r="BJ355" s="40">
        <v>2</v>
      </c>
      <c r="BK355" s="40">
        <v>3</v>
      </c>
      <c r="BL355" s="40">
        <v>2</v>
      </c>
      <c r="BM355" s="40">
        <v>5</v>
      </c>
      <c r="BN355" s="40"/>
      <c r="BO355" s="39"/>
      <c r="BP355" s="21">
        <v>0</v>
      </c>
      <c r="BQ355" s="21">
        <v>0</v>
      </c>
      <c r="BR355" s="21">
        <v>0</v>
      </c>
      <c r="BS355" s="21">
        <v>0</v>
      </c>
      <c r="BT355" s="21">
        <v>0</v>
      </c>
      <c r="BU355" s="42">
        <v>0</v>
      </c>
      <c r="BV355" s="21">
        <v>0</v>
      </c>
      <c r="BW355" s="21">
        <v>0</v>
      </c>
      <c r="BX355" s="21">
        <v>0</v>
      </c>
      <c r="BY355" s="21">
        <v>0</v>
      </c>
      <c r="BZ355" s="21">
        <v>0</v>
      </c>
      <c r="CA355" s="21">
        <v>2</v>
      </c>
      <c r="CB355" s="21">
        <v>10</v>
      </c>
      <c r="CC355" s="21">
        <v>17</v>
      </c>
      <c r="CD355" s="21">
        <v>9</v>
      </c>
      <c r="CE355" s="21">
        <v>5</v>
      </c>
      <c r="CF355" s="21">
        <v>11</v>
      </c>
      <c r="CG355" s="42">
        <v>9</v>
      </c>
      <c r="CH355" s="21">
        <v>9</v>
      </c>
      <c r="CI355" s="21">
        <v>7</v>
      </c>
      <c r="CJ355" s="21">
        <v>13</v>
      </c>
      <c r="CK355" s="21">
        <v>14</v>
      </c>
      <c r="CL355" s="21">
        <v>17</v>
      </c>
      <c r="CM355" s="21">
        <v>5</v>
      </c>
      <c r="CN355" s="21">
        <v>12</v>
      </c>
      <c r="CO355" s="21">
        <v>1</v>
      </c>
      <c r="CP355" s="21">
        <f t="shared" si="593"/>
        <v>1</v>
      </c>
      <c r="CQ355" s="343">
        <f t="shared" si="594"/>
        <v>8.7777777777777786</v>
      </c>
      <c r="CR355" s="40"/>
      <c r="CS355" s="39"/>
      <c r="CT355" s="38">
        <f t="shared" si="595"/>
        <v>0</v>
      </c>
      <c r="CU355" s="38">
        <f t="shared" si="596"/>
        <v>0</v>
      </c>
      <c r="CV355" s="38">
        <f t="shared" si="597"/>
        <v>0</v>
      </c>
      <c r="CW355" s="38">
        <f t="shared" si="598"/>
        <v>0</v>
      </c>
      <c r="CX355" s="38">
        <f t="shared" si="599"/>
        <v>0</v>
      </c>
      <c r="CY355" s="39">
        <f t="shared" si="600"/>
        <v>0</v>
      </c>
      <c r="CZ355" s="40">
        <f t="shared" si="601"/>
        <v>0</v>
      </c>
      <c r="DA355" s="40">
        <f t="shared" si="602"/>
        <v>0</v>
      </c>
      <c r="DB355" s="40">
        <f t="shared" si="603"/>
        <v>0</v>
      </c>
      <c r="DC355" s="40">
        <f t="shared" si="604"/>
        <v>0</v>
      </c>
      <c r="DD355" s="40">
        <f t="shared" si="605"/>
        <v>0</v>
      </c>
      <c r="DE355" s="40">
        <f t="shared" si="606"/>
        <v>2</v>
      </c>
      <c r="DF355" s="40">
        <f t="shared" si="607"/>
        <v>11</v>
      </c>
      <c r="DG355" s="40">
        <f t="shared" si="608"/>
        <v>17</v>
      </c>
      <c r="DH355" s="40">
        <f t="shared" si="609"/>
        <v>10</v>
      </c>
      <c r="DI355" s="40">
        <f t="shared" si="610"/>
        <v>8</v>
      </c>
      <c r="DJ355" s="40">
        <f t="shared" si="611"/>
        <v>13</v>
      </c>
      <c r="DK355" s="39">
        <f t="shared" si="612"/>
        <v>13</v>
      </c>
      <c r="DL355" s="40">
        <f t="shared" si="613"/>
        <v>13</v>
      </c>
      <c r="DM355" s="40">
        <f t="shared" si="614"/>
        <v>8</v>
      </c>
      <c r="DN355" s="40">
        <f t="shared" si="615"/>
        <v>14</v>
      </c>
      <c r="DO355" s="40">
        <f t="shared" si="616"/>
        <v>17</v>
      </c>
      <c r="DP355" s="40">
        <f t="shared" si="617"/>
        <v>22</v>
      </c>
      <c r="DQ355" s="40">
        <f t="shared" si="618"/>
        <v>9</v>
      </c>
      <c r="DR355" s="40">
        <f t="shared" si="533"/>
        <v>14</v>
      </c>
      <c r="DS355" s="40">
        <f t="shared" si="534"/>
        <v>4</v>
      </c>
      <c r="DT355" s="40">
        <f t="shared" si="619"/>
        <v>3</v>
      </c>
      <c r="DU355" s="40">
        <f t="shared" si="620"/>
        <v>13.777777777777779</v>
      </c>
      <c r="DV355" s="40">
        <f t="shared" si="621"/>
        <v>0</v>
      </c>
      <c r="DW355" s="40">
        <f t="shared" si="622"/>
        <v>0</v>
      </c>
    </row>
    <row r="356" spans="1:127">
      <c r="A356" s="22" t="s">
        <v>133</v>
      </c>
      <c r="B356" s="26">
        <v>4987176032706</v>
      </c>
      <c r="C356" s="22" t="s">
        <v>133</v>
      </c>
      <c r="D356" s="22" t="s">
        <v>28</v>
      </c>
      <c r="E356" s="22">
        <v>256323</v>
      </c>
      <c r="F356" s="80" t="s">
        <v>444</v>
      </c>
      <c r="G356" s="25">
        <v>731.22</v>
      </c>
      <c r="H356" s="38">
        <f t="shared" si="567"/>
        <v>0</v>
      </c>
      <c r="I356" s="38">
        <f t="shared" si="568"/>
        <v>0</v>
      </c>
      <c r="J356" s="38">
        <f t="shared" si="569"/>
        <v>0</v>
      </c>
      <c r="K356" s="38">
        <f t="shared" si="570"/>
        <v>0</v>
      </c>
      <c r="L356" s="38">
        <f t="shared" si="571"/>
        <v>0</v>
      </c>
      <c r="M356" s="39">
        <f t="shared" si="572"/>
        <v>0</v>
      </c>
      <c r="N356" s="40">
        <f t="shared" si="573"/>
        <v>0</v>
      </c>
      <c r="O356" s="40">
        <f t="shared" si="574"/>
        <v>0</v>
      </c>
      <c r="P356" s="40">
        <f t="shared" si="575"/>
        <v>0</v>
      </c>
      <c r="Q356" s="40">
        <f t="shared" si="576"/>
        <v>0</v>
      </c>
      <c r="R356" s="40">
        <f t="shared" si="577"/>
        <v>0</v>
      </c>
      <c r="S356" s="40">
        <f t="shared" si="578"/>
        <v>1462.44</v>
      </c>
      <c r="T356" s="40">
        <f t="shared" si="579"/>
        <v>6580.9800000000005</v>
      </c>
      <c r="U356" s="40">
        <f t="shared" si="580"/>
        <v>5849.76</v>
      </c>
      <c r="V356" s="40">
        <f t="shared" si="581"/>
        <v>5849.76</v>
      </c>
      <c r="W356" s="40">
        <f t="shared" si="582"/>
        <v>13161.960000000001</v>
      </c>
      <c r="X356" s="40">
        <f t="shared" si="583"/>
        <v>8043.42</v>
      </c>
      <c r="Y356" s="39">
        <f t="shared" si="584"/>
        <v>6580.9800000000005</v>
      </c>
      <c r="Z356" s="40">
        <f t="shared" si="585"/>
        <v>12430.74</v>
      </c>
      <c r="AA356" s="40">
        <f t="shared" si="586"/>
        <v>8043.42</v>
      </c>
      <c r="AB356" s="40">
        <f t="shared" si="587"/>
        <v>6580.9800000000005</v>
      </c>
      <c r="AC356" s="40">
        <f t="shared" si="588"/>
        <v>10968.300000000001</v>
      </c>
      <c r="AD356" s="40">
        <f t="shared" si="589"/>
        <v>8774.64</v>
      </c>
      <c r="AE356" s="40">
        <f t="shared" si="590"/>
        <v>13161.960000000001</v>
      </c>
      <c r="AF356" s="40">
        <f t="shared" si="591"/>
        <v>6580.9800000000005</v>
      </c>
      <c r="AG356" s="40">
        <f t="shared" si="592"/>
        <v>5118.54</v>
      </c>
      <c r="AH356" s="40">
        <f t="shared" si="535"/>
        <v>4387.32</v>
      </c>
      <c r="AI356" s="40">
        <f t="shared" si="536"/>
        <v>6824.7199999999993</v>
      </c>
      <c r="AJ356" s="40">
        <f t="shared" si="537"/>
        <v>0</v>
      </c>
      <c r="AK356" s="39">
        <f t="shared" si="538"/>
        <v>0</v>
      </c>
      <c r="AL356" s="38">
        <v>0</v>
      </c>
      <c r="AM356" s="38">
        <v>0</v>
      </c>
      <c r="AN356" s="38">
        <v>0</v>
      </c>
      <c r="AO356" s="38">
        <v>0</v>
      </c>
      <c r="AP356" s="38">
        <v>0</v>
      </c>
      <c r="AQ356" s="39">
        <v>0</v>
      </c>
      <c r="AR356" s="40">
        <v>0</v>
      </c>
      <c r="AS356" s="40">
        <v>0</v>
      </c>
      <c r="AT356" s="40">
        <v>0</v>
      </c>
      <c r="AU356" s="40">
        <v>0</v>
      </c>
      <c r="AV356" s="40">
        <v>0</v>
      </c>
      <c r="AW356" s="40">
        <v>0</v>
      </c>
      <c r="AX356" s="40">
        <v>0</v>
      </c>
      <c r="AY356" s="40">
        <v>3</v>
      </c>
      <c r="AZ356" s="40">
        <v>3</v>
      </c>
      <c r="BA356" s="40">
        <v>9</v>
      </c>
      <c r="BB356" s="40">
        <v>4</v>
      </c>
      <c r="BC356" s="39">
        <v>3</v>
      </c>
      <c r="BD356" s="40">
        <v>13</v>
      </c>
      <c r="BE356" s="40">
        <v>2</v>
      </c>
      <c r="BF356" s="40">
        <v>4</v>
      </c>
      <c r="BG356" s="40">
        <v>7</v>
      </c>
      <c r="BH356" s="40">
        <v>6</v>
      </c>
      <c r="BI356" s="40">
        <v>10</v>
      </c>
      <c r="BJ356" s="40">
        <v>5</v>
      </c>
      <c r="BK356" s="40">
        <v>5</v>
      </c>
      <c r="BL356" s="40">
        <v>4</v>
      </c>
      <c r="BM356" s="40">
        <v>4</v>
      </c>
      <c r="BN356" s="40"/>
      <c r="BO356" s="39"/>
      <c r="BP356" s="21">
        <v>0</v>
      </c>
      <c r="BQ356" s="21">
        <v>0</v>
      </c>
      <c r="BR356" s="21">
        <v>0</v>
      </c>
      <c r="BS356" s="21">
        <v>0</v>
      </c>
      <c r="BT356" s="21">
        <v>0</v>
      </c>
      <c r="BU356" s="42">
        <v>0</v>
      </c>
      <c r="BV356" s="21">
        <v>0</v>
      </c>
      <c r="BW356" s="21">
        <v>0</v>
      </c>
      <c r="BX356" s="21">
        <v>0</v>
      </c>
      <c r="BY356" s="21">
        <v>0</v>
      </c>
      <c r="BZ356" s="21">
        <v>0</v>
      </c>
      <c r="CA356" s="21">
        <v>2</v>
      </c>
      <c r="CB356" s="21">
        <v>9</v>
      </c>
      <c r="CC356" s="21">
        <v>5</v>
      </c>
      <c r="CD356" s="21">
        <v>5</v>
      </c>
      <c r="CE356" s="21">
        <v>9</v>
      </c>
      <c r="CF356" s="21">
        <v>7</v>
      </c>
      <c r="CG356" s="42">
        <v>6</v>
      </c>
      <c r="CH356" s="21">
        <v>4</v>
      </c>
      <c r="CI356" s="21">
        <v>9</v>
      </c>
      <c r="CJ356" s="21">
        <v>5</v>
      </c>
      <c r="CK356" s="21">
        <v>8</v>
      </c>
      <c r="CL356" s="21">
        <v>6</v>
      </c>
      <c r="CM356" s="21">
        <v>8</v>
      </c>
      <c r="CN356" s="21">
        <v>4</v>
      </c>
      <c r="CO356" s="21">
        <v>2</v>
      </c>
      <c r="CP356" s="21">
        <f t="shared" si="593"/>
        <v>2</v>
      </c>
      <c r="CQ356" s="343">
        <f t="shared" si="594"/>
        <v>5.333333333333333</v>
      </c>
      <c r="CR356" s="40"/>
      <c r="CS356" s="39"/>
      <c r="CT356" s="38">
        <f t="shared" si="595"/>
        <v>0</v>
      </c>
      <c r="CU356" s="38">
        <f t="shared" si="596"/>
        <v>0</v>
      </c>
      <c r="CV356" s="38">
        <f t="shared" si="597"/>
        <v>0</v>
      </c>
      <c r="CW356" s="38">
        <f t="shared" si="598"/>
        <v>0</v>
      </c>
      <c r="CX356" s="38">
        <f t="shared" si="599"/>
        <v>0</v>
      </c>
      <c r="CY356" s="39">
        <f t="shared" si="600"/>
        <v>0</v>
      </c>
      <c r="CZ356" s="40">
        <f t="shared" si="601"/>
        <v>0</v>
      </c>
      <c r="DA356" s="40">
        <f t="shared" si="602"/>
        <v>0</v>
      </c>
      <c r="DB356" s="40">
        <f t="shared" si="603"/>
        <v>0</v>
      </c>
      <c r="DC356" s="40">
        <f t="shared" si="604"/>
        <v>0</v>
      </c>
      <c r="DD356" s="40">
        <f t="shared" si="605"/>
        <v>0</v>
      </c>
      <c r="DE356" s="40">
        <f t="shared" si="606"/>
        <v>2</v>
      </c>
      <c r="DF356" s="40">
        <f t="shared" si="607"/>
        <v>9</v>
      </c>
      <c r="DG356" s="40">
        <f t="shared" si="608"/>
        <v>8</v>
      </c>
      <c r="DH356" s="40">
        <f t="shared" si="609"/>
        <v>8</v>
      </c>
      <c r="DI356" s="40">
        <f t="shared" si="610"/>
        <v>18</v>
      </c>
      <c r="DJ356" s="40">
        <f t="shared" si="611"/>
        <v>11</v>
      </c>
      <c r="DK356" s="39">
        <f t="shared" si="612"/>
        <v>9</v>
      </c>
      <c r="DL356" s="40">
        <f t="shared" si="613"/>
        <v>17</v>
      </c>
      <c r="DM356" s="40">
        <f t="shared" si="614"/>
        <v>11</v>
      </c>
      <c r="DN356" s="40">
        <f t="shared" si="615"/>
        <v>9</v>
      </c>
      <c r="DO356" s="40">
        <f t="shared" si="616"/>
        <v>15</v>
      </c>
      <c r="DP356" s="40">
        <f t="shared" si="617"/>
        <v>12</v>
      </c>
      <c r="DQ356" s="40">
        <f t="shared" si="618"/>
        <v>18</v>
      </c>
      <c r="DR356" s="40">
        <f t="shared" si="533"/>
        <v>9</v>
      </c>
      <c r="DS356" s="40">
        <f t="shared" si="534"/>
        <v>7</v>
      </c>
      <c r="DT356" s="40">
        <f t="shared" si="619"/>
        <v>6</v>
      </c>
      <c r="DU356" s="40">
        <f t="shared" si="620"/>
        <v>9.3333333333333321</v>
      </c>
      <c r="DV356" s="40">
        <f t="shared" si="621"/>
        <v>0</v>
      </c>
      <c r="DW356" s="40">
        <f t="shared" si="622"/>
        <v>0</v>
      </c>
    </row>
    <row r="357" spans="1:127">
      <c r="A357" s="22" t="s">
        <v>133</v>
      </c>
      <c r="B357" s="26">
        <v>4987176032720</v>
      </c>
      <c r="C357" s="22" t="s">
        <v>133</v>
      </c>
      <c r="D357" s="22" t="s">
        <v>26</v>
      </c>
      <c r="E357" s="22">
        <v>256332</v>
      </c>
      <c r="F357" s="80" t="s">
        <v>445</v>
      </c>
      <c r="G357" s="25">
        <v>863.63549999999998</v>
      </c>
      <c r="H357" s="38">
        <f t="shared" si="567"/>
        <v>0</v>
      </c>
      <c r="I357" s="38">
        <f t="shared" si="568"/>
        <v>0</v>
      </c>
      <c r="J357" s="38">
        <f t="shared" si="569"/>
        <v>0</v>
      </c>
      <c r="K357" s="38">
        <f t="shared" si="570"/>
        <v>0</v>
      </c>
      <c r="L357" s="38">
        <f t="shared" si="571"/>
        <v>0</v>
      </c>
      <c r="M357" s="39">
        <f t="shared" si="572"/>
        <v>0</v>
      </c>
      <c r="N357" s="40">
        <f t="shared" si="573"/>
        <v>0</v>
      </c>
      <c r="O357" s="40">
        <f t="shared" si="574"/>
        <v>0</v>
      </c>
      <c r="P357" s="40">
        <f t="shared" si="575"/>
        <v>0</v>
      </c>
      <c r="Q357" s="40">
        <f t="shared" si="576"/>
        <v>0</v>
      </c>
      <c r="R357" s="40">
        <f t="shared" si="577"/>
        <v>0</v>
      </c>
      <c r="S357" s="40">
        <f t="shared" si="578"/>
        <v>863.63549999999998</v>
      </c>
      <c r="T357" s="40">
        <f t="shared" si="579"/>
        <v>4318.1774999999998</v>
      </c>
      <c r="U357" s="40">
        <f t="shared" si="580"/>
        <v>12954.532499999999</v>
      </c>
      <c r="V357" s="40">
        <f t="shared" si="581"/>
        <v>6909.0839999999998</v>
      </c>
      <c r="W357" s="40">
        <f t="shared" si="582"/>
        <v>8636.3549999999996</v>
      </c>
      <c r="X357" s="40">
        <f t="shared" si="583"/>
        <v>6909.0839999999998</v>
      </c>
      <c r="Y357" s="39">
        <f t="shared" si="584"/>
        <v>3454.5419999999999</v>
      </c>
      <c r="Z357" s="40">
        <f t="shared" si="585"/>
        <v>9499.9904999999999</v>
      </c>
      <c r="AA357" s="40">
        <f t="shared" si="586"/>
        <v>6045.4484999999995</v>
      </c>
      <c r="AB357" s="40">
        <f t="shared" si="587"/>
        <v>8636.3549999999996</v>
      </c>
      <c r="AC357" s="40">
        <f t="shared" si="588"/>
        <v>12954.532499999999</v>
      </c>
      <c r="AD357" s="40">
        <f t="shared" si="589"/>
        <v>1727.271</v>
      </c>
      <c r="AE357" s="40">
        <f t="shared" si="590"/>
        <v>16409.074499999999</v>
      </c>
      <c r="AF357" s="40">
        <f t="shared" si="591"/>
        <v>18136.345499999999</v>
      </c>
      <c r="AG357" s="40">
        <f t="shared" si="592"/>
        <v>82909.008000000002</v>
      </c>
      <c r="AH357" s="40">
        <f t="shared" si="535"/>
        <v>44909.046000000002</v>
      </c>
      <c r="AI357" s="40">
        <f t="shared" si="536"/>
        <v>71777.706000000006</v>
      </c>
      <c r="AJ357" s="40">
        <f t="shared" si="537"/>
        <v>0</v>
      </c>
      <c r="AK357" s="39">
        <f t="shared" si="538"/>
        <v>0</v>
      </c>
      <c r="AL357" s="38">
        <v>0</v>
      </c>
      <c r="AM357" s="38">
        <v>0</v>
      </c>
      <c r="AN357" s="38">
        <v>0</v>
      </c>
      <c r="AO357" s="38">
        <v>0</v>
      </c>
      <c r="AP357" s="38">
        <v>0</v>
      </c>
      <c r="AQ357" s="39">
        <v>0</v>
      </c>
      <c r="AR357" s="40">
        <v>0</v>
      </c>
      <c r="AS357" s="40">
        <v>0</v>
      </c>
      <c r="AT357" s="40">
        <v>0</v>
      </c>
      <c r="AU357" s="40">
        <v>0</v>
      </c>
      <c r="AV357" s="40">
        <v>0</v>
      </c>
      <c r="AW357" s="40">
        <v>0</v>
      </c>
      <c r="AX357" s="40">
        <v>0</v>
      </c>
      <c r="AY357" s="40">
        <v>1</v>
      </c>
      <c r="AZ357" s="40">
        <v>3</v>
      </c>
      <c r="BA357" s="40">
        <v>4</v>
      </c>
      <c r="BB357" s="40">
        <v>4</v>
      </c>
      <c r="BC357" s="39">
        <v>2</v>
      </c>
      <c r="BD357" s="40">
        <v>3</v>
      </c>
      <c r="BE357" s="40">
        <v>5</v>
      </c>
      <c r="BF357" s="40">
        <v>2</v>
      </c>
      <c r="BG357" s="40">
        <v>2</v>
      </c>
      <c r="BH357" s="40">
        <v>1</v>
      </c>
      <c r="BI357" s="40">
        <v>19</v>
      </c>
      <c r="BJ357" s="40">
        <v>18</v>
      </c>
      <c r="BK357" s="40">
        <v>95</v>
      </c>
      <c r="BL357" s="40">
        <v>51</v>
      </c>
      <c r="BM357" s="40">
        <v>79</v>
      </c>
      <c r="BN357" s="40"/>
      <c r="BO357" s="39"/>
      <c r="BP357" s="21">
        <v>0</v>
      </c>
      <c r="BQ357" s="21">
        <v>0</v>
      </c>
      <c r="BR357" s="21">
        <v>0</v>
      </c>
      <c r="BS357" s="21">
        <v>0</v>
      </c>
      <c r="BT357" s="21">
        <v>0</v>
      </c>
      <c r="BU357" s="42">
        <v>0</v>
      </c>
      <c r="BV357" s="21">
        <v>0</v>
      </c>
      <c r="BW357" s="21">
        <v>0</v>
      </c>
      <c r="BX357" s="21">
        <v>0</v>
      </c>
      <c r="BY357" s="21">
        <v>0</v>
      </c>
      <c r="BZ357" s="21">
        <v>0</v>
      </c>
      <c r="CA357" s="21">
        <v>1</v>
      </c>
      <c r="CB357" s="21">
        <v>5</v>
      </c>
      <c r="CC357" s="21">
        <v>14</v>
      </c>
      <c r="CD357" s="21">
        <v>5</v>
      </c>
      <c r="CE357" s="21">
        <v>6</v>
      </c>
      <c r="CF357" s="21">
        <v>4</v>
      </c>
      <c r="CG357" s="42">
        <v>2</v>
      </c>
      <c r="CH357" s="21">
        <v>8</v>
      </c>
      <c r="CI357" s="21">
        <v>2</v>
      </c>
      <c r="CJ357" s="21">
        <v>8</v>
      </c>
      <c r="CK357" s="21">
        <v>13</v>
      </c>
      <c r="CL357" s="21">
        <v>1</v>
      </c>
      <c r="CM357" s="21">
        <v>0</v>
      </c>
      <c r="CN357" s="21">
        <v>3</v>
      </c>
      <c r="CO357" s="21">
        <v>1</v>
      </c>
      <c r="CP357" s="21">
        <f t="shared" si="593"/>
        <v>1</v>
      </c>
      <c r="CQ357" s="343">
        <f t="shared" si="594"/>
        <v>4.1111111111111107</v>
      </c>
      <c r="CR357" s="40"/>
      <c r="CS357" s="39"/>
      <c r="CT357" s="38">
        <f t="shared" si="595"/>
        <v>0</v>
      </c>
      <c r="CU357" s="38">
        <f t="shared" si="596"/>
        <v>0</v>
      </c>
      <c r="CV357" s="38">
        <f t="shared" si="597"/>
        <v>0</v>
      </c>
      <c r="CW357" s="38">
        <f t="shared" si="598"/>
        <v>0</v>
      </c>
      <c r="CX357" s="38">
        <f t="shared" si="599"/>
        <v>0</v>
      </c>
      <c r="CY357" s="39">
        <f t="shared" si="600"/>
        <v>0</v>
      </c>
      <c r="CZ357" s="40">
        <f t="shared" si="601"/>
        <v>0</v>
      </c>
      <c r="DA357" s="40">
        <f t="shared" si="602"/>
        <v>0</v>
      </c>
      <c r="DB357" s="40">
        <f t="shared" si="603"/>
        <v>0</v>
      </c>
      <c r="DC357" s="40">
        <f t="shared" si="604"/>
        <v>0</v>
      </c>
      <c r="DD357" s="40">
        <f t="shared" si="605"/>
        <v>0</v>
      </c>
      <c r="DE357" s="40">
        <f t="shared" si="606"/>
        <v>1</v>
      </c>
      <c r="DF357" s="40">
        <f t="shared" si="607"/>
        <v>5</v>
      </c>
      <c r="DG357" s="40">
        <f t="shared" si="608"/>
        <v>15</v>
      </c>
      <c r="DH357" s="40">
        <f t="shared" si="609"/>
        <v>8</v>
      </c>
      <c r="DI357" s="40">
        <f t="shared" si="610"/>
        <v>10</v>
      </c>
      <c r="DJ357" s="40">
        <f t="shared" si="611"/>
        <v>8</v>
      </c>
      <c r="DK357" s="39">
        <f t="shared" si="612"/>
        <v>4</v>
      </c>
      <c r="DL357" s="40">
        <f t="shared" si="613"/>
        <v>11</v>
      </c>
      <c r="DM357" s="40">
        <f t="shared" si="614"/>
        <v>7</v>
      </c>
      <c r="DN357" s="40">
        <f t="shared" si="615"/>
        <v>10</v>
      </c>
      <c r="DO357" s="40">
        <f t="shared" si="616"/>
        <v>15</v>
      </c>
      <c r="DP357" s="40">
        <f t="shared" si="617"/>
        <v>2</v>
      </c>
      <c r="DQ357" s="40">
        <f t="shared" si="618"/>
        <v>19</v>
      </c>
      <c r="DR357" s="40">
        <f t="shared" si="533"/>
        <v>21</v>
      </c>
      <c r="DS357" s="40">
        <f t="shared" si="534"/>
        <v>96</v>
      </c>
      <c r="DT357" s="40">
        <f t="shared" si="619"/>
        <v>52</v>
      </c>
      <c r="DU357" s="40">
        <f t="shared" si="620"/>
        <v>83.111111111111114</v>
      </c>
      <c r="DV357" s="40">
        <f t="shared" si="621"/>
        <v>0</v>
      </c>
      <c r="DW357" s="40">
        <f t="shared" si="622"/>
        <v>0</v>
      </c>
    </row>
    <row r="358" spans="1:127">
      <c r="A358" s="22" t="s">
        <v>133</v>
      </c>
      <c r="B358" s="26">
        <v>4987176294395</v>
      </c>
      <c r="C358" s="22" t="s">
        <v>133</v>
      </c>
      <c r="D358" s="22" t="s">
        <v>131</v>
      </c>
      <c r="E358" s="22">
        <v>259540</v>
      </c>
      <c r="F358" s="80" t="s">
        <v>446</v>
      </c>
      <c r="G358" s="25">
        <v>112.90650000000001</v>
      </c>
      <c r="H358" s="38">
        <f t="shared" si="567"/>
        <v>0</v>
      </c>
      <c r="I358" s="38">
        <f t="shared" si="568"/>
        <v>0</v>
      </c>
      <c r="J358" s="38">
        <f t="shared" si="569"/>
        <v>0</v>
      </c>
      <c r="K358" s="38">
        <f t="shared" si="570"/>
        <v>0</v>
      </c>
      <c r="L358" s="38">
        <f t="shared" si="571"/>
        <v>0</v>
      </c>
      <c r="M358" s="39">
        <f t="shared" si="572"/>
        <v>0</v>
      </c>
      <c r="N358" s="40">
        <f t="shared" si="573"/>
        <v>0</v>
      </c>
      <c r="O358" s="40">
        <f t="shared" si="574"/>
        <v>0</v>
      </c>
      <c r="P358" s="40">
        <f t="shared" si="575"/>
        <v>0</v>
      </c>
      <c r="Q358" s="40">
        <f t="shared" si="576"/>
        <v>0</v>
      </c>
      <c r="R358" s="40">
        <f t="shared" si="577"/>
        <v>0</v>
      </c>
      <c r="S358" s="40">
        <f t="shared" si="578"/>
        <v>0</v>
      </c>
      <c r="T358" s="40">
        <f t="shared" si="579"/>
        <v>0</v>
      </c>
      <c r="U358" s="40">
        <f t="shared" si="580"/>
        <v>2822.6625000000004</v>
      </c>
      <c r="V358" s="40">
        <f t="shared" si="581"/>
        <v>26420.121000000003</v>
      </c>
      <c r="W358" s="40">
        <f t="shared" si="582"/>
        <v>23145.8325</v>
      </c>
      <c r="X358" s="40">
        <f t="shared" si="583"/>
        <v>44485.161</v>
      </c>
      <c r="Y358" s="39">
        <f t="shared" si="584"/>
        <v>18403.7595</v>
      </c>
      <c r="Z358" s="40">
        <f t="shared" si="585"/>
        <v>18742.479000000003</v>
      </c>
      <c r="AA358" s="40">
        <f t="shared" si="586"/>
        <v>15919.816500000001</v>
      </c>
      <c r="AB358" s="40">
        <f t="shared" si="587"/>
        <v>11855.182500000001</v>
      </c>
      <c r="AC358" s="40">
        <f t="shared" si="588"/>
        <v>16371.442500000001</v>
      </c>
      <c r="AD358" s="40">
        <f t="shared" si="589"/>
        <v>10839.024000000001</v>
      </c>
      <c r="AE358" s="40">
        <f t="shared" si="590"/>
        <v>15016.5645</v>
      </c>
      <c r="AF358" s="40">
        <f t="shared" si="591"/>
        <v>9822.8654999999999</v>
      </c>
      <c r="AG358" s="40">
        <f t="shared" si="592"/>
        <v>10500.3045</v>
      </c>
      <c r="AH358" s="40">
        <f t="shared" si="535"/>
        <v>7903.4550000000008</v>
      </c>
      <c r="AI358" s="40">
        <f t="shared" si="536"/>
        <v>16195.81016666667</v>
      </c>
      <c r="AJ358" s="40">
        <f t="shared" si="537"/>
        <v>0</v>
      </c>
      <c r="AK358" s="39">
        <f t="shared" si="538"/>
        <v>0</v>
      </c>
      <c r="AL358" s="38">
        <v>0</v>
      </c>
      <c r="AM358" s="38">
        <v>0</v>
      </c>
      <c r="AN358" s="38">
        <v>0</v>
      </c>
      <c r="AO358" s="38">
        <v>0</v>
      </c>
      <c r="AP358" s="38">
        <v>0</v>
      </c>
      <c r="AQ358" s="39">
        <v>0</v>
      </c>
      <c r="AR358" s="40">
        <v>0</v>
      </c>
      <c r="AS358" s="40">
        <v>0</v>
      </c>
      <c r="AT358" s="40">
        <v>0</v>
      </c>
      <c r="AU358" s="40">
        <v>0</v>
      </c>
      <c r="AV358" s="40">
        <v>0</v>
      </c>
      <c r="AW358" s="40">
        <v>0</v>
      </c>
      <c r="AX358" s="40">
        <v>0</v>
      </c>
      <c r="AY358" s="40">
        <v>0</v>
      </c>
      <c r="AZ358" s="40">
        <v>205</v>
      </c>
      <c r="BA358" s="40">
        <v>196</v>
      </c>
      <c r="BB358" s="40">
        <v>229</v>
      </c>
      <c r="BC358" s="39">
        <v>131</v>
      </c>
      <c r="BD358" s="40">
        <v>120</v>
      </c>
      <c r="BE358" s="40">
        <v>83</v>
      </c>
      <c r="BF358" s="40">
        <v>67</v>
      </c>
      <c r="BG358" s="40">
        <v>98</v>
      </c>
      <c r="BH358" s="40">
        <v>66</v>
      </c>
      <c r="BI358" s="40">
        <v>106</v>
      </c>
      <c r="BJ358" s="40">
        <v>74</v>
      </c>
      <c r="BK358" s="40">
        <v>90</v>
      </c>
      <c r="BL358" s="40">
        <v>67</v>
      </c>
      <c r="BM358" s="40">
        <v>114</v>
      </c>
      <c r="BN358" s="40"/>
      <c r="BO358" s="39"/>
      <c r="BP358" s="21">
        <v>0</v>
      </c>
      <c r="BQ358" s="21">
        <v>0</v>
      </c>
      <c r="BR358" s="21">
        <v>0</v>
      </c>
      <c r="BS358" s="21">
        <v>0</v>
      </c>
      <c r="BT358" s="21">
        <v>0</v>
      </c>
      <c r="BU358" s="42">
        <v>0</v>
      </c>
      <c r="BV358" s="21">
        <v>0</v>
      </c>
      <c r="BW358" s="21">
        <v>0</v>
      </c>
      <c r="BX358" s="21">
        <v>0</v>
      </c>
      <c r="BY358" s="21">
        <v>0</v>
      </c>
      <c r="BZ358" s="21">
        <v>0</v>
      </c>
      <c r="CA358" s="21">
        <v>0</v>
      </c>
      <c r="CB358" s="21">
        <v>0</v>
      </c>
      <c r="CC358" s="21">
        <v>25</v>
      </c>
      <c r="CD358" s="21">
        <v>29</v>
      </c>
      <c r="CE358" s="21">
        <v>9</v>
      </c>
      <c r="CF358" s="21">
        <v>165</v>
      </c>
      <c r="CG358" s="42">
        <v>32</v>
      </c>
      <c r="CH358" s="21">
        <v>46</v>
      </c>
      <c r="CI358" s="21">
        <v>58</v>
      </c>
      <c r="CJ358" s="21">
        <v>38</v>
      </c>
      <c r="CK358" s="21">
        <v>47</v>
      </c>
      <c r="CL358" s="21">
        <v>30</v>
      </c>
      <c r="CM358" s="21">
        <v>27</v>
      </c>
      <c r="CN358" s="21">
        <v>13</v>
      </c>
      <c r="CO358" s="21">
        <v>3</v>
      </c>
      <c r="CP358" s="21">
        <f t="shared" si="593"/>
        <v>3</v>
      </c>
      <c r="CQ358" s="343">
        <f t="shared" si="594"/>
        <v>29.444444444444443</v>
      </c>
      <c r="CR358" s="40"/>
      <c r="CS358" s="39"/>
      <c r="CT358" s="38">
        <f t="shared" si="595"/>
        <v>0</v>
      </c>
      <c r="CU358" s="38">
        <f t="shared" si="596"/>
        <v>0</v>
      </c>
      <c r="CV358" s="38">
        <f t="shared" si="597"/>
        <v>0</v>
      </c>
      <c r="CW358" s="38">
        <f t="shared" si="598"/>
        <v>0</v>
      </c>
      <c r="CX358" s="38">
        <f t="shared" si="599"/>
        <v>0</v>
      </c>
      <c r="CY358" s="39">
        <f t="shared" si="600"/>
        <v>0</v>
      </c>
      <c r="CZ358" s="40">
        <f t="shared" si="601"/>
        <v>0</v>
      </c>
      <c r="DA358" s="40">
        <f t="shared" si="602"/>
        <v>0</v>
      </c>
      <c r="DB358" s="40">
        <f t="shared" si="603"/>
        <v>0</v>
      </c>
      <c r="DC358" s="40">
        <f t="shared" si="604"/>
        <v>0</v>
      </c>
      <c r="DD358" s="40">
        <f t="shared" si="605"/>
        <v>0</v>
      </c>
      <c r="DE358" s="40">
        <f t="shared" si="606"/>
        <v>0</v>
      </c>
      <c r="DF358" s="40">
        <f t="shared" si="607"/>
        <v>0</v>
      </c>
      <c r="DG358" s="40">
        <f t="shared" si="608"/>
        <v>25</v>
      </c>
      <c r="DH358" s="40">
        <f t="shared" si="609"/>
        <v>234</v>
      </c>
      <c r="DI358" s="40">
        <f t="shared" si="610"/>
        <v>205</v>
      </c>
      <c r="DJ358" s="40">
        <f t="shared" si="611"/>
        <v>394</v>
      </c>
      <c r="DK358" s="39">
        <f t="shared" si="612"/>
        <v>163</v>
      </c>
      <c r="DL358" s="40">
        <f t="shared" si="613"/>
        <v>166</v>
      </c>
      <c r="DM358" s="40">
        <f t="shared" si="614"/>
        <v>141</v>
      </c>
      <c r="DN358" s="40">
        <f t="shared" si="615"/>
        <v>105</v>
      </c>
      <c r="DO358" s="40">
        <f t="shared" si="616"/>
        <v>145</v>
      </c>
      <c r="DP358" s="40">
        <f t="shared" si="617"/>
        <v>96</v>
      </c>
      <c r="DQ358" s="40">
        <f t="shared" si="618"/>
        <v>133</v>
      </c>
      <c r="DR358" s="40">
        <f t="shared" si="533"/>
        <v>87</v>
      </c>
      <c r="DS358" s="40">
        <f t="shared" si="534"/>
        <v>93</v>
      </c>
      <c r="DT358" s="40">
        <f t="shared" si="619"/>
        <v>70</v>
      </c>
      <c r="DU358" s="40">
        <f t="shared" si="620"/>
        <v>143.44444444444446</v>
      </c>
      <c r="DV358" s="40">
        <f t="shared" si="621"/>
        <v>0</v>
      </c>
      <c r="DW358" s="40">
        <f t="shared" si="622"/>
        <v>0</v>
      </c>
    </row>
    <row r="359" spans="1:127">
      <c r="A359" s="22" t="s">
        <v>133</v>
      </c>
      <c r="B359" s="26">
        <v>4987176294388</v>
      </c>
      <c r="C359" s="22" t="s">
        <v>133</v>
      </c>
      <c r="D359" s="22" t="s">
        <v>131</v>
      </c>
      <c r="E359" s="22">
        <v>259399</v>
      </c>
      <c r="F359" s="80" t="s">
        <v>447</v>
      </c>
      <c r="G359" s="25">
        <v>112.90650000000001</v>
      </c>
      <c r="H359" s="38">
        <f t="shared" si="567"/>
        <v>0</v>
      </c>
      <c r="I359" s="38">
        <f t="shared" si="568"/>
        <v>0</v>
      </c>
      <c r="J359" s="38">
        <f t="shared" si="569"/>
        <v>0</v>
      </c>
      <c r="K359" s="38">
        <f t="shared" si="570"/>
        <v>0</v>
      </c>
      <c r="L359" s="38">
        <f t="shared" si="571"/>
        <v>0</v>
      </c>
      <c r="M359" s="39">
        <f t="shared" si="572"/>
        <v>0</v>
      </c>
      <c r="N359" s="40">
        <f t="shared" si="573"/>
        <v>0</v>
      </c>
      <c r="O359" s="40">
        <f t="shared" si="574"/>
        <v>0</v>
      </c>
      <c r="P359" s="40">
        <f t="shared" si="575"/>
        <v>0</v>
      </c>
      <c r="Q359" s="40">
        <f t="shared" si="576"/>
        <v>0</v>
      </c>
      <c r="R359" s="40">
        <f t="shared" si="577"/>
        <v>0</v>
      </c>
      <c r="S359" s="40">
        <f t="shared" si="578"/>
        <v>0</v>
      </c>
      <c r="T359" s="40">
        <f t="shared" si="579"/>
        <v>112.90650000000001</v>
      </c>
      <c r="U359" s="40">
        <f t="shared" si="580"/>
        <v>4290.4470000000001</v>
      </c>
      <c r="V359" s="40">
        <f t="shared" si="581"/>
        <v>38275.303500000002</v>
      </c>
      <c r="W359" s="40">
        <f t="shared" si="582"/>
        <v>35226.828000000001</v>
      </c>
      <c r="X359" s="40">
        <f t="shared" si="583"/>
        <v>49227.234000000004</v>
      </c>
      <c r="Y359" s="39">
        <f t="shared" si="584"/>
        <v>23710.365000000002</v>
      </c>
      <c r="Z359" s="40">
        <f t="shared" si="585"/>
        <v>20774.796000000002</v>
      </c>
      <c r="AA359" s="40">
        <f t="shared" si="586"/>
        <v>22016.767500000002</v>
      </c>
      <c r="AB359" s="40">
        <f t="shared" si="587"/>
        <v>18742.479000000003</v>
      </c>
      <c r="AC359" s="40">
        <f t="shared" si="588"/>
        <v>24049.084500000001</v>
      </c>
      <c r="AD359" s="40">
        <f t="shared" si="589"/>
        <v>16935.975000000002</v>
      </c>
      <c r="AE359" s="40">
        <f t="shared" si="590"/>
        <v>20436.076500000003</v>
      </c>
      <c r="AF359" s="40">
        <f t="shared" si="591"/>
        <v>16597.255500000003</v>
      </c>
      <c r="AG359" s="40">
        <f t="shared" si="592"/>
        <v>14564.9385</v>
      </c>
      <c r="AH359" s="40">
        <f t="shared" si="535"/>
        <v>14113.312500000002</v>
      </c>
      <c r="AI359" s="40">
        <f t="shared" si="536"/>
        <v>24613.617000000002</v>
      </c>
      <c r="AJ359" s="40">
        <f t="shared" si="537"/>
        <v>0</v>
      </c>
      <c r="AK359" s="39">
        <f t="shared" si="538"/>
        <v>0</v>
      </c>
      <c r="AL359" s="38">
        <v>0</v>
      </c>
      <c r="AM359" s="38">
        <v>0</v>
      </c>
      <c r="AN359" s="38">
        <v>0</v>
      </c>
      <c r="AO359" s="38">
        <v>0</v>
      </c>
      <c r="AP359" s="38">
        <v>0</v>
      </c>
      <c r="AQ359" s="39">
        <v>0</v>
      </c>
      <c r="AR359" s="40">
        <v>0</v>
      </c>
      <c r="AS359" s="40">
        <v>0</v>
      </c>
      <c r="AT359" s="40">
        <v>0</v>
      </c>
      <c r="AU359" s="40">
        <v>0</v>
      </c>
      <c r="AV359" s="40">
        <v>0</v>
      </c>
      <c r="AW359" s="40">
        <v>0</v>
      </c>
      <c r="AX359" s="40">
        <v>0</v>
      </c>
      <c r="AY359" s="40">
        <v>0</v>
      </c>
      <c r="AZ359" s="40">
        <v>287</v>
      </c>
      <c r="BA359" s="40">
        <v>298</v>
      </c>
      <c r="BB359" s="40">
        <v>205</v>
      </c>
      <c r="BC359" s="39">
        <v>154</v>
      </c>
      <c r="BD359" s="40">
        <v>134</v>
      </c>
      <c r="BE359" s="40">
        <v>119</v>
      </c>
      <c r="BF359" s="40">
        <v>100</v>
      </c>
      <c r="BG359" s="40">
        <v>136</v>
      </c>
      <c r="BH359" s="40">
        <v>95</v>
      </c>
      <c r="BI359" s="40">
        <v>147</v>
      </c>
      <c r="BJ359" s="40">
        <v>116</v>
      </c>
      <c r="BK359" s="40">
        <v>121</v>
      </c>
      <c r="BL359" s="40">
        <v>117</v>
      </c>
      <c r="BM359" s="40">
        <v>173</v>
      </c>
      <c r="BN359" s="40"/>
      <c r="BO359" s="39"/>
      <c r="BP359" s="21">
        <v>0</v>
      </c>
      <c r="BQ359" s="21">
        <v>0</v>
      </c>
      <c r="BR359" s="21">
        <v>0</v>
      </c>
      <c r="BS359" s="21">
        <v>0</v>
      </c>
      <c r="BT359" s="21">
        <v>0</v>
      </c>
      <c r="BU359" s="42">
        <v>0</v>
      </c>
      <c r="BV359" s="21">
        <v>0</v>
      </c>
      <c r="BW359" s="21">
        <v>0</v>
      </c>
      <c r="BX359" s="21">
        <v>0</v>
      </c>
      <c r="BY359" s="21">
        <v>0</v>
      </c>
      <c r="BZ359" s="21">
        <v>0</v>
      </c>
      <c r="CA359" s="21">
        <v>0</v>
      </c>
      <c r="CB359" s="21">
        <v>1</v>
      </c>
      <c r="CC359" s="21">
        <v>38</v>
      </c>
      <c r="CD359" s="21">
        <v>52</v>
      </c>
      <c r="CE359" s="21">
        <v>14</v>
      </c>
      <c r="CF359" s="21">
        <v>231</v>
      </c>
      <c r="CG359" s="42">
        <v>56</v>
      </c>
      <c r="CH359" s="21">
        <v>50</v>
      </c>
      <c r="CI359" s="21">
        <v>76</v>
      </c>
      <c r="CJ359" s="21">
        <v>66</v>
      </c>
      <c r="CK359" s="21">
        <v>77</v>
      </c>
      <c r="CL359" s="21">
        <v>55</v>
      </c>
      <c r="CM359" s="21">
        <v>34</v>
      </c>
      <c r="CN359" s="21">
        <v>31</v>
      </c>
      <c r="CO359" s="21">
        <v>8</v>
      </c>
      <c r="CP359" s="21">
        <f t="shared" si="593"/>
        <v>8</v>
      </c>
      <c r="CQ359" s="343">
        <f t="shared" si="594"/>
        <v>45</v>
      </c>
      <c r="CR359" s="40"/>
      <c r="CS359" s="39"/>
      <c r="CT359" s="38">
        <f t="shared" si="595"/>
        <v>0</v>
      </c>
      <c r="CU359" s="38">
        <f t="shared" si="596"/>
        <v>0</v>
      </c>
      <c r="CV359" s="38">
        <f t="shared" si="597"/>
        <v>0</v>
      </c>
      <c r="CW359" s="38">
        <f t="shared" si="598"/>
        <v>0</v>
      </c>
      <c r="CX359" s="38">
        <f t="shared" si="599"/>
        <v>0</v>
      </c>
      <c r="CY359" s="39">
        <f t="shared" si="600"/>
        <v>0</v>
      </c>
      <c r="CZ359" s="40">
        <f t="shared" si="601"/>
        <v>0</v>
      </c>
      <c r="DA359" s="40">
        <f t="shared" si="602"/>
        <v>0</v>
      </c>
      <c r="DB359" s="40">
        <f t="shared" si="603"/>
        <v>0</v>
      </c>
      <c r="DC359" s="40">
        <f t="shared" si="604"/>
        <v>0</v>
      </c>
      <c r="DD359" s="40">
        <f t="shared" si="605"/>
        <v>0</v>
      </c>
      <c r="DE359" s="40">
        <f t="shared" si="606"/>
        <v>0</v>
      </c>
      <c r="DF359" s="40">
        <f t="shared" si="607"/>
        <v>1</v>
      </c>
      <c r="DG359" s="40">
        <f t="shared" si="608"/>
        <v>38</v>
      </c>
      <c r="DH359" s="40">
        <f t="shared" si="609"/>
        <v>339</v>
      </c>
      <c r="DI359" s="40">
        <f t="shared" si="610"/>
        <v>312</v>
      </c>
      <c r="DJ359" s="40">
        <f t="shared" si="611"/>
        <v>436</v>
      </c>
      <c r="DK359" s="39">
        <f t="shared" si="612"/>
        <v>210</v>
      </c>
      <c r="DL359" s="40">
        <f t="shared" si="613"/>
        <v>184</v>
      </c>
      <c r="DM359" s="40">
        <f t="shared" si="614"/>
        <v>195</v>
      </c>
      <c r="DN359" s="40">
        <f t="shared" si="615"/>
        <v>166</v>
      </c>
      <c r="DO359" s="40">
        <f t="shared" si="616"/>
        <v>213</v>
      </c>
      <c r="DP359" s="40">
        <f t="shared" si="617"/>
        <v>150</v>
      </c>
      <c r="DQ359" s="40">
        <f t="shared" si="618"/>
        <v>181</v>
      </c>
      <c r="DR359" s="40">
        <f t="shared" ref="DR359:DR422" si="623">BJ359+CN359</f>
        <v>147</v>
      </c>
      <c r="DS359" s="40">
        <f t="shared" si="534"/>
        <v>129</v>
      </c>
      <c r="DT359" s="40">
        <f t="shared" si="619"/>
        <v>125</v>
      </c>
      <c r="DU359" s="40">
        <f t="shared" si="620"/>
        <v>218</v>
      </c>
      <c r="DV359" s="40">
        <f t="shared" si="621"/>
        <v>0</v>
      </c>
      <c r="DW359" s="40">
        <f t="shared" si="622"/>
        <v>0</v>
      </c>
    </row>
    <row r="360" spans="1:127">
      <c r="A360" s="22" t="s">
        <v>133</v>
      </c>
      <c r="B360" s="26">
        <v>4987176048950</v>
      </c>
      <c r="C360" s="22" t="s">
        <v>133</v>
      </c>
      <c r="D360" s="22" t="s">
        <v>131</v>
      </c>
      <c r="E360" s="22">
        <v>259745</v>
      </c>
      <c r="F360" s="80" t="s">
        <v>448</v>
      </c>
      <c r="G360" s="25">
        <v>112.90650000000001</v>
      </c>
      <c r="H360" s="38">
        <f t="shared" si="567"/>
        <v>0</v>
      </c>
      <c r="I360" s="38">
        <f t="shared" si="568"/>
        <v>0</v>
      </c>
      <c r="J360" s="38">
        <f t="shared" si="569"/>
        <v>0</v>
      </c>
      <c r="K360" s="38">
        <f t="shared" si="570"/>
        <v>0</v>
      </c>
      <c r="L360" s="38">
        <f t="shared" si="571"/>
        <v>0</v>
      </c>
      <c r="M360" s="39">
        <f t="shared" si="572"/>
        <v>0</v>
      </c>
      <c r="N360" s="40">
        <f t="shared" si="573"/>
        <v>0</v>
      </c>
      <c r="O360" s="40">
        <f t="shared" si="574"/>
        <v>0</v>
      </c>
      <c r="P360" s="40">
        <f t="shared" si="575"/>
        <v>0</v>
      </c>
      <c r="Q360" s="40">
        <f t="shared" si="576"/>
        <v>0</v>
      </c>
      <c r="R360" s="40">
        <f t="shared" si="577"/>
        <v>0</v>
      </c>
      <c r="S360" s="40">
        <f t="shared" si="578"/>
        <v>0</v>
      </c>
      <c r="T360" s="40">
        <f t="shared" si="579"/>
        <v>0</v>
      </c>
      <c r="U360" s="40">
        <f t="shared" si="580"/>
        <v>338.71950000000004</v>
      </c>
      <c r="V360" s="40">
        <f t="shared" si="581"/>
        <v>23032.926000000003</v>
      </c>
      <c r="W360" s="40">
        <f t="shared" si="582"/>
        <v>22016.767500000002</v>
      </c>
      <c r="X360" s="40">
        <f t="shared" si="583"/>
        <v>29920.222500000003</v>
      </c>
      <c r="Y360" s="39">
        <f t="shared" si="584"/>
        <v>19194.105000000003</v>
      </c>
      <c r="Z360" s="40">
        <f t="shared" si="585"/>
        <v>15806.910000000002</v>
      </c>
      <c r="AA360" s="40">
        <f t="shared" si="586"/>
        <v>12193.902</v>
      </c>
      <c r="AB360" s="40">
        <f t="shared" si="587"/>
        <v>10274.4915</v>
      </c>
      <c r="AC360" s="40">
        <f t="shared" si="588"/>
        <v>12419.715</v>
      </c>
      <c r="AD360" s="40">
        <f t="shared" si="589"/>
        <v>9258.3330000000005</v>
      </c>
      <c r="AE360" s="40">
        <f t="shared" si="590"/>
        <v>12193.902</v>
      </c>
      <c r="AF360" s="40">
        <f t="shared" si="591"/>
        <v>9371.2395000000015</v>
      </c>
      <c r="AG360" s="40">
        <f t="shared" si="592"/>
        <v>10839.024000000001</v>
      </c>
      <c r="AH360" s="40">
        <f t="shared" si="535"/>
        <v>9484.1460000000006</v>
      </c>
      <c r="AI360" s="40">
        <f t="shared" si="536"/>
        <v>12005.7245</v>
      </c>
      <c r="AJ360" s="40">
        <f t="shared" si="537"/>
        <v>0</v>
      </c>
      <c r="AK360" s="39">
        <f t="shared" si="538"/>
        <v>0</v>
      </c>
      <c r="AL360" s="38">
        <v>0</v>
      </c>
      <c r="AM360" s="38">
        <v>0</v>
      </c>
      <c r="AN360" s="38">
        <v>0</v>
      </c>
      <c r="AO360" s="38">
        <v>0</v>
      </c>
      <c r="AP360" s="38">
        <v>0</v>
      </c>
      <c r="AQ360" s="39">
        <v>0</v>
      </c>
      <c r="AR360" s="40">
        <v>0</v>
      </c>
      <c r="AS360" s="40">
        <v>0</v>
      </c>
      <c r="AT360" s="40">
        <v>0</v>
      </c>
      <c r="AU360" s="40">
        <v>0</v>
      </c>
      <c r="AV360" s="40">
        <v>0</v>
      </c>
      <c r="AW360" s="40">
        <v>0</v>
      </c>
      <c r="AX360" s="40">
        <v>0</v>
      </c>
      <c r="AY360" s="40">
        <v>0</v>
      </c>
      <c r="AZ360" s="40">
        <v>187</v>
      </c>
      <c r="BA360" s="40">
        <v>190</v>
      </c>
      <c r="BB360" s="40">
        <v>210</v>
      </c>
      <c r="BC360" s="39">
        <v>152</v>
      </c>
      <c r="BD360" s="40">
        <v>126</v>
      </c>
      <c r="BE360" s="40">
        <v>95</v>
      </c>
      <c r="BF360" s="40">
        <v>75</v>
      </c>
      <c r="BG360" s="40">
        <v>96</v>
      </c>
      <c r="BH360" s="40">
        <v>70</v>
      </c>
      <c r="BI360" s="40">
        <v>100</v>
      </c>
      <c r="BJ360" s="40">
        <v>80</v>
      </c>
      <c r="BK360" s="40">
        <v>94</v>
      </c>
      <c r="BL360" s="40">
        <v>82</v>
      </c>
      <c r="BM360" s="40">
        <v>97</v>
      </c>
      <c r="BN360" s="40"/>
      <c r="BO360" s="39"/>
      <c r="BP360" s="21">
        <v>0</v>
      </c>
      <c r="BQ360" s="21">
        <v>0</v>
      </c>
      <c r="BR360" s="21">
        <v>0</v>
      </c>
      <c r="BS360" s="21">
        <v>0</v>
      </c>
      <c r="BT360" s="21">
        <v>0</v>
      </c>
      <c r="BU360" s="42">
        <v>0</v>
      </c>
      <c r="BV360" s="21">
        <v>0</v>
      </c>
      <c r="BW360" s="21">
        <v>0</v>
      </c>
      <c r="BX360" s="21">
        <v>0</v>
      </c>
      <c r="BY360" s="21">
        <v>0</v>
      </c>
      <c r="BZ360" s="21">
        <v>0</v>
      </c>
      <c r="CA360" s="21">
        <v>0</v>
      </c>
      <c r="CB360" s="21">
        <v>0</v>
      </c>
      <c r="CC360" s="21">
        <v>3</v>
      </c>
      <c r="CD360" s="21">
        <v>17</v>
      </c>
      <c r="CE360" s="21">
        <v>5</v>
      </c>
      <c r="CF360" s="21">
        <v>55</v>
      </c>
      <c r="CG360" s="42">
        <v>18</v>
      </c>
      <c r="CH360" s="21">
        <v>14</v>
      </c>
      <c r="CI360" s="21">
        <v>13</v>
      </c>
      <c r="CJ360" s="21">
        <v>16</v>
      </c>
      <c r="CK360" s="21">
        <v>14</v>
      </c>
      <c r="CL360" s="21">
        <v>12</v>
      </c>
      <c r="CM360" s="21">
        <v>8</v>
      </c>
      <c r="CN360" s="21">
        <v>3</v>
      </c>
      <c r="CO360" s="21">
        <v>2</v>
      </c>
      <c r="CP360" s="21">
        <f t="shared" si="593"/>
        <v>2</v>
      </c>
      <c r="CQ360" s="343">
        <f t="shared" si="594"/>
        <v>9.3333333333333339</v>
      </c>
      <c r="CR360" s="40"/>
      <c r="CS360" s="39"/>
      <c r="CT360" s="38">
        <f t="shared" si="595"/>
        <v>0</v>
      </c>
      <c r="CU360" s="38">
        <f t="shared" si="596"/>
        <v>0</v>
      </c>
      <c r="CV360" s="38">
        <f t="shared" si="597"/>
        <v>0</v>
      </c>
      <c r="CW360" s="38">
        <f t="shared" si="598"/>
        <v>0</v>
      </c>
      <c r="CX360" s="38">
        <f t="shared" si="599"/>
        <v>0</v>
      </c>
      <c r="CY360" s="39">
        <f t="shared" si="600"/>
        <v>0</v>
      </c>
      <c r="CZ360" s="40">
        <f t="shared" si="601"/>
        <v>0</v>
      </c>
      <c r="DA360" s="40">
        <f t="shared" si="602"/>
        <v>0</v>
      </c>
      <c r="DB360" s="40">
        <f t="shared" si="603"/>
        <v>0</v>
      </c>
      <c r="DC360" s="40">
        <f t="shared" si="604"/>
        <v>0</v>
      </c>
      <c r="DD360" s="40">
        <f t="shared" si="605"/>
        <v>0</v>
      </c>
      <c r="DE360" s="40">
        <f t="shared" si="606"/>
        <v>0</v>
      </c>
      <c r="DF360" s="40">
        <f t="shared" si="607"/>
        <v>0</v>
      </c>
      <c r="DG360" s="40">
        <f t="shared" si="608"/>
        <v>3</v>
      </c>
      <c r="DH360" s="40">
        <f t="shared" si="609"/>
        <v>204</v>
      </c>
      <c r="DI360" s="40">
        <f t="shared" si="610"/>
        <v>195</v>
      </c>
      <c r="DJ360" s="40">
        <f t="shared" si="611"/>
        <v>265</v>
      </c>
      <c r="DK360" s="39">
        <f t="shared" si="612"/>
        <v>170</v>
      </c>
      <c r="DL360" s="40">
        <f t="shared" si="613"/>
        <v>140</v>
      </c>
      <c r="DM360" s="40">
        <f t="shared" si="614"/>
        <v>108</v>
      </c>
      <c r="DN360" s="40">
        <f t="shared" si="615"/>
        <v>91</v>
      </c>
      <c r="DO360" s="40">
        <f t="shared" si="616"/>
        <v>110</v>
      </c>
      <c r="DP360" s="40">
        <f t="shared" si="617"/>
        <v>82</v>
      </c>
      <c r="DQ360" s="40">
        <f t="shared" si="618"/>
        <v>108</v>
      </c>
      <c r="DR360" s="40">
        <f t="shared" si="623"/>
        <v>83</v>
      </c>
      <c r="DS360" s="40">
        <f t="shared" si="534"/>
        <v>96</v>
      </c>
      <c r="DT360" s="40">
        <f t="shared" si="619"/>
        <v>84</v>
      </c>
      <c r="DU360" s="40">
        <f t="shared" si="620"/>
        <v>106.33333333333333</v>
      </c>
      <c r="DV360" s="40">
        <f t="shared" si="621"/>
        <v>0</v>
      </c>
      <c r="DW360" s="40">
        <f t="shared" si="622"/>
        <v>0</v>
      </c>
    </row>
    <row r="361" spans="1:127">
      <c r="A361" s="22" t="s">
        <v>133</v>
      </c>
      <c r="B361" s="26">
        <v>4987176293367</v>
      </c>
      <c r="C361" s="22" t="s">
        <v>133</v>
      </c>
      <c r="D361" s="22" t="s">
        <v>32</v>
      </c>
      <c r="E361" s="22">
        <v>260441</v>
      </c>
      <c r="F361" s="80" t="s">
        <v>449</v>
      </c>
      <c r="G361" s="25">
        <v>68.670000000000016</v>
      </c>
      <c r="H361" s="38">
        <f t="shared" si="567"/>
        <v>0</v>
      </c>
      <c r="I361" s="38">
        <f t="shared" si="568"/>
        <v>0</v>
      </c>
      <c r="J361" s="38">
        <f t="shared" si="569"/>
        <v>0</v>
      </c>
      <c r="K361" s="38">
        <f t="shared" si="570"/>
        <v>0</v>
      </c>
      <c r="L361" s="38">
        <f t="shared" si="571"/>
        <v>0</v>
      </c>
      <c r="M361" s="39">
        <f t="shared" si="572"/>
        <v>0</v>
      </c>
      <c r="N361" s="40">
        <f t="shared" si="573"/>
        <v>0</v>
      </c>
      <c r="O361" s="40">
        <f t="shared" si="574"/>
        <v>0</v>
      </c>
      <c r="P361" s="40">
        <f t="shared" si="575"/>
        <v>0</v>
      </c>
      <c r="Q361" s="40">
        <f t="shared" si="576"/>
        <v>0</v>
      </c>
      <c r="R361" s="40">
        <f t="shared" si="577"/>
        <v>0</v>
      </c>
      <c r="S361" s="40">
        <f t="shared" si="578"/>
        <v>0</v>
      </c>
      <c r="T361" s="40">
        <f t="shared" si="579"/>
        <v>0</v>
      </c>
      <c r="U361" s="40">
        <f t="shared" si="580"/>
        <v>549.36000000000013</v>
      </c>
      <c r="V361" s="40">
        <f t="shared" si="581"/>
        <v>18952.920000000006</v>
      </c>
      <c r="W361" s="40">
        <f t="shared" si="582"/>
        <v>22317.750000000004</v>
      </c>
      <c r="X361" s="40">
        <f t="shared" si="583"/>
        <v>24309.180000000004</v>
      </c>
      <c r="Y361" s="39">
        <f t="shared" si="584"/>
        <v>24652.530000000006</v>
      </c>
      <c r="Z361" s="40">
        <f t="shared" si="585"/>
        <v>30832.830000000005</v>
      </c>
      <c r="AA361" s="40">
        <f t="shared" si="586"/>
        <v>24171.840000000004</v>
      </c>
      <c r="AB361" s="40">
        <f t="shared" si="587"/>
        <v>24446.520000000004</v>
      </c>
      <c r="AC361" s="40">
        <f t="shared" si="588"/>
        <v>33304.950000000004</v>
      </c>
      <c r="AD361" s="40">
        <f t="shared" si="589"/>
        <v>29184.750000000007</v>
      </c>
      <c r="AE361" s="40">
        <f t="shared" si="590"/>
        <v>35159.040000000008</v>
      </c>
      <c r="AF361" s="40">
        <f t="shared" si="591"/>
        <v>27605.340000000007</v>
      </c>
      <c r="AG361" s="40">
        <f t="shared" si="592"/>
        <v>33373.62000000001</v>
      </c>
      <c r="AH361" s="40">
        <f t="shared" si="535"/>
        <v>25270.560000000005</v>
      </c>
      <c r="AI361" s="40">
        <f t="shared" si="536"/>
        <v>33449.920000000006</v>
      </c>
      <c r="AJ361" s="40">
        <f t="shared" si="537"/>
        <v>0</v>
      </c>
      <c r="AK361" s="39">
        <f t="shared" si="538"/>
        <v>0</v>
      </c>
      <c r="AL361" s="38">
        <v>0</v>
      </c>
      <c r="AM361" s="38">
        <v>0</v>
      </c>
      <c r="AN361" s="38">
        <v>0</v>
      </c>
      <c r="AO361" s="38">
        <v>0</v>
      </c>
      <c r="AP361" s="38">
        <v>0</v>
      </c>
      <c r="AQ361" s="39">
        <v>0</v>
      </c>
      <c r="AR361" s="40">
        <v>0</v>
      </c>
      <c r="AS361" s="40">
        <v>0</v>
      </c>
      <c r="AT361" s="40">
        <v>0</v>
      </c>
      <c r="AU361" s="40">
        <v>0</v>
      </c>
      <c r="AV361" s="40">
        <v>0</v>
      </c>
      <c r="AW361" s="40">
        <v>0</v>
      </c>
      <c r="AX361" s="40">
        <v>0</v>
      </c>
      <c r="AY361" s="40">
        <v>0</v>
      </c>
      <c r="AZ361" s="40">
        <v>244</v>
      </c>
      <c r="BA361" s="40">
        <v>304</v>
      </c>
      <c r="BB361" s="40">
        <v>303</v>
      </c>
      <c r="BC361" s="39">
        <v>291</v>
      </c>
      <c r="BD361" s="40">
        <v>408</v>
      </c>
      <c r="BE361" s="40">
        <v>326</v>
      </c>
      <c r="BF361" s="40">
        <v>302</v>
      </c>
      <c r="BG361" s="40">
        <v>426</v>
      </c>
      <c r="BH361" s="40">
        <v>348</v>
      </c>
      <c r="BI361" s="40">
        <v>486</v>
      </c>
      <c r="BJ361" s="40">
        <v>355</v>
      </c>
      <c r="BK361" s="40">
        <v>475</v>
      </c>
      <c r="BL361" s="40">
        <v>357</v>
      </c>
      <c r="BM361" s="40">
        <v>448</v>
      </c>
      <c r="BN361" s="40"/>
      <c r="BO361" s="39"/>
      <c r="BP361" s="21">
        <v>0</v>
      </c>
      <c r="BQ361" s="21">
        <v>0</v>
      </c>
      <c r="BR361" s="21">
        <v>0</v>
      </c>
      <c r="BS361" s="21">
        <v>0</v>
      </c>
      <c r="BT361" s="21">
        <v>0</v>
      </c>
      <c r="BU361" s="42">
        <v>0</v>
      </c>
      <c r="BV361" s="21">
        <v>0</v>
      </c>
      <c r="BW361" s="21">
        <v>0</v>
      </c>
      <c r="BX361" s="21">
        <v>0</v>
      </c>
      <c r="BY361" s="21">
        <v>0</v>
      </c>
      <c r="BZ361" s="21">
        <v>0</v>
      </c>
      <c r="CA361" s="21">
        <v>0</v>
      </c>
      <c r="CB361" s="21">
        <v>0</v>
      </c>
      <c r="CC361" s="21">
        <v>8</v>
      </c>
      <c r="CD361" s="21">
        <v>32</v>
      </c>
      <c r="CE361" s="21">
        <v>21</v>
      </c>
      <c r="CF361" s="21">
        <v>51</v>
      </c>
      <c r="CG361" s="42">
        <v>68</v>
      </c>
      <c r="CH361" s="21">
        <v>41</v>
      </c>
      <c r="CI361" s="21">
        <v>26</v>
      </c>
      <c r="CJ361" s="21">
        <v>54</v>
      </c>
      <c r="CK361" s="21">
        <v>59</v>
      </c>
      <c r="CL361" s="21">
        <v>77</v>
      </c>
      <c r="CM361" s="21">
        <v>26</v>
      </c>
      <c r="CN361" s="21">
        <v>47</v>
      </c>
      <c r="CO361" s="21">
        <v>11</v>
      </c>
      <c r="CP361" s="21">
        <f t="shared" si="593"/>
        <v>11</v>
      </c>
      <c r="CQ361" s="343">
        <f t="shared" si="594"/>
        <v>39.111111111111114</v>
      </c>
      <c r="CR361" s="40"/>
      <c r="CS361" s="39"/>
      <c r="CT361" s="38">
        <f t="shared" si="595"/>
        <v>0</v>
      </c>
      <c r="CU361" s="38">
        <f t="shared" si="596"/>
        <v>0</v>
      </c>
      <c r="CV361" s="38">
        <f t="shared" si="597"/>
        <v>0</v>
      </c>
      <c r="CW361" s="38">
        <f t="shared" si="598"/>
        <v>0</v>
      </c>
      <c r="CX361" s="38">
        <f t="shared" si="599"/>
        <v>0</v>
      </c>
      <c r="CY361" s="39">
        <f t="shared" si="600"/>
        <v>0</v>
      </c>
      <c r="CZ361" s="40">
        <f t="shared" si="601"/>
        <v>0</v>
      </c>
      <c r="DA361" s="40">
        <f t="shared" si="602"/>
        <v>0</v>
      </c>
      <c r="DB361" s="40">
        <f t="shared" si="603"/>
        <v>0</v>
      </c>
      <c r="DC361" s="40">
        <f t="shared" si="604"/>
        <v>0</v>
      </c>
      <c r="DD361" s="40">
        <f t="shared" si="605"/>
        <v>0</v>
      </c>
      <c r="DE361" s="40">
        <f t="shared" si="606"/>
        <v>0</v>
      </c>
      <c r="DF361" s="40">
        <f t="shared" si="607"/>
        <v>0</v>
      </c>
      <c r="DG361" s="40">
        <f t="shared" si="608"/>
        <v>8</v>
      </c>
      <c r="DH361" s="40">
        <f t="shared" si="609"/>
        <v>276</v>
      </c>
      <c r="DI361" s="40">
        <f t="shared" si="610"/>
        <v>325</v>
      </c>
      <c r="DJ361" s="40">
        <f t="shared" si="611"/>
        <v>354</v>
      </c>
      <c r="DK361" s="39">
        <f t="shared" si="612"/>
        <v>359</v>
      </c>
      <c r="DL361" s="40">
        <f t="shared" si="613"/>
        <v>449</v>
      </c>
      <c r="DM361" s="40">
        <f t="shared" si="614"/>
        <v>352</v>
      </c>
      <c r="DN361" s="40">
        <f t="shared" si="615"/>
        <v>356</v>
      </c>
      <c r="DO361" s="40">
        <f t="shared" si="616"/>
        <v>485</v>
      </c>
      <c r="DP361" s="40">
        <f t="shared" si="617"/>
        <v>425</v>
      </c>
      <c r="DQ361" s="40">
        <f t="shared" si="618"/>
        <v>512</v>
      </c>
      <c r="DR361" s="40">
        <f t="shared" si="623"/>
        <v>402</v>
      </c>
      <c r="DS361" s="40">
        <f t="shared" si="534"/>
        <v>486</v>
      </c>
      <c r="DT361" s="40">
        <f t="shared" si="619"/>
        <v>368</v>
      </c>
      <c r="DU361" s="40">
        <f t="shared" si="620"/>
        <v>487.11111111111109</v>
      </c>
      <c r="DV361" s="40">
        <f t="shared" si="621"/>
        <v>0</v>
      </c>
      <c r="DW361" s="40">
        <f t="shared" si="622"/>
        <v>0</v>
      </c>
    </row>
    <row r="362" spans="1:127">
      <c r="A362" s="22" t="s">
        <v>133</v>
      </c>
      <c r="B362" s="26">
        <v>4987176293381</v>
      </c>
      <c r="C362" s="22" t="s">
        <v>133</v>
      </c>
      <c r="D362" s="22" t="s">
        <v>32</v>
      </c>
      <c r="E362" s="22">
        <v>260451</v>
      </c>
      <c r="F362" s="80" t="s">
        <v>450</v>
      </c>
      <c r="G362" s="25">
        <v>37.054499999999997</v>
      </c>
      <c r="H362" s="38">
        <f t="shared" si="567"/>
        <v>0</v>
      </c>
      <c r="I362" s="38">
        <f t="shared" si="568"/>
        <v>0</v>
      </c>
      <c r="J362" s="38">
        <f t="shared" si="569"/>
        <v>0</v>
      </c>
      <c r="K362" s="38">
        <f t="shared" si="570"/>
        <v>0</v>
      </c>
      <c r="L362" s="38">
        <f t="shared" si="571"/>
        <v>0</v>
      </c>
      <c r="M362" s="39">
        <f t="shared" si="572"/>
        <v>0</v>
      </c>
      <c r="N362" s="40">
        <f t="shared" si="573"/>
        <v>0</v>
      </c>
      <c r="O362" s="40">
        <f t="shared" si="574"/>
        <v>0</v>
      </c>
      <c r="P362" s="40">
        <f t="shared" si="575"/>
        <v>0</v>
      </c>
      <c r="Q362" s="40">
        <f t="shared" si="576"/>
        <v>0</v>
      </c>
      <c r="R362" s="40">
        <f t="shared" si="577"/>
        <v>0</v>
      </c>
      <c r="S362" s="40">
        <f t="shared" si="578"/>
        <v>0</v>
      </c>
      <c r="T362" s="40">
        <f t="shared" si="579"/>
        <v>0</v>
      </c>
      <c r="U362" s="40">
        <f t="shared" si="580"/>
        <v>0</v>
      </c>
      <c r="V362" s="40">
        <f t="shared" si="581"/>
        <v>5039.4119999999994</v>
      </c>
      <c r="W362" s="40">
        <f t="shared" si="582"/>
        <v>4409.4854999999998</v>
      </c>
      <c r="X362" s="40">
        <f t="shared" si="583"/>
        <v>9189.5159999999996</v>
      </c>
      <c r="Y362" s="39">
        <f t="shared" si="584"/>
        <v>27864.983999999997</v>
      </c>
      <c r="Z362" s="40">
        <f t="shared" si="585"/>
        <v>37869.699000000001</v>
      </c>
      <c r="AA362" s="40">
        <f t="shared" si="586"/>
        <v>35312.938499999997</v>
      </c>
      <c r="AB362" s="40">
        <f t="shared" si="587"/>
        <v>31570.433999999997</v>
      </c>
      <c r="AC362" s="40">
        <f t="shared" si="588"/>
        <v>45058.271999999997</v>
      </c>
      <c r="AD362" s="40">
        <f t="shared" si="589"/>
        <v>32533.850999999999</v>
      </c>
      <c r="AE362" s="40">
        <f t="shared" si="590"/>
        <v>44650.672499999993</v>
      </c>
      <c r="AF362" s="40">
        <f t="shared" si="591"/>
        <v>33608.431499999999</v>
      </c>
      <c r="AG362" s="40">
        <f t="shared" si="592"/>
        <v>44798.890499999994</v>
      </c>
      <c r="AH362" s="40">
        <f t="shared" si="535"/>
        <v>35942.864999999998</v>
      </c>
      <c r="AI362" s="40">
        <f t="shared" si="536"/>
        <v>45688.198499999999</v>
      </c>
      <c r="AJ362" s="40">
        <f t="shared" si="537"/>
        <v>0</v>
      </c>
      <c r="AK362" s="39">
        <f t="shared" si="538"/>
        <v>0</v>
      </c>
      <c r="AL362" s="38">
        <v>0</v>
      </c>
      <c r="AM362" s="38">
        <v>0</v>
      </c>
      <c r="AN362" s="38">
        <v>0</v>
      </c>
      <c r="AO362" s="38">
        <v>0</v>
      </c>
      <c r="AP362" s="38">
        <v>0</v>
      </c>
      <c r="AQ362" s="39">
        <v>0</v>
      </c>
      <c r="AR362" s="40">
        <v>0</v>
      </c>
      <c r="AS362" s="40">
        <v>0</v>
      </c>
      <c r="AT362" s="40">
        <v>0</v>
      </c>
      <c r="AU362" s="40">
        <v>0</v>
      </c>
      <c r="AV362" s="40">
        <v>0</v>
      </c>
      <c r="AW362" s="40">
        <v>0</v>
      </c>
      <c r="AX362" s="40">
        <v>0</v>
      </c>
      <c r="AY362" s="40">
        <v>0</v>
      </c>
      <c r="AZ362" s="40">
        <v>134</v>
      </c>
      <c r="BA362" s="40">
        <v>117</v>
      </c>
      <c r="BB362" s="40">
        <v>247</v>
      </c>
      <c r="BC362" s="39">
        <v>749</v>
      </c>
      <c r="BD362" s="40">
        <v>1021</v>
      </c>
      <c r="BE362" s="40">
        <v>942</v>
      </c>
      <c r="BF362" s="40">
        <v>849</v>
      </c>
      <c r="BG362" s="40">
        <v>1211</v>
      </c>
      <c r="BH362" s="40">
        <v>875</v>
      </c>
      <c r="BI362" s="40">
        <v>1198</v>
      </c>
      <c r="BJ362" s="40">
        <v>905</v>
      </c>
      <c r="BK362" s="40">
        <v>1207</v>
      </c>
      <c r="BL362" s="40">
        <v>968</v>
      </c>
      <c r="BM362" s="40">
        <v>1229</v>
      </c>
      <c r="BN362" s="40"/>
      <c r="BO362" s="39"/>
      <c r="BP362" s="21">
        <v>0</v>
      </c>
      <c r="BQ362" s="21">
        <v>0</v>
      </c>
      <c r="BR362" s="21">
        <v>0</v>
      </c>
      <c r="BS362" s="21">
        <v>0</v>
      </c>
      <c r="BT362" s="21">
        <v>0</v>
      </c>
      <c r="BU362" s="42">
        <v>0</v>
      </c>
      <c r="BV362" s="21">
        <v>0</v>
      </c>
      <c r="BW362" s="21">
        <v>0</v>
      </c>
      <c r="BX362" s="21">
        <v>0</v>
      </c>
      <c r="BY362" s="21">
        <v>0</v>
      </c>
      <c r="BZ362" s="21">
        <v>0</v>
      </c>
      <c r="CA362" s="21">
        <v>0</v>
      </c>
      <c r="CB362" s="21">
        <v>0</v>
      </c>
      <c r="CC362" s="21">
        <v>0</v>
      </c>
      <c r="CD362" s="21">
        <v>2</v>
      </c>
      <c r="CE362" s="21">
        <v>2</v>
      </c>
      <c r="CF362" s="21">
        <v>1</v>
      </c>
      <c r="CG362" s="42">
        <v>3</v>
      </c>
      <c r="CH362" s="21">
        <v>1</v>
      </c>
      <c r="CI362" s="21">
        <v>11</v>
      </c>
      <c r="CJ362" s="21">
        <v>3</v>
      </c>
      <c r="CK362" s="21">
        <v>5</v>
      </c>
      <c r="CL362" s="21">
        <v>3</v>
      </c>
      <c r="CM362" s="21">
        <v>7</v>
      </c>
      <c r="CN362" s="21">
        <v>2</v>
      </c>
      <c r="CO362" s="21">
        <v>2</v>
      </c>
      <c r="CP362" s="21">
        <f t="shared" si="593"/>
        <v>2</v>
      </c>
      <c r="CQ362" s="343">
        <f t="shared" si="594"/>
        <v>4</v>
      </c>
      <c r="CR362" s="40"/>
      <c r="CS362" s="39"/>
      <c r="CT362" s="38">
        <f t="shared" si="595"/>
        <v>0</v>
      </c>
      <c r="CU362" s="38">
        <f t="shared" si="596"/>
        <v>0</v>
      </c>
      <c r="CV362" s="38">
        <f t="shared" si="597"/>
        <v>0</v>
      </c>
      <c r="CW362" s="38">
        <f t="shared" si="598"/>
        <v>0</v>
      </c>
      <c r="CX362" s="38">
        <f t="shared" si="599"/>
        <v>0</v>
      </c>
      <c r="CY362" s="39">
        <f t="shared" si="600"/>
        <v>0</v>
      </c>
      <c r="CZ362" s="40">
        <f t="shared" si="601"/>
        <v>0</v>
      </c>
      <c r="DA362" s="40">
        <f t="shared" si="602"/>
        <v>0</v>
      </c>
      <c r="DB362" s="40">
        <f t="shared" si="603"/>
        <v>0</v>
      </c>
      <c r="DC362" s="40">
        <f t="shared" si="604"/>
        <v>0</v>
      </c>
      <c r="DD362" s="40">
        <f t="shared" si="605"/>
        <v>0</v>
      </c>
      <c r="DE362" s="40">
        <f t="shared" si="606"/>
        <v>0</v>
      </c>
      <c r="DF362" s="40">
        <f t="shared" si="607"/>
        <v>0</v>
      </c>
      <c r="DG362" s="40">
        <f t="shared" si="608"/>
        <v>0</v>
      </c>
      <c r="DH362" s="40">
        <f t="shared" si="609"/>
        <v>136</v>
      </c>
      <c r="DI362" s="40">
        <f t="shared" si="610"/>
        <v>119</v>
      </c>
      <c r="DJ362" s="40">
        <f t="shared" si="611"/>
        <v>248</v>
      </c>
      <c r="DK362" s="39">
        <f t="shared" si="612"/>
        <v>752</v>
      </c>
      <c r="DL362" s="40">
        <f t="shared" si="613"/>
        <v>1022</v>
      </c>
      <c r="DM362" s="40">
        <f t="shared" si="614"/>
        <v>953</v>
      </c>
      <c r="DN362" s="40">
        <f t="shared" si="615"/>
        <v>852</v>
      </c>
      <c r="DO362" s="40">
        <f t="shared" si="616"/>
        <v>1216</v>
      </c>
      <c r="DP362" s="40">
        <f t="shared" si="617"/>
        <v>878</v>
      </c>
      <c r="DQ362" s="40">
        <f t="shared" si="618"/>
        <v>1205</v>
      </c>
      <c r="DR362" s="40">
        <f t="shared" si="623"/>
        <v>907</v>
      </c>
      <c r="DS362" s="40">
        <f t="shared" si="534"/>
        <v>1209</v>
      </c>
      <c r="DT362" s="40">
        <f t="shared" si="619"/>
        <v>970</v>
      </c>
      <c r="DU362" s="40">
        <f t="shared" si="620"/>
        <v>1233</v>
      </c>
      <c r="DV362" s="40">
        <f t="shared" si="621"/>
        <v>0</v>
      </c>
      <c r="DW362" s="40">
        <f t="shared" si="622"/>
        <v>0</v>
      </c>
    </row>
    <row r="363" spans="1:127">
      <c r="A363" s="22" t="s">
        <v>33</v>
      </c>
      <c r="B363" s="26">
        <v>4987176041951</v>
      </c>
      <c r="C363" s="22" t="s">
        <v>34</v>
      </c>
      <c r="D363" s="22" t="s">
        <v>35</v>
      </c>
      <c r="E363" s="22">
        <v>372460</v>
      </c>
      <c r="F363" s="80" t="s">
        <v>451</v>
      </c>
      <c r="G363" s="25">
        <v>135</v>
      </c>
      <c r="H363" s="38">
        <f t="shared" si="567"/>
        <v>1620</v>
      </c>
      <c r="I363" s="38">
        <f t="shared" si="568"/>
        <v>675</v>
      </c>
      <c r="J363" s="38">
        <f t="shared" si="569"/>
        <v>0</v>
      </c>
      <c r="K363" s="38">
        <f t="shared" si="570"/>
        <v>0</v>
      </c>
      <c r="L363" s="38">
        <f t="shared" si="571"/>
        <v>0</v>
      </c>
      <c r="M363" s="39">
        <f t="shared" si="572"/>
        <v>0</v>
      </c>
      <c r="N363" s="40">
        <f t="shared" si="573"/>
        <v>0</v>
      </c>
      <c r="O363" s="40">
        <f t="shared" si="574"/>
        <v>0</v>
      </c>
      <c r="P363" s="40">
        <f t="shared" si="575"/>
        <v>0</v>
      </c>
      <c r="Q363" s="40">
        <f t="shared" si="576"/>
        <v>0</v>
      </c>
      <c r="R363" s="40">
        <f t="shared" si="577"/>
        <v>0</v>
      </c>
      <c r="S363" s="40">
        <f t="shared" si="578"/>
        <v>0</v>
      </c>
      <c r="T363" s="40">
        <f t="shared" si="579"/>
        <v>0</v>
      </c>
      <c r="U363" s="40">
        <f t="shared" si="580"/>
        <v>0</v>
      </c>
      <c r="V363" s="40">
        <f t="shared" si="581"/>
        <v>0</v>
      </c>
      <c r="W363" s="40">
        <f t="shared" si="582"/>
        <v>0</v>
      </c>
      <c r="X363" s="40">
        <f t="shared" si="583"/>
        <v>0</v>
      </c>
      <c r="Y363" s="39">
        <f t="shared" si="584"/>
        <v>0</v>
      </c>
      <c r="Z363" s="40">
        <f t="shared" si="585"/>
        <v>0</v>
      </c>
      <c r="AA363" s="40">
        <f t="shared" si="586"/>
        <v>0</v>
      </c>
      <c r="AB363" s="40">
        <f t="shared" si="587"/>
        <v>0</v>
      </c>
      <c r="AC363" s="40">
        <f t="shared" si="588"/>
        <v>0</v>
      </c>
      <c r="AD363" s="40">
        <f t="shared" si="589"/>
        <v>0</v>
      </c>
      <c r="AE363" s="40">
        <f t="shared" si="590"/>
        <v>0</v>
      </c>
      <c r="AF363" s="40">
        <f t="shared" si="591"/>
        <v>0</v>
      </c>
      <c r="AG363" s="40">
        <f t="shared" si="592"/>
        <v>0</v>
      </c>
      <c r="AH363" s="40">
        <f t="shared" si="535"/>
        <v>0</v>
      </c>
      <c r="AI363" s="40">
        <f t="shared" si="536"/>
        <v>0</v>
      </c>
      <c r="AJ363" s="40">
        <f t="shared" si="537"/>
        <v>0</v>
      </c>
      <c r="AK363" s="39">
        <f t="shared" si="538"/>
        <v>0</v>
      </c>
      <c r="AL363" s="38">
        <v>12</v>
      </c>
      <c r="AM363" s="38">
        <v>5</v>
      </c>
      <c r="AN363" s="38">
        <v>0</v>
      </c>
      <c r="AO363" s="38">
        <v>0</v>
      </c>
      <c r="AP363" s="38">
        <v>0</v>
      </c>
      <c r="AQ363" s="39">
        <v>0</v>
      </c>
      <c r="AR363" s="40">
        <v>0</v>
      </c>
      <c r="AS363" s="40">
        <v>0</v>
      </c>
      <c r="AT363" s="40">
        <v>0</v>
      </c>
      <c r="AU363" s="40">
        <v>0</v>
      </c>
      <c r="AV363" s="40">
        <v>0</v>
      </c>
      <c r="AW363" s="40">
        <v>0</v>
      </c>
      <c r="AX363" s="40">
        <v>0</v>
      </c>
      <c r="AY363" s="40">
        <v>0</v>
      </c>
      <c r="AZ363" s="40">
        <v>0</v>
      </c>
      <c r="BA363" s="40">
        <v>0</v>
      </c>
      <c r="BB363" s="40">
        <v>0</v>
      </c>
      <c r="BC363" s="39">
        <v>0</v>
      </c>
      <c r="BD363" s="40">
        <v>0</v>
      </c>
      <c r="BE363" s="40">
        <v>0</v>
      </c>
      <c r="BF363" s="40">
        <v>0</v>
      </c>
      <c r="BG363" s="40">
        <f>VLOOKUP(E363,'[1]Offline Offtake'!$G$522:$FL$619,161,0)</f>
        <v>0</v>
      </c>
      <c r="BH363" s="40">
        <v>0</v>
      </c>
      <c r="BI363" s="40">
        <v>0</v>
      </c>
      <c r="BJ363" s="40">
        <v>0</v>
      </c>
      <c r="BK363" s="40">
        <v>0</v>
      </c>
      <c r="BL363" s="40">
        <v>0</v>
      </c>
      <c r="BM363" s="40">
        <v>0</v>
      </c>
      <c r="BN363" s="40"/>
      <c r="BO363" s="39"/>
      <c r="BP363" s="21">
        <v>0</v>
      </c>
      <c r="BQ363" s="21">
        <v>0</v>
      </c>
      <c r="BR363" s="21">
        <v>0</v>
      </c>
      <c r="BS363" s="21">
        <v>0</v>
      </c>
      <c r="BT363" s="21">
        <v>0</v>
      </c>
      <c r="BU363" s="42">
        <v>0</v>
      </c>
      <c r="BV363" s="21">
        <v>0</v>
      </c>
      <c r="BW363" s="21">
        <v>0</v>
      </c>
      <c r="BX363" s="21">
        <v>0</v>
      </c>
      <c r="BY363" s="21">
        <v>0</v>
      </c>
      <c r="BZ363" s="21">
        <v>0</v>
      </c>
      <c r="CA363" s="21">
        <v>0</v>
      </c>
      <c r="CB363" s="21">
        <v>0</v>
      </c>
      <c r="CC363" s="21">
        <v>0</v>
      </c>
      <c r="CD363" s="21">
        <v>0</v>
      </c>
      <c r="CE363" s="21">
        <v>0</v>
      </c>
      <c r="CF363" s="21">
        <v>0</v>
      </c>
      <c r="CG363" s="42">
        <v>0</v>
      </c>
      <c r="CH363" s="21">
        <v>0</v>
      </c>
      <c r="CI363" s="21">
        <v>0</v>
      </c>
      <c r="CJ363" s="21">
        <v>0</v>
      </c>
      <c r="CK363" s="21">
        <v>0</v>
      </c>
      <c r="CL363" s="21">
        <v>0</v>
      </c>
      <c r="CM363" s="21">
        <v>0</v>
      </c>
      <c r="CN363" s="21">
        <v>0</v>
      </c>
      <c r="CO363" s="21">
        <v>0</v>
      </c>
      <c r="CP363" s="21">
        <f t="shared" si="593"/>
        <v>0</v>
      </c>
      <c r="CQ363" s="343">
        <f t="shared" si="594"/>
        <v>0</v>
      </c>
      <c r="CR363" s="40"/>
      <c r="CS363" s="39"/>
      <c r="CT363" s="38">
        <f t="shared" si="595"/>
        <v>12</v>
      </c>
      <c r="CU363" s="38">
        <f t="shared" si="596"/>
        <v>5</v>
      </c>
      <c r="CV363" s="38">
        <f t="shared" si="597"/>
        <v>0</v>
      </c>
      <c r="CW363" s="38">
        <f t="shared" si="598"/>
        <v>0</v>
      </c>
      <c r="CX363" s="38">
        <f t="shared" si="599"/>
        <v>0</v>
      </c>
      <c r="CY363" s="39">
        <f t="shared" si="600"/>
        <v>0</v>
      </c>
      <c r="CZ363" s="40">
        <f t="shared" si="601"/>
        <v>0</v>
      </c>
      <c r="DA363" s="40">
        <f t="shared" si="602"/>
        <v>0</v>
      </c>
      <c r="DB363" s="40">
        <f t="shared" si="603"/>
        <v>0</v>
      </c>
      <c r="DC363" s="40">
        <f t="shared" si="604"/>
        <v>0</v>
      </c>
      <c r="DD363" s="40">
        <f t="shared" si="605"/>
        <v>0</v>
      </c>
      <c r="DE363" s="40">
        <f t="shared" si="606"/>
        <v>0</v>
      </c>
      <c r="DF363" s="40">
        <f t="shared" si="607"/>
        <v>0</v>
      </c>
      <c r="DG363" s="40">
        <f t="shared" si="608"/>
        <v>0</v>
      </c>
      <c r="DH363" s="40">
        <f t="shared" si="609"/>
        <v>0</v>
      </c>
      <c r="DI363" s="40">
        <f t="shared" si="610"/>
        <v>0</v>
      </c>
      <c r="DJ363" s="40">
        <f t="shared" si="611"/>
        <v>0</v>
      </c>
      <c r="DK363" s="39">
        <f t="shared" si="612"/>
        <v>0</v>
      </c>
      <c r="DL363" s="40">
        <f t="shared" si="613"/>
        <v>0</v>
      </c>
      <c r="DM363" s="40">
        <f t="shared" si="614"/>
        <v>0</v>
      </c>
      <c r="DN363" s="40">
        <f t="shared" si="615"/>
        <v>0</v>
      </c>
      <c r="DO363" s="40">
        <f t="shared" si="616"/>
        <v>0</v>
      </c>
      <c r="DP363" s="40">
        <f t="shared" si="617"/>
        <v>0</v>
      </c>
      <c r="DQ363" s="40">
        <f t="shared" si="618"/>
        <v>0</v>
      </c>
      <c r="DR363" s="40">
        <f t="shared" si="623"/>
        <v>0</v>
      </c>
      <c r="DS363" s="40">
        <f t="shared" ref="DS363:DS426" si="624">BK363+CO363</f>
        <v>0</v>
      </c>
      <c r="DT363" s="40">
        <f t="shared" si="619"/>
        <v>0</v>
      </c>
      <c r="DU363" s="40">
        <f t="shared" si="620"/>
        <v>0</v>
      </c>
      <c r="DV363" s="40">
        <f t="shared" si="621"/>
        <v>0</v>
      </c>
      <c r="DW363" s="40">
        <f t="shared" si="622"/>
        <v>0</v>
      </c>
    </row>
    <row r="364" spans="1:127">
      <c r="A364" s="22" t="s">
        <v>33</v>
      </c>
      <c r="B364" s="26">
        <v>4987176041968</v>
      </c>
      <c r="C364" s="22" t="s">
        <v>34</v>
      </c>
      <c r="D364" s="22" t="s">
        <v>35</v>
      </c>
      <c r="E364" s="22">
        <v>372525</v>
      </c>
      <c r="F364" s="80" t="s">
        <v>452</v>
      </c>
      <c r="G364" s="25">
        <v>135</v>
      </c>
      <c r="H364" s="38">
        <f t="shared" si="567"/>
        <v>1350</v>
      </c>
      <c r="I364" s="38">
        <f t="shared" si="568"/>
        <v>675</v>
      </c>
      <c r="J364" s="38">
        <f t="shared" si="569"/>
        <v>0</v>
      </c>
      <c r="K364" s="38">
        <f t="shared" si="570"/>
        <v>135</v>
      </c>
      <c r="L364" s="38">
        <f t="shared" si="571"/>
        <v>270</v>
      </c>
      <c r="M364" s="39">
        <f t="shared" si="572"/>
        <v>0</v>
      </c>
      <c r="N364" s="40">
        <f t="shared" si="573"/>
        <v>0</v>
      </c>
      <c r="O364" s="40">
        <f t="shared" si="574"/>
        <v>135</v>
      </c>
      <c r="P364" s="40">
        <f t="shared" si="575"/>
        <v>0</v>
      </c>
      <c r="Q364" s="40">
        <f t="shared" si="576"/>
        <v>0</v>
      </c>
      <c r="R364" s="40">
        <f t="shared" si="577"/>
        <v>0</v>
      </c>
      <c r="S364" s="40">
        <f t="shared" si="578"/>
        <v>0</v>
      </c>
      <c r="T364" s="40">
        <f t="shared" si="579"/>
        <v>0</v>
      </c>
      <c r="U364" s="40">
        <f t="shared" si="580"/>
        <v>0</v>
      </c>
      <c r="V364" s="40">
        <f t="shared" si="581"/>
        <v>0</v>
      </c>
      <c r="W364" s="40">
        <f t="shared" si="582"/>
        <v>0</v>
      </c>
      <c r="X364" s="40">
        <f t="shared" si="583"/>
        <v>0</v>
      </c>
      <c r="Y364" s="39">
        <f t="shared" si="584"/>
        <v>0</v>
      </c>
      <c r="Z364" s="40">
        <f t="shared" si="585"/>
        <v>0</v>
      </c>
      <c r="AA364" s="40">
        <f t="shared" si="586"/>
        <v>0</v>
      </c>
      <c r="AB364" s="40">
        <f t="shared" si="587"/>
        <v>0</v>
      </c>
      <c r="AC364" s="40">
        <f t="shared" si="588"/>
        <v>0</v>
      </c>
      <c r="AD364" s="40">
        <f t="shared" si="589"/>
        <v>0</v>
      </c>
      <c r="AE364" s="40">
        <f t="shared" si="590"/>
        <v>0</v>
      </c>
      <c r="AF364" s="40">
        <f t="shared" si="591"/>
        <v>0</v>
      </c>
      <c r="AG364" s="40">
        <f t="shared" si="592"/>
        <v>0</v>
      </c>
      <c r="AH364" s="40">
        <f t="shared" si="535"/>
        <v>0</v>
      </c>
      <c r="AI364" s="40">
        <f t="shared" si="536"/>
        <v>0</v>
      </c>
      <c r="AJ364" s="40">
        <f t="shared" si="537"/>
        <v>0</v>
      </c>
      <c r="AK364" s="39">
        <f t="shared" si="538"/>
        <v>0</v>
      </c>
      <c r="AL364" s="38">
        <v>10</v>
      </c>
      <c r="AM364" s="38">
        <v>5</v>
      </c>
      <c r="AN364" s="38">
        <v>0</v>
      </c>
      <c r="AO364" s="38">
        <v>1</v>
      </c>
      <c r="AP364" s="38">
        <v>2</v>
      </c>
      <c r="AQ364" s="39">
        <v>0</v>
      </c>
      <c r="AR364" s="40">
        <v>0</v>
      </c>
      <c r="AS364" s="40">
        <v>1</v>
      </c>
      <c r="AT364" s="40">
        <v>0</v>
      </c>
      <c r="AU364" s="40">
        <v>0</v>
      </c>
      <c r="AV364" s="40">
        <v>0</v>
      </c>
      <c r="AW364" s="40">
        <v>0</v>
      </c>
      <c r="AX364" s="40">
        <v>0</v>
      </c>
      <c r="AY364" s="40">
        <v>0</v>
      </c>
      <c r="AZ364" s="40">
        <v>0</v>
      </c>
      <c r="BA364" s="40">
        <v>0</v>
      </c>
      <c r="BB364" s="40">
        <v>0</v>
      </c>
      <c r="BC364" s="39">
        <v>0</v>
      </c>
      <c r="BD364" s="40">
        <v>0</v>
      </c>
      <c r="BE364" s="40">
        <v>0</v>
      </c>
      <c r="BF364" s="40">
        <v>0</v>
      </c>
      <c r="BG364" s="40">
        <f>VLOOKUP(E364,'[1]Offline Offtake'!$G$522:$FL$619,161,0)</f>
        <v>0</v>
      </c>
      <c r="BH364" s="40">
        <v>0</v>
      </c>
      <c r="BI364" s="40">
        <v>0</v>
      </c>
      <c r="BJ364" s="40">
        <v>0</v>
      </c>
      <c r="BK364" s="40">
        <v>0</v>
      </c>
      <c r="BL364" s="40">
        <v>0</v>
      </c>
      <c r="BM364" s="40">
        <v>0</v>
      </c>
      <c r="BN364" s="40"/>
      <c r="BO364" s="39"/>
      <c r="BP364" s="21">
        <v>0</v>
      </c>
      <c r="BQ364" s="21">
        <v>0</v>
      </c>
      <c r="BR364" s="21">
        <v>0</v>
      </c>
      <c r="BS364" s="21">
        <v>0</v>
      </c>
      <c r="BT364" s="21">
        <v>0</v>
      </c>
      <c r="BU364" s="42">
        <v>0</v>
      </c>
      <c r="BV364" s="21">
        <v>0</v>
      </c>
      <c r="BW364" s="21">
        <v>0</v>
      </c>
      <c r="BX364" s="21">
        <v>0</v>
      </c>
      <c r="BY364" s="21">
        <v>0</v>
      </c>
      <c r="BZ364" s="21">
        <v>0</v>
      </c>
      <c r="CA364" s="21">
        <v>0</v>
      </c>
      <c r="CB364" s="21">
        <v>0</v>
      </c>
      <c r="CC364" s="21">
        <v>0</v>
      </c>
      <c r="CD364" s="21">
        <v>0</v>
      </c>
      <c r="CE364" s="21">
        <v>0</v>
      </c>
      <c r="CF364" s="21">
        <v>0</v>
      </c>
      <c r="CG364" s="42">
        <v>0</v>
      </c>
      <c r="CH364" s="21">
        <v>0</v>
      </c>
      <c r="CI364" s="21">
        <v>0</v>
      </c>
      <c r="CJ364" s="21">
        <v>0</v>
      </c>
      <c r="CK364" s="21">
        <v>0</v>
      </c>
      <c r="CL364" s="21">
        <v>0</v>
      </c>
      <c r="CM364" s="21">
        <v>0</v>
      </c>
      <c r="CN364" s="21">
        <v>0</v>
      </c>
      <c r="CO364" s="21">
        <v>0</v>
      </c>
      <c r="CP364" s="21">
        <f t="shared" si="593"/>
        <v>0</v>
      </c>
      <c r="CQ364" s="343">
        <f t="shared" si="594"/>
        <v>0</v>
      </c>
      <c r="CR364" s="40"/>
      <c r="CS364" s="39"/>
      <c r="CT364" s="38">
        <f t="shared" si="595"/>
        <v>10</v>
      </c>
      <c r="CU364" s="38">
        <f t="shared" si="596"/>
        <v>5</v>
      </c>
      <c r="CV364" s="38">
        <f t="shared" si="597"/>
        <v>0</v>
      </c>
      <c r="CW364" s="38">
        <f t="shared" si="598"/>
        <v>1</v>
      </c>
      <c r="CX364" s="38">
        <f t="shared" si="599"/>
        <v>2</v>
      </c>
      <c r="CY364" s="39">
        <f t="shared" si="600"/>
        <v>0</v>
      </c>
      <c r="CZ364" s="40">
        <f t="shared" si="601"/>
        <v>0</v>
      </c>
      <c r="DA364" s="40">
        <f t="shared" si="602"/>
        <v>1</v>
      </c>
      <c r="DB364" s="40">
        <f t="shared" si="603"/>
        <v>0</v>
      </c>
      <c r="DC364" s="40">
        <f t="shared" si="604"/>
        <v>0</v>
      </c>
      <c r="DD364" s="40">
        <f t="shared" si="605"/>
        <v>0</v>
      </c>
      <c r="DE364" s="40">
        <f t="shared" si="606"/>
        <v>0</v>
      </c>
      <c r="DF364" s="40">
        <f t="shared" si="607"/>
        <v>0</v>
      </c>
      <c r="DG364" s="40">
        <f t="shared" si="608"/>
        <v>0</v>
      </c>
      <c r="DH364" s="40">
        <f t="shared" si="609"/>
        <v>0</v>
      </c>
      <c r="DI364" s="40">
        <f t="shared" si="610"/>
        <v>0</v>
      </c>
      <c r="DJ364" s="40">
        <f t="shared" si="611"/>
        <v>0</v>
      </c>
      <c r="DK364" s="39">
        <f t="shared" si="612"/>
        <v>0</v>
      </c>
      <c r="DL364" s="40">
        <f t="shared" si="613"/>
        <v>0</v>
      </c>
      <c r="DM364" s="40">
        <f t="shared" si="614"/>
        <v>0</v>
      </c>
      <c r="DN364" s="40">
        <f t="shared" si="615"/>
        <v>0</v>
      </c>
      <c r="DO364" s="40">
        <f t="shared" si="616"/>
        <v>0</v>
      </c>
      <c r="DP364" s="40">
        <f t="shared" si="617"/>
        <v>0</v>
      </c>
      <c r="DQ364" s="40">
        <f t="shared" si="618"/>
        <v>0</v>
      </c>
      <c r="DR364" s="40">
        <f t="shared" si="623"/>
        <v>0</v>
      </c>
      <c r="DS364" s="40">
        <f t="shared" si="624"/>
        <v>0</v>
      </c>
      <c r="DT364" s="40">
        <f t="shared" si="619"/>
        <v>0</v>
      </c>
      <c r="DU364" s="40">
        <f t="shared" si="620"/>
        <v>0</v>
      </c>
      <c r="DV364" s="40">
        <f t="shared" si="621"/>
        <v>0</v>
      </c>
      <c r="DW364" s="40">
        <f t="shared" si="622"/>
        <v>0</v>
      </c>
    </row>
    <row r="365" spans="1:127">
      <c r="A365" s="22" t="s">
        <v>33</v>
      </c>
      <c r="B365" s="26">
        <v>4987176175465</v>
      </c>
      <c r="C365" s="22" t="s">
        <v>34</v>
      </c>
      <c r="D365" s="22" t="s">
        <v>35</v>
      </c>
      <c r="E365" s="22">
        <v>203330</v>
      </c>
      <c r="F365" s="80" t="s">
        <v>453</v>
      </c>
      <c r="G365" s="25">
        <v>135</v>
      </c>
      <c r="H365" s="38">
        <f t="shared" si="567"/>
        <v>45900</v>
      </c>
      <c r="I365" s="38">
        <f t="shared" si="568"/>
        <v>106650</v>
      </c>
      <c r="J365" s="38">
        <f t="shared" si="569"/>
        <v>42795</v>
      </c>
      <c r="K365" s="38">
        <f t="shared" si="570"/>
        <v>47790</v>
      </c>
      <c r="L365" s="38">
        <f t="shared" si="571"/>
        <v>57915</v>
      </c>
      <c r="M365" s="39">
        <f t="shared" si="572"/>
        <v>30510</v>
      </c>
      <c r="N365" s="40">
        <f t="shared" si="573"/>
        <v>37125</v>
      </c>
      <c r="O365" s="40">
        <f t="shared" si="574"/>
        <v>63315</v>
      </c>
      <c r="P365" s="40">
        <f t="shared" si="575"/>
        <v>63720</v>
      </c>
      <c r="Q365" s="40">
        <f t="shared" si="576"/>
        <v>48465</v>
      </c>
      <c r="R365" s="40">
        <f t="shared" si="577"/>
        <v>94500</v>
      </c>
      <c r="S365" s="40">
        <f t="shared" si="578"/>
        <v>68310</v>
      </c>
      <c r="T365" s="40">
        <f t="shared" si="579"/>
        <v>14445</v>
      </c>
      <c r="U365" s="40">
        <f t="shared" si="580"/>
        <v>4455</v>
      </c>
      <c r="V365" s="40">
        <f t="shared" si="581"/>
        <v>4050</v>
      </c>
      <c r="W365" s="40">
        <f t="shared" si="582"/>
        <v>2835</v>
      </c>
      <c r="X365" s="40">
        <f t="shared" si="583"/>
        <v>3780</v>
      </c>
      <c r="Y365" s="39">
        <f t="shared" si="584"/>
        <v>1215</v>
      </c>
      <c r="Z365" s="40">
        <f t="shared" si="585"/>
        <v>1755</v>
      </c>
      <c r="AA365" s="40">
        <f t="shared" si="586"/>
        <v>2025</v>
      </c>
      <c r="AB365" s="40">
        <f t="shared" si="587"/>
        <v>405</v>
      </c>
      <c r="AC365" s="40">
        <f t="shared" si="588"/>
        <v>0</v>
      </c>
      <c r="AD365" s="40">
        <f t="shared" si="589"/>
        <v>945</v>
      </c>
      <c r="AE365" s="40">
        <f t="shared" si="590"/>
        <v>135</v>
      </c>
      <c r="AF365" s="40">
        <f t="shared" si="591"/>
        <v>0</v>
      </c>
      <c r="AG365" s="40">
        <f t="shared" si="592"/>
        <v>270</v>
      </c>
      <c r="AH365" s="40">
        <f t="shared" si="535"/>
        <v>0</v>
      </c>
      <c r="AI365" s="40">
        <f t="shared" si="536"/>
        <v>0</v>
      </c>
      <c r="AJ365" s="40">
        <f t="shared" si="537"/>
        <v>0</v>
      </c>
      <c r="AK365" s="39">
        <f t="shared" si="538"/>
        <v>0</v>
      </c>
      <c r="AL365" s="38">
        <v>300</v>
      </c>
      <c r="AM365" s="38">
        <v>685</v>
      </c>
      <c r="AN365" s="38">
        <v>256</v>
      </c>
      <c r="AO365" s="38">
        <v>301</v>
      </c>
      <c r="AP365" s="38">
        <v>339</v>
      </c>
      <c r="AQ365" s="39">
        <v>214</v>
      </c>
      <c r="AR365" s="40">
        <v>243</v>
      </c>
      <c r="AS365" s="40">
        <v>394</v>
      </c>
      <c r="AT365" s="40">
        <v>310</v>
      </c>
      <c r="AU365" s="40">
        <v>316</v>
      </c>
      <c r="AV365" s="40">
        <v>564</v>
      </c>
      <c r="AW365" s="40">
        <v>506</v>
      </c>
      <c r="AX365" s="40">
        <v>107</v>
      </c>
      <c r="AY365" s="40">
        <v>33</v>
      </c>
      <c r="AZ365" s="40">
        <v>30</v>
      </c>
      <c r="BA365" s="40">
        <v>21</v>
      </c>
      <c r="BB365" s="40">
        <v>28</v>
      </c>
      <c r="BC365" s="39">
        <v>9</v>
      </c>
      <c r="BD365" s="40">
        <v>13</v>
      </c>
      <c r="BE365" s="40">
        <v>15</v>
      </c>
      <c r="BF365" s="40">
        <v>3</v>
      </c>
      <c r="BG365" s="40">
        <f>VLOOKUP(E365,'[1]Offline Offtake'!$G$522:$FL$619,161,0)</f>
        <v>0</v>
      </c>
      <c r="BH365" s="40">
        <v>7</v>
      </c>
      <c r="BI365" s="40">
        <v>1</v>
      </c>
      <c r="BJ365" s="40">
        <v>0</v>
      </c>
      <c r="BK365" s="40">
        <v>2</v>
      </c>
      <c r="BL365" s="40">
        <v>0</v>
      </c>
      <c r="BM365" s="40">
        <v>0</v>
      </c>
      <c r="BN365" s="40"/>
      <c r="BO365" s="39"/>
      <c r="BP365" s="21">
        <v>40</v>
      </c>
      <c r="BQ365" s="21">
        <v>105</v>
      </c>
      <c r="BR365" s="21">
        <v>61</v>
      </c>
      <c r="BS365" s="21">
        <v>53</v>
      </c>
      <c r="BT365" s="21">
        <v>90</v>
      </c>
      <c r="BU365" s="42">
        <v>12</v>
      </c>
      <c r="BV365" s="21">
        <v>32</v>
      </c>
      <c r="BW365" s="21">
        <v>75</v>
      </c>
      <c r="BX365" s="21">
        <v>162</v>
      </c>
      <c r="BY365" s="21">
        <v>43</v>
      </c>
      <c r="BZ365" s="21">
        <v>136</v>
      </c>
      <c r="CA365" s="21">
        <v>0</v>
      </c>
      <c r="CB365" s="21">
        <v>0</v>
      </c>
      <c r="CC365" s="21">
        <v>0</v>
      </c>
      <c r="CD365" s="21">
        <v>0</v>
      </c>
      <c r="CE365" s="21">
        <v>0</v>
      </c>
      <c r="CF365" s="21">
        <v>0</v>
      </c>
      <c r="CG365" s="42">
        <v>0</v>
      </c>
      <c r="CH365" s="21">
        <v>0</v>
      </c>
      <c r="CI365" s="21">
        <v>0</v>
      </c>
      <c r="CJ365" s="21">
        <v>0</v>
      </c>
      <c r="CK365" s="21">
        <v>0</v>
      </c>
      <c r="CL365" s="21">
        <v>0</v>
      </c>
      <c r="CM365" s="21">
        <v>0</v>
      </c>
      <c r="CN365" s="21">
        <v>0</v>
      </c>
      <c r="CO365" s="21">
        <v>0</v>
      </c>
      <c r="CP365" s="21">
        <f t="shared" si="593"/>
        <v>0</v>
      </c>
      <c r="CQ365" s="343">
        <f t="shared" si="594"/>
        <v>0</v>
      </c>
      <c r="CR365" s="40"/>
      <c r="CS365" s="39"/>
      <c r="CT365" s="38">
        <f t="shared" si="595"/>
        <v>340</v>
      </c>
      <c r="CU365" s="38">
        <f t="shared" si="596"/>
        <v>790</v>
      </c>
      <c r="CV365" s="38">
        <f t="shared" si="597"/>
        <v>317</v>
      </c>
      <c r="CW365" s="38">
        <f t="shared" si="598"/>
        <v>354</v>
      </c>
      <c r="CX365" s="38">
        <f t="shared" si="599"/>
        <v>429</v>
      </c>
      <c r="CY365" s="39">
        <f t="shared" si="600"/>
        <v>226</v>
      </c>
      <c r="CZ365" s="40">
        <f t="shared" si="601"/>
        <v>275</v>
      </c>
      <c r="DA365" s="40">
        <f t="shared" si="602"/>
        <v>469</v>
      </c>
      <c r="DB365" s="40">
        <f t="shared" si="603"/>
        <v>472</v>
      </c>
      <c r="DC365" s="40">
        <f t="shared" si="604"/>
        <v>359</v>
      </c>
      <c r="DD365" s="40">
        <f t="shared" si="605"/>
        <v>700</v>
      </c>
      <c r="DE365" s="40">
        <f t="shared" si="606"/>
        <v>506</v>
      </c>
      <c r="DF365" s="40">
        <f t="shared" si="607"/>
        <v>107</v>
      </c>
      <c r="DG365" s="40">
        <f t="shared" si="608"/>
        <v>33</v>
      </c>
      <c r="DH365" s="40">
        <f t="shared" si="609"/>
        <v>30</v>
      </c>
      <c r="DI365" s="40">
        <f t="shared" si="610"/>
        <v>21</v>
      </c>
      <c r="DJ365" s="40">
        <f t="shared" si="611"/>
        <v>28</v>
      </c>
      <c r="DK365" s="39">
        <f t="shared" si="612"/>
        <v>9</v>
      </c>
      <c r="DL365" s="40">
        <f t="shared" si="613"/>
        <v>13</v>
      </c>
      <c r="DM365" s="40">
        <f t="shared" si="614"/>
        <v>15</v>
      </c>
      <c r="DN365" s="40">
        <f t="shared" si="615"/>
        <v>3</v>
      </c>
      <c r="DO365" s="40">
        <f t="shared" si="616"/>
        <v>0</v>
      </c>
      <c r="DP365" s="40">
        <f t="shared" si="617"/>
        <v>7</v>
      </c>
      <c r="DQ365" s="40">
        <f t="shared" si="618"/>
        <v>1</v>
      </c>
      <c r="DR365" s="40">
        <f t="shared" si="623"/>
        <v>0</v>
      </c>
      <c r="DS365" s="40">
        <f t="shared" si="624"/>
        <v>2</v>
      </c>
      <c r="DT365" s="40">
        <f t="shared" si="619"/>
        <v>0</v>
      </c>
      <c r="DU365" s="40">
        <f t="shared" si="620"/>
        <v>0</v>
      </c>
      <c r="DV365" s="40">
        <f t="shared" si="621"/>
        <v>0</v>
      </c>
      <c r="DW365" s="40">
        <f t="shared" si="622"/>
        <v>0</v>
      </c>
    </row>
    <row r="366" spans="1:127">
      <c r="A366" s="22" t="s">
        <v>33</v>
      </c>
      <c r="B366" s="26">
        <v>4987176175458</v>
      </c>
      <c r="C366" s="22" t="s">
        <v>34</v>
      </c>
      <c r="D366" s="22" t="s">
        <v>35</v>
      </c>
      <c r="E366" s="22">
        <v>203357</v>
      </c>
      <c r="F366" s="80" t="s">
        <v>454</v>
      </c>
      <c r="G366" s="25">
        <v>135</v>
      </c>
      <c r="H366" s="38">
        <f t="shared" si="567"/>
        <v>48600</v>
      </c>
      <c r="I366" s="38">
        <f t="shared" si="568"/>
        <v>105435</v>
      </c>
      <c r="J366" s="38">
        <f t="shared" si="569"/>
        <v>41580</v>
      </c>
      <c r="K366" s="38">
        <f t="shared" si="570"/>
        <v>40770</v>
      </c>
      <c r="L366" s="38">
        <f t="shared" si="571"/>
        <v>46440</v>
      </c>
      <c r="M366" s="39">
        <f t="shared" si="572"/>
        <v>23490</v>
      </c>
      <c r="N366" s="40">
        <f t="shared" si="573"/>
        <v>33885</v>
      </c>
      <c r="O366" s="40">
        <f t="shared" si="574"/>
        <v>52380</v>
      </c>
      <c r="P366" s="40">
        <f t="shared" si="575"/>
        <v>67230</v>
      </c>
      <c r="Q366" s="40">
        <f t="shared" si="576"/>
        <v>39015</v>
      </c>
      <c r="R366" s="40">
        <f t="shared" si="577"/>
        <v>69120</v>
      </c>
      <c r="S366" s="40">
        <f t="shared" si="578"/>
        <v>62910</v>
      </c>
      <c r="T366" s="40">
        <f t="shared" si="579"/>
        <v>19305</v>
      </c>
      <c r="U366" s="40">
        <f t="shared" si="580"/>
        <v>8505</v>
      </c>
      <c r="V366" s="40">
        <f t="shared" si="581"/>
        <v>4995</v>
      </c>
      <c r="W366" s="40">
        <f t="shared" si="582"/>
        <v>6210</v>
      </c>
      <c r="X366" s="40">
        <f t="shared" si="583"/>
        <v>4185</v>
      </c>
      <c r="Y366" s="39">
        <f t="shared" si="584"/>
        <v>1620</v>
      </c>
      <c r="Z366" s="40">
        <f t="shared" si="585"/>
        <v>2430</v>
      </c>
      <c r="AA366" s="40">
        <f t="shared" si="586"/>
        <v>1350</v>
      </c>
      <c r="AB366" s="40">
        <f t="shared" si="587"/>
        <v>1080</v>
      </c>
      <c r="AC366" s="40">
        <f t="shared" si="588"/>
        <v>135</v>
      </c>
      <c r="AD366" s="40">
        <f t="shared" si="589"/>
        <v>270</v>
      </c>
      <c r="AE366" s="40">
        <f t="shared" si="590"/>
        <v>405</v>
      </c>
      <c r="AF366" s="40">
        <f t="shared" si="591"/>
        <v>540</v>
      </c>
      <c r="AG366" s="40">
        <f t="shared" si="592"/>
        <v>0</v>
      </c>
      <c r="AH366" s="40">
        <f t="shared" si="535"/>
        <v>135</v>
      </c>
      <c r="AI366" s="40">
        <f t="shared" si="536"/>
        <v>0</v>
      </c>
      <c r="AJ366" s="40">
        <f t="shared" si="537"/>
        <v>0</v>
      </c>
      <c r="AK366" s="39">
        <f t="shared" si="538"/>
        <v>0</v>
      </c>
      <c r="AL366" s="38">
        <v>236</v>
      </c>
      <c r="AM366" s="38">
        <v>671</v>
      </c>
      <c r="AN366" s="38">
        <v>259</v>
      </c>
      <c r="AO366" s="38">
        <v>285</v>
      </c>
      <c r="AP366" s="38">
        <v>319</v>
      </c>
      <c r="AQ366" s="39">
        <v>157</v>
      </c>
      <c r="AR366" s="40">
        <v>248</v>
      </c>
      <c r="AS366" s="40">
        <v>367</v>
      </c>
      <c r="AT366" s="40">
        <v>316</v>
      </c>
      <c r="AU366" s="40">
        <v>268</v>
      </c>
      <c r="AV366" s="40">
        <v>435</v>
      </c>
      <c r="AW366" s="40">
        <v>430</v>
      </c>
      <c r="AX366" s="40">
        <v>115</v>
      </c>
      <c r="AY366" s="40">
        <v>63</v>
      </c>
      <c r="AZ366" s="40">
        <v>37</v>
      </c>
      <c r="BA366" s="40">
        <v>46</v>
      </c>
      <c r="BB366" s="40">
        <v>31</v>
      </c>
      <c r="BC366" s="39">
        <v>12</v>
      </c>
      <c r="BD366" s="40">
        <v>18</v>
      </c>
      <c r="BE366" s="40">
        <v>10</v>
      </c>
      <c r="BF366" s="40">
        <v>8</v>
      </c>
      <c r="BG366" s="40">
        <f>VLOOKUP(E366,'[1]Offline Offtake'!$G$522:$FL$619,161,0)</f>
        <v>1</v>
      </c>
      <c r="BH366" s="40">
        <v>2</v>
      </c>
      <c r="BI366" s="40">
        <v>3</v>
      </c>
      <c r="BJ366" s="40">
        <v>4</v>
      </c>
      <c r="BK366" s="40">
        <v>0</v>
      </c>
      <c r="BL366" s="40">
        <v>1</v>
      </c>
      <c r="BM366" s="40">
        <v>0</v>
      </c>
      <c r="BN366" s="40"/>
      <c r="BO366" s="39"/>
      <c r="BP366" s="21">
        <v>124</v>
      </c>
      <c r="BQ366" s="21">
        <v>110</v>
      </c>
      <c r="BR366" s="21">
        <v>49</v>
      </c>
      <c r="BS366" s="21">
        <v>17</v>
      </c>
      <c r="BT366" s="21">
        <v>25</v>
      </c>
      <c r="BU366" s="42">
        <v>17</v>
      </c>
      <c r="BV366" s="21">
        <v>3</v>
      </c>
      <c r="BW366" s="21">
        <v>21</v>
      </c>
      <c r="BX366" s="21">
        <v>182</v>
      </c>
      <c r="BY366" s="21">
        <v>21</v>
      </c>
      <c r="BZ366" s="21">
        <v>77</v>
      </c>
      <c r="CA366" s="21">
        <v>36</v>
      </c>
      <c r="CB366" s="21">
        <v>28</v>
      </c>
      <c r="CC366" s="21">
        <v>0</v>
      </c>
      <c r="CD366" s="21">
        <v>0</v>
      </c>
      <c r="CE366" s="21">
        <v>0</v>
      </c>
      <c r="CF366" s="21">
        <v>0</v>
      </c>
      <c r="CG366" s="42">
        <v>0</v>
      </c>
      <c r="CH366" s="21">
        <v>0</v>
      </c>
      <c r="CI366" s="21">
        <v>0</v>
      </c>
      <c r="CJ366" s="21">
        <v>0</v>
      </c>
      <c r="CK366" s="21">
        <v>0</v>
      </c>
      <c r="CL366" s="21">
        <v>0</v>
      </c>
      <c r="CM366" s="21">
        <v>0</v>
      </c>
      <c r="CN366" s="21">
        <v>0</v>
      </c>
      <c r="CO366" s="21">
        <v>0</v>
      </c>
      <c r="CP366" s="21">
        <f t="shared" si="593"/>
        <v>0</v>
      </c>
      <c r="CQ366" s="343">
        <f t="shared" si="594"/>
        <v>0</v>
      </c>
      <c r="CR366" s="40"/>
      <c r="CS366" s="39"/>
      <c r="CT366" s="38">
        <f t="shared" si="595"/>
        <v>360</v>
      </c>
      <c r="CU366" s="38">
        <f t="shared" si="596"/>
        <v>781</v>
      </c>
      <c r="CV366" s="38">
        <f t="shared" si="597"/>
        <v>308</v>
      </c>
      <c r="CW366" s="38">
        <f t="shared" si="598"/>
        <v>302</v>
      </c>
      <c r="CX366" s="38">
        <f t="shared" si="599"/>
        <v>344</v>
      </c>
      <c r="CY366" s="39">
        <f t="shared" si="600"/>
        <v>174</v>
      </c>
      <c r="CZ366" s="40">
        <f t="shared" si="601"/>
        <v>251</v>
      </c>
      <c r="DA366" s="40">
        <f t="shared" si="602"/>
        <v>388</v>
      </c>
      <c r="DB366" s="40">
        <f t="shared" si="603"/>
        <v>498</v>
      </c>
      <c r="DC366" s="40">
        <f t="shared" si="604"/>
        <v>289</v>
      </c>
      <c r="DD366" s="40">
        <f t="shared" si="605"/>
        <v>512</v>
      </c>
      <c r="DE366" s="40">
        <f t="shared" si="606"/>
        <v>466</v>
      </c>
      <c r="DF366" s="40">
        <f t="shared" si="607"/>
        <v>143</v>
      </c>
      <c r="DG366" s="40">
        <f t="shared" si="608"/>
        <v>63</v>
      </c>
      <c r="DH366" s="40">
        <f t="shared" si="609"/>
        <v>37</v>
      </c>
      <c r="DI366" s="40">
        <f t="shared" si="610"/>
        <v>46</v>
      </c>
      <c r="DJ366" s="40">
        <f t="shared" si="611"/>
        <v>31</v>
      </c>
      <c r="DK366" s="39">
        <f t="shared" si="612"/>
        <v>12</v>
      </c>
      <c r="DL366" s="40">
        <f t="shared" si="613"/>
        <v>18</v>
      </c>
      <c r="DM366" s="40">
        <f t="shared" si="614"/>
        <v>10</v>
      </c>
      <c r="DN366" s="40">
        <f t="shared" si="615"/>
        <v>8</v>
      </c>
      <c r="DO366" s="40">
        <f t="shared" si="616"/>
        <v>1</v>
      </c>
      <c r="DP366" s="40">
        <f t="shared" si="617"/>
        <v>2</v>
      </c>
      <c r="DQ366" s="40">
        <f t="shared" si="618"/>
        <v>3</v>
      </c>
      <c r="DR366" s="40">
        <f t="shared" si="623"/>
        <v>4</v>
      </c>
      <c r="DS366" s="40">
        <f t="shared" si="624"/>
        <v>0</v>
      </c>
      <c r="DT366" s="40">
        <f t="shared" si="619"/>
        <v>1</v>
      </c>
      <c r="DU366" s="40">
        <f t="shared" si="620"/>
        <v>0</v>
      </c>
      <c r="DV366" s="40">
        <f t="shared" si="621"/>
        <v>0</v>
      </c>
      <c r="DW366" s="40">
        <f t="shared" si="622"/>
        <v>0</v>
      </c>
    </row>
    <row r="367" spans="1:127">
      <c r="A367" s="22" t="s">
        <v>33</v>
      </c>
      <c r="B367" s="26">
        <v>4902430473316</v>
      </c>
      <c r="C367" s="22" t="s">
        <v>34</v>
      </c>
      <c r="D367" s="22" t="s">
        <v>35</v>
      </c>
      <c r="E367" s="22">
        <v>372596</v>
      </c>
      <c r="F367" s="80" t="s">
        <v>455</v>
      </c>
      <c r="G367" s="25">
        <v>177.9</v>
      </c>
      <c r="H367" s="38">
        <f t="shared" si="567"/>
        <v>355.8</v>
      </c>
      <c r="I367" s="38">
        <f t="shared" si="568"/>
        <v>177.9</v>
      </c>
      <c r="J367" s="38">
        <f t="shared" si="569"/>
        <v>0</v>
      </c>
      <c r="K367" s="38">
        <f t="shared" si="570"/>
        <v>0</v>
      </c>
      <c r="L367" s="38">
        <f t="shared" si="571"/>
        <v>0</v>
      </c>
      <c r="M367" s="39">
        <f t="shared" si="572"/>
        <v>177.9</v>
      </c>
      <c r="N367" s="40">
        <f t="shared" si="573"/>
        <v>0</v>
      </c>
      <c r="O367" s="40">
        <f t="shared" si="574"/>
        <v>0</v>
      </c>
      <c r="P367" s="40">
        <f t="shared" si="575"/>
        <v>0</v>
      </c>
      <c r="Q367" s="40">
        <f t="shared" si="576"/>
        <v>0</v>
      </c>
      <c r="R367" s="40">
        <f t="shared" si="577"/>
        <v>0</v>
      </c>
      <c r="S367" s="40">
        <f t="shared" si="578"/>
        <v>0</v>
      </c>
      <c r="T367" s="40">
        <f t="shared" si="579"/>
        <v>0</v>
      </c>
      <c r="U367" s="40">
        <f t="shared" si="580"/>
        <v>0</v>
      </c>
      <c r="V367" s="40">
        <f t="shared" si="581"/>
        <v>0</v>
      </c>
      <c r="W367" s="40">
        <f t="shared" si="582"/>
        <v>0</v>
      </c>
      <c r="X367" s="40">
        <f t="shared" si="583"/>
        <v>0</v>
      </c>
      <c r="Y367" s="39">
        <f t="shared" si="584"/>
        <v>0</v>
      </c>
      <c r="Z367" s="40">
        <f t="shared" si="585"/>
        <v>0</v>
      </c>
      <c r="AA367" s="40">
        <f t="shared" si="586"/>
        <v>0</v>
      </c>
      <c r="AB367" s="40">
        <f t="shared" si="587"/>
        <v>0</v>
      </c>
      <c r="AC367" s="40">
        <f t="shared" si="588"/>
        <v>0</v>
      </c>
      <c r="AD367" s="40">
        <f t="shared" si="589"/>
        <v>0</v>
      </c>
      <c r="AE367" s="40">
        <f t="shared" si="590"/>
        <v>0</v>
      </c>
      <c r="AF367" s="40">
        <f t="shared" si="591"/>
        <v>0</v>
      </c>
      <c r="AG367" s="40">
        <f t="shared" si="592"/>
        <v>0</v>
      </c>
      <c r="AH367" s="40">
        <f t="shared" si="535"/>
        <v>0</v>
      </c>
      <c r="AI367" s="40">
        <f t="shared" si="536"/>
        <v>0</v>
      </c>
      <c r="AJ367" s="40">
        <f t="shared" si="537"/>
        <v>0</v>
      </c>
      <c r="AK367" s="39">
        <f t="shared" si="538"/>
        <v>0</v>
      </c>
      <c r="AL367" s="38">
        <v>2</v>
      </c>
      <c r="AM367" s="38">
        <v>1</v>
      </c>
      <c r="AN367" s="38">
        <v>0</v>
      </c>
      <c r="AO367" s="38">
        <v>0</v>
      </c>
      <c r="AP367" s="38">
        <v>0</v>
      </c>
      <c r="AQ367" s="39">
        <v>1</v>
      </c>
      <c r="AR367" s="40">
        <v>0</v>
      </c>
      <c r="AS367" s="40">
        <v>0</v>
      </c>
      <c r="AT367" s="40">
        <v>0</v>
      </c>
      <c r="AU367" s="40">
        <v>0</v>
      </c>
      <c r="AV367" s="40">
        <v>0</v>
      </c>
      <c r="AW367" s="40">
        <v>0</v>
      </c>
      <c r="AX367" s="40">
        <v>0</v>
      </c>
      <c r="AY367" s="40">
        <v>0</v>
      </c>
      <c r="AZ367" s="40">
        <v>0</v>
      </c>
      <c r="BA367" s="40">
        <v>0</v>
      </c>
      <c r="BB367" s="40">
        <v>0</v>
      </c>
      <c r="BC367" s="39">
        <v>0</v>
      </c>
      <c r="BD367" s="40">
        <v>0</v>
      </c>
      <c r="BE367" s="40">
        <v>0</v>
      </c>
      <c r="BF367" s="40">
        <v>0</v>
      </c>
      <c r="BG367" s="40">
        <f>VLOOKUP(E367,'[1]Offline Offtake'!$G$522:$FL$619,161,0)</f>
        <v>0</v>
      </c>
      <c r="BH367" s="40">
        <v>0</v>
      </c>
      <c r="BI367" s="40">
        <v>0</v>
      </c>
      <c r="BJ367" s="40">
        <v>0</v>
      </c>
      <c r="BK367" s="40">
        <v>0</v>
      </c>
      <c r="BL367" s="40">
        <v>0</v>
      </c>
      <c r="BM367" s="40">
        <v>0</v>
      </c>
      <c r="BN367" s="40"/>
      <c r="BO367" s="39"/>
      <c r="BP367" s="21">
        <v>0</v>
      </c>
      <c r="BQ367" s="21">
        <v>0</v>
      </c>
      <c r="BR367" s="21">
        <v>0</v>
      </c>
      <c r="BS367" s="21">
        <v>0</v>
      </c>
      <c r="BT367" s="21">
        <v>0</v>
      </c>
      <c r="BU367" s="42">
        <v>0</v>
      </c>
      <c r="BV367" s="21">
        <v>0</v>
      </c>
      <c r="BW367" s="21">
        <v>0</v>
      </c>
      <c r="BX367" s="21">
        <v>0</v>
      </c>
      <c r="BY367" s="21">
        <v>0</v>
      </c>
      <c r="BZ367" s="21">
        <v>0</v>
      </c>
      <c r="CA367" s="21">
        <v>0</v>
      </c>
      <c r="CB367" s="21">
        <v>0</v>
      </c>
      <c r="CC367" s="21">
        <v>0</v>
      </c>
      <c r="CD367" s="21">
        <v>0</v>
      </c>
      <c r="CE367" s="21">
        <v>0</v>
      </c>
      <c r="CF367" s="21">
        <v>0</v>
      </c>
      <c r="CG367" s="42">
        <v>0</v>
      </c>
      <c r="CH367" s="21">
        <v>0</v>
      </c>
      <c r="CI367" s="21">
        <v>0</v>
      </c>
      <c r="CJ367" s="21">
        <v>0</v>
      </c>
      <c r="CK367" s="21">
        <v>0</v>
      </c>
      <c r="CL367" s="21">
        <v>0</v>
      </c>
      <c r="CM367" s="21">
        <v>0</v>
      </c>
      <c r="CN367" s="21">
        <v>0</v>
      </c>
      <c r="CO367" s="21">
        <v>0</v>
      </c>
      <c r="CP367" s="21">
        <f t="shared" si="593"/>
        <v>0</v>
      </c>
      <c r="CQ367" s="343">
        <f t="shared" si="594"/>
        <v>0</v>
      </c>
      <c r="CR367" s="40"/>
      <c r="CS367" s="39"/>
      <c r="CT367" s="38">
        <f t="shared" si="595"/>
        <v>2</v>
      </c>
      <c r="CU367" s="38">
        <f t="shared" si="596"/>
        <v>1</v>
      </c>
      <c r="CV367" s="38">
        <f t="shared" si="597"/>
        <v>0</v>
      </c>
      <c r="CW367" s="38">
        <f t="shared" si="598"/>
        <v>0</v>
      </c>
      <c r="CX367" s="38">
        <f t="shared" si="599"/>
        <v>0</v>
      </c>
      <c r="CY367" s="39">
        <f t="shared" si="600"/>
        <v>1</v>
      </c>
      <c r="CZ367" s="40">
        <f t="shared" si="601"/>
        <v>0</v>
      </c>
      <c r="DA367" s="40">
        <f t="shared" si="602"/>
        <v>0</v>
      </c>
      <c r="DB367" s="40">
        <f t="shared" si="603"/>
        <v>0</v>
      </c>
      <c r="DC367" s="40">
        <f t="shared" si="604"/>
        <v>0</v>
      </c>
      <c r="DD367" s="40">
        <f t="shared" si="605"/>
        <v>0</v>
      </c>
      <c r="DE367" s="40">
        <f t="shared" si="606"/>
        <v>0</v>
      </c>
      <c r="DF367" s="40">
        <f t="shared" si="607"/>
        <v>0</v>
      </c>
      <c r="DG367" s="40">
        <f t="shared" si="608"/>
        <v>0</v>
      </c>
      <c r="DH367" s="40">
        <f t="shared" si="609"/>
        <v>0</v>
      </c>
      <c r="DI367" s="40">
        <f t="shared" si="610"/>
        <v>0</v>
      </c>
      <c r="DJ367" s="40">
        <f t="shared" si="611"/>
        <v>0</v>
      </c>
      <c r="DK367" s="39">
        <f t="shared" si="612"/>
        <v>0</v>
      </c>
      <c r="DL367" s="40">
        <f t="shared" si="613"/>
        <v>0</v>
      </c>
      <c r="DM367" s="40">
        <f t="shared" si="614"/>
        <v>0</v>
      </c>
      <c r="DN367" s="40">
        <f t="shared" si="615"/>
        <v>0</v>
      </c>
      <c r="DO367" s="40">
        <f t="shared" si="616"/>
        <v>0</v>
      </c>
      <c r="DP367" s="40">
        <f t="shared" si="617"/>
        <v>0</v>
      </c>
      <c r="DQ367" s="40">
        <f t="shared" si="618"/>
        <v>0</v>
      </c>
      <c r="DR367" s="40">
        <f t="shared" si="623"/>
        <v>0</v>
      </c>
      <c r="DS367" s="40">
        <f t="shared" si="624"/>
        <v>0</v>
      </c>
      <c r="DT367" s="40">
        <f t="shared" si="619"/>
        <v>0</v>
      </c>
      <c r="DU367" s="40">
        <f t="shared" si="620"/>
        <v>0</v>
      </c>
      <c r="DV367" s="40">
        <f t="shared" si="621"/>
        <v>0</v>
      </c>
      <c r="DW367" s="40">
        <f t="shared" si="622"/>
        <v>0</v>
      </c>
    </row>
    <row r="368" spans="1:127">
      <c r="A368" s="22" t="s">
        <v>33</v>
      </c>
      <c r="B368" s="26">
        <v>4902430470438</v>
      </c>
      <c r="C368" s="22" t="s">
        <v>34</v>
      </c>
      <c r="D368" s="22" t="s">
        <v>35</v>
      </c>
      <c r="E368" s="22">
        <v>372606</v>
      </c>
      <c r="F368" s="80" t="s">
        <v>456</v>
      </c>
      <c r="G368" s="25">
        <v>177.9</v>
      </c>
      <c r="H368" s="38">
        <f t="shared" si="567"/>
        <v>0</v>
      </c>
      <c r="I368" s="38">
        <f t="shared" si="568"/>
        <v>177.9</v>
      </c>
      <c r="J368" s="38">
        <f t="shared" si="569"/>
        <v>0</v>
      </c>
      <c r="K368" s="38">
        <f t="shared" si="570"/>
        <v>0</v>
      </c>
      <c r="L368" s="38">
        <f t="shared" si="571"/>
        <v>0</v>
      </c>
      <c r="M368" s="39">
        <f t="shared" si="572"/>
        <v>0</v>
      </c>
      <c r="N368" s="40">
        <f t="shared" si="573"/>
        <v>355.8</v>
      </c>
      <c r="O368" s="40">
        <f t="shared" si="574"/>
        <v>0</v>
      </c>
      <c r="P368" s="40">
        <f t="shared" si="575"/>
        <v>0</v>
      </c>
      <c r="Q368" s="40">
        <f t="shared" si="576"/>
        <v>0</v>
      </c>
      <c r="R368" s="40">
        <f t="shared" si="577"/>
        <v>0</v>
      </c>
      <c r="S368" s="40">
        <f t="shared" si="578"/>
        <v>0</v>
      </c>
      <c r="T368" s="40">
        <f t="shared" si="579"/>
        <v>0</v>
      </c>
      <c r="U368" s="40">
        <f t="shared" si="580"/>
        <v>0</v>
      </c>
      <c r="V368" s="40">
        <f t="shared" si="581"/>
        <v>0</v>
      </c>
      <c r="W368" s="40">
        <f t="shared" si="582"/>
        <v>0</v>
      </c>
      <c r="X368" s="40">
        <f t="shared" si="583"/>
        <v>0</v>
      </c>
      <c r="Y368" s="39">
        <f t="shared" si="584"/>
        <v>0</v>
      </c>
      <c r="Z368" s="40">
        <f t="shared" si="585"/>
        <v>0</v>
      </c>
      <c r="AA368" s="40">
        <f t="shared" si="586"/>
        <v>0</v>
      </c>
      <c r="AB368" s="40">
        <f t="shared" si="587"/>
        <v>0</v>
      </c>
      <c r="AC368" s="40">
        <f t="shared" si="588"/>
        <v>0</v>
      </c>
      <c r="AD368" s="40">
        <f t="shared" si="589"/>
        <v>0</v>
      </c>
      <c r="AE368" s="40">
        <f t="shared" si="590"/>
        <v>0</v>
      </c>
      <c r="AF368" s="40">
        <f t="shared" si="591"/>
        <v>0</v>
      </c>
      <c r="AG368" s="40">
        <f t="shared" si="592"/>
        <v>0</v>
      </c>
      <c r="AH368" s="40">
        <f t="shared" si="535"/>
        <v>0</v>
      </c>
      <c r="AI368" s="40">
        <f t="shared" si="536"/>
        <v>0</v>
      </c>
      <c r="AJ368" s="40">
        <f t="shared" si="537"/>
        <v>0</v>
      </c>
      <c r="AK368" s="39">
        <f t="shared" si="538"/>
        <v>0</v>
      </c>
      <c r="AL368" s="38">
        <v>0</v>
      </c>
      <c r="AM368" s="38">
        <v>1</v>
      </c>
      <c r="AN368" s="38">
        <v>0</v>
      </c>
      <c r="AO368" s="38">
        <v>0</v>
      </c>
      <c r="AP368" s="38">
        <v>0</v>
      </c>
      <c r="AQ368" s="39">
        <v>0</v>
      </c>
      <c r="AR368" s="40">
        <v>2</v>
      </c>
      <c r="AS368" s="40">
        <v>0</v>
      </c>
      <c r="AT368" s="40">
        <v>0</v>
      </c>
      <c r="AU368" s="40">
        <v>0</v>
      </c>
      <c r="AV368" s="40">
        <v>0</v>
      </c>
      <c r="AW368" s="40">
        <v>0</v>
      </c>
      <c r="AX368" s="40">
        <v>0</v>
      </c>
      <c r="AY368" s="40">
        <v>0</v>
      </c>
      <c r="AZ368" s="40">
        <v>0</v>
      </c>
      <c r="BA368" s="40">
        <v>0</v>
      </c>
      <c r="BB368" s="40">
        <v>0</v>
      </c>
      <c r="BC368" s="39">
        <v>0</v>
      </c>
      <c r="BD368" s="40">
        <v>0</v>
      </c>
      <c r="BE368" s="40">
        <v>0</v>
      </c>
      <c r="BF368" s="40">
        <v>0</v>
      </c>
      <c r="BG368" s="40">
        <f>VLOOKUP(E368,'[1]Offline Offtake'!$G$522:$FL$619,161,0)</f>
        <v>0</v>
      </c>
      <c r="BH368" s="40">
        <v>0</v>
      </c>
      <c r="BI368" s="40">
        <v>0</v>
      </c>
      <c r="BJ368" s="40">
        <v>0</v>
      </c>
      <c r="BK368" s="40">
        <v>0</v>
      </c>
      <c r="BL368" s="40">
        <v>0</v>
      </c>
      <c r="BM368" s="40">
        <v>0</v>
      </c>
      <c r="BN368" s="40"/>
      <c r="BO368" s="39"/>
      <c r="BP368" s="21">
        <v>0</v>
      </c>
      <c r="BQ368" s="21">
        <v>0</v>
      </c>
      <c r="BR368" s="21">
        <v>0</v>
      </c>
      <c r="BS368" s="21">
        <v>0</v>
      </c>
      <c r="BT368" s="21">
        <v>0</v>
      </c>
      <c r="BU368" s="42">
        <v>0</v>
      </c>
      <c r="BV368" s="21">
        <v>0</v>
      </c>
      <c r="BW368" s="21">
        <v>0</v>
      </c>
      <c r="BX368" s="21">
        <v>0</v>
      </c>
      <c r="BY368" s="21">
        <v>0</v>
      </c>
      <c r="BZ368" s="21">
        <v>0</v>
      </c>
      <c r="CA368" s="21">
        <v>0</v>
      </c>
      <c r="CB368" s="21">
        <v>0</v>
      </c>
      <c r="CC368" s="21">
        <v>0</v>
      </c>
      <c r="CD368" s="21">
        <v>0</v>
      </c>
      <c r="CE368" s="21">
        <v>0</v>
      </c>
      <c r="CF368" s="21">
        <v>0</v>
      </c>
      <c r="CG368" s="42">
        <v>0</v>
      </c>
      <c r="CH368" s="21">
        <v>0</v>
      </c>
      <c r="CI368" s="21">
        <v>0</v>
      </c>
      <c r="CJ368" s="21">
        <v>0</v>
      </c>
      <c r="CK368" s="21">
        <v>0</v>
      </c>
      <c r="CL368" s="21">
        <v>0</v>
      </c>
      <c r="CM368" s="21">
        <v>0</v>
      </c>
      <c r="CN368" s="21">
        <v>0</v>
      </c>
      <c r="CO368" s="21">
        <v>0</v>
      </c>
      <c r="CP368" s="21">
        <f t="shared" si="593"/>
        <v>0</v>
      </c>
      <c r="CQ368" s="343">
        <f t="shared" si="594"/>
        <v>0</v>
      </c>
      <c r="CR368" s="40"/>
      <c r="CS368" s="39"/>
      <c r="CT368" s="38">
        <f t="shared" si="595"/>
        <v>0</v>
      </c>
      <c r="CU368" s="38">
        <f t="shared" si="596"/>
        <v>1</v>
      </c>
      <c r="CV368" s="38">
        <f t="shared" si="597"/>
        <v>0</v>
      </c>
      <c r="CW368" s="38">
        <f t="shared" si="598"/>
        <v>0</v>
      </c>
      <c r="CX368" s="38">
        <f t="shared" si="599"/>
        <v>0</v>
      </c>
      <c r="CY368" s="39">
        <f t="shared" si="600"/>
        <v>0</v>
      </c>
      <c r="CZ368" s="40">
        <f t="shared" si="601"/>
        <v>2</v>
      </c>
      <c r="DA368" s="40">
        <f t="shared" si="602"/>
        <v>0</v>
      </c>
      <c r="DB368" s="40">
        <f t="shared" si="603"/>
        <v>0</v>
      </c>
      <c r="DC368" s="40">
        <f t="shared" si="604"/>
        <v>0</v>
      </c>
      <c r="DD368" s="40">
        <f t="shared" si="605"/>
        <v>0</v>
      </c>
      <c r="DE368" s="40">
        <f t="shared" si="606"/>
        <v>0</v>
      </c>
      <c r="DF368" s="40">
        <f t="shared" si="607"/>
        <v>0</v>
      </c>
      <c r="DG368" s="40">
        <f t="shared" si="608"/>
        <v>0</v>
      </c>
      <c r="DH368" s="40">
        <f t="shared" si="609"/>
        <v>0</v>
      </c>
      <c r="DI368" s="40">
        <f t="shared" si="610"/>
        <v>0</v>
      </c>
      <c r="DJ368" s="40">
        <f t="shared" si="611"/>
        <v>0</v>
      </c>
      <c r="DK368" s="39">
        <f t="shared" si="612"/>
        <v>0</v>
      </c>
      <c r="DL368" s="40">
        <f t="shared" si="613"/>
        <v>0</v>
      </c>
      <c r="DM368" s="40">
        <f t="shared" si="614"/>
        <v>0</v>
      </c>
      <c r="DN368" s="40">
        <f t="shared" si="615"/>
        <v>0</v>
      </c>
      <c r="DO368" s="40">
        <f t="shared" si="616"/>
        <v>0</v>
      </c>
      <c r="DP368" s="40">
        <f t="shared" si="617"/>
        <v>0</v>
      </c>
      <c r="DQ368" s="40">
        <f t="shared" si="618"/>
        <v>0</v>
      </c>
      <c r="DR368" s="40">
        <f t="shared" si="623"/>
        <v>0</v>
      </c>
      <c r="DS368" s="40">
        <f t="shared" si="624"/>
        <v>0</v>
      </c>
      <c r="DT368" s="40">
        <f t="shared" si="619"/>
        <v>0</v>
      </c>
      <c r="DU368" s="40">
        <f t="shared" si="620"/>
        <v>0</v>
      </c>
      <c r="DV368" s="40">
        <f t="shared" si="621"/>
        <v>0</v>
      </c>
      <c r="DW368" s="40">
        <f t="shared" si="622"/>
        <v>0</v>
      </c>
    </row>
    <row r="369" spans="1:127">
      <c r="A369" s="22" t="s">
        <v>33</v>
      </c>
      <c r="B369" s="26">
        <v>4987176146540</v>
      </c>
      <c r="C369" s="22" t="s">
        <v>34</v>
      </c>
      <c r="D369" s="22" t="s">
        <v>35</v>
      </c>
      <c r="E369" s="22">
        <v>203365</v>
      </c>
      <c r="F369" s="80" t="s">
        <v>457</v>
      </c>
      <c r="G369" s="25">
        <v>208.9</v>
      </c>
      <c r="H369" s="38">
        <f t="shared" si="567"/>
        <v>74159.5</v>
      </c>
      <c r="I369" s="38">
        <f t="shared" si="568"/>
        <v>113850.5</v>
      </c>
      <c r="J369" s="38">
        <f t="shared" si="569"/>
        <v>91498.2</v>
      </c>
      <c r="K369" s="38">
        <f t="shared" si="570"/>
        <v>84604.5</v>
      </c>
      <c r="L369" s="38">
        <f t="shared" si="571"/>
        <v>90871.5</v>
      </c>
      <c r="M369" s="39">
        <f t="shared" si="572"/>
        <v>125548.90000000001</v>
      </c>
      <c r="N369" s="40">
        <f t="shared" si="573"/>
        <v>86484.6</v>
      </c>
      <c r="O369" s="40">
        <f t="shared" si="574"/>
        <v>111761.5</v>
      </c>
      <c r="P369" s="40">
        <f t="shared" si="575"/>
        <v>130771.40000000001</v>
      </c>
      <c r="Q369" s="40">
        <f t="shared" si="576"/>
        <v>112388.2</v>
      </c>
      <c r="R369" s="40">
        <f t="shared" si="577"/>
        <v>282850.60000000003</v>
      </c>
      <c r="S369" s="40">
        <f t="shared" si="578"/>
        <v>112388.2</v>
      </c>
      <c r="T369" s="40">
        <f t="shared" si="579"/>
        <v>33006.200000000004</v>
      </c>
      <c r="U369" s="40">
        <f t="shared" si="580"/>
        <v>14414.1</v>
      </c>
      <c r="V369" s="40">
        <f t="shared" si="581"/>
        <v>5222.5</v>
      </c>
      <c r="W369" s="40">
        <f t="shared" si="582"/>
        <v>2715.7000000000003</v>
      </c>
      <c r="X369" s="40">
        <f t="shared" si="583"/>
        <v>0</v>
      </c>
      <c r="Y369" s="39">
        <f t="shared" si="584"/>
        <v>0</v>
      </c>
      <c r="Z369" s="40">
        <f t="shared" si="585"/>
        <v>0</v>
      </c>
      <c r="AA369" s="40">
        <f t="shared" si="586"/>
        <v>0</v>
      </c>
      <c r="AB369" s="40">
        <f t="shared" si="587"/>
        <v>417.8</v>
      </c>
      <c r="AC369" s="40">
        <f t="shared" si="588"/>
        <v>0</v>
      </c>
      <c r="AD369" s="40">
        <f t="shared" si="589"/>
        <v>0</v>
      </c>
      <c r="AE369" s="40">
        <f t="shared" si="590"/>
        <v>0</v>
      </c>
      <c r="AF369" s="40">
        <f t="shared" si="591"/>
        <v>0</v>
      </c>
      <c r="AG369" s="40">
        <f t="shared" si="592"/>
        <v>0</v>
      </c>
      <c r="AH369" s="40">
        <f t="shared" si="535"/>
        <v>0</v>
      </c>
      <c r="AI369" s="40">
        <f t="shared" si="536"/>
        <v>0</v>
      </c>
      <c r="AJ369" s="40">
        <f t="shared" si="537"/>
        <v>0</v>
      </c>
      <c r="AK369" s="39">
        <f t="shared" si="538"/>
        <v>0</v>
      </c>
      <c r="AL369" s="38">
        <v>296</v>
      </c>
      <c r="AM369" s="38">
        <v>483</v>
      </c>
      <c r="AN369" s="38">
        <v>330</v>
      </c>
      <c r="AO369" s="38">
        <v>359</v>
      </c>
      <c r="AP369" s="38">
        <v>357</v>
      </c>
      <c r="AQ369" s="39">
        <v>347</v>
      </c>
      <c r="AR369" s="40">
        <v>357</v>
      </c>
      <c r="AS369" s="40">
        <v>481</v>
      </c>
      <c r="AT369" s="40">
        <v>468</v>
      </c>
      <c r="AU369" s="40">
        <v>470</v>
      </c>
      <c r="AV369" s="40">
        <v>715</v>
      </c>
      <c r="AW369" s="40">
        <v>538</v>
      </c>
      <c r="AX369" s="40">
        <v>158</v>
      </c>
      <c r="AY369" s="40">
        <v>45</v>
      </c>
      <c r="AZ369" s="40">
        <v>25</v>
      </c>
      <c r="BA369" s="40">
        <v>13</v>
      </c>
      <c r="BB369" s="40">
        <v>0</v>
      </c>
      <c r="BC369" s="39">
        <v>0</v>
      </c>
      <c r="BD369" s="40">
        <v>0</v>
      </c>
      <c r="BE369" s="40">
        <v>0</v>
      </c>
      <c r="BF369" s="40">
        <v>2</v>
      </c>
      <c r="BG369" s="40">
        <f>VLOOKUP(E369,'[1]Offline Offtake'!$G$522:$FL$619,161,0)</f>
        <v>0</v>
      </c>
      <c r="BH369" s="40">
        <v>0</v>
      </c>
      <c r="BI369" s="40">
        <v>0</v>
      </c>
      <c r="BJ369" s="40">
        <v>0</v>
      </c>
      <c r="BK369" s="40">
        <v>0</v>
      </c>
      <c r="BL369" s="40">
        <v>0</v>
      </c>
      <c r="BM369" s="40">
        <v>0</v>
      </c>
      <c r="BN369" s="40"/>
      <c r="BO369" s="39"/>
      <c r="BP369" s="21">
        <v>59</v>
      </c>
      <c r="BQ369" s="21">
        <v>62</v>
      </c>
      <c r="BR369" s="21">
        <v>108</v>
      </c>
      <c r="BS369" s="21">
        <v>46</v>
      </c>
      <c r="BT369" s="21">
        <v>78</v>
      </c>
      <c r="BU369" s="42">
        <v>254</v>
      </c>
      <c r="BV369" s="21">
        <v>57</v>
      </c>
      <c r="BW369" s="21">
        <v>54</v>
      </c>
      <c r="BX369" s="21">
        <v>158</v>
      </c>
      <c r="BY369" s="21">
        <v>68</v>
      </c>
      <c r="BZ369" s="21">
        <v>639</v>
      </c>
      <c r="CA369" s="21">
        <v>0</v>
      </c>
      <c r="CB369" s="21">
        <v>0</v>
      </c>
      <c r="CC369" s="21">
        <v>24</v>
      </c>
      <c r="CD369" s="21">
        <v>0</v>
      </c>
      <c r="CE369" s="21">
        <v>0</v>
      </c>
      <c r="CF369" s="21">
        <v>0</v>
      </c>
      <c r="CG369" s="42">
        <v>0</v>
      </c>
      <c r="CH369" s="21">
        <v>0</v>
      </c>
      <c r="CI369" s="21">
        <v>0</v>
      </c>
      <c r="CJ369" s="21">
        <v>0</v>
      </c>
      <c r="CK369" s="21">
        <v>0</v>
      </c>
      <c r="CL369" s="21">
        <v>0</v>
      </c>
      <c r="CM369" s="21">
        <v>0</v>
      </c>
      <c r="CN369" s="21">
        <v>0</v>
      </c>
      <c r="CO369" s="21">
        <v>0</v>
      </c>
      <c r="CP369" s="21">
        <f t="shared" si="593"/>
        <v>0</v>
      </c>
      <c r="CQ369" s="343">
        <f t="shared" si="594"/>
        <v>0</v>
      </c>
      <c r="CR369" s="40"/>
      <c r="CS369" s="39"/>
      <c r="CT369" s="38">
        <f t="shared" si="595"/>
        <v>355</v>
      </c>
      <c r="CU369" s="38">
        <f t="shared" si="596"/>
        <v>545</v>
      </c>
      <c r="CV369" s="38">
        <f t="shared" si="597"/>
        <v>438</v>
      </c>
      <c r="CW369" s="38">
        <f t="shared" si="598"/>
        <v>405</v>
      </c>
      <c r="CX369" s="38">
        <f t="shared" si="599"/>
        <v>435</v>
      </c>
      <c r="CY369" s="39">
        <f t="shared" si="600"/>
        <v>601</v>
      </c>
      <c r="CZ369" s="40">
        <f t="shared" si="601"/>
        <v>414</v>
      </c>
      <c r="DA369" s="40">
        <f t="shared" si="602"/>
        <v>535</v>
      </c>
      <c r="DB369" s="40">
        <f t="shared" si="603"/>
        <v>626</v>
      </c>
      <c r="DC369" s="40">
        <f t="shared" si="604"/>
        <v>538</v>
      </c>
      <c r="DD369" s="40">
        <f t="shared" si="605"/>
        <v>1354</v>
      </c>
      <c r="DE369" s="40">
        <f t="shared" si="606"/>
        <v>538</v>
      </c>
      <c r="DF369" s="40">
        <f t="shared" si="607"/>
        <v>158</v>
      </c>
      <c r="DG369" s="40">
        <f t="shared" si="608"/>
        <v>69</v>
      </c>
      <c r="DH369" s="40">
        <f t="shared" si="609"/>
        <v>25</v>
      </c>
      <c r="DI369" s="40">
        <f t="shared" si="610"/>
        <v>13</v>
      </c>
      <c r="DJ369" s="40">
        <f t="shared" si="611"/>
        <v>0</v>
      </c>
      <c r="DK369" s="39">
        <f t="shared" si="612"/>
        <v>0</v>
      </c>
      <c r="DL369" s="40">
        <f t="shared" si="613"/>
        <v>0</v>
      </c>
      <c r="DM369" s="40">
        <f t="shared" si="614"/>
        <v>0</v>
      </c>
      <c r="DN369" s="40">
        <f t="shared" si="615"/>
        <v>2</v>
      </c>
      <c r="DO369" s="40">
        <f t="shared" si="616"/>
        <v>0</v>
      </c>
      <c r="DP369" s="40">
        <f t="shared" si="617"/>
        <v>0</v>
      </c>
      <c r="DQ369" s="40">
        <f t="shared" si="618"/>
        <v>0</v>
      </c>
      <c r="DR369" s="40">
        <f t="shared" si="623"/>
        <v>0</v>
      </c>
      <c r="DS369" s="40">
        <f t="shared" si="624"/>
        <v>0</v>
      </c>
      <c r="DT369" s="40">
        <f t="shared" si="619"/>
        <v>0</v>
      </c>
      <c r="DU369" s="40">
        <f t="shared" si="620"/>
        <v>0</v>
      </c>
      <c r="DV369" s="40">
        <f t="shared" si="621"/>
        <v>0</v>
      </c>
      <c r="DW369" s="40">
        <f t="shared" si="622"/>
        <v>0</v>
      </c>
    </row>
    <row r="370" spans="1:127">
      <c r="A370" s="22" t="s">
        <v>33</v>
      </c>
      <c r="B370" s="26">
        <v>4987176175427</v>
      </c>
      <c r="C370" s="22" t="s">
        <v>34</v>
      </c>
      <c r="D370" s="22" t="s">
        <v>35</v>
      </c>
      <c r="E370" s="22">
        <v>203308</v>
      </c>
      <c r="F370" s="80" t="s">
        <v>458</v>
      </c>
      <c r="G370" s="25">
        <v>208.9</v>
      </c>
      <c r="H370" s="38">
        <f t="shared" si="567"/>
        <v>92751.6</v>
      </c>
      <c r="I370" s="38">
        <f t="shared" si="568"/>
        <v>116566.2</v>
      </c>
      <c r="J370" s="38">
        <f t="shared" si="569"/>
        <v>100689.8</v>
      </c>
      <c r="K370" s="38">
        <f t="shared" si="570"/>
        <v>98809.7</v>
      </c>
      <c r="L370" s="38">
        <f t="shared" si="571"/>
        <v>85649</v>
      </c>
      <c r="M370" s="39">
        <f t="shared" si="572"/>
        <v>119908.6</v>
      </c>
      <c r="N370" s="40">
        <f t="shared" si="573"/>
        <v>85857.900000000009</v>
      </c>
      <c r="O370" s="40">
        <f t="shared" si="574"/>
        <v>134113.80000000002</v>
      </c>
      <c r="P370" s="40">
        <f t="shared" si="575"/>
        <v>152497</v>
      </c>
      <c r="Q370" s="40">
        <f t="shared" si="576"/>
        <v>147065.60000000001</v>
      </c>
      <c r="R370" s="40">
        <f t="shared" si="577"/>
        <v>414457.60000000003</v>
      </c>
      <c r="S370" s="40">
        <f t="shared" si="578"/>
        <v>114477.2</v>
      </c>
      <c r="T370" s="40">
        <f t="shared" si="579"/>
        <v>22352.3</v>
      </c>
      <c r="U370" s="40">
        <f t="shared" si="580"/>
        <v>5640.3</v>
      </c>
      <c r="V370" s="40">
        <f t="shared" si="581"/>
        <v>626.70000000000005</v>
      </c>
      <c r="W370" s="40">
        <f t="shared" si="582"/>
        <v>0</v>
      </c>
      <c r="X370" s="40">
        <f t="shared" si="583"/>
        <v>208.9</v>
      </c>
      <c r="Y370" s="39">
        <f t="shared" si="584"/>
        <v>208.9</v>
      </c>
      <c r="Z370" s="40">
        <f t="shared" si="585"/>
        <v>0</v>
      </c>
      <c r="AA370" s="40">
        <f t="shared" si="586"/>
        <v>0</v>
      </c>
      <c r="AB370" s="40">
        <f t="shared" si="587"/>
        <v>0</v>
      </c>
      <c r="AC370" s="40">
        <f t="shared" si="588"/>
        <v>0</v>
      </c>
      <c r="AD370" s="40">
        <f t="shared" si="589"/>
        <v>0</v>
      </c>
      <c r="AE370" s="40">
        <f t="shared" si="590"/>
        <v>0</v>
      </c>
      <c r="AF370" s="40">
        <f t="shared" si="591"/>
        <v>0</v>
      </c>
      <c r="AG370" s="40">
        <f t="shared" si="592"/>
        <v>0</v>
      </c>
      <c r="AH370" s="40">
        <f t="shared" si="535"/>
        <v>0</v>
      </c>
      <c r="AI370" s="40">
        <f t="shared" si="536"/>
        <v>0</v>
      </c>
      <c r="AJ370" s="40">
        <f t="shared" si="537"/>
        <v>0</v>
      </c>
      <c r="AK370" s="39">
        <f t="shared" si="538"/>
        <v>0</v>
      </c>
      <c r="AL370" s="38">
        <v>342</v>
      </c>
      <c r="AM370" s="38">
        <v>503</v>
      </c>
      <c r="AN370" s="38">
        <v>355</v>
      </c>
      <c r="AO370" s="38">
        <v>373</v>
      </c>
      <c r="AP370" s="38">
        <v>353</v>
      </c>
      <c r="AQ370" s="39">
        <v>398</v>
      </c>
      <c r="AR370" s="40">
        <v>345</v>
      </c>
      <c r="AS370" s="40">
        <v>560</v>
      </c>
      <c r="AT370" s="40">
        <v>575</v>
      </c>
      <c r="AU370" s="40">
        <v>554</v>
      </c>
      <c r="AV370" s="40">
        <v>807</v>
      </c>
      <c r="AW370" s="40">
        <v>548</v>
      </c>
      <c r="AX370" s="40">
        <v>107</v>
      </c>
      <c r="AY370" s="40">
        <v>27</v>
      </c>
      <c r="AZ370" s="40">
        <v>3</v>
      </c>
      <c r="BA370" s="40">
        <v>0</v>
      </c>
      <c r="BB370" s="40">
        <v>1</v>
      </c>
      <c r="BC370" s="39">
        <v>1</v>
      </c>
      <c r="BD370" s="40">
        <v>0</v>
      </c>
      <c r="BE370" s="40">
        <v>0</v>
      </c>
      <c r="BF370" s="40">
        <v>0</v>
      </c>
      <c r="BG370" s="40">
        <f>VLOOKUP(E370,'[1]Offline Offtake'!$G$522:$FL$619,161,0)</f>
        <v>0</v>
      </c>
      <c r="BH370" s="40">
        <v>0</v>
      </c>
      <c r="BI370" s="40">
        <v>0</v>
      </c>
      <c r="BJ370" s="40">
        <v>0</v>
      </c>
      <c r="BK370" s="40">
        <v>0</v>
      </c>
      <c r="BL370" s="40">
        <v>0</v>
      </c>
      <c r="BM370" s="40">
        <v>0</v>
      </c>
      <c r="BN370" s="40"/>
      <c r="BO370" s="39"/>
      <c r="BP370" s="21">
        <v>102</v>
      </c>
      <c r="BQ370" s="21">
        <v>55</v>
      </c>
      <c r="BR370" s="21">
        <v>127</v>
      </c>
      <c r="BS370" s="21">
        <v>100</v>
      </c>
      <c r="BT370" s="21">
        <v>57</v>
      </c>
      <c r="BU370" s="42">
        <v>176</v>
      </c>
      <c r="BV370" s="21">
        <v>66</v>
      </c>
      <c r="BW370" s="21">
        <v>82</v>
      </c>
      <c r="BX370" s="21">
        <v>155</v>
      </c>
      <c r="BY370" s="21">
        <v>150</v>
      </c>
      <c r="BZ370" s="21">
        <v>1177</v>
      </c>
      <c r="CA370" s="21">
        <v>0</v>
      </c>
      <c r="CB370" s="21">
        <v>0</v>
      </c>
      <c r="CC370" s="21">
        <v>0</v>
      </c>
      <c r="CD370" s="21">
        <v>0</v>
      </c>
      <c r="CE370" s="21">
        <v>0</v>
      </c>
      <c r="CF370" s="21">
        <v>0</v>
      </c>
      <c r="CG370" s="42">
        <v>0</v>
      </c>
      <c r="CH370" s="21">
        <v>0</v>
      </c>
      <c r="CI370" s="21">
        <v>0</v>
      </c>
      <c r="CJ370" s="21">
        <v>0</v>
      </c>
      <c r="CK370" s="21">
        <v>0</v>
      </c>
      <c r="CL370" s="21">
        <v>0</v>
      </c>
      <c r="CM370" s="21">
        <v>0</v>
      </c>
      <c r="CN370" s="21">
        <v>0</v>
      </c>
      <c r="CO370" s="21">
        <v>0</v>
      </c>
      <c r="CP370" s="21">
        <f t="shared" si="593"/>
        <v>0</v>
      </c>
      <c r="CQ370" s="343">
        <f t="shared" si="594"/>
        <v>0</v>
      </c>
      <c r="CR370" s="40"/>
      <c r="CS370" s="39"/>
      <c r="CT370" s="38">
        <f t="shared" si="595"/>
        <v>444</v>
      </c>
      <c r="CU370" s="38">
        <f t="shared" si="596"/>
        <v>558</v>
      </c>
      <c r="CV370" s="38">
        <f t="shared" si="597"/>
        <v>482</v>
      </c>
      <c r="CW370" s="38">
        <f t="shared" si="598"/>
        <v>473</v>
      </c>
      <c r="CX370" s="38">
        <f t="shared" si="599"/>
        <v>410</v>
      </c>
      <c r="CY370" s="39">
        <f t="shared" si="600"/>
        <v>574</v>
      </c>
      <c r="CZ370" s="40">
        <f t="shared" si="601"/>
        <v>411</v>
      </c>
      <c r="DA370" s="40">
        <f t="shared" si="602"/>
        <v>642</v>
      </c>
      <c r="DB370" s="40">
        <f t="shared" si="603"/>
        <v>730</v>
      </c>
      <c r="DC370" s="40">
        <f t="shared" si="604"/>
        <v>704</v>
      </c>
      <c r="DD370" s="40">
        <f t="shared" si="605"/>
        <v>1984</v>
      </c>
      <c r="DE370" s="40">
        <f t="shared" si="606"/>
        <v>548</v>
      </c>
      <c r="DF370" s="40">
        <f t="shared" si="607"/>
        <v>107</v>
      </c>
      <c r="DG370" s="40">
        <f t="shared" si="608"/>
        <v>27</v>
      </c>
      <c r="DH370" s="40">
        <f t="shared" si="609"/>
        <v>3</v>
      </c>
      <c r="DI370" s="40">
        <f t="shared" si="610"/>
        <v>0</v>
      </c>
      <c r="DJ370" s="40">
        <f t="shared" si="611"/>
        <v>1</v>
      </c>
      <c r="DK370" s="39">
        <f t="shared" si="612"/>
        <v>1</v>
      </c>
      <c r="DL370" s="40">
        <f t="shared" si="613"/>
        <v>0</v>
      </c>
      <c r="DM370" s="40">
        <f t="shared" si="614"/>
        <v>0</v>
      </c>
      <c r="DN370" s="40">
        <f t="shared" si="615"/>
        <v>0</v>
      </c>
      <c r="DO370" s="40">
        <f t="shared" si="616"/>
        <v>0</v>
      </c>
      <c r="DP370" s="40">
        <f t="shared" si="617"/>
        <v>0</v>
      </c>
      <c r="DQ370" s="40">
        <f t="shared" si="618"/>
        <v>0</v>
      </c>
      <c r="DR370" s="40">
        <f t="shared" si="623"/>
        <v>0</v>
      </c>
      <c r="DS370" s="40">
        <f t="shared" si="624"/>
        <v>0</v>
      </c>
      <c r="DT370" s="40">
        <f t="shared" si="619"/>
        <v>0</v>
      </c>
      <c r="DU370" s="40">
        <f t="shared" si="620"/>
        <v>0</v>
      </c>
      <c r="DV370" s="40">
        <f t="shared" si="621"/>
        <v>0</v>
      </c>
      <c r="DW370" s="40">
        <f t="shared" si="622"/>
        <v>0</v>
      </c>
    </row>
    <row r="371" spans="1:127">
      <c r="A371" s="22" t="s">
        <v>33</v>
      </c>
      <c r="B371" s="26">
        <v>4987176043047</v>
      </c>
      <c r="C371" s="22" t="s">
        <v>34</v>
      </c>
      <c r="D371" s="22" t="s">
        <v>35</v>
      </c>
      <c r="E371" s="22">
        <v>410221</v>
      </c>
      <c r="F371" s="80" t="s">
        <v>459</v>
      </c>
      <c r="G371" s="25">
        <v>171</v>
      </c>
      <c r="H371" s="38">
        <f t="shared" si="567"/>
        <v>513</v>
      </c>
      <c r="I371" s="38">
        <f t="shared" si="568"/>
        <v>0</v>
      </c>
      <c r="J371" s="38">
        <f t="shared" si="569"/>
        <v>0</v>
      </c>
      <c r="K371" s="38">
        <f t="shared" si="570"/>
        <v>171</v>
      </c>
      <c r="L371" s="38">
        <f t="shared" si="571"/>
        <v>0</v>
      </c>
      <c r="M371" s="39">
        <f t="shared" si="572"/>
        <v>0</v>
      </c>
      <c r="N371" s="40">
        <f t="shared" si="573"/>
        <v>0</v>
      </c>
      <c r="O371" s="40">
        <f t="shared" si="574"/>
        <v>0</v>
      </c>
      <c r="P371" s="40">
        <f t="shared" si="575"/>
        <v>0</v>
      </c>
      <c r="Q371" s="40">
        <f t="shared" si="576"/>
        <v>0</v>
      </c>
      <c r="R371" s="40">
        <f t="shared" si="577"/>
        <v>0</v>
      </c>
      <c r="S371" s="40">
        <f t="shared" si="578"/>
        <v>0</v>
      </c>
      <c r="T371" s="40">
        <f t="shared" si="579"/>
        <v>0</v>
      </c>
      <c r="U371" s="40">
        <f t="shared" si="580"/>
        <v>0</v>
      </c>
      <c r="V371" s="40">
        <f t="shared" si="581"/>
        <v>0</v>
      </c>
      <c r="W371" s="40">
        <f t="shared" si="582"/>
        <v>0</v>
      </c>
      <c r="X371" s="40">
        <f t="shared" si="583"/>
        <v>0</v>
      </c>
      <c r="Y371" s="39">
        <f t="shared" si="584"/>
        <v>0</v>
      </c>
      <c r="Z371" s="40">
        <f t="shared" si="585"/>
        <v>0</v>
      </c>
      <c r="AA371" s="40">
        <f t="shared" si="586"/>
        <v>0</v>
      </c>
      <c r="AB371" s="40">
        <f t="shared" si="587"/>
        <v>0</v>
      </c>
      <c r="AC371" s="40">
        <f t="shared" si="588"/>
        <v>0</v>
      </c>
      <c r="AD371" s="40">
        <f t="shared" si="589"/>
        <v>0</v>
      </c>
      <c r="AE371" s="40">
        <f t="shared" si="590"/>
        <v>0</v>
      </c>
      <c r="AF371" s="40">
        <f t="shared" si="591"/>
        <v>0</v>
      </c>
      <c r="AG371" s="40">
        <f t="shared" si="592"/>
        <v>0</v>
      </c>
      <c r="AH371" s="40">
        <f t="shared" si="535"/>
        <v>0</v>
      </c>
      <c r="AI371" s="40">
        <f t="shared" si="536"/>
        <v>0</v>
      </c>
      <c r="AJ371" s="40">
        <f t="shared" si="537"/>
        <v>0</v>
      </c>
      <c r="AK371" s="39">
        <f t="shared" si="538"/>
        <v>0</v>
      </c>
      <c r="AL371" s="38">
        <v>3</v>
      </c>
      <c r="AM371" s="38">
        <v>0</v>
      </c>
      <c r="AN371" s="38">
        <v>0</v>
      </c>
      <c r="AO371" s="38">
        <v>1</v>
      </c>
      <c r="AP371" s="38">
        <v>0</v>
      </c>
      <c r="AQ371" s="39">
        <v>0</v>
      </c>
      <c r="AR371" s="40">
        <v>0</v>
      </c>
      <c r="AS371" s="40">
        <v>0</v>
      </c>
      <c r="AT371" s="40">
        <v>0</v>
      </c>
      <c r="AU371" s="40">
        <v>0</v>
      </c>
      <c r="AV371" s="40">
        <v>0</v>
      </c>
      <c r="AW371" s="40">
        <v>0</v>
      </c>
      <c r="AX371" s="40">
        <v>0</v>
      </c>
      <c r="AY371" s="40">
        <v>0</v>
      </c>
      <c r="AZ371" s="40">
        <v>0</v>
      </c>
      <c r="BA371" s="40">
        <v>0</v>
      </c>
      <c r="BB371" s="40">
        <v>0</v>
      </c>
      <c r="BC371" s="39">
        <v>0</v>
      </c>
      <c r="BD371" s="40">
        <v>0</v>
      </c>
      <c r="BE371" s="40">
        <v>0</v>
      </c>
      <c r="BF371" s="40">
        <v>0</v>
      </c>
      <c r="BG371" s="40">
        <f>VLOOKUP(E371,'[1]Offline Offtake'!$G$522:$FL$619,161,0)</f>
        <v>0</v>
      </c>
      <c r="BH371" s="40">
        <v>0</v>
      </c>
      <c r="BI371" s="40">
        <v>0</v>
      </c>
      <c r="BJ371" s="40">
        <v>0</v>
      </c>
      <c r="BK371" s="40">
        <v>0</v>
      </c>
      <c r="BL371" s="40">
        <v>0</v>
      </c>
      <c r="BM371" s="40">
        <v>0</v>
      </c>
      <c r="BN371" s="40"/>
      <c r="BO371" s="39"/>
      <c r="BP371" s="21">
        <v>0</v>
      </c>
      <c r="BQ371" s="21">
        <v>0</v>
      </c>
      <c r="BR371" s="21">
        <v>0</v>
      </c>
      <c r="BS371" s="21">
        <v>0</v>
      </c>
      <c r="BT371" s="21">
        <v>0</v>
      </c>
      <c r="BU371" s="42">
        <v>0</v>
      </c>
      <c r="BV371" s="21">
        <v>0</v>
      </c>
      <c r="BW371" s="21">
        <v>0</v>
      </c>
      <c r="BX371" s="21">
        <v>0</v>
      </c>
      <c r="BY371" s="21">
        <v>0</v>
      </c>
      <c r="BZ371" s="21">
        <v>0</v>
      </c>
      <c r="CA371" s="21">
        <v>0</v>
      </c>
      <c r="CB371" s="21">
        <v>0</v>
      </c>
      <c r="CC371" s="21">
        <v>0</v>
      </c>
      <c r="CD371" s="21">
        <v>0</v>
      </c>
      <c r="CE371" s="21">
        <v>0</v>
      </c>
      <c r="CF371" s="21">
        <v>0</v>
      </c>
      <c r="CG371" s="42">
        <v>0</v>
      </c>
      <c r="CH371" s="21">
        <v>0</v>
      </c>
      <c r="CI371" s="21">
        <v>0</v>
      </c>
      <c r="CJ371" s="21">
        <v>0</v>
      </c>
      <c r="CK371" s="21">
        <v>0</v>
      </c>
      <c r="CL371" s="21">
        <v>0</v>
      </c>
      <c r="CM371" s="21">
        <v>0</v>
      </c>
      <c r="CN371" s="21">
        <v>0</v>
      </c>
      <c r="CO371" s="21">
        <v>0</v>
      </c>
      <c r="CP371" s="21">
        <f t="shared" si="593"/>
        <v>0</v>
      </c>
      <c r="CQ371" s="343">
        <f t="shared" si="594"/>
        <v>0</v>
      </c>
      <c r="CR371" s="40"/>
      <c r="CS371" s="39"/>
      <c r="CT371" s="38">
        <f t="shared" si="595"/>
        <v>3</v>
      </c>
      <c r="CU371" s="38">
        <f t="shared" si="596"/>
        <v>0</v>
      </c>
      <c r="CV371" s="38">
        <f t="shared" si="597"/>
        <v>0</v>
      </c>
      <c r="CW371" s="38">
        <f t="shared" si="598"/>
        <v>1</v>
      </c>
      <c r="CX371" s="38">
        <f t="shared" si="599"/>
        <v>0</v>
      </c>
      <c r="CY371" s="39">
        <f t="shared" si="600"/>
        <v>0</v>
      </c>
      <c r="CZ371" s="40">
        <f t="shared" si="601"/>
        <v>0</v>
      </c>
      <c r="DA371" s="40">
        <f t="shared" si="602"/>
        <v>0</v>
      </c>
      <c r="DB371" s="40">
        <f t="shared" si="603"/>
        <v>0</v>
      </c>
      <c r="DC371" s="40">
        <f t="shared" si="604"/>
        <v>0</v>
      </c>
      <c r="DD371" s="40">
        <f t="shared" si="605"/>
        <v>0</v>
      </c>
      <c r="DE371" s="40">
        <f t="shared" si="606"/>
        <v>0</v>
      </c>
      <c r="DF371" s="40">
        <f t="shared" si="607"/>
        <v>0</v>
      </c>
      <c r="DG371" s="40">
        <f t="shared" si="608"/>
        <v>0</v>
      </c>
      <c r="DH371" s="40">
        <f t="shared" si="609"/>
        <v>0</v>
      </c>
      <c r="DI371" s="40">
        <f t="shared" si="610"/>
        <v>0</v>
      </c>
      <c r="DJ371" s="40">
        <f t="shared" si="611"/>
        <v>0</v>
      </c>
      <c r="DK371" s="39">
        <f t="shared" si="612"/>
        <v>0</v>
      </c>
      <c r="DL371" s="40">
        <f t="shared" si="613"/>
        <v>0</v>
      </c>
      <c r="DM371" s="40">
        <f t="shared" si="614"/>
        <v>0</v>
      </c>
      <c r="DN371" s="40">
        <f t="shared" si="615"/>
        <v>0</v>
      </c>
      <c r="DO371" s="40">
        <f t="shared" si="616"/>
        <v>0</v>
      </c>
      <c r="DP371" s="40">
        <f t="shared" si="617"/>
        <v>0</v>
      </c>
      <c r="DQ371" s="40">
        <f t="shared" si="618"/>
        <v>0</v>
      </c>
      <c r="DR371" s="40">
        <f t="shared" si="623"/>
        <v>0</v>
      </c>
      <c r="DS371" s="40">
        <f t="shared" si="624"/>
        <v>0</v>
      </c>
      <c r="DT371" s="40">
        <f t="shared" si="619"/>
        <v>0</v>
      </c>
      <c r="DU371" s="40">
        <f t="shared" si="620"/>
        <v>0</v>
      </c>
      <c r="DV371" s="40">
        <f t="shared" si="621"/>
        <v>0</v>
      </c>
      <c r="DW371" s="40">
        <f t="shared" si="622"/>
        <v>0</v>
      </c>
    </row>
    <row r="372" spans="1:127">
      <c r="A372" s="22" t="s">
        <v>33</v>
      </c>
      <c r="B372" s="26">
        <v>4987176201065</v>
      </c>
      <c r="C372" s="22" t="s">
        <v>34</v>
      </c>
      <c r="D372" s="22" t="s">
        <v>35</v>
      </c>
      <c r="E372" s="22">
        <v>207082</v>
      </c>
      <c r="F372" s="80" t="s">
        <v>460</v>
      </c>
      <c r="G372" s="25">
        <v>161.1</v>
      </c>
      <c r="H372" s="38">
        <f t="shared" si="567"/>
        <v>118730.7</v>
      </c>
      <c r="I372" s="38">
        <f t="shared" si="568"/>
        <v>225862.19999999998</v>
      </c>
      <c r="J372" s="38">
        <f t="shared" si="569"/>
        <v>173988</v>
      </c>
      <c r="K372" s="38">
        <f t="shared" si="570"/>
        <v>186392.69999999998</v>
      </c>
      <c r="L372" s="38">
        <f t="shared" si="571"/>
        <v>106970.4</v>
      </c>
      <c r="M372" s="39">
        <f t="shared" si="572"/>
        <v>44624.7</v>
      </c>
      <c r="N372" s="40">
        <f t="shared" si="573"/>
        <v>31897.8</v>
      </c>
      <c r="O372" s="40">
        <f t="shared" si="574"/>
        <v>23681.7</v>
      </c>
      <c r="P372" s="40">
        <f t="shared" si="575"/>
        <v>20781.899999999998</v>
      </c>
      <c r="Q372" s="40">
        <f t="shared" si="576"/>
        <v>19009.8</v>
      </c>
      <c r="R372" s="40">
        <f t="shared" si="577"/>
        <v>6605.0999999999995</v>
      </c>
      <c r="S372" s="40">
        <f t="shared" si="578"/>
        <v>2899.7999999999997</v>
      </c>
      <c r="T372" s="40">
        <f t="shared" si="579"/>
        <v>2738.7</v>
      </c>
      <c r="U372" s="40">
        <f t="shared" si="580"/>
        <v>1127.7</v>
      </c>
      <c r="V372" s="40">
        <f t="shared" si="581"/>
        <v>161.1</v>
      </c>
      <c r="W372" s="40">
        <f t="shared" si="582"/>
        <v>483.29999999999995</v>
      </c>
      <c r="X372" s="40">
        <f t="shared" si="583"/>
        <v>0</v>
      </c>
      <c r="Y372" s="39">
        <f t="shared" si="584"/>
        <v>0</v>
      </c>
      <c r="Z372" s="40">
        <f t="shared" si="585"/>
        <v>0</v>
      </c>
      <c r="AA372" s="40">
        <f t="shared" si="586"/>
        <v>0</v>
      </c>
      <c r="AB372" s="40">
        <f t="shared" si="587"/>
        <v>0</v>
      </c>
      <c r="AC372" s="40">
        <f t="shared" si="588"/>
        <v>0</v>
      </c>
      <c r="AD372" s="40">
        <f t="shared" si="589"/>
        <v>0</v>
      </c>
      <c r="AE372" s="40">
        <f t="shared" si="590"/>
        <v>0</v>
      </c>
      <c r="AF372" s="40">
        <f t="shared" si="591"/>
        <v>0</v>
      </c>
      <c r="AG372" s="40">
        <f t="shared" si="592"/>
        <v>0</v>
      </c>
      <c r="AH372" s="40">
        <f t="shared" si="535"/>
        <v>0</v>
      </c>
      <c r="AI372" s="40">
        <f t="shared" si="536"/>
        <v>0</v>
      </c>
      <c r="AJ372" s="40">
        <f t="shared" si="537"/>
        <v>0</v>
      </c>
      <c r="AK372" s="39">
        <f t="shared" si="538"/>
        <v>0</v>
      </c>
      <c r="AL372" s="38">
        <v>656</v>
      </c>
      <c r="AM372" s="38">
        <v>1263</v>
      </c>
      <c r="AN372" s="38">
        <v>843</v>
      </c>
      <c r="AO372" s="38">
        <v>1068</v>
      </c>
      <c r="AP372" s="38">
        <v>605</v>
      </c>
      <c r="AQ372" s="39">
        <v>257</v>
      </c>
      <c r="AR372" s="40">
        <v>198</v>
      </c>
      <c r="AS372" s="40">
        <v>147</v>
      </c>
      <c r="AT372" s="40">
        <v>129</v>
      </c>
      <c r="AU372" s="40">
        <v>118</v>
      </c>
      <c r="AV372" s="40">
        <v>41</v>
      </c>
      <c r="AW372" s="40">
        <v>18</v>
      </c>
      <c r="AX372" s="40">
        <v>17</v>
      </c>
      <c r="AY372" s="40">
        <v>7</v>
      </c>
      <c r="AZ372" s="40">
        <v>1</v>
      </c>
      <c r="BA372" s="40">
        <v>3</v>
      </c>
      <c r="BB372" s="40">
        <v>0</v>
      </c>
      <c r="BC372" s="39">
        <v>0</v>
      </c>
      <c r="BD372" s="40">
        <v>0</v>
      </c>
      <c r="BE372" s="40">
        <v>0</v>
      </c>
      <c r="BF372" s="40">
        <v>0</v>
      </c>
      <c r="BG372" s="40">
        <f>VLOOKUP(E372,'[1]Offline Offtake'!$G$522:$FL$619,161,0)</f>
        <v>0</v>
      </c>
      <c r="BH372" s="40">
        <v>0</v>
      </c>
      <c r="BI372" s="40">
        <v>0</v>
      </c>
      <c r="BJ372" s="40">
        <v>0</v>
      </c>
      <c r="BK372" s="40">
        <v>0</v>
      </c>
      <c r="BL372" s="40">
        <v>0</v>
      </c>
      <c r="BM372" s="40">
        <v>0</v>
      </c>
      <c r="BN372" s="40"/>
      <c r="BO372" s="39"/>
      <c r="BP372" s="21">
        <v>81</v>
      </c>
      <c r="BQ372" s="21">
        <v>139</v>
      </c>
      <c r="BR372" s="21">
        <v>237</v>
      </c>
      <c r="BS372" s="21">
        <v>89</v>
      </c>
      <c r="BT372" s="21">
        <v>59</v>
      </c>
      <c r="BU372" s="42">
        <v>20</v>
      </c>
      <c r="BV372" s="21">
        <v>0</v>
      </c>
      <c r="BW372" s="21">
        <v>0</v>
      </c>
      <c r="BX372" s="21">
        <v>0</v>
      </c>
      <c r="BY372" s="21">
        <v>0</v>
      </c>
      <c r="BZ372" s="21">
        <v>0</v>
      </c>
      <c r="CA372" s="21">
        <v>0</v>
      </c>
      <c r="CB372" s="21">
        <v>0</v>
      </c>
      <c r="CC372" s="21">
        <v>0</v>
      </c>
      <c r="CD372" s="21">
        <v>0</v>
      </c>
      <c r="CE372" s="21">
        <v>0</v>
      </c>
      <c r="CF372" s="21">
        <v>0</v>
      </c>
      <c r="CG372" s="42">
        <v>0</v>
      </c>
      <c r="CH372" s="21">
        <v>0</v>
      </c>
      <c r="CI372" s="21">
        <v>0</v>
      </c>
      <c r="CJ372" s="21">
        <v>0</v>
      </c>
      <c r="CK372" s="21">
        <v>0</v>
      </c>
      <c r="CL372" s="21">
        <v>0</v>
      </c>
      <c r="CM372" s="21">
        <v>0</v>
      </c>
      <c r="CN372" s="21">
        <v>0</v>
      </c>
      <c r="CO372" s="21">
        <v>0</v>
      </c>
      <c r="CP372" s="21">
        <f t="shared" si="593"/>
        <v>0</v>
      </c>
      <c r="CQ372" s="343">
        <f t="shared" si="594"/>
        <v>0</v>
      </c>
      <c r="CR372" s="40"/>
      <c r="CS372" s="39"/>
      <c r="CT372" s="38">
        <f t="shared" si="595"/>
        <v>737</v>
      </c>
      <c r="CU372" s="38">
        <f t="shared" si="596"/>
        <v>1402</v>
      </c>
      <c r="CV372" s="38">
        <f t="shared" si="597"/>
        <v>1080</v>
      </c>
      <c r="CW372" s="38">
        <f t="shared" si="598"/>
        <v>1157</v>
      </c>
      <c r="CX372" s="38">
        <f t="shared" si="599"/>
        <v>664</v>
      </c>
      <c r="CY372" s="39">
        <f t="shared" si="600"/>
        <v>277</v>
      </c>
      <c r="CZ372" s="40">
        <f t="shared" si="601"/>
        <v>198</v>
      </c>
      <c r="DA372" s="40">
        <f t="shared" si="602"/>
        <v>147</v>
      </c>
      <c r="DB372" s="40">
        <f t="shared" si="603"/>
        <v>129</v>
      </c>
      <c r="DC372" s="40">
        <f t="shared" si="604"/>
        <v>118</v>
      </c>
      <c r="DD372" s="40">
        <f t="shared" si="605"/>
        <v>41</v>
      </c>
      <c r="DE372" s="40">
        <f t="shared" si="606"/>
        <v>18</v>
      </c>
      <c r="DF372" s="40">
        <f t="shared" si="607"/>
        <v>17</v>
      </c>
      <c r="DG372" s="40">
        <f t="shared" si="608"/>
        <v>7</v>
      </c>
      <c r="DH372" s="40">
        <f t="shared" si="609"/>
        <v>1</v>
      </c>
      <c r="DI372" s="40">
        <f t="shared" si="610"/>
        <v>3</v>
      </c>
      <c r="DJ372" s="40">
        <f t="shared" si="611"/>
        <v>0</v>
      </c>
      <c r="DK372" s="39">
        <f t="shared" si="612"/>
        <v>0</v>
      </c>
      <c r="DL372" s="40">
        <f t="shared" si="613"/>
        <v>0</v>
      </c>
      <c r="DM372" s="40">
        <f t="shared" si="614"/>
        <v>0</v>
      </c>
      <c r="DN372" s="40">
        <f t="shared" si="615"/>
        <v>0</v>
      </c>
      <c r="DO372" s="40">
        <f t="shared" si="616"/>
        <v>0</v>
      </c>
      <c r="DP372" s="40">
        <f t="shared" si="617"/>
        <v>0</v>
      </c>
      <c r="DQ372" s="40">
        <f t="shared" si="618"/>
        <v>0</v>
      </c>
      <c r="DR372" s="40">
        <f t="shared" si="623"/>
        <v>0</v>
      </c>
      <c r="DS372" s="40">
        <f t="shared" si="624"/>
        <v>0</v>
      </c>
      <c r="DT372" s="40">
        <f t="shared" si="619"/>
        <v>0</v>
      </c>
      <c r="DU372" s="40">
        <f t="shared" si="620"/>
        <v>0</v>
      </c>
      <c r="DV372" s="40">
        <f t="shared" si="621"/>
        <v>0</v>
      </c>
      <c r="DW372" s="40">
        <f t="shared" si="622"/>
        <v>0</v>
      </c>
    </row>
    <row r="373" spans="1:127">
      <c r="A373" s="22" t="s">
        <v>33</v>
      </c>
      <c r="B373" s="26">
        <v>4987176201072</v>
      </c>
      <c r="C373" s="22" t="s">
        <v>34</v>
      </c>
      <c r="D373" s="22" t="s">
        <v>35</v>
      </c>
      <c r="E373" s="22">
        <v>207092</v>
      </c>
      <c r="F373" s="80" t="s">
        <v>461</v>
      </c>
      <c r="G373" s="25">
        <v>161.1</v>
      </c>
      <c r="H373" s="38">
        <f t="shared" si="567"/>
        <v>142734.6</v>
      </c>
      <c r="I373" s="38">
        <f t="shared" si="568"/>
        <v>242777.69999999998</v>
      </c>
      <c r="J373" s="38">
        <f t="shared" si="569"/>
        <v>170927.1</v>
      </c>
      <c r="K373" s="38">
        <f t="shared" si="570"/>
        <v>205402.5</v>
      </c>
      <c r="L373" s="38">
        <f t="shared" si="571"/>
        <v>119536.2</v>
      </c>
      <c r="M373" s="39">
        <f t="shared" si="572"/>
        <v>58640.4</v>
      </c>
      <c r="N373" s="40">
        <f t="shared" si="573"/>
        <v>35280.9</v>
      </c>
      <c r="O373" s="40">
        <f t="shared" si="574"/>
        <v>26098.2</v>
      </c>
      <c r="P373" s="40">
        <f t="shared" si="575"/>
        <v>16593.3</v>
      </c>
      <c r="Q373" s="40">
        <f t="shared" si="576"/>
        <v>15143.4</v>
      </c>
      <c r="R373" s="40">
        <f t="shared" si="577"/>
        <v>7249.5</v>
      </c>
      <c r="S373" s="40">
        <f t="shared" si="578"/>
        <v>2255.4</v>
      </c>
      <c r="T373" s="40">
        <f t="shared" si="579"/>
        <v>1127.7</v>
      </c>
      <c r="U373" s="40">
        <f t="shared" si="580"/>
        <v>1288.8</v>
      </c>
      <c r="V373" s="40">
        <f t="shared" si="581"/>
        <v>161.1</v>
      </c>
      <c r="W373" s="40">
        <f t="shared" si="582"/>
        <v>0</v>
      </c>
      <c r="X373" s="40">
        <f t="shared" si="583"/>
        <v>0</v>
      </c>
      <c r="Y373" s="39">
        <f t="shared" si="584"/>
        <v>0</v>
      </c>
      <c r="Z373" s="40">
        <f t="shared" si="585"/>
        <v>0</v>
      </c>
      <c r="AA373" s="40">
        <f t="shared" si="586"/>
        <v>0</v>
      </c>
      <c r="AB373" s="40">
        <f t="shared" si="587"/>
        <v>0</v>
      </c>
      <c r="AC373" s="40">
        <f t="shared" si="588"/>
        <v>0</v>
      </c>
      <c r="AD373" s="40">
        <f t="shared" si="589"/>
        <v>0</v>
      </c>
      <c r="AE373" s="40">
        <f t="shared" si="590"/>
        <v>0</v>
      </c>
      <c r="AF373" s="40">
        <f t="shared" si="591"/>
        <v>0</v>
      </c>
      <c r="AG373" s="40">
        <f t="shared" si="592"/>
        <v>0</v>
      </c>
      <c r="AH373" s="40">
        <f t="shared" si="535"/>
        <v>0</v>
      </c>
      <c r="AI373" s="40">
        <f t="shared" si="536"/>
        <v>0</v>
      </c>
      <c r="AJ373" s="40">
        <f t="shared" si="537"/>
        <v>0</v>
      </c>
      <c r="AK373" s="39">
        <f t="shared" si="538"/>
        <v>0</v>
      </c>
      <c r="AL373" s="38">
        <v>771</v>
      </c>
      <c r="AM373" s="38">
        <v>1349</v>
      </c>
      <c r="AN373" s="38">
        <v>856</v>
      </c>
      <c r="AO373" s="38">
        <v>1187</v>
      </c>
      <c r="AP373" s="38">
        <v>682</v>
      </c>
      <c r="AQ373" s="39">
        <v>320</v>
      </c>
      <c r="AR373" s="40">
        <v>219</v>
      </c>
      <c r="AS373" s="40">
        <v>162</v>
      </c>
      <c r="AT373" s="40">
        <v>103</v>
      </c>
      <c r="AU373" s="40">
        <v>94</v>
      </c>
      <c r="AV373" s="40">
        <v>45</v>
      </c>
      <c r="AW373" s="40">
        <v>14</v>
      </c>
      <c r="AX373" s="40">
        <v>7</v>
      </c>
      <c r="AY373" s="40">
        <v>8</v>
      </c>
      <c r="AZ373" s="40">
        <v>1</v>
      </c>
      <c r="BA373" s="40">
        <v>0</v>
      </c>
      <c r="BB373" s="40">
        <v>0</v>
      </c>
      <c r="BC373" s="39">
        <v>0</v>
      </c>
      <c r="BD373" s="40">
        <v>0</v>
      </c>
      <c r="BE373" s="40">
        <v>0</v>
      </c>
      <c r="BF373" s="40">
        <v>0</v>
      </c>
      <c r="BG373" s="40">
        <f>VLOOKUP(E373,'[1]Offline Offtake'!$G$522:$FL$619,161,0)</f>
        <v>0</v>
      </c>
      <c r="BH373" s="40">
        <v>0</v>
      </c>
      <c r="BI373" s="40">
        <v>0</v>
      </c>
      <c r="BJ373" s="40">
        <v>0</v>
      </c>
      <c r="BK373" s="40">
        <v>0</v>
      </c>
      <c r="BL373" s="40">
        <v>0</v>
      </c>
      <c r="BM373" s="40">
        <v>0</v>
      </c>
      <c r="BN373" s="40"/>
      <c r="BO373" s="39"/>
      <c r="BP373" s="21">
        <v>115</v>
      </c>
      <c r="BQ373" s="21">
        <v>158</v>
      </c>
      <c r="BR373" s="21">
        <v>205</v>
      </c>
      <c r="BS373" s="21">
        <v>88</v>
      </c>
      <c r="BT373" s="21">
        <v>60</v>
      </c>
      <c r="BU373" s="42">
        <v>44</v>
      </c>
      <c r="BV373" s="21">
        <v>0</v>
      </c>
      <c r="BW373" s="21">
        <v>0</v>
      </c>
      <c r="BX373" s="21">
        <v>0</v>
      </c>
      <c r="BY373" s="21">
        <v>0</v>
      </c>
      <c r="BZ373" s="21">
        <v>0</v>
      </c>
      <c r="CA373" s="21">
        <v>0</v>
      </c>
      <c r="CB373" s="21">
        <v>0</v>
      </c>
      <c r="CC373" s="21">
        <v>0</v>
      </c>
      <c r="CD373" s="21">
        <v>0</v>
      </c>
      <c r="CE373" s="21">
        <v>0</v>
      </c>
      <c r="CF373" s="21">
        <v>0</v>
      </c>
      <c r="CG373" s="42">
        <v>0</v>
      </c>
      <c r="CH373" s="21">
        <v>0</v>
      </c>
      <c r="CI373" s="21">
        <v>0</v>
      </c>
      <c r="CJ373" s="21">
        <v>0</v>
      </c>
      <c r="CK373" s="21">
        <v>0</v>
      </c>
      <c r="CL373" s="21">
        <v>0</v>
      </c>
      <c r="CM373" s="21">
        <v>0</v>
      </c>
      <c r="CN373" s="21">
        <v>0</v>
      </c>
      <c r="CO373" s="21">
        <v>0</v>
      </c>
      <c r="CP373" s="21">
        <f t="shared" si="593"/>
        <v>0</v>
      </c>
      <c r="CQ373" s="343">
        <f t="shared" si="594"/>
        <v>0</v>
      </c>
      <c r="CR373" s="40"/>
      <c r="CS373" s="39"/>
      <c r="CT373" s="38">
        <f t="shared" si="595"/>
        <v>886</v>
      </c>
      <c r="CU373" s="38">
        <f t="shared" si="596"/>
        <v>1507</v>
      </c>
      <c r="CV373" s="38">
        <f t="shared" si="597"/>
        <v>1061</v>
      </c>
      <c r="CW373" s="38">
        <f t="shared" si="598"/>
        <v>1275</v>
      </c>
      <c r="CX373" s="38">
        <f t="shared" si="599"/>
        <v>742</v>
      </c>
      <c r="CY373" s="39">
        <f t="shared" si="600"/>
        <v>364</v>
      </c>
      <c r="CZ373" s="40">
        <f t="shared" si="601"/>
        <v>219</v>
      </c>
      <c r="DA373" s="40">
        <f t="shared" si="602"/>
        <v>162</v>
      </c>
      <c r="DB373" s="40">
        <f t="shared" si="603"/>
        <v>103</v>
      </c>
      <c r="DC373" s="40">
        <f t="shared" si="604"/>
        <v>94</v>
      </c>
      <c r="DD373" s="40">
        <f t="shared" si="605"/>
        <v>45</v>
      </c>
      <c r="DE373" s="40">
        <f t="shared" si="606"/>
        <v>14</v>
      </c>
      <c r="DF373" s="40">
        <f t="shared" si="607"/>
        <v>7</v>
      </c>
      <c r="DG373" s="40">
        <f t="shared" si="608"/>
        <v>8</v>
      </c>
      <c r="DH373" s="40">
        <f t="shared" si="609"/>
        <v>1</v>
      </c>
      <c r="DI373" s="40">
        <f t="shared" si="610"/>
        <v>0</v>
      </c>
      <c r="DJ373" s="40">
        <f t="shared" si="611"/>
        <v>0</v>
      </c>
      <c r="DK373" s="39">
        <f t="shared" si="612"/>
        <v>0</v>
      </c>
      <c r="DL373" s="40">
        <f t="shared" si="613"/>
        <v>0</v>
      </c>
      <c r="DM373" s="40">
        <f t="shared" si="614"/>
        <v>0</v>
      </c>
      <c r="DN373" s="40">
        <f t="shared" si="615"/>
        <v>0</v>
      </c>
      <c r="DO373" s="40">
        <f t="shared" si="616"/>
        <v>0</v>
      </c>
      <c r="DP373" s="40">
        <f t="shared" si="617"/>
        <v>0</v>
      </c>
      <c r="DQ373" s="40">
        <f t="shared" si="618"/>
        <v>0</v>
      </c>
      <c r="DR373" s="40">
        <f t="shared" si="623"/>
        <v>0</v>
      </c>
      <c r="DS373" s="40">
        <f t="shared" si="624"/>
        <v>0</v>
      </c>
      <c r="DT373" s="40">
        <f t="shared" si="619"/>
        <v>0</v>
      </c>
      <c r="DU373" s="40">
        <f t="shared" si="620"/>
        <v>0</v>
      </c>
      <c r="DV373" s="40">
        <f t="shared" si="621"/>
        <v>0</v>
      </c>
      <c r="DW373" s="40">
        <f t="shared" si="622"/>
        <v>0</v>
      </c>
    </row>
    <row r="374" spans="1:127">
      <c r="A374" s="22" t="s">
        <v>33</v>
      </c>
      <c r="B374" s="26">
        <v>4987176198143</v>
      </c>
      <c r="C374" s="22" t="s">
        <v>34</v>
      </c>
      <c r="D374" s="22" t="s">
        <v>35</v>
      </c>
      <c r="E374" s="22">
        <v>240004</v>
      </c>
      <c r="F374" s="80" t="s">
        <v>462</v>
      </c>
      <c r="G374" s="25">
        <v>179.6</v>
      </c>
      <c r="H374" s="38">
        <f t="shared" si="567"/>
        <v>0</v>
      </c>
      <c r="I374" s="38">
        <f t="shared" si="568"/>
        <v>0</v>
      </c>
      <c r="J374" s="38">
        <f t="shared" si="569"/>
        <v>0</v>
      </c>
      <c r="K374" s="38">
        <f t="shared" si="570"/>
        <v>9878</v>
      </c>
      <c r="L374" s="38">
        <f t="shared" si="571"/>
        <v>285564</v>
      </c>
      <c r="M374" s="39">
        <f t="shared" si="572"/>
        <v>283229.2</v>
      </c>
      <c r="N374" s="40">
        <f t="shared" si="573"/>
        <v>205103.19999999998</v>
      </c>
      <c r="O374" s="40">
        <f t="shared" si="574"/>
        <v>212646.39999999999</v>
      </c>
      <c r="P374" s="40">
        <f t="shared" si="575"/>
        <v>201152</v>
      </c>
      <c r="Q374" s="40">
        <f t="shared" si="576"/>
        <v>94469.599999999991</v>
      </c>
      <c r="R374" s="40">
        <f t="shared" si="577"/>
        <v>31609.599999999999</v>
      </c>
      <c r="S374" s="40">
        <f t="shared" si="578"/>
        <v>14727.199999999999</v>
      </c>
      <c r="T374" s="40">
        <f t="shared" si="579"/>
        <v>7004.4</v>
      </c>
      <c r="U374" s="40">
        <f t="shared" si="580"/>
        <v>5208.3999999999996</v>
      </c>
      <c r="V374" s="40">
        <f t="shared" si="581"/>
        <v>1616.3999999999999</v>
      </c>
      <c r="W374" s="40">
        <f t="shared" si="582"/>
        <v>718.4</v>
      </c>
      <c r="X374" s="40">
        <f t="shared" si="583"/>
        <v>359.2</v>
      </c>
      <c r="Y374" s="39">
        <f t="shared" si="584"/>
        <v>179.6</v>
      </c>
      <c r="Z374" s="40">
        <f t="shared" si="585"/>
        <v>0</v>
      </c>
      <c r="AA374" s="40">
        <f t="shared" si="586"/>
        <v>0</v>
      </c>
      <c r="AB374" s="40">
        <f t="shared" si="587"/>
        <v>0</v>
      </c>
      <c r="AC374" s="40">
        <f t="shared" si="588"/>
        <v>0</v>
      </c>
      <c r="AD374" s="40">
        <f t="shared" si="589"/>
        <v>0</v>
      </c>
      <c r="AE374" s="40">
        <f t="shared" si="590"/>
        <v>0</v>
      </c>
      <c r="AF374" s="40">
        <f t="shared" si="591"/>
        <v>0</v>
      </c>
      <c r="AG374" s="40">
        <f t="shared" si="592"/>
        <v>0</v>
      </c>
      <c r="AH374" s="40">
        <f t="shared" si="535"/>
        <v>0</v>
      </c>
      <c r="AI374" s="40">
        <f t="shared" si="536"/>
        <v>0</v>
      </c>
      <c r="AJ374" s="40">
        <f t="shared" si="537"/>
        <v>0</v>
      </c>
      <c r="AK374" s="39">
        <f t="shared" si="538"/>
        <v>0</v>
      </c>
      <c r="AL374" s="38">
        <v>0</v>
      </c>
      <c r="AM374" s="38">
        <v>0</v>
      </c>
      <c r="AN374" s="38">
        <v>0</v>
      </c>
      <c r="AO374" s="38">
        <v>0</v>
      </c>
      <c r="AP374" s="38">
        <v>1379</v>
      </c>
      <c r="AQ374" s="39">
        <v>1015</v>
      </c>
      <c r="AR374" s="40">
        <v>814</v>
      </c>
      <c r="AS374" s="40">
        <v>928</v>
      </c>
      <c r="AT374" s="40">
        <v>721</v>
      </c>
      <c r="AU374" s="40">
        <v>410</v>
      </c>
      <c r="AV374" s="40">
        <v>175</v>
      </c>
      <c r="AW374" s="40">
        <v>82</v>
      </c>
      <c r="AX374" s="40">
        <v>39</v>
      </c>
      <c r="AY374" s="40">
        <v>29</v>
      </c>
      <c r="AZ374" s="40">
        <v>9</v>
      </c>
      <c r="BA374" s="40">
        <v>4</v>
      </c>
      <c r="BB374" s="40">
        <v>2</v>
      </c>
      <c r="BC374" s="39">
        <v>1</v>
      </c>
      <c r="BD374" s="40">
        <v>0</v>
      </c>
      <c r="BE374" s="40">
        <v>0</v>
      </c>
      <c r="BF374" s="40">
        <v>0</v>
      </c>
      <c r="BG374" s="40">
        <f>VLOOKUP(E374,'[1]Offline Offtake'!$G$522:$FL$619,161,0)</f>
        <v>0</v>
      </c>
      <c r="BH374" s="40">
        <v>0</v>
      </c>
      <c r="BI374" s="40">
        <v>0</v>
      </c>
      <c r="BJ374" s="40">
        <v>0</v>
      </c>
      <c r="BK374" s="40">
        <v>0</v>
      </c>
      <c r="BL374" s="40">
        <v>0</v>
      </c>
      <c r="BM374" s="40">
        <v>0</v>
      </c>
      <c r="BN374" s="40"/>
      <c r="BO374" s="39"/>
      <c r="BP374" s="21">
        <v>0</v>
      </c>
      <c r="BQ374" s="21">
        <v>0</v>
      </c>
      <c r="BR374" s="21">
        <v>0</v>
      </c>
      <c r="BS374" s="21">
        <v>55</v>
      </c>
      <c r="BT374" s="21">
        <v>211</v>
      </c>
      <c r="BU374" s="42">
        <v>562</v>
      </c>
      <c r="BV374" s="21">
        <v>328</v>
      </c>
      <c r="BW374" s="21">
        <v>256</v>
      </c>
      <c r="BX374" s="21">
        <v>399</v>
      </c>
      <c r="BY374" s="21">
        <v>116</v>
      </c>
      <c r="BZ374" s="21">
        <v>1</v>
      </c>
      <c r="CA374" s="21">
        <v>0</v>
      </c>
      <c r="CB374" s="21">
        <v>0</v>
      </c>
      <c r="CC374" s="21">
        <v>0</v>
      </c>
      <c r="CD374" s="21">
        <v>0</v>
      </c>
      <c r="CE374" s="21">
        <v>0</v>
      </c>
      <c r="CF374" s="21">
        <v>0</v>
      </c>
      <c r="CG374" s="42">
        <v>0</v>
      </c>
      <c r="CH374" s="21">
        <v>0</v>
      </c>
      <c r="CI374" s="21">
        <v>0</v>
      </c>
      <c r="CJ374" s="21">
        <v>0</v>
      </c>
      <c r="CK374" s="21">
        <v>0</v>
      </c>
      <c r="CL374" s="21">
        <v>0</v>
      </c>
      <c r="CM374" s="21">
        <v>0</v>
      </c>
      <c r="CN374" s="21">
        <v>0</v>
      </c>
      <c r="CO374" s="21">
        <v>0</v>
      </c>
      <c r="CP374" s="21">
        <f t="shared" si="593"/>
        <v>0</v>
      </c>
      <c r="CQ374" s="343">
        <f t="shared" si="594"/>
        <v>0</v>
      </c>
      <c r="CR374" s="40"/>
      <c r="CS374" s="39"/>
      <c r="CT374" s="38">
        <f t="shared" si="595"/>
        <v>0</v>
      </c>
      <c r="CU374" s="38">
        <f t="shared" si="596"/>
        <v>0</v>
      </c>
      <c r="CV374" s="38">
        <f t="shared" si="597"/>
        <v>0</v>
      </c>
      <c r="CW374" s="38">
        <f t="shared" si="598"/>
        <v>55</v>
      </c>
      <c r="CX374" s="38">
        <f t="shared" si="599"/>
        <v>1590</v>
      </c>
      <c r="CY374" s="39">
        <f t="shared" si="600"/>
        <v>1577</v>
      </c>
      <c r="CZ374" s="40">
        <f t="shared" si="601"/>
        <v>1142</v>
      </c>
      <c r="DA374" s="40">
        <f t="shared" si="602"/>
        <v>1184</v>
      </c>
      <c r="DB374" s="40">
        <f t="shared" si="603"/>
        <v>1120</v>
      </c>
      <c r="DC374" s="40">
        <f t="shared" si="604"/>
        <v>526</v>
      </c>
      <c r="DD374" s="40">
        <f t="shared" si="605"/>
        <v>176</v>
      </c>
      <c r="DE374" s="40">
        <f t="shared" si="606"/>
        <v>82</v>
      </c>
      <c r="DF374" s="40">
        <f t="shared" si="607"/>
        <v>39</v>
      </c>
      <c r="DG374" s="40">
        <f t="shared" si="608"/>
        <v>29</v>
      </c>
      <c r="DH374" s="40">
        <f t="shared" si="609"/>
        <v>9</v>
      </c>
      <c r="DI374" s="40">
        <f t="shared" si="610"/>
        <v>4</v>
      </c>
      <c r="DJ374" s="40">
        <f t="shared" si="611"/>
        <v>2</v>
      </c>
      <c r="DK374" s="39">
        <f t="shared" si="612"/>
        <v>1</v>
      </c>
      <c r="DL374" s="40">
        <f t="shared" si="613"/>
        <v>0</v>
      </c>
      <c r="DM374" s="40">
        <f t="shared" si="614"/>
        <v>0</v>
      </c>
      <c r="DN374" s="40">
        <f t="shared" si="615"/>
        <v>0</v>
      </c>
      <c r="DO374" s="40">
        <f t="shared" si="616"/>
        <v>0</v>
      </c>
      <c r="DP374" s="40">
        <f t="shared" si="617"/>
        <v>0</v>
      </c>
      <c r="DQ374" s="40">
        <f t="shared" si="618"/>
        <v>0</v>
      </c>
      <c r="DR374" s="40">
        <f t="shared" si="623"/>
        <v>0</v>
      </c>
      <c r="DS374" s="40">
        <f t="shared" si="624"/>
        <v>0</v>
      </c>
      <c r="DT374" s="40">
        <f t="shared" si="619"/>
        <v>0</v>
      </c>
      <c r="DU374" s="40">
        <f t="shared" si="620"/>
        <v>0</v>
      </c>
      <c r="DV374" s="40">
        <f t="shared" si="621"/>
        <v>0</v>
      </c>
      <c r="DW374" s="40">
        <f t="shared" si="622"/>
        <v>0</v>
      </c>
    </row>
    <row r="375" spans="1:127">
      <c r="A375" s="22" t="s">
        <v>33</v>
      </c>
      <c r="B375" s="26">
        <v>4987176198136</v>
      </c>
      <c r="C375" s="22" t="s">
        <v>34</v>
      </c>
      <c r="D375" s="22" t="s">
        <v>35</v>
      </c>
      <c r="E375" s="22">
        <v>240017</v>
      </c>
      <c r="F375" s="80" t="s">
        <v>463</v>
      </c>
      <c r="G375" s="25">
        <v>179.6</v>
      </c>
      <c r="H375" s="38">
        <f t="shared" si="567"/>
        <v>0</v>
      </c>
      <c r="I375" s="38">
        <f t="shared" si="568"/>
        <v>0</v>
      </c>
      <c r="J375" s="38">
        <f t="shared" si="569"/>
        <v>0</v>
      </c>
      <c r="K375" s="38">
        <f t="shared" si="570"/>
        <v>8441.1999999999989</v>
      </c>
      <c r="L375" s="38">
        <f t="shared" si="571"/>
        <v>269220.39999999997</v>
      </c>
      <c r="M375" s="39">
        <f t="shared" si="572"/>
        <v>265987.59999999998</v>
      </c>
      <c r="N375" s="40">
        <f t="shared" si="573"/>
        <v>184808.4</v>
      </c>
      <c r="O375" s="40">
        <f t="shared" si="574"/>
        <v>218214</v>
      </c>
      <c r="P375" s="40">
        <f t="shared" si="575"/>
        <v>167387.19999999998</v>
      </c>
      <c r="Q375" s="40">
        <f t="shared" si="576"/>
        <v>119972.8</v>
      </c>
      <c r="R375" s="40">
        <f t="shared" si="577"/>
        <v>26580.799999999999</v>
      </c>
      <c r="S375" s="40">
        <f t="shared" si="578"/>
        <v>11494.4</v>
      </c>
      <c r="T375" s="40">
        <f t="shared" si="579"/>
        <v>4130.8</v>
      </c>
      <c r="U375" s="40">
        <f t="shared" si="580"/>
        <v>5567.5999999999995</v>
      </c>
      <c r="V375" s="40">
        <f t="shared" si="581"/>
        <v>2514.4</v>
      </c>
      <c r="W375" s="40">
        <f t="shared" si="582"/>
        <v>1616.3999999999999</v>
      </c>
      <c r="X375" s="40">
        <f t="shared" si="583"/>
        <v>898</v>
      </c>
      <c r="Y375" s="39">
        <f t="shared" si="584"/>
        <v>0</v>
      </c>
      <c r="Z375" s="40">
        <f t="shared" si="585"/>
        <v>0</v>
      </c>
      <c r="AA375" s="40">
        <f t="shared" si="586"/>
        <v>0</v>
      </c>
      <c r="AB375" s="40">
        <f t="shared" si="587"/>
        <v>0</v>
      </c>
      <c r="AC375" s="40">
        <f t="shared" si="588"/>
        <v>0</v>
      </c>
      <c r="AD375" s="40">
        <f t="shared" si="589"/>
        <v>0</v>
      </c>
      <c r="AE375" s="40">
        <f t="shared" si="590"/>
        <v>359.2</v>
      </c>
      <c r="AF375" s="40">
        <f t="shared" si="591"/>
        <v>0</v>
      </c>
      <c r="AG375" s="40">
        <f t="shared" si="592"/>
        <v>0</v>
      </c>
      <c r="AH375" s="40">
        <f t="shared" si="535"/>
        <v>0</v>
      </c>
      <c r="AI375" s="40">
        <f t="shared" si="536"/>
        <v>0</v>
      </c>
      <c r="AJ375" s="40">
        <f t="shared" si="537"/>
        <v>0</v>
      </c>
      <c r="AK375" s="39">
        <f t="shared" si="538"/>
        <v>0</v>
      </c>
      <c r="AL375" s="38">
        <v>0</v>
      </c>
      <c r="AM375" s="38">
        <v>0</v>
      </c>
      <c r="AN375" s="38">
        <v>0</v>
      </c>
      <c r="AO375" s="38">
        <v>0</v>
      </c>
      <c r="AP375" s="38">
        <v>1338</v>
      </c>
      <c r="AQ375" s="39">
        <v>1021</v>
      </c>
      <c r="AR375" s="40">
        <v>840</v>
      </c>
      <c r="AS375" s="40">
        <v>920</v>
      </c>
      <c r="AT375" s="40">
        <v>684</v>
      </c>
      <c r="AU375" s="40">
        <v>442</v>
      </c>
      <c r="AV375" s="40">
        <v>147</v>
      </c>
      <c r="AW375" s="40">
        <v>64</v>
      </c>
      <c r="AX375" s="40">
        <v>23</v>
      </c>
      <c r="AY375" s="40">
        <v>31</v>
      </c>
      <c r="AZ375" s="40">
        <v>14</v>
      </c>
      <c r="BA375" s="40">
        <v>9</v>
      </c>
      <c r="BB375" s="40">
        <v>5</v>
      </c>
      <c r="BC375" s="39">
        <v>0</v>
      </c>
      <c r="BD375" s="40">
        <v>0</v>
      </c>
      <c r="BE375" s="40">
        <v>0</v>
      </c>
      <c r="BF375" s="40">
        <v>0</v>
      </c>
      <c r="BG375" s="40">
        <f>VLOOKUP(E375,'[1]Offline Offtake'!$G$522:$FL$619,161,0)</f>
        <v>0</v>
      </c>
      <c r="BH375" s="40">
        <v>0</v>
      </c>
      <c r="BI375" s="40">
        <v>2</v>
      </c>
      <c r="BJ375" s="40">
        <v>0</v>
      </c>
      <c r="BK375" s="40">
        <v>0</v>
      </c>
      <c r="BL375" s="40">
        <v>0</v>
      </c>
      <c r="BM375" s="40">
        <v>0</v>
      </c>
      <c r="BN375" s="40"/>
      <c r="BO375" s="39"/>
      <c r="BP375" s="21">
        <v>0</v>
      </c>
      <c r="BQ375" s="21">
        <v>0</v>
      </c>
      <c r="BR375" s="21">
        <v>0</v>
      </c>
      <c r="BS375" s="21">
        <v>47</v>
      </c>
      <c r="BT375" s="21">
        <v>161</v>
      </c>
      <c r="BU375" s="42">
        <v>460</v>
      </c>
      <c r="BV375" s="21">
        <v>189</v>
      </c>
      <c r="BW375" s="21">
        <v>295</v>
      </c>
      <c r="BX375" s="21">
        <v>248</v>
      </c>
      <c r="BY375" s="21">
        <v>226</v>
      </c>
      <c r="BZ375" s="21">
        <v>1</v>
      </c>
      <c r="CA375" s="21">
        <v>0</v>
      </c>
      <c r="CB375" s="21">
        <v>0</v>
      </c>
      <c r="CC375" s="21">
        <v>0</v>
      </c>
      <c r="CD375" s="21">
        <v>0</v>
      </c>
      <c r="CE375" s="21">
        <v>0</v>
      </c>
      <c r="CF375" s="21">
        <v>0</v>
      </c>
      <c r="CG375" s="42">
        <v>0</v>
      </c>
      <c r="CH375" s="21">
        <v>0</v>
      </c>
      <c r="CI375" s="21">
        <v>0</v>
      </c>
      <c r="CJ375" s="21">
        <v>0</v>
      </c>
      <c r="CK375" s="21">
        <v>0</v>
      </c>
      <c r="CL375" s="21">
        <v>0</v>
      </c>
      <c r="CM375" s="21">
        <v>0</v>
      </c>
      <c r="CN375" s="21">
        <v>0</v>
      </c>
      <c r="CO375" s="21">
        <v>0</v>
      </c>
      <c r="CP375" s="21">
        <f t="shared" si="593"/>
        <v>0</v>
      </c>
      <c r="CQ375" s="343">
        <f t="shared" si="594"/>
        <v>0</v>
      </c>
      <c r="CR375" s="40"/>
      <c r="CS375" s="39"/>
      <c r="CT375" s="38">
        <f t="shared" si="595"/>
        <v>0</v>
      </c>
      <c r="CU375" s="38">
        <f t="shared" si="596"/>
        <v>0</v>
      </c>
      <c r="CV375" s="38">
        <f t="shared" si="597"/>
        <v>0</v>
      </c>
      <c r="CW375" s="38">
        <f t="shared" si="598"/>
        <v>47</v>
      </c>
      <c r="CX375" s="38">
        <f t="shared" si="599"/>
        <v>1499</v>
      </c>
      <c r="CY375" s="39">
        <f t="shared" si="600"/>
        <v>1481</v>
      </c>
      <c r="CZ375" s="40">
        <f t="shared" si="601"/>
        <v>1029</v>
      </c>
      <c r="DA375" s="40">
        <f t="shared" si="602"/>
        <v>1215</v>
      </c>
      <c r="DB375" s="40">
        <f t="shared" si="603"/>
        <v>932</v>
      </c>
      <c r="DC375" s="40">
        <f t="shared" si="604"/>
        <v>668</v>
      </c>
      <c r="DD375" s="40">
        <f t="shared" si="605"/>
        <v>148</v>
      </c>
      <c r="DE375" s="40">
        <f t="shared" si="606"/>
        <v>64</v>
      </c>
      <c r="DF375" s="40">
        <f t="shared" si="607"/>
        <v>23</v>
      </c>
      <c r="DG375" s="40">
        <f t="shared" si="608"/>
        <v>31</v>
      </c>
      <c r="DH375" s="40">
        <f t="shared" si="609"/>
        <v>14</v>
      </c>
      <c r="DI375" s="40">
        <f t="shared" si="610"/>
        <v>9</v>
      </c>
      <c r="DJ375" s="40">
        <f t="shared" si="611"/>
        <v>5</v>
      </c>
      <c r="DK375" s="39">
        <f t="shared" si="612"/>
        <v>0</v>
      </c>
      <c r="DL375" s="40">
        <f t="shared" si="613"/>
        <v>0</v>
      </c>
      <c r="DM375" s="40">
        <f t="shared" si="614"/>
        <v>0</v>
      </c>
      <c r="DN375" s="40">
        <f t="shared" si="615"/>
        <v>0</v>
      </c>
      <c r="DO375" s="40">
        <f t="shared" si="616"/>
        <v>0</v>
      </c>
      <c r="DP375" s="40">
        <f t="shared" si="617"/>
        <v>0</v>
      </c>
      <c r="DQ375" s="40">
        <f t="shared" si="618"/>
        <v>2</v>
      </c>
      <c r="DR375" s="40">
        <f t="shared" si="623"/>
        <v>0</v>
      </c>
      <c r="DS375" s="40">
        <f t="shared" si="624"/>
        <v>0</v>
      </c>
      <c r="DT375" s="40">
        <f t="shared" si="619"/>
        <v>0</v>
      </c>
      <c r="DU375" s="40">
        <f t="shared" si="620"/>
        <v>0</v>
      </c>
      <c r="DV375" s="40">
        <f t="shared" si="621"/>
        <v>0</v>
      </c>
      <c r="DW375" s="40">
        <f t="shared" si="622"/>
        <v>0</v>
      </c>
    </row>
    <row r="376" spans="1:127">
      <c r="A376" s="22" t="s">
        <v>33</v>
      </c>
      <c r="B376" s="26">
        <v>4987176158697</v>
      </c>
      <c r="C376" s="22" t="s">
        <v>34</v>
      </c>
      <c r="D376" s="22" t="s">
        <v>35</v>
      </c>
      <c r="E376" s="22">
        <v>151542</v>
      </c>
      <c r="F376" s="80" t="s">
        <v>464</v>
      </c>
      <c r="G376" s="25">
        <v>162.19999999999999</v>
      </c>
      <c r="H376" s="38">
        <f t="shared" si="567"/>
        <v>20599.399999999998</v>
      </c>
      <c r="I376" s="38">
        <f t="shared" si="568"/>
        <v>28384.999999999996</v>
      </c>
      <c r="J376" s="38">
        <f t="shared" si="569"/>
        <v>19301.8</v>
      </c>
      <c r="K376" s="38">
        <f t="shared" si="570"/>
        <v>19788.399999999998</v>
      </c>
      <c r="L376" s="38">
        <f t="shared" si="571"/>
        <v>23519</v>
      </c>
      <c r="M376" s="39">
        <f t="shared" si="572"/>
        <v>18977.399999999998</v>
      </c>
      <c r="N376" s="40">
        <f t="shared" si="573"/>
        <v>12002.8</v>
      </c>
      <c r="O376" s="40">
        <f t="shared" si="574"/>
        <v>9407.5999999999985</v>
      </c>
      <c r="P376" s="40">
        <f t="shared" si="575"/>
        <v>6974.5999999999995</v>
      </c>
      <c r="Q376" s="40">
        <f t="shared" si="576"/>
        <v>5839.2</v>
      </c>
      <c r="R376" s="40">
        <f t="shared" si="577"/>
        <v>3892.7999999999997</v>
      </c>
      <c r="S376" s="40">
        <f t="shared" si="578"/>
        <v>324.39999999999998</v>
      </c>
      <c r="T376" s="40">
        <f t="shared" si="579"/>
        <v>486.59999999999997</v>
      </c>
      <c r="U376" s="40">
        <f t="shared" si="580"/>
        <v>811</v>
      </c>
      <c r="V376" s="40">
        <f t="shared" si="581"/>
        <v>0</v>
      </c>
      <c r="W376" s="40">
        <f t="shared" si="582"/>
        <v>0</v>
      </c>
      <c r="X376" s="40">
        <f t="shared" si="583"/>
        <v>0</v>
      </c>
      <c r="Y376" s="39">
        <f t="shared" si="584"/>
        <v>0</v>
      </c>
      <c r="Z376" s="40">
        <f t="shared" si="585"/>
        <v>0</v>
      </c>
      <c r="AA376" s="40">
        <f t="shared" si="586"/>
        <v>0</v>
      </c>
      <c r="AB376" s="40">
        <f t="shared" si="587"/>
        <v>0</v>
      </c>
      <c r="AC376" s="40">
        <f t="shared" si="588"/>
        <v>0</v>
      </c>
      <c r="AD376" s="40">
        <f t="shared" si="589"/>
        <v>0</v>
      </c>
      <c r="AE376" s="40">
        <f t="shared" si="590"/>
        <v>0</v>
      </c>
      <c r="AF376" s="40">
        <f t="shared" si="591"/>
        <v>0</v>
      </c>
      <c r="AG376" s="40">
        <f t="shared" si="592"/>
        <v>0</v>
      </c>
      <c r="AH376" s="40">
        <f t="shared" si="535"/>
        <v>0</v>
      </c>
      <c r="AI376" s="40">
        <f t="shared" si="536"/>
        <v>0</v>
      </c>
      <c r="AJ376" s="40">
        <f t="shared" si="537"/>
        <v>0</v>
      </c>
      <c r="AK376" s="39">
        <f t="shared" si="538"/>
        <v>0</v>
      </c>
      <c r="AL376" s="38">
        <v>112</v>
      </c>
      <c r="AM376" s="38">
        <v>158</v>
      </c>
      <c r="AN376" s="38">
        <v>90</v>
      </c>
      <c r="AO376" s="38">
        <v>109</v>
      </c>
      <c r="AP376" s="38">
        <v>123</v>
      </c>
      <c r="AQ376" s="39">
        <v>90</v>
      </c>
      <c r="AR376" s="40">
        <v>62</v>
      </c>
      <c r="AS376" s="40">
        <v>58</v>
      </c>
      <c r="AT376" s="40">
        <v>43</v>
      </c>
      <c r="AU376" s="40">
        <v>36</v>
      </c>
      <c r="AV376" s="40">
        <v>24</v>
      </c>
      <c r="AW376" s="40">
        <v>2</v>
      </c>
      <c r="AX376" s="40">
        <v>3</v>
      </c>
      <c r="AY376" s="40">
        <v>5</v>
      </c>
      <c r="AZ376" s="40">
        <v>0</v>
      </c>
      <c r="BA376" s="40">
        <v>0</v>
      </c>
      <c r="BB376" s="40">
        <v>0</v>
      </c>
      <c r="BC376" s="39">
        <v>0</v>
      </c>
      <c r="BD376" s="40">
        <v>0</v>
      </c>
      <c r="BE376" s="40">
        <v>0</v>
      </c>
      <c r="BF376" s="40">
        <v>0</v>
      </c>
      <c r="BG376" s="40">
        <f>VLOOKUP(E376,'[1]Offline Offtake'!$G$522:$FL$619,161,0)</f>
        <v>0</v>
      </c>
      <c r="BH376" s="40">
        <v>0</v>
      </c>
      <c r="BI376" s="40">
        <v>0</v>
      </c>
      <c r="BJ376" s="40">
        <v>0</v>
      </c>
      <c r="BK376" s="40">
        <v>0</v>
      </c>
      <c r="BL376" s="40">
        <v>0</v>
      </c>
      <c r="BM376" s="40">
        <v>0</v>
      </c>
      <c r="BN376" s="40"/>
      <c r="BO376" s="39"/>
      <c r="BP376" s="21">
        <v>15</v>
      </c>
      <c r="BQ376" s="21">
        <v>17</v>
      </c>
      <c r="BR376" s="21">
        <v>29</v>
      </c>
      <c r="BS376" s="21">
        <v>13</v>
      </c>
      <c r="BT376" s="21">
        <v>22</v>
      </c>
      <c r="BU376" s="42">
        <v>27</v>
      </c>
      <c r="BV376" s="21">
        <v>12</v>
      </c>
      <c r="BW376" s="21">
        <v>0</v>
      </c>
      <c r="BX376" s="21">
        <v>0</v>
      </c>
      <c r="BY376" s="21">
        <v>0</v>
      </c>
      <c r="BZ376" s="21">
        <v>0</v>
      </c>
      <c r="CA376" s="21">
        <v>0</v>
      </c>
      <c r="CB376" s="21">
        <v>0</v>
      </c>
      <c r="CC376" s="21">
        <v>0</v>
      </c>
      <c r="CD376" s="21">
        <v>0</v>
      </c>
      <c r="CE376" s="21">
        <v>0</v>
      </c>
      <c r="CF376" s="21">
        <v>0</v>
      </c>
      <c r="CG376" s="42">
        <v>0</v>
      </c>
      <c r="CH376" s="21">
        <v>0</v>
      </c>
      <c r="CI376" s="21">
        <v>0</v>
      </c>
      <c r="CJ376" s="21">
        <v>0</v>
      </c>
      <c r="CK376" s="21">
        <v>0</v>
      </c>
      <c r="CL376" s="21">
        <v>0</v>
      </c>
      <c r="CM376" s="21">
        <v>0</v>
      </c>
      <c r="CN376" s="21">
        <v>0</v>
      </c>
      <c r="CO376" s="21">
        <v>0</v>
      </c>
      <c r="CP376" s="21">
        <f t="shared" si="593"/>
        <v>0</v>
      </c>
      <c r="CQ376" s="343">
        <f t="shared" si="594"/>
        <v>0</v>
      </c>
      <c r="CR376" s="40"/>
      <c r="CS376" s="39"/>
      <c r="CT376" s="38">
        <f t="shared" si="595"/>
        <v>127</v>
      </c>
      <c r="CU376" s="38">
        <f t="shared" si="596"/>
        <v>175</v>
      </c>
      <c r="CV376" s="38">
        <f t="shared" si="597"/>
        <v>119</v>
      </c>
      <c r="CW376" s="38">
        <f t="shared" si="598"/>
        <v>122</v>
      </c>
      <c r="CX376" s="38">
        <f t="shared" si="599"/>
        <v>145</v>
      </c>
      <c r="CY376" s="39">
        <f t="shared" si="600"/>
        <v>117</v>
      </c>
      <c r="CZ376" s="40">
        <f t="shared" si="601"/>
        <v>74</v>
      </c>
      <c r="DA376" s="40">
        <f t="shared" si="602"/>
        <v>58</v>
      </c>
      <c r="DB376" s="40">
        <f t="shared" si="603"/>
        <v>43</v>
      </c>
      <c r="DC376" s="40">
        <f t="shared" si="604"/>
        <v>36</v>
      </c>
      <c r="DD376" s="40">
        <f t="shared" si="605"/>
        <v>24</v>
      </c>
      <c r="DE376" s="40">
        <f t="shared" si="606"/>
        <v>2</v>
      </c>
      <c r="DF376" s="40">
        <f t="shared" si="607"/>
        <v>3</v>
      </c>
      <c r="DG376" s="40">
        <f t="shared" si="608"/>
        <v>5</v>
      </c>
      <c r="DH376" s="40">
        <f t="shared" si="609"/>
        <v>0</v>
      </c>
      <c r="DI376" s="40">
        <f t="shared" si="610"/>
        <v>0</v>
      </c>
      <c r="DJ376" s="40">
        <f t="shared" si="611"/>
        <v>0</v>
      </c>
      <c r="DK376" s="39">
        <f t="shared" si="612"/>
        <v>0</v>
      </c>
      <c r="DL376" s="40">
        <f t="shared" si="613"/>
        <v>0</v>
      </c>
      <c r="DM376" s="40">
        <f t="shared" si="614"/>
        <v>0</v>
      </c>
      <c r="DN376" s="40">
        <f t="shared" si="615"/>
        <v>0</v>
      </c>
      <c r="DO376" s="40">
        <f t="shared" si="616"/>
        <v>0</v>
      </c>
      <c r="DP376" s="40">
        <f t="shared" si="617"/>
        <v>0</v>
      </c>
      <c r="DQ376" s="40">
        <f t="shared" si="618"/>
        <v>0</v>
      </c>
      <c r="DR376" s="40">
        <f t="shared" si="623"/>
        <v>0</v>
      </c>
      <c r="DS376" s="40">
        <f t="shared" si="624"/>
        <v>0</v>
      </c>
      <c r="DT376" s="40">
        <f t="shared" si="619"/>
        <v>0</v>
      </c>
      <c r="DU376" s="40">
        <f t="shared" si="620"/>
        <v>0</v>
      </c>
      <c r="DV376" s="40">
        <f t="shared" si="621"/>
        <v>0</v>
      </c>
      <c r="DW376" s="40">
        <f t="shared" si="622"/>
        <v>0</v>
      </c>
    </row>
    <row r="377" spans="1:127">
      <c r="A377" s="22" t="s">
        <v>33</v>
      </c>
      <c r="B377" s="26">
        <v>4987176158703</v>
      </c>
      <c r="C377" s="22" t="s">
        <v>34</v>
      </c>
      <c r="D377" s="22" t="s">
        <v>35</v>
      </c>
      <c r="E377" s="22">
        <v>151565</v>
      </c>
      <c r="F377" s="80" t="s">
        <v>465</v>
      </c>
      <c r="G377" s="25">
        <v>191.31666666666669</v>
      </c>
      <c r="H377" s="38">
        <f t="shared" si="567"/>
        <v>39028.600000000006</v>
      </c>
      <c r="I377" s="38">
        <f t="shared" si="568"/>
        <v>49359.700000000004</v>
      </c>
      <c r="J377" s="38">
        <f t="shared" si="569"/>
        <v>43046.250000000007</v>
      </c>
      <c r="K377" s="38">
        <f t="shared" si="570"/>
        <v>38263.333333333336</v>
      </c>
      <c r="L377" s="38">
        <f t="shared" si="571"/>
        <v>39985.183333333342</v>
      </c>
      <c r="M377" s="39">
        <f t="shared" si="572"/>
        <v>58734.216666666674</v>
      </c>
      <c r="N377" s="40">
        <f t="shared" si="573"/>
        <v>44002.833333333336</v>
      </c>
      <c r="O377" s="40">
        <f t="shared" si="574"/>
        <v>51272.866666666676</v>
      </c>
      <c r="P377" s="40">
        <f t="shared" si="575"/>
        <v>52420.76666666667</v>
      </c>
      <c r="Q377" s="40">
        <f t="shared" si="576"/>
        <v>59499.483333333344</v>
      </c>
      <c r="R377" s="40">
        <f t="shared" si="577"/>
        <v>162045.21666666667</v>
      </c>
      <c r="S377" s="40">
        <f t="shared" si="578"/>
        <v>52994.716666666674</v>
      </c>
      <c r="T377" s="40">
        <f t="shared" si="579"/>
        <v>23531.950000000004</v>
      </c>
      <c r="U377" s="40">
        <f t="shared" si="580"/>
        <v>8991.883333333335</v>
      </c>
      <c r="V377" s="40">
        <f t="shared" si="581"/>
        <v>5739.5000000000009</v>
      </c>
      <c r="W377" s="40">
        <f t="shared" si="582"/>
        <v>1913.166666666667</v>
      </c>
      <c r="X377" s="40">
        <f t="shared" si="583"/>
        <v>2487.1166666666668</v>
      </c>
      <c r="Y377" s="39">
        <f t="shared" si="584"/>
        <v>956.58333333333348</v>
      </c>
      <c r="Z377" s="40">
        <f t="shared" si="585"/>
        <v>1339.2166666666669</v>
      </c>
      <c r="AA377" s="40">
        <f t="shared" si="586"/>
        <v>1913.166666666667</v>
      </c>
      <c r="AB377" s="40">
        <f t="shared" si="587"/>
        <v>382.63333333333338</v>
      </c>
      <c r="AC377" s="40">
        <f t="shared" si="588"/>
        <v>0</v>
      </c>
      <c r="AD377" s="40">
        <f t="shared" si="589"/>
        <v>0</v>
      </c>
      <c r="AE377" s="40">
        <f t="shared" si="590"/>
        <v>0</v>
      </c>
      <c r="AF377" s="40">
        <f t="shared" si="591"/>
        <v>0</v>
      </c>
      <c r="AG377" s="40">
        <f t="shared" si="592"/>
        <v>0</v>
      </c>
      <c r="AH377" s="40">
        <f t="shared" si="535"/>
        <v>0</v>
      </c>
      <c r="AI377" s="40">
        <f t="shared" si="536"/>
        <v>0</v>
      </c>
      <c r="AJ377" s="40">
        <f t="shared" si="537"/>
        <v>0</v>
      </c>
      <c r="AK377" s="39">
        <f t="shared" si="538"/>
        <v>0</v>
      </c>
      <c r="AL377" s="38">
        <v>130</v>
      </c>
      <c r="AM377" s="38">
        <v>186</v>
      </c>
      <c r="AN377" s="38">
        <v>123</v>
      </c>
      <c r="AO377" s="38">
        <v>146</v>
      </c>
      <c r="AP377" s="38">
        <v>149</v>
      </c>
      <c r="AQ377" s="39">
        <v>147</v>
      </c>
      <c r="AR377" s="40">
        <v>136</v>
      </c>
      <c r="AS377" s="40">
        <v>174</v>
      </c>
      <c r="AT377" s="40">
        <v>171</v>
      </c>
      <c r="AU377" s="40">
        <v>155</v>
      </c>
      <c r="AV377" s="40">
        <v>263</v>
      </c>
      <c r="AW377" s="40">
        <v>277</v>
      </c>
      <c r="AX377" s="40">
        <v>123</v>
      </c>
      <c r="AY377" s="40">
        <v>47</v>
      </c>
      <c r="AZ377" s="40">
        <v>30</v>
      </c>
      <c r="BA377" s="40">
        <v>10</v>
      </c>
      <c r="BB377" s="40">
        <v>13</v>
      </c>
      <c r="BC377" s="39">
        <v>5</v>
      </c>
      <c r="BD377" s="40">
        <v>7</v>
      </c>
      <c r="BE377" s="40">
        <v>10</v>
      </c>
      <c r="BF377" s="40">
        <v>2</v>
      </c>
      <c r="BG377" s="40">
        <f>VLOOKUP(E377,'[1]Offline Offtake'!$G$522:$FL$619,161,0)</f>
        <v>0</v>
      </c>
      <c r="BH377" s="40">
        <v>0</v>
      </c>
      <c r="BI377" s="40">
        <v>0</v>
      </c>
      <c r="BJ377" s="40">
        <v>0</v>
      </c>
      <c r="BK377" s="40">
        <v>0</v>
      </c>
      <c r="BL377" s="40">
        <v>0</v>
      </c>
      <c r="BM377" s="40">
        <v>0</v>
      </c>
      <c r="BN377" s="40"/>
      <c r="BO377" s="39"/>
      <c r="BP377" s="21">
        <v>74</v>
      </c>
      <c r="BQ377" s="21">
        <v>72</v>
      </c>
      <c r="BR377" s="21">
        <v>102</v>
      </c>
      <c r="BS377" s="21">
        <v>54</v>
      </c>
      <c r="BT377" s="21">
        <v>60</v>
      </c>
      <c r="BU377" s="42">
        <v>160</v>
      </c>
      <c r="BV377" s="21">
        <v>94</v>
      </c>
      <c r="BW377" s="21">
        <v>94</v>
      </c>
      <c r="BX377" s="21">
        <v>103</v>
      </c>
      <c r="BY377" s="21">
        <v>156</v>
      </c>
      <c r="BZ377" s="21">
        <v>584</v>
      </c>
      <c r="CA377" s="21">
        <v>0</v>
      </c>
      <c r="CB377" s="21">
        <v>0</v>
      </c>
      <c r="CC377" s="21">
        <v>0</v>
      </c>
      <c r="CD377" s="21">
        <v>0</v>
      </c>
      <c r="CE377" s="21">
        <v>0</v>
      </c>
      <c r="CF377" s="21">
        <v>0</v>
      </c>
      <c r="CG377" s="42">
        <v>0</v>
      </c>
      <c r="CH377" s="21">
        <v>0</v>
      </c>
      <c r="CI377" s="21">
        <v>0</v>
      </c>
      <c r="CJ377" s="21">
        <v>0</v>
      </c>
      <c r="CK377" s="21">
        <v>0</v>
      </c>
      <c r="CL377" s="21">
        <v>0</v>
      </c>
      <c r="CM377" s="21">
        <v>0</v>
      </c>
      <c r="CN377" s="21">
        <v>0</v>
      </c>
      <c r="CO377" s="21">
        <v>0</v>
      </c>
      <c r="CP377" s="21">
        <f t="shared" si="593"/>
        <v>0</v>
      </c>
      <c r="CQ377" s="343">
        <f t="shared" si="594"/>
        <v>0</v>
      </c>
      <c r="CR377" s="40"/>
      <c r="CS377" s="39"/>
      <c r="CT377" s="38">
        <f t="shared" si="595"/>
        <v>204</v>
      </c>
      <c r="CU377" s="38">
        <f t="shared" si="596"/>
        <v>258</v>
      </c>
      <c r="CV377" s="38">
        <f t="shared" si="597"/>
        <v>225</v>
      </c>
      <c r="CW377" s="38">
        <f t="shared" si="598"/>
        <v>200</v>
      </c>
      <c r="CX377" s="38">
        <f t="shared" si="599"/>
        <v>209</v>
      </c>
      <c r="CY377" s="39">
        <f t="shared" si="600"/>
        <v>307</v>
      </c>
      <c r="CZ377" s="40">
        <f t="shared" si="601"/>
        <v>230</v>
      </c>
      <c r="DA377" s="40">
        <f t="shared" si="602"/>
        <v>268</v>
      </c>
      <c r="DB377" s="40">
        <f t="shared" si="603"/>
        <v>274</v>
      </c>
      <c r="DC377" s="40">
        <f t="shared" si="604"/>
        <v>311</v>
      </c>
      <c r="DD377" s="40">
        <f t="shared" si="605"/>
        <v>847</v>
      </c>
      <c r="DE377" s="40">
        <f t="shared" si="606"/>
        <v>277</v>
      </c>
      <c r="DF377" s="40">
        <f t="shared" si="607"/>
        <v>123</v>
      </c>
      <c r="DG377" s="40">
        <f t="shared" si="608"/>
        <v>47</v>
      </c>
      <c r="DH377" s="40">
        <f t="shared" si="609"/>
        <v>30</v>
      </c>
      <c r="DI377" s="40">
        <f t="shared" si="610"/>
        <v>10</v>
      </c>
      <c r="DJ377" s="40">
        <f t="shared" si="611"/>
        <v>13</v>
      </c>
      <c r="DK377" s="39">
        <f t="shared" si="612"/>
        <v>5</v>
      </c>
      <c r="DL377" s="40">
        <f t="shared" si="613"/>
        <v>7</v>
      </c>
      <c r="DM377" s="40">
        <f t="shared" si="614"/>
        <v>10</v>
      </c>
      <c r="DN377" s="40">
        <f t="shared" si="615"/>
        <v>2</v>
      </c>
      <c r="DO377" s="40">
        <f t="shared" si="616"/>
        <v>0</v>
      </c>
      <c r="DP377" s="40">
        <f t="shared" si="617"/>
        <v>0</v>
      </c>
      <c r="DQ377" s="40">
        <f t="shared" si="618"/>
        <v>0</v>
      </c>
      <c r="DR377" s="40">
        <f t="shared" si="623"/>
        <v>0</v>
      </c>
      <c r="DS377" s="40">
        <f t="shared" si="624"/>
        <v>0</v>
      </c>
      <c r="DT377" s="40">
        <f t="shared" si="619"/>
        <v>0</v>
      </c>
      <c r="DU377" s="40">
        <f t="shared" si="620"/>
        <v>0</v>
      </c>
      <c r="DV377" s="40">
        <f t="shared" si="621"/>
        <v>0</v>
      </c>
      <c r="DW377" s="40">
        <f t="shared" si="622"/>
        <v>0</v>
      </c>
    </row>
    <row r="378" spans="1:127">
      <c r="A378" s="22" t="s">
        <v>33</v>
      </c>
      <c r="B378" s="26">
        <v>4902430751988</v>
      </c>
      <c r="C378" s="22" t="s">
        <v>34</v>
      </c>
      <c r="D378" s="22" t="s">
        <v>35</v>
      </c>
      <c r="E378" s="22">
        <v>293619</v>
      </c>
      <c r="F378" s="80" t="s">
        <v>466</v>
      </c>
      <c r="G378" s="25">
        <v>129.66666666666666</v>
      </c>
      <c r="H378" s="38">
        <f t="shared" si="567"/>
        <v>0</v>
      </c>
      <c r="I378" s="38">
        <f t="shared" si="568"/>
        <v>0</v>
      </c>
      <c r="J378" s="38">
        <f t="shared" si="569"/>
        <v>0</v>
      </c>
      <c r="K378" s="38">
        <f t="shared" si="570"/>
        <v>0</v>
      </c>
      <c r="L378" s="38">
        <f t="shared" si="571"/>
        <v>0</v>
      </c>
      <c r="M378" s="39">
        <f t="shared" si="572"/>
        <v>0</v>
      </c>
      <c r="N378" s="40">
        <f t="shared" si="573"/>
        <v>259.33333333333331</v>
      </c>
      <c r="O378" s="40">
        <f t="shared" si="574"/>
        <v>0</v>
      </c>
      <c r="P378" s="40">
        <f t="shared" si="575"/>
        <v>0</v>
      </c>
      <c r="Q378" s="40">
        <f t="shared" si="576"/>
        <v>0</v>
      </c>
      <c r="R378" s="40">
        <f t="shared" si="577"/>
        <v>0</v>
      </c>
      <c r="S378" s="40">
        <f t="shared" si="578"/>
        <v>0</v>
      </c>
      <c r="T378" s="40">
        <f t="shared" si="579"/>
        <v>0</v>
      </c>
      <c r="U378" s="40">
        <f t="shared" si="580"/>
        <v>0</v>
      </c>
      <c r="V378" s="40">
        <f t="shared" si="581"/>
        <v>0</v>
      </c>
      <c r="W378" s="40">
        <f t="shared" si="582"/>
        <v>0</v>
      </c>
      <c r="X378" s="40">
        <f t="shared" si="583"/>
        <v>0</v>
      </c>
      <c r="Y378" s="39">
        <f t="shared" si="584"/>
        <v>0</v>
      </c>
      <c r="Z378" s="40">
        <f t="shared" si="585"/>
        <v>0</v>
      </c>
      <c r="AA378" s="40">
        <f t="shared" si="586"/>
        <v>0</v>
      </c>
      <c r="AB378" s="40">
        <f t="shared" si="587"/>
        <v>0</v>
      </c>
      <c r="AC378" s="40">
        <f t="shared" si="588"/>
        <v>0</v>
      </c>
      <c r="AD378" s="40">
        <f t="shared" si="589"/>
        <v>0</v>
      </c>
      <c r="AE378" s="40">
        <f t="shared" si="590"/>
        <v>0</v>
      </c>
      <c r="AF378" s="40">
        <f t="shared" si="591"/>
        <v>0</v>
      </c>
      <c r="AG378" s="40">
        <f t="shared" si="592"/>
        <v>0</v>
      </c>
      <c r="AH378" s="40">
        <f t="shared" si="535"/>
        <v>0</v>
      </c>
      <c r="AI378" s="40">
        <f t="shared" si="536"/>
        <v>0</v>
      </c>
      <c r="AJ378" s="40">
        <f t="shared" si="537"/>
        <v>0</v>
      </c>
      <c r="AK378" s="39">
        <f t="shared" si="538"/>
        <v>0</v>
      </c>
      <c r="AL378" s="38">
        <v>0</v>
      </c>
      <c r="AM378" s="38">
        <v>0</v>
      </c>
      <c r="AN378" s="38">
        <v>0</v>
      </c>
      <c r="AO378" s="38">
        <v>0</v>
      </c>
      <c r="AP378" s="38">
        <v>0</v>
      </c>
      <c r="AQ378" s="39">
        <v>0</v>
      </c>
      <c r="AR378" s="40">
        <v>2</v>
      </c>
      <c r="AS378" s="40">
        <v>0</v>
      </c>
      <c r="AT378" s="40">
        <v>0</v>
      </c>
      <c r="AU378" s="40">
        <v>0</v>
      </c>
      <c r="AV378" s="40">
        <v>0</v>
      </c>
      <c r="AW378" s="40">
        <v>0</v>
      </c>
      <c r="AX378" s="40">
        <v>0</v>
      </c>
      <c r="AY378" s="40">
        <v>0</v>
      </c>
      <c r="AZ378" s="40">
        <v>0</v>
      </c>
      <c r="BA378" s="40">
        <v>0</v>
      </c>
      <c r="BB378" s="40">
        <v>0</v>
      </c>
      <c r="BC378" s="39">
        <v>0</v>
      </c>
      <c r="BD378" s="40">
        <v>0</v>
      </c>
      <c r="BE378" s="40">
        <v>0</v>
      </c>
      <c r="BF378" s="40">
        <v>0</v>
      </c>
      <c r="BG378" s="40">
        <f>VLOOKUP(E378,'[1]Offline Offtake'!$G$522:$FL$619,161,0)</f>
        <v>0</v>
      </c>
      <c r="BH378" s="40">
        <v>0</v>
      </c>
      <c r="BI378" s="40">
        <v>0</v>
      </c>
      <c r="BJ378" s="40">
        <v>0</v>
      </c>
      <c r="BK378" s="40">
        <v>0</v>
      </c>
      <c r="BL378" s="40">
        <v>0</v>
      </c>
      <c r="BM378" s="40" t="s">
        <v>768</v>
      </c>
      <c r="BN378" s="40"/>
      <c r="BO378" s="39"/>
      <c r="BP378" s="21">
        <v>0</v>
      </c>
      <c r="BQ378" s="21">
        <v>0</v>
      </c>
      <c r="BR378" s="21">
        <v>0</v>
      </c>
      <c r="BS378" s="21">
        <v>0</v>
      </c>
      <c r="BT378" s="21">
        <v>0</v>
      </c>
      <c r="BU378" s="42">
        <v>0</v>
      </c>
      <c r="BV378" s="21">
        <v>0</v>
      </c>
      <c r="BW378" s="21">
        <v>0</v>
      </c>
      <c r="BX378" s="21">
        <v>0</v>
      </c>
      <c r="BY378" s="21">
        <v>0</v>
      </c>
      <c r="BZ378" s="21">
        <v>0</v>
      </c>
      <c r="CA378" s="21">
        <v>0</v>
      </c>
      <c r="CB378" s="21">
        <v>0</v>
      </c>
      <c r="CC378" s="21">
        <v>0</v>
      </c>
      <c r="CD378" s="21">
        <v>0</v>
      </c>
      <c r="CE378" s="21">
        <v>0</v>
      </c>
      <c r="CF378" s="21">
        <v>0</v>
      </c>
      <c r="CG378" s="42">
        <v>0</v>
      </c>
      <c r="CH378" s="21">
        <v>0</v>
      </c>
      <c r="CI378" s="21">
        <v>0</v>
      </c>
      <c r="CJ378" s="21">
        <v>0</v>
      </c>
      <c r="CK378" s="21">
        <v>0</v>
      </c>
      <c r="CL378" s="21">
        <v>0</v>
      </c>
      <c r="CM378" s="21">
        <v>0</v>
      </c>
      <c r="CN378" s="21">
        <v>0</v>
      </c>
      <c r="CO378" s="21">
        <v>0</v>
      </c>
      <c r="CP378" s="21">
        <f t="shared" si="593"/>
        <v>0</v>
      </c>
      <c r="CQ378" s="343">
        <f t="shared" si="594"/>
        <v>0</v>
      </c>
      <c r="CR378" s="40"/>
      <c r="CS378" s="39"/>
      <c r="CT378" s="38">
        <f t="shared" si="595"/>
        <v>0</v>
      </c>
      <c r="CU378" s="38">
        <f t="shared" si="596"/>
        <v>0</v>
      </c>
      <c r="CV378" s="38">
        <f t="shared" si="597"/>
        <v>0</v>
      </c>
      <c r="CW378" s="38">
        <f t="shared" si="598"/>
        <v>0</v>
      </c>
      <c r="CX378" s="38">
        <f t="shared" si="599"/>
        <v>0</v>
      </c>
      <c r="CY378" s="39">
        <f t="shared" si="600"/>
        <v>0</v>
      </c>
      <c r="CZ378" s="40">
        <f t="shared" si="601"/>
        <v>2</v>
      </c>
      <c r="DA378" s="40">
        <f t="shared" si="602"/>
        <v>0</v>
      </c>
      <c r="DB378" s="40">
        <f t="shared" si="603"/>
        <v>0</v>
      </c>
      <c r="DC378" s="40">
        <f t="shared" si="604"/>
        <v>0</v>
      </c>
      <c r="DD378" s="40">
        <f t="shared" si="605"/>
        <v>0</v>
      </c>
      <c r="DE378" s="40">
        <f t="shared" si="606"/>
        <v>0</v>
      </c>
      <c r="DF378" s="40">
        <f t="shared" si="607"/>
        <v>0</v>
      </c>
      <c r="DG378" s="40">
        <f t="shared" si="608"/>
        <v>0</v>
      </c>
      <c r="DH378" s="40">
        <f t="shared" si="609"/>
        <v>0</v>
      </c>
      <c r="DI378" s="40">
        <f t="shared" si="610"/>
        <v>0</v>
      </c>
      <c r="DJ378" s="40">
        <f t="shared" si="611"/>
        <v>0</v>
      </c>
      <c r="DK378" s="39">
        <f t="shared" si="612"/>
        <v>0</v>
      </c>
      <c r="DL378" s="40">
        <f t="shared" si="613"/>
        <v>0</v>
      </c>
      <c r="DM378" s="40">
        <f t="shared" si="614"/>
        <v>0</v>
      </c>
      <c r="DN378" s="40">
        <f t="shared" si="615"/>
        <v>0</v>
      </c>
      <c r="DO378" s="40">
        <f t="shared" si="616"/>
        <v>0</v>
      </c>
      <c r="DP378" s="40">
        <f t="shared" si="617"/>
        <v>0</v>
      </c>
      <c r="DQ378" s="40">
        <f t="shared" si="618"/>
        <v>0</v>
      </c>
      <c r="DR378" s="40">
        <f t="shared" si="623"/>
        <v>0</v>
      </c>
      <c r="DS378" s="40">
        <f t="shared" si="624"/>
        <v>0</v>
      </c>
      <c r="DT378" s="40">
        <f t="shared" si="619"/>
        <v>0</v>
      </c>
      <c r="DU378" s="40">
        <f t="shared" si="620"/>
        <v>0</v>
      </c>
      <c r="DV378" s="40">
        <f t="shared" si="621"/>
        <v>0</v>
      </c>
      <c r="DW378" s="40">
        <f t="shared" si="622"/>
        <v>0</v>
      </c>
    </row>
    <row r="379" spans="1:127">
      <c r="A379" s="22" t="s">
        <v>33</v>
      </c>
      <c r="B379" s="26">
        <v>4987176099945</v>
      </c>
      <c r="C379" s="22" t="s">
        <v>34</v>
      </c>
      <c r="D379" s="22" t="s">
        <v>36</v>
      </c>
      <c r="E379" s="22">
        <v>126115</v>
      </c>
      <c r="F379" s="80" t="s">
        <v>467</v>
      </c>
      <c r="G379" s="25">
        <v>43.3</v>
      </c>
      <c r="H379" s="38">
        <f t="shared" si="567"/>
        <v>81533.899999999994</v>
      </c>
      <c r="I379" s="38">
        <f t="shared" si="568"/>
        <v>241787.19999999998</v>
      </c>
      <c r="J379" s="38">
        <f t="shared" si="569"/>
        <v>41784.5</v>
      </c>
      <c r="K379" s="38">
        <f t="shared" si="570"/>
        <v>41178.299999999996</v>
      </c>
      <c r="L379" s="38">
        <f t="shared" si="571"/>
        <v>81230.799999999988</v>
      </c>
      <c r="M379" s="39">
        <f t="shared" si="572"/>
        <v>77203.899999999994</v>
      </c>
      <c r="N379" s="40">
        <f t="shared" si="573"/>
        <v>12470.4</v>
      </c>
      <c r="O379" s="40">
        <f t="shared" si="574"/>
        <v>10651.8</v>
      </c>
      <c r="P379" s="40">
        <f t="shared" si="575"/>
        <v>3031</v>
      </c>
      <c r="Q379" s="40">
        <f t="shared" si="576"/>
        <v>995.9</v>
      </c>
      <c r="R379" s="40">
        <f t="shared" si="577"/>
        <v>779.4</v>
      </c>
      <c r="S379" s="40">
        <f t="shared" si="578"/>
        <v>519.59999999999991</v>
      </c>
      <c r="T379" s="40">
        <f t="shared" si="579"/>
        <v>0</v>
      </c>
      <c r="U379" s="40">
        <f t="shared" si="580"/>
        <v>0</v>
      </c>
      <c r="V379" s="40">
        <f t="shared" si="581"/>
        <v>0</v>
      </c>
      <c r="W379" s="40">
        <f t="shared" si="582"/>
        <v>0</v>
      </c>
      <c r="X379" s="40">
        <f t="shared" si="583"/>
        <v>0</v>
      </c>
      <c r="Y379" s="39">
        <f t="shared" si="584"/>
        <v>0</v>
      </c>
      <c r="Z379" s="40">
        <f t="shared" si="585"/>
        <v>0</v>
      </c>
      <c r="AA379" s="40">
        <f t="shared" si="586"/>
        <v>0</v>
      </c>
      <c r="AB379" s="40">
        <f t="shared" si="587"/>
        <v>0</v>
      </c>
      <c r="AC379" s="40">
        <f t="shared" si="588"/>
        <v>0</v>
      </c>
      <c r="AD379" s="40">
        <f t="shared" si="589"/>
        <v>0</v>
      </c>
      <c r="AE379" s="40">
        <f t="shared" si="590"/>
        <v>0</v>
      </c>
      <c r="AF379" s="40">
        <f t="shared" si="591"/>
        <v>0</v>
      </c>
      <c r="AG379" s="40">
        <f t="shared" si="592"/>
        <v>0</v>
      </c>
      <c r="AH379" s="40">
        <f t="shared" si="535"/>
        <v>0</v>
      </c>
      <c r="AI379" s="40">
        <f t="shared" si="536"/>
        <v>0</v>
      </c>
      <c r="AJ379" s="40">
        <f t="shared" si="537"/>
        <v>0</v>
      </c>
      <c r="AK379" s="39">
        <f t="shared" si="538"/>
        <v>0</v>
      </c>
      <c r="AL379" s="38">
        <v>1765</v>
      </c>
      <c r="AM379" s="38">
        <v>5207</v>
      </c>
      <c r="AN379" s="38">
        <v>859</v>
      </c>
      <c r="AO379" s="38">
        <v>903</v>
      </c>
      <c r="AP379" s="38">
        <v>1722</v>
      </c>
      <c r="AQ379" s="39">
        <v>1483</v>
      </c>
      <c r="AR379" s="40">
        <v>285</v>
      </c>
      <c r="AS379" s="40">
        <v>246</v>
      </c>
      <c r="AT379" s="40">
        <v>70</v>
      </c>
      <c r="AU379" s="40">
        <v>23</v>
      </c>
      <c r="AV379" s="40">
        <v>18</v>
      </c>
      <c r="AW379" s="40">
        <v>12</v>
      </c>
      <c r="AX379" s="40">
        <v>0</v>
      </c>
      <c r="AY379" s="40">
        <v>0</v>
      </c>
      <c r="AZ379" s="40">
        <v>0</v>
      </c>
      <c r="BA379" s="40">
        <v>0</v>
      </c>
      <c r="BB379" s="40">
        <v>0</v>
      </c>
      <c r="BC379" s="39">
        <v>0</v>
      </c>
      <c r="BD379" s="40">
        <v>0</v>
      </c>
      <c r="BE379" s="40">
        <v>0</v>
      </c>
      <c r="BF379" s="40">
        <v>0</v>
      </c>
      <c r="BG379" s="40">
        <f>VLOOKUP(E379,'[1]Offline Offtake'!$G$522:$FL$619,161,0)</f>
        <v>0</v>
      </c>
      <c r="BH379" s="40">
        <v>0</v>
      </c>
      <c r="BI379" s="40">
        <v>0</v>
      </c>
      <c r="BJ379" s="40">
        <v>0</v>
      </c>
      <c r="BK379" s="40">
        <v>0</v>
      </c>
      <c r="BL379" s="40">
        <v>0</v>
      </c>
      <c r="BM379" s="40">
        <v>0</v>
      </c>
      <c r="BN379" s="40"/>
      <c r="BO379" s="39"/>
      <c r="BP379" s="21">
        <v>118</v>
      </c>
      <c r="BQ379" s="21">
        <v>377</v>
      </c>
      <c r="BR379" s="21">
        <v>106</v>
      </c>
      <c r="BS379" s="21">
        <v>48</v>
      </c>
      <c r="BT379" s="21">
        <v>154</v>
      </c>
      <c r="BU379" s="42">
        <v>300</v>
      </c>
      <c r="BV379" s="21">
        <v>3</v>
      </c>
      <c r="BW379" s="21">
        <v>0</v>
      </c>
      <c r="BX379" s="21">
        <v>0</v>
      </c>
      <c r="BY379" s="21">
        <v>0</v>
      </c>
      <c r="BZ379" s="21">
        <v>0</v>
      </c>
      <c r="CA379" s="21">
        <v>0</v>
      </c>
      <c r="CB379" s="21">
        <v>0</v>
      </c>
      <c r="CC379" s="21">
        <v>0</v>
      </c>
      <c r="CD379" s="21">
        <v>0</v>
      </c>
      <c r="CE379" s="21">
        <v>0</v>
      </c>
      <c r="CF379" s="21">
        <v>0</v>
      </c>
      <c r="CG379" s="42">
        <v>0</v>
      </c>
      <c r="CH379" s="21">
        <v>0</v>
      </c>
      <c r="CI379" s="21">
        <v>0</v>
      </c>
      <c r="CJ379" s="21">
        <v>0</v>
      </c>
      <c r="CK379" s="21">
        <v>0</v>
      </c>
      <c r="CL379" s="21">
        <v>0</v>
      </c>
      <c r="CM379" s="21">
        <v>0</v>
      </c>
      <c r="CN379" s="21">
        <v>0</v>
      </c>
      <c r="CO379" s="21">
        <v>0</v>
      </c>
      <c r="CP379" s="21">
        <f t="shared" si="593"/>
        <v>0</v>
      </c>
      <c r="CQ379" s="343">
        <f t="shared" si="594"/>
        <v>0</v>
      </c>
      <c r="CR379" s="40"/>
      <c r="CS379" s="39"/>
      <c r="CT379" s="38">
        <f t="shared" si="595"/>
        <v>1883</v>
      </c>
      <c r="CU379" s="38">
        <f t="shared" si="596"/>
        <v>5584</v>
      </c>
      <c r="CV379" s="38">
        <f t="shared" si="597"/>
        <v>965</v>
      </c>
      <c r="CW379" s="38">
        <f t="shared" si="598"/>
        <v>951</v>
      </c>
      <c r="CX379" s="38">
        <f t="shared" si="599"/>
        <v>1876</v>
      </c>
      <c r="CY379" s="39">
        <f t="shared" si="600"/>
        <v>1783</v>
      </c>
      <c r="CZ379" s="40">
        <f t="shared" si="601"/>
        <v>288</v>
      </c>
      <c r="DA379" s="40">
        <f t="shared" si="602"/>
        <v>246</v>
      </c>
      <c r="DB379" s="40">
        <f t="shared" si="603"/>
        <v>70</v>
      </c>
      <c r="DC379" s="40">
        <f t="shared" si="604"/>
        <v>23</v>
      </c>
      <c r="DD379" s="40">
        <f t="shared" si="605"/>
        <v>18</v>
      </c>
      <c r="DE379" s="40">
        <f t="shared" si="606"/>
        <v>12</v>
      </c>
      <c r="DF379" s="40">
        <f t="shared" si="607"/>
        <v>0</v>
      </c>
      <c r="DG379" s="40">
        <f t="shared" si="608"/>
        <v>0</v>
      </c>
      <c r="DH379" s="40">
        <f t="shared" si="609"/>
        <v>0</v>
      </c>
      <c r="DI379" s="40">
        <f t="shared" si="610"/>
        <v>0</v>
      </c>
      <c r="DJ379" s="40">
        <f t="shared" si="611"/>
        <v>0</v>
      </c>
      <c r="DK379" s="39">
        <f t="shared" si="612"/>
        <v>0</v>
      </c>
      <c r="DL379" s="40">
        <f t="shared" si="613"/>
        <v>0</v>
      </c>
      <c r="DM379" s="40">
        <f t="shared" si="614"/>
        <v>0</v>
      </c>
      <c r="DN379" s="40">
        <f t="shared" si="615"/>
        <v>0</v>
      </c>
      <c r="DO379" s="40">
        <f t="shared" si="616"/>
        <v>0</v>
      </c>
      <c r="DP379" s="40">
        <f t="shared" si="617"/>
        <v>0</v>
      </c>
      <c r="DQ379" s="40">
        <f t="shared" si="618"/>
        <v>0</v>
      </c>
      <c r="DR379" s="40">
        <f t="shared" si="623"/>
        <v>0</v>
      </c>
      <c r="DS379" s="40">
        <f t="shared" si="624"/>
        <v>0</v>
      </c>
      <c r="DT379" s="40">
        <f t="shared" si="619"/>
        <v>0</v>
      </c>
      <c r="DU379" s="40">
        <f t="shared" si="620"/>
        <v>0</v>
      </c>
      <c r="DV379" s="40">
        <f t="shared" si="621"/>
        <v>0</v>
      </c>
      <c r="DW379" s="40">
        <f t="shared" si="622"/>
        <v>0</v>
      </c>
    </row>
    <row r="380" spans="1:127">
      <c r="A380" s="22" t="s">
        <v>33</v>
      </c>
      <c r="B380" s="26">
        <v>4987176062154</v>
      </c>
      <c r="C380" s="22" t="s">
        <v>34</v>
      </c>
      <c r="D380" s="22" t="s">
        <v>36</v>
      </c>
      <c r="E380" s="22">
        <v>121244</v>
      </c>
      <c r="F380" s="80" t="s">
        <v>468</v>
      </c>
      <c r="G380" s="25">
        <v>109.3</v>
      </c>
      <c r="H380" s="38">
        <f t="shared" si="567"/>
        <v>35194.6</v>
      </c>
      <c r="I380" s="38">
        <f t="shared" si="568"/>
        <v>24483.200000000001</v>
      </c>
      <c r="J380" s="38">
        <f t="shared" si="569"/>
        <v>12350.9</v>
      </c>
      <c r="K380" s="38">
        <f t="shared" si="570"/>
        <v>18253.099999999999</v>
      </c>
      <c r="L380" s="38">
        <f t="shared" si="571"/>
        <v>19018.2</v>
      </c>
      <c r="M380" s="39">
        <f t="shared" si="572"/>
        <v>4153.3999999999996</v>
      </c>
      <c r="N380" s="40">
        <f t="shared" si="573"/>
        <v>327.9</v>
      </c>
      <c r="O380" s="40">
        <f t="shared" si="574"/>
        <v>0</v>
      </c>
      <c r="P380" s="40">
        <f t="shared" si="575"/>
        <v>0</v>
      </c>
      <c r="Q380" s="40">
        <f t="shared" si="576"/>
        <v>0</v>
      </c>
      <c r="R380" s="40">
        <f t="shared" si="577"/>
        <v>0</v>
      </c>
      <c r="S380" s="40">
        <f t="shared" si="578"/>
        <v>0</v>
      </c>
      <c r="T380" s="40">
        <f t="shared" si="579"/>
        <v>0</v>
      </c>
      <c r="U380" s="40">
        <f t="shared" si="580"/>
        <v>0</v>
      </c>
      <c r="V380" s="40">
        <f t="shared" si="581"/>
        <v>0</v>
      </c>
      <c r="W380" s="40">
        <f t="shared" si="582"/>
        <v>0</v>
      </c>
      <c r="X380" s="40">
        <f t="shared" si="583"/>
        <v>0</v>
      </c>
      <c r="Y380" s="39">
        <f t="shared" si="584"/>
        <v>0</v>
      </c>
      <c r="Z380" s="40">
        <f t="shared" si="585"/>
        <v>0</v>
      </c>
      <c r="AA380" s="40">
        <f t="shared" si="586"/>
        <v>0</v>
      </c>
      <c r="AB380" s="40">
        <f t="shared" si="587"/>
        <v>0</v>
      </c>
      <c r="AC380" s="40">
        <f t="shared" si="588"/>
        <v>0</v>
      </c>
      <c r="AD380" s="40">
        <f t="shared" si="589"/>
        <v>0</v>
      </c>
      <c r="AE380" s="40">
        <f t="shared" si="590"/>
        <v>0</v>
      </c>
      <c r="AF380" s="40">
        <f t="shared" si="591"/>
        <v>0</v>
      </c>
      <c r="AG380" s="40">
        <f t="shared" si="592"/>
        <v>0</v>
      </c>
      <c r="AH380" s="40">
        <f t="shared" si="535"/>
        <v>0</v>
      </c>
      <c r="AI380" s="40">
        <f t="shared" si="536"/>
        <v>0</v>
      </c>
      <c r="AJ380" s="40">
        <f t="shared" si="537"/>
        <v>0</v>
      </c>
      <c r="AK380" s="39">
        <f t="shared" si="538"/>
        <v>0</v>
      </c>
      <c r="AL380" s="38">
        <v>303</v>
      </c>
      <c r="AM380" s="38">
        <v>224</v>
      </c>
      <c r="AN380" s="38">
        <v>113</v>
      </c>
      <c r="AO380" s="38">
        <v>167</v>
      </c>
      <c r="AP380" s="38">
        <v>174</v>
      </c>
      <c r="AQ380" s="39">
        <v>38</v>
      </c>
      <c r="AR380" s="40">
        <v>3</v>
      </c>
      <c r="AS380" s="40">
        <v>0</v>
      </c>
      <c r="AT380" s="40">
        <v>0</v>
      </c>
      <c r="AU380" s="40">
        <v>0</v>
      </c>
      <c r="AV380" s="40">
        <v>0</v>
      </c>
      <c r="AW380" s="40">
        <v>0</v>
      </c>
      <c r="AX380" s="40">
        <v>0</v>
      </c>
      <c r="AY380" s="40">
        <v>0</v>
      </c>
      <c r="AZ380" s="40">
        <v>0</v>
      </c>
      <c r="BA380" s="40">
        <v>0</v>
      </c>
      <c r="BB380" s="40">
        <v>0</v>
      </c>
      <c r="BC380" s="39">
        <v>0</v>
      </c>
      <c r="BD380" s="40">
        <v>0</v>
      </c>
      <c r="BE380" s="40">
        <v>0</v>
      </c>
      <c r="BF380" s="40">
        <v>0</v>
      </c>
      <c r="BG380" s="40">
        <f>VLOOKUP(E380,'[1]Offline Offtake'!$G$522:$FL$619,161,0)</f>
        <v>0</v>
      </c>
      <c r="BH380" s="40">
        <v>0</v>
      </c>
      <c r="BI380" s="40">
        <v>0</v>
      </c>
      <c r="BJ380" s="40">
        <v>0</v>
      </c>
      <c r="BK380" s="40">
        <v>0</v>
      </c>
      <c r="BL380" s="40">
        <v>0</v>
      </c>
      <c r="BM380" s="40">
        <v>0</v>
      </c>
      <c r="BN380" s="40"/>
      <c r="BO380" s="39"/>
      <c r="BP380" s="21">
        <v>19</v>
      </c>
      <c r="BQ380" s="21">
        <v>0</v>
      </c>
      <c r="BR380" s="21">
        <v>0</v>
      </c>
      <c r="BS380" s="21">
        <v>0</v>
      </c>
      <c r="BT380" s="21">
        <v>0</v>
      </c>
      <c r="BU380" s="42">
        <v>0</v>
      </c>
      <c r="BV380" s="21">
        <v>0</v>
      </c>
      <c r="BW380" s="21">
        <v>0</v>
      </c>
      <c r="BX380" s="21">
        <v>0</v>
      </c>
      <c r="BY380" s="21">
        <v>0</v>
      </c>
      <c r="BZ380" s="21">
        <v>0</v>
      </c>
      <c r="CA380" s="21">
        <v>0</v>
      </c>
      <c r="CB380" s="21">
        <v>0</v>
      </c>
      <c r="CC380" s="21">
        <v>0</v>
      </c>
      <c r="CD380" s="21">
        <v>0</v>
      </c>
      <c r="CE380" s="21">
        <v>0</v>
      </c>
      <c r="CF380" s="21">
        <v>0</v>
      </c>
      <c r="CG380" s="42">
        <v>0</v>
      </c>
      <c r="CH380" s="21">
        <v>0</v>
      </c>
      <c r="CI380" s="21">
        <v>0</v>
      </c>
      <c r="CJ380" s="21">
        <v>0</v>
      </c>
      <c r="CK380" s="21">
        <v>0</v>
      </c>
      <c r="CL380" s="21">
        <v>0</v>
      </c>
      <c r="CM380" s="21">
        <v>0</v>
      </c>
      <c r="CN380" s="21">
        <v>0</v>
      </c>
      <c r="CO380" s="21">
        <v>0</v>
      </c>
      <c r="CP380" s="21">
        <f t="shared" si="593"/>
        <v>0</v>
      </c>
      <c r="CQ380" s="343">
        <f t="shared" si="594"/>
        <v>0</v>
      </c>
      <c r="CR380" s="40"/>
      <c r="CS380" s="39"/>
      <c r="CT380" s="38">
        <f t="shared" si="595"/>
        <v>322</v>
      </c>
      <c r="CU380" s="38">
        <f t="shared" si="596"/>
        <v>224</v>
      </c>
      <c r="CV380" s="38">
        <f t="shared" si="597"/>
        <v>113</v>
      </c>
      <c r="CW380" s="38">
        <f t="shared" si="598"/>
        <v>167</v>
      </c>
      <c r="CX380" s="38">
        <f t="shared" si="599"/>
        <v>174</v>
      </c>
      <c r="CY380" s="39">
        <f t="shared" si="600"/>
        <v>38</v>
      </c>
      <c r="CZ380" s="40">
        <f t="shared" si="601"/>
        <v>3</v>
      </c>
      <c r="DA380" s="40">
        <f t="shared" si="602"/>
        <v>0</v>
      </c>
      <c r="DB380" s="40">
        <f t="shared" si="603"/>
        <v>0</v>
      </c>
      <c r="DC380" s="40">
        <f t="shared" si="604"/>
        <v>0</v>
      </c>
      <c r="DD380" s="40">
        <f t="shared" si="605"/>
        <v>0</v>
      </c>
      <c r="DE380" s="40">
        <f t="shared" si="606"/>
        <v>0</v>
      </c>
      <c r="DF380" s="40">
        <f t="shared" si="607"/>
        <v>0</v>
      </c>
      <c r="DG380" s="40">
        <f t="shared" si="608"/>
        <v>0</v>
      </c>
      <c r="DH380" s="40">
        <f t="shared" si="609"/>
        <v>0</v>
      </c>
      <c r="DI380" s="40">
        <f t="shared" si="610"/>
        <v>0</v>
      </c>
      <c r="DJ380" s="40">
        <f t="shared" si="611"/>
        <v>0</v>
      </c>
      <c r="DK380" s="39">
        <f t="shared" si="612"/>
        <v>0</v>
      </c>
      <c r="DL380" s="40">
        <f t="shared" si="613"/>
        <v>0</v>
      </c>
      <c r="DM380" s="40">
        <f t="shared" si="614"/>
        <v>0</v>
      </c>
      <c r="DN380" s="40">
        <f t="shared" si="615"/>
        <v>0</v>
      </c>
      <c r="DO380" s="40">
        <f t="shared" si="616"/>
        <v>0</v>
      </c>
      <c r="DP380" s="40">
        <f t="shared" si="617"/>
        <v>0</v>
      </c>
      <c r="DQ380" s="40">
        <f t="shared" si="618"/>
        <v>0</v>
      </c>
      <c r="DR380" s="40">
        <f t="shared" si="623"/>
        <v>0</v>
      </c>
      <c r="DS380" s="40">
        <f t="shared" si="624"/>
        <v>0</v>
      </c>
      <c r="DT380" s="40">
        <f t="shared" si="619"/>
        <v>0</v>
      </c>
      <c r="DU380" s="40">
        <f t="shared" si="620"/>
        <v>0</v>
      </c>
      <c r="DV380" s="40">
        <f t="shared" si="621"/>
        <v>0</v>
      </c>
      <c r="DW380" s="40">
        <f t="shared" si="622"/>
        <v>0</v>
      </c>
    </row>
    <row r="381" spans="1:127">
      <c r="A381" s="22" t="s">
        <v>33</v>
      </c>
      <c r="B381" s="26">
        <v>4987176062703</v>
      </c>
      <c r="C381" s="22" t="s">
        <v>34</v>
      </c>
      <c r="D381" s="22" t="s">
        <v>36</v>
      </c>
      <c r="E381" s="22">
        <v>121385</v>
      </c>
      <c r="F381" s="80" t="s">
        <v>469</v>
      </c>
      <c r="G381" s="25">
        <v>109.3</v>
      </c>
      <c r="H381" s="38">
        <f t="shared" si="567"/>
        <v>37599.199999999997</v>
      </c>
      <c r="I381" s="38">
        <f t="shared" si="568"/>
        <v>20001.899999999998</v>
      </c>
      <c r="J381" s="38">
        <f t="shared" si="569"/>
        <v>10930</v>
      </c>
      <c r="K381" s="38">
        <f t="shared" si="570"/>
        <v>18143.8</v>
      </c>
      <c r="L381" s="38">
        <f t="shared" si="571"/>
        <v>14099.699999999999</v>
      </c>
      <c r="M381" s="39">
        <f t="shared" si="572"/>
        <v>4809.2</v>
      </c>
      <c r="N381" s="40">
        <f t="shared" si="573"/>
        <v>983.69999999999993</v>
      </c>
      <c r="O381" s="40">
        <f t="shared" si="574"/>
        <v>0</v>
      </c>
      <c r="P381" s="40">
        <f t="shared" si="575"/>
        <v>0</v>
      </c>
      <c r="Q381" s="40">
        <f t="shared" si="576"/>
        <v>109.3</v>
      </c>
      <c r="R381" s="40">
        <f t="shared" si="577"/>
        <v>0</v>
      </c>
      <c r="S381" s="40">
        <f t="shared" si="578"/>
        <v>0</v>
      </c>
      <c r="T381" s="40">
        <f t="shared" si="579"/>
        <v>0</v>
      </c>
      <c r="U381" s="40">
        <f t="shared" si="580"/>
        <v>0</v>
      </c>
      <c r="V381" s="40">
        <f t="shared" si="581"/>
        <v>0</v>
      </c>
      <c r="W381" s="40">
        <f t="shared" si="582"/>
        <v>0</v>
      </c>
      <c r="X381" s="40">
        <f t="shared" si="583"/>
        <v>0</v>
      </c>
      <c r="Y381" s="39">
        <f t="shared" si="584"/>
        <v>0</v>
      </c>
      <c r="Z381" s="40">
        <f t="shared" si="585"/>
        <v>0</v>
      </c>
      <c r="AA381" s="40">
        <f t="shared" si="586"/>
        <v>0</v>
      </c>
      <c r="AB381" s="40">
        <f t="shared" si="587"/>
        <v>0</v>
      </c>
      <c r="AC381" s="40">
        <f t="shared" si="588"/>
        <v>0</v>
      </c>
      <c r="AD381" s="40">
        <f t="shared" si="589"/>
        <v>0</v>
      </c>
      <c r="AE381" s="40">
        <f t="shared" si="590"/>
        <v>0</v>
      </c>
      <c r="AF381" s="40">
        <f t="shared" si="591"/>
        <v>0</v>
      </c>
      <c r="AG381" s="40">
        <f t="shared" si="592"/>
        <v>0</v>
      </c>
      <c r="AH381" s="40">
        <f t="shared" si="535"/>
        <v>0</v>
      </c>
      <c r="AI381" s="40">
        <f t="shared" si="536"/>
        <v>0</v>
      </c>
      <c r="AJ381" s="40">
        <f t="shared" si="537"/>
        <v>0</v>
      </c>
      <c r="AK381" s="39">
        <f t="shared" si="538"/>
        <v>0</v>
      </c>
      <c r="AL381" s="38">
        <v>322</v>
      </c>
      <c r="AM381" s="38">
        <v>178</v>
      </c>
      <c r="AN381" s="38">
        <v>100</v>
      </c>
      <c r="AO381" s="38">
        <v>166</v>
      </c>
      <c r="AP381" s="38">
        <v>129</v>
      </c>
      <c r="AQ381" s="39">
        <v>44</v>
      </c>
      <c r="AR381" s="40">
        <v>9</v>
      </c>
      <c r="AS381" s="40">
        <v>0</v>
      </c>
      <c r="AT381" s="40">
        <v>0</v>
      </c>
      <c r="AU381" s="40">
        <v>1</v>
      </c>
      <c r="AV381" s="40">
        <v>0</v>
      </c>
      <c r="AW381" s="40">
        <v>0</v>
      </c>
      <c r="AX381" s="40">
        <v>0</v>
      </c>
      <c r="AY381" s="40">
        <v>0</v>
      </c>
      <c r="AZ381" s="40">
        <v>0</v>
      </c>
      <c r="BA381" s="40">
        <v>0</v>
      </c>
      <c r="BB381" s="40">
        <v>0</v>
      </c>
      <c r="BC381" s="39">
        <v>0</v>
      </c>
      <c r="BD381" s="40">
        <v>0</v>
      </c>
      <c r="BE381" s="40">
        <v>0</v>
      </c>
      <c r="BF381" s="40">
        <v>0</v>
      </c>
      <c r="BG381" s="40">
        <f>VLOOKUP(E381,'[1]Offline Offtake'!$G$522:$FL$619,161,0)</f>
        <v>0</v>
      </c>
      <c r="BH381" s="40">
        <v>0</v>
      </c>
      <c r="BI381" s="40">
        <v>0</v>
      </c>
      <c r="BJ381" s="40">
        <v>0</v>
      </c>
      <c r="BK381" s="40">
        <v>0</v>
      </c>
      <c r="BL381" s="40">
        <v>0</v>
      </c>
      <c r="BM381" s="40">
        <v>0</v>
      </c>
      <c r="BN381" s="40"/>
      <c r="BO381" s="39"/>
      <c r="BP381" s="21">
        <v>22</v>
      </c>
      <c r="BQ381" s="21">
        <v>5</v>
      </c>
      <c r="BR381" s="21">
        <v>0</v>
      </c>
      <c r="BS381" s="21">
        <v>0</v>
      </c>
      <c r="BT381" s="21">
        <v>0</v>
      </c>
      <c r="BU381" s="42">
        <v>0</v>
      </c>
      <c r="BV381" s="21">
        <v>0</v>
      </c>
      <c r="BW381" s="21">
        <v>0</v>
      </c>
      <c r="BX381" s="21">
        <v>0</v>
      </c>
      <c r="BY381" s="21">
        <v>0</v>
      </c>
      <c r="BZ381" s="21">
        <v>0</v>
      </c>
      <c r="CA381" s="21">
        <v>0</v>
      </c>
      <c r="CB381" s="21">
        <v>0</v>
      </c>
      <c r="CC381" s="21">
        <v>0</v>
      </c>
      <c r="CD381" s="21">
        <v>0</v>
      </c>
      <c r="CE381" s="21">
        <v>0</v>
      </c>
      <c r="CF381" s="21">
        <v>0</v>
      </c>
      <c r="CG381" s="42">
        <v>0</v>
      </c>
      <c r="CH381" s="21">
        <v>0</v>
      </c>
      <c r="CI381" s="21">
        <v>0</v>
      </c>
      <c r="CJ381" s="21">
        <v>0</v>
      </c>
      <c r="CK381" s="21">
        <v>0</v>
      </c>
      <c r="CL381" s="21">
        <v>0</v>
      </c>
      <c r="CM381" s="21">
        <v>0</v>
      </c>
      <c r="CN381" s="21">
        <v>0</v>
      </c>
      <c r="CO381" s="21">
        <v>0</v>
      </c>
      <c r="CP381" s="21">
        <f t="shared" si="593"/>
        <v>0</v>
      </c>
      <c r="CQ381" s="343">
        <f t="shared" si="594"/>
        <v>0</v>
      </c>
      <c r="CR381" s="40"/>
      <c r="CS381" s="39"/>
      <c r="CT381" s="38">
        <f t="shared" si="595"/>
        <v>344</v>
      </c>
      <c r="CU381" s="38">
        <f t="shared" si="596"/>
        <v>183</v>
      </c>
      <c r="CV381" s="38">
        <f t="shared" si="597"/>
        <v>100</v>
      </c>
      <c r="CW381" s="38">
        <f t="shared" si="598"/>
        <v>166</v>
      </c>
      <c r="CX381" s="38">
        <f t="shared" si="599"/>
        <v>129</v>
      </c>
      <c r="CY381" s="39">
        <f t="shared" si="600"/>
        <v>44</v>
      </c>
      <c r="CZ381" s="40">
        <f t="shared" si="601"/>
        <v>9</v>
      </c>
      <c r="DA381" s="40">
        <f t="shared" si="602"/>
        <v>0</v>
      </c>
      <c r="DB381" s="40">
        <f t="shared" si="603"/>
        <v>0</v>
      </c>
      <c r="DC381" s="40">
        <f t="shared" si="604"/>
        <v>1</v>
      </c>
      <c r="DD381" s="40">
        <f t="shared" si="605"/>
        <v>0</v>
      </c>
      <c r="DE381" s="40">
        <f t="shared" si="606"/>
        <v>0</v>
      </c>
      <c r="DF381" s="40">
        <f t="shared" si="607"/>
        <v>0</v>
      </c>
      <c r="DG381" s="40">
        <f t="shared" si="608"/>
        <v>0</v>
      </c>
      <c r="DH381" s="40">
        <f t="shared" si="609"/>
        <v>0</v>
      </c>
      <c r="DI381" s="40">
        <f t="shared" si="610"/>
        <v>0</v>
      </c>
      <c r="DJ381" s="40">
        <f t="shared" si="611"/>
        <v>0</v>
      </c>
      <c r="DK381" s="39">
        <f t="shared" si="612"/>
        <v>0</v>
      </c>
      <c r="DL381" s="40">
        <f t="shared" si="613"/>
        <v>0</v>
      </c>
      <c r="DM381" s="40">
        <f t="shared" si="614"/>
        <v>0</v>
      </c>
      <c r="DN381" s="40">
        <f t="shared" si="615"/>
        <v>0</v>
      </c>
      <c r="DO381" s="40">
        <f t="shared" si="616"/>
        <v>0</v>
      </c>
      <c r="DP381" s="40">
        <f t="shared" si="617"/>
        <v>0</v>
      </c>
      <c r="DQ381" s="40">
        <f t="shared" si="618"/>
        <v>0</v>
      </c>
      <c r="DR381" s="40">
        <f t="shared" si="623"/>
        <v>0</v>
      </c>
      <c r="DS381" s="40">
        <f t="shared" si="624"/>
        <v>0</v>
      </c>
      <c r="DT381" s="40">
        <f t="shared" si="619"/>
        <v>0</v>
      </c>
      <c r="DU381" s="40">
        <f t="shared" si="620"/>
        <v>0</v>
      </c>
      <c r="DV381" s="40">
        <f t="shared" si="621"/>
        <v>0</v>
      </c>
      <c r="DW381" s="40">
        <f t="shared" si="622"/>
        <v>0</v>
      </c>
    </row>
    <row r="382" spans="1:127">
      <c r="A382" s="22" t="s">
        <v>33</v>
      </c>
      <c r="B382" s="26">
        <v>4987176062307</v>
      </c>
      <c r="C382" s="22" t="s">
        <v>34</v>
      </c>
      <c r="D382" s="22" t="s">
        <v>36</v>
      </c>
      <c r="E382" s="22">
        <v>121495</v>
      </c>
      <c r="F382" s="80" t="s">
        <v>470</v>
      </c>
      <c r="G382" s="25">
        <v>109.3</v>
      </c>
      <c r="H382" s="38">
        <f t="shared" si="567"/>
        <v>28418</v>
      </c>
      <c r="I382" s="38">
        <f t="shared" si="568"/>
        <v>21750.7</v>
      </c>
      <c r="J382" s="38">
        <f t="shared" si="569"/>
        <v>11148.6</v>
      </c>
      <c r="K382" s="38">
        <f t="shared" si="570"/>
        <v>17706.599999999999</v>
      </c>
      <c r="L382" s="38">
        <f t="shared" si="571"/>
        <v>18471.7</v>
      </c>
      <c r="M382" s="39">
        <f t="shared" si="572"/>
        <v>4372</v>
      </c>
      <c r="N382" s="40">
        <f t="shared" si="573"/>
        <v>3606.9</v>
      </c>
      <c r="O382" s="40">
        <f t="shared" si="574"/>
        <v>1858.1</v>
      </c>
      <c r="P382" s="40">
        <f t="shared" si="575"/>
        <v>109.3</v>
      </c>
      <c r="Q382" s="40">
        <f t="shared" si="576"/>
        <v>218.6</v>
      </c>
      <c r="R382" s="40">
        <f t="shared" si="577"/>
        <v>0</v>
      </c>
      <c r="S382" s="40">
        <f t="shared" si="578"/>
        <v>10274.199999999999</v>
      </c>
      <c r="T382" s="40">
        <f t="shared" si="579"/>
        <v>28527.3</v>
      </c>
      <c r="U382" s="40">
        <f t="shared" si="580"/>
        <v>237508.9</v>
      </c>
      <c r="V382" s="40">
        <f t="shared" si="581"/>
        <v>57491.799999999996</v>
      </c>
      <c r="W382" s="40">
        <f t="shared" si="582"/>
        <v>10602.1</v>
      </c>
      <c r="X382" s="40">
        <f t="shared" si="583"/>
        <v>36506.199999999997</v>
      </c>
      <c r="Y382" s="39">
        <f t="shared" si="584"/>
        <v>29073.8</v>
      </c>
      <c r="Z382" s="40">
        <f t="shared" si="585"/>
        <v>11367.199999999999</v>
      </c>
      <c r="AA382" s="40">
        <f t="shared" si="586"/>
        <v>17815.899999999998</v>
      </c>
      <c r="AB382" s="40">
        <f t="shared" si="587"/>
        <v>24592.5</v>
      </c>
      <c r="AC382" s="40">
        <f t="shared" si="588"/>
        <v>20439.099999999999</v>
      </c>
      <c r="AD382" s="40">
        <f t="shared" si="589"/>
        <v>9618.4</v>
      </c>
      <c r="AE382" s="40">
        <f t="shared" si="590"/>
        <v>11257.9</v>
      </c>
      <c r="AF382" s="40">
        <f t="shared" si="591"/>
        <v>3716.2</v>
      </c>
      <c r="AG382" s="40">
        <f t="shared" si="592"/>
        <v>327.9</v>
      </c>
      <c r="AH382" s="40">
        <f t="shared" si="535"/>
        <v>0</v>
      </c>
      <c r="AI382" s="40">
        <f t="shared" si="536"/>
        <v>898.68888888888875</v>
      </c>
      <c r="AJ382" s="40">
        <f t="shared" si="537"/>
        <v>0</v>
      </c>
      <c r="AK382" s="39">
        <f t="shared" si="538"/>
        <v>0</v>
      </c>
      <c r="AL382" s="38">
        <v>247</v>
      </c>
      <c r="AM382" s="38">
        <v>196</v>
      </c>
      <c r="AN382" s="38">
        <v>102</v>
      </c>
      <c r="AO382" s="38">
        <v>162</v>
      </c>
      <c r="AP382" s="38">
        <v>169</v>
      </c>
      <c r="AQ382" s="39">
        <v>40</v>
      </c>
      <c r="AR382" s="40">
        <v>33</v>
      </c>
      <c r="AS382" s="40">
        <v>17</v>
      </c>
      <c r="AT382" s="40">
        <v>1</v>
      </c>
      <c r="AU382" s="40">
        <v>2</v>
      </c>
      <c r="AV382" s="40">
        <v>0</v>
      </c>
      <c r="AW382" s="40">
        <v>94</v>
      </c>
      <c r="AX382" s="40">
        <v>261</v>
      </c>
      <c r="AY382" s="40">
        <v>2023</v>
      </c>
      <c r="AZ382" s="40">
        <v>512</v>
      </c>
      <c r="BA382" s="40">
        <v>93</v>
      </c>
      <c r="BB382" s="40">
        <v>263</v>
      </c>
      <c r="BC382" s="39">
        <v>264</v>
      </c>
      <c r="BD382" s="40">
        <v>104</v>
      </c>
      <c r="BE382" s="40">
        <v>144</v>
      </c>
      <c r="BF382" s="40">
        <v>219</v>
      </c>
      <c r="BG382" s="40">
        <f>VLOOKUP(E382,'[1]Offline Offtake'!$G$522:$FL$619,161,0)</f>
        <v>147</v>
      </c>
      <c r="BH382" s="40">
        <v>88</v>
      </c>
      <c r="BI382" s="40">
        <v>103</v>
      </c>
      <c r="BJ382" s="40">
        <v>34</v>
      </c>
      <c r="BK382" s="40">
        <v>3</v>
      </c>
      <c r="BL382" s="40">
        <v>0</v>
      </c>
      <c r="BM382" s="40">
        <v>1</v>
      </c>
      <c r="BN382" s="40"/>
      <c r="BO382" s="39"/>
      <c r="BP382" s="21">
        <v>13</v>
      </c>
      <c r="BQ382" s="21">
        <v>3</v>
      </c>
      <c r="BR382" s="21">
        <v>0</v>
      </c>
      <c r="BS382" s="21">
        <v>0</v>
      </c>
      <c r="BT382" s="21">
        <v>0</v>
      </c>
      <c r="BU382" s="42">
        <v>0</v>
      </c>
      <c r="BV382" s="21">
        <v>0</v>
      </c>
      <c r="BW382" s="21">
        <v>0</v>
      </c>
      <c r="BX382" s="21">
        <v>0</v>
      </c>
      <c r="BY382" s="21">
        <v>0</v>
      </c>
      <c r="BZ382" s="21">
        <v>0</v>
      </c>
      <c r="CA382" s="21">
        <v>0</v>
      </c>
      <c r="CB382" s="21">
        <v>0</v>
      </c>
      <c r="CC382" s="21">
        <v>150</v>
      </c>
      <c r="CD382" s="21">
        <v>14</v>
      </c>
      <c r="CE382" s="21">
        <v>4</v>
      </c>
      <c r="CF382" s="21">
        <v>71</v>
      </c>
      <c r="CG382" s="42">
        <v>2</v>
      </c>
      <c r="CH382" s="21">
        <v>0</v>
      </c>
      <c r="CI382" s="21">
        <v>19</v>
      </c>
      <c r="CJ382" s="21">
        <v>6</v>
      </c>
      <c r="CK382" s="21">
        <v>40</v>
      </c>
      <c r="CL382" s="21">
        <v>0</v>
      </c>
      <c r="CM382" s="21">
        <v>0</v>
      </c>
      <c r="CN382" s="21">
        <v>0</v>
      </c>
      <c r="CO382" s="21">
        <v>0</v>
      </c>
      <c r="CP382" s="21">
        <f t="shared" si="593"/>
        <v>0</v>
      </c>
      <c r="CQ382" s="343">
        <f t="shared" si="594"/>
        <v>7.2222222222222223</v>
      </c>
      <c r="CR382" s="40"/>
      <c r="CS382" s="39"/>
      <c r="CT382" s="38">
        <f t="shared" si="595"/>
        <v>260</v>
      </c>
      <c r="CU382" s="38">
        <f t="shared" si="596"/>
        <v>199</v>
      </c>
      <c r="CV382" s="38">
        <f t="shared" si="597"/>
        <v>102</v>
      </c>
      <c r="CW382" s="38">
        <f t="shared" si="598"/>
        <v>162</v>
      </c>
      <c r="CX382" s="38">
        <f t="shared" si="599"/>
        <v>169</v>
      </c>
      <c r="CY382" s="39">
        <f t="shared" si="600"/>
        <v>40</v>
      </c>
      <c r="CZ382" s="40">
        <f t="shared" si="601"/>
        <v>33</v>
      </c>
      <c r="DA382" s="40">
        <f t="shared" si="602"/>
        <v>17</v>
      </c>
      <c r="DB382" s="40">
        <f t="shared" si="603"/>
        <v>1</v>
      </c>
      <c r="DC382" s="40">
        <f t="shared" si="604"/>
        <v>2</v>
      </c>
      <c r="DD382" s="40">
        <f t="shared" si="605"/>
        <v>0</v>
      </c>
      <c r="DE382" s="40">
        <f t="shared" si="606"/>
        <v>94</v>
      </c>
      <c r="DF382" s="40">
        <f t="shared" si="607"/>
        <v>261</v>
      </c>
      <c r="DG382" s="40">
        <f t="shared" si="608"/>
        <v>2173</v>
      </c>
      <c r="DH382" s="40">
        <f t="shared" si="609"/>
        <v>526</v>
      </c>
      <c r="DI382" s="40">
        <f t="shared" si="610"/>
        <v>97</v>
      </c>
      <c r="DJ382" s="40">
        <f t="shared" si="611"/>
        <v>334</v>
      </c>
      <c r="DK382" s="39">
        <f t="shared" si="612"/>
        <v>266</v>
      </c>
      <c r="DL382" s="40">
        <f t="shared" si="613"/>
        <v>104</v>
      </c>
      <c r="DM382" s="40">
        <f t="shared" si="614"/>
        <v>163</v>
      </c>
      <c r="DN382" s="40">
        <f t="shared" si="615"/>
        <v>225</v>
      </c>
      <c r="DO382" s="40">
        <f t="shared" si="616"/>
        <v>187</v>
      </c>
      <c r="DP382" s="40">
        <f t="shared" si="617"/>
        <v>88</v>
      </c>
      <c r="DQ382" s="40">
        <f t="shared" si="618"/>
        <v>103</v>
      </c>
      <c r="DR382" s="40">
        <f t="shared" si="623"/>
        <v>34</v>
      </c>
      <c r="DS382" s="40">
        <f t="shared" si="624"/>
        <v>3</v>
      </c>
      <c r="DT382" s="40">
        <f t="shared" si="619"/>
        <v>0</v>
      </c>
      <c r="DU382" s="40">
        <f t="shared" si="620"/>
        <v>8.2222222222222214</v>
      </c>
      <c r="DV382" s="40">
        <f t="shared" si="621"/>
        <v>0</v>
      </c>
      <c r="DW382" s="40">
        <f t="shared" si="622"/>
        <v>0</v>
      </c>
    </row>
    <row r="383" spans="1:127">
      <c r="A383" s="22" t="s">
        <v>33</v>
      </c>
      <c r="B383" s="26">
        <v>4987176214232</v>
      </c>
      <c r="C383" s="22" t="s">
        <v>34</v>
      </c>
      <c r="D383" s="22" t="s">
        <v>36</v>
      </c>
      <c r="E383" s="22">
        <v>224569</v>
      </c>
      <c r="F383" s="80" t="s">
        <v>471</v>
      </c>
      <c r="G383" s="25">
        <v>109.3</v>
      </c>
      <c r="H383" s="38">
        <f t="shared" si="567"/>
        <v>41096.799999999996</v>
      </c>
      <c r="I383" s="38">
        <f t="shared" si="568"/>
        <v>20657.7</v>
      </c>
      <c r="J383" s="38">
        <f t="shared" si="569"/>
        <v>13443.9</v>
      </c>
      <c r="K383" s="38">
        <f t="shared" si="570"/>
        <v>25357.599999999999</v>
      </c>
      <c r="L383" s="38">
        <f t="shared" si="571"/>
        <v>47436.2</v>
      </c>
      <c r="M383" s="39">
        <f t="shared" si="572"/>
        <v>27434.3</v>
      </c>
      <c r="N383" s="40">
        <f t="shared" si="573"/>
        <v>23171.599999999999</v>
      </c>
      <c r="O383" s="40">
        <f t="shared" si="574"/>
        <v>38036.400000000001</v>
      </c>
      <c r="P383" s="40">
        <f t="shared" si="575"/>
        <v>17160.099999999999</v>
      </c>
      <c r="Q383" s="40">
        <f t="shared" si="576"/>
        <v>125367.09999999999</v>
      </c>
      <c r="R383" s="40">
        <f t="shared" si="577"/>
        <v>555681.19999999995</v>
      </c>
      <c r="S383" s="40">
        <f t="shared" si="578"/>
        <v>103835</v>
      </c>
      <c r="T383" s="40">
        <f t="shared" si="579"/>
        <v>55633.7</v>
      </c>
      <c r="U383" s="40">
        <f t="shared" si="580"/>
        <v>62191.7</v>
      </c>
      <c r="V383" s="40">
        <f t="shared" si="581"/>
        <v>38036.400000000001</v>
      </c>
      <c r="W383" s="40">
        <f t="shared" si="582"/>
        <v>72575.199999999997</v>
      </c>
      <c r="X383" s="40">
        <f t="shared" si="583"/>
        <v>22625.1</v>
      </c>
      <c r="Y383" s="39">
        <f t="shared" si="584"/>
        <v>4590.5999999999995</v>
      </c>
      <c r="Z383" s="40">
        <f t="shared" si="585"/>
        <v>874.4</v>
      </c>
      <c r="AA383" s="40">
        <f t="shared" si="586"/>
        <v>874.4</v>
      </c>
      <c r="AB383" s="40">
        <f t="shared" si="587"/>
        <v>109.3</v>
      </c>
      <c r="AC383" s="40">
        <f t="shared" si="588"/>
        <v>109.3</v>
      </c>
      <c r="AD383" s="40">
        <f t="shared" si="589"/>
        <v>0</v>
      </c>
      <c r="AE383" s="40">
        <f t="shared" si="590"/>
        <v>0</v>
      </c>
      <c r="AF383" s="40">
        <f t="shared" si="591"/>
        <v>0</v>
      </c>
      <c r="AG383" s="40">
        <f t="shared" si="592"/>
        <v>0</v>
      </c>
      <c r="AH383" s="40">
        <f t="shared" si="535"/>
        <v>0</v>
      </c>
      <c r="AI383" s="40">
        <f t="shared" si="536"/>
        <v>0</v>
      </c>
      <c r="AJ383" s="40">
        <f t="shared" si="537"/>
        <v>0</v>
      </c>
      <c r="AK383" s="39">
        <f t="shared" si="538"/>
        <v>0</v>
      </c>
      <c r="AL383" s="38">
        <v>356</v>
      </c>
      <c r="AM383" s="38">
        <v>187</v>
      </c>
      <c r="AN383" s="38">
        <v>116</v>
      </c>
      <c r="AO383" s="38">
        <v>220</v>
      </c>
      <c r="AP383" s="38">
        <v>409</v>
      </c>
      <c r="AQ383" s="39">
        <v>233</v>
      </c>
      <c r="AR383" s="40">
        <v>204</v>
      </c>
      <c r="AS383" s="40">
        <v>312</v>
      </c>
      <c r="AT383" s="40">
        <v>150</v>
      </c>
      <c r="AU383" s="40">
        <v>1092</v>
      </c>
      <c r="AV383" s="40">
        <v>4920</v>
      </c>
      <c r="AW383" s="40">
        <v>835</v>
      </c>
      <c r="AX383" s="40">
        <v>398</v>
      </c>
      <c r="AY383" s="40">
        <v>336</v>
      </c>
      <c r="AZ383" s="40">
        <v>161</v>
      </c>
      <c r="BA383" s="40">
        <v>260</v>
      </c>
      <c r="BB383" s="40">
        <v>147</v>
      </c>
      <c r="BC383" s="39">
        <v>42</v>
      </c>
      <c r="BD383" s="40">
        <v>8</v>
      </c>
      <c r="BE383" s="40">
        <v>8</v>
      </c>
      <c r="BF383" s="40">
        <v>1</v>
      </c>
      <c r="BG383" s="40">
        <f>VLOOKUP(E383,'[1]Offline Offtake'!$G$522:$FL$619,161,0)</f>
        <v>1</v>
      </c>
      <c r="BH383" s="40">
        <v>0</v>
      </c>
      <c r="BI383" s="40">
        <v>0</v>
      </c>
      <c r="BJ383" s="40">
        <v>0</v>
      </c>
      <c r="BK383" s="40">
        <v>0</v>
      </c>
      <c r="BL383" s="40">
        <v>0</v>
      </c>
      <c r="BM383" s="40">
        <v>0</v>
      </c>
      <c r="BN383" s="40"/>
      <c r="BO383" s="39"/>
      <c r="BP383" s="21">
        <v>20</v>
      </c>
      <c r="BQ383" s="21">
        <v>2</v>
      </c>
      <c r="BR383" s="21">
        <v>7</v>
      </c>
      <c r="BS383" s="21">
        <v>12</v>
      </c>
      <c r="BT383" s="21">
        <v>25</v>
      </c>
      <c r="BU383" s="42">
        <v>18</v>
      </c>
      <c r="BV383" s="21">
        <v>8</v>
      </c>
      <c r="BW383" s="21">
        <v>36</v>
      </c>
      <c r="BX383" s="21">
        <v>7</v>
      </c>
      <c r="BY383" s="21">
        <v>55</v>
      </c>
      <c r="BZ383" s="21">
        <v>164</v>
      </c>
      <c r="CA383" s="21">
        <v>115</v>
      </c>
      <c r="CB383" s="21">
        <v>111</v>
      </c>
      <c r="CC383" s="21">
        <v>233</v>
      </c>
      <c r="CD383" s="21">
        <v>187</v>
      </c>
      <c r="CE383" s="21">
        <v>404</v>
      </c>
      <c r="CF383" s="21">
        <v>60</v>
      </c>
      <c r="CG383" s="42">
        <v>0</v>
      </c>
      <c r="CH383" s="21">
        <v>0</v>
      </c>
      <c r="CI383" s="21">
        <v>0</v>
      </c>
      <c r="CJ383" s="21">
        <v>0</v>
      </c>
      <c r="CK383" s="21">
        <v>0</v>
      </c>
      <c r="CL383" s="21">
        <v>0</v>
      </c>
      <c r="CM383" s="21">
        <v>0</v>
      </c>
      <c r="CN383" s="21">
        <v>0</v>
      </c>
      <c r="CO383" s="21">
        <v>0</v>
      </c>
      <c r="CP383" s="21">
        <f t="shared" si="593"/>
        <v>0</v>
      </c>
      <c r="CQ383" s="343">
        <f t="shared" si="594"/>
        <v>0</v>
      </c>
      <c r="CR383" s="40"/>
      <c r="CS383" s="39"/>
      <c r="CT383" s="38">
        <f t="shared" si="595"/>
        <v>376</v>
      </c>
      <c r="CU383" s="38">
        <f t="shared" si="596"/>
        <v>189</v>
      </c>
      <c r="CV383" s="38">
        <f t="shared" si="597"/>
        <v>123</v>
      </c>
      <c r="CW383" s="38">
        <f t="shared" si="598"/>
        <v>232</v>
      </c>
      <c r="CX383" s="38">
        <f t="shared" si="599"/>
        <v>434</v>
      </c>
      <c r="CY383" s="39">
        <f t="shared" si="600"/>
        <v>251</v>
      </c>
      <c r="CZ383" s="40">
        <f t="shared" si="601"/>
        <v>212</v>
      </c>
      <c r="DA383" s="40">
        <f t="shared" si="602"/>
        <v>348</v>
      </c>
      <c r="DB383" s="40">
        <f t="shared" si="603"/>
        <v>157</v>
      </c>
      <c r="DC383" s="40">
        <f t="shared" si="604"/>
        <v>1147</v>
      </c>
      <c r="DD383" s="40">
        <f t="shared" si="605"/>
        <v>5084</v>
      </c>
      <c r="DE383" s="40">
        <f t="shared" si="606"/>
        <v>950</v>
      </c>
      <c r="DF383" s="40">
        <f t="shared" si="607"/>
        <v>509</v>
      </c>
      <c r="DG383" s="40">
        <f t="shared" si="608"/>
        <v>569</v>
      </c>
      <c r="DH383" s="40">
        <f t="shared" si="609"/>
        <v>348</v>
      </c>
      <c r="DI383" s="40">
        <f t="shared" si="610"/>
        <v>664</v>
      </c>
      <c r="DJ383" s="40">
        <f t="shared" si="611"/>
        <v>207</v>
      </c>
      <c r="DK383" s="39">
        <f t="shared" si="612"/>
        <v>42</v>
      </c>
      <c r="DL383" s="40">
        <f t="shared" si="613"/>
        <v>8</v>
      </c>
      <c r="DM383" s="40">
        <f t="shared" si="614"/>
        <v>8</v>
      </c>
      <c r="DN383" s="40">
        <f t="shared" si="615"/>
        <v>1</v>
      </c>
      <c r="DO383" s="40">
        <f t="shared" si="616"/>
        <v>1</v>
      </c>
      <c r="DP383" s="40">
        <f t="shared" si="617"/>
        <v>0</v>
      </c>
      <c r="DQ383" s="40">
        <f t="shared" si="618"/>
        <v>0</v>
      </c>
      <c r="DR383" s="40">
        <f t="shared" si="623"/>
        <v>0</v>
      </c>
      <c r="DS383" s="40">
        <f t="shared" si="624"/>
        <v>0</v>
      </c>
      <c r="DT383" s="40">
        <f t="shared" si="619"/>
        <v>0</v>
      </c>
      <c r="DU383" s="40">
        <f t="shared" si="620"/>
        <v>0</v>
      </c>
      <c r="DV383" s="40">
        <f t="shared" si="621"/>
        <v>0</v>
      </c>
      <c r="DW383" s="40">
        <f t="shared" si="622"/>
        <v>0</v>
      </c>
    </row>
    <row r="384" spans="1:127">
      <c r="A384" s="22" t="s">
        <v>33</v>
      </c>
      <c r="B384" s="26">
        <v>4987176214225</v>
      </c>
      <c r="C384" s="22" t="s">
        <v>34</v>
      </c>
      <c r="D384" s="22" t="s">
        <v>36</v>
      </c>
      <c r="E384" s="22">
        <v>224684</v>
      </c>
      <c r="F384" s="80" t="s">
        <v>472</v>
      </c>
      <c r="G384" s="25">
        <v>109.3</v>
      </c>
      <c r="H384" s="38">
        <f t="shared" si="567"/>
        <v>46124.6</v>
      </c>
      <c r="I384" s="38">
        <f t="shared" si="568"/>
        <v>18034.5</v>
      </c>
      <c r="J384" s="38">
        <f t="shared" si="569"/>
        <v>14536.9</v>
      </c>
      <c r="K384" s="38">
        <f t="shared" si="570"/>
        <v>26887.8</v>
      </c>
      <c r="L384" s="38">
        <f t="shared" si="571"/>
        <v>54103.5</v>
      </c>
      <c r="M384" s="39">
        <f t="shared" si="572"/>
        <v>30385.399999999998</v>
      </c>
      <c r="N384" s="40">
        <f t="shared" si="573"/>
        <v>33773.699999999997</v>
      </c>
      <c r="O384" s="40">
        <f t="shared" si="574"/>
        <v>46343.199999999997</v>
      </c>
      <c r="P384" s="40">
        <f t="shared" si="575"/>
        <v>19346.099999999999</v>
      </c>
      <c r="Q384" s="40">
        <f t="shared" si="576"/>
        <v>142636.5</v>
      </c>
      <c r="R384" s="40">
        <f t="shared" si="577"/>
        <v>577541.19999999995</v>
      </c>
      <c r="S384" s="40">
        <f t="shared" si="578"/>
        <v>122634.59999999999</v>
      </c>
      <c r="T384" s="40">
        <f t="shared" si="579"/>
        <v>67110.2</v>
      </c>
      <c r="U384" s="40">
        <f t="shared" si="580"/>
        <v>72138</v>
      </c>
      <c r="V384" s="40">
        <f t="shared" si="581"/>
        <v>35085.299999999996</v>
      </c>
      <c r="W384" s="40">
        <f t="shared" si="582"/>
        <v>44485.1</v>
      </c>
      <c r="X384" s="40">
        <f t="shared" si="583"/>
        <v>18143.8</v>
      </c>
      <c r="Y384" s="39">
        <f t="shared" si="584"/>
        <v>2841.7999999999997</v>
      </c>
      <c r="Z384" s="40">
        <f t="shared" si="585"/>
        <v>874.4</v>
      </c>
      <c r="AA384" s="40">
        <f t="shared" si="586"/>
        <v>437.2</v>
      </c>
      <c r="AB384" s="40">
        <f t="shared" si="587"/>
        <v>327.9</v>
      </c>
      <c r="AC384" s="40">
        <f t="shared" si="588"/>
        <v>0</v>
      </c>
      <c r="AD384" s="40">
        <f t="shared" si="589"/>
        <v>0</v>
      </c>
      <c r="AE384" s="40">
        <f t="shared" si="590"/>
        <v>0</v>
      </c>
      <c r="AF384" s="40">
        <f t="shared" si="591"/>
        <v>0</v>
      </c>
      <c r="AG384" s="40">
        <f t="shared" si="592"/>
        <v>0</v>
      </c>
      <c r="AH384" s="40">
        <f t="shared" ref="AH384:AH447" si="625">DT384*$G384</f>
        <v>109.3</v>
      </c>
      <c r="AI384" s="40">
        <f t="shared" ref="AI384:AI447" si="626">DU384*$G384</f>
        <v>0</v>
      </c>
      <c r="AJ384" s="40">
        <f t="shared" ref="AJ384:AJ447" si="627">DV384*$G384</f>
        <v>0</v>
      </c>
      <c r="AK384" s="39">
        <f t="shared" ref="AK384:AK447" si="628">DW384*$G384</f>
        <v>0</v>
      </c>
      <c r="AL384" s="38">
        <v>402</v>
      </c>
      <c r="AM384" s="38">
        <v>162</v>
      </c>
      <c r="AN384" s="38">
        <v>127</v>
      </c>
      <c r="AO384" s="38">
        <v>240</v>
      </c>
      <c r="AP384" s="38">
        <v>469</v>
      </c>
      <c r="AQ384" s="39">
        <v>265</v>
      </c>
      <c r="AR384" s="40">
        <v>308</v>
      </c>
      <c r="AS384" s="40">
        <v>396</v>
      </c>
      <c r="AT384" s="40">
        <v>172</v>
      </c>
      <c r="AU384" s="40">
        <v>1259</v>
      </c>
      <c r="AV384" s="40">
        <v>5117</v>
      </c>
      <c r="AW384" s="40">
        <v>963</v>
      </c>
      <c r="AX384" s="40">
        <v>452</v>
      </c>
      <c r="AY384" s="40">
        <v>342</v>
      </c>
      <c r="AZ384" s="40">
        <v>135</v>
      </c>
      <c r="BA384" s="40">
        <v>228</v>
      </c>
      <c r="BB384" s="40">
        <v>133</v>
      </c>
      <c r="BC384" s="39">
        <v>26</v>
      </c>
      <c r="BD384" s="40">
        <v>8</v>
      </c>
      <c r="BE384" s="40">
        <v>4</v>
      </c>
      <c r="BF384" s="40">
        <v>3</v>
      </c>
      <c r="BG384" s="40">
        <f>VLOOKUP(E384,'[1]Offline Offtake'!$G$522:$FL$619,161,0)</f>
        <v>0</v>
      </c>
      <c r="BH384" s="40">
        <v>0</v>
      </c>
      <c r="BI384" s="40">
        <v>0</v>
      </c>
      <c r="BJ384" s="40">
        <v>0</v>
      </c>
      <c r="BK384" s="40">
        <v>0</v>
      </c>
      <c r="BL384" s="40">
        <v>1</v>
      </c>
      <c r="BM384" s="40">
        <v>0</v>
      </c>
      <c r="BN384" s="40"/>
      <c r="BO384" s="39"/>
      <c r="BP384" s="21">
        <v>20</v>
      </c>
      <c r="BQ384" s="21">
        <v>3</v>
      </c>
      <c r="BR384" s="21">
        <v>6</v>
      </c>
      <c r="BS384" s="21">
        <v>6</v>
      </c>
      <c r="BT384" s="21">
        <v>26</v>
      </c>
      <c r="BU384" s="42">
        <v>13</v>
      </c>
      <c r="BV384" s="21">
        <v>1</v>
      </c>
      <c r="BW384" s="21">
        <v>28</v>
      </c>
      <c r="BX384" s="21">
        <v>5</v>
      </c>
      <c r="BY384" s="21">
        <v>46</v>
      </c>
      <c r="BZ384" s="21">
        <v>167</v>
      </c>
      <c r="CA384" s="21">
        <v>159</v>
      </c>
      <c r="CB384" s="21">
        <v>162</v>
      </c>
      <c r="CC384" s="21">
        <v>318</v>
      </c>
      <c r="CD384" s="21">
        <v>186</v>
      </c>
      <c r="CE384" s="21">
        <v>179</v>
      </c>
      <c r="CF384" s="21">
        <v>33</v>
      </c>
      <c r="CG384" s="42">
        <v>0</v>
      </c>
      <c r="CH384" s="21">
        <v>0</v>
      </c>
      <c r="CI384" s="21">
        <v>0</v>
      </c>
      <c r="CJ384" s="21">
        <v>0</v>
      </c>
      <c r="CK384" s="21">
        <v>0</v>
      </c>
      <c r="CL384" s="21">
        <v>0</v>
      </c>
      <c r="CM384" s="21">
        <v>0</v>
      </c>
      <c r="CN384" s="21">
        <v>0</v>
      </c>
      <c r="CO384" s="21">
        <v>0</v>
      </c>
      <c r="CP384" s="21">
        <f t="shared" si="593"/>
        <v>0</v>
      </c>
      <c r="CQ384" s="343">
        <f t="shared" si="594"/>
        <v>0</v>
      </c>
      <c r="CR384" s="40"/>
      <c r="CS384" s="39"/>
      <c r="CT384" s="38">
        <f t="shared" si="595"/>
        <v>422</v>
      </c>
      <c r="CU384" s="38">
        <f t="shared" si="596"/>
        <v>165</v>
      </c>
      <c r="CV384" s="38">
        <f t="shared" si="597"/>
        <v>133</v>
      </c>
      <c r="CW384" s="38">
        <f t="shared" si="598"/>
        <v>246</v>
      </c>
      <c r="CX384" s="38">
        <f t="shared" si="599"/>
        <v>495</v>
      </c>
      <c r="CY384" s="39">
        <f t="shared" si="600"/>
        <v>278</v>
      </c>
      <c r="CZ384" s="40">
        <f t="shared" si="601"/>
        <v>309</v>
      </c>
      <c r="DA384" s="40">
        <f t="shared" si="602"/>
        <v>424</v>
      </c>
      <c r="DB384" s="40">
        <f t="shared" si="603"/>
        <v>177</v>
      </c>
      <c r="DC384" s="40">
        <f t="shared" si="604"/>
        <v>1305</v>
      </c>
      <c r="DD384" s="40">
        <f t="shared" si="605"/>
        <v>5284</v>
      </c>
      <c r="DE384" s="40">
        <f t="shared" si="606"/>
        <v>1122</v>
      </c>
      <c r="DF384" s="40">
        <f t="shared" si="607"/>
        <v>614</v>
      </c>
      <c r="DG384" s="40">
        <f t="shared" si="608"/>
        <v>660</v>
      </c>
      <c r="DH384" s="40">
        <f t="shared" si="609"/>
        <v>321</v>
      </c>
      <c r="DI384" s="40">
        <f t="shared" si="610"/>
        <v>407</v>
      </c>
      <c r="DJ384" s="40">
        <f t="shared" si="611"/>
        <v>166</v>
      </c>
      <c r="DK384" s="39">
        <f t="shared" si="612"/>
        <v>26</v>
      </c>
      <c r="DL384" s="40">
        <f t="shared" si="613"/>
        <v>8</v>
      </c>
      <c r="DM384" s="40">
        <f t="shared" si="614"/>
        <v>4</v>
      </c>
      <c r="DN384" s="40">
        <f t="shared" si="615"/>
        <v>3</v>
      </c>
      <c r="DO384" s="40">
        <f t="shared" si="616"/>
        <v>0</v>
      </c>
      <c r="DP384" s="40">
        <f t="shared" si="617"/>
        <v>0</v>
      </c>
      <c r="DQ384" s="40">
        <f t="shared" si="618"/>
        <v>0</v>
      </c>
      <c r="DR384" s="40">
        <f t="shared" si="623"/>
        <v>0</v>
      </c>
      <c r="DS384" s="40">
        <f t="shared" si="624"/>
        <v>0</v>
      </c>
      <c r="DT384" s="40">
        <f t="shared" si="619"/>
        <v>1</v>
      </c>
      <c r="DU384" s="40">
        <f t="shared" si="620"/>
        <v>0</v>
      </c>
      <c r="DV384" s="40">
        <f t="shared" si="621"/>
        <v>0</v>
      </c>
      <c r="DW384" s="40">
        <f t="shared" si="622"/>
        <v>0</v>
      </c>
    </row>
    <row r="385" spans="1:127">
      <c r="A385" s="22" t="s">
        <v>33</v>
      </c>
      <c r="B385" s="26">
        <v>4987176214249</v>
      </c>
      <c r="C385" s="22" t="s">
        <v>34</v>
      </c>
      <c r="D385" s="22" t="s">
        <v>36</v>
      </c>
      <c r="E385" s="22">
        <v>224814</v>
      </c>
      <c r="F385" s="80" t="s">
        <v>473</v>
      </c>
      <c r="G385" s="25">
        <v>109.3</v>
      </c>
      <c r="H385" s="38">
        <f t="shared" si="567"/>
        <v>41315.4</v>
      </c>
      <c r="I385" s="38">
        <f t="shared" si="568"/>
        <v>19674</v>
      </c>
      <c r="J385" s="38">
        <f t="shared" si="569"/>
        <v>13881.1</v>
      </c>
      <c r="K385" s="38">
        <f t="shared" si="570"/>
        <v>25794.799999999999</v>
      </c>
      <c r="L385" s="38">
        <f t="shared" si="571"/>
        <v>48529.2</v>
      </c>
      <c r="M385" s="39">
        <f t="shared" si="572"/>
        <v>23608.799999999999</v>
      </c>
      <c r="N385" s="40">
        <f t="shared" si="573"/>
        <v>22078.6</v>
      </c>
      <c r="O385" s="40">
        <f t="shared" si="574"/>
        <v>34866.699999999997</v>
      </c>
      <c r="P385" s="40">
        <f t="shared" si="575"/>
        <v>13006.699999999999</v>
      </c>
      <c r="Q385" s="40">
        <f t="shared" si="576"/>
        <v>20767</v>
      </c>
      <c r="R385" s="40">
        <f t="shared" si="577"/>
        <v>47654.799999999996</v>
      </c>
      <c r="S385" s="40">
        <f t="shared" si="578"/>
        <v>21313.5</v>
      </c>
      <c r="T385" s="40">
        <f t="shared" si="579"/>
        <v>10274.199999999999</v>
      </c>
      <c r="U385" s="40">
        <f t="shared" si="580"/>
        <v>4590.5999999999995</v>
      </c>
      <c r="V385" s="40">
        <f t="shared" si="581"/>
        <v>546.5</v>
      </c>
      <c r="W385" s="40">
        <f t="shared" si="582"/>
        <v>0</v>
      </c>
      <c r="X385" s="40">
        <f t="shared" si="583"/>
        <v>0</v>
      </c>
      <c r="Y385" s="39">
        <f t="shared" si="584"/>
        <v>0</v>
      </c>
      <c r="Z385" s="40">
        <f t="shared" si="585"/>
        <v>0</v>
      </c>
      <c r="AA385" s="40">
        <f t="shared" si="586"/>
        <v>0</v>
      </c>
      <c r="AB385" s="40">
        <f t="shared" si="587"/>
        <v>0</v>
      </c>
      <c r="AC385" s="40">
        <f t="shared" si="588"/>
        <v>0</v>
      </c>
      <c r="AD385" s="40">
        <f t="shared" si="589"/>
        <v>0</v>
      </c>
      <c r="AE385" s="40">
        <f t="shared" si="590"/>
        <v>0</v>
      </c>
      <c r="AF385" s="40">
        <f t="shared" si="591"/>
        <v>0</v>
      </c>
      <c r="AG385" s="40">
        <f t="shared" si="592"/>
        <v>0</v>
      </c>
      <c r="AH385" s="40">
        <f t="shared" si="625"/>
        <v>0</v>
      </c>
      <c r="AI385" s="40">
        <f t="shared" si="626"/>
        <v>0</v>
      </c>
      <c r="AJ385" s="40">
        <f t="shared" si="627"/>
        <v>0</v>
      </c>
      <c r="AK385" s="39">
        <f t="shared" si="628"/>
        <v>0</v>
      </c>
      <c r="AL385" s="38">
        <v>356</v>
      </c>
      <c r="AM385" s="38">
        <v>171</v>
      </c>
      <c r="AN385" s="38">
        <v>115</v>
      </c>
      <c r="AO385" s="38">
        <v>224</v>
      </c>
      <c r="AP385" s="38">
        <v>418</v>
      </c>
      <c r="AQ385" s="39">
        <v>194</v>
      </c>
      <c r="AR385" s="40">
        <v>194</v>
      </c>
      <c r="AS385" s="40">
        <v>282</v>
      </c>
      <c r="AT385" s="40">
        <v>119</v>
      </c>
      <c r="AU385" s="40">
        <v>174</v>
      </c>
      <c r="AV385" s="40">
        <v>372</v>
      </c>
      <c r="AW385" s="40">
        <v>195</v>
      </c>
      <c r="AX385" s="40">
        <v>94</v>
      </c>
      <c r="AY385" s="40">
        <v>42</v>
      </c>
      <c r="AZ385" s="40">
        <v>5</v>
      </c>
      <c r="BA385" s="40">
        <v>0</v>
      </c>
      <c r="BB385" s="40">
        <v>0</v>
      </c>
      <c r="BC385" s="39">
        <v>0</v>
      </c>
      <c r="BD385" s="40">
        <v>0</v>
      </c>
      <c r="BE385" s="40">
        <v>0</v>
      </c>
      <c r="BF385" s="40">
        <v>0</v>
      </c>
      <c r="BG385" s="40">
        <f>VLOOKUP(E385,'[1]Offline Offtake'!$G$522:$FL$619,161,0)</f>
        <v>0</v>
      </c>
      <c r="BH385" s="40">
        <v>0</v>
      </c>
      <c r="BI385" s="40">
        <v>0</v>
      </c>
      <c r="BJ385" s="40">
        <v>0</v>
      </c>
      <c r="BK385" s="40">
        <v>0</v>
      </c>
      <c r="BL385" s="40">
        <v>0</v>
      </c>
      <c r="BM385" s="40">
        <v>0</v>
      </c>
      <c r="BN385" s="40"/>
      <c r="BO385" s="39"/>
      <c r="BP385" s="21">
        <v>22</v>
      </c>
      <c r="BQ385" s="21">
        <v>9</v>
      </c>
      <c r="BR385" s="21">
        <v>12</v>
      </c>
      <c r="BS385" s="21">
        <v>12</v>
      </c>
      <c r="BT385" s="21">
        <v>26</v>
      </c>
      <c r="BU385" s="42">
        <v>22</v>
      </c>
      <c r="BV385" s="21">
        <v>8</v>
      </c>
      <c r="BW385" s="21">
        <v>37</v>
      </c>
      <c r="BX385" s="21">
        <v>0</v>
      </c>
      <c r="BY385" s="21">
        <v>16</v>
      </c>
      <c r="BZ385" s="21">
        <v>64</v>
      </c>
      <c r="CA385" s="21">
        <v>0</v>
      </c>
      <c r="CB385" s="21">
        <v>0</v>
      </c>
      <c r="CC385" s="21">
        <v>0</v>
      </c>
      <c r="CD385" s="21">
        <v>0</v>
      </c>
      <c r="CE385" s="21">
        <v>0</v>
      </c>
      <c r="CF385" s="21">
        <v>0</v>
      </c>
      <c r="CG385" s="42">
        <v>0</v>
      </c>
      <c r="CH385" s="21">
        <v>0</v>
      </c>
      <c r="CI385" s="21">
        <v>0</v>
      </c>
      <c r="CJ385" s="21">
        <v>0</v>
      </c>
      <c r="CK385" s="21">
        <v>0</v>
      </c>
      <c r="CL385" s="21">
        <v>0</v>
      </c>
      <c r="CM385" s="21">
        <v>0</v>
      </c>
      <c r="CN385" s="21">
        <v>0</v>
      </c>
      <c r="CO385" s="21">
        <v>0</v>
      </c>
      <c r="CP385" s="21">
        <f t="shared" si="593"/>
        <v>0</v>
      </c>
      <c r="CQ385" s="343">
        <f t="shared" si="594"/>
        <v>0</v>
      </c>
      <c r="CR385" s="40"/>
      <c r="CS385" s="39"/>
      <c r="CT385" s="38">
        <f t="shared" si="595"/>
        <v>378</v>
      </c>
      <c r="CU385" s="38">
        <f t="shared" si="596"/>
        <v>180</v>
      </c>
      <c r="CV385" s="38">
        <f t="shared" si="597"/>
        <v>127</v>
      </c>
      <c r="CW385" s="38">
        <f t="shared" si="598"/>
        <v>236</v>
      </c>
      <c r="CX385" s="38">
        <f t="shared" si="599"/>
        <v>444</v>
      </c>
      <c r="CY385" s="39">
        <f t="shared" si="600"/>
        <v>216</v>
      </c>
      <c r="CZ385" s="40">
        <f t="shared" si="601"/>
        <v>202</v>
      </c>
      <c r="DA385" s="40">
        <f t="shared" si="602"/>
        <v>319</v>
      </c>
      <c r="DB385" s="40">
        <f t="shared" si="603"/>
        <v>119</v>
      </c>
      <c r="DC385" s="40">
        <f t="shared" si="604"/>
        <v>190</v>
      </c>
      <c r="DD385" s="40">
        <f t="shared" si="605"/>
        <v>436</v>
      </c>
      <c r="DE385" s="40">
        <f t="shared" si="606"/>
        <v>195</v>
      </c>
      <c r="DF385" s="40">
        <f t="shared" si="607"/>
        <v>94</v>
      </c>
      <c r="DG385" s="40">
        <f t="shared" si="608"/>
        <v>42</v>
      </c>
      <c r="DH385" s="40">
        <f t="shared" si="609"/>
        <v>5</v>
      </c>
      <c r="DI385" s="40">
        <f t="shared" si="610"/>
        <v>0</v>
      </c>
      <c r="DJ385" s="40">
        <f t="shared" si="611"/>
        <v>0</v>
      </c>
      <c r="DK385" s="39">
        <f t="shared" si="612"/>
        <v>0</v>
      </c>
      <c r="DL385" s="40">
        <f t="shared" si="613"/>
        <v>0</v>
      </c>
      <c r="DM385" s="40">
        <f t="shared" si="614"/>
        <v>0</v>
      </c>
      <c r="DN385" s="40">
        <f t="shared" si="615"/>
        <v>0</v>
      </c>
      <c r="DO385" s="40">
        <f t="shared" si="616"/>
        <v>0</v>
      </c>
      <c r="DP385" s="40">
        <f t="shared" si="617"/>
        <v>0</v>
      </c>
      <c r="DQ385" s="40">
        <f t="shared" si="618"/>
        <v>0</v>
      </c>
      <c r="DR385" s="40">
        <f t="shared" si="623"/>
        <v>0</v>
      </c>
      <c r="DS385" s="40">
        <f t="shared" si="624"/>
        <v>0</v>
      </c>
      <c r="DT385" s="40">
        <f t="shared" si="619"/>
        <v>0</v>
      </c>
      <c r="DU385" s="40">
        <f t="shared" si="620"/>
        <v>0</v>
      </c>
      <c r="DV385" s="40">
        <f t="shared" si="621"/>
        <v>0</v>
      </c>
      <c r="DW385" s="40">
        <f t="shared" si="622"/>
        <v>0</v>
      </c>
    </row>
    <row r="386" spans="1:127">
      <c r="A386" s="22" t="s">
        <v>33</v>
      </c>
      <c r="B386" s="26">
        <v>4987176239037</v>
      </c>
      <c r="C386" s="22" t="s">
        <v>34</v>
      </c>
      <c r="D386" s="22" t="s">
        <v>36</v>
      </c>
      <c r="E386" s="22">
        <v>232960</v>
      </c>
      <c r="F386" s="80" t="s">
        <v>474</v>
      </c>
      <c r="G386" s="25">
        <v>65.314999999999998</v>
      </c>
      <c r="H386" s="38">
        <f t="shared" si="567"/>
        <v>0</v>
      </c>
      <c r="I386" s="38">
        <f t="shared" si="568"/>
        <v>325921.84999999998</v>
      </c>
      <c r="J386" s="38">
        <f t="shared" si="569"/>
        <v>194573.38499999998</v>
      </c>
      <c r="K386" s="38">
        <f t="shared" si="570"/>
        <v>24819.7</v>
      </c>
      <c r="L386" s="38">
        <f t="shared" si="571"/>
        <v>272820.755</v>
      </c>
      <c r="M386" s="39">
        <f t="shared" si="572"/>
        <v>325268.7</v>
      </c>
      <c r="N386" s="40">
        <f t="shared" si="573"/>
        <v>40821.875</v>
      </c>
      <c r="O386" s="40">
        <f t="shared" si="574"/>
        <v>38274.589999999997</v>
      </c>
      <c r="P386" s="40">
        <f t="shared" si="575"/>
        <v>23056.195</v>
      </c>
      <c r="Q386" s="40">
        <f t="shared" si="576"/>
        <v>32984.074999999997</v>
      </c>
      <c r="R386" s="40">
        <f t="shared" si="577"/>
        <v>19398.555</v>
      </c>
      <c r="S386" s="40">
        <f t="shared" si="578"/>
        <v>14238.67</v>
      </c>
      <c r="T386" s="40">
        <f t="shared" si="579"/>
        <v>15806.23</v>
      </c>
      <c r="U386" s="40">
        <f t="shared" si="580"/>
        <v>6858.0749999999998</v>
      </c>
      <c r="V386" s="40">
        <f t="shared" si="581"/>
        <v>849.09500000000003</v>
      </c>
      <c r="W386" s="40">
        <f t="shared" si="582"/>
        <v>130.63</v>
      </c>
      <c r="X386" s="40">
        <f t="shared" si="583"/>
        <v>0</v>
      </c>
      <c r="Y386" s="39">
        <f t="shared" si="584"/>
        <v>0</v>
      </c>
      <c r="Z386" s="40">
        <f t="shared" si="585"/>
        <v>0</v>
      </c>
      <c r="AA386" s="40">
        <f t="shared" si="586"/>
        <v>0</v>
      </c>
      <c r="AB386" s="40">
        <f t="shared" si="587"/>
        <v>0</v>
      </c>
      <c r="AC386" s="40">
        <f t="shared" si="588"/>
        <v>0</v>
      </c>
      <c r="AD386" s="40">
        <f t="shared" si="589"/>
        <v>0</v>
      </c>
      <c r="AE386" s="40">
        <f t="shared" si="590"/>
        <v>0</v>
      </c>
      <c r="AF386" s="40">
        <f t="shared" si="591"/>
        <v>0</v>
      </c>
      <c r="AG386" s="40">
        <f t="shared" si="592"/>
        <v>0</v>
      </c>
      <c r="AH386" s="40">
        <f t="shared" si="625"/>
        <v>0</v>
      </c>
      <c r="AI386" s="40">
        <f t="shared" si="626"/>
        <v>0</v>
      </c>
      <c r="AJ386" s="40">
        <f t="shared" si="627"/>
        <v>0</v>
      </c>
      <c r="AK386" s="39">
        <f t="shared" si="628"/>
        <v>0</v>
      </c>
      <c r="AL386" s="38">
        <v>0</v>
      </c>
      <c r="AM386" s="38">
        <v>4854</v>
      </c>
      <c r="AN386" s="38">
        <v>2772</v>
      </c>
      <c r="AO386" s="38">
        <v>374</v>
      </c>
      <c r="AP386" s="38">
        <v>4119</v>
      </c>
      <c r="AQ386" s="39">
        <v>3516</v>
      </c>
      <c r="AR386" s="40">
        <v>592</v>
      </c>
      <c r="AS386" s="40">
        <v>575</v>
      </c>
      <c r="AT386" s="40">
        <v>342</v>
      </c>
      <c r="AU386" s="40">
        <v>490</v>
      </c>
      <c r="AV386" s="40">
        <v>274</v>
      </c>
      <c r="AW386" s="40">
        <v>208</v>
      </c>
      <c r="AX386" s="40">
        <v>182</v>
      </c>
      <c r="AY386" s="40">
        <v>105</v>
      </c>
      <c r="AZ386" s="40">
        <v>13</v>
      </c>
      <c r="BA386" s="40">
        <v>2</v>
      </c>
      <c r="BB386" s="40">
        <v>0</v>
      </c>
      <c r="BC386" s="39">
        <v>0</v>
      </c>
      <c r="BD386" s="40">
        <v>0</v>
      </c>
      <c r="BE386" s="40">
        <v>0</v>
      </c>
      <c r="BF386" s="40">
        <v>0</v>
      </c>
      <c r="BG386" s="40">
        <f>VLOOKUP(E386,'[1]Offline Offtake'!$G$522:$FL$619,161,0)</f>
        <v>0</v>
      </c>
      <c r="BH386" s="40">
        <v>0</v>
      </c>
      <c r="BI386" s="40">
        <v>0</v>
      </c>
      <c r="BJ386" s="40">
        <v>0</v>
      </c>
      <c r="BK386" s="40">
        <v>0</v>
      </c>
      <c r="BL386" s="40">
        <v>0</v>
      </c>
      <c r="BM386" s="40">
        <v>0</v>
      </c>
      <c r="BN386" s="40"/>
      <c r="BO386" s="39"/>
      <c r="BP386" s="21">
        <v>0</v>
      </c>
      <c r="BQ386" s="21">
        <v>136</v>
      </c>
      <c r="BR386" s="21">
        <v>207</v>
      </c>
      <c r="BS386" s="21">
        <v>6</v>
      </c>
      <c r="BT386" s="21">
        <v>58</v>
      </c>
      <c r="BU386" s="42">
        <v>1464</v>
      </c>
      <c r="BV386" s="21">
        <v>33</v>
      </c>
      <c r="BW386" s="21">
        <v>11</v>
      </c>
      <c r="BX386" s="21">
        <v>11</v>
      </c>
      <c r="BY386" s="21">
        <v>15</v>
      </c>
      <c r="BZ386" s="21">
        <v>23</v>
      </c>
      <c r="CA386" s="21">
        <v>10</v>
      </c>
      <c r="CB386" s="21">
        <v>60</v>
      </c>
      <c r="CC386" s="21">
        <v>0</v>
      </c>
      <c r="CD386" s="21">
        <v>0</v>
      </c>
      <c r="CE386" s="21">
        <v>0</v>
      </c>
      <c r="CF386" s="21">
        <v>0</v>
      </c>
      <c r="CG386" s="42">
        <v>0</v>
      </c>
      <c r="CH386" s="21">
        <v>0</v>
      </c>
      <c r="CI386" s="21">
        <v>0</v>
      </c>
      <c r="CJ386" s="21">
        <v>0</v>
      </c>
      <c r="CK386" s="21">
        <v>0</v>
      </c>
      <c r="CL386" s="21">
        <v>0</v>
      </c>
      <c r="CM386" s="21">
        <v>0</v>
      </c>
      <c r="CN386" s="21">
        <v>0</v>
      </c>
      <c r="CO386" s="21">
        <v>0</v>
      </c>
      <c r="CP386" s="21">
        <f t="shared" si="593"/>
        <v>0</v>
      </c>
      <c r="CQ386" s="343">
        <f t="shared" si="594"/>
        <v>0</v>
      </c>
      <c r="CR386" s="40"/>
      <c r="CS386" s="39"/>
      <c r="CT386" s="38">
        <f t="shared" si="595"/>
        <v>0</v>
      </c>
      <c r="CU386" s="38">
        <f t="shared" si="596"/>
        <v>4990</v>
      </c>
      <c r="CV386" s="38">
        <f t="shared" si="597"/>
        <v>2979</v>
      </c>
      <c r="CW386" s="38">
        <f t="shared" si="598"/>
        <v>380</v>
      </c>
      <c r="CX386" s="38">
        <f t="shared" si="599"/>
        <v>4177</v>
      </c>
      <c r="CY386" s="39">
        <f t="shared" si="600"/>
        <v>4980</v>
      </c>
      <c r="CZ386" s="40">
        <f t="shared" si="601"/>
        <v>625</v>
      </c>
      <c r="DA386" s="40">
        <f t="shared" si="602"/>
        <v>586</v>
      </c>
      <c r="DB386" s="40">
        <f t="shared" si="603"/>
        <v>353</v>
      </c>
      <c r="DC386" s="40">
        <f t="shared" si="604"/>
        <v>505</v>
      </c>
      <c r="DD386" s="40">
        <f t="shared" si="605"/>
        <v>297</v>
      </c>
      <c r="DE386" s="40">
        <f t="shared" si="606"/>
        <v>218</v>
      </c>
      <c r="DF386" s="40">
        <f t="shared" si="607"/>
        <v>242</v>
      </c>
      <c r="DG386" s="40">
        <f t="shared" si="608"/>
        <v>105</v>
      </c>
      <c r="DH386" s="40">
        <f t="shared" si="609"/>
        <v>13</v>
      </c>
      <c r="DI386" s="40">
        <f t="shared" si="610"/>
        <v>2</v>
      </c>
      <c r="DJ386" s="40">
        <f t="shared" si="611"/>
        <v>0</v>
      </c>
      <c r="DK386" s="39">
        <f t="shared" si="612"/>
        <v>0</v>
      </c>
      <c r="DL386" s="40">
        <f t="shared" si="613"/>
        <v>0</v>
      </c>
      <c r="DM386" s="40">
        <f t="shared" si="614"/>
        <v>0</v>
      </c>
      <c r="DN386" s="40">
        <f t="shared" si="615"/>
        <v>0</v>
      </c>
      <c r="DO386" s="40">
        <f t="shared" si="616"/>
        <v>0</v>
      </c>
      <c r="DP386" s="40">
        <f t="shared" si="617"/>
        <v>0</v>
      </c>
      <c r="DQ386" s="40">
        <f t="shared" si="618"/>
        <v>0</v>
      </c>
      <c r="DR386" s="40">
        <f t="shared" si="623"/>
        <v>0</v>
      </c>
      <c r="DS386" s="40">
        <f t="shared" si="624"/>
        <v>0</v>
      </c>
      <c r="DT386" s="40">
        <f t="shared" si="619"/>
        <v>0</v>
      </c>
      <c r="DU386" s="40">
        <f t="shared" si="620"/>
        <v>0</v>
      </c>
      <c r="DV386" s="40">
        <f t="shared" si="621"/>
        <v>0</v>
      </c>
      <c r="DW386" s="40">
        <f t="shared" si="622"/>
        <v>0</v>
      </c>
    </row>
    <row r="387" spans="1:127">
      <c r="A387" s="22" t="s">
        <v>33</v>
      </c>
      <c r="B387" s="26">
        <v>4987176090539</v>
      </c>
      <c r="C387" s="22" t="s">
        <v>34</v>
      </c>
      <c r="D387" s="22" t="s">
        <v>36</v>
      </c>
      <c r="E387" s="22">
        <v>121463</v>
      </c>
      <c r="F387" s="80" t="s">
        <v>475</v>
      </c>
      <c r="G387" s="25">
        <v>109.3</v>
      </c>
      <c r="H387" s="38">
        <f t="shared" ref="H387:H450" si="629">CT387*$G387</f>
        <v>22078.6</v>
      </c>
      <c r="I387" s="38">
        <f t="shared" ref="I387:I450" si="630">CU387*$G387</f>
        <v>25248.3</v>
      </c>
      <c r="J387" s="38">
        <f t="shared" ref="J387:J450" si="631">CV387*$G387</f>
        <v>21094.899999999998</v>
      </c>
      <c r="K387" s="38">
        <f t="shared" ref="K387:K450" si="632">CW387*$G387</f>
        <v>20220.5</v>
      </c>
      <c r="L387" s="38">
        <f t="shared" ref="L387:L450" si="633">CX387*$G387</f>
        <v>21532.1</v>
      </c>
      <c r="M387" s="39">
        <f t="shared" ref="M387:M450" si="634">CY387*$G387</f>
        <v>17597.3</v>
      </c>
      <c r="N387" s="40">
        <f t="shared" ref="N387:N450" si="635">CZ387*$G387</f>
        <v>16067.1</v>
      </c>
      <c r="O387" s="40">
        <f t="shared" ref="O387:O450" si="636">DA387*$G387</f>
        <v>18034.5</v>
      </c>
      <c r="P387" s="40">
        <f t="shared" ref="P387:P450" si="637">DB387*$G387</f>
        <v>16395</v>
      </c>
      <c r="Q387" s="40">
        <f t="shared" ref="Q387:Q450" si="638">DC387*$G387</f>
        <v>24483.200000000001</v>
      </c>
      <c r="R387" s="40">
        <f t="shared" ref="R387:R450" si="639">DD387*$G387</f>
        <v>31259.8</v>
      </c>
      <c r="S387" s="40">
        <f t="shared" ref="S387:S450" si="640">DE387*$G387</f>
        <v>10930</v>
      </c>
      <c r="T387" s="40">
        <f t="shared" ref="T387:T450" si="641">DF387*$G387</f>
        <v>4044.1</v>
      </c>
      <c r="U387" s="40">
        <f t="shared" ref="U387:U450" si="642">DG387*$G387</f>
        <v>1639.5</v>
      </c>
      <c r="V387" s="40">
        <f t="shared" ref="V387:V450" si="643">DH387*$G387</f>
        <v>218.6</v>
      </c>
      <c r="W387" s="40">
        <f t="shared" ref="W387:W450" si="644">DI387*$G387</f>
        <v>218.6</v>
      </c>
      <c r="X387" s="40">
        <f t="shared" ref="X387:X450" si="645">DJ387*$G387</f>
        <v>218.6</v>
      </c>
      <c r="Y387" s="39">
        <f t="shared" ref="Y387:Y450" si="646">DK387*$G387</f>
        <v>0</v>
      </c>
      <c r="Z387" s="40">
        <f t="shared" ref="Z387:Z450" si="647">DL387*$G387</f>
        <v>0</v>
      </c>
      <c r="AA387" s="40">
        <f t="shared" ref="AA387:AA450" si="648">DM387*$G387</f>
        <v>218.6</v>
      </c>
      <c r="AB387" s="40">
        <f t="shared" ref="AB387:AB450" si="649">DN387*$G387</f>
        <v>0</v>
      </c>
      <c r="AC387" s="40">
        <f t="shared" ref="AC387:AC450" si="650">DO387*$G387</f>
        <v>0</v>
      </c>
      <c r="AD387" s="40">
        <f t="shared" ref="AD387:AD450" si="651">DP387*$G387</f>
        <v>0</v>
      </c>
      <c r="AE387" s="40">
        <f t="shared" ref="AE387:AE450" si="652">DQ387*$G387</f>
        <v>0</v>
      </c>
      <c r="AF387" s="40">
        <f t="shared" ref="AF387:AF450" si="653">DR387*$G387</f>
        <v>0</v>
      </c>
      <c r="AG387" s="40">
        <f t="shared" ref="AG387:AG450" si="654">DS387*$G387</f>
        <v>0</v>
      </c>
      <c r="AH387" s="40">
        <f t="shared" si="625"/>
        <v>0</v>
      </c>
      <c r="AI387" s="40">
        <f t="shared" si="626"/>
        <v>0</v>
      </c>
      <c r="AJ387" s="40">
        <f t="shared" si="627"/>
        <v>0</v>
      </c>
      <c r="AK387" s="39">
        <f t="shared" si="628"/>
        <v>0</v>
      </c>
      <c r="AL387" s="38">
        <v>193</v>
      </c>
      <c r="AM387" s="38">
        <v>215</v>
      </c>
      <c r="AN387" s="38">
        <v>152</v>
      </c>
      <c r="AO387" s="38">
        <v>166</v>
      </c>
      <c r="AP387" s="38">
        <v>173</v>
      </c>
      <c r="AQ387" s="39">
        <v>122</v>
      </c>
      <c r="AR387" s="40">
        <v>130</v>
      </c>
      <c r="AS387" s="40">
        <v>135</v>
      </c>
      <c r="AT387" s="40">
        <v>117</v>
      </c>
      <c r="AU387" s="40">
        <v>166</v>
      </c>
      <c r="AV387" s="40">
        <v>285</v>
      </c>
      <c r="AW387" s="40">
        <v>100</v>
      </c>
      <c r="AX387" s="40">
        <v>37</v>
      </c>
      <c r="AY387" s="40">
        <v>15</v>
      </c>
      <c r="AZ387" s="40">
        <v>2</v>
      </c>
      <c r="BA387" s="40">
        <v>2</v>
      </c>
      <c r="BB387" s="40">
        <v>2</v>
      </c>
      <c r="BC387" s="39">
        <v>0</v>
      </c>
      <c r="BD387" s="40">
        <v>0</v>
      </c>
      <c r="BE387" s="40">
        <v>2</v>
      </c>
      <c r="BF387" s="40">
        <v>0</v>
      </c>
      <c r="BG387" s="40">
        <f>VLOOKUP(E387,'[1]Offline Offtake'!$G$522:$FL$619,161,0)</f>
        <v>0</v>
      </c>
      <c r="BH387" s="40">
        <v>0</v>
      </c>
      <c r="BI387" s="40">
        <v>0</v>
      </c>
      <c r="BJ387" s="40">
        <v>0</v>
      </c>
      <c r="BK387" s="40">
        <v>0</v>
      </c>
      <c r="BL387" s="40">
        <v>0</v>
      </c>
      <c r="BM387" s="40">
        <v>0</v>
      </c>
      <c r="BN387" s="40"/>
      <c r="BO387" s="39"/>
      <c r="BP387" s="21">
        <v>9</v>
      </c>
      <c r="BQ387" s="21">
        <v>16</v>
      </c>
      <c r="BR387" s="21">
        <v>41</v>
      </c>
      <c r="BS387" s="21">
        <v>19</v>
      </c>
      <c r="BT387" s="21">
        <v>24</v>
      </c>
      <c r="BU387" s="42">
        <v>39</v>
      </c>
      <c r="BV387" s="21">
        <v>17</v>
      </c>
      <c r="BW387" s="21">
        <v>30</v>
      </c>
      <c r="BX387" s="21">
        <v>33</v>
      </c>
      <c r="BY387" s="21">
        <v>58</v>
      </c>
      <c r="BZ387" s="21">
        <v>1</v>
      </c>
      <c r="CA387" s="21">
        <v>0</v>
      </c>
      <c r="CB387" s="21">
        <v>0</v>
      </c>
      <c r="CC387" s="21">
        <v>0</v>
      </c>
      <c r="CD387" s="21">
        <v>0</v>
      </c>
      <c r="CE387" s="21">
        <v>0</v>
      </c>
      <c r="CF387" s="21">
        <v>0</v>
      </c>
      <c r="CG387" s="42">
        <v>0</v>
      </c>
      <c r="CH387" s="21">
        <v>0</v>
      </c>
      <c r="CI387" s="21">
        <v>0</v>
      </c>
      <c r="CJ387" s="21">
        <v>0</v>
      </c>
      <c r="CK387" s="21">
        <v>0</v>
      </c>
      <c r="CL387" s="21">
        <v>0</v>
      </c>
      <c r="CM387" s="21">
        <v>0</v>
      </c>
      <c r="CN387" s="21">
        <v>0</v>
      </c>
      <c r="CO387" s="21">
        <v>0</v>
      </c>
      <c r="CP387" s="21">
        <f t="shared" si="593"/>
        <v>0</v>
      </c>
      <c r="CQ387" s="343">
        <f t="shared" si="594"/>
        <v>0</v>
      </c>
      <c r="CR387" s="40"/>
      <c r="CS387" s="39"/>
      <c r="CT387" s="38">
        <f t="shared" si="595"/>
        <v>202</v>
      </c>
      <c r="CU387" s="38">
        <f t="shared" si="596"/>
        <v>231</v>
      </c>
      <c r="CV387" s="38">
        <f t="shared" si="597"/>
        <v>193</v>
      </c>
      <c r="CW387" s="38">
        <f t="shared" si="598"/>
        <v>185</v>
      </c>
      <c r="CX387" s="38">
        <f t="shared" si="599"/>
        <v>197</v>
      </c>
      <c r="CY387" s="39">
        <f t="shared" si="600"/>
        <v>161</v>
      </c>
      <c r="CZ387" s="40">
        <f t="shared" si="601"/>
        <v>147</v>
      </c>
      <c r="DA387" s="40">
        <f t="shared" si="602"/>
        <v>165</v>
      </c>
      <c r="DB387" s="40">
        <f t="shared" si="603"/>
        <v>150</v>
      </c>
      <c r="DC387" s="40">
        <f t="shared" si="604"/>
        <v>224</v>
      </c>
      <c r="DD387" s="40">
        <f t="shared" si="605"/>
        <v>286</v>
      </c>
      <c r="DE387" s="40">
        <f t="shared" si="606"/>
        <v>100</v>
      </c>
      <c r="DF387" s="40">
        <f t="shared" si="607"/>
        <v>37</v>
      </c>
      <c r="DG387" s="40">
        <f t="shared" si="608"/>
        <v>15</v>
      </c>
      <c r="DH387" s="40">
        <f t="shared" si="609"/>
        <v>2</v>
      </c>
      <c r="DI387" s="40">
        <f t="shared" si="610"/>
        <v>2</v>
      </c>
      <c r="DJ387" s="40">
        <f t="shared" si="611"/>
        <v>2</v>
      </c>
      <c r="DK387" s="39">
        <f t="shared" si="612"/>
        <v>0</v>
      </c>
      <c r="DL387" s="40">
        <f t="shared" si="613"/>
        <v>0</v>
      </c>
      <c r="DM387" s="40">
        <f t="shared" si="614"/>
        <v>2</v>
      </c>
      <c r="DN387" s="40">
        <f t="shared" si="615"/>
        <v>0</v>
      </c>
      <c r="DO387" s="40">
        <f t="shared" si="616"/>
        <v>0</v>
      </c>
      <c r="DP387" s="40">
        <f t="shared" si="617"/>
        <v>0</v>
      </c>
      <c r="DQ387" s="40">
        <f t="shared" si="618"/>
        <v>0</v>
      </c>
      <c r="DR387" s="40">
        <f t="shared" si="623"/>
        <v>0</v>
      </c>
      <c r="DS387" s="40">
        <f t="shared" si="624"/>
        <v>0</v>
      </c>
      <c r="DT387" s="40">
        <f t="shared" si="619"/>
        <v>0</v>
      </c>
      <c r="DU387" s="40">
        <f t="shared" si="620"/>
        <v>0</v>
      </c>
      <c r="DV387" s="40">
        <f t="shared" si="621"/>
        <v>0</v>
      </c>
      <c r="DW387" s="40">
        <f t="shared" si="622"/>
        <v>0</v>
      </c>
    </row>
    <row r="388" spans="1:127">
      <c r="A388" s="22" t="s">
        <v>33</v>
      </c>
      <c r="B388" s="26">
        <v>4987176090508</v>
      </c>
      <c r="C388" s="22" t="s">
        <v>34</v>
      </c>
      <c r="D388" s="22" t="s">
        <v>36</v>
      </c>
      <c r="E388" s="22">
        <v>121426</v>
      </c>
      <c r="F388" s="80" t="s">
        <v>476</v>
      </c>
      <c r="G388" s="25">
        <v>219.3</v>
      </c>
      <c r="H388" s="38">
        <f t="shared" si="629"/>
        <v>367985.4</v>
      </c>
      <c r="I388" s="38">
        <f t="shared" si="630"/>
        <v>117983.40000000001</v>
      </c>
      <c r="J388" s="38">
        <f t="shared" si="631"/>
        <v>12061.5</v>
      </c>
      <c r="K388" s="38">
        <f t="shared" si="632"/>
        <v>5043.9000000000005</v>
      </c>
      <c r="L388" s="38">
        <f t="shared" si="633"/>
        <v>2850.9</v>
      </c>
      <c r="M388" s="39">
        <f t="shared" si="634"/>
        <v>438.6</v>
      </c>
      <c r="N388" s="40">
        <f t="shared" si="635"/>
        <v>0</v>
      </c>
      <c r="O388" s="40">
        <f t="shared" si="636"/>
        <v>0</v>
      </c>
      <c r="P388" s="40">
        <f t="shared" si="637"/>
        <v>0</v>
      </c>
      <c r="Q388" s="40">
        <f t="shared" si="638"/>
        <v>0</v>
      </c>
      <c r="R388" s="40">
        <f t="shared" si="639"/>
        <v>0</v>
      </c>
      <c r="S388" s="40">
        <f t="shared" si="640"/>
        <v>0</v>
      </c>
      <c r="T388" s="40">
        <f t="shared" si="641"/>
        <v>0</v>
      </c>
      <c r="U388" s="40">
        <f t="shared" si="642"/>
        <v>0</v>
      </c>
      <c r="V388" s="40">
        <f t="shared" si="643"/>
        <v>0</v>
      </c>
      <c r="W388" s="40">
        <f t="shared" si="644"/>
        <v>0</v>
      </c>
      <c r="X388" s="40">
        <f t="shared" si="645"/>
        <v>0</v>
      </c>
      <c r="Y388" s="39">
        <f t="shared" si="646"/>
        <v>0</v>
      </c>
      <c r="Z388" s="40">
        <f t="shared" si="647"/>
        <v>0</v>
      </c>
      <c r="AA388" s="40">
        <f t="shared" si="648"/>
        <v>0</v>
      </c>
      <c r="AB388" s="40">
        <f t="shared" si="649"/>
        <v>0</v>
      </c>
      <c r="AC388" s="40">
        <f t="shared" si="650"/>
        <v>0</v>
      </c>
      <c r="AD388" s="40">
        <f t="shared" si="651"/>
        <v>0</v>
      </c>
      <c r="AE388" s="40">
        <f t="shared" si="652"/>
        <v>0</v>
      </c>
      <c r="AF388" s="40">
        <f t="shared" si="653"/>
        <v>0</v>
      </c>
      <c r="AG388" s="40">
        <f t="shared" si="654"/>
        <v>0</v>
      </c>
      <c r="AH388" s="40">
        <f t="shared" si="625"/>
        <v>0</v>
      </c>
      <c r="AI388" s="40">
        <f t="shared" si="626"/>
        <v>0</v>
      </c>
      <c r="AJ388" s="40">
        <f t="shared" si="627"/>
        <v>0</v>
      </c>
      <c r="AK388" s="39">
        <f t="shared" si="628"/>
        <v>0</v>
      </c>
      <c r="AL388" s="38">
        <v>974</v>
      </c>
      <c r="AM388" s="38">
        <v>315</v>
      </c>
      <c r="AN388" s="38">
        <v>55</v>
      </c>
      <c r="AO388" s="38">
        <v>23</v>
      </c>
      <c r="AP388" s="38">
        <v>13</v>
      </c>
      <c r="AQ388" s="39">
        <v>2</v>
      </c>
      <c r="AR388" s="40">
        <v>0</v>
      </c>
      <c r="AS388" s="40">
        <v>0</v>
      </c>
      <c r="AT388" s="40">
        <v>0</v>
      </c>
      <c r="AU388" s="40">
        <v>0</v>
      </c>
      <c r="AV388" s="40">
        <v>0</v>
      </c>
      <c r="AW388" s="40">
        <v>0</v>
      </c>
      <c r="AX388" s="40">
        <v>0</v>
      </c>
      <c r="AY388" s="40">
        <v>0</v>
      </c>
      <c r="AZ388" s="40">
        <v>0</v>
      </c>
      <c r="BA388" s="40">
        <v>0</v>
      </c>
      <c r="BB388" s="40">
        <v>0</v>
      </c>
      <c r="BC388" s="39">
        <v>0</v>
      </c>
      <c r="BD388" s="40">
        <v>0</v>
      </c>
      <c r="BE388" s="40">
        <v>0</v>
      </c>
      <c r="BF388" s="40">
        <v>0</v>
      </c>
      <c r="BG388" s="40">
        <f>VLOOKUP(E388,'[1]Offline Offtake'!$G$522:$FL$619,161,0)</f>
        <v>0</v>
      </c>
      <c r="BH388" s="40">
        <v>0</v>
      </c>
      <c r="BI388" s="40">
        <v>0</v>
      </c>
      <c r="BJ388" s="40">
        <v>0</v>
      </c>
      <c r="BK388" s="40">
        <v>0</v>
      </c>
      <c r="BL388" s="40">
        <v>0</v>
      </c>
      <c r="BM388" s="40">
        <v>0</v>
      </c>
      <c r="BN388" s="40"/>
      <c r="BO388" s="39"/>
      <c r="BP388" s="21">
        <v>704</v>
      </c>
      <c r="BQ388" s="21">
        <v>223</v>
      </c>
      <c r="BR388" s="21">
        <v>0</v>
      </c>
      <c r="BS388" s="21">
        <v>0</v>
      </c>
      <c r="BT388" s="21">
        <v>0</v>
      </c>
      <c r="BU388" s="42">
        <v>0</v>
      </c>
      <c r="BV388" s="21">
        <v>0</v>
      </c>
      <c r="BW388" s="21">
        <v>0</v>
      </c>
      <c r="BX388" s="21">
        <v>0</v>
      </c>
      <c r="BY388" s="21">
        <v>0</v>
      </c>
      <c r="BZ388" s="21">
        <v>0</v>
      </c>
      <c r="CA388" s="21">
        <v>0</v>
      </c>
      <c r="CB388" s="21">
        <v>0</v>
      </c>
      <c r="CC388" s="21">
        <v>0</v>
      </c>
      <c r="CD388" s="21">
        <v>0</v>
      </c>
      <c r="CE388" s="21">
        <v>0</v>
      </c>
      <c r="CF388" s="21">
        <v>0</v>
      </c>
      <c r="CG388" s="42">
        <v>0</v>
      </c>
      <c r="CH388" s="21">
        <v>0</v>
      </c>
      <c r="CI388" s="21">
        <v>0</v>
      </c>
      <c r="CJ388" s="21">
        <v>0</v>
      </c>
      <c r="CK388" s="21">
        <v>0</v>
      </c>
      <c r="CL388" s="21">
        <v>0</v>
      </c>
      <c r="CM388" s="21">
        <v>0</v>
      </c>
      <c r="CN388" s="21">
        <v>0</v>
      </c>
      <c r="CO388" s="21">
        <v>0</v>
      </c>
      <c r="CP388" s="21">
        <f t="shared" si="593"/>
        <v>0</v>
      </c>
      <c r="CQ388" s="343">
        <f t="shared" si="594"/>
        <v>0</v>
      </c>
      <c r="CR388" s="40"/>
      <c r="CS388" s="39"/>
      <c r="CT388" s="38">
        <f t="shared" si="595"/>
        <v>1678</v>
      </c>
      <c r="CU388" s="38">
        <f t="shared" si="596"/>
        <v>538</v>
      </c>
      <c r="CV388" s="38">
        <f t="shared" si="597"/>
        <v>55</v>
      </c>
      <c r="CW388" s="38">
        <f t="shared" si="598"/>
        <v>23</v>
      </c>
      <c r="CX388" s="38">
        <f t="shared" si="599"/>
        <v>13</v>
      </c>
      <c r="CY388" s="39">
        <f t="shared" si="600"/>
        <v>2</v>
      </c>
      <c r="CZ388" s="40">
        <f t="shared" si="601"/>
        <v>0</v>
      </c>
      <c r="DA388" s="40">
        <f t="shared" si="602"/>
        <v>0</v>
      </c>
      <c r="DB388" s="40">
        <f t="shared" si="603"/>
        <v>0</v>
      </c>
      <c r="DC388" s="40">
        <f t="shared" si="604"/>
        <v>0</v>
      </c>
      <c r="DD388" s="40">
        <f t="shared" si="605"/>
        <v>0</v>
      </c>
      <c r="DE388" s="40">
        <f t="shared" si="606"/>
        <v>0</v>
      </c>
      <c r="DF388" s="40">
        <f t="shared" si="607"/>
        <v>0</v>
      </c>
      <c r="DG388" s="40">
        <f t="shared" si="608"/>
        <v>0</v>
      </c>
      <c r="DH388" s="40">
        <f t="shared" si="609"/>
        <v>0</v>
      </c>
      <c r="DI388" s="40">
        <f t="shared" si="610"/>
        <v>0</v>
      </c>
      <c r="DJ388" s="40">
        <f t="shared" si="611"/>
        <v>0</v>
      </c>
      <c r="DK388" s="39">
        <f t="shared" si="612"/>
        <v>0</v>
      </c>
      <c r="DL388" s="40">
        <f t="shared" si="613"/>
        <v>0</v>
      </c>
      <c r="DM388" s="40">
        <f t="shared" si="614"/>
        <v>0</v>
      </c>
      <c r="DN388" s="40">
        <f t="shared" si="615"/>
        <v>0</v>
      </c>
      <c r="DO388" s="40">
        <f t="shared" si="616"/>
        <v>0</v>
      </c>
      <c r="DP388" s="40">
        <f t="shared" si="617"/>
        <v>0</v>
      </c>
      <c r="DQ388" s="40">
        <f t="shared" si="618"/>
        <v>0</v>
      </c>
      <c r="DR388" s="40">
        <f t="shared" si="623"/>
        <v>0</v>
      </c>
      <c r="DS388" s="40">
        <f t="shared" si="624"/>
        <v>0</v>
      </c>
      <c r="DT388" s="40">
        <f t="shared" si="619"/>
        <v>0</v>
      </c>
      <c r="DU388" s="40">
        <f t="shared" si="620"/>
        <v>0</v>
      </c>
      <c r="DV388" s="40">
        <f t="shared" si="621"/>
        <v>0</v>
      </c>
      <c r="DW388" s="40">
        <f t="shared" si="622"/>
        <v>0</v>
      </c>
    </row>
    <row r="389" spans="1:127">
      <c r="A389" s="22" t="s">
        <v>33</v>
      </c>
      <c r="B389" s="26">
        <v>4987176090492</v>
      </c>
      <c r="C389" s="22" t="s">
        <v>34</v>
      </c>
      <c r="D389" s="22" t="s">
        <v>36</v>
      </c>
      <c r="E389" s="22">
        <v>121315</v>
      </c>
      <c r="F389" s="80" t="s">
        <v>477</v>
      </c>
      <c r="G389" s="25">
        <v>219.3</v>
      </c>
      <c r="H389" s="38">
        <f t="shared" si="629"/>
        <v>177413.7</v>
      </c>
      <c r="I389" s="38">
        <f t="shared" si="630"/>
        <v>38816.1</v>
      </c>
      <c r="J389" s="38">
        <f t="shared" si="631"/>
        <v>3728.1000000000004</v>
      </c>
      <c r="K389" s="38">
        <f t="shared" si="632"/>
        <v>3289.5</v>
      </c>
      <c r="L389" s="38">
        <f t="shared" si="633"/>
        <v>1973.7</v>
      </c>
      <c r="M389" s="39">
        <f t="shared" si="634"/>
        <v>0</v>
      </c>
      <c r="N389" s="40">
        <f t="shared" si="635"/>
        <v>0</v>
      </c>
      <c r="O389" s="40">
        <f t="shared" si="636"/>
        <v>0</v>
      </c>
      <c r="P389" s="40">
        <f t="shared" si="637"/>
        <v>0</v>
      </c>
      <c r="Q389" s="40">
        <f t="shared" si="638"/>
        <v>0</v>
      </c>
      <c r="R389" s="40">
        <f t="shared" si="639"/>
        <v>0</v>
      </c>
      <c r="S389" s="40">
        <f t="shared" si="640"/>
        <v>0</v>
      </c>
      <c r="T389" s="40">
        <f t="shared" si="641"/>
        <v>0</v>
      </c>
      <c r="U389" s="40">
        <f t="shared" si="642"/>
        <v>0</v>
      </c>
      <c r="V389" s="40">
        <f t="shared" si="643"/>
        <v>0</v>
      </c>
      <c r="W389" s="40">
        <f t="shared" si="644"/>
        <v>0</v>
      </c>
      <c r="X389" s="40">
        <f t="shared" si="645"/>
        <v>0</v>
      </c>
      <c r="Y389" s="39">
        <f t="shared" si="646"/>
        <v>0</v>
      </c>
      <c r="Z389" s="40">
        <f t="shared" si="647"/>
        <v>0</v>
      </c>
      <c r="AA389" s="40">
        <f t="shared" si="648"/>
        <v>0</v>
      </c>
      <c r="AB389" s="40">
        <f t="shared" si="649"/>
        <v>0</v>
      </c>
      <c r="AC389" s="40">
        <f t="shared" si="650"/>
        <v>0</v>
      </c>
      <c r="AD389" s="40">
        <f t="shared" si="651"/>
        <v>0</v>
      </c>
      <c r="AE389" s="40">
        <f t="shared" si="652"/>
        <v>0</v>
      </c>
      <c r="AF389" s="40">
        <f t="shared" si="653"/>
        <v>0</v>
      </c>
      <c r="AG389" s="40">
        <f t="shared" si="654"/>
        <v>0</v>
      </c>
      <c r="AH389" s="40">
        <f t="shared" si="625"/>
        <v>0</v>
      </c>
      <c r="AI389" s="40">
        <f t="shared" si="626"/>
        <v>0</v>
      </c>
      <c r="AJ389" s="40">
        <f t="shared" si="627"/>
        <v>0</v>
      </c>
      <c r="AK389" s="39">
        <f t="shared" si="628"/>
        <v>0</v>
      </c>
      <c r="AL389" s="38">
        <v>809</v>
      </c>
      <c r="AM389" s="38">
        <v>177</v>
      </c>
      <c r="AN389" s="38">
        <v>17</v>
      </c>
      <c r="AO389" s="38">
        <v>15</v>
      </c>
      <c r="AP389" s="38">
        <v>9</v>
      </c>
      <c r="AQ389" s="39">
        <v>0</v>
      </c>
      <c r="AR389" s="40">
        <v>0</v>
      </c>
      <c r="AS389" s="40">
        <v>0</v>
      </c>
      <c r="AT389" s="40">
        <v>0</v>
      </c>
      <c r="AU389" s="40">
        <v>0</v>
      </c>
      <c r="AV389" s="40">
        <v>0</v>
      </c>
      <c r="AW389" s="40">
        <v>0</v>
      </c>
      <c r="AX389" s="40">
        <v>0</v>
      </c>
      <c r="AY389" s="40">
        <v>0</v>
      </c>
      <c r="AZ389" s="40">
        <v>0</v>
      </c>
      <c r="BA389" s="40">
        <v>0</v>
      </c>
      <c r="BB389" s="40">
        <v>0</v>
      </c>
      <c r="BC389" s="39">
        <v>0</v>
      </c>
      <c r="BD389" s="40">
        <v>0</v>
      </c>
      <c r="BE389" s="40">
        <v>0</v>
      </c>
      <c r="BF389" s="40">
        <v>0</v>
      </c>
      <c r="BG389" s="40">
        <f>VLOOKUP(E389,'[1]Offline Offtake'!$G$522:$FL$619,161,0)</f>
        <v>0</v>
      </c>
      <c r="BH389" s="40">
        <v>0</v>
      </c>
      <c r="BI389" s="40">
        <v>0</v>
      </c>
      <c r="BJ389" s="40">
        <v>0</v>
      </c>
      <c r="BK389" s="40">
        <v>0</v>
      </c>
      <c r="BL389" s="40">
        <v>0</v>
      </c>
      <c r="BM389" s="40">
        <v>0</v>
      </c>
      <c r="BN389" s="40"/>
      <c r="BO389" s="39"/>
      <c r="BP389" s="21">
        <v>0</v>
      </c>
      <c r="BQ389" s="21">
        <v>0</v>
      </c>
      <c r="BR389" s="21">
        <v>0</v>
      </c>
      <c r="BS389" s="21">
        <v>0</v>
      </c>
      <c r="BT389" s="21">
        <v>0</v>
      </c>
      <c r="BU389" s="42">
        <v>0</v>
      </c>
      <c r="BV389" s="21">
        <v>0</v>
      </c>
      <c r="BW389" s="21">
        <v>0</v>
      </c>
      <c r="BX389" s="21">
        <v>0</v>
      </c>
      <c r="BY389" s="21">
        <v>0</v>
      </c>
      <c r="BZ389" s="21">
        <v>0</v>
      </c>
      <c r="CA389" s="21">
        <v>0</v>
      </c>
      <c r="CB389" s="21">
        <v>0</v>
      </c>
      <c r="CC389" s="21">
        <v>0</v>
      </c>
      <c r="CD389" s="21">
        <v>0</v>
      </c>
      <c r="CE389" s="21">
        <v>0</v>
      </c>
      <c r="CF389" s="21">
        <v>0</v>
      </c>
      <c r="CG389" s="42">
        <v>0</v>
      </c>
      <c r="CH389" s="21">
        <v>0</v>
      </c>
      <c r="CI389" s="21">
        <v>0</v>
      </c>
      <c r="CJ389" s="21">
        <v>0</v>
      </c>
      <c r="CK389" s="21">
        <v>0</v>
      </c>
      <c r="CL389" s="21">
        <v>0</v>
      </c>
      <c r="CM389" s="21">
        <v>0</v>
      </c>
      <c r="CN389" s="21">
        <v>0</v>
      </c>
      <c r="CO389" s="21">
        <v>0</v>
      </c>
      <c r="CP389" s="21">
        <f t="shared" ref="CP389:CP452" si="655">CO389</f>
        <v>0</v>
      </c>
      <c r="CQ389" s="343">
        <f t="shared" ref="CQ389:CQ452" si="656">AVERAGE(CH389:CP389)</f>
        <v>0</v>
      </c>
      <c r="CR389" s="40"/>
      <c r="CS389" s="39"/>
      <c r="CT389" s="38">
        <f t="shared" si="595"/>
        <v>809</v>
      </c>
      <c r="CU389" s="38">
        <f t="shared" si="596"/>
        <v>177</v>
      </c>
      <c r="CV389" s="38">
        <f t="shared" si="597"/>
        <v>17</v>
      </c>
      <c r="CW389" s="38">
        <f t="shared" si="598"/>
        <v>15</v>
      </c>
      <c r="CX389" s="38">
        <f t="shared" si="599"/>
        <v>9</v>
      </c>
      <c r="CY389" s="39">
        <f t="shared" si="600"/>
        <v>0</v>
      </c>
      <c r="CZ389" s="40">
        <f t="shared" si="601"/>
        <v>0</v>
      </c>
      <c r="DA389" s="40">
        <f t="shared" si="602"/>
        <v>0</v>
      </c>
      <c r="DB389" s="40">
        <f t="shared" si="603"/>
        <v>0</v>
      </c>
      <c r="DC389" s="40">
        <f t="shared" si="604"/>
        <v>0</v>
      </c>
      <c r="DD389" s="40">
        <f t="shared" si="605"/>
        <v>0</v>
      </c>
      <c r="DE389" s="40">
        <f t="shared" si="606"/>
        <v>0</v>
      </c>
      <c r="DF389" s="40">
        <f t="shared" si="607"/>
        <v>0</v>
      </c>
      <c r="DG389" s="40">
        <f t="shared" si="608"/>
        <v>0</v>
      </c>
      <c r="DH389" s="40">
        <f t="shared" si="609"/>
        <v>0</v>
      </c>
      <c r="DI389" s="40">
        <f t="shared" si="610"/>
        <v>0</v>
      </c>
      <c r="DJ389" s="40">
        <f t="shared" si="611"/>
        <v>0</v>
      </c>
      <c r="DK389" s="39">
        <f t="shared" si="612"/>
        <v>0</v>
      </c>
      <c r="DL389" s="40">
        <f t="shared" si="613"/>
        <v>0</v>
      </c>
      <c r="DM389" s="40">
        <f t="shared" si="614"/>
        <v>0</v>
      </c>
      <c r="DN389" s="40">
        <f t="shared" si="615"/>
        <v>0</v>
      </c>
      <c r="DO389" s="40">
        <f t="shared" si="616"/>
        <v>0</v>
      </c>
      <c r="DP389" s="40">
        <f t="shared" si="617"/>
        <v>0</v>
      </c>
      <c r="DQ389" s="40">
        <f t="shared" si="618"/>
        <v>0</v>
      </c>
      <c r="DR389" s="40">
        <f t="shared" si="623"/>
        <v>0</v>
      </c>
      <c r="DS389" s="40">
        <f t="shared" si="624"/>
        <v>0</v>
      </c>
      <c r="DT389" s="40">
        <f t="shared" si="619"/>
        <v>0</v>
      </c>
      <c r="DU389" s="40">
        <f t="shared" si="620"/>
        <v>0</v>
      </c>
      <c r="DV389" s="40">
        <f t="shared" si="621"/>
        <v>0</v>
      </c>
      <c r="DW389" s="40">
        <f t="shared" si="622"/>
        <v>0</v>
      </c>
    </row>
    <row r="390" spans="1:127">
      <c r="A390" s="22" t="s">
        <v>33</v>
      </c>
      <c r="B390" s="26">
        <v>4987176090515</v>
      </c>
      <c r="C390" s="22" t="s">
        <v>34</v>
      </c>
      <c r="D390" s="22" t="s">
        <v>36</v>
      </c>
      <c r="E390" s="22">
        <v>121499</v>
      </c>
      <c r="F390" s="80" t="s">
        <v>478</v>
      </c>
      <c r="G390" s="25">
        <v>219.3</v>
      </c>
      <c r="H390" s="38">
        <f t="shared" si="629"/>
        <v>146053.80000000002</v>
      </c>
      <c r="I390" s="38">
        <f t="shared" si="630"/>
        <v>55044.3</v>
      </c>
      <c r="J390" s="38">
        <f t="shared" si="631"/>
        <v>11184.300000000001</v>
      </c>
      <c r="K390" s="38">
        <f t="shared" si="632"/>
        <v>4386</v>
      </c>
      <c r="L390" s="38">
        <f t="shared" si="633"/>
        <v>7017.6</v>
      </c>
      <c r="M390" s="39">
        <f t="shared" si="634"/>
        <v>657.90000000000009</v>
      </c>
      <c r="N390" s="40">
        <f t="shared" si="635"/>
        <v>0</v>
      </c>
      <c r="O390" s="40">
        <f t="shared" si="636"/>
        <v>0</v>
      </c>
      <c r="P390" s="40">
        <f t="shared" si="637"/>
        <v>0</v>
      </c>
      <c r="Q390" s="40">
        <f t="shared" si="638"/>
        <v>0</v>
      </c>
      <c r="R390" s="40">
        <f t="shared" si="639"/>
        <v>219.3</v>
      </c>
      <c r="S390" s="40">
        <f t="shared" si="640"/>
        <v>0</v>
      </c>
      <c r="T390" s="40">
        <f t="shared" si="641"/>
        <v>0</v>
      </c>
      <c r="U390" s="40">
        <f t="shared" si="642"/>
        <v>0</v>
      </c>
      <c r="V390" s="40">
        <f t="shared" si="643"/>
        <v>0</v>
      </c>
      <c r="W390" s="40">
        <f t="shared" si="644"/>
        <v>0</v>
      </c>
      <c r="X390" s="40">
        <f t="shared" si="645"/>
        <v>0</v>
      </c>
      <c r="Y390" s="39">
        <f t="shared" si="646"/>
        <v>0</v>
      </c>
      <c r="Z390" s="40">
        <f t="shared" si="647"/>
        <v>0</v>
      </c>
      <c r="AA390" s="40">
        <f t="shared" si="648"/>
        <v>0</v>
      </c>
      <c r="AB390" s="40">
        <f t="shared" si="649"/>
        <v>0</v>
      </c>
      <c r="AC390" s="40">
        <f t="shared" si="650"/>
        <v>0</v>
      </c>
      <c r="AD390" s="40">
        <f t="shared" si="651"/>
        <v>0</v>
      </c>
      <c r="AE390" s="40">
        <f t="shared" si="652"/>
        <v>0</v>
      </c>
      <c r="AF390" s="40">
        <f t="shared" si="653"/>
        <v>0</v>
      </c>
      <c r="AG390" s="40">
        <f t="shared" si="654"/>
        <v>0</v>
      </c>
      <c r="AH390" s="40">
        <f t="shared" si="625"/>
        <v>0</v>
      </c>
      <c r="AI390" s="40">
        <f t="shared" si="626"/>
        <v>0</v>
      </c>
      <c r="AJ390" s="40">
        <f t="shared" si="627"/>
        <v>0</v>
      </c>
      <c r="AK390" s="39">
        <f t="shared" si="628"/>
        <v>0</v>
      </c>
      <c r="AL390" s="38">
        <v>666</v>
      </c>
      <c r="AM390" s="38">
        <v>251</v>
      </c>
      <c r="AN390" s="38">
        <v>51</v>
      </c>
      <c r="AO390" s="38">
        <v>20</v>
      </c>
      <c r="AP390" s="38">
        <v>32</v>
      </c>
      <c r="AQ390" s="39">
        <v>3</v>
      </c>
      <c r="AR390" s="40">
        <v>0</v>
      </c>
      <c r="AS390" s="40">
        <v>0</v>
      </c>
      <c r="AT390" s="40">
        <v>0</v>
      </c>
      <c r="AU390" s="40">
        <v>0</v>
      </c>
      <c r="AV390" s="40">
        <v>1</v>
      </c>
      <c r="AW390" s="40">
        <v>0</v>
      </c>
      <c r="AX390" s="40">
        <v>0</v>
      </c>
      <c r="AY390" s="40">
        <v>0</v>
      </c>
      <c r="AZ390" s="40">
        <v>0</v>
      </c>
      <c r="BA390" s="40">
        <v>0</v>
      </c>
      <c r="BB390" s="40">
        <v>0</v>
      </c>
      <c r="BC390" s="39">
        <v>0</v>
      </c>
      <c r="BD390" s="40">
        <v>0</v>
      </c>
      <c r="BE390" s="40">
        <v>0</v>
      </c>
      <c r="BF390" s="40">
        <v>0</v>
      </c>
      <c r="BG390" s="40">
        <f>VLOOKUP(E390,'[1]Offline Offtake'!$G$522:$FL$619,161,0)</f>
        <v>0</v>
      </c>
      <c r="BH390" s="40">
        <v>0</v>
      </c>
      <c r="BI390" s="40">
        <v>0</v>
      </c>
      <c r="BJ390" s="40">
        <v>0</v>
      </c>
      <c r="BK390" s="40">
        <v>0</v>
      </c>
      <c r="BL390" s="40">
        <v>0</v>
      </c>
      <c r="BM390" s="40">
        <v>0</v>
      </c>
      <c r="BN390" s="40"/>
      <c r="BO390" s="39"/>
      <c r="BP390" s="21">
        <v>0</v>
      </c>
      <c r="BQ390" s="21">
        <v>0</v>
      </c>
      <c r="BR390" s="21">
        <v>0</v>
      </c>
      <c r="BS390" s="21">
        <v>0</v>
      </c>
      <c r="BT390" s="21">
        <v>0</v>
      </c>
      <c r="BU390" s="42">
        <v>0</v>
      </c>
      <c r="BV390" s="21">
        <v>0</v>
      </c>
      <c r="BW390" s="21">
        <v>0</v>
      </c>
      <c r="BX390" s="21">
        <v>0</v>
      </c>
      <c r="BY390" s="21">
        <v>0</v>
      </c>
      <c r="BZ390" s="21">
        <v>0</v>
      </c>
      <c r="CA390" s="21">
        <v>0</v>
      </c>
      <c r="CB390" s="21">
        <v>0</v>
      </c>
      <c r="CC390" s="21">
        <v>0</v>
      </c>
      <c r="CD390" s="21">
        <v>0</v>
      </c>
      <c r="CE390" s="21">
        <v>0</v>
      </c>
      <c r="CF390" s="21">
        <v>0</v>
      </c>
      <c r="CG390" s="42">
        <v>0</v>
      </c>
      <c r="CH390" s="21">
        <v>0</v>
      </c>
      <c r="CI390" s="21">
        <v>0</v>
      </c>
      <c r="CJ390" s="21">
        <v>0</v>
      </c>
      <c r="CK390" s="21">
        <v>0</v>
      </c>
      <c r="CL390" s="21">
        <v>0</v>
      </c>
      <c r="CM390" s="21">
        <v>0</v>
      </c>
      <c r="CN390" s="21">
        <v>0</v>
      </c>
      <c r="CO390" s="21">
        <v>0</v>
      </c>
      <c r="CP390" s="21">
        <f t="shared" si="655"/>
        <v>0</v>
      </c>
      <c r="CQ390" s="343">
        <f t="shared" si="656"/>
        <v>0</v>
      </c>
      <c r="CR390" s="40"/>
      <c r="CS390" s="39"/>
      <c r="CT390" s="38">
        <f t="shared" si="595"/>
        <v>666</v>
      </c>
      <c r="CU390" s="38">
        <f t="shared" si="596"/>
        <v>251</v>
      </c>
      <c r="CV390" s="38">
        <f t="shared" si="597"/>
        <v>51</v>
      </c>
      <c r="CW390" s="38">
        <f t="shared" si="598"/>
        <v>20</v>
      </c>
      <c r="CX390" s="38">
        <f t="shared" si="599"/>
        <v>32</v>
      </c>
      <c r="CY390" s="39">
        <f t="shared" si="600"/>
        <v>3</v>
      </c>
      <c r="CZ390" s="40">
        <f t="shared" si="601"/>
        <v>0</v>
      </c>
      <c r="DA390" s="40">
        <f t="shared" si="602"/>
        <v>0</v>
      </c>
      <c r="DB390" s="40">
        <f t="shared" si="603"/>
        <v>0</v>
      </c>
      <c r="DC390" s="40">
        <f t="shared" si="604"/>
        <v>0</v>
      </c>
      <c r="DD390" s="40">
        <f t="shared" si="605"/>
        <v>1</v>
      </c>
      <c r="DE390" s="40">
        <f t="shared" si="606"/>
        <v>0</v>
      </c>
      <c r="DF390" s="40">
        <f t="shared" si="607"/>
        <v>0</v>
      </c>
      <c r="DG390" s="40">
        <f t="shared" si="608"/>
        <v>0</v>
      </c>
      <c r="DH390" s="40">
        <f t="shared" si="609"/>
        <v>0</v>
      </c>
      <c r="DI390" s="40">
        <f t="shared" si="610"/>
        <v>0</v>
      </c>
      <c r="DJ390" s="40">
        <f t="shared" si="611"/>
        <v>0</v>
      </c>
      <c r="DK390" s="39">
        <f t="shared" si="612"/>
        <v>0</v>
      </c>
      <c r="DL390" s="40">
        <f t="shared" si="613"/>
        <v>0</v>
      </c>
      <c r="DM390" s="40">
        <f t="shared" si="614"/>
        <v>0</v>
      </c>
      <c r="DN390" s="40">
        <f t="shared" si="615"/>
        <v>0</v>
      </c>
      <c r="DO390" s="40">
        <f t="shared" si="616"/>
        <v>0</v>
      </c>
      <c r="DP390" s="40">
        <f t="shared" si="617"/>
        <v>0</v>
      </c>
      <c r="DQ390" s="40">
        <f t="shared" si="618"/>
        <v>0</v>
      </c>
      <c r="DR390" s="40">
        <f t="shared" si="623"/>
        <v>0</v>
      </c>
      <c r="DS390" s="40">
        <f t="shared" si="624"/>
        <v>0</v>
      </c>
      <c r="DT390" s="40">
        <f t="shared" si="619"/>
        <v>0</v>
      </c>
      <c r="DU390" s="40">
        <f t="shared" si="620"/>
        <v>0</v>
      </c>
      <c r="DV390" s="40">
        <f t="shared" si="621"/>
        <v>0</v>
      </c>
      <c r="DW390" s="40">
        <f t="shared" si="622"/>
        <v>0</v>
      </c>
    </row>
    <row r="391" spans="1:127">
      <c r="A391" s="22" t="s">
        <v>33</v>
      </c>
      <c r="B391" s="26">
        <v>4987176208781</v>
      </c>
      <c r="C391" s="22" t="s">
        <v>34</v>
      </c>
      <c r="D391" s="22" t="s">
        <v>36</v>
      </c>
      <c r="E391" s="22">
        <v>225683</v>
      </c>
      <c r="F391" s="80" t="s">
        <v>479</v>
      </c>
      <c r="G391" s="25">
        <v>241.31111111111113</v>
      </c>
      <c r="H391" s="38">
        <f t="shared" si="629"/>
        <v>277025.1555555556</v>
      </c>
      <c r="I391" s="38">
        <f t="shared" si="630"/>
        <v>411194.13333333336</v>
      </c>
      <c r="J391" s="38">
        <f t="shared" si="631"/>
        <v>166987.2888888889</v>
      </c>
      <c r="K391" s="38">
        <f t="shared" si="632"/>
        <v>126205.71111111112</v>
      </c>
      <c r="L391" s="38">
        <f t="shared" si="633"/>
        <v>168676.46666666667</v>
      </c>
      <c r="M391" s="39">
        <f t="shared" si="634"/>
        <v>436531.80000000005</v>
      </c>
      <c r="N391" s="40">
        <f t="shared" si="635"/>
        <v>703904.51111111115</v>
      </c>
      <c r="O391" s="40">
        <f t="shared" si="636"/>
        <v>579146.66666666674</v>
      </c>
      <c r="P391" s="40">
        <f t="shared" si="637"/>
        <v>515923.1555555556</v>
      </c>
      <c r="Q391" s="40">
        <f t="shared" si="638"/>
        <v>701008.77777777787</v>
      </c>
      <c r="R391" s="40">
        <f t="shared" si="639"/>
        <v>1879813.5555555557</v>
      </c>
      <c r="S391" s="40">
        <f t="shared" si="640"/>
        <v>1446660.1111111112</v>
      </c>
      <c r="T391" s="40">
        <f t="shared" si="641"/>
        <v>144304.04444444444</v>
      </c>
      <c r="U391" s="40">
        <f t="shared" si="642"/>
        <v>51640.577777777784</v>
      </c>
      <c r="V391" s="40">
        <f t="shared" si="643"/>
        <v>4826.2222222222226</v>
      </c>
      <c r="W391" s="40">
        <f t="shared" si="644"/>
        <v>723.93333333333339</v>
      </c>
      <c r="X391" s="40">
        <f t="shared" si="645"/>
        <v>241.31111111111113</v>
      </c>
      <c r="Y391" s="39">
        <f t="shared" si="646"/>
        <v>241.31111111111113</v>
      </c>
      <c r="Z391" s="40">
        <f t="shared" si="647"/>
        <v>482.62222222222226</v>
      </c>
      <c r="AA391" s="40">
        <f t="shared" si="648"/>
        <v>241.31111111111113</v>
      </c>
      <c r="AB391" s="40">
        <f t="shared" si="649"/>
        <v>0</v>
      </c>
      <c r="AC391" s="40">
        <f t="shared" si="650"/>
        <v>241.31111111111113</v>
      </c>
      <c r="AD391" s="40">
        <f t="shared" si="651"/>
        <v>0</v>
      </c>
      <c r="AE391" s="40">
        <f t="shared" si="652"/>
        <v>482.62222222222226</v>
      </c>
      <c r="AF391" s="40">
        <f t="shared" si="653"/>
        <v>241.31111111111113</v>
      </c>
      <c r="AG391" s="40">
        <f t="shared" si="654"/>
        <v>0</v>
      </c>
      <c r="AH391" s="40">
        <f t="shared" si="625"/>
        <v>0</v>
      </c>
      <c r="AI391" s="40">
        <f t="shared" si="626"/>
        <v>0</v>
      </c>
      <c r="AJ391" s="40">
        <f t="shared" si="627"/>
        <v>0</v>
      </c>
      <c r="AK391" s="39">
        <f t="shared" si="628"/>
        <v>0</v>
      </c>
      <c r="AL391" s="38">
        <v>1122</v>
      </c>
      <c r="AM391" s="38">
        <v>1678</v>
      </c>
      <c r="AN391" s="38">
        <v>633</v>
      </c>
      <c r="AO391" s="38">
        <v>514</v>
      </c>
      <c r="AP391" s="38">
        <v>683</v>
      </c>
      <c r="AQ391" s="39">
        <v>1688</v>
      </c>
      <c r="AR391" s="40">
        <v>2854</v>
      </c>
      <c r="AS391" s="40">
        <v>2314</v>
      </c>
      <c r="AT391" s="40">
        <v>2009</v>
      </c>
      <c r="AU391" s="40">
        <v>2743</v>
      </c>
      <c r="AV391" s="40">
        <v>7117</v>
      </c>
      <c r="AW391" s="40">
        <v>5987</v>
      </c>
      <c r="AX391" s="40">
        <v>598</v>
      </c>
      <c r="AY391" s="40">
        <v>214</v>
      </c>
      <c r="AZ391" s="40">
        <v>20</v>
      </c>
      <c r="BA391" s="40">
        <v>3</v>
      </c>
      <c r="BB391" s="40">
        <v>1</v>
      </c>
      <c r="BC391" s="39">
        <v>1</v>
      </c>
      <c r="BD391" s="40">
        <v>2</v>
      </c>
      <c r="BE391" s="40">
        <v>1</v>
      </c>
      <c r="BF391" s="40">
        <v>0</v>
      </c>
      <c r="BG391" s="40">
        <f>VLOOKUP(E391,'[1]Offline Offtake'!$G$522:$FL$619,161,0)</f>
        <v>1</v>
      </c>
      <c r="BH391" s="40">
        <v>0</v>
      </c>
      <c r="BI391" s="40">
        <v>2</v>
      </c>
      <c r="BJ391" s="40">
        <v>1</v>
      </c>
      <c r="BK391" s="40">
        <v>0</v>
      </c>
      <c r="BL391" s="40">
        <v>0</v>
      </c>
      <c r="BM391" s="40">
        <v>0</v>
      </c>
      <c r="BN391" s="40"/>
      <c r="BO391" s="39"/>
      <c r="BP391" s="21">
        <v>26</v>
      </c>
      <c r="BQ391" s="21">
        <v>26</v>
      </c>
      <c r="BR391" s="21">
        <v>59</v>
      </c>
      <c r="BS391" s="21">
        <v>9</v>
      </c>
      <c r="BT391" s="21">
        <v>16</v>
      </c>
      <c r="BU391" s="42">
        <v>121</v>
      </c>
      <c r="BV391" s="21">
        <v>63</v>
      </c>
      <c r="BW391" s="21">
        <v>86</v>
      </c>
      <c r="BX391" s="21">
        <v>129</v>
      </c>
      <c r="BY391" s="21">
        <v>162</v>
      </c>
      <c r="BZ391" s="21">
        <v>673</v>
      </c>
      <c r="CA391" s="21">
        <v>8</v>
      </c>
      <c r="CB391" s="21">
        <v>0</v>
      </c>
      <c r="CC391" s="21">
        <v>0</v>
      </c>
      <c r="CD391" s="21">
        <v>0</v>
      </c>
      <c r="CE391" s="21">
        <v>0</v>
      </c>
      <c r="CF391" s="21">
        <v>0</v>
      </c>
      <c r="CG391" s="42">
        <v>0</v>
      </c>
      <c r="CH391" s="21">
        <v>0</v>
      </c>
      <c r="CI391" s="21">
        <v>0</v>
      </c>
      <c r="CJ391" s="21">
        <v>0</v>
      </c>
      <c r="CK391" s="21">
        <v>0</v>
      </c>
      <c r="CL391" s="21">
        <v>0</v>
      </c>
      <c r="CM391" s="21">
        <v>0</v>
      </c>
      <c r="CN391" s="21">
        <v>0</v>
      </c>
      <c r="CO391" s="21">
        <v>0</v>
      </c>
      <c r="CP391" s="21">
        <f t="shared" si="655"/>
        <v>0</v>
      </c>
      <c r="CQ391" s="343">
        <f t="shared" si="656"/>
        <v>0</v>
      </c>
      <c r="CR391" s="40"/>
      <c r="CS391" s="39"/>
      <c r="CT391" s="38">
        <f t="shared" si="595"/>
        <v>1148</v>
      </c>
      <c r="CU391" s="38">
        <f t="shared" si="596"/>
        <v>1704</v>
      </c>
      <c r="CV391" s="38">
        <f t="shared" si="597"/>
        <v>692</v>
      </c>
      <c r="CW391" s="38">
        <f t="shared" si="598"/>
        <v>523</v>
      </c>
      <c r="CX391" s="38">
        <f t="shared" si="599"/>
        <v>699</v>
      </c>
      <c r="CY391" s="39">
        <f t="shared" si="600"/>
        <v>1809</v>
      </c>
      <c r="CZ391" s="40">
        <f t="shared" si="601"/>
        <v>2917</v>
      </c>
      <c r="DA391" s="40">
        <f t="shared" si="602"/>
        <v>2400</v>
      </c>
      <c r="DB391" s="40">
        <f t="shared" si="603"/>
        <v>2138</v>
      </c>
      <c r="DC391" s="40">
        <f t="shared" si="604"/>
        <v>2905</v>
      </c>
      <c r="DD391" s="40">
        <f t="shared" si="605"/>
        <v>7790</v>
      </c>
      <c r="DE391" s="40">
        <f t="shared" si="606"/>
        <v>5995</v>
      </c>
      <c r="DF391" s="40">
        <f t="shared" si="607"/>
        <v>598</v>
      </c>
      <c r="DG391" s="40">
        <f t="shared" si="608"/>
        <v>214</v>
      </c>
      <c r="DH391" s="40">
        <f t="shared" si="609"/>
        <v>20</v>
      </c>
      <c r="DI391" s="40">
        <f t="shared" si="610"/>
        <v>3</v>
      </c>
      <c r="DJ391" s="40">
        <f t="shared" si="611"/>
        <v>1</v>
      </c>
      <c r="DK391" s="39">
        <f t="shared" si="612"/>
        <v>1</v>
      </c>
      <c r="DL391" s="40">
        <f t="shared" si="613"/>
        <v>2</v>
      </c>
      <c r="DM391" s="40">
        <f t="shared" si="614"/>
        <v>1</v>
      </c>
      <c r="DN391" s="40">
        <f t="shared" si="615"/>
        <v>0</v>
      </c>
      <c r="DO391" s="40">
        <f t="shared" si="616"/>
        <v>1</v>
      </c>
      <c r="DP391" s="40">
        <f t="shared" si="617"/>
        <v>0</v>
      </c>
      <c r="DQ391" s="40">
        <f t="shared" si="618"/>
        <v>2</v>
      </c>
      <c r="DR391" s="40">
        <f t="shared" si="623"/>
        <v>1</v>
      </c>
      <c r="DS391" s="40">
        <f t="shared" si="624"/>
        <v>0</v>
      </c>
      <c r="DT391" s="40">
        <f t="shared" si="619"/>
        <v>0</v>
      </c>
      <c r="DU391" s="40">
        <f t="shared" si="620"/>
        <v>0</v>
      </c>
      <c r="DV391" s="40">
        <f t="shared" si="621"/>
        <v>0</v>
      </c>
      <c r="DW391" s="40">
        <f t="shared" si="622"/>
        <v>0</v>
      </c>
    </row>
    <row r="392" spans="1:127">
      <c r="A392" s="22" t="s">
        <v>33</v>
      </c>
      <c r="B392" s="26">
        <v>4987176208835</v>
      </c>
      <c r="C392" s="22" t="s">
        <v>34</v>
      </c>
      <c r="D392" s="22" t="s">
        <v>36</v>
      </c>
      <c r="E392" s="22">
        <v>224713</v>
      </c>
      <c r="F392" s="80" t="s">
        <v>480</v>
      </c>
      <c r="G392" s="25">
        <v>241.31111111111113</v>
      </c>
      <c r="H392" s="38">
        <f t="shared" si="629"/>
        <v>462834.71111111116</v>
      </c>
      <c r="I392" s="38">
        <f t="shared" si="630"/>
        <v>473693.71111111116</v>
      </c>
      <c r="J392" s="38">
        <f t="shared" si="631"/>
        <v>200770.84444444446</v>
      </c>
      <c r="K392" s="38">
        <f t="shared" si="632"/>
        <v>158058.77777777778</v>
      </c>
      <c r="L392" s="38">
        <f t="shared" si="633"/>
        <v>214766.88888888891</v>
      </c>
      <c r="M392" s="39">
        <f t="shared" si="634"/>
        <v>496376.95555555559</v>
      </c>
      <c r="N392" s="40">
        <f t="shared" si="635"/>
        <v>937493.66666666674</v>
      </c>
      <c r="O392" s="40">
        <f t="shared" si="636"/>
        <v>709695.97777777782</v>
      </c>
      <c r="P392" s="40">
        <f t="shared" si="637"/>
        <v>871615.7333333334</v>
      </c>
      <c r="Q392" s="40">
        <f t="shared" si="638"/>
        <v>859791.48888888897</v>
      </c>
      <c r="R392" s="40">
        <f t="shared" si="639"/>
        <v>2502396.2222222225</v>
      </c>
      <c r="S392" s="40">
        <f t="shared" si="640"/>
        <v>2611951.4666666668</v>
      </c>
      <c r="T392" s="40">
        <f t="shared" si="641"/>
        <v>327459.17777777783</v>
      </c>
      <c r="U392" s="40">
        <f t="shared" si="642"/>
        <v>88078.555555555562</v>
      </c>
      <c r="V392" s="40">
        <f t="shared" si="643"/>
        <v>25337.666666666668</v>
      </c>
      <c r="W392" s="40">
        <f t="shared" si="644"/>
        <v>2654.4222222222224</v>
      </c>
      <c r="X392" s="40">
        <f t="shared" si="645"/>
        <v>0</v>
      </c>
      <c r="Y392" s="39">
        <f t="shared" si="646"/>
        <v>241.31111111111113</v>
      </c>
      <c r="Z392" s="40">
        <f t="shared" si="647"/>
        <v>241.31111111111113</v>
      </c>
      <c r="AA392" s="40">
        <f t="shared" si="648"/>
        <v>482.62222222222226</v>
      </c>
      <c r="AB392" s="40">
        <f t="shared" si="649"/>
        <v>0</v>
      </c>
      <c r="AC392" s="40">
        <f t="shared" si="650"/>
        <v>241.31111111111113</v>
      </c>
      <c r="AD392" s="40">
        <f t="shared" si="651"/>
        <v>241.31111111111113</v>
      </c>
      <c r="AE392" s="40">
        <f t="shared" si="652"/>
        <v>965.24444444444453</v>
      </c>
      <c r="AF392" s="40">
        <f t="shared" si="653"/>
        <v>0</v>
      </c>
      <c r="AG392" s="40">
        <f t="shared" si="654"/>
        <v>241.31111111111113</v>
      </c>
      <c r="AH392" s="40">
        <f t="shared" si="625"/>
        <v>0</v>
      </c>
      <c r="AI392" s="40">
        <f t="shared" si="626"/>
        <v>0</v>
      </c>
      <c r="AJ392" s="40">
        <f t="shared" si="627"/>
        <v>0</v>
      </c>
      <c r="AK392" s="39">
        <f t="shared" si="628"/>
        <v>0</v>
      </c>
      <c r="AL392" s="38">
        <v>1852</v>
      </c>
      <c r="AM392" s="38">
        <v>1907</v>
      </c>
      <c r="AN392" s="38">
        <v>746</v>
      </c>
      <c r="AO392" s="38">
        <v>605</v>
      </c>
      <c r="AP392" s="38">
        <v>876</v>
      </c>
      <c r="AQ392" s="39">
        <v>1876</v>
      </c>
      <c r="AR392" s="40">
        <v>3768</v>
      </c>
      <c r="AS392" s="40">
        <v>2779</v>
      </c>
      <c r="AT392" s="40">
        <v>3427</v>
      </c>
      <c r="AU392" s="40">
        <v>3379</v>
      </c>
      <c r="AV392" s="40">
        <v>9376</v>
      </c>
      <c r="AW392" s="40">
        <v>10600</v>
      </c>
      <c r="AX392" s="40">
        <v>1298</v>
      </c>
      <c r="AY392" s="40">
        <v>365</v>
      </c>
      <c r="AZ392" s="40">
        <v>105</v>
      </c>
      <c r="BA392" s="40">
        <v>11</v>
      </c>
      <c r="BB392" s="40">
        <v>0</v>
      </c>
      <c r="BC392" s="39">
        <v>1</v>
      </c>
      <c r="BD392" s="40">
        <v>1</v>
      </c>
      <c r="BE392" s="40">
        <v>2</v>
      </c>
      <c r="BF392" s="40">
        <v>0</v>
      </c>
      <c r="BG392" s="40">
        <f>VLOOKUP(E392,'[1]Offline Offtake'!$G$522:$FL$619,161,0)</f>
        <v>1</v>
      </c>
      <c r="BH392" s="40">
        <v>1</v>
      </c>
      <c r="BI392" s="40">
        <v>4</v>
      </c>
      <c r="BJ392" s="40">
        <v>0</v>
      </c>
      <c r="BK392" s="40">
        <v>1</v>
      </c>
      <c r="BL392" s="40">
        <v>0</v>
      </c>
      <c r="BM392" s="40">
        <v>0</v>
      </c>
      <c r="BN392" s="40"/>
      <c r="BO392" s="39"/>
      <c r="BP392" s="21">
        <v>66</v>
      </c>
      <c r="BQ392" s="21">
        <v>56</v>
      </c>
      <c r="BR392" s="21">
        <v>86</v>
      </c>
      <c r="BS392" s="21">
        <v>50</v>
      </c>
      <c r="BT392" s="21">
        <v>14</v>
      </c>
      <c r="BU392" s="42">
        <v>181</v>
      </c>
      <c r="BV392" s="21">
        <v>117</v>
      </c>
      <c r="BW392" s="21">
        <v>162</v>
      </c>
      <c r="BX392" s="21">
        <v>185</v>
      </c>
      <c r="BY392" s="21">
        <v>184</v>
      </c>
      <c r="BZ392" s="21">
        <v>994</v>
      </c>
      <c r="CA392" s="21">
        <v>224</v>
      </c>
      <c r="CB392" s="21">
        <v>59</v>
      </c>
      <c r="CC392" s="21">
        <v>0</v>
      </c>
      <c r="CD392" s="21">
        <v>0</v>
      </c>
      <c r="CE392" s="21">
        <v>0</v>
      </c>
      <c r="CF392" s="21">
        <v>0</v>
      </c>
      <c r="CG392" s="42">
        <v>0</v>
      </c>
      <c r="CH392" s="21">
        <v>0</v>
      </c>
      <c r="CI392" s="21">
        <v>0</v>
      </c>
      <c r="CJ392" s="21">
        <v>0</v>
      </c>
      <c r="CK392" s="21">
        <v>0</v>
      </c>
      <c r="CL392" s="21">
        <v>0</v>
      </c>
      <c r="CM392" s="21">
        <v>0</v>
      </c>
      <c r="CN392" s="21">
        <v>0</v>
      </c>
      <c r="CO392" s="21">
        <v>0</v>
      </c>
      <c r="CP392" s="21">
        <f t="shared" si="655"/>
        <v>0</v>
      </c>
      <c r="CQ392" s="343">
        <f t="shared" si="656"/>
        <v>0</v>
      </c>
      <c r="CR392" s="40"/>
      <c r="CS392" s="39"/>
      <c r="CT392" s="38">
        <f t="shared" si="595"/>
        <v>1918</v>
      </c>
      <c r="CU392" s="38">
        <f t="shared" si="596"/>
        <v>1963</v>
      </c>
      <c r="CV392" s="38">
        <f t="shared" si="597"/>
        <v>832</v>
      </c>
      <c r="CW392" s="38">
        <f t="shared" si="598"/>
        <v>655</v>
      </c>
      <c r="CX392" s="38">
        <f t="shared" si="599"/>
        <v>890</v>
      </c>
      <c r="CY392" s="39">
        <f t="shared" si="600"/>
        <v>2057</v>
      </c>
      <c r="CZ392" s="40">
        <f t="shared" si="601"/>
        <v>3885</v>
      </c>
      <c r="DA392" s="40">
        <f t="shared" si="602"/>
        <v>2941</v>
      </c>
      <c r="DB392" s="40">
        <f t="shared" si="603"/>
        <v>3612</v>
      </c>
      <c r="DC392" s="40">
        <f t="shared" si="604"/>
        <v>3563</v>
      </c>
      <c r="DD392" s="40">
        <f t="shared" si="605"/>
        <v>10370</v>
      </c>
      <c r="DE392" s="40">
        <f t="shared" si="606"/>
        <v>10824</v>
      </c>
      <c r="DF392" s="40">
        <f t="shared" si="607"/>
        <v>1357</v>
      </c>
      <c r="DG392" s="40">
        <f t="shared" si="608"/>
        <v>365</v>
      </c>
      <c r="DH392" s="40">
        <f t="shared" si="609"/>
        <v>105</v>
      </c>
      <c r="DI392" s="40">
        <f t="shared" si="610"/>
        <v>11</v>
      </c>
      <c r="DJ392" s="40">
        <f t="shared" si="611"/>
        <v>0</v>
      </c>
      <c r="DK392" s="39">
        <f t="shared" si="612"/>
        <v>1</v>
      </c>
      <c r="DL392" s="40">
        <f t="shared" si="613"/>
        <v>1</v>
      </c>
      <c r="DM392" s="40">
        <f t="shared" si="614"/>
        <v>2</v>
      </c>
      <c r="DN392" s="40">
        <f t="shared" si="615"/>
        <v>0</v>
      </c>
      <c r="DO392" s="40">
        <f t="shared" si="616"/>
        <v>1</v>
      </c>
      <c r="DP392" s="40">
        <f t="shared" si="617"/>
        <v>1</v>
      </c>
      <c r="DQ392" s="40">
        <f t="shared" si="618"/>
        <v>4</v>
      </c>
      <c r="DR392" s="40">
        <f t="shared" si="623"/>
        <v>0</v>
      </c>
      <c r="DS392" s="40">
        <f t="shared" si="624"/>
        <v>1</v>
      </c>
      <c r="DT392" s="40">
        <f t="shared" si="619"/>
        <v>0</v>
      </c>
      <c r="DU392" s="40">
        <f t="shared" si="620"/>
        <v>0</v>
      </c>
      <c r="DV392" s="40">
        <f t="shared" si="621"/>
        <v>0</v>
      </c>
      <c r="DW392" s="40">
        <f t="shared" si="622"/>
        <v>0</v>
      </c>
    </row>
    <row r="393" spans="1:127">
      <c r="A393" s="22" t="s">
        <v>33</v>
      </c>
      <c r="B393" s="26">
        <v>4987176214621</v>
      </c>
      <c r="C393" s="22" t="s">
        <v>34</v>
      </c>
      <c r="D393" s="22" t="s">
        <v>36</v>
      </c>
      <c r="E393" s="22">
        <v>224717</v>
      </c>
      <c r="F393" s="80" t="s">
        <v>481</v>
      </c>
      <c r="G393" s="25">
        <v>292.25555555555559</v>
      </c>
      <c r="H393" s="38">
        <f t="shared" si="629"/>
        <v>138236.87777777779</v>
      </c>
      <c r="I393" s="38">
        <f t="shared" si="630"/>
        <v>245494.66666666669</v>
      </c>
      <c r="J393" s="38">
        <f t="shared" si="631"/>
        <v>106673.2777777778</v>
      </c>
      <c r="K393" s="38">
        <f t="shared" si="632"/>
        <v>92937.266666666677</v>
      </c>
      <c r="L393" s="38">
        <f t="shared" si="633"/>
        <v>105212.00000000001</v>
      </c>
      <c r="M393" s="39">
        <f t="shared" si="634"/>
        <v>133560.7888888889</v>
      </c>
      <c r="N393" s="40">
        <f t="shared" si="635"/>
        <v>128884.70000000001</v>
      </c>
      <c r="O393" s="40">
        <f t="shared" si="636"/>
        <v>109011.32222222224</v>
      </c>
      <c r="P393" s="40">
        <f t="shared" si="637"/>
        <v>120701.54444444446</v>
      </c>
      <c r="Q393" s="40">
        <f t="shared" si="638"/>
        <v>105504.25555555557</v>
      </c>
      <c r="R393" s="40">
        <f t="shared" si="639"/>
        <v>172138.52222222224</v>
      </c>
      <c r="S393" s="40">
        <f t="shared" si="640"/>
        <v>64296.222222222226</v>
      </c>
      <c r="T393" s="40">
        <f t="shared" si="641"/>
        <v>24257.211111111115</v>
      </c>
      <c r="U393" s="40">
        <f t="shared" si="642"/>
        <v>7014.1333333333341</v>
      </c>
      <c r="V393" s="40">
        <f t="shared" si="643"/>
        <v>4383.8333333333339</v>
      </c>
      <c r="W393" s="40">
        <f t="shared" si="644"/>
        <v>584.51111111111118</v>
      </c>
      <c r="X393" s="40">
        <f t="shared" si="645"/>
        <v>584.51111111111118</v>
      </c>
      <c r="Y393" s="39">
        <f t="shared" si="646"/>
        <v>292.25555555555559</v>
      </c>
      <c r="Z393" s="40">
        <f t="shared" si="647"/>
        <v>0</v>
      </c>
      <c r="AA393" s="40">
        <f t="shared" si="648"/>
        <v>292.25555555555559</v>
      </c>
      <c r="AB393" s="40">
        <f t="shared" si="649"/>
        <v>0</v>
      </c>
      <c r="AC393" s="40">
        <f t="shared" si="650"/>
        <v>0</v>
      </c>
      <c r="AD393" s="40">
        <f t="shared" si="651"/>
        <v>0</v>
      </c>
      <c r="AE393" s="40">
        <f t="shared" si="652"/>
        <v>0</v>
      </c>
      <c r="AF393" s="40">
        <f t="shared" si="653"/>
        <v>0</v>
      </c>
      <c r="AG393" s="40">
        <f t="shared" si="654"/>
        <v>0</v>
      </c>
      <c r="AH393" s="40">
        <f t="shared" si="625"/>
        <v>0</v>
      </c>
      <c r="AI393" s="40">
        <f t="shared" si="626"/>
        <v>0</v>
      </c>
      <c r="AJ393" s="40">
        <f t="shared" si="627"/>
        <v>0</v>
      </c>
      <c r="AK393" s="39">
        <f t="shared" si="628"/>
        <v>0</v>
      </c>
      <c r="AL393" s="38">
        <v>441</v>
      </c>
      <c r="AM393" s="38">
        <v>824</v>
      </c>
      <c r="AN393" s="38">
        <v>331</v>
      </c>
      <c r="AO393" s="38">
        <v>291</v>
      </c>
      <c r="AP393" s="38">
        <v>344</v>
      </c>
      <c r="AQ393" s="39">
        <v>404</v>
      </c>
      <c r="AR393" s="40">
        <v>422</v>
      </c>
      <c r="AS393" s="40">
        <v>358</v>
      </c>
      <c r="AT393" s="40">
        <v>369</v>
      </c>
      <c r="AU393" s="40">
        <v>326</v>
      </c>
      <c r="AV393" s="40">
        <v>500</v>
      </c>
      <c r="AW393" s="40">
        <v>220</v>
      </c>
      <c r="AX393" s="40">
        <v>83</v>
      </c>
      <c r="AY393" s="40">
        <v>24</v>
      </c>
      <c r="AZ393" s="40">
        <v>15</v>
      </c>
      <c r="BA393" s="40">
        <v>2</v>
      </c>
      <c r="BB393" s="40">
        <v>2</v>
      </c>
      <c r="BC393" s="39">
        <v>1</v>
      </c>
      <c r="BD393" s="40">
        <v>0</v>
      </c>
      <c r="BE393" s="40">
        <v>1</v>
      </c>
      <c r="BF393" s="40">
        <v>0</v>
      </c>
      <c r="BG393" s="40">
        <f>VLOOKUP(E393,'[1]Offline Offtake'!$G$522:$FL$619,161,0)</f>
        <v>0</v>
      </c>
      <c r="BH393" s="40">
        <v>0</v>
      </c>
      <c r="BI393" s="40">
        <v>0</v>
      </c>
      <c r="BJ393" s="40">
        <v>0</v>
      </c>
      <c r="BK393" s="40">
        <v>0</v>
      </c>
      <c r="BL393" s="40">
        <v>0</v>
      </c>
      <c r="BM393" s="40">
        <v>0</v>
      </c>
      <c r="BN393" s="40"/>
      <c r="BO393" s="39"/>
      <c r="BP393" s="21">
        <v>32</v>
      </c>
      <c r="BQ393" s="21">
        <v>16</v>
      </c>
      <c r="BR393" s="21">
        <v>34</v>
      </c>
      <c r="BS393" s="21">
        <v>27</v>
      </c>
      <c r="BT393" s="21">
        <v>16</v>
      </c>
      <c r="BU393" s="42">
        <v>53</v>
      </c>
      <c r="BV393" s="21">
        <v>19</v>
      </c>
      <c r="BW393" s="21">
        <v>15</v>
      </c>
      <c r="BX393" s="21">
        <v>44</v>
      </c>
      <c r="BY393" s="21">
        <v>35</v>
      </c>
      <c r="BZ393" s="21">
        <v>89</v>
      </c>
      <c r="CA393" s="21">
        <v>0</v>
      </c>
      <c r="CB393" s="21">
        <v>0</v>
      </c>
      <c r="CC393" s="21">
        <v>0</v>
      </c>
      <c r="CD393" s="21">
        <v>0</v>
      </c>
      <c r="CE393" s="21">
        <v>0</v>
      </c>
      <c r="CF393" s="21">
        <v>0</v>
      </c>
      <c r="CG393" s="42">
        <v>0</v>
      </c>
      <c r="CH393" s="21">
        <v>0</v>
      </c>
      <c r="CI393" s="21">
        <v>0</v>
      </c>
      <c r="CJ393" s="21">
        <v>0</v>
      </c>
      <c r="CK393" s="21">
        <v>0</v>
      </c>
      <c r="CL393" s="21">
        <v>0</v>
      </c>
      <c r="CM393" s="21">
        <v>0</v>
      </c>
      <c r="CN393" s="21">
        <v>0</v>
      </c>
      <c r="CO393" s="21">
        <v>0</v>
      </c>
      <c r="CP393" s="21">
        <f t="shared" si="655"/>
        <v>0</v>
      </c>
      <c r="CQ393" s="343">
        <f t="shared" si="656"/>
        <v>0</v>
      </c>
      <c r="CR393" s="40"/>
      <c r="CS393" s="39"/>
      <c r="CT393" s="38">
        <f t="shared" si="595"/>
        <v>473</v>
      </c>
      <c r="CU393" s="38">
        <f t="shared" si="596"/>
        <v>840</v>
      </c>
      <c r="CV393" s="38">
        <f t="shared" si="597"/>
        <v>365</v>
      </c>
      <c r="CW393" s="38">
        <f t="shared" si="598"/>
        <v>318</v>
      </c>
      <c r="CX393" s="38">
        <f t="shared" si="599"/>
        <v>360</v>
      </c>
      <c r="CY393" s="39">
        <f t="shared" si="600"/>
        <v>457</v>
      </c>
      <c r="CZ393" s="40">
        <f t="shared" si="601"/>
        <v>441</v>
      </c>
      <c r="DA393" s="40">
        <f t="shared" si="602"/>
        <v>373</v>
      </c>
      <c r="DB393" s="40">
        <f t="shared" si="603"/>
        <v>413</v>
      </c>
      <c r="DC393" s="40">
        <f t="shared" si="604"/>
        <v>361</v>
      </c>
      <c r="DD393" s="40">
        <f t="shared" si="605"/>
        <v>589</v>
      </c>
      <c r="DE393" s="40">
        <f t="shared" si="606"/>
        <v>220</v>
      </c>
      <c r="DF393" s="40">
        <f t="shared" si="607"/>
        <v>83</v>
      </c>
      <c r="DG393" s="40">
        <f t="shared" si="608"/>
        <v>24</v>
      </c>
      <c r="DH393" s="40">
        <f t="shared" si="609"/>
        <v>15</v>
      </c>
      <c r="DI393" s="40">
        <f t="shared" si="610"/>
        <v>2</v>
      </c>
      <c r="DJ393" s="40">
        <f t="shared" si="611"/>
        <v>2</v>
      </c>
      <c r="DK393" s="39">
        <f t="shared" si="612"/>
        <v>1</v>
      </c>
      <c r="DL393" s="40">
        <f t="shared" si="613"/>
        <v>0</v>
      </c>
      <c r="DM393" s="40">
        <f t="shared" si="614"/>
        <v>1</v>
      </c>
      <c r="DN393" s="40">
        <f t="shared" si="615"/>
        <v>0</v>
      </c>
      <c r="DO393" s="40">
        <f t="shared" si="616"/>
        <v>0</v>
      </c>
      <c r="DP393" s="40">
        <f t="shared" si="617"/>
        <v>0</v>
      </c>
      <c r="DQ393" s="40">
        <f t="shared" si="618"/>
        <v>0</v>
      </c>
      <c r="DR393" s="40">
        <f t="shared" si="623"/>
        <v>0</v>
      </c>
      <c r="DS393" s="40">
        <f t="shared" si="624"/>
        <v>0</v>
      </c>
      <c r="DT393" s="40">
        <f t="shared" si="619"/>
        <v>0</v>
      </c>
      <c r="DU393" s="40">
        <f t="shared" si="620"/>
        <v>0</v>
      </c>
      <c r="DV393" s="40">
        <f t="shared" si="621"/>
        <v>0</v>
      </c>
      <c r="DW393" s="40">
        <f t="shared" si="622"/>
        <v>0</v>
      </c>
    </row>
    <row r="394" spans="1:127">
      <c r="A394" s="22" t="s">
        <v>33</v>
      </c>
      <c r="B394" s="26">
        <v>4987176162410</v>
      </c>
      <c r="C394" s="22" t="s">
        <v>34</v>
      </c>
      <c r="D394" s="22" t="s">
        <v>36</v>
      </c>
      <c r="E394" s="22">
        <v>237679</v>
      </c>
      <c r="F394" s="80" t="s">
        <v>482</v>
      </c>
      <c r="G394" s="25">
        <v>649</v>
      </c>
      <c r="H394" s="38">
        <f t="shared" si="629"/>
        <v>0</v>
      </c>
      <c r="I394" s="38">
        <f t="shared" si="630"/>
        <v>459492</v>
      </c>
      <c r="J394" s="38">
        <f t="shared" si="631"/>
        <v>841104</v>
      </c>
      <c r="K394" s="38">
        <f t="shared" si="632"/>
        <v>1318768</v>
      </c>
      <c r="L394" s="38">
        <f t="shared" si="633"/>
        <v>1070850</v>
      </c>
      <c r="M394" s="39">
        <f t="shared" si="634"/>
        <v>109681</v>
      </c>
      <c r="N394" s="40">
        <f t="shared" si="635"/>
        <v>7139</v>
      </c>
      <c r="O394" s="40">
        <f t="shared" si="636"/>
        <v>1298</v>
      </c>
      <c r="P394" s="40">
        <f t="shared" si="637"/>
        <v>1947</v>
      </c>
      <c r="Q394" s="40">
        <f t="shared" si="638"/>
        <v>649</v>
      </c>
      <c r="R394" s="40">
        <f t="shared" si="639"/>
        <v>3245</v>
      </c>
      <c r="S394" s="40">
        <f t="shared" si="640"/>
        <v>0</v>
      </c>
      <c r="T394" s="40">
        <f t="shared" si="641"/>
        <v>0</v>
      </c>
      <c r="U394" s="40">
        <f t="shared" si="642"/>
        <v>0</v>
      </c>
      <c r="V394" s="40">
        <f t="shared" si="643"/>
        <v>0</v>
      </c>
      <c r="W394" s="40">
        <f t="shared" si="644"/>
        <v>0</v>
      </c>
      <c r="X394" s="40">
        <f t="shared" si="645"/>
        <v>0</v>
      </c>
      <c r="Y394" s="39">
        <f t="shared" si="646"/>
        <v>0</v>
      </c>
      <c r="Z394" s="40">
        <f t="shared" si="647"/>
        <v>0</v>
      </c>
      <c r="AA394" s="40">
        <f t="shared" si="648"/>
        <v>0</v>
      </c>
      <c r="AB394" s="40">
        <f t="shared" si="649"/>
        <v>0</v>
      </c>
      <c r="AC394" s="40">
        <f t="shared" si="650"/>
        <v>0</v>
      </c>
      <c r="AD394" s="40">
        <f t="shared" si="651"/>
        <v>0</v>
      </c>
      <c r="AE394" s="40">
        <f t="shared" si="652"/>
        <v>0</v>
      </c>
      <c r="AF394" s="40">
        <f t="shared" si="653"/>
        <v>0</v>
      </c>
      <c r="AG394" s="40">
        <f t="shared" si="654"/>
        <v>0</v>
      </c>
      <c r="AH394" s="40">
        <f t="shared" si="625"/>
        <v>0</v>
      </c>
      <c r="AI394" s="40">
        <f t="shared" si="626"/>
        <v>0</v>
      </c>
      <c r="AJ394" s="40">
        <f t="shared" si="627"/>
        <v>0</v>
      </c>
      <c r="AK394" s="39">
        <f t="shared" si="628"/>
        <v>0</v>
      </c>
      <c r="AL394" s="38">
        <v>0</v>
      </c>
      <c r="AM394" s="38">
        <v>706</v>
      </c>
      <c r="AN394" s="38">
        <v>1012</v>
      </c>
      <c r="AO394" s="38">
        <v>1784</v>
      </c>
      <c r="AP394" s="38">
        <v>1354</v>
      </c>
      <c r="AQ394" s="39">
        <v>169</v>
      </c>
      <c r="AR394" s="40">
        <v>11</v>
      </c>
      <c r="AS394" s="40">
        <v>2</v>
      </c>
      <c r="AT394" s="40">
        <v>3</v>
      </c>
      <c r="AU394" s="40">
        <v>1</v>
      </c>
      <c r="AV394" s="40">
        <v>5</v>
      </c>
      <c r="AW394" s="40">
        <v>0</v>
      </c>
      <c r="AX394" s="40">
        <v>0</v>
      </c>
      <c r="AY394" s="40">
        <v>0</v>
      </c>
      <c r="AZ394" s="40">
        <v>0</v>
      </c>
      <c r="BA394" s="40">
        <v>0</v>
      </c>
      <c r="BB394" s="40">
        <v>0</v>
      </c>
      <c r="BC394" s="39">
        <v>0</v>
      </c>
      <c r="BD394" s="40">
        <v>0</v>
      </c>
      <c r="BE394" s="40">
        <v>0</v>
      </c>
      <c r="BF394" s="40">
        <v>0</v>
      </c>
      <c r="BG394" s="40">
        <f>VLOOKUP(E394,'[1]Offline Offtake'!$G$522:$FL$619,161,0)</f>
        <v>0</v>
      </c>
      <c r="BH394" s="40">
        <v>0</v>
      </c>
      <c r="BI394" s="40">
        <v>0</v>
      </c>
      <c r="BJ394" s="40">
        <v>0</v>
      </c>
      <c r="BK394" s="40">
        <v>0</v>
      </c>
      <c r="BL394" s="40">
        <v>0</v>
      </c>
      <c r="BM394" s="40">
        <v>0</v>
      </c>
      <c r="BN394" s="40"/>
      <c r="BO394" s="39"/>
      <c r="BP394" s="21">
        <v>0</v>
      </c>
      <c r="BQ394" s="21">
        <v>2</v>
      </c>
      <c r="BR394" s="21">
        <v>284</v>
      </c>
      <c r="BS394" s="21">
        <v>248</v>
      </c>
      <c r="BT394" s="21">
        <v>296</v>
      </c>
      <c r="BU394" s="42">
        <v>0</v>
      </c>
      <c r="BV394" s="21">
        <v>0</v>
      </c>
      <c r="BW394" s="21">
        <v>0</v>
      </c>
      <c r="BX394" s="21">
        <v>0</v>
      </c>
      <c r="BY394" s="21">
        <v>0</v>
      </c>
      <c r="BZ394" s="21">
        <v>0</v>
      </c>
      <c r="CA394" s="21">
        <v>0</v>
      </c>
      <c r="CB394" s="21">
        <v>0</v>
      </c>
      <c r="CC394" s="21">
        <v>0</v>
      </c>
      <c r="CD394" s="21">
        <v>0</v>
      </c>
      <c r="CE394" s="21">
        <v>0</v>
      </c>
      <c r="CF394" s="21">
        <v>0</v>
      </c>
      <c r="CG394" s="42">
        <v>0</v>
      </c>
      <c r="CH394" s="21">
        <v>0</v>
      </c>
      <c r="CI394" s="21">
        <v>0</v>
      </c>
      <c r="CJ394" s="21">
        <v>0</v>
      </c>
      <c r="CK394" s="21">
        <v>0</v>
      </c>
      <c r="CL394" s="21">
        <v>0</v>
      </c>
      <c r="CM394" s="21">
        <v>0</v>
      </c>
      <c r="CN394" s="21">
        <v>0</v>
      </c>
      <c r="CO394" s="21">
        <v>0</v>
      </c>
      <c r="CP394" s="21">
        <f t="shared" si="655"/>
        <v>0</v>
      </c>
      <c r="CQ394" s="343">
        <f t="shared" si="656"/>
        <v>0</v>
      </c>
      <c r="CR394" s="40"/>
      <c r="CS394" s="39"/>
      <c r="CT394" s="38">
        <f t="shared" si="595"/>
        <v>0</v>
      </c>
      <c r="CU394" s="38">
        <f t="shared" si="596"/>
        <v>708</v>
      </c>
      <c r="CV394" s="38">
        <f t="shared" si="597"/>
        <v>1296</v>
      </c>
      <c r="CW394" s="38">
        <f t="shared" si="598"/>
        <v>2032</v>
      </c>
      <c r="CX394" s="38">
        <f t="shared" si="599"/>
        <v>1650</v>
      </c>
      <c r="CY394" s="39">
        <f t="shared" si="600"/>
        <v>169</v>
      </c>
      <c r="CZ394" s="40">
        <f t="shared" si="601"/>
        <v>11</v>
      </c>
      <c r="DA394" s="40">
        <f t="shared" si="602"/>
        <v>2</v>
      </c>
      <c r="DB394" s="40">
        <f t="shared" si="603"/>
        <v>3</v>
      </c>
      <c r="DC394" s="40">
        <f t="shared" si="604"/>
        <v>1</v>
      </c>
      <c r="DD394" s="40">
        <f t="shared" si="605"/>
        <v>5</v>
      </c>
      <c r="DE394" s="40">
        <f t="shared" si="606"/>
        <v>0</v>
      </c>
      <c r="DF394" s="40">
        <f t="shared" si="607"/>
        <v>0</v>
      </c>
      <c r="DG394" s="40">
        <f t="shared" si="608"/>
        <v>0</v>
      </c>
      <c r="DH394" s="40">
        <f t="shared" si="609"/>
        <v>0</v>
      </c>
      <c r="DI394" s="40">
        <f t="shared" si="610"/>
        <v>0</v>
      </c>
      <c r="DJ394" s="40">
        <f t="shared" si="611"/>
        <v>0</v>
      </c>
      <c r="DK394" s="39">
        <f t="shared" si="612"/>
        <v>0</v>
      </c>
      <c r="DL394" s="40">
        <f t="shared" si="613"/>
        <v>0</v>
      </c>
      <c r="DM394" s="40">
        <f t="shared" si="614"/>
        <v>0</v>
      </c>
      <c r="DN394" s="40">
        <f t="shared" si="615"/>
        <v>0</v>
      </c>
      <c r="DO394" s="40">
        <f t="shared" si="616"/>
        <v>0</v>
      </c>
      <c r="DP394" s="40">
        <f t="shared" si="617"/>
        <v>0</v>
      </c>
      <c r="DQ394" s="40">
        <f t="shared" si="618"/>
        <v>0</v>
      </c>
      <c r="DR394" s="40">
        <f t="shared" si="623"/>
        <v>0</v>
      </c>
      <c r="DS394" s="40">
        <f t="shared" si="624"/>
        <v>0</v>
      </c>
      <c r="DT394" s="40">
        <f t="shared" si="619"/>
        <v>0</v>
      </c>
      <c r="DU394" s="40">
        <f t="shared" si="620"/>
        <v>0</v>
      </c>
      <c r="DV394" s="40">
        <f t="shared" si="621"/>
        <v>0</v>
      </c>
      <c r="DW394" s="40">
        <f t="shared" si="622"/>
        <v>0</v>
      </c>
    </row>
    <row r="395" spans="1:127">
      <c r="A395" s="22" t="s">
        <v>33</v>
      </c>
      <c r="B395" s="26">
        <v>4987176178503</v>
      </c>
      <c r="C395" s="22" t="s">
        <v>34</v>
      </c>
      <c r="D395" s="22" t="s">
        <v>36</v>
      </c>
      <c r="E395" s="22">
        <v>237732</v>
      </c>
      <c r="F395" s="80" t="s">
        <v>483</v>
      </c>
      <c r="G395" s="25">
        <v>649</v>
      </c>
      <c r="H395" s="38">
        <f t="shared" si="629"/>
        <v>0</v>
      </c>
      <c r="I395" s="38">
        <f t="shared" si="630"/>
        <v>506869</v>
      </c>
      <c r="J395" s="38">
        <f t="shared" si="631"/>
        <v>1063711</v>
      </c>
      <c r="K395" s="38">
        <f t="shared" si="632"/>
        <v>1458303</v>
      </c>
      <c r="L395" s="38">
        <f t="shared" si="633"/>
        <v>1393403</v>
      </c>
      <c r="M395" s="39">
        <f t="shared" si="634"/>
        <v>97350</v>
      </c>
      <c r="N395" s="40">
        <f t="shared" si="635"/>
        <v>7139</v>
      </c>
      <c r="O395" s="40">
        <f t="shared" si="636"/>
        <v>2596</v>
      </c>
      <c r="P395" s="40">
        <f t="shared" si="637"/>
        <v>2596</v>
      </c>
      <c r="Q395" s="40">
        <f t="shared" si="638"/>
        <v>0</v>
      </c>
      <c r="R395" s="40">
        <f t="shared" si="639"/>
        <v>1298</v>
      </c>
      <c r="S395" s="40">
        <f t="shared" si="640"/>
        <v>0</v>
      </c>
      <c r="T395" s="40">
        <f t="shared" si="641"/>
        <v>0</v>
      </c>
      <c r="U395" s="40">
        <f t="shared" si="642"/>
        <v>0</v>
      </c>
      <c r="V395" s="40">
        <f t="shared" si="643"/>
        <v>0</v>
      </c>
      <c r="W395" s="40">
        <f t="shared" si="644"/>
        <v>0</v>
      </c>
      <c r="X395" s="40">
        <f t="shared" si="645"/>
        <v>0</v>
      </c>
      <c r="Y395" s="39">
        <f t="shared" si="646"/>
        <v>0</v>
      </c>
      <c r="Z395" s="40">
        <f t="shared" si="647"/>
        <v>0</v>
      </c>
      <c r="AA395" s="40">
        <f t="shared" si="648"/>
        <v>0</v>
      </c>
      <c r="AB395" s="40">
        <f t="shared" si="649"/>
        <v>0</v>
      </c>
      <c r="AC395" s="40">
        <f t="shared" si="650"/>
        <v>0</v>
      </c>
      <c r="AD395" s="40">
        <f t="shared" si="651"/>
        <v>0</v>
      </c>
      <c r="AE395" s="40">
        <f t="shared" si="652"/>
        <v>0</v>
      </c>
      <c r="AF395" s="40">
        <f t="shared" si="653"/>
        <v>0</v>
      </c>
      <c r="AG395" s="40">
        <f t="shared" si="654"/>
        <v>0</v>
      </c>
      <c r="AH395" s="40">
        <f t="shared" si="625"/>
        <v>0</v>
      </c>
      <c r="AI395" s="40">
        <f t="shared" si="626"/>
        <v>0</v>
      </c>
      <c r="AJ395" s="40">
        <f t="shared" si="627"/>
        <v>0</v>
      </c>
      <c r="AK395" s="39">
        <f t="shared" si="628"/>
        <v>0</v>
      </c>
      <c r="AL395" s="38">
        <v>0</v>
      </c>
      <c r="AM395" s="38">
        <v>773</v>
      </c>
      <c r="AN395" s="38">
        <v>1186</v>
      </c>
      <c r="AO395" s="38">
        <v>1832</v>
      </c>
      <c r="AP395" s="38">
        <v>1625</v>
      </c>
      <c r="AQ395" s="39">
        <v>150</v>
      </c>
      <c r="AR395" s="40">
        <v>11</v>
      </c>
      <c r="AS395" s="40">
        <v>4</v>
      </c>
      <c r="AT395" s="40">
        <v>4</v>
      </c>
      <c r="AU395" s="40">
        <v>0</v>
      </c>
      <c r="AV395" s="40">
        <v>2</v>
      </c>
      <c r="AW395" s="40">
        <v>0</v>
      </c>
      <c r="AX395" s="40">
        <v>0</v>
      </c>
      <c r="AY395" s="40">
        <v>0</v>
      </c>
      <c r="AZ395" s="40">
        <v>0</v>
      </c>
      <c r="BA395" s="40">
        <v>0</v>
      </c>
      <c r="BB395" s="40">
        <v>0</v>
      </c>
      <c r="BC395" s="39">
        <v>0</v>
      </c>
      <c r="BD395" s="40">
        <v>0</v>
      </c>
      <c r="BE395" s="40">
        <v>0</v>
      </c>
      <c r="BF395" s="40">
        <v>0</v>
      </c>
      <c r="BG395" s="40">
        <f>VLOOKUP(E395,'[1]Offline Offtake'!$G$522:$FL$619,161,0)</f>
        <v>0</v>
      </c>
      <c r="BH395" s="40">
        <v>0</v>
      </c>
      <c r="BI395" s="40">
        <v>0</v>
      </c>
      <c r="BJ395" s="40">
        <v>0</v>
      </c>
      <c r="BK395" s="40">
        <v>0</v>
      </c>
      <c r="BL395" s="40">
        <v>0</v>
      </c>
      <c r="BM395" s="40">
        <v>0</v>
      </c>
      <c r="BN395" s="40"/>
      <c r="BO395" s="39"/>
      <c r="BP395" s="21">
        <v>0</v>
      </c>
      <c r="BQ395" s="21">
        <v>8</v>
      </c>
      <c r="BR395" s="21">
        <v>453</v>
      </c>
      <c r="BS395" s="21">
        <v>415</v>
      </c>
      <c r="BT395" s="21">
        <v>522</v>
      </c>
      <c r="BU395" s="42">
        <v>0</v>
      </c>
      <c r="BV395" s="21">
        <v>0</v>
      </c>
      <c r="BW395" s="21">
        <v>0</v>
      </c>
      <c r="BX395" s="21">
        <v>0</v>
      </c>
      <c r="BY395" s="21">
        <v>0</v>
      </c>
      <c r="BZ395" s="21">
        <v>0</v>
      </c>
      <c r="CA395" s="21">
        <v>0</v>
      </c>
      <c r="CB395" s="21">
        <v>0</v>
      </c>
      <c r="CC395" s="21">
        <v>0</v>
      </c>
      <c r="CD395" s="21">
        <v>0</v>
      </c>
      <c r="CE395" s="21">
        <v>0</v>
      </c>
      <c r="CF395" s="21">
        <v>0</v>
      </c>
      <c r="CG395" s="42">
        <v>0</v>
      </c>
      <c r="CH395" s="21">
        <v>0</v>
      </c>
      <c r="CI395" s="21">
        <v>0</v>
      </c>
      <c r="CJ395" s="21">
        <v>0</v>
      </c>
      <c r="CK395" s="21">
        <v>0</v>
      </c>
      <c r="CL395" s="21">
        <v>0</v>
      </c>
      <c r="CM395" s="21">
        <v>0</v>
      </c>
      <c r="CN395" s="21">
        <v>0</v>
      </c>
      <c r="CO395" s="21">
        <v>0</v>
      </c>
      <c r="CP395" s="21">
        <f t="shared" si="655"/>
        <v>0</v>
      </c>
      <c r="CQ395" s="343">
        <f t="shared" si="656"/>
        <v>0</v>
      </c>
      <c r="CR395" s="40"/>
      <c r="CS395" s="39"/>
      <c r="CT395" s="38">
        <f t="shared" si="595"/>
        <v>0</v>
      </c>
      <c r="CU395" s="38">
        <f t="shared" si="596"/>
        <v>781</v>
      </c>
      <c r="CV395" s="38">
        <f t="shared" si="597"/>
        <v>1639</v>
      </c>
      <c r="CW395" s="38">
        <f t="shared" si="598"/>
        <v>2247</v>
      </c>
      <c r="CX395" s="38">
        <f t="shared" si="599"/>
        <v>2147</v>
      </c>
      <c r="CY395" s="39">
        <f t="shared" si="600"/>
        <v>150</v>
      </c>
      <c r="CZ395" s="40">
        <f t="shared" si="601"/>
        <v>11</v>
      </c>
      <c r="DA395" s="40">
        <f t="shared" si="602"/>
        <v>4</v>
      </c>
      <c r="DB395" s="40">
        <f t="shared" si="603"/>
        <v>4</v>
      </c>
      <c r="DC395" s="40">
        <f t="shared" si="604"/>
        <v>0</v>
      </c>
      <c r="DD395" s="40">
        <f t="shared" si="605"/>
        <v>2</v>
      </c>
      <c r="DE395" s="40">
        <f t="shared" si="606"/>
        <v>0</v>
      </c>
      <c r="DF395" s="40">
        <f t="shared" si="607"/>
        <v>0</v>
      </c>
      <c r="DG395" s="40">
        <f t="shared" si="608"/>
        <v>0</v>
      </c>
      <c r="DH395" s="40">
        <f t="shared" si="609"/>
        <v>0</v>
      </c>
      <c r="DI395" s="40">
        <f t="shared" si="610"/>
        <v>0</v>
      </c>
      <c r="DJ395" s="40">
        <f t="shared" si="611"/>
        <v>0</v>
      </c>
      <c r="DK395" s="39">
        <f t="shared" si="612"/>
        <v>0</v>
      </c>
      <c r="DL395" s="40">
        <f t="shared" si="613"/>
        <v>0</v>
      </c>
      <c r="DM395" s="40">
        <f t="shared" si="614"/>
        <v>0</v>
      </c>
      <c r="DN395" s="40">
        <f t="shared" si="615"/>
        <v>0</v>
      </c>
      <c r="DO395" s="40">
        <f t="shared" si="616"/>
        <v>0</v>
      </c>
      <c r="DP395" s="40">
        <f t="shared" si="617"/>
        <v>0</v>
      </c>
      <c r="DQ395" s="40">
        <f t="shared" si="618"/>
        <v>0</v>
      </c>
      <c r="DR395" s="40">
        <f t="shared" si="623"/>
        <v>0</v>
      </c>
      <c r="DS395" s="40">
        <f t="shared" si="624"/>
        <v>0</v>
      </c>
      <c r="DT395" s="40">
        <f t="shared" si="619"/>
        <v>0</v>
      </c>
      <c r="DU395" s="40">
        <f t="shared" si="620"/>
        <v>0</v>
      </c>
      <c r="DV395" s="40">
        <f t="shared" si="621"/>
        <v>0</v>
      </c>
      <c r="DW395" s="40">
        <f t="shared" si="622"/>
        <v>0</v>
      </c>
    </row>
    <row r="396" spans="1:127">
      <c r="A396" s="22" t="s">
        <v>33</v>
      </c>
      <c r="B396" s="26">
        <v>4987176095374</v>
      </c>
      <c r="C396" s="22" t="s">
        <v>34</v>
      </c>
      <c r="D396" s="22" t="s">
        <v>36</v>
      </c>
      <c r="E396" s="22">
        <v>121492</v>
      </c>
      <c r="F396" s="80" t="s">
        <v>484</v>
      </c>
      <c r="G396" s="25">
        <v>201.75</v>
      </c>
      <c r="H396" s="38">
        <f t="shared" si="629"/>
        <v>0</v>
      </c>
      <c r="I396" s="38">
        <f t="shared" si="630"/>
        <v>0</v>
      </c>
      <c r="J396" s="38">
        <f t="shared" si="631"/>
        <v>0</v>
      </c>
      <c r="K396" s="38">
        <f t="shared" si="632"/>
        <v>0</v>
      </c>
      <c r="L396" s="38">
        <f t="shared" si="633"/>
        <v>0</v>
      </c>
      <c r="M396" s="39">
        <f t="shared" si="634"/>
        <v>0</v>
      </c>
      <c r="N396" s="40">
        <f t="shared" si="635"/>
        <v>0</v>
      </c>
      <c r="O396" s="40">
        <f t="shared" si="636"/>
        <v>0</v>
      </c>
      <c r="P396" s="40">
        <f t="shared" si="637"/>
        <v>0</v>
      </c>
      <c r="Q396" s="40">
        <f t="shared" si="638"/>
        <v>0</v>
      </c>
      <c r="R396" s="40">
        <f t="shared" si="639"/>
        <v>0</v>
      </c>
      <c r="S396" s="40">
        <f t="shared" si="640"/>
        <v>0</v>
      </c>
      <c r="T396" s="40">
        <f t="shared" si="641"/>
        <v>0</v>
      </c>
      <c r="U396" s="40">
        <f t="shared" si="642"/>
        <v>0</v>
      </c>
      <c r="V396" s="40">
        <f t="shared" si="643"/>
        <v>0</v>
      </c>
      <c r="W396" s="40">
        <f t="shared" si="644"/>
        <v>0</v>
      </c>
      <c r="X396" s="40">
        <f t="shared" si="645"/>
        <v>0</v>
      </c>
      <c r="Y396" s="39">
        <f t="shared" si="646"/>
        <v>0</v>
      </c>
      <c r="Z396" s="40">
        <f t="shared" si="647"/>
        <v>0</v>
      </c>
      <c r="AA396" s="40">
        <f t="shared" si="648"/>
        <v>0</v>
      </c>
      <c r="AB396" s="40">
        <f t="shared" si="649"/>
        <v>0</v>
      </c>
      <c r="AC396" s="40">
        <f t="shared" si="650"/>
        <v>0</v>
      </c>
      <c r="AD396" s="40">
        <f t="shared" si="651"/>
        <v>0</v>
      </c>
      <c r="AE396" s="40">
        <f t="shared" si="652"/>
        <v>0</v>
      </c>
      <c r="AF396" s="40">
        <f t="shared" si="653"/>
        <v>0</v>
      </c>
      <c r="AG396" s="40">
        <f t="shared" si="654"/>
        <v>0</v>
      </c>
      <c r="AH396" s="40">
        <f t="shared" si="625"/>
        <v>0</v>
      </c>
      <c r="AI396" s="40">
        <f t="shared" si="626"/>
        <v>0</v>
      </c>
      <c r="AJ396" s="40">
        <f t="shared" si="627"/>
        <v>0</v>
      </c>
      <c r="AK396" s="39">
        <f t="shared" si="628"/>
        <v>0</v>
      </c>
      <c r="AL396" s="38">
        <v>0</v>
      </c>
      <c r="AM396" s="38">
        <v>0</v>
      </c>
      <c r="AN396" s="38">
        <v>0</v>
      </c>
      <c r="AO396" s="38">
        <v>0</v>
      </c>
      <c r="AP396" s="38">
        <v>0</v>
      </c>
      <c r="AQ396" s="39">
        <v>0</v>
      </c>
      <c r="AR396" s="40">
        <v>0</v>
      </c>
      <c r="AS396" s="40">
        <v>0</v>
      </c>
      <c r="AT396" s="40">
        <v>0</v>
      </c>
      <c r="AU396" s="40">
        <v>0</v>
      </c>
      <c r="AV396" s="40">
        <v>0</v>
      </c>
      <c r="AW396" s="40">
        <v>0</v>
      </c>
      <c r="AX396" s="40">
        <v>0</v>
      </c>
      <c r="AY396" s="40">
        <v>0</v>
      </c>
      <c r="AZ396" s="40">
        <v>0</v>
      </c>
      <c r="BA396" s="40">
        <v>0</v>
      </c>
      <c r="BB396" s="40">
        <v>0</v>
      </c>
      <c r="BC396" s="39">
        <v>0</v>
      </c>
      <c r="BD396" s="40">
        <v>0</v>
      </c>
      <c r="BE396" s="40">
        <v>0</v>
      </c>
      <c r="BF396" s="40">
        <v>0</v>
      </c>
      <c r="BG396" s="40">
        <f>VLOOKUP(E396,'[1]Offline Offtake'!$G$522:$FL$619,161,0)</f>
        <v>0</v>
      </c>
      <c r="BH396" s="40">
        <v>0</v>
      </c>
      <c r="BI396" s="40">
        <v>0</v>
      </c>
      <c r="BJ396" s="40">
        <v>0</v>
      </c>
      <c r="BK396" s="40">
        <v>0</v>
      </c>
      <c r="BL396" s="40">
        <v>0</v>
      </c>
      <c r="BM396" s="40" t="s">
        <v>768</v>
      </c>
      <c r="BN396" s="40"/>
      <c r="BO396" s="39"/>
      <c r="BP396" s="21">
        <v>0</v>
      </c>
      <c r="BQ396" s="21">
        <v>0</v>
      </c>
      <c r="BR396" s="21">
        <v>0</v>
      </c>
      <c r="BS396" s="21">
        <v>0</v>
      </c>
      <c r="BT396" s="21">
        <v>0</v>
      </c>
      <c r="BU396" s="42">
        <v>0</v>
      </c>
      <c r="BV396" s="21">
        <v>0</v>
      </c>
      <c r="BW396" s="21">
        <v>0</v>
      </c>
      <c r="BX396" s="21">
        <v>0</v>
      </c>
      <c r="BY396" s="21">
        <v>0</v>
      </c>
      <c r="BZ396" s="21">
        <v>0</v>
      </c>
      <c r="CA396" s="21">
        <v>0</v>
      </c>
      <c r="CB396" s="21">
        <v>0</v>
      </c>
      <c r="CC396" s="21">
        <v>0</v>
      </c>
      <c r="CD396" s="21">
        <v>0</v>
      </c>
      <c r="CE396" s="21">
        <v>0</v>
      </c>
      <c r="CF396" s="21">
        <v>0</v>
      </c>
      <c r="CG396" s="42">
        <v>0</v>
      </c>
      <c r="CH396" s="21">
        <v>0</v>
      </c>
      <c r="CI396" s="21">
        <v>0</v>
      </c>
      <c r="CJ396" s="21">
        <v>0</v>
      </c>
      <c r="CK396" s="21">
        <v>0</v>
      </c>
      <c r="CL396" s="21">
        <v>0</v>
      </c>
      <c r="CM396" s="21">
        <v>0</v>
      </c>
      <c r="CN396" s="21">
        <v>0</v>
      </c>
      <c r="CO396" s="21">
        <v>0</v>
      </c>
      <c r="CP396" s="21">
        <f t="shared" si="655"/>
        <v>0</v>
      </c>
      <c r="CQ396" s="343">
        <f t="shared" si="656"/>
        <v>0</v>
      </c>
      <c r="CR396" s="40"/>
      <c r="CS396" s="39"/>
      <c r="CT396" s="38">
        <f t="shared" si="595"/>
        <v>0</v>
      </c>
      <c r="CU396" s="38">
        <f t="shared" si="596"/>
        <v>0</v>
      </c>
      <c r="CV396" s="38">
        <f t="shared" si="597"/>
        <v>0</v>
      </c>
      <c r="CW396" s="38">
        <f t="shared" si="598"/>
        <v>0</v>
      </c>
      <c r="CX396" s="38">
        <f t="shared" si="599"/>
        <v>0</v>
      </c>
      <c r="CY396" s="39">
        <f t="shared" si="600"/>
        <v>0</v>
      </c>
      <c r="CZ396" s="40">
        <f t="shared" si="601"/>
        <v>0</v>
      </c>
      <c r="DA396" s="40">
        <f t="shared" si="602"/>
        <v>0</v>
      </c>
      <c r="DB396" s="40">
        <f t="shared" si="603"/>
        <v>0</v>
      </c>
      <c r="DC396" s="40">
        <f t="shared" si="604"/>
        <v>0</v>
      </c>
      <c r="DD396" s="40">
        <f t="shared" si="605"/>
        <v>0</v>
      </c>
      <c r="DE396" s="40">
        <f t="shared" si="606"/>
        <v>0</v>
      </c>
      <c r="DF396" s="40">
        <f t="shared" si="607"/>
        <v>0</v>
      </c>
      <c r="DG396" s="40">
        <f t="shared" si="608"/>
        <v>0</v>
      </c>
      <c r="DH396" s="40">
        <f t="shared" si="609"/>
        <v>0</v>
      </c>
      <c r="DI396" s="40">
        <f t="shared" si="610"/>
        <v>0</v>
      </c>
      <c r="DJ396" s="40">
        <f t="shared" si="611"/>
        <v>0</v>
      </c>
      <c r="DK396" s="39">
        <f t="shared" si="612"/>
        <v>0</v>
      </c>
      <c r="DL396" s="40">
        <f t="shared" si="613"/>
        <v>0</v>
      </c>
      <c r="DM396" s="40">
        <f t="shared" si="614"/>
        <v>0</v>
      </c>
      <c r="DN396" s="40">
        <f t="shared" si="615"/>
        <v>0</v>
      </c>
      <c r="DO396" s="40">
        <f t="shared" si="616"/>
        <v>0</v>
      </c>
      <c r="DP396" s="40">
        <f t="shared" si="617"/>
        <v>0</v>
      </c>
      <c r="DQ396" s="40">
        <f t="shared" si="618"/>
        <v>0</v>
      </c>
      <c r="DR396" s="40">
        <f t="shared" si="623"/>
        <v>0</v>
      </c>
      <c r="DS396" s="40">
        <f t="shared" si="624"/>
        <v>0</v>
      </c>
      <c r="DT396" s="40">
        <f t="shared" si="619"/>
        <v>0</v>
      </c>
      <c r="DU396" s="40">
        <f t="shared" si="620"/>
        <v>0</v>
      </c>
      <c r="DV396" s="40">
        <f t="shared" si="621"/>
        <v>0</v>
      </c>
      <c r="DW396" s="40">
        <f t="shared" si="622"/>
        <v>0</v>
      </c>
    </row>
    <row r="397" spans="1:127">
      <c r="A397" s="22" t="s">
        <v>33</v>
      </c>
      <c r="B397" s="26">
        <v>4987176169242</v>
      </c>
      <c r="C397" s="22" t="s">
        <v>34</v>
      </c>
      <c r="D397" s="22" t="s">
        <v>36</v>
      </c>
      <c r="E397" s="22">
        <v>196668</v>
      </c>
      <c r="F397" s="80" t="s">
        <v>485</v>
      </c>
      <c r="G397" s="25">
        <v>219.3</v>
      </c>
      <c r="H397" s="38">
        <f t="shared" si="629"/>
        <v>113816.70000000001</v>
      </c>
      <c r="I397" s="38">
        <f t="shared" si="630"/>
        <v>111185.1</v>
      </c>
      <c r="J397" s="38">
        <f t="shared" si="631"/>
        <v>71930.400000000009</v>
      </c>
      <c r="K397" s="38">
        <f t="shared" si="632"/>
        <v>80921.7</v>
      </c>
      <c r="L397" s="38">
        <f t="shared" si="633"/>
        <v>102851.70000000001</v>
      </c>
      <c r="M397" s="39">
        <f t="shared" si="634"/>
        <v>199563</v>
      </c>
      <c r="N397" s="40">
        <f t="shared" si="635"/>
        <v>230922.90000000002</v>
      </c>
      <c r="O397" s="40">
        <f t="shared" si="636"/>
        <v>245177.40000000002</v>
      </c>
      <c r="P397" s="40">
        <f t="shared" si="637"/>
        <v>219738.6</v>
      </c>
      <c r="Q397" s="40">
        <f t="shared" si="638"/>
        <v>223905.30000000002</v>
      </c>
      <c r="R397" s="40">
        <f t="shared" si="639"/>
        <v>222370.2</v>
      </c>
      <c r="S397" s="40">
        <f t="shared" si="640"/>
        <v>123904.5</v>
      </c>
      <c r="T397" s="40">
        <f t="shared" si="641"/>
        <v>115790.40000000001</v>
      </c>
      <c r="U397" s="40">
        <f t="shared" si="642"/>
        <v>75658.5</v>
      </c>
      <c r="V397" s="40">
        <f t="shared" si="643"/>
        <v>18859.8</v>
      </c>
      <c r="W397" s="40">
        <f t="shared" si="644"/>
        <v>12061.5</v>
      </c>
      <c r="X397" s="40">
        <f t="shared" si="645"/>
        <v>14254.5</v>
      </c>
      <c r="Y397" s="39">
        <f t="shared" si="646"/>
        <v>4605.3</v>
      </c>
      <c r="Z397" s="40">
        <f t="shared" si="647"/>
        <v>877.2</v>
      </c>
      <c r="AA397" s="40">
        <f t="shared" si="648"/>
        <v>219.3</v>
      </c>
      <c r="AB397" s="40">
        <f t="shared" si="649"/>
        <v>877.2</v>
      </c>
      <c r="AC397" s="40">
        <f t="shared" si="650"/>
        <v>0</v>
      </c>
      <c r="AD397" s="40">
        <f t="shared" si="651"/>
        <v>0</v>
      </c>
      <c r="AE397" s="40">
        <f t="shared" si="652"/>
        <v>0</v>
      </c>
      <c r="AF397" s="40">
        <f t="shared" si="653"/>
        <v>0</v>
      </c>
      <c r="AG397" s="40">
        <f t="shared" si="654"/>
        <v>0</v>
      </c>
      <c r="AH397" s="40">
        <f t="shared" si="625"/>
        <v>0</v>
      </c>
      <c r="AI397" s="40">
        <f t="shared" si="626"/>
        <v>0</v>
      </c>
      <c r="AJ397" s="40">
        <f t="shared" si="627"/>
        <v>0</v>
      </c>
      <c r="AK397" s="39">
        <f t="shared" si="628"/>
        <v>0</v>
      </c>
      <c r="AL397" s="38">
        <v>416</v>
      </c>
      <c r="AM397" s="38">
        <v>415</v>
      </c>
      <c r="AN397" s="38">
        <v>219</v>
      </c>
      <c r="AO397" s="38">
        <v>271</v>
      </c>
      <c r="AP397" s="38">
        <v>381</v>
      </c>
      <c r="AQ397" s="39">
        <v>784</v>
      </c>
      <c r="AR397" s="40">
        <v>969</v>
      </c>
      <c r="AS397" s="40">
        <v>1026</v>
      </c>
      <c r="AT397" s="40">
        <v>871</v>
      </c>
      <c r="AU397" s="40">
        <v>934</v>
      </c>
      <c r="AV397" s="40">
        <v>670</v>
      </c>
      <c r="AW397" s="40">
        <v>565</v>
      </c>
      <c r="AX397" s="40">
        <v>528</v>
      </c>
      <c r="AY397" s="40">
        <v>345</v>
      </c>
      <c r="AZ397" s="40">
        <v>86</v>
      </c>
      <c r="BA397" s="40">
        <v>55</v>
      </c>
      <c r="BB397" s="40">
        <v>65</v>
      </c>
      <c r="BC397" s="39">
        <v>21</v>
      </c>
      <c r="BD397" s="40">
        <v>4</v>
      </c>
      <c r="BE397" s="40">
        <v>1</v>
      </c>
      <c r="BF397" s="40">
        <v>4</v>
      </c>
      <c r="BG397" s="40">
        <f>VLOOKUP(E397,'[1]Offline Offtake'!$G$522:$FL$619,161,0)</f>
        <v>0</v>
      </c>
      <c r="BH397" s="40">
        <v>0</v>
      </c>
      <c r="BI397" s="40">
        <v>0</v>
      </c>
      <c r="BJ397" s="40">
        <v>0</v>
      </c>
      <c r="BK397" s="40">
        <v>0</v>
      </c>
      <c r="BL397" s="40">
        <v>0</v>
      </c>
      <c r="BM397" s="40">
        <v>0</v>
      </c>
      <c r="BN397" s="40"/>
      <c r="BO397" s="39"/>
      <c r="BP397" s="21">
        <v>103</v>
      </c>
      <c r="BQ397" s="21">
        <v>92</v>
      </c>
      <c r="BR397" s="21">
        <v>109</v>
      </c>
      <c r="BS397" s="21">
        <v>98</v>
      </c>
      <c r="BT397" s="21">
        <v>88</v>
      </c>
      <c r="BU397" s="42">
        <v>126</v>
      </c>
      <c r="BV397" s="21">
        <v>84</v>
      </c>
      <c r="BW397" s="21">
        <v>92</v>
      </c>
      <c r="BX397" s="21">
        <v>131</v>
      </c>
      <c r="BY397" s="21">
        <v>87</v>
      </c>
      <c r="BZ397" s="21">
        <v>344</v>
      </c>
      <c r="CA397" s="21">
        <v>0</v>
      </c>
      <c r="CB397" s="21">
        <v>0</v>
      </c>
      <c r="CC397" s="21">
        <v>0</v>
      </c>
      <c r="CD397" s="21">
        <v>0</v>
      </c>
      <c r="CE397" s="21">
        <v>0</v>
      </c>
      <c r="CF397" s="21">
        <v>0</v>
      </c>
      <c r="CG397" s="42">
        <v>0</v>
      </c>
      <c r="CH397" s="21">
        <v>0</v>
      </c>
      <c r="CI397" s="21">
        <v>0</v>
      </c>
      <c r="CJ397" s="21">
        <v>0</v>
      </c>
      <c r="CK397" s="21">
        <v>0</v>
      </c>
      <c r="CL397" s="21">
        <v>0</v>
      </c>
      <c r="CM397" s="21">
        <v>0</v>
      </c>
      <c r="CN397" s="21">
        <v>0</v>
      </c>
      <c r="CO397" s="21">
        <v>0</v>
      </c>
      <c r="CP397" s="21">
        <f t="shared" si="655"/>
        <v>0</v>
      </c>
      <c r="CQ397" s="343">
        <f t="shared" si="656"/>
        <v>0</v>
      </c>
      <c r="CR397" s="40"/>
      <c r="CS397" s="39"/>
      <c r="CT397" s="38">
        <f t="shared" si="595"/>
        <v>519</v>
      </c>
      <c r="CU397" s="38">
        <f t="shared" si="596"/>
        <v>507</v>
      </c>
      <c r="CV397" s="38">
        <f t="shared" si="597"/>
        <v>328</v>
      </c>
      <c r="CW397" s="38">
        <f t="shared" si="598"/>
        <v>369</v>
      </c>
      <c r="CX397" s="38">
        <f t="shared" si="599"/>
        <v>469</v>
      </c>
      <c r="CY397" s="39">
        <f t="shared" si="600"/>
        <v>910</v>
      </c>
      <c r="CZ397" s="40">
        <f t="shared" si="601"/>
        <v>1053</v>
      </c>
      <c r="DA397" s="40">
        <f t="shared" si="602"/>
        <v>1118</v>
      </c>
      <c r="DB397" s="40">
        <f t="shared" si="603"/>
        <v>1002</v>
      </c>
      <c r="DC397" s="40">
        <f t="shared" si="604"/>
        <v>1021</v>
      </c>
      <c r="DD397" s="40">
        <f t="shared" si="605"/>
        <v>1014</v>
      </c>
      <c r="DE397" s="40">
        <f t="shared" si="606"/>
        <v>565</v>
      </c>
      <c r="DF397" s="40">
        <f t="shared" si="607"/>
        <v>528</v>
      </c>
      <c r="DG397" s="40">
        <f t="shared" si="608"/>
        <v>345</v>
      </c>
      <c r="DH397" s="40">
        <f t="shared" si="609"/>
        <v>86</v>
      </c>
      <c r="DI397" s="40">
        <f t="shared" si="610"/>
        <v>55</v>
      </c>
      <c r="DJ397" s="40">
        <f t="shared" si="611"/>
        <v>65</v>
      </c>
      <c r="DK397" s="39">
        <f t="shared" si="612"/>
        <v>21</v>
      </c>
      <c r="DL397" s="40">
        <f t="shared" si="613"/>
        <v>4</v>
      </c>
      <c r="DM397" s="40">
        <f t="shared" si="614"/>
        <v>1</v>
      </c>
      <c r="DN397" s="40">
        <f t="shared" si="615"/>
        <v>4</v>
      </c>
      <c r="DO397" s="40">
        <f t="shared" si="616"/>
        <v>0</v>
      </c>
      <c r="DP397" s="40">
        <f t="shared" si="617"/>
        <v>0</v>
      </c>
      <c r="DQ397" s="40">
        <f t="shared" si="618"/>
        <v>0</v>
      </c>
      <c r="DR397" s="40">
        <f t="shared" si="623"/>
        <v>0</v>
      </c>
      <c r="DS397" s="40">
        <f t="shared" si="624"/>
        <v>0</v>
      </c>
      <c r="DT397" s="40">
        <f t="shared" si="619"/>
        <v>0</v>
      </c>
      <c r="DU397" s="40">
        <f t="shared" si="620"/>
        <v>0</v>
      </c>
      <c r="DV397" s="40">
        <f t="shared" si="621"/>
        <v>0</v>
      </c>
      <c r="DW397" s="40">
        <f t="shared" si="622"/>
        <v>0</v>
      </c>
    </row>
    <row r="398" spans="1:127">
      <c r="A398" s="22" t="s">
        <v>33</v>
      </c>
      <c r="B398" s="26">
        <v>4987176238566</v>
      </c>
      <c r="C398" s="22" t="s">
        <v>34</v>
      </c>
      <c r="D398" s="22" t="s">
        <v>36</v>
      </c>
      <c r="E398" s="22">
        <v>256217</v>
      </c>
      <c r="F398" s="80" t="s">
        <v>486</v>
      </c>
      <c r="G398" s="25">
        <v>118.27</v>
      </c>
      <c r="H398" s="38">
        <f t="shared" si="629"/>
        <v>0</v>
      </c>
      <c r="I398" s="38">
        <f t="shared" si="630"/>
        <v>0</v>
      </c>
      <c r="J398" s="38">
        <f t="shared" si="631"/>
        <v>0</v>
      </c>
      <c r="K398" s="38">
        <f t="shared" si="632"/>
        <v>0</v>
      </c>
      <c r="L398" s="38">
        <f t="shared" si="633"/>
        <v>0</v>
      </c>
      <c r="M398" s="39">
        <f t="shared" si="634"/>
        <v>0</v>
      </c>
      <c r="N398" s="40">
        <f t="shared" si="635"/>
        <v>0</v>
      </c>
      <c r="O398" s="40">
        <f t="shared" si="636"/>
        <v>0</v>
      </c>
      <c r="P398" s="40">
        <f t="shared" si="637"/>
        <v>0</v>
      </c>
      <c r="Q398" s="40">
        <f t="shared" si="638"/>
        <v>0</v>
      </c>
      <c r="R398" s="40">
        <f t="shared" si="639"/>
        <v>0</v>
      </c>
      <c r="S398" s="40">
        <f t="shared" si="640"/>
        <v>10289.49</v>
      </c>
      <c r="T398" s="40">
        <f t="shared" si="641"/>
        <v>32524.25</v>
      </c>
      <c r="U398" s="40">
        <f t="shared" si="642"/>
        <v>550665.12</v>
      </c>
      <c r="V398" s="40">
        <f t="shared" si="643"/>
        <v>190414.69999999998</v>
      </c>
      <c r="W398" s="40">
        <f t="shared" si="644"/>
        <v>28739.61</v>
      </c>
      <c r="X398" s="40">
        <f t="shared" si="645"/>
        <v>487508.94</v>
      </c>
      <c r="Y398" s="39">
        <f t="shared" si="646"/>
        <v>372195.69</v>
      </c>
      <c r="Z398" s="40">
        <f t="shared" si="647"/>
        <v>45770.49</v>
      </c>
      <c r="AA398" s="40">
        <f t="shared" si="648"/>
        <v>78294.739999999991</v>
      </c>
      <c r="AB398" s="40">
        <f t="shared" si="649"/>
        <v>91304.44</v>
      </c>
      <c r="AC398" s="40">
        <f t="shared" si="650"/>
        <v>50501.29</v>
      </c>
      <c r="AD398" s="40">
        <f t="shared" si="651"/>
        <v>26374.21</v>
      </c>
      <c r="AE398" s="40">
        <f t="shared" si="652"/>
        <v>16084.72</v>
      </c>
      <c r="AF398" s="40">
        <f t="shared" si="653"/>
        <v>8988.52</v>
      </c>
      <c r="AG398" s="40">
        <f t="shared" si="654"/>
        <v>0</v>
      </c>
      <c r="AH398" s="40">
        <f t="shared" si="625"/>
        <v>118.27</v>
      </c>
      <c r="AI398" s="40">
        <f t="shared" si="626"/>
        <v>3167.0077777777778</v>
      </c>
      <c r="AJ398" s="40">
        <f t="shared" si="627"/>
        <v>0</v>
      </c>
      <c r="AK398" s="39">
        <f t="shared" si="628"/>
        <v>0</v>
      </c>
      <c r="AL398" s="38">
        <v>0</v>
      </c>
      <c r="AM398" s="38">
        <v>0</v>
      </c>
      <c r="AN398" s="38">
        <v>0</v>
      </c>
      <c r="AO398" s="38">
        <v>0</v>
      </c>
      <c r="AP398" s="38">
        <v>0</v>
      </c>
      <c r="AQ398" s="39">
        <v>0</v>
      </c>
      <c r="AR398" s="40">
        <v>0</v>
      </c>
      <c r="AS398" s="40">
        <v>0</v>
      </c>
      <c r="AT398" s="40">
        <v>0</v>
      </c>
      <c r="AU398" s="40">
        <v>0</v>
      </c>
      <c r="AV398" s="40">
        <v>0</v>
      </c>
      <c r="AW398" s="40">
        <v>79</v>
      </c>
      <c r="AX398" s="40">
        <v>273</v>
      </c>
      <c r="AY398" s="40">
        <v>4268</v>
      </c>
      <c r="AZ398" s="40">
        <v>1596</v>
      </c>
      <c r="BA398" s="40">
        <v>229</v>
      </c>
      <c r="BB398" s="40">
        <v>3801</v>
      </c>
      <c r="BC398" s="39">
        <v>3136</v>
      </c>
      <c r="BD398" s="40">
        <v>377</v>
      </c>
      <c r="BE398" s="40">
        <v>549</v>
      </c>
      <c r="BF398" s="40">
        <v>748</v>
      </c>
      <c r="BG398" s="40">
        <f>VLOOKUP(E398,'[1]Offline Offtake'!$G$522:$FL$619,161,0)</f>
        <v>333</v>
      </c>
      <c r="BH398" s="40">
        <v>223</v>
      </c>
      <c r="BI398" s="40">
        <v>136</v>
      </c>
      <c r="BJ398" s="40">
        <v>76</v>
      </c>
      <c r="BK398" s="40">
        <v>0</v>
      </c>
      <c r="BL398" s="40">
        <v>1</v>
      </c>
      <c r="BM398" s="40">
        <v>0</v>
      </c>
      <c r="BN398" s="40"/>
      <c r="BO398" s="39"/>
      <c r="BP398" s="21">
        <v>0</v>
      </c>
      <c r="BQ398" s="21">
        <v>0</v>
      </c>
      <c r="BR398" s="21">
        <v>0</v>
      </c>
      <c r="BS398" s="21">
        <v>0</v>
      </c>
      <c r="BT398" s="21">
        <v>0</v>
      </c>
      <c r="BU398" s="42">
        <v>0</v>
      </c>
      <c r="BV398" s="21">
        <v>0</v>
      </c>
      <c r="BW398" s="21">
        <v>0</v>
      </c>
      <c r="BX398" s="21">
        <v>0</v>
      </c>
      <c r="BY398" s="21">
        <v>0</v>
      </c>
      <c r="BZ398" s="21">
        <v>0</v>
      </c>
      <c r="CA398" s="21">
        <v>8</v>
      </c>
      <c r="CB398" s="21">
        <v>2</v>
      </c>
      <c r="CC398" s="21">
        <v>388</v>
      </c>
      <c r="CD398" s="21">
        <v>14</v>
      </c>
      <c r="CE398" s="21">
        <v>14</v>
      </c>
      <c r="CF398" s="21">
        <v>321</v>
      </c>
      <c r="CG398" s="42">
        <v>11</v>
      </c>
      <c r="CH398" s="21">
        <v>10</v>
      </c>
      <c r="CI398" s="21">
        <v>113</v>
      </c>
      <c r="CJ398" s="21">
        <v>24</v>
      </c>
      <c r="CK398" s="21">
        <v>94</v>
      </c>
      <c r="CL398" s="21">
        <v>0</v>
      </c>
      <c r="CM398" s="21">
        <v>0</v>
      </c>
      <c r="CN398" s="21">
        <v>0</v>
      </c>
      <c r="CO398" s="21">
        <v>0</v>
      </c>
      <c r="CP398" s="21">
        <f t="shared" si="655"/>
        <v>0</v>
      </c>
      <c r="CQ398" s="343">
        <f t="shared" si="656"/>
        <v>26.777777777777779</v>
      </c>
      <c r="CR398" s="40"/>
      <c r="CS398" s="39"/>
      <c r="CT398" s="38">
        <f t="shared" si="595"/>
        <v>0</v>
      </c>
      <c r="CU398" s="38">
        <f t="shared" si="596"/>
        <v>0</v>
      </c>
      <c r="CV398" s="38">
        <f t="shared" si="597"/>
        <v>0</v>
      </c>
      <c r="CW398" s="38">
        <f t="shared" si="598"/>
        <v>0</v>
      </c>
      <c r="CX398" s="38">
        <f t="shared" si="599"/>
        <v>0</v>
      </c>
      <c r="CY398" s="39">
        <f t="shared" si="600"/>
        <v>0</v>
      </c>
      <c r="CZ398" s="40">
        <f t="shared" si="601"/>
        <v>0</v>
      </c>
      <c r="DA398" s="40">
        <f t="shared" si="602"/>
        <v>0</v>
      </c>
      <c r="DB398" s="40">
        <f t="shared" si="603"/>
        <v>0</v>
      </c>
      <c r="DC398" s="40">
        <f t="shared" si="604"/>
        <v>0</v>
      </c>
      <c r="DD398" s="40">
        <f t="shared" si="605"/>
        <v>0</v>
      </c>
      <c r="DE398" s="40">
        <f t="shared" si="606"/>
        <v>87</v>
      </c>
      <c r="DF398" s="40">
        <f t="shared" si="607"/>
        <v>275</v>
      </c>
      <c r="DG398" s="40">
        <f t="shared" si="608"/>
        <v>4656</v>
      </c>
      <c r="DH398" s="40">
        <f t="shared" si="609"/>
        <v>1610</v>
      </c>
      <c r="DI398" s="40">
        <f t="shared" si="610"/>
        <v>243</v>
      </c>
      <c r="DJ398" s="40">
        <f t="shared" si="611"/>
        <v>4122</v>
      </c>
      <c r="DK398" s="39">
        <f t="shared" si="612"/>
        <v>3147</v>
      </c>
      <c r="DL398" s="40">
        <f t="shared" si="613"/>
        <v>387</v>
      </c>
      <c r="DM398" s="40">
        <f t="shared" si="614"/>
        <v>662</v>
      </c>
      <c r="DN398" s="40">
        <f t="shared" si="615"/>
        <v>772</v>
      </c>
      <c r="DO398" s="40">
        <f t="shared" si="616"/>
        <v>427</v>
      </c>
      <c r="DP398" s="40">
        <f t="shared" si="617"/>
        <v>223</v>
      </c>
      <c r="DQ398" s="40">
        <f t="shared" si="618"/>
        <v>136</v>
      </c>
      <c r="DR398" s="40">
        <f t="shared" si="623"/>
        <v>76</v>
      </c>
      <c r="DS398" s="40">
        <f t="shared" si="624"/>
        <v>0</v>
      </c>
      <c r="DT398" s="40">
        <f t="shared" si="619"/>
        <v>1</v>
      </c>
      <c r="DU398" s="40">
        <f t="shared" si="620"/>
        <v>26.777777777777779</v>
      </c>
      <c r="DV398" s="40">
        <f t="shared" si="621"/>
        <v>0</v>
      </c>
      <c r="DW398" s="40">
        <f t="shared" si="622"/>
        <v>0</v>
      </c>
    </row>
    <row r="399" spans="1:127">
      <c r="A399" s="22" t="s">
        <v>33</v>
      </c>
      <c r="B399" s="26">
        <v>4987176302335</v>
      </c>
      <c r="C399" s="22" t="s">
        <v>34</v>
      </c>
      <c r="D399" s="22" t="s">
        <v>35</v>
      </c>
      <c r="E399" s="22">
        <v>256376</v>
      </c>
      <c r="F399" s="80" t="s">
        <v>487</v>
      </c>
      <c r="G399" s="25">
        <v>195.48</v>
      </c>
      <c r="H399" s="38">
        <f t="shared" si="629"/>
        <v>0</v>
      </c>
      <c r="I399" s="38">
        <f t="shared" si="630"/>
        <v>0</v>
      </c>
      <c r="J399" s="38">
        <f t="shared" si="631"/>
        <v>0</v>
      </c>
      <c r="K399" s="38">
        <f t="shared" si="632"/>
        <v>0</v>
      </c>
      <c r="L399" s="38">
        <f t="shared" si="633"/>
        <v>0</v>
      </c>
      <c r="M399" s="39">
        <f t="shared" si="634"/>
        <v>0</v>
      </c>
      <c r="N399" s="40">
        <f t="shared" si="635"/>
        <v>0</v>
      </c>
      <c r="O399" s="40">
        <f t="shared" si="636"/>
        <v>0</v>
      </c>
      <c r="P399" s="40">
        <f t="shared" si="637"/>
        <v>0</v>
      </c>
      <c r="Q399" s="40">
        <f t="shared" si="638"/>
        <v>0</v>
      </c>
      <c r="R399" s="40">
        <f t="shared" si="639"/>
        <v>0</v>
      </c>
      <c r="S399" s="40">
        <f t="shared" si="640"/>
        <v>86597.64</v>
      </c>
      <c r="T399" s="40">
        <f t="shared" si="641"/>
        <v>262334.15999999997</v>
      </c>
      <c r="U399" s="40">
        <f t="shared" si="642"/>
        <v>275822.27999999997</v>
      </c>
      <c r="V399" s="40">
        <f t="shared" si="643"/>
        <v>181991.88</v>
      </c>
      <c r="W399" s="40">
        <f t="shared" si="644"/>
        <v>239267.52</v>
      </c>
      <c r="X399" s="40">
        <f t="shared" si="645"/>
        <v>261747.71999999997</v>
      </c>
      <c r="Y399" s="39">
        <f t="shared" si="646"/>
        <v>135076.68</v>
      </c>
      <c r="Z399" s="40">
        <f t="shared" si="647"/>
        <v>138204.35999999999</v>
      </c>
      <c r="AA399" s="40">
        <f t="shared" si="648"/>
        <v>196652.87999999998</v>
      </c>
      <c r="AB399" s="40">
        <f t="shared" si="649"/>
        <v>170458.56</v>
      </c>
      <c r="AC399" s="40">
        <f t="shared" si="650"/>
        <v>188833.68</v>
      </c>
      <c r="AD399" s="40">
        <f t="shared" si="651"/>
        <v>124520.76</v>
      </c>
      <c r="AE399" s="40">
        <f t="shared" si="652"/>
        <v>21698.28</v>
      </c>
      <c r="AF399" s="40">
        <f t="shared" si="653"/>
        <v>6255.36</v>
      </c>
      <c r="AG399" s="40">
        <f t="shared" si="654"/>
        <v>0</v>
      </c>
      <c r="AH399" s="40">
        <f t="shared" si="625"/>
        <v>195.48</v>
      </c>
      <c r="AI399" s="40">
        <f t="shared" si="626"/>
        <v>22632.239999999998</v>
      </c>
      <c r="AJ399" s="40">
        <f t="shared" si="627"/>
        <v>0</v>
      </c>
      <c r="AK399" s="39">
        <f t="shared" si="628"/>
        <v>0</v>
      </c>
      <c r="AL399" s="38">
        <v>0</v>
      </c>
      <c r="AM399" s="38">
        <v>0</v>
      </c>
      <c r="AN399" s="38">
        <v>0</v>
      </c>
      <c r="AO399" s="38">
        <v>0</v>
      </c>
      <c r="AP399" s="38">
        <v>0</v>
      </c>
      <c r="AQ399" s="39">
        <v>0</v>
      </c>
      <c r="AR399" s="40">
        <v>0</v>
      </c>
      <c r="AS399" s="40">
        <v>0</v>
      </c>
      <c r="AT399" s="40">
        <v>0</v>
      </c>
      <c r="AU399" s="40">
        <v>0</v>
      </c>
      <c r="AV399" s="40">
        <v>0</v>
      </c>
      <c r="AW399" s="40">
        <v>303</v>
      </c>
      <c r="AX399" s="40">
        <v>1197</v>
      </c>
      <c r="AY399" s="40">
        <v>1209</v>
      </c>
      <c r="AZ399" s="40">
        <v>784</v>
      </c>
      <c r="BA399" s="40">
        <v>1107</v>
      </c>
      <c r="BB399" s="40">
        <v>1117</v>
      </c>
      <c r="BC399" s="39">
        <v>570</v>
      </c>
      <c r="BD399" s="40">
        <v>613</v>
      </c>
      <c r="BE399" s="40">
        <v>503</v>
      </c>
      <c r="BF399" s="40">
        <v>726</v>
      </c>
      <c r="BG399" s="40">
        <f>VLOOKUP(E399,'[1]Offline Offtake'!$G$522:$FL$619,161,0)</f>
        <v>667</v>
      </c>
      <c r="BH399" s="40">
        <v>637</v>
      </c>
      <c r="BI399" s="40">
        <v>111</v>
      </c>
      <c r="BJ399" s="40">
        <v>32</v>
      </c>
      <c r="BK399" s="40">
        <v>0</v>
      </c>
      <c r="BL399" s="40">
        <v>1</v>
      </c>
      <c r="BM399" s="40">
        <v>0</v>
      </c>
      <c r="BN399" s="40"/>
      <c r="BO399" s="39"/>
      <c r="BP399" s="21">
        <v>0</v>
      </c>
      <c r="BQ399" s="21">
        <v>0</v>
      </c>
      <c r="BR399" s="21">
        <v>0</v>
      </c>
      <c r="BS399" s="21">
        <v>0</v>
      </c>
      <c r="BT399" s="21">
        <v>0</v>
      </c>
      <c r="BU399" s="42">
        <v>0</v>
      </c>
      <c r="BV399" s="21">
        <v>0</v>
      </c>
      <c r="BW399" s="21">
        <v>0</v>
      </c>
      <c r="BX399" s="21">
        <v>0</v>
      </c>
      <c r="BY399" s="21">
        <v>0</v>
      </c>
      <c r="BZ399" s="21">
        <v>0</v>
      </c>
      <c r="CA399" s="21">
        <v>140</v>
      </c>
      <c r="CB399" s="21">
        <v>145</v>
      </c>
      <c r="CC399" s="21">
        <v>202</v>
      </c>
      <c r="CD399" s="21">
        <v>147</v>
      </c>
      <c r="CE399" s="21">
        <v>117</v>
      </c>
      <c r="CF399" s="21">
        <v>222</v>
      </c>
      <c r="CG399" s="42">
        <v>121</v>
      </c>
      <c r="CH399" s="21">
        <v>94</v>
      </c>
      <c r="CI399" s="21">
        <v>503</v>
      </c>
      <c r="CJ399" s="21">
        <v>146</v>
      </c>
      <c r="CK399" s="21">
        <v>299</v>
      </c>
      <c r="CL399" s="21">
        <v>0</v>
      </c>
      <c r="CM399" s="21">
        <v>0</v>
      </c>
      <c r="CN399" s="21">
        <v>0</v>
      </c>
      <c r="CO399" s="21">
        <v>0</v>
      </c>
      <c r="CP399" s="21">
        <f t="shared" si="655"/>
        <v>0</v>
      </c>
      <c r="CQ399" s="343">
        <f t="shared" si="656"/>
        <v>115.77777777777777</v>
      </c>
      <c r="CR399" s="40"/>
      <c r="CS399" s="39"/>
      <c r="CT399" s="38">
        <f t="shared" si="595"/>
        <v>0</v>
      </c>
      <c r="CU399" s="38">
        <f t="shared" si="596"/>
        <v>0</v>
      </c>
      <c r="CV399" s="38">
        <f t="shared" si="597"/>
        <v>0</v>
      </c>
      <c r="CW399" s="38">
        <f t="shared" si="598"/>
        <v>0</v>
      </c>
      <c r="CX399" s="38">
        <f t="shared" si="599"/>
        <v>0</v>
      </c>
      <c r="CY399" s="39">
        <f t="shared" si="600"/>
        <v>0</v>
      </c>
      <c r="CZ399" s="40">
        <f t="shared" si="601"/>
        <v>0</v>
      </c>
      <c r="DA399" s="40">
        <f t="shared" si="602"/>
        <v>0</v>
      </c>
      <c r="DB399" s="40">
        <f t="shared" si="603"/>
        <v>0</v>
      </c>
      <c r="DC399" s="40">
        <f t="shared" si="604"/>
        <v>0</v>
      </c>
      <c r="DD399" s="40">
        <f t="shared" si="605"/>
        <v>0</v>
      </c>
      <c r="DE399" s="40">
        <f t="shared" si="606"/>
        <v>443</v>
      </c>
      <c r="DF399" s="40">
        <f t="shared" si="607"/>
        <v>1342</v>
      </c>
      <c r="DG399" s="40">
        <f t="shared" si="608"/>
        <v>1411</v>
      </c>
      <c r="DH399" s="40">
        <f t="shared" si="609"/>
        <v>931</v>
      </c>
      <c r="DI399" s="40">
        <f t="shared" si="610"/>
        <v>1224</v>
      </c>
      <c r="DJ399" s="40">
        <f t="shared" si="611"/>
        <v>1339</v>
      </c>
      <c r="DK399" s="39">
        <f t="shared" si="612"/>
        <v>691</v>
      </c>
      <c r="DL399" s="40">
        <f t="shared" si="613"/>
        <v>707</v>
      </c>
      <c r="DM399" s="40">
        <f t="shared" si="614"/>
        <v>1006</v>
      </c>
      <c r="DN399" s="40">
        <f t="shared" si="615"/>
        <v>872</v>
      </c>
      <c r="DO399" s="40">
        <f t="shared" si="616"/>
        <v>966</v>
      </c>
      <c r="DP399" s="40">
        <f t="shared" si="617"/>
        <v>637</v>
      </c>
      <c r="DQ399" s="40">
        <f t="shared" si="618"/>
        <v>111</v>
      </c>
      <c r="DR399" s="40">
        <f t="shared" si="623"/>
        <v>32</v>
      </c>
      <c r="DS399" s="40">
        <f t="shared" si="624"/>
        <v>0</v>
      </c>
      <c r="DT399" s="40">
        <f t="shared" si="619"/>
        <v>1</v>
      </c>
      <c r="DU399" s="40">
        <f t="shared" si="620"/>
        <v>115.77777777777777</v>
      </c>
      <c r="DV399" s="40">
        <f t="shared" si="621"/>
        <v>0</v>
      </c>
      <c r="DW399" s="40">
        <f t="shared" si="622"/>
        <v>0</v>
      </c>
    </row>
    <row r="400" spans="1:127">
      <c r="A400" s="22" t="s">
        <v>33</v>
      </c>
      <c r="B400" s="26">
        <v>4987176280824</v>
      </c>
      <c r="C400" s="22" t="s">
        <v>34</v>
      </c>
      <c r="D400" s="22" t="s">
        <v>36</v>
      </c>
      <c r="E400" s="22">
        <v>256526</v>
      </c>
      <c r="F400" s="80" t="s">
        <v>488</v>
      </c>
      <c r="G400" s="25">
        <v>245.81</v>
      </c>
      <c r="H400" s="38">
        <f t="shared" si="629"/>
        <v>0</v>
      </c>
      <c r="I400" s="38">
        <f t="shared" si="630"/>
        <v>0</v>
      </c>
      <c r="J400" s="38">
        <f t="shared" si="631"/>
        <v>0</v>
      </c>
      <c r="K400" s="38">
        <f t="shared" si="632"/>
        <v>0</v>
      </c>
      <c r="L400" s="38">
        <f t="shared" si="633"/>
        <v>0</v>
      </c>
      <c r="M400" s="39">
        <f t="shared" si="634"/>
        <v>0</v>
      </c>
      <c r="N400" s="40">
        <f t="shared" si="635"/>
        <v>0</v>
      </c>
      <c r="O400" s="40">
        <f t="shared" si="636"/>
        <v>0</v>
      </c>
      <c r="P400" s="40">
        <f t="shared" si="637"/>
        <v>0</v>
      </c>
      <c r="Q400" s="40">
        <f t="shared" si="638"/>
        <v>0</v>
      </c>
      <c r="R400" s="40">
        <f t="shared" si="639"/>
        <v>0</v>
      </c>
      <c r="S400" s="40">
        <f t="shared" si="640"/>
        <v>6145.25</v>
      </c>
      <c r="T400" s="40">
        <f t="shared" si="641"/>
        <v>291284.84999999998</v>
      </c>
      <c r="U400" s="40">
        <f t="shared" si="642"/>
        <v>336513.89</v>
      </c>
      <c r="V400" s="40">
        <f t="shared" si="643"/>
        <v>360111.65</v>
      </c>
      <c r="W400" s="40">
        <f t="shared" si="644"/>
        <v>276536.25</v>
      </c>
      <c r="X400" s="40">
        <f t="shared" si="645"/>
        <v>177720.63</v>
      </c>
      <c r="Y400" s="39">
        <f t="shared" si="646"/>
        <v>138391.03</v>
      </c>
      <c r="Z400" s="40">
        <f t="shared" si="647"/>
        <v>301363.06</v>
      </c>
      <c r="AA400" s="40">
        <f t="shared" si="648"/>
        <v>168134.04</v>
      </c>
      <c r="AB400" s="40">
        <f t="shared" si="649"/>
        <v>167888.23</v>
      </c>
      <c r="AC400" s="40">
        <f t="shared" si="650"/>
        <v>254413.35</v>
      </c>
      <c r="AD400" s="40">
        <f t="shared" si="651"/>
        <v>83821.210000000006</v>
      </c>
      <c r="AE400" s="40">
        <f t="shared" si="652"/>
        <v>72022.33</v>
      </c>
      <c r="AF400" s="40">
        <f t="shared" si="653"/>
        <v>29005.58</v>
      </c>
      <c r="AG400" s="40">
        <f t="shared" si="654"/>
        <v>0</v>
      </c>
      <c r="AH400" s="40">
        <f t="shared" si="625"/>
        <v>245.81</v>
      </c>
      <c r="AI400" s="40">
        <f t="shared" si="626"/>
        <v>7319.6755555555555</v>
      </c>
      <c r="AJ400" s="40">
        <f t="shared" si="627"/>
        <v>0</v>
      </c>
      <c r="AK400" s="39">
        <f t="shared" si="628"/>
        <v>0</v>
      </c>
      <c r="AL400" s="38">
        <v>0</v>
      </c>
      <c r="AM400" s="38">
        <v>0</v>
      </c>
      <c r="AN400" s="38">
        <v>0</v>
      </c>
      <c r="AO400" s="38">
        <v>0</v>
      </c>
      <c r="AP400" s="38">
        <v>0</v>
      </c>
      <c r="AQ400" s="39">
        <v>0</v>
      </c>
      <c r="AR400" s="40">
        <v>0</v>
      </c>
      <c r="AS400" s="40">
        <v>0</v>
      </c>
      <c r="AT400" s="40">
        <v>0</v>
      </c>
      <c r="AU400" s="40">
        <v>0</v>
      </c>
      <c r="AV400" s="40">
        <v>0</v>
      </c>
      <c r="AW400" s="40">
        <v>1</v>
      </c>
      <c r="AX400" s="40">
        <v>1077</v>
      </c>
      <c r="AY400" s="40">
        <v>1265</v>
      </c>
      <c r="AZ400" s="40">
        <v>1383</v>
      </c>
      <c r="BA400" s="40">
        <v>1089</v>
      </c>
      <c r="BB400" s="40">
        <v>678</v>
      </c>
      <c r="BC400" s="39">
        <v>509</v>
      </c>
      <c r="BD400" s="40">
        <v>1194</v>
      </c>
      <c r="BE400" s="40">
        <v>516</v>
      </c>
      <c r="BF400" s="40">
        <v>651</v>
      </c>
      <c r="BG400" s="40">
        <f>VLOOKUP(E400,'[1]Offline Offtake'!$G$522:$FL$619,161,0)</f>
        <v>1035</v>
      </c>
      <c r="BH400" s="40">
        <v>341</v>
      </c>
      <c r="BI400" s="40">
        <v>293</v>
      </c>
      <c r="BJ400" s="40">
        <v>118</v>
      </c>
      <c r="BK400" s="40">
        <v>0</v>
      </c>
      <c r="BL400" s="40">
        <v>1</v>
      </c>
      <c r="BM400" s="40">
        <v>4</v>
      </c>
      <c r="BN400" s="40"/>
      <c r="BO400" s="39"/>
      <c r="BP400" s="21">
        <v>0</v>
      </c>
      <c r="BQ400" s="21">
        <v>0</v>
      </c>
      <c r="BR400" s="21">
        <v>0</v>
      </c>
      <c r="BS400" s="21">
        <v>0</v>
      </c>
      <c r="BT400" s="21">
        <v>0</v>
      </c>
      <c r="BU400" s="42">
        <v>0</v>
      </c>
      <c r="BV400" s="21">
        <v>0</v>
      </c>
      <c r="BW400" s="21">
        <v>0</v>
      </c>
      <c r="BX400" s="21">
        <v>0</v>
      </c>
      <c r="BY400" s="21">
        <v>0</v>
      </c>
      <c r="BZ400" s="21">
        <v>0</v>
      </c>
      <c r="CA400" s="21">
        <v>24</v>
      </c>
      <c r="CB400" s="21">
        <v>108</v>
      </c>
      <c r="CC400" s="21">
        <v>104</v>
      </c>
      <c r="CD400" s="21">
        <v>82</v>
      </c>
      <c r="CE400" s="21">
        <v>36</v>
      </c>
      <c r="CF400" s="21">
        <v>45</v>
      </c>
      <c r="CG400" s="42">
        <v>54</v>
      </c>
      <c r="CH400" s="21">
        <v>32</v>
      </c>
      <c r="CI400" s="21">
        <v>168</v>
      </c>
      <c r="CJ400" s="21">
        <v>32</v>
      </c>
      <c r="CK400" s="21">
        <v>0</v>
      </c>
      <c r="CL400" s="21">
        <v>0</v>
      </c>
      <c r="CM400" s="21">
        <v>0</v>
      </c>
      <c r="CN400" s="21">
        <v>0</v>
      </c>
      <c r="CO400" s="21">
        <v>0</v>
      </c>
      <c r="CP400" s="21">
        <f t="shared" si="655"/>
        <v>0</v>
      </c>
      <c r="CQ400" s="343">
        <f t="shared" si="656"/>
        <v>25.777777777777779</v>
      </c>
      <c r="CR400" s="40"/>
      <c r="CS400" s="39"/>
      <c r="CT400" s="38">
        <f t="shared" si="595"/>
        <v>0</v>
      </c>
      <c r="CU400" s="38">
        <f t="shared" si="596"/>
        <v>0</v>
      </c>
      <c r="CV400" s="38">
        <f t="shared" si="597"/>
        <v>0</v>
      </c>
      <c r="CW400" s="38">
        <f t="shared" si="598"/>
        <v>0</v>
      </c>
      <c r="CX400" s="38">
        <f t="shared" si="599"/>
        <v>0</v>
      </c>
      <c r="CY400" s="39">
        <f t="shared" si="600"/>
        <v>0</v>
      </c>
      <c r="CZ400" s="40">
        <f t="shared" si="601"/>
        <v>0</v>
      </c>
      <c r="DA400" s="40">
        <f t="shared" si="602"/>
        <v>0</v>
      </c>
      <c r="DB400" s="40">
        <f t="shared" si="603"/>
        <v>0</v>
      </c>
      <c r="DC400" s="40">
        <f t="shared" si="604"/>
        <v>0</v>
      </c>
      <c r="DD400" s="40">
        <f t="shared" si="605"/>
        <v>0</v>
      </c>
      <c r="DE400" s="40">
        <f t="shared" si="606"/>
        <v>25</v>
      </c>
      <c r="DF400" s="40">
        <f t="shared" si="607"/>
        <v>1185</v>
      </c>
      <c r="DG400" s="40">
        <f t="shared" si="608"/>
        <v>1369</v>
      </c>
      <c r="DH400" s="40">
        <f t="shared" si="609"/>
        <v>1465</v>
      </c>
      <c r="DI400" s="40">
        <f t="shared" si="610"/>
        <v>1125</v>
      </c>
      <c r="DJ400" s="40">
        <f t="shared" si="611"/>
        <v>723</v>
      </c>
      <c r="DK400" s="39">
        <f t="shared" si="612"/>
        <v>563</v>
      </c>
      <c r="DL400" s="40">
        <f t="shared" si="613"/>
        <v>1226</v>
      </c>
      <c r="DM400" s="40">
        <f t="shared" si="614"/>
        <v>684</v>
      </c>
      <c r="DN400" s="40">
        <f t="shared" si="615"/>
        <v>683</v>
      </c>
      <c r="DO400" s="40">
        <f t="shared" si="616"/>
        <v>1035</v>
      </c>
      <c r="DP400" s="40">
        <f t="shared" si="617"/>
        <v>341</v>
      </c>
      <c r="DQ400" s="40">
        <f t="shared" si="618"/>
        <v>293</v>
      </c>
      <c r="DR400" s="40">
        <f t="shared" si="623"/>
        <v>118</v>
      </c>
      <c r="DS400" s="40">
        <f t="shared" si="624"/>
        <v>0</v>
      </c>
      <c r="DT400" s="40">
        <f t="shared" si="619"/>
        <v>1</v>
      </c>
      <c r="DU400" s="40">
        <f t="shared" si="620"/>
        <v>29.777777777777779</v>
      </c>
      <c r="DV400" s="40">
        <f t="shared" si="621"/>
        <v>0</v>
      </c>
      <c r="DW400" s="40">
        <f t="shared" si="622"/>
        <v>0</v>
      </c>
    </row>
    <row r="401" spans="1:127">
      <c r="A401" s="22" t="s">
        <v>33</v>
      </c>
      <c r="B401" s="26">
        <v>4987176280787</v>
      </c>
      <c r="C401" s="22" t="s">
        <v>34</v>
      </c>
      <c r="D401" s="22" t="s">
        <v>36</v>
      </c>
      <c r="E401" s="22">
        <v>256527</v>
      </c>
      <c r="F401" s="80" t="s">
        <v>489</v>
      </c>
      <c r="G401" s="25">
        <v>245.81</v>
      </c>
      <c r="H401" s="38">
        <f t="shared" si="629"/>
        <v>0</v>
      </c>
      <c r="I401" s="38">
        <f t="shared" si="630"/>
        <v>0</v>
      </c>
      <c r="J401" s="38">
        <f t="shared" si="631"/>
        <v>0</v>
      </c>
      <c r="K401" s="38">
        <f t="shared" si="632"/>
        <v>0</v>
      </c>
      <c r="L401" s="38">
        <f t="shared" si="633"/>
        <v>0</v>
      </c>
      <c r="M401" s="39">
        <f t="shared" si="634"/>
        <v>0</v>
      </c>
      <c r="N401" s="40">
        <f t="shared" si="635"/>
        <v>0</v>
      </c>
      <c r="O401" s="40">
        <f t="shared" si="636"/>
        <v>0</v>
      </c>
      <c r="P401" s="40">
        <f t="shared" si="637"/>
        <v>0</v>
      </c>
      <c r="Q401" s="40">
        <f t="shared" si="638"/>
        <v>0</v>
      </c>
      <c r="R401" s="40">
        <f t="shared" si="639"/>
        <v>0</v>
      </c>
      <c r="S401" s="40">
        <f t="shared" si="640"/>
        <v>37363.120000000003</v>
      </c>
      <c r="T401" s="40">
        <f t="shared" si="641"/>
        <v>632469.13</v>
      </c>
      <c r="U401" s="40">
        <f t="shared" si="642"/>
        <v>655083.65</v>
      </c>
      <c r="V401" s="40">
        <f t="shared" si="643"/>
        <v>779463.51</v>
      </c>
      <c r="W401" s="40">
        <f t="shared" si="644"/>
        <v>593139.53</v>
      </c>
      <c r="X401" s="40">
        <f t="shared" si="645"/>
        <v>361094.89</v>
      </c>
      <c r="Y401" s="39">
        <f t="shared" si="646"/>
        <v>327418.92</v>
      </c>
      <c r="Z401" s="40">
        <f t="shared" si="647"/>
        <v>933832.19000000006</v>
      </c>
      <c r="AA401" s="40">
        <f t="shared" si="648"/>
        <v>463843.47000000003</v>
      </c>
      <c r="AB401" s="40">
        <f t="shared" si="649"/>
        <v>457206.6</v>
      </c>
      <c r="AC401" s="40">
        <f t="shared" si="650"/>
        <v>1155307</v>
      </c>
      <c r="AD401" s="40">
        <f t="shared" si="651"/>
        <v>205251.35</v>
      </c>
      <c r="AE401" s="40">
        <f t="shared" si="652"/>
        <v>102256.96000000001</v>
      </c>
      <c r="AF401" s="40">
        <f t="shared" si="653"/>
        <v>36134.07</v>
      </c>
      <c r="AG401" s="40">
        <f t="shared" si="654"/>
        <v>491.62</v>
      </c>
      <c r="AH401" s="40">
        <f t="shared" si="625"/>
        <v>245.81</v>
      </c>
      <c r="AI401" s="40">
        <f t="shared" si="626"/>
        <v>18927.37</v>
      </c>
      <c r="AJ401" s="40">
        <f t="shared" si="627"/>
        <v>0</v>
      </c>
      <c r="AK401" s="39">
        <f t="shared" si="628"/>
        <v>0</v>
      </c>
      <c r="AL401" s="38">
        <v>0</v>
      </c>
      <c r="AM401" s="38">
        <v>0</v>
      </c>
      <c r="AN401" s="38">
        <v>0</v>
      </c>
      <c r="AO401" s="38">
        <v>0</v>
      </c>
      <c r="AP401" s="38">
        <v>0</v>
      </c>
      <c r="AQ401" s="39">
        <v>0</v>
      </c>
      <c r="AR401" s="40">
        <v>0</v>
      </c>
      <c r="AS401" s="40">
        <v>0</v>
      </c>
      <c r="AT401" s="40">
        <v>0</v>
      </c>
      <c r="AU401" s="40">
        <v>0</v>
      </c>
      <c r="AV401" s="40">
        <v>0</v>
      </c>
      <c r="AW401" s="40">
        <v>110</v>
      </c>
      <c r="AX401" s="40">
        <v>2336</v>
      </c>
      <c r="AY401" s="40">
        <v>2376</v>
      </c>
      <c r="AZ401" s="40">
        <v>2979</v>
      </c>
      <c r="BA401" s="40">
        <v>2193</v>
      </c>
      <c r="BB401" s="40">
        <v>1366</v>
      </c>
      <c r="BC401" s="39">
        <v>1209</v>
      </c>
      <c r="BD401" s="40">
        <v>3673</v>
      </c>
      <c r="BE401" s="40">
        <v>1507</v>
      </c>
      <c r="BF401" s="40">
        <v>1691</v>
      </c>
      <c r="BG401" s="40">
        <f>VLOOKUP(E401,'[1]Offline Offtake'!$G$522:$FL$619,161,0)</f>
        <v>4700</v>
      </c>
      <c r="BH401" s="40">
        <v>835</v>
      </c>
      <c r="BI401" s="40">
        <v>416</v>
      </c>
      <c r="BJ401" s="40">
        <v>147</v>
      </c>
      <c r="BK401" s="40">
        <v>2</v>
      </c>
      <c r="BL401" s="40">
        <v>1</v>
      </c>
      <c r="BM401" s="40">
        <v>2</v>
      </c>
      <c r="BN401" s="40"/>
      <c r="BO401" s="39"/>
      <c r="BP401" s="21">
        <v>0</v>
      </c>
      <c r="BQ401" s="21">
        <v>0</v>
      </c>
      <c r="BR401" s="21">
        <v>0</v>
      </c>
      <c r="BS401" s="21">
        <v>0</v>
      </c>
      <c r="BT401" s="21">
        <v>0</v>
      </c>
      <c r="BU401" s="42">
        <v>0</v>
      </c>
      <c r="BV401" s="21">
        <v>0</v>
      </c>
      <c r="BW401" s="21">
        <v>0</v>
      </c>
      <c r="BX401" s="21">
        <v>0</v>
      </c>
      <c r="BY401" s="21">
        <v>0</v>
      </c>
      <c r="BZ401" s="21">
        <v>0</v>
      </c>
      <c r="CA401" s="21">
        <v>42</v>
      </c>
      <c r="CB401" s="21">
        <v>237</v>
      </c>
      <c r="CC401" s="21">
        <v>289</v>
      </c>
      <c r="CD401" s="21">
        <v>192</v>
      </c>
      <c r="CE401" s="21">
        <v>220</v>
      </c>
      <c r="CF401" s="21">
        <v>103</v>
      </c>
      <c r="CG401" s="42">
        <v>123</v>
      </c>
      <c r="CH401" s="21">
        <v>126</v>
      </c>
      <c r="CI401" s="21">
        <v>380</v>
      </c>
      <c r="CJ401" s="21">
        <v>169</v>
      </c>
      <c r="CK401" s="21">
        <v>0</v>
      </c>
      <c r="CL401" s="21">
        <v>0</v>
      </c>
      <c r="CM401" s="21">
        <v>0</v>
      </c>
      <c r="CN401" s="21">
        <v>0</v>
      </c>
      <c r="CO401" s="21">
        <v>0</v>
      </c>
      <c r="CP401" s="21">
        <f t="shared" si="655"/>
        <v>0</v>
      </c>
      <c r="CQ401" s="343">
        <f t="shared" si="656"/>
        <v>75</v>
      </c>
      <c r="CR401" s="40"/>
      <c r="CS401" s="39"/>
      <c r="CT401" s="38">
        <f t="shared" si="595"/>
        <v>0</v>
      </c>
      <c r="CU401" s="38">
        <f t="shared" si="596"/>
        <v>0</v>
      </c>
      <c r="CV401" s="38">
        <f t="shared" si="597"/>
        <v>0</v>
      </c>
      <c r="CW401" s="38">
        <f t="shared" si="598"/>
        <v>0</v>
      </c>
      <c r="CX401" s="38">
        <f t="shared" si="599"/>
        <v>0</v>
      </c>
      <c r="CY401" s="39">
        <f t="shared" si="600"/>
        <v>0</v>
      </c>
      <c r="CZ401" s="40">
        <f t="shared" si="601"/>
        <v>0</v>
      </c>
      <c r="DA401" s="40">
        <f t="shared" si="602"/>
        <v>0</v>
      </c>
      <c r="DB401" s="40">
        <f t="shared" si="603"/>
        <v>0</v>
      </c>
      <c r="DC401" s="40">
        <f t="shared" si="604"/>
        <v>0</v>
      </c>
      <c r="DD401" s="40">
        <f t="shared" si="605"/>
        <v>0</v>
      </c>
      <c r="DE401" s="40">
        <f t="shared" si="606"/>
        <v>152</v>
      </c>
      <c r="DF401" s="40">
        <f t="shared" si="607"/>
        <v>2573</v>
      </c>
      <c r="DG401" s="40">
        <f t="shared" si="608"/>
        <v>2665</v>
      </c>
      <c r="DH401" s="40">
        <f t="shared" si="609"/>
        <v>3171</v>
      </c>
      <c r="DI401" s="40">
        <f t="shared" si="610"/>
        <v>2413</v>
      </c>
      <c r="DJ401" s="40">
        <f t="shared" si="611"/>
        <v>1469</v>
      </c>
      <c r="DK401" s="39">
        <f t="shared" si="612"/>
        <v>1332</v>
      </c>
      <c r="DL401" s="40">
        <f t="shared" si="613"/>
        <v>3799</v>
      </c>
      <c r="DM401" s="40">
        <f t="shared" si="614"/>
        <v>1887</v>
      </c>
      <c r="DN401" s="40">
        <f t="shared" si="615"/>
        <v>1860</v>
      </c>
      <c r="DO401" s="40">
        <f t="shared" si="616"/>
        <v>4700</v>
      </c>
      <c r="DP401" s="40">
        <f t="shared" si="617"/>
        <v>835</v>
      </c>
      <c r="DQ401" s="40">
        <f t="shared" si="618"/>
        <v>416</v>
      </c>
      <c r="DR401" s="40">
        <f t="shared" si="623"/>
        <v>147</v>
      </c>
      <c r="DS401" s="40">
        <f t="shared" si="624"/>
        <v>2</v>
      </c>
      <c r="DT401" s="40">
        <f t="shared" si="619"/>
        <v>1</v>
      </c>
      <c r="DU401" s="40">
        <f t="shared" si="620"/>
        <v>77</v>
      </c>
      <c r="DV401" s="40">
        <f t="shared" si="621"/>
        <v>0</v>
      </c>
      <c r="DW401" s="40">
        <f t="shared" si="622"/>
        <v>0</v>
      </c>
    </row>
    <row r="402" spans="1:127">
      <c r="A402" s="22" t="s">
        <v>33</v>
      </c>
      <c r="B402" s="26">
        <v>4987176280817</v>
      </c>
      <c r="C402" s="22" t="s">
        <v>34</v>
      </c>
      <c r="D402" s="22" t="s">
        <v>36</v>
      </c>
      <c r="E402" s="22">
        <v>256634</v>
      </c>
      <c r="F402" s="80" t="s">
        <v>490</v>
      </c>
      <c r="G402" s="25">
        <v>245.81</v>
      </c>
      <c r="H402" s="38">
        <f t="shared" si="629"/>
        <v>0</v>
      </c>
      <c r="I402" s="38">
        <f t="shared" si="630"/>
        <v>0</v>
      </c>
      <c r="J402" s="38">
        <f t="shared" si="631"/>
        <v>0</v>
      </c>
      <c r="K402" s="38">
        <f t="shared" si="632"/>
        <v>0</v>
      </c>
      <c r="L402" s="38">
        <f t="shared" si="633"/>
        <v>0</v>
      </c>
      <c r="M402" s="39">
        <f t="shared" si="634"/>
        <v>0</v>
      </c>
      <c r="N402" s="40">
        <f t="shared" si="635"/>
        <v>0</v>
      </c>
      <c r="O402" s="40">
        <f t="shared" si="636"/>
        <v>0</v>
      </c>
      <c r="P402" s="40">
        <f t="shared" si="637"/>
        <v>0</v>
      </c>
      <c r="Q402" s="40">
        <f t="shared" si="638"/>
        <v>0</v>
      </c>
      <c r="R402" s="40">
        <f t="shared" si="639"/>
        <v>0</v>
      </c>
      <c r="S402" s="40">
        <f t="shared" si="640"/>
        <v>32938.54</v>
      </c>
      <c r="T402" s="40">
        <f t="shared" si="641"/>
        <v>1008312.62</v>
      </c>
      <c r="U402" s="40">
        <f t="shared" si="642"/>
        <v>692200.95999999996</v>
      </c>
      <c r="V402" s="40">
        <f t="shared" si="643"/>
        <v>858368.52</v>
      </c>
      <c r="W402" s="40">
        <f t="shared" si="644"/>
        <v>626815.5</v>
      </c>
      <c r="X402" s="40">
        <f t="shared" si="645"/>
        <v>760536.14</v>
      </c>
      <c r="Y402" s="39">
        <f t="shared" si="646"/>
        <v>297184.28999999998</v>
      </c>
      <c r="Z402" s="40">
        <f t="shared" si="647"/>
        <v>835262.38</v>
      </c>
      <c r="AA402" s="40">
        <f t="shared" si="648"/>
        <v>440737.33</v>
      </c>
      <c r="AB402" s="40">
        <f t="shared" si="649"/>
        <v>465072.52</v>
      </c>
      <c r="AC402" s="40">
        <f t="shared" si="650"/>
        <v>1327374</v>
      </c>
      <c r="AD402" s="40">
        <f t="shared" si="651"/>
        <v>100044.67</v>
      </c>
      <c r="AE402" s="40">
        <f t="shared" si="652"/>
        <v>47195.520000000004</v>
      </c>
      <c r="AF402" s="40">
        <f t="shared" si="653"/>
        <v>17698.32</v>
      </c>
      <c r="AG402" s="40">
        <f t="shared" si="654"/>
        <v>245.81</v>
      </c>
      <c r="AH402" s="40">
        <f t="shared" si="625"/>
        <v>245.81</v>
      </c>
      <c r="AI402" s="40">
        <f t="shared" si="626"/>
        <v>22314.085555555554</v>
      </c>
      <c r="AJ402" s="40">
        <f t="shared" si="627"/>
        <v>0</v>
      </c>
      <c r="AK402" s="39">
        <f t="shared" si="628"/>
        <v>0</v>
      </c>
      <c r="AL402" s="38">
        <v>0</v>
      </c>
      <c r="AM402" s="38">
        <v>0</v>
      </c>
      <c r="AN402" s="38">
        <v>0</v>
      </c>
      <c r="AO402" s="38">
        <v>0</v>
      </c>
      <c r="AP402" s="38">
        <v>0</v>
      </c>
      <c r="AQ402" s="39">
        <v>0</v>
      </c>
      <c r="AR402" s="40">
        <v>0</v>
      </c>
      <c r="AS402" s="40">
        <v>0</v>
      </c>
      <c r="AT402" s="40">
        <v>0</v>
      </c>
      <c r="AU402" s="40">
        <v>0</v>
      </c>
      <c r="AV402" s="40">
        <v>0</v>
      </c>
      <c r="AW402" s="40">
        <v>107</v>
      </c>
      <c r="AX402" s="40">
        <v>3846</v>
      </c>
      <c r="AY402" s="40">
        <v>2566</v>
      </c>
      <c r="AZ402" s="40">
        <v>3093</v>
      </c>
      <c r="BA402" s="40">
        <v>2371</v>
      </c>
      <c r="BB402" s="40">
        <v>3012</v>
      </c>
      <c r="BC402" s="39">
        <v>1036</v>
      </c>
      <c r="BD402" s="40">
        <v>3253</v>
      </c>
      <c r="BE402" s="40">
        <v>1310</v>
      </c>
      <c r="BF402" s="40">
        <v>1721</v>
      </c>
      <c r="BG402" s="40">
        <f>VLOOKUP(E402,'[1]Offline Offtake'!$G$522:$FL$619,161,0)</f>
        <v>5400</v>
      </c>
      <c r="BH402" s="40">
        <v>407</v>
      </c>
      <c r="BI402" s="40">
        <v>192</v>
      </c>
      <c r="BJ402" s="40">
        <v>72</v>
      </c>
      <c r="BK402" s="40">
        <v>1</v>
      </c>
      <c r="BL402" s="40">
        <v>1</v>
      </c>
      <c r="BM402" s="40">
        <v>2</v>
      </c>
      <c r="BN402" s="40"/>
      <c r="BO402" s="39"/>
      <c r="BP402" s="21">
        <v>0</v>
      </c>
      <c r="BQ402" s="21">
        <v>0</v>
      </c>
      <c r="BR402" s="21">
        <v>0</v>
      </c>
      <c r="BS402" s="21">
        <v>0</v>
      </c>
      <c r="BT402" s="21">
        <v>0</v>
      </c>
      <c r="BU402" s="42">
        <v>0</v>
      </c>
      <c r="BV402" s="21">
        <v>0</v>
      </c>
      <c r="BW402" s="21">
        <v>0</v>
      </c>
      <c r="BX402" s="21">
        <v>0</v>
      </c>
      <c r="BY402" s="21">
        <v>0</v>
      </c>
      <c r="BZ402" s="21">
        <v>0</v>
      </c>
      <c r="CA402" s="21">
        <v>27</v>
      </c>
      <c r="CB402" s="21">
        <v>256</v>
      </c>
      <c r="CC402" s="21">
        <v>250</v>
      </c>
      <c r="CD402" s="21">
        <v>399</v>
      </c>
      <c r="CE402" s="21">
        <v>179</v>
      </c>
      <c r="CF402" s="21">
        <v>82</v>
      </c>
      <c r="CG402" s="42">
        <v>173</v>
      </c>
      <c r="CH402" s="21">
        <v>145</v>
      </c>
      <c r="CI402" s="21">
        <v>483</v>
      </c>
      <c r="CJ402" s="21">
        <v>171</v>
      </c>
      <c r="CK402" s="21">
        <v>0</v>
      </c>
      <c r="CL402" s="21">
        <v>0</v>
      </c>
      <c r="CM402" s="21">
        <v>0</v>
      </c>
      <c r="CN402" s="21">
        <v>0</v>
      </c>
      <c r="CO402" s="21">
        <v>0</v>
      </c>
      <c r="CP402" s="21">
        <f t="shared" si="655"/>
        <v>0</v>
      </c>
      <c r="CQ402" s="343">
        <f t="shared" si="656"/>
        <v>88.777777777777771</v>
      </c>
      <c r="CR402" s="40"/>
      <c r="CS402" s="39"/>
      <c r="CT402" s="38">
        <f t="shared" si="595"/>
        <v>0</v>
      </c>
      <c r="CU402" s="38">
        <f t="shared" si="596"/>
        <v>0</v>
      </c>
      <c r="CV402" s="38">
        <f t="shared" si="597"/>
        <v>0</v>
      </c>
      <c r="CW402" s="38">
        <f t="shared" si="598"/>
        <v>0</v>
      </c>
      <c r="CX402" s="38">
        <f t="shared" si="599"/>
        <v>0</v>
      </c>
      <c r="CY402" s="39">
        <f t="shared" si="600"/>
        <v>0</v>
      </c>
      <c r="CZ402" s="40">
        <f t="shared" si="601"/>
        <v>0</v>
      </c>
      <c r="DA402" s="40">
        <f t="shared" si="602"/>
        <v>0</v>
      </c>
      <c r="DB402" s="40">
        <f t="shared" si="603"/>
        <v>0</v>
      </c>
      <c r="DC402" s="40">
        <f t="shared" si="604"/>
        <v>0</v>
      </c>
      <c r="DD402" s="40">
        <f t="shared" si="605"/>
        <v>0</v>
      </c>
      <c r="DE402" s="40">
        <f t="shared" si="606"/>
        <v>134</v>
      </c>
      <c r="DF402" s="40">
        <f t="shared" si="607"/>
        <v>4102</v>
      </c>
      <c r="DG402" s="40">
        <f t="shared" si="608"/>
        <v>2816</v>
      </c>
      <c r="DH402" s="40">
        <f t="shared" si="609"/>
        <v>3492</v>
      </c>
      <c r="DI402" s="40">
        <f t="shared" si="610"/>
        <v>2550</v>
      </c>
      <c r="DJ402" s="40">
        <f t="shared" si="611"/>
        <v>3094</v>
      </c>
      <c r="DK402" s="39">
        <f t="shared" si="612"/>
        <v>1209</v>
      </c>
      <c r="DL402" s="40">
        <f t="shared" si="613"/>
        <v>3398</v>
      </c>
      <c r="DM402" s="40">
        <f t="shared" si="614"/>
        <v>1793</v>
      </c>
      <c r="DN402" s="40">
        <f t="shared" si="615"/>
        <v>1892</v>
      </c>
      <c r="DO402" s="40">
        <f t="shared" si="616"/>
        <v>5400</v>
      </c>
      <c r="DP402" s="40">
        <f t="shared" si="617"/>
        <v>407</v>
      </c>
      <c r="DQ402" s="40">
        <f t="shared" si="618"/>
        <v>192</v>
      </c>
      <c r="DR402" s="40">
        <f t="shared" si="623"/>
        <v>72</v>
      </c>
      <c r="DS402" s="40">
        <f t="shared" si="624"/>
        <v>1</v>
      </c>
      <c r="DT402" s="40">
        <f t="shared" si="619"/>
        <v>1</v>
      </c>
      <c r="DU402" s="40">
        <f t="shared" si="620"/>
        <v>90.777777777777771</v>
      </c>
      <c r="DV402" s="40">
        <f t="shared" si="621"/>
        <v>0</v>
      </c>
      <c r="DW402" s="40">
        <f t="shared" si="622"/>
        <v>0</v>
      </c>
    </row>
    <row r="403" spans="1:127">
      <c r="A403" s="22" t="s">
        <v>33</v>
      </c>
      <c r="B403" s="26">
        <v>4987176238511</v>
      </c>
      <c r="C403" s="22" t="s">
        <v>34</v>
      </c>
      <c r="D403" s="22" t="s">
        <v>36</v>
      </c>
      <c r="E403" s="22">
        <v>256669</v>
      </c>
      <c r="F403" s="80" t="s">
        <v>491</v>
      </c>
      <c r="G403" s="25">
        <v>118.27</v>
      </c>
      <c r="H403" s="38">
        <f t="shared" si="629"/>
        <v>0</v>
      </c>
      <c r="I403" s="38">
        <f t="shared" si="630"/>
        <v>0</v>
      </c>
      <c r="J403" s="38">
        <f t="shared" si="631"/>
        <v>0</v>
      </c>
      <c r="K403" s="38">
        <f t="shared" si="632"/>
        <v>0</v>
      </c>
      <c r="L403" s="38">
        <f t="shared" si="633"/>
        <v>0</v>
      </c>
      <c r="M403" s="39">
        <f t="shared" si="634"/>
        <v>0</v>
      </c>
      <c r="N403" s="40">
        <f t="shared" si="635"/>
        <v>0</v>
      </c>
      <c r="O403" s="40">
        <f t="shared" si="636"/>
        <v>0</v>
      </c>
      <c r="P403" s="40">
        <f t="shared" si="637"/>
        <v>0</v>
      </c>
      <c r="Q403" s="40">
        <f t="shared" si="638"/>
        <v>0</v>
      </c>
      <c r="R403" s="40">
        <f t="shared" si="639"/>
        <v>0</v>
      </c>
      <c r="S403" s="40">
        <f t="shared" si="640"/>
        <v>12063.539999999999</v>
      </c>
      <c r="T403" s="40">
        <f t="shared" si="641"/>
        <v>35481</v>
      </c>
      <c r="U403" s="40">
        <f t="shared" si="642"/>
        <v>477810.8</v>
      </c>
      <c r="V403" s="40">
        <f t="shared" si="643"/>
        <v>179060.78</v>
      </c>
      <c r="W403" s="40">
        <f t="shared" si="644"/>
        <v>26729.02</v>
      </c>
      <c r="X403" s="40">
        <f t="shared" si="645"/>
        <v>479703.12</v>
      </c>
      <c r="Y403" s="39">
        <f t="shared" si="646"/>
        <v>351853.25</v>
      </c>
      <c r="Z403" s="40">
        <f t="shared" si="647"/>
        <v>40330.07</v>
      </c>
      <c r="AA403" s="40">
        <f t="shared" si="648"/>
        <v>82315.92</v>
      </c>
      <c r="AB403" s="40">
        <f t="shared" si="649"/>
        <v>97099.67</v>
      </c>
      <c r="AC403" s="40">
        <f t="shared" si="650"/>
        <v>54167.659999999996</v>
      </c>
      <c r="AD403" s="40">
        <f t="shared" si="651"/>
        <v>35835.81</v>
      </c>
      <c r="AE403" s="40">
        <f t="shared" si="652"/>
        <v>17858.77</v>
      </c>
      <c r="AF403" s="40">
        <f t="shared" si="653"/>
        <v>9698.14</v>
      </c>
      <c r="AG403" s="40">
        <f t="shared" si="654"/>
        <v>236.54</v>
      </c>
      <c r="AH403" s="40">
        <f t="shared" si="625"/>
        <v>591.35</v>
      </c>
      <c r="AI403" s="40">
        <f t="shared" si="626"/>
        <v>3508.6766666666667</v>
      </c>
      <c r="AJ403" s="40">
        <f t="shared" si="627"/>
        <v>0</v>
      </c>
      <c r="AK403" s="39">
        <f t="shared" si="628"/>
        <v>0</v>
      </c>
      <c r="AL403" s="38">
        <v>0</v>
      </c>
      <c r="AM403" s="38">
        <v>0</v>
      </c>
      <c r="AN403" s="38">
        <v>0</v>
      </c>
      <c r="AO403" s="38">
        <v>0</v>
      </c>
      <c r="AP403" s="38">
        <v>0</v>
      </c>
      <c r="AQ403" s="39">
        <v>0</v>
      </c>
      <c r="AR403" s="40">
        <v>0</v>
      </c>
      <c r="AS403" s="40">
        <v>0</v>
      </c>
      <c r="AT403" s="40">
        <v>0</v>
      </c>
      <c r="AU403" s="40">
        <v>0</v>
      </c>
      <c r="AV403" s="40">
        <v>0</v>
      </c>
      <c r="AW403" s="40">
        <v>95</v>
      </c>
      <c r="AX403" s="40">
        <v>296</v>
      </c>
      <c r="AY403" s="40">
        <v>3729</v>
      </c>
      <c r="AZ403" s="40">
        <v>1501</v>
      </c>
      <c r="BA403" s="40">
        <v>211</v>
      </c>
      <c r="BB403" s="40">
        <v>3740</v>
      </c>
      <c r="BC403" s="39">
        <v>2963</v>
      </c>
      <c r="BD403" s="40">
        <v>335</v>
      </c>
      <c r="BE403" s="40">
        <v>605</v>
      </c>
      <c r="BF403" s="40">
        <v>795</v>
      </c>
      <c r="BG403" s="40">
        <f>VLOOKUP(E403,'[1]Offline Offtake'!$G$522:$FL$619,161,0)</f>
        <v>341</v>
      </c>
      <c r="BH403" s="40">
        <v>303</v>
      </c>
      <c r="BI403" s="40">
        <v>151</v>
      </c>
      <c r="BJ403" s="40">
        <v>82</v>
      </c>
      <c r="BK403" s="40">
        <v>2</v>
      </c>
      <c r="BL403" s="40">
        <v>5</v>
      </c>
      <c r="BM403" s="40">
        <v>3</v>
      </c>
      <c r="BN403" s="40"/>
      <c r="BO403" s="39"/>
      <c r="BP403" s="21">
        <v>0</v>
      </c>
      <c r="BQ403" s="21">
        <v>0</v>
      </c>
      <c r="BR403" s="21">
        <v>0</v>
      </c>
      <c r="BS403" s="21">
        <v>0</v>
      </c>
      <c r="BT403" s="21">
        <v>0</v>
      </c>
      <c r="BU403" s="42">
        <v>0</v>
      </c>
      <c r="BV403" s="21">
        <v>0</v>
      </c>
      <c r="BW403" s="21">
        <v>0</v>
      </c>
      <c r="BX403" s="21">
        <v>0</v>
      </c>
      <c r="BY403" s="21">
        <v>0</v>
      </c>
      <c r="BZ403" s="21">
        <v>0</v>
      </c>
      <c r="CA403" s="21">
        <v>7</v>
      </c>
      <c r="CB403" s="21">
        <v>4</v>
      </c>
      <c r="CC403" s="21">
        <v>311</v>
      </c>
      <c r="CD403" s="21">
        <v>13</v>
      </c>
      <c r="CE403" s="21">
        <v>15</v>
      </c>
      <c r="CF403" s="21">
        <v>316</v>
      </c>
      <c r="CG403" s="42">
        <v>12</v>
      </c>
      <c r="CH403" s="21">
        <v>6</v>
      </c>
      <c r="CI403" s="21">
        <v>91</v>
      </c>
      <c r="CJ403" s="21">
        <v>26</v>
      </c>
      <c r="CK403" s="21">
        <v>117</v>
      </c>
      <c r="CL403" s="21">
        <v>0</v>
      </c>
      <c r="CM403" s="21">
        <v>0</v>
      </c>
      <c r="CN403" s="21">
        <v>0</v>
      </c>
      <c r="CO403" s="21">
        <v>0</v>
      </c>
      <c r="CP403" s="21">
        <f t="shared" si="655"/>
        <v>0</v>
      </c>
      <c r="CQ403" s="343">
        <f t="shared" si="656"/>
        <v>26.666666666666668</v>
      </c>
      <c r="CR403" s="40"/>
      <c r="CS403" s="39"/>
      <c r="CT403" s="38">
        <f t="shared" si="595"/>
        <v>0</v>
      </c>
      <c r="CU403" s="38">
        <f t="shared" si="596"/>
        <v>0</v>
      </c>
      <c r="CV403" s="38">
        <f t="shared" si="597"/>
        <v>0</v>
      </c>
      <c r="CW403" s="38">
        <f t="shared" si="598"/>
        <v>0</v>
      </c>
      <c r="CX403" s="38">
        <f t="shared" si="599"/>
        <v>0</v>
      </c>
      <c r="CY403" s="39">
        <f t="shared" si="600"/>
        <v>0</v>
      </c>
      <c r="CZ403" s="40">
        <f t="shared" si="601"/>
        <v>0</v>
      </c>
      <c r="DA403" s="40">
        <f t="shared" si="602"/>
        <v>0</v>
      </c>
      <c r="DB403" s="40">
        <f t="shared" si="603"/>
        <v>0</v>
      </c>
      <c r="DC403" s="40">
        <f t="shared" si="604"/>
        <v>0</v>
      </c>
      <c r="DD403" s="40">
        <f t="shared" si="605"/>
        <v>0</v>
      </c>
      <c r="DE403" s="40">
        <f t="shared" si="606"/>
        <v>102</v>
      </c>
      <c r="DF403" s="40">
        <f t="shared" si="607"/>
        <v>300</v>
      </c>
      <c r="DG403" s="40">
        <f t="shared" si="608"/>
        <v>4040</v>
      </c>
      <c r="DH403" s="40">
        <f t="shared" si="609"/>
        <v>1514</v>
      </c>
      <c r="DI403" s="40">
        <f t="shared" si="610"/>
        <v>226</v>
      </c>
      <c r="DJ403" s="40">
        <f t="shared" si="611"/>
        <v>4056</v>
      </c>
      <c r="DK403" s="39">
        <f t="shared" si="612"/>
        <v>2975</v>
      </c>
      <c r="DL403" s="40">
        <f t="shared" si="613"/>
        <v>341</v>
      </c>
      <c r="DM403" s="40">
        <f t="shared" si="614"/>
        <v>696</v>
      </c>
      <c r="DN403" s="40">
        <f t="shared" si="615"/>
        <v>821</v>
      </c>
      <c r="DO403" s="40">
        <f t="shared" si="616"/>
        <v>458</v>
      </c>
      <c r="DP403" s="40">
        <f t="shared" si="617"/>
        <v>303</v>
      </c>
      <c r="DQ403" s="40">
        <f t="shared" si="618"/>
        <v>151</v>
      </c>
      <c r="DR403" s="40">
        <f t="shared" si="623"/>
        <v>82</v>
      </c>
      <c r="DS403" s="40">
        <f t="shared" si="624"/>
        <v>2</v>
      </c>
      <c r="DT403" s="40">
        <f t="shared" si="619"/>
        <v>5</v>
      </c>
      <c r="DU403" s="40">
        <f t="shared" si="620"/>
        <v>29.666666666666668</v>
      </c>
      <c r="DV403" s="40">
        <f t="shared" si="621"/>
        <v>0</v>
      </c>
      <c r="DW403" s="40">
        <f t="shared" si="622"/>
        <v>0</v>
      </c>
    </row>
    <row r="404" spans="1:127">
      <c r="A404" s="22" t="s">
        <v>33</v>
      </c>
      <c r="B404" s="26">
        <v>4987176302366</v>
      </c>
      <c r="C404" s="22" t="s">
        <v>34</v>
      </c>
      <c r="D404" s="22" t="s">
        <v>35</v>
      </c>
      <c r="E404" s="22">
        <v>256802</v>
      </c>
      <c r="F404" s="80" t="s">
        <v>492</v>
      </c>
      <c r="G404" s="25">
        <v>195.48</v>
      </c>
      <c r="H404" s="38">
        <f t="shared" si="629"/>
        <v>0</v>
      </c>
      <c r="I404" s="38">
        <f t="shared" si="630"/>
        <v>0</v>
      </c>
      <c r="J404" s="38">
        <f t="shared" si="631"/>
        <v>0</v>
      </c>
      <c r="K404" s="38">
        <f t="shared" si="632"/>
        <v>0</v>
      </c>
      <c r="L404" s="38">
        <f t="shared" si="633"/>
        <v>0</v>
      </c>
      <c r="M404" s="39">
        <f t="shared" si="634"/>
        <v>0</v>
      </c>
      <c r="N404" s="40">
        <f t="shared" si="635"/>
        <v>0</v>
      </c>
      <c r="O404" s="40">
        <f t="shared" si="636"/>
        <v>0</v>
      </c>
      <c r="P404" s="40">
        <f t="shared" si="637"/>
        <v>0</v>
      </c>
      <c r="Q404" s="40">
        <f t="shared" si="638"/>
        <v>0</v>
      </c>
      <c r="R404" s="40">
        <f t="shared" si="639"/>
        <v>0</v>
      </c>
      <c r="S404" s="40">
        <f t="shared" si="640"/>
        <v>59425.919999999998</v>
      </c>
      <c r="T404" s="40">
        <f t="shared" si="641"/>
        <v>227343.24</v>
      </c>
      <c r="U404" s="40">
        <f t="shared" si="642"/>
        <v>240244.91999999998</v>
      </c>
      <c r="V404" s="40">
        <f t="shared" si="643"/>
        <v>159902.63999999998</v>
      </c>
      <c r="W404" s="40">
        <f t="shared" si="644"/>
        <v>208577.16</v>
      </c>
      <c r="X404" s="40">
        <f t="shared" si="645"/>
        <v>258815.52</v>
      </c>
      <c r="Y404" s="39">
        <f t="shared" si="646"/>
        <v>143286.84</v>
      </c>
      <c r="Z404" s="40">
        <f t="shared" si="647"/>
        <v>125498.15999999999</v>
      </c>
      <c r="AA404" s="40">
        <f t="shared" si="648"/>
        <v>153451.79999999999</v>
      </c>
      <c r="AB404" s="40">
        <f t="shared" si="649"/>
        <v>140159.16</v>
      </c>
      <c r="AC404" s="40">
        <f t="shared" si="650"/>
        <v>179646.12</v>
      </c>
      <c r="AD404" s="40">
        <f t="shared" si="651"/>
        <v>121393.07999999999</v>
      </c>
      <c r="AE404" s="40">
        <f t="shared" si="652"/>
        <v>25021.439999999999</v>
      </c>
      <c r="AF404" s="40">
        <f t="shared" si="653"/>
        <v>8405.64</v>
      </c>
      <c r="AG404" s="40">
        <f t="shared" si="654"/>
        <v>195.48</v>
      </c>
      <c r="AH404" s="40">
        <f t="shared" si="625"/>
        <v>0</v>
      </c>
      <c r="AI404" s="40">
        <f t="shared" si="626"/>
        <v>12488.999999999998</v>
      </c>
      <c r="AJ404" s="40">
        <f t="shared" si="627"/>
        <v>0</v>
      </c>
      <c r="AK404" s="39">
        <f t="shared" si="628"/>
        <v>0</v>
      </c>
      <c r="AL404" s="38">
        <v>0</v>
      </c>
      <c r="AM404" s="38">
        <v>0</v>
      </c>
      <c r="AN404" s="38">
        <v>0</v>
      </c>
      <c r="AO404" s="38">
        <v>0</v>
      </c>
      <c r="AP404" s="38">
        <v>0</v>
      </c>
      <c r="AQ404" s="39">
        <v>0</v>
      </c>
      <c r="AR404" s="40">
        <v>0</v>
      </c>
      <c r="AS404" s="40">
        <v>0</v>
      </c>
      <c r="AT404" s="40">
        <v>0</v>
      </c>
      <c r="AU404" s="40">
        <v>0</v>
      </c>
      <c r="AV404" s="40">
        <v>0</v>
      </c>
      <c r="AW404" s="40">
        <v>216</v>
      </c>
      <c r="AX404" s="40">
        <v>1034</v>
      </c>
      <c r="AY404" s="40">
        <v>1051</v>
      </c>
      <c r="AZ404" s="40">
        <v>740</v>
      </c>
      <c r="BA404" s="40">
        <v>933</v>
      </c>
      <c r="BB404" s="40">
        <v>1160</v>
      </c>
      <c r="BC404" s="39">
        <v>617</v>
      </c>
      <c r="BD404" s="40">
        <v>594</v>
      </c>
      <c r="BE404" s="40">
        <v>519</v>
      </c>
      <c r="BF404" s="40">
        <v>605</v>
      </c>
      <c r="BG404" s="40">
        <f>VLOOKUP(E404,'[1]Offline Offtake'!$G$522:$FL$619,161,0)</f>
        <v>770</v>
      </c>
      <c r="BH404" s="40">
        <v>621</v>
      </c>
      <c r="BI404" s="40">
        <v>128</v>
      </c>
      <c r="BJ404" s="40">
        <v>43</v>
      </c>
      <c r="BK404" s="40">
        <v>1</v>
      </c>
      <c r="BL404" s="40">
        <v>0</v>
      </c>
      <c r="BM404" s="40">
        <v>0</v>
      </c>
      <c r="BN404" s="40"/>
      <c r="BO404" s="39"/>
      <c r="BP404" s="21">
        <v>0</v>
      </c>
      <c r="BQ404" s="21">
        <v>0</v>
      </c>
      <c r="BR404" s="21">
        <v>0</v>
      </c>
      <c r="BS404" s="21">
        <v>0</v>
      </c>
      <c r="BT404" s="21">
        <v>0</v>
      </c>
      <c r="BU404" s="42">
        <v>0</v>
      </c>
      <c r="BV404" s="21">
        <v>0</v>
      </c>
      <c r="BW404" s="21">
        <v>0</v>
      </c>
      <c r="BX404" s="21">
        <v>0</v>
      </c>
      <c r="BY404" s="21">
        <v>0</v>
      </c>
      <c r="BZ404" s="21">
        <v>0</v>
      </c>
      <c r="CA404" s="21">
        <v>88</v>
      </c>
      <c r="CB404" s="21">
        <v>129</v>
      </c>
      <c r="CC404" s="21">
        <v>178</v>
      </c>
      <c r="CD404" s="21">
        <v>78</v>
      </c>
      <c r="CE404" s="21">
        <v>134</v>
      </c>
      <c r="CF404" s="21">
        <v>164</v>
      </c>
      <c r="CG404" s="42">
        <v>116</v>
      </c>
      <c r="CH404" s="21">
        <v>48</v>
      </c>
      <c r="CI404" s="21">
        <v>266</v>
      </c>
      <c r="CJ404" s="21">
        <v>112</v>
      </c>
      <c r="CK404" s="21">
        <v>149</v>
      </c>
      <c r="CL404" s="21">
        <v>0</v>
      </c>
      <c r="CM404" s="21">
        <v>0</v>
      </c>
      <c r="CN404" s="21">
        <v>0</v>
      </c>
      <c r="CO404" s="21">
        <v>0</v>
      </c>
      <c r="CP404" s="21">
        <f t="shared" si="655"/>
        <v>0</v>
      </c>
      <c r="CQ404" s="343">
        <f t="shared" si="656"/>
        <v>63.888888888888886</v>
      </c>
      <c r="CR404" s="40"/>
      <c r="CS404" s="39"/>
      <c r="CT404" s="38">
        <f t="shared" si="595"/>
        <v>0</v>
      </c>
      <c r="CU404" s="38">
        <f t="shared" si="596"/>
        <v>0</v>
      </c>
      <c r="CV404" s="38">
        <f t="shared" si="597"/>
        <v>0</v>
      </c>
      <c r="CW404" s="38">
        <f t="shared" si="598"/>
        <v>0</v>
      </c>
      <c r="CX404" s="38">
        <f t="shared" si="599"/>
        <v>0</v>
      </c>
      <c r="CY404" s="39">
        <f t="shared" si="600"/>
        <v>0</v>
      </c>
      <c r="CZ404" s="40">
        <f t="shared" si="601"/>
        <v>0</v>
      </c>
      <c r="DA404" s="40">
        <f t="shared" si="602"/>
        <v>0</v>
      </c>
      <c r="DB404" s="40">
        <f t="shared" si="603"/>
        <v>0</v>
      </c>
      <c r="DC404" s="40">
        <f t="shared" si="604"/>
        <v>0</v>
      </c>
      <c r="DD404" s="40">
        <f t="shared" si="605"/>
        <v>0</v>
      </c>
      <c r="DE404" s="40">
        <f t="shared" si="606"/>
        <v>304</v>
      </c>
      <c r="DF404" s="40">
        <f t="shared" si="607"/>
        <v>1163</v>
      </c>
      <c r="DG404" s="40">
        <f t="shared" si="608"/>
        <v>1229</v>
      </c>
      <c r="DH404" s="40">
        <f t="shared" si="609"/>
        <v>818</v>
      </c>
      <c r="DI404" s="40">
        <f t="shared" si="610"/>
        <v>1067</v>
      </c>
      <c r="DJ404" s="40">
        <f t="shared" si="611"/>
        <v>1324</v>
      </c>
      <c r="DK404" s="39">
        <f t="shared" si="612"/>
        <v>733</v>
      </c>
      <c r="DL404" s="40">
        <f t="shared" si="613"/>
        <v>642</v>
      </c>
      <c r="DM404" s="40">
        <f t="shared" si="614"/>
        <v>785</v>
      </c>
      <c r="DN404" s="40">
        <f t="shared" si="615"/>
        <v>717</v>
      </c>
      <c r="DO404" s="40">
        <f t="shared" si="616"/>
        <v>919</v>
      </c>
      <c r="DP404" s="40">
        <f t="shared" si="617"/>
        <v>621</v>
      </c>
      <c r="DQ404" s="40">
        <f t="shared" si="618"/>
        <v>128</v>
      </c>
      <c r="DR404" s="40">
        <f t="shared" si="623"/>
        <v>43</v>
      </c>
      <c r="DS404" s="40">
        <f t="shared" si="624"/>
        <v>1</v>
      </c>
      <c r="DT404" s="40">
        <f t="shared" si="619"/>
        <v>0</v>
      </c>
      <c r="DU404" s="40">
        <f t="shared" si="620"/>
        <v>63.888888888888886</v>
      </c>
      <c r="DV404" s="40">
        <f t="shared" si="621"/>
        <v>0</v>
      </c>
      <c r="DW404" s="40">
        <f t="shared" si="622"/>
        <v>0</v>
      </c>
    </row>
    <row r="405" spans="1:127">
      <c r="A405" s="22" t="s">
        <v>33</v>
      </c>
      <c r="B405" s="26">
        <v>4987176277138</v>
      </c>
      <c r="C405" s="22" t="s">
        <v>34</v>
      </c>
      <c r="D405" s="22" t="s">
        <v>35</v>
      </c>
      <c r="E405" s="22">
        <v>256497</v>
      </c>
      <c r="F405" s="80" t="s">
        <v>493</v>
      </c>
      <c r="G405" s="25">
        <v>146.88</v>
      </c>
      <c r="H405" s="38">
        <f t="shared" si="629"/>
        <v>0</v>
      </c>
      <c r="I405" s="38">
        <f t="shared" si="630"/>
        <v>0</v>
      </c>
      <c r="J405" s="38">
        <f t="shared" si="631"/>
        <v>0</v>
      </c>
      <c r="K405" s="38">
        <f t="shared" si="632"/>
        <v>0</v>
      </c>
      <c r="L405" s="38">
        <f t="shared" si="633"/>
        <v>0</v>
      </c>
      <c r="M405" s="39">
        <f t="shared" si="634"/>
        <v>0</v>
      </c>
      <c r="N405" s="40">
        <f t="shared" si="635"/>
        <v>0</v>
      </c>
      <c r="O405" s="40">
        <f t="shared" si="636"/>
        <v>0</v>
      </c>
      <c r="P405" s="40">
        <f t="shared" si="637"/>
        <v>0</v>
      </c>
      <c r="Q405" s="40">
        <f t="shared" si="638"/>
        <v>0</v>
      </c>
      <c r="R405" s="40">
        <f t="shared" si="639"/>
        <v>0</v>
      </c>
      <c r="S405" s="40">
        <f t="shared" si="640"/>
        <v>1028.1599999999999</v>
      </c>
      <c r="T405" s="40">
        <f t="shared" si="641"/>
        <v>70943.039999999994</v>
      </c>
      <c r="U405" s="40">
        <f t="shared" si="642"/>
        <v>53758.080000000002</v>
      </c>
      <c r="V405" s="40">
        <f t="shared" si="643"/>
        <v>41273.279999999999</v>
      </c>
      <c r="W405" s="40">
        <f t="shared" si="644"/>
        <v>77699.520000000004</v>
      </c>
      <c r="X405" s="40">
        <f t="shared" si="645"/>
        <v>92975.039999999994</v>
      </c>
      <c r="Y405" s="39">
        <f t="shared" si="646"/>
        <v>68886.720000000001</v>
      </c>
      <c r="Z405" s="40">
        <f t="shared" si="647"/>
        <v>326367.35999999999</v>
      </c>
      <c r="AA405" s="40">
        <f t="shared" si="648"/>
        <v>130723.2</v>
      </c>
      <c r="AB405" s="40">
        <f t="shared" si="649"/>
        <v>59633.279999999999</v>
      </c>
      <c r="AC405" s="40">
        <f t="shared" si="650"/>
        <v>82399.679999999993</v>
      </c>
      <c r="AD405" s="40">
        <f t="shared" si="651"/>
        <v>30404.16</v>
      </c>
      <c r="AE405" s="40">
        <f t="shared" si="652"/>
        <v>26291.52</v>
      </c>
      <c r="AF405" s="40">
        <f t="shared" si="653"/>
        <v>11016</v>
      </c>
      <c r="AG405" s="40">
        <f t="shared" si="654"/>
        <v>0</v>
      </c>
      <c r="AH405" s="40">
        <f t="shared" si="625"/>
        <v>0</v>
      </c>
      <c r="AI405" s="40">
        <f t="shared" si="626"/>
        <v>6984.96</v>
      </c>
      <c r="AJ405" s="40">
        <f t="shared" si="627"/>
        <v>0</v>
      </c>
      <c r="AK405" s="39">
        <f t="shared" si="628"/>
        <v>0</v>
      </c>
      <c r="AL405" s="38">
        <v>0</v>
      </c>
      <c r="AM405" s="38">
        <v>0</v>
      </c>
      <c r="AN405" s="38">
        <v>0</v>
      </c>
      <c r="AO405" s="38">
        <v>0</v>
      </c>
      <c r="AP405" s="38">
        <v>0</v>
      </c>
      <c r="AQ405" s="39">
        <v>0</v>
      </c>
      <c r="AR405" s="40">
        <v>0</v>
      </c>
      <c r="AS405" s="40">
        <v>0</v>
      </c>
      <c r="AT405" s="40">
        <v>0</v>
      </c>
      <c r="AU405" s="40">
        <v>0</v>
      </c>
      <c r="AV405" s="40">
        <v>0</v>
      </c>
      <c r="AW405" s="40">
        <v>0</v>
      </c>
      <c r="AX405" s="40">
        <v>428</v>
      </c>
      <c r="AY405" s="40">
        <v>350</v>
      </c>
      <c r="AZ405" s="40">
        <v>265</v>
      </c>
      <c r="BA405" s="40">
        <v>509</v>
      </c>
      <c r="BB405" s="40">
        <v>559</v>
      </c>
      <c r="BC405" s="39">
        <v>454</v>
      </c>
      <c r="BD405" s="40">
        <v>1898</v>
      </c>
      <c r="BE405" s="40">
        <v>870</v>
      </c>
      <c r="BF405" s="40">
        <v>379</v>
      </c>
      <c r="BG405" s="40">
        <f>VLOOKUP(E405,'[1]Offline Offtake'!$G$522:$FL$619,161,0)</f>
        <v>504</v>
      </c>
      <c r="BH405" s="40">
        <v>207</v>
      </c>
      <c r="BI405" s="40">
        <v>179</v>
      </c>
      <c r="BJ405" s="40">
        <v>75</v>
      </c>
      <c r="BK405" s="40">
        <v>0</v>
      </c>
      <c r="BL405" s="40">
        <v>0</v>
      </c>
      <c r="BM405" s="40">
        <v>0</v>
      </c>
      <c r="BN405" s="40"/>
      <c r="BO405" s="39"/>
      <c r="BP405" s="21">
        <v>0</v>
      </c>
      <c r="BQ405" s="21">
        <v>0</v>
      </c>
      <c r="BR405" s="21">
        <v>0</v>
      </c>
      <c r="BS405" s="21">
        <v>0</v>
      </c>
      <c r="BT405" s="21">
        <v>0</v>
      </c>
      <c r="BU405" s="42">
        <v>0</v>
      </c>
      <c r="BV405" s="21">
        <v>0</v>
      </c>
      <c r="BW405" s="21">
        <v>0</v>
      </c>
      <c r="BX405" s="21">
        <v>0</v>
      </c>
      <c r="BY405" s="21">
        <v>0</v>
      </c>
      <c r="BZ405" s="21">
        <v>0</v>
      </c>
      <c r="CA405" s="21">
        <v>7</v>
      </c>
      <c r="CB405" s="21">
        <v>55</v>
      </c>
      <c r="CC405" s="21">
        <v>16</v>
      </c>
      <c r="CD405" s="21">
        <v>16</v>
      </c>
      <c r="CE405" s="21">
        <v>20</v>
      </c>
      <c r="CF405" s="21">
        <v>74</v>
      </c>
      <c r="CG405" s="42">
        <v>15</v>
      </c>
      <c r="CH405" s="21">
        <v>324</v>
      </c>
      <c r="CI405" s="21">
        <v>20</v>
      </c>
      <c r="CJ405" s="21">
        <v>27</v>
      </c>
      <c r="CK405" s="21">
        <v>57</v>
      </c>
      <c r="CL405" s="21">
        <v>0</v>
      </c>
      <c r="CM405" s="21">
        <v>0</v>
      </c>
      <c r="CN405" s="21">
        <v>0</v>
      </c>
      <c r="CO405" s="21">
        <v>0</v>
      </c>
      <c r="CP405" s="21">
        <f t="shared" si="655"/>
        <v>0</v>
      </c>
      <c r="CQ405" s="343">
        <f t="shared" si="656"/>
        <v>47.555555555555557</v>
      </c>
      <c r="CR405" s="40"/>
      <c r="CS405" s="39"/>
      <c r="CT405" s="38">
        <f t="shared" si="595"/>
        <v>0</v>
      </c>
      <c r="CU405" s="38">
        <f t="shared" si="596"/>
        <v>0</v>
      </c>
      <c r="CV405" s="38">
        <f t="shared" si="597"/>
        <v>0</v>
      </c>
      <c r="CW405" s="38">
        <f t="shared" si="598"/>
        <v>0</v>
      </c>
      <c r="CX405" s="38">
        <f t="shared" si="599"/>
        <v>0</v>
      </c>
      <c r="CY405" s="39">
        <f t="shared" si="600"/>
        <v>0</v>
      </c>
      <c r="CZ405" s="40">
        <f t="shared" si="601"/>
        <v>0</v>
      </c>
      <c r="DA405" s="40">
        <f t="shared" si="602"/>
        <v>0</v>
      </c>
      <c r="DB405" s="40">
        <f t="shared" si="603"/>
        <v>0</v>
      </c>
      <c r="DC405" s="40">
        <f t="shared" si="604"/>
        <v>0</v>
      </c>
      <c r="DD405" s="40">
        <f t="shared" si="605"/>
        <v>0</v>
      </c>
      <c r="DE405" s="40">
        <f t="shared" si="606"/>
        <v>7</v>
      </c>
      <c r="DF405" s="40">
        <f t="shared" si="607"/>
        <v>483</v>
      </c>
      <c r="DG405" s="40">
        <f t="shared" si="608"/>
        <v>366</v>
      </c>
      <c r="DH405" s="40">
        <f t="shared" si="609"/>
        <v>281</v>
      </c>
      <c r="DI405" s="40">
        <f t="shared" si="610"/>
        <v>529</v>
      </c>
      <c r="DJ405" s="40">
        <f t="shared" si="611"/>
        <v>633</v>
      </c>
      <c r="DK405" s="39">
        <f t="shared" si="612"/>
        <v>469</v>
      </c>
      <c r="DL405" s="40">
        <f t="shared" si="613"/>
        <v>2222</v>
      </c>
      <c r="DM405" s="40">
        <f t="shared" si="614"/>
        <v>890</v>
      </c>
      <c r="DN405" s="40">
        <f t="shared" si="615"/>
        <v>406</v>
      </c>
      <c r="DO405" s="40">
        <f t="shared" si="616"/>
        <v>561</v>
      </c>
      <c r="DP405" s="40">
        <f t="shared" si="617"/>
        <v>207</v>
      </c>
      <c r="DQ405" s="40">
        <f t="shared" si="618"/>
        <v>179</v>
      </c>
      <c r="DR405" s="40">
        <f t="shared" si="623"/>
        <v>75</v>
      </c>
      <c r="DS405" s="40">
        <f t="shared" si="624"/>
        <v>0</v>
      </c>
      <c r="DT405" s="40">
        <f t="shared" si="619"/>
        <v>0</v>
      </c>
      <c r="DU405" s="40">
        <f t="shared" si="620"/>
        <v>47.555555555555557</v>
      </c>
      <c r="DV405" s="40">
        <f t="shared" si="621"/>
        <v>0</v>
      </c>
      <c r="DW405" s="40">
        <f t="shared" si="622"/>
        <v>0</v>
      </c>
    </row>
    <row r="406" spans="1:127">
      <c r="A406" s="22" t="s">
        <v>33</v>
      </c>
      <c r="B406" s="26">
        <v>4987176283801</v>
      </c>
      <c r="C406" s="22" t="s">
        <v>34</v>
      </c>
      <c r="D406" s="22" t="s">
        <v>35</v>
      </c>
      <c r="E406" s="22">
        <v>256576</v>
      </c>
      <c r="F406" s="80" t="s">
        <v>494</v>
      </c>
      <c r="G406" s="25">
        <v>146.88</v>
      </c>
      <c r="H406" s="38">
        <f t="shared" si="629"/>
        <v>0</v>
      </c>
      <c r="I406" s="38">
        <f t="shared" si="630"/>
        <v>0</v>
      </c>
      <c r="J406" s="38">
        <f t="shared" si="631"/>
        <v>0</v>
      </c>
      <c r="K406" s="38">
        <f t="shared" si="632"/>
        <v>0</v>
      </c>
      <c r="L406" s="38">
        <f t="shared" si="633"/>
        <v>0</v>
      </c>
      <c r="M406" s="39">
        <f t="shared" si="634"/>
        <v>0</v>
      </c>
      <c r="N406" s="40">
        <f t="shared" si="635"/>
        <v>0</v>
      </c>
      <c r="O406" s="40">
        <f t="shared" si="636"/>
        <v>0</v>
      </c>
      <c r="P406" s="40">
        <f t="shared" si="637"/>
        <v>0</v>
      </c>
      <c r="Q406" s="40">
        <f t="shared" si="638"/>
        <v>0</v>
      </c>
      <c r="R406" s="40">
        <f t="shared" si="639"/>
        <v>0</v>
      </c>
      <c r="S406" s="40">
        <f t="shared" si="640"/>
        <v>734.4</v>
      </c>
      <c r="T406" s="40">
        <f t="shared" si="641"/>
        <v>38923.199999999997</v>
      </c>
      <c r="U406" s="40">
        <f t="shared" si="642"/>
        <v>31432.32</v>
      </c>
      <c r="V406" s="40">
        <f t="shared" si="643"/>
        <v>24822.719999999998</v>
      </c>
      <c r="W406" s="40">
        <f t="shared" si="644"/>
        <v>23207.040000000001</v>
      </c>
      <c r="X406" s="40">
        <f t="shared" si="645"/>
        <v>38629.440000000002</v>
      </c>
      <c r="Y406" s="39">
        <f t="shared" si="646"/>
        <v>25997.759999999998</v>
      </c>
      <c r="Z406" s="40">
        <f t="shared" si="647"/>
        <v>83574.720000000001</v>
      </c>
      <c r="AA406" s="40">
        <f t="shared" si="648"/>
        <v>41273.279999999999</v>
      </c>
      <c r="AB406" s="40">
        <f t="shared" si="649"/>
        <v>15422.4</v>
      </c>
      <c r="AC406" s="40">
        <f t="shared" si="650"/>
        <v>28935.360000000001</v>
      </c>
      <c r="AD406" s="40">
        <f t="shared" si="651"/>
        <v>14834.88</v>
      </c>
      <c r="AE406" s="40">
        <f t="shared" si="652"/>
        <v>14981.76</v>
      </c>
      <c r="AF406" s="40">
        <f t="shared" si="653"/>
        <v>11897.279999999999</v>
      </c>
      <c r="AG406" s="40">
        <f t="shared" si="654"/>
        <v>293.76</v>
      </c>
      <c r="AH406" s="40">
        <f t="shared" si="625"/>
        <v>0</v>
      </c>
      <c r="AI406" s="40">
        <f t="shared" si="626"/>
        <v>4308.4799999999996</v>
      </c>
      <c r="AJ406" s="40">
        <f t="shared" si="627"/>
        <v>0</v>
      </c>
      <c r="AK406" s="39">
        <f t="shared" si="628"/>
        <v>0</v>
      </c>
      <c r="AL406" s="38">
        <v>0</v>
      </c>
      <c r="AM406" s="38">
        <v>0</v>
      </c>
      <c r="AN406" s="38">
        <v>0</v>
      </c>
      <c r="AO406" s="38">
        <v>0</v>
      </c>
      <c r="AP406" s="38">
        <v>0</v>
      </c>
      <c r="AQ406" s="39">
        <v>0</v>
      </c>
      <c r="AR406" s="40">
        <v>0</v>
      </c>
      <c r="AS406" s="40">
        <v>0</v>
      </c>
      <c r="AT406" s="40">
        <v>0</v>
      </c>
      <c r="AU406" s="40">
        <v>0</v>
      </c>
      <c r="AV406" s="40">
        <v>0</v>
      </c>
      <c r="AW406" s="40">
        <v>0</v>
      </c>
      <c r="AX406" s="40">
        <v>227</v>
      </c>
      <c r="AY406" s="40">
        <v>202</v>
      </c>
      <c r="AZ406" s="40">
        <v>162</v>
      </c>
      <c r="BA406" s="40">
        <v>154</v>
      </c>
      <c r="BB406" s="40">
        <v>217</v>
      </c>
      <c r="BC406" s="39">
        <v>174</v>
      </c>
      <c r="BD406" s="40">
        <v>426</v>
      </c>
      <c r="BE406" s="40">
        <v>270</v>
      </c>
      <c r="BF406" s="40">
        <v>88</v>
      </c>
      <c r="BG406" s="40">
        <f>VLOOKUP(E406,'[1]Offline Offtake'!$G$522:$FL$619,161,0)</f>
        <v>134</v>
      </c>
      <c r="BH406" s="40">
        <v>90</v>
      </c>
      <c r="BI406" s="40">
        <v>92</v>
      </c>
      <c r="BJ406" s="40">
        <v>81</v>
      </c>
      <c r="BK406" s="40">
        <v>2</v>
      </c>
      <c r="BL406" s="40">
        <v>0</v>
      </c>
      <c r="BM406" s="40">
        <v>1</v>
      </c>
      <c r="BN406" s="40"/>
      <c r="BO406" s="39"/>
      <c r="BP406" s="21">
        <v>0</v>
      </c>
      <c r="BQ406" s="21">
        <v>0</v>
      </c>
      <c r="BR406" s="21">
        <v>0</v>
      </c>
      <c r="BS406" s="21">
        <v>0</v>
      </c>
      <c r="BT406" s="21">
        <v>0</v>
      </c>
      <c r="BU406" s="42">
        <v>0</v>
      </c>
      <c r="BV406" s="21">
        <v>0</v>
      </c>
      <c r="BW406" s="21">
        <v>0</v>
      </c>
      <c r="BX406" s="21">
        <v>0</v>
      </c>
      <c r="BY406" s="21">
        <v>0</v>
      </c>
      <c r="BZ406" s="21">
        <v>0</v>
      </c>
      <c r="CA406" s="21">
        <v>5</v>
      </c>
      <c r="CB406" s="21">
        <v>38</v>
      </c>
      <c r="CC406" s="21">
        <v>12</v>
      </c>
      <c r="CD406" s="21">
        <v>7</v>
      </c>
      <c r="CE406" s="21">
        <v>4</v>
      </c>
      <c r="CF406" s="21">
        <v>46</v>
      </c>
      <c r="CG406" s="42">
        <v>3</v>
      </c>
      <c r="CH406" s="21">
        <v>143</v>
      </c>
      <c r="CI406" s="21">
        <v>11</v>
      </c>
      <c r="CJ406" s="21">
        <v>17</v>
      </c>
      <c r="CK406" s="21">
        <v>63</v>
      </c>
      <c r="CL406" s="21">
        <v>11</v>
      </c>
      <c r="CM406" s="21">
        <v>10</v>
      </c>
      <c r="CN406" s="21">
        <v>0</v>
      </c>
      <c r="CO406" s="21">
        <v>0</v>
      </c>
      <c r="CP406" s="21">
        <f t="shared" si="655"/>
        <v>0</v>
      </c>
      <c r="CQ406" s="343">
        <f t="shared" si="656"/>
        <v>28.333333333333332</v>
      </c>
      <c r="CR406" s="40"/>
      <c r="CS406" s="39"/>
      <c r="CT406" s="38">
        <f t="shared" si="595"/>
        <v>0</v>
      </c>
      <c r="CU406" s="38">
        <f t="shared" si="596"/>
        <v>0</v>
      </c>
      <c r="CV406" s="38">
        <f t="shared" si="597"/>
        <v>0</v>
      </c>
      <c r="CW406" s="38">
        <f t="shared" si="598"/>
        <v>0</v>
      </c>
      <c r="CX406" s="38">
        <f t="shared" si="599"/>
        <v>0</v>
      </c>
      <c r="CY406" s="39">
        <f t="shared" si="600"/>
        <v>0</v>
      </c>
      <c r="CZ406" s="40">
        <f t="shared" si="601"/>
        <v>0</v>
      </c>
      <c r="DA406" s="40">
        <f t="shared" si="602"/>
        <v>0</v>
      </c>
      <c r="DB406" s="40">
        <f t="shared" si="603"/>
        <v>0</v>
      </c>
      <c r="DC406" s="40">
        <f t="shared" si="604"/>
        <v>0</v>
      </c>
      <c r="DD406" s="40">
        <f t="shared" si="605"/>
        <v>0</v>
      </c>
      <c r="DE406" s="40">
        <f t="shared" si="606"/>
        <v>5</v>
      </c>
      <c r="DF406" s="40">
        <f t="shared" si="607"/>
        <v>265</v>
      </c>
      <c r="DG406" s="40">
        <f t="shared" si="608"/>
        <v>214</v>
      </c>
      <c r="DH406" s="40">
        <f t="shared" si="609"/>
        <v>169</v>
      </c>
      <c r="DI406" s="40">
        <f t="shared" si="610"/>
        <v>158</v>
      </c>
      <c r="DJ406" s="40">
        <f t="shared" si="611"/>
        <v>263</v>
      </c>
      <c r="DK406" s="39">
        <f t="shared" si="612"/>
        <v>177</v>
      </c>
      <c r="DL406" s="40">
        <f t="shared" si="613"/>
        <v>569</v>
      </c>
      <c r="DM406" s="40">
        <f t="shared" si="614"/>
        <v>281</v>
      </c>
      <c r="DN406" s="40">
        <f t="shared" si="615"/>
        <v>105</v>
      </c>
      <c r="DO406" s="40">
        <f t="shared" si="616"/>
        <v>197</v>
      </c>
      <c r="DP406" s="40">
        <f t="shared" si="617"/>
        <v>101</v>
      </c>
      <c r="DQ406" s="40">
        <f t="shared" si="618"/>
        <v>102</v>
      </c>
      <c r="DR406" s="40">
        <f t="shared" si="623"/>
        <v>81</v>
      </c>
      <c r="DS406" s="40">
        <f t="shared" si="624"/>
        <v>2</v>
      </c>
      <c r="DT406" s="40">
        <f t="shared" si="619"/>
        <v>0</v>
      </c>
      <c r="DU406" s="40">
        <f t="shared" si="620"/>
        <v>29.333333333333332</v>
      </c>
      <c r="DV406" s="40">
        <f t="shared" si="621"/>
        <v>0</v>
      </c>
      <c r="DW406" s="40">
        <f t="shared" si="622"/>
        <v>0</v>
      </c>
    </row>
    <row r="407" spans="1:127">
      <c r="A407" s="22" t="s">
        <v>33</v>
      </c>
      <c r="B407" s="26">
        <v>4987176283832</v>
      </c>
      <c r="C407" s="22" t="s">
        <v>34</v>
      </c>
      <c r="D407" s="22" t="s">
        <v>35</v>
      </c>
      <c r="E407" s="22">
        <v>256583</v>
      </c>
      <c r="F407" s="80" t="s">
        <v>495</v>
      </c>
      <c r="G407" s="25">
        <v>235.29</v>
      </c>
      <c r="H407" s="38">
        <f t="shared" si="629"/>
        <v>0</v>
      </c>
      <c r="I407" s="38">
        <f t="shared" si="630"/>
        <v>0</v>
      </c>
      <c r="J407" s="38">
        <f t="shared" si="631"/>
        <v>0</v>
      </c>
      <c r="K407" s="38">
        <f t="shared" si="632"/>
        <v>0</v>
      </c>
      <c r="L407" s="38">
        <f t="shared" si="633"/>
        <v>0</v>
      </c>
      <c r="M407" s="39">
        <f t="shared" si="634"/>
        <v>0</v>
      </c>
      <c r="N407" s="40">
        <f t="shared" si="635"/>
        <v>0</v>
      </c>
      <c r="O407" s="40">
        <f t="shared" si="636"/>
        <v>0</v>
      </c>
      <c r="P407" s="40">
        <f t="shared" si="637"/>
        <v>0</v>
      </c>
      <c r="Q407" s="40">
        <f t="shared" si="638"/>
        <v>0</v>
      </c>
      <c r="R407" s="40">
        <f t="shared" si="639"/>
        <v>0</v>
      </c>
      <c r="S407" s="40">
        <f t="shared" si="640"/>
        <v>4235.22</v>
      </c>
      <c r="T407" s="40">
        <f t="shared" si="641"/>
        <v>71057.58</v>
      </c>
      <c r="U407" s="40">
        <f t="shared" si="642"/>
        <v>118821.45</v>
      </c>
      <c r="V407" s="40">
        <f t="shared" si="643"/>
        <v>110115.72</v>
      </c>
      <c r="W407" s="40">
        <f t="shared" si="644"/>
        <v>108468.69</v>
      </c>
      <c r="X407" s="40">
        <f t="shared" si="645"/>
        <v>160232.49</v>
      </c>
      <c r="Y407" s="39">
        <f t="shared" si="646"/>
        <v>74586.929999999993</v>
      </c>
      <c r="Z407" s="40">
        <f t="shared" si="647"/>
        <v>103998.18</v>
      </c>
      <c r="AA407" s="40">
        <f t="shared" si="648"/>
        <v>99057.09</v>
      </c>
      <c r="AB407" s="40">
        <f t="shared" si="649"/>
        <v>111056.87999999999</v>
      </c>
      <c r="AC407" s="40">
        <f t="shared" si="650"/>
        <v>74116.349999999991</v>
      </c>
      <c r="AD407" s="40">
        <f t="shared" si="651"/>
        <v>16235.01</v>
      </c>
      <c r="AE407" s="40">
        <f t="shared" si="652"/>
        <v>15529.14</v>
      </c>
      <c r="AF407" s="40">
        <f t="shared" si="653"/>
        <v>7058.7</v>
      </c>
      <c r="AG407" s="40">
        <f t="shared" si="654"/>
        <v>705.87</v>
      </c>
      <c r="AH407" s="40">
        <f t="shared" si="625"/>
        <v>0</v>
      </c>
      <c r="AI407" s="40">
        <f t="shared" si="626"/>
        <v>4104.5033333333331</v>
      </c>
      <c r="AJ407" s="40">
        <f t="shared" si="627"/>
        <v>0</v>
      </c>
      <c r="AK407" s="39">
        <f t="shared" si="628"/>
        <v>0</v>
      </c>
      <c r="AL407" s="38">
        <v>0</v>
      </c>
      <c r="AM407" s="38">
        <v>0</v>
      </c>
      <c r="AN407" s="38">
        <v>0</v>
      </c>
      <c r="AO407" s="38">
        <v>0</v>
      </c>
      <c r="AP407" s="38">
        <v>0</v>
      </c>
      <c r="AQ407" s="39">
        <v>0</v>
      </c>
      <c r="AR407" s="40">
        <v>0</v>
      </c>
      <c r="AS407" s="40">
        <v>0</v>
      </c>
      <c r="AT407" s="40">
        <v>0</v>
      </c>
      <c r="AU407" s="40">
        <v>0</v>
      </c>
      <c r="AV407" s="40">
        <v>0</v>
      </c>
      <c r="AW407" s="40">
        <v>0</v>
      </c>
      <c r="AX407" s="40">
        <v>264</v>
      </c>
      <c r="AY407" s="40">
        <v>405</v>
      </c>
      <c r="AZ407" s="40">
        <v>422</v>
      </c>
      <c r="BA407" s="40">
        <v>409</v>
      </c>
      <c r="BB407" s="40">
        <v>432</v>
      </c>
      <c r="BC407" s="39">
        <v>289</v>
      </c>
      <c r="BD407" s="40">
        <v>396</v>
      </c>
      <c r="BE407" s="40">
        <v>351</v>
      </c>
      <c r="BF407" s="40">
        <v>433</v>
      </c>
      <c r="BG407" s="40">
        <f>VLOOKUP(E407,'[1]Offline Offtake'!$G$522:$FL$619,161,0)</f>
        <v>313</v>
      </c>
      <c r="BH407" s="40">
        <v>69</v>
      </c>
      <c r="BI407" s="40">
        <v>66</v>
      </c>
      <c r="BJ407" s="40">
        <v>30</v>
      </c>
      <c r="BK407" s="40">
        <v>3</v>
      </c>
      <c r="BL407" s="40">
        <v>0</v>
      </c>
      <c r="BM407" s="40">
        <v>0</v>
      </c>
      <c r="BN407" s="40"/>
      <c r="BO407" s="39"/>
      <c r="BP407" s="21">
        <v>0</v>
      </c>
      <c r="BQ407" s="21">
        <v>0</v>
      </c>
      <c r="BR407" s="21">
        <v>0</v>
      </c>
      <c r="BS407" s="21">
        <v>0</v>
      </c>
      <c r="BT407" s="21">
        <v>0</v>
      </c>
      <c r="BU407" s="42">
        <v>0</v>
      </c>
      <c r="BV407" s="21">
        <v>0</v>
      </c>
      <c r="BW407" s="21">
        <v>0</v>
      </c>
      <c r="BX407" s="21">
        <v>0</v>
      </c>
      <c r="BY407" s="21">
        <v>0</v>
      </c>
      <c r="BZ407" s="21">
        <v>0</v>
      </c>
      <c r="CA407" s="21">
        <v>18</v>
      </c>
      <c r="CB407" s="21">
        <v>38</v>
      </c>
      <c r="CC407" s="21">
        <v>100</v>
      </c>
      <c r="CD407" s="21">
        <v>46</v>
      </c>
      <c r="CE407" s="21">
        <v>52</v>
      </c>
      <c r="CF407" s="21">
        <v>249</v>
      </c>
      <c r="CG407" s="42">
        <v>28</v>
      </c>
      <c r="CH407" s="21">
        <v>46</v>
      </c>
      <c r="CI407" s="21">
        <v>70</v>
      </c>
      <c r="CJ407" s="21">
        <v>39</v>
      </c>
      <c r="CK407" s="21">
        <v>2</v>
      </c>
      <c r="CL407" s="21">
        <v>0</v>
      </c>
      <c r="CM407" s="21">
        <v>0</v>
      </c>
      <c r="CN407" s="21">
        <v>0</v>
      </c>
      <c r="CO407" s="21">
        <v>0</v>
      </c>
      <c r="CP407" s="21">
        <f t="shared" si="655"/>
        <v>0</v>
      </c>
      <c r="CQ407" s="343">
        <f t="shared" si="656"/>
        <v>17.444444444444443</v>
      </c>
      <c r="CR407" s="40"/>
      <c r="CS407" s="39"/>
      <c r="CT407" s="38">
        <f t="shared" si="595"/>
        <v>0</v>
      </c>
      <c r="CU407" s="38">
        <f t="shared" si="596"/>
        <v>0</v>
      </c>
      <c r="CV407" s="38">
        <f t="shared" si="597"/>
        <v>0</v>
      </c>
      <c r="CW407" s="38">
        <f t="shared" si="598"/>
        <v>0</v>
      </c>
      <c r="CX407" s="38">
        <f t="shared" si="599"/>
        <v>0</v>
      </c>
      <c r="CY407" s="39">
        <f t="shared" si="600"/>
        <v>0</v>
      </c>
      <c r="CZ407" s="40">
        <f t="shared" si="601"/>
        <v>0</v>
      </c>
      <c r="DA407" s="40">
        <f t="shared" si="602"/>
        <v>0</v>
      </c>
      <c r="DB407" s="40">
        <f t="shared" si="603"/>
        <v>0</v>
      </c>
      <c r="DC407" s="40">
        <f t="shared" si="604"/>
        <v>0</v>
      </c>
      <c r="DD407" s="40">
        <f t="shared" si="605"/>
        <v>0</v>
      </c>
      <c r="DE407" s="40">
        <f t="shared" si="606"/>
        <v>18</v>
      </c>
      <c r="DF407" s="40">
        <f t="shared" si="607"/>
        <v>302</v>
      </c>
      <c r="DG407" s="40">
        <f t="shared" si="608"/>
        <v>505</v>
      </c>
      <c r="DH407" s="40">
        <f t="shared" si="609"/>
        <v>468</v>
      </c>
      <c r="DI407" s="40">
        <f t="shared" si="610"/>
        <v>461</v>
      </c>
      <c r="DJ407" s="40">
        <f t="shared" si="611"/>
        <v>681</v>
      </c>
      <c r="DK407" s="39">
        <f t="shared" si="612"/>
        <v>317</v>
      </c>
      <c r="DL407" s="40">
        <f t="shared" si="613"/>
        <v>442</v>
      </c>
      <c r="DM407" s="40">
        <f t="shared" si="614"/>
        <v>421</v>
      </c>
      <c r="DN407" s="40">
        <f t="shared" si="615"/>
        <v>472</v>
      </c>
      <c r="DO407" s="40">
        <f t="shared" si="616"/>
        <v>315</v>
      </c>
      <c r="DP407" s="40">
        <f t="shared" si="617"/>
        <v>69</v>
      </c>
      <c r="DQ407" s="40">
        <f t="shared" si="618"/>
        <v>66</v>
      </c>
      <c r="DR407" s="40">
        <f t="shared" si="623"/>
        <v>30</v>
      </c>
      <c r="DS407" s="40">
        <f t="shared" si="624"/>
        <v>3</v>
      </c>
      <c r="DT407" s="40">
        <f t="shared" si="619"/>
        <v>0</v>
      </c>
      <c r="DU407" s="40">
        <f t="shared" si="620"/>
        <v>17.444444444444443</v>
      </c>
      <c r="DV407" s="40">
        <f t="shared" si="621"/>
        <v>0</v>
      </c>
      <c r="DW407" s="40">
        <f t="shared" si="622"/>
        <v>0</v>
      </c>
    </row>
    <row r="408" spans="1:127">
      <c r="A408" s="22" t="s">
        <v>33</v>
      </c>
      <c r="B408" s="26">
        <v>4987176283818</v>
      </c>
      <c r="C408" s="22" t="s">
        <v>34</v>
      </c>
      <c r="D408" s="22" t="s">
        <v>35</v>
      </c>
      <c r="E408" s="22">
        <v>256644</v>
      </c>
      <c r="F408" s="80" t="s">
        <v>496</v>
      </c>
      <c r="G408" s="25">
        <v>146.88</v>
      </c>
      <c r="H408" s="38">
        <f t="shared" si="629"/>
        <v>0</v>
      </c>
      <c r="I408" s="38">
        <f t="shared" si="630"/>
        <v>0</v>
      </c>
      <c r="J408" s="38">
        <f t="shared" si="631"/>
        <v>0</v>
      </c>
      <c r="K408" s="38">
        <f t="shared" si="632"/>
        <v>0</v>
      </c>
      <c r="L408" s="38">
        <f t="shared" si="633"/>
        <v>0</v>
      </c>
      <c r="M408" s="39">
        <f t="shared" si="634"/>
        <v>0</v>
      </c>
      <c r="N408" s="40">
        <f t="shared" si="635"/>
        <v>0</v>
      </c>
      <c r="O408" s="40">
        <f t="shared" si="636"/>
        <v>0</v>
      </c>
      <c r="P408" s="40">
        <f t="shared" si="637"/>
        <v>0</v>
      </c>
      <c r="Q408" s="40">
        <f t="shared" si="638"/>
        <v>0</v>
      </c>
      <c r="R408" s="40">
        <f t="shared" si="639"/>
        <v>0</v>
      </c>
      <c r="S408" s="40">
        <f t="shared" si="640"/>
        <v>1762.56</v>
      </c>
      <c r="T408" s="40">
        <f t="shared" si="641"/>
        <v>40098.239999999998</v>
      </c>
      <c r="U408" s="40">
        <f t="shared" si="642"/>
        <v>31872.959999999999</v>
      </c>
      <c r="V408" s="40">
        <f t="shared" si="643"/>
        <v>21150.720000000001</v>
      </c>
      <c r="W408" s="40">
        <f t="shared" si="644"/>
        <v>24088.32</v>
      </c>
      <c r="X408" s="40">
        <f t="shared" si="645"/>
        <v>55520.639999999999</v>
      </c>
      <c r="Y408" s="39">
        <f t="shared" si="646"/>
        <v>34663.68</v>
      </c>
      <c r="Z408" s="40">
        <f t="shared" si="647"/>
        <v>111481.92</v>
      </c>
      <c r="AA408" s="40">
        <f t="shared" si="648"/>
        <v>51408</v>
      </c>
      <c r="AB408" s="40">
        <f t="shared" si="649"/>
        <v>21885.119999999999</v>
      </c>
      <c r="AC408" s="40">
        <f t="shared" si="650"/>
        <v>32607.360000000001</v>
      </c>
      <c r="AD408" s="40">
        <f t="shared" si="651"/>
        <v>15128.64</v>
      </c>
      <c r="AE408" s="40">
        <f t="shared" si="652"/>
        <v>18360</v>
      </c>
      <c r="AF408" s="40">
        <f t="shared" si="653"/>
        <v>10134.719999999999</v>
      </c>
      <c r="AG408" s="40">
        <f t="shared" si="654"/>
        <v>587.52</v>
      </c>
      <c r="AH408" s="40">
        <f t="shared" si="625"/>
        <v>146.88</v>
      </c>
      <c r="AI408" s="40">
        <f t="shared" si="626"/>
        <v>3639.36</v>
      </c>
      <c r="AJ408" s="40">
        <f t="shared" si="627"/>
        <v>0</v>
      </c>
      <c r="AK408" s="39">
        <f t="shared" si="628"/>
        <v>0</v>
      </c>
      <c r="AL408" s="38">
        <v>0</v>
      </c>
      <c r="AM408" s="38">
        <v>0</v>
      </c>
      <c r="AN408" s="38">
        <v>0</v>
      </c>
      <c r="AO408" s="38">
        <v>0</v>
      </c>
      <c r="AP408" s="38">
        <v>0</v>
      </c>
      <c r="AQ408" s="39">
        <v>0</v>
      </c>
      <c r="AR408" s="40">
        <v>0</v>
      </c>
      <c r="AS408" s="40">
        <v>0</v>
      </c>
      <c r="AT408" s="40">
        <v>0</v>
      </c>
      <c r="AU408" s="40">
        <v>0</v>
      </c>
      <c r="AV408" s="40">
        <v>0</v>
      </c>
      <c r="AW408" s="40">
        <v>0</v>
      </c>
      <c r="AX408" s="40">
        <v>232</v>
      </c>
      <c r="AY408" s="40">
        <v>194</v>
      </c>
      <c r="AZ408" s="40">
        <v>134</v>
      </c>
      <c r="BA408" s="40">
        <v>151</v>
      </c>
      <c r="BB408" s="40">
        <v>295</v>
      </c>
      <c r="BC408" s="39">
        <v>225</v>
      </c>
      <c r="BD408" s="40">
        <v>636</v>
      </c>
      <c r="BE408" s="40">
        <v>331</v>
      </c>
      <c r="BF408" s="40">
        <v>128</v>
      </c>
      <c r="BG408" s="40">
        <f>VLOOKUP(E408,'[1]Offline Offtake'!$G$522:$FL$619,161,0)</f>
        <v>198</v>
      </c>
      <c r="BH408" s="40">
        <v>103</v>
      </c>
      <c r="BI408" s="40">
        <v>125</v>
      </c>
      <c r="BJ408" s="40">
        <v>69</v>
      </c>
      <c r="BK408" s="40">
        <v>4</v>
      </c>
      <c r="BL408" s="40">
        <v>1</v>
      </c>
      <c r="BM408" s="40">
        <v>4</v>
      </c>
      <c r="BN408" s="40"/>
      <c r="BO408" s="39"/>
      <c r="BP408" s="21">
        <v>0</v>
      </c>
      <c r="BQ408" s="21">
        <v>0</v>
      </c>
      <c r="BR408" s="21">
        <v>0</v>
      </c>
      <c r="BS408" s="21">
        <v>0</v>
      </c>
      <c r="BT408" s="21">
        <v>0</v>
      </c>
      <c r="BU408" s="42">
        <v>0</v>
      </c>
      <c r="BV408" s="21">
        <v>0</v>
      </c>
      <c r="BW408" s="21">
        <v>0</v>
      </c>
      <c r="BX408" s="21">
        <v>0</v>
      </c>
      <c r="BY408" s="21">
        <v>0</v>
      </c>
      <c r="BZ408" s="21">
        <v>0</v>
      </c>
      <c r="CA408" s="21">
        <v>12</v>
      </c>
      <c r="CB408" s="21">
        <v>41</v>
      </c>
      <c r="CC408" s="21">
        <v>23</v>
      </c>
      <c r="CD408" s="21">
        <v>10</v>
      </c>
      <c r="CE408" s="21">
        <v>13</v>
      </c>
      <c r="CF408" s="21">
        <v>83</v>
      </c>
      <c r="CG408" s="42">
        <v>11</v>
      </c>
      <c r="CH408" s="21">
        <v>123</v>
      </c>
      <c r="CI408" s="21">
        <v>19</v>
      </c>
      <c r="CJ408" s="21">
        <v>21</v>
      </c>
      <c r="CK408" s="21">
        <v>24</v>
      </c>
      <c r="CL408" s="21">
        <v>0</v>
      </c>
      <c r="CM408" s="21">
        <v>0</v>
      </c>
      <c r="CN408" s="21">
        <v>0</v>
      </c>
      <c r="CO408" s="21">
        <v>0</v>
      </c>
      <c r="CP408" s="21">
        <f t="shared" si="655"/>
        <v>0</v>
      </c>
      <c r="CQ408" s="343">
        <f t="shared" si="656"/>
        <v>20.777777777777779</v>
      </c>
      <c r="CR408" s="40"/>
      <c r="CS408" s="39"/>
      <c r="CT408" s="38">
        <f t="shared" si="595"/>
        <v>0</v>
      </c>
      <c r="CU408" s="38">
        <f t="shared" si="596"/>
        <v>0</v>
      </c>
      <c r="CV408" s="38">
        <f t="shared" si="597"/>
        <v>0</v>
      </c>
      <c r="CW408" s="38">
        <f t="shared" si="598"/>
        <v>0</v>
      </c>
      <c r="CX408" s="38">
        <f t="shared" si="599"/>
        <v>0</v>
      </c>
      <c r="CY408" s="39">
        <f t="shared" si="600"/>
        <v>0</v>
      </c>
      <c r="CZ408" s="40">
        <f t="shared" si="601"/>
        <v>0</v>
      </c>
      <c r="DA408" s="40">
        <f t="shared" si="602"/>
        <v>0</v>
      </c>
      <c r="DB408" s="40">
        <f t="shared" si="603"/>
        <v>0</v>
      </c>
      <c r="DC408" s="40">
        <f t="shared" si="604"/>
        <v>0</v>
      </c>
      <c r="DD408" s="40">
        <f t="shared" si="605"/>
        <v>0</v>
      </c>
      <c r="DE408" s="40">
        <f t="shared" si="606"/>
        <v>12</v>
      </c>
      <c r="DF408" s="40">
        <f t="shared" si="607"/>
        <v>273</v>
      </c>
      <c r="DG408" s="40">
        <f t="shared" si="608"/>
        <v>217</v>
      </c>
      <c r="DH408" s="40">
        <f t="shared" si="609"/>
        <v>144</v>
      </c>
      <c r="DI408" s="40">
        <f t="shared" si="610"/>
        <v>164</v>
      </c>
      <c r="DJ408" s="40">
        <f t="shared" si="611"/>
        <v>378</v>
      </c>
      <c r="DK408" s="39">
        <f t="shared" si="612"/>
        <v>236</v>
      </c>
      <c r="DL408" s="40">
        <f t="shared" si="613"/>
        <v>759</v>
      </c>
      <c r="DM408" s="40">
        <f t="shared" si="614"/>
        <v>350</v>
      </c>
      <c r="DN408" s="40">
        <f t="shared" si="615"/>
        <v>149</v>
      </c>
      <c r="DO408" s="40">
        <f t="shared" si="616"/>
        <v>222</v>
      </c>
      <c r="DP408" s="40">
        <f t="shared" si="617"/>
        <v>103</v>
      </c>
      <c r="DQ408" s="40">
        <f t="shared" si="618"/>
        <v>125</v>
      </c>
      <c r="DR408" s="40">
        <f t="shared" si="623"/>
        <v>69</v>
      </c>
      <c r="DS408" s="40">
        <f t="shared" si="624"/>
        <v>4</v>
      </c>
      <c r="DT408" s="40">
        <f t="shared" si="619"/>
        <v>1</v>
      </c>
      <c r="DU408" s="40">
        <f t="shared" si="620"/>
        <v>24.777777777777779</v>
      </c>
      <c r="DV408" s="40">
        <f t="shared" si="621"/>
        <v>0</v>
      </c>
      <c r="DW408" s="40">
        <f t="shared" si="622"/>
        <v>0</v>
      </c>
    </row>
    <row r="409" spans="1:127">
      <c r="A409" s="22" t="s">
        <v>33</v>
      </c>
      <c r="B409" s="26">
        <v>4987176283788</v>
      </c>
      <c r="C409" s="22" t="s">
        <v>34</v>
      </c>
      <c r="D409" s="22" t="s">
        <v>35</v>
      </c>
      <c r="E409" s="22">
        <v>256650</v>
      </c>
      <c r="F409" s="80" t="s">
        <v>497</v>
      </c>
      <c r="G409" s="25">
        <v>235.29</v>
      </c>
      <c r="H409" s="38">
        <f t="shared" si="629"/>
        <v>0</v>
      </c>
      <c r="I409" s="38">
        <f t="shared" si="630"/>
        <v>0</v>
      </c>
      <c r="J409" s="38">
        <f t="shared" si="631"/>
        <v>0</v>
      </c>
      <c r="K409" s="38">
        <f t="shared" si="632"/>
        <v>0</v>
      </c>
      <c r="L409" s="38">
        <f t="shared" si="633"/>
        <v>0</v>
      </c>
      <c r="M409" s="39">
        <f t="shared" si="634"/>
        <v>0</v>
      </c>
      <c r="N409" s="40">
        <f t="shared" si="635"/>
        <v>0</v>
      </c>
      <c r="O409" s="40">
        <f t="shared" si="636"/>
        <v>0</v>
      </c>
      <c r="P409" s="40">
        <f t="shared" si="637"/>
        <v>0</v>
      </c>
      <c r="Q409" s="40">
        <f t="shared" si="638"/>
        <v>0</v>
      </c>
      <c r="R409" s="40">
        <f t="shared" si="639"/>
        <v>0</v>
      </c>
      <c r="S409" s="40">
        <f t="shared" si="640"/>
        <v>1882.32</v>
      </c>
      <c r="T409" s="40">
        <f t="shared" si="641"/>
        <v>8235.15</v>
      </c>
      <c r="U409" s="40">
        <f t="shared" si="642"/>
        <v>19293.78</v>
      </c>
      <c r="V409" s="40">
        <f t="shared" si="643"/>
        <v>18823.2</v>
      </c>
      <c r="W409" s="40">
        <f t="shared" si="644"/>
        <v>19293.78</v>
      </c>
      <c r="X409" s="40">
        <f t="shared" si="645"/>
        <v>27058.35</v>
      </c>
      <c r="Y409" s="39">
        <f t="shared" si="646"/>
        <v>13646.82</v>
      </c>
      <c r="Z409" s="40">
        <f t="shared" si="647"/>
        <v>15529.14</v>
      </c>
      <c r="AA409" s="40">
        <f t="shared" si="648"/>
        <v>16705.59</v>
      </c>
      <c r="AB409" s="40">
        <f t="shared" si="649"/>
        <v>19293.78</v>
      </c>
      <c r="AC409" s="40">
        <f t="shared" si="650"/>
        <v>21881.969999999998</v>
      </c>
      <c r="AD409" s="40">
        <f t="shared" si="651"/>
        <v>5882.25</v>
      </c>
      <c r="AE409" s="40">
        <f t="shared" si="652"/>
        <v>6823.41</v>
      </c>
      <c r="AF409" s="40">
        <f t="shared" si="653"/>
        <v>4705.8</v>
      </c>
      <c r="AG409" s="40">
        <f t="shared" si="654"/>
        <v>235.29</v>
      </c>
      <c r="AH409" s="40">
        <f t="shared" si="625"/>
        <v>0</v>
      </c>
      <c r="AI409" s="40">
        <f t="shared" si="626"/>
        <v>2169.8966666666665</v>
      </c>
      <c r="AJ409" s="40">
        <f t="shared" si="627"/>
        <v>0</v>
      </c>
      <c r="AK409" s="39">
        <f t="shared" si="628"/>
        <v>0</v>
      </c>
      <c r="AL409" s="38">
        <v>0</v>
      </c>
      <c r="AM409" s="38">
        <v>0</v>
      </c>
      <c r="AN409" s="38">
        <v>0</v>
      </c>
      <c r="AO409" s="38">
        <v>0</v>
      </c>
      <c r="AP409" s="38">
        <v>0</v>
      </c>
      <c r="AQ409" s="39">
        <v>0</v>
      </c>
      <c r="AR409" s="40">
        <v>0</v>
      </c>
      <c r="AS409" s="40">
        <v>0</v>
      </c>
      <c r="AT409" s="40">
        <v>0</v>
      </c>
      <c r="AU409" s="40">
        <v>0</v>
      </c>
      <c r="AV409" s="40">
        <v>0</v>
      </c>
      <c r="AW409" s="40">
        <v>0</v>
      </c>
      <c r="AX409" s="40">
        <v>21</v>
      </c>
      <c r="AY409" s="40">
        <v>43</v>
      </c>
      <c r="AZ409" s="40">
        <v>58</v>
      </c>
      <c r="BA409" s="40">
        <v>59</v>
      </c>
      <c r="BB409" s="40">
        <v>40</v>
      </c>
      <c r="BC409" s="39">
        <v>45</v>
      </c>
      <c r="BD409" s="40">
        <v>53</v>
      </c>
      <c r="BE409" s="40">
        <v>50</v>
      </c>
      <c r="BF409" s="40">
        <v>57</v>
      </c>
      <c r="BG409" s="40">
        <f>VLOOKUP(E409,'[1]Offline Offtake'!$G$522:$FL$619,161,0)</f>
        <v>78</v>
      </c>
      <c r="BH409" s="40">
        <v>25</v>
      </c>
      <c r="BI409" s="40">
        <v>29</v>
      </c>
      <c r="BJ409" s="40">
        <v>20</v>
      </c>
      <c r="BK409" s="40">
        <v>1</v>
      </c>
      <c r="BL409" s="40">
        <v>0</v>
      </c>
      <c r="BM409" s="40">
        <v>1</v>
      </c>
      <c r="BN409" s="40"/>
      <c r="BO409" s="39"/>
      <c r="BP409" s="21">
        <v>0</v>
      </c>
      <c r="BQ409" s="21">
        <v>0</v>
      </c>
      <c r="BR409" s="21">
        <v>0</v>
      </c>
      <c r="BS409" s="21">
        <v>0</v>
      </c>
      <c r="BT409" s="21">
        <v>0</v>
      </c>
      <c r="BU409" s="42">
        <v>0</v>
      </c>
      <c r="BV409" s="21">
        <v>0</v>
      </c>
      <c r="BW409" s="21">
        <v>0</v>
      </c>
      <c r="BX409" s="21">
        <v>0</v>
      </c>
      <c r="BY409" s="21">
        <v>0</v>
      </c>
      <c r="BZ409" s="21">
        <v>0</v>
      </c>
      <c r="CA409" s="21">
        <v>8</v>
      </c>
      <c r="CB409" s="21">
        <v>14</v>
      </c>
      <c r="CC409" s="21">
        <v>39</v>
      </c>
      <c r="CD409" s="21">
        <v>22</v>
      </c>
      <c r="CE409" s="21">
        <v>23</v>
      </c>
      <c r="CF409" s="21">
        <v>75</v>
      </c>
      <c r="CG409" s="42">
        <v>13</v>
      </c>
      <c r="CH409" s="21">
        <v>13</v>
      </c>
      <c r="CI409" s="21">
        <v>21</v>
      </c>
      <c r="CJ409" s="21">
        <v>25</v>
      </c>
      <c r="CK409" s="21">
        <v>15</v>
      </c>
      <c r="CL409" s="21">
        <v>0</v>
      </c>
      <c r="CM409" s="21">
        <v>0</v>
      </c>
      <c r="CN409" s="21">
        <v>0</v>
      </c>
      <c r="CO409" s="21">
        <v>0</v>
      </c>
      <c r="CP409" s="21">
        <f t="shared" si="655"/>
        <v>0</v>
      </c>
      <c r="CQ409" s="343">
        <f t="shared" si="656"/>
        <v>8.2222222222222214</v>
      </c>
      <c r="CR409" s="40"/>
      <c r="CS409" s="39"/>
      <c r="CT409" s="38">
        <f t="shared" si="595"/>
        <v>0</v>
      </c>
      <c r="CU409" s="38">
        <f t="shared" si="596"/>
        <v>0</v>
      </c>
      <c r="CV409" s="38">
        <f t="shared" si="597"/>
        <v>0</v>
      </c>
      <c r="CW409" s="38">
        <f t="shared" si="598"/>
        <v>0</v>
      </c>
      <c r="CX409" s="38">
        <f t="shared" si="599"/>
        <v>0</v>
      </c>
      <c r="CY409" s="39">
        <f t="shared" si="600"/>
        <v>0</v>
      </c>
      <c r="CZ409" s="40">
        <f t="shared" si="601"/>
        <v>0</v>
      </c>
      <c r="DA409" s="40">
        <f t="shared" si="602"/>
        <v>0</v>
      </c>
      <c r="DB409" s="40">
        <f t="shared" si="603"/>
        <v>0</v>
      </c>
      <c r="DC409" s="40">
        <f t="shared" si="604"/>
        <v>0</v>
      </c>
      <c r="DD409" s="40">
        <f t="shared" si="605"/>
        <v>0</v>
      </c>
      <c r="DE409" s="40">
        <f t="shared" si="606"/>
        <v>8</v>
      </c>
      <c r="DF409" s="40">
        <f t="shared" si="607"/>
        <v>35</v>
      </c>
      <c r="DG409" s="40">
        <f t="shared" si="608"/>
        <v>82</v>
      </c>
      <c r="DH409" s="40">
        <f t="shared" si="609"/>
        <v>80</v>
      </c>
      <c r="DI409" s="40">
        <f t="shared" si="610"/>
        <v>82</v>
      </c>
      <c r="DJ409" s="40">
        <f t="shared" si="611"/>
        <v>115</v>
      </c>
      <c r="DK409" s="39">
        <f t="shared" si="612"/>
        <v>58</v>
      </c>
      <c r="DL409" s="40">
        <f t="shared" si="613"/>
        <v>66</v>
      </c>
      <c r="DM409" s="40">
        <f t="shared" si="614"/>
        <v>71</v>
      </c>
      <c r="DN409" s="40">
        <f t="shared" si="615"/>
        <v>82</v>
      </c>
      <c r="DO409" s="40">
        <f t="shared" si="616"/>
        <v>93</v>
      </c>
      <c r="DP409" s="40">
        <f t="shared" si="617"/>
        <v>25</v>
      </c>
      <c r="DQ409" s="40">
        <f t="shared" si="618"/>
        <v>29</v>
      </c>
      <c r="DR409" s="40">
        <f t="shared" si="623"/>
        <v>20</v>
      </c>
      <c r="DS409" s="40">
        <f t="shared" si="624"/>
        <v>1</v>
      </c>
      <c r="DT409" s="40">
        <f t="shared" si="619"/>
        <v>0</v>
      </c>
      <c r="DU409" s="40">
        <f t="shared" si="620"/>
        <v>9.2222222222222214</v>
      </c>
      <c r="DV409" s="40">
        <f t="shared" si="621"/>
        <v>0</v>
      </c>
      <c r="DW409" s="40">
        <f t="shared" si="622"/>
        <v>0</v>
      </c>
    </row>
    <row r="410" spans="1:127">
      <c r="A410" s="22" t="s">
        <v>33</v>
      </c>
      <c r="B410" s="26">
        <v>4987176283771</v>
      </c>
      <c r="C410" s="22" t="s">
        <v>34</v>
      </c>
      <c r="D410" s="22" t="s">
        <v>35</v>
      </c>
      <c r="E410" s="22">
        <v>256651</v>
      </c>
      <c r="F410" s="80" t="s">
        <v>498</v>
      </c>
      <c r="G410" s="25">
        <v>235.29</v>
      </c>
      <c r="H410" s="38">
        <f t="shared" si="629"/>
        <v>0</v>
      </c>
      <c r="I410" s="38">
        <f t="shared" si="630"/>
        <v>0</v>
      </c>
      <c r="J410" s="38">
        <f t="shared" si="631"/>
        <v>0</v>
      </c>
      <c r="K410" s="38">
        <f t="shared" si="632"/>
        <v>0</v>
      </c>
      <c r="L410" s="38">
        <f t="shared" si="633"/>
        <v>0</v>
      </c>
      <c r="M410" s="39">
        <f t="shared" si="634"/>
        <v>0</v>
      </c>
      <c r="N410" s="40">
        <f t="shared" si="635"/>
        <v>0</v>
      </c>
      <c r="O410" s="40">
        <f t="shared" si="636"/>
        <v>0</v>
      </c>
      <c r="P410" s="40">
        <f t="shared" si="637"/>
        <v>0</v>
      </c>
      <c r="Q410" s="40">
        <f t="shared" si="638"/>
        <v>0</v>
      </c>
      <c r="R410" s="40">
        <f t="shared" si="639"/>
        <v>0</v>
      </c>
      <c r="S410" s="40">
        <f t="shared" si="640"/>
        <v>2823.48</v>
      </c>
      <c r="T410" s="40">
        <f t="shared" si="641"/>
        <v>31058.28</v>
      </c>
      <c r="U410" s="40">
        <f t="shared" si="642"/>
        <v>43293.36</v>
      </c>
      <c r="V410" s="40">
        <f t="shared" si="643"/>
        <v>40940.46</v>
      </c>
      <c r="W410" s="40">
        <f t="shared" si="644"/>
        <v>43528.65</v>
      </c>
      <c r="X410" s="40">
        <f t="shared" si="645"/>
        <v>78822.149999999994</v>
      </c>
      <c r="Y410" s="39">
        <f t="shared" si="646"/>
        <v>36234.659999999996</v>
      </c>
      <c r="Z410" s="40">
        <f t="shared" si="647"/>
        <v>34352.339999999997</v>
      </c>
      <c r="AA410" s="40">
        <f t="shared" si="648"/>
        <v>39764.01</v>
      </c>
      <c r="AB410" s="40">
        <f t="shared" si="649"/>
        <v>54351.99</v>
      </c>
      <c r="AC410" s="40">
        <f t="shared" si="650"/>
        <v>41881.619999999995</v>
      </c>
      <c r="AD410" s="40">
        <f t="shared" si="651"/>
        <v>12940.949999999999</v>
      </c>
      <c r="AE410" s="40">
        <f t="shared" si="652"/>
        <v>14117.4</v>
      </c>
      <c r="AF410" s="40">
        <f t="shared" si="653"/>
        <v>6352.83</v>
      </c>
      <c r="AG410" s="40">
        <f t="shared" si="654"/>
        <v>235.29</v>
      </c>
      <c r="AH410" s="40">
        <f t="shared" si="625"/>
        <v>235.29</v>
      </c>
      <c r="AI410" s="40">
        <f t="shared" si="626"/>
        <v>2483.6166666666663</v>
      </c>
      <c r="AJ410" s="40">
        <f t="shared" si="627"/>
        <v>0</v>
      </c>
      <c r="AK410" s="39">
        <f t="shared" si="628"/>
        <v>0</v>
      </c>
      <c r="AL410" s="38">
        <v>0</v>
      </c>
      <c r="AM410" s="38">
        <v>0</v>
      </c>
      <c r="AN410" s="38">
        <v>0</v>
      </c>
      <c r="AO410" s="38">
        <v>0</v>
      </c>
      <c r="AP410" s="38">
        <v>0</v>
      </c>
      <c r="AQ410" s="39">
        <v>0</v>
      </c>
      <c r="AR410" s="40">
        <v>0</v>
      </c>
      <c r="AS410" s="40">
        <v>0</v>
      </c>
      <c r="AT410" s="40">
        <v>0</v>
      </c>
      <c r="AU410" s="40">
        <v>0</v>
      </c>
      <c r="AV410" s="40">
        <v>0</v>
      </c>
      <c r="AW410" s="40">
        <v>0</v>
      </c>
      <c r="AX410" s="40">
        <v>100</v>
      </c>
      <c r="AY410" s="40">
        <v>101</v>
      </c>
      <c r="AZ410" s="40">
        <v>135</v>
      </c>
      <c r="BA410" s="40">
        <v>161</v>
      </c>
      <c r="BB410" s="40">
        <v>148</v>
      </c>
      <c r="BC410" s="39">
        <v>122</v>
      </c>
      <c r="BD410" s="40">
        <v>126</v>
      </c>
      <c r="BE410" s="40">
        <v>133</v>
      </c>
      <c r="BF410" s="40">
        <v>196</v>
      </c>
      <c r="BG410" s="40">
        <f>VLOOKUP(E410,'[1]Offline Offtake'!$G$522:$FL$619,161,0)</f>
        <v>174</v>
      </c>
      <c r="BH410" s="40">
        <v>55</v>
      </c>
      <c r="BI410" s="40">
        <v>60</v>
      </c>
      <c r="BJ410" s="40">
        <v>27</v>
      </c>
      <c r="BK410" s="40">
        <v>1</v>
      </c>
      <c r="BL410" s="40">
        <v>1</v>
      </c>
      <c r="BM410" s="40">
        <v>0</v>
      </c>
      <c r="BN410" s="40"/>
      <c r="BO410" s="39"/>
      <c r="BP410" s="21">
        <v>0</v>
      </c>
      <c r="BQ410" s="21">
        <v>0</v>
      </c>
      <c r="BR410" s="21">
        <v>0</v>
      </c>
      <c r="BS410" s="21">
        <v>0</v>
      </c>
      <c r="BT410" s="21">
        <v>0</v>
      </c>
      <c r="BU410" s="42">
        <v>0</v>
      </c>
      <c r="BV410" s="21">
        <v>0</v>
      </c>
      <c r="BW410" s="21">
        <v>0</v>
      </c>
      <c r="BX410" s="21">
        <v>0</v>
      </c>
      <c r="BY410" s="21">
        <v>0</v>
      </c>
      <c r="BZ410" s="21">
        <v>0</v>
      </c>
      <c r="CA410" s="21">
        <v>12</v>
      </c>
      <c r="CB410" s="21">
        <v>32</v>
      </c>
      <c r="CC410" s="21">
        <v>83</v>
      </c>
      <c r="CD410" s="21">
        <v>39</v>
      </c>
      <c r="CE410" s="21">
        <v>24</v>
      </c>
      <c r="CF410" s="21">
        <v>187</v>
      </c>
      <c r="CG410" s="42">
        <v>32</v>
      </c>
      <c r="CH410" s="21">
        <v>20</v>
      </c>
      <c r="CI410" s="21">
        <v>36</v>
      </c>
      <c r="CJ410" s="21">
        <v>35</v>
      </c>
      <c r="CK410" s="21">
        <v>4</v>
      </c>
      <c r="CL410" s="21">
        <v>0</v>
      </c>
      <c r="CM410" s="21">
        <v>0</v>
      </c>
      <c r="CN410" s="21">
        <v>0</v>
      </c>
      <c r="CO410" s="21">
        <v>0</v>
      </c>
      <c r="CP410" s="21">
        <f t="shared" si="655"/>
        <v>0</v>
      </c>
      <c r="CQ410" s="343">
        <f t="shared" si="656"/>
        <v>10.555555555555555</v>
      </c>
      <c r="CR410" s="40"/>
      <c r="CS410" s="39"/>
      <c r="CT410" s="38">
        <f t="shared" si="595"/>
        <v>0</v>
      </c>
      <c r="CU410" s="38">
        <f t="shared" si="596"/>
        <v>0</v>
      </c>
      <c r="CV410" s="38">
        <f t="shared" si="597"/>
        <v>0</v>
      </c>
      <c r="CW410" s="38">
        <f t="shared" si="598"/>
        <v>0</v>
      </c>
      <c r="CX410" s="38">
        <f t="shared" si="599"/>
        <v>0</v>
      </c>
      <c r="CY410" s="39">
        <f t="shared" si="600"/>
        <v>0</v>
      </c>
      <c r="CZ410" s="40">
        <f t="shared" si="601"/>
        <v>0</v>
      </c>
      <c r="DA410" s="40">
        <f t="shared" si="602"/>
        <v>0</v>
      </c>
      <c r="DB410" s="40">
        <f t="shared" si="603"/>
        <v>0</v>
      </c>
      <c r="DC410" s="40">
        <f t="shared" si="604"/>
        <v>0</v>
      </c>
      <c r="DD410" s="40">
        <f t="shared" si="605"/>
        <v>0</v>
      </c>
      <c r="DE410" s="40">
        <f t="shared" si="606"/>
        <v>12</v>
      </c>
      <c r="DF410" s="40">
        <f t="shared" si="607"/>
        <v>132</v>
      </c>
      <c r="DG410" s="40">
        <f t="shared" si="608"/>
        <v>184</v>
      </c>
      <c r="DH410" s="40">
        <f t="shared" si="609"/>
        <v>174</v>
      </c>
      <c r="DI410" s="40">
        <f t="shared" si="610"/>
        <v>185</v>
      </c>
      <c r="DJ410" s="40">
        <f t="shared" si="611"/>
        <v>335</v>
      </c>
      <c r="DK410" s="39">
        <f t="shared" si="612"/>
        <v>154</v>
      </c>
      <c r="DL410" s="40">
        <f t="shared" si="613"/>
        <v>146</v>
      </c>
      <c r="DM410" s="40">
        <f t="shared" si="614"/>
        <v>169</v>
      </c>
      <c r="DN410" s="40">
        <f t="shared" si="615"/>
        <v>231</v>
      </c>
      <c r="DO410" s="40">
        <f t="shared" si="616"/>
        <v>178</v>
      </c>
      <c r="DP410" s="40">
        <f t="shared" si="617"/>
        <v>55</v>
      </c>
      <c r="DQ410" s="40">
        <f t="shared" si="618"/>
        <v>60</v>
      </c>
      <c r="DR410" s="40">
        <f t="shared" si="623"/>
        <v>27</v>
      </c>
      <c r="DS410" s="40">
        <f t="shared" si="624"/>
        <v>1</v>
      </c>
      <c r="DT410" s="40">
        <f t="shared" si="619"/>
        <v>1</v>
      </c>
      <c r="DU410" s="40">
        <f t="shared" si="620"/>
        <v>10.555555555555555</v>
      </c>
      <c r="DV410" s="40">
        <f t="shared" si="621"/>
        <v>0</v>
      </c>
      <c r="DW410" s="40">
        <f t="shared" si="622"/>
        <v>0</v>
      </c>
    </row>
    <row r="411" spans="1:127">
      <c r="A411" s="22" t="s">
        <v>33</v>
      </c>
      <c r="B411" s="26">
        <v>4987176277145</v>
      </c>
      <c r="C411" s="22" t="s">
        <v>34</v>
      </c>
      <c r="D411" s="22" t="s">
        <v>35</v>
      </c>
      <c r="E411" s="22">
        <v>256661</v>
      </c>
      <c r="F411" s="80" t="s">
        <v>499</v>
      </c>
      <c r="G411" s="25">
        <v>146.88</v>
      </c>
      <c r="H411" s="38">
        <f t="shared" si="629"/>
        <v>0</v>
      </c>
      <c r="I411" s="38">
        <f t="shared" si="630"/>
        <v>0</v>
      </c>
      <c r="J411" s="38">
        <f t="shared" si="631"/>
        <v>0</v>
      </c>
      <c r="K411" s="38">
        <f t="shared" si="632"/>
        <v>0</v>
      </c>
      <c r="L411" s="38">
        <f t="shared" si="633"/>
        <v>0</v>
      </c>
      <c r="M411" s="39">
        <f t="shared" si="634"/>
        <v>0</v>
      </c>
      <c r="N411" s="40">
        <f t="shared" si="635"/>
        <v>0</v>
      </c>
      <c r="O411" s="40">
        <f t="shared" si="636"/>
        <v>0</v>
      </c>
      <c r="P411" s="40">
        <f t="shared" si="637"/>
        <v>0</v>
      </c>
      <c r="Q411" s="40">
        <f t="shared" si="638"/>
        <v>0</v>
      </c>
      <c r="R411" s="40">
        <f t="shared" si="639"/>
        <v>0</v>
      </c>
      <c r="S411" s="40">
        <f t="shared" si="640"/>
        <v>0</v>
      </c>
      <c r="T411" s="40">
        <f t="shared" si="641"/>
        <v>48323.519999999997</v>
      </c>
      <c r="U411" s="40">
        <f t="shared" si="642"/>
        <v>32901.119999999995</v>
      </c>
      <c r="V411" s="40">
        <f t="shared" si="643"/>
        <v>29816.639999999999</v>
      </c>
      <c r="W411" s="40">
        <f t="shared" si="644"/>
        <v>59339.519999999997</v>
      </c>
      <c r="X411" s="40">
        <f t="shared" si="645"/>
        <v>63452.159999999996</v>
      </c>
      <c r="Y411" s="39">
        <f t="shared" si="646"/>
        <v>63158.400000000001</v>
      </c>
      <c r="Z411" s="40">
        <f t="shared" si="647"/>
        <v>263208.95999999996</v>
      </c>
      <c r="AA411" s="40">
        <f t="shared" si="648"/>
        <v>124701.12</v>
      </c>
      <c r="AB411" s="40">
        <f t="shared" si="649"/>
        <v>41273.279999999999</v>
      </c>
      <c r="AC411" s="40">
        <f t="shared" si="650"/>
        <v>68592.959999999992</v>
      </c>
      <c r="AD411" s="40">
        <f t="shared" si="651"/>
        <v>31872.959999999999</v>
      </c>
      <c r="AE411" s="40">
        <f t="shared" si="652"/>
        <v>42154.559999999998</v>
      </c>
      <c r="AF411" s="40">
        <f t="shared" si="653"/>
        <v>24969.599999999999</v>
      </c>
      <c r="AG411" s="40">
        <f t="shared" si="654"/>
        <v>0</v>
      </c>
      <c r="AH411" s="40">
        <f t="shared" si="625"/>
        <v>146.88</v>
      </c>
      <c r="AI411" s="40">
        <f t="shared" si="626"/>
        <v>4814.3999999999996</v>
      </c>
      <c r="AJ411" s="40">
        <f t="shared" si="627"/>
        <v>0</v>
      </c>
      <c r="AK411" s="39">
        <f t="shared" si="628"/>
        <v>0</v>
      </c>
      <c r="AL411" s="38">
        <v>0</v>
      </c>
      <c r="AM411" s="38">
        <v>0</v>
      </c>
      <c r="AN411" s="38">
        <v>0</v>
      </c>
      <c r="AO411" s="38">
        <v>0</v>
      </c>
      <c r="AP411" s="38">
        <v>0</v>
      </c>
      <c r="AQ411" s="39">
        <v>0</v>
      </c>
      <c r="AR411" s="40">
        <v>0</v>
      </c>
      <c r="AS411" s="40">
        <v>0</v>
      </c>
      <c r="AT411" s="40">
        <v>0</v>
      </c>
      <c r="AU411" s="40">
        <v>0</v>
      </c>
      <c r="AV411" s="40">
        <v>0</v>
      </c>
      <c r="AW411" s="40">
        <v>0</v>
      </c>
      <c r="AX411" s="40">
        <v>315</v>
      </c>
      <c r="AY411" s="40">
        <v>215</v>
      </c>
      <c r="AZ411" s="40">
        <v>195</v>
      </c>
      <c r="BA411" s="40">
        <v>390</v>
      </c>
      <c r="BB411" s="40">
        <v>399</v>
      </c>
      <c r="BC411" s="39">
        <v>418</v>
      </c>
      <c r="BD411" s="40">
        <v>1610</v>
      </c>
      <c r="BE411" s="40">
        <v>834</v>
      </c>
      <c r="BF411" s="40">
        <v>273</v>
      </c>
      <c r="BG411" s="40">
        <f>VLOOKUP(E411,'[1]Offline Offtake'!$G$522:$FL$619,161,0)</f>
        <v>395</v>
      </c>
      <c r="BH411" s="40">
        <v>217</v>
      </c>
      <c r="BI411" s="40">
        <v>287</v>
      </c>
      <c r="BJ411" s="40">
        <v>170</v>
      </c>
      <c r="BK411" s="40">
        <v>0</v>
      </c>
      <c r="BL411" s="40">
        <v>1</v>
      </c>
      <c r="BM411" s="40">
        <v>2</v>
      </c>
      <c r="BN411" s="40"/>
      <c r="BO411" s="39"/>
      <c r="BP411" s="21">
        <v>0</v>
      </c>
      <c r="BQ411" s="21">
        <v>0</v>
      </c>
      <c r="BR411" s="21">
        <v>0</v>
      </c>
      <c r="BS411" s="21">
        <v>0</v>
      </c>
      <c r="BT411" s="21">
        <v>0</v>
      </c>
      <c r="BU411" s="42">
        <v>0</v>
      </c>
      <c r="BV411" s="21">
        <v>0</v>
      </c>
      <c r="BW411" s="21">
        <v>0</v>
      </c>
      <c r="BX411" s="21">
        <v>0</v>
      </c>
      <c r="BY411" s="21">
        <v>0</v>
      </c>
      <c r="BZ411" s="21">
        <v>0</v>
      </c>
      <c r="CA411" s="21">
        <v>0</v>
      </c>
      <c r="CB411" s="21">
        <v>14</v>
      </c>
      <c r="CC411" s="21">
        <v>9</v>
      </c>
      <c r="CD411" s="21">
        <v>8</v>
      </c>
      <c r="CE411" s="21">
        <v>14</v>
      </c>
      <c r="CF411" s="21">
        <v>33</v>
      </c>
      <c r="CG411" s="42">
        <v>12</v>
      </c>
      <c r="CH411" s="21">
        <v>182</v>
      </c>
      <c r="CI411" s="21">
        <v>15</v>
      </c>
      <c r="CJ411" s="21">
        <v>8</v>
      </c>
      <c r="CK411" s="21">
        <v>72</v>
      </c>
      <c r="CL411" s="21">
        <v>0</v>
      </c>
      <c r="CM411" s="21">
        <v>0</v>
      </c>
      <c r="CN411" s="21">
        <v>0</v>
      </c>
      <c r="CO411" s="21">
        <v>0</v>
      </c>
      <c r="CP411" s="21">
        <f t="shared" si="655"/>
        <v>0</v>
      </c>
      <c r="CQ411" s="343">
        <f t="shared" si="656"/>
        <v>30.777777777777779</v>
      </c>
      <c r="CR411" s="40"/>
      <c r="CS411" s="39"/>
      <c r="CT411" s="38">
        <f t="shared" si="595"/>
        <v>0</v>
      </c>
      <c r="CU411" s="38">
        <f t="shared" si="596"/>
        <v>0</v>
      </c>
      <c r="CV411" s="38">
        <f t="shared" si="597"/>
        <v>0</v>
      </c>
      <c r="CW411" s="38">
        <f t="shared" si="598"/>
        <v>0</v>
      </c>
      <c r="CX411" s="38">
        <f t="shared" si="599"/>
        <v>0</v>
      </c>
      <c r="CY411" s="39">
        <f t="shared" si="600"/>
        <v>0</v>
      </c>
      <c r="CZ411" s="40">
        <f t="shared" si="601"/>
        <v>0</v>
      </c>
      <c r="DA411" s="40">
        <f t="shared" si="602"/>
        <v>0</v>
      </c>
      <c r="DB411" s="40">
        <f t="shared" si="603"/>
        <v>0</v>
      </c>
      <c r="DC411" s="40">
        <f t="shared" si="604"/>
        <v>0</v>
      </c>
      <c r="DD411" s="40">
        <f t="shared" si="605"/>
        <v>0</v>
      </c>
      <c r="DE411" s="40">
        <f t="shared" si="606"/>
        <v>0</v>
      </c>
      <c r="DF411" s="40">
        <f t="shared" si="607"/>
        <v>329</v>
      </c>
      <c r="DG411" s="40">
        <f t="shared" si="608"/>
        <v>224</v>
      </c>
      <c r="DH411" s="40">
        <f t="shared" si="609"/>
        <v>203</v>
      </c>
      <c r="DI411" s="40">
        <f t="shared" si="610"/>
        <v>404</v>
      </c>
      <c r="DJ411" s="40">
        <f t="shared" si="611"/>
        <v>432</v>
      </c>
      <c r="DK411" s="39">
        <f t="shared" si="612"/>
        <v>430</v>
      </c>
      <c r="DL411" s="40">
        <f t="shared" si="613"/>
        <v>1792</v>
      </c>
      <c r="DM411" s="40">
        <f t="shared" si="614"/>
        <v>849</v>
      </c>
      <c r="DN411" s="40">
        <f t="shared" si="615"/>
        <v>281</v>
      </c>
      <c r="DO411" s="40">
        <f t="shared" si="616"/>
        <v>467</v>
      </c>
      <c r="DP411" s="40">
        <f t="shared" si="617"/>
        <v>217</v>
      </c>
      <c r="DQ411" s="40">
        <f t="shared" si="618"/>
        <v>287</v>
      </c>
      <c r="DR411" s="40">
        <f t="shared" si="623"/>
        <v>170</v>
      </c>
      <c r="DS411" s="40">
        <f t="shared" si="624"/>
        <v>0</v>
      </c>
      <c r="DT411" s="40">
        <f t="shared" si="619"/>
        <v>1</v>
      </c>
      <c r="DU411" s="40">
        <f t="shared" si="620"/>
        <v>32.777777777777779</v>
      </c>
      <c r="DV411" s="40">
        <f t="shared" si="621"/>
        <v>0</v>
      </c>
      <c r="DW411" s="40">
        <f t="shared" si="622"/>
        <v>0</v>
      </c>
    </row>
    <row r="412" spans="1:127">
      <c r="A412" s="22" t="s">
        <v>33</v>
      </c>
      <c r="B412" s="26">
        <v>4987176283856</v>
      </c>
      <c r="C412" s="22" t="s">
        <v>34</v>
      </c>
      <c r="D412" s="22" t="s">
        <v>35</v>
      </c>
      <c r="E412" s="22">
        <v>256701</v>
      </c>
      <c r="F412" s="80" t="s">
        <v>500</v>
      </c>
      <c r="G412" s="25">
        <v>235.29</v>
      </c>
      <c r="H412" s="38">
        <f t="shared" si="629"/>
        <v>0</v>
      </c>
      <c r="I412" s="38">
        <f t="shared" si="630"/>
        <v>0</v>
      </c>
      <c r="J412" s="38">
        <f t="shared" si="631"/>
        <v>0</v>
      </c>
      <c r="K412" s="38">
        <f t="shared" si="632"/>
        <v>0</v>
      </c>
      <c r="L412" s="38">
        <f t="shared" si="633"/>
        <v>0</v>
      </c>
      <c r="M412" s="39">
        <f t="shared" si="634"/>
        <v>0</v>
      </c>
      <c r="N412" s="40">
        <f t="shared" si="635"/>
        <v>0</v>
      </c>
      <c r="O412" s="40">
        <f t="shared" si="636"/>
        <v>0</v>
      </c>
      <c r="P412" s="40">
        <f t="shared" si="637"/>
        <v>0</v>
      </c>
      <c r="Q412" s="40">
        <f t="shared" si="638"/>
        <v>0</v>
      </c>
      <c r="R412" s="40">
        <f t="shared" si="639"/>
        <v>0</v>
      </c>
      <c r="S412" s="40">
        <f t="shared" si="640"/>
        <v>11529.21</v>
      </c>
      <c r="T412" s="40">
        <f t="shared" si="641"/>
        <v>101645.28</v>
      </c>
      <c r="U412" s="40">
        <f t="shared" si="642"/>
        <v>156703.13999999998</v>
      </c>
      <c r="V412" s="40">
        <f t="shared" si="643"/>
        <v>120233.19</v>
      </c>
      <c r="W412" s="40">
        <f t="shared" si="644"/>
        <v>157409.00999999998</v>
      </c>
      <c r="X412" s="40">
        <f t="shared" si="645"/>
        <v>214584.47999999998</v>
      </c>
      <c r="Y412" s="39">
        <f t="shared" si="646"/>
        <v>127291.89</v>
      </c>
      <c r="Z412" s="40">
        <f t="shared" si="647"/>
        <v>162350.1</v>
      </c>
      <c r="AA412" s="40">
        <f t="shared" si="648"/>
        <v>154114.94999999998</v>
      </c>
      <c r="AB412" s="40">
        <f t="shared" si="649"/>
        <v>152938.5</v>
      </c>
      <c r="AC412" s="40">
        <f t="shared" si="650"/>
        <v>79528.02</v>
      </c>
      <c r="AD412" s="40">
        <f t="shared" si="651"/>
        <v>13882.109999999999</v>
      </c>
      <c r="AE412" s="40">
        <f t="shared" si="652"/>
        <v>14117.4</v>
      </c>
      <c r="AF412" s="40">
        <f t="shared" si="653"/>
        <v>4235.22</v>
      </c>
      <c r="AG412" s="40">
        <f t="shared" si="654"/>
        <v>235.29</v>
      </c>
      <c r="AH412" s="40">
        <f t="shared" si="625"/>
        <v>470.58</v>
      </c>
      <c r="AI412" s="40">
        <f t="shared" si="626"/>
        <v>5359.3833333333332</v>
      </c>
      <c r="AJ412" s="40">
        <f t="shared" si="627"/>
        <v>0</v>
      </c>
      <c r="AK412" s="39">
        <f t="shared" si="628"/>
        <v>0</v>
      </c>
      <c r="AL412" s="38">
        <v>0</v>
      </c>
      <c r="AM412" s="38">
        <v>0</v>
      </c>
      <c r="AN412" s="38">
        <v>0</v>
      </c>
      <c r="AO412" s="38">
        <v>0</v>
      </c>
      <c r="AP412" s="38">
        <v>0</v>
      </c>
      <c r="AQ412" s="39">
        <v>0</v>
      </c>
      <c r="AR412" s="40">
        <v>0</v>
      </c>
      <c r="AS412" s="40">
        <v>0</v>
      </c>
      <c r="AT412" s="40">
        <v>0</v>
      </c>
      <c r="AU412" s="40">
        <v>0</v>
      </c>
      <c r="AV412" s="40">
        <v>0</v>
      </c>
      <c r="AW412" s="40">
        <v>0</v>
      </c>
      <c r="AX412" s="40">
        <v>361</v>
      </c>
      <c r="AY412" s="40">
        <v>489</v>
      </c>
      <c r="AZ412" s="40">
        <v>434</v>
      </c>
      <c r="BA412" s="40">
        <v>600</v>
      </c>
      <c r="BB412" s="40">
        <v>583</v>
      </c>
      <c r="BC412" s="39">
        <v>463</v>
      </c>
      <c r="BD412" s="40">
        <v>641</v>
      </c>
      <c r="BE412" s="40">
        <v>548</v>
      </c>
      <c r="BF412" s="40">
        <v>610</v>
      </c>
      <c r="BG412" s="40">
        <f>VLOOKUP(E412,'[1]Offline Offtake'!$G$522:$FL$619,161,0)</f>
        <v>338</v>
      </c>
      <c r="BH412" s="40">
        <v>59</v>
      </c>
      <c r="BI412" s="40">
        <v>60</v>
      </c>
      <c r="BJ412" s="40">
        <v>18</v>
      </c>
      <c r="BK412" s="40">
        <v>1</v>
      </c>
      <c r="BL412" s="40">
        <v>2</v>
      </c>
      <c r="BM412" s="40">
        <v>1</v>
      </c>
      <c r="BN412" s="40"/>
      <c r="BO412" s="39"/>
      <c r="BP412" s="21">
        <v>0</v>
      </c>
      <c r="BQ412" s="21">
        <v>0</v>
      </c>
      <c r="BR412" s="21">
        <v>0</v>
      </c>
      <c r="BS412" s="21">
        <v>0</v>
      </c>
      <c r="BT412" s="21">
        <v>0</v>
      </c>
      <c r="BU412" s="42">
        <v>0</v>
      </c>
      <c r="BV412" s="21">
        <v>0</v>
      </c>
      <c r="BW412" s="21">
        <v>0</v>
      </c>
      <c r="BX412" s="21">
        <v>0</v>
      </c>
      <c r="BY412" s="21">
        <v>0</v>
      </c>
      <c r="BZ412" s="21">
        <v>0</v>
      </c>
      <c r="CA412" s="21">
        <v>49</v>
      </c>
      <c r="CB412" s="21">
        <v>71</v>
      </c>
      <c r="CC412" s="21">
        <v>177</v>
      </c>
      <c r="CD412" s="21">
        <v>77</v>
      </c>
      <c r="CE412" s="21">
        <v>69</v>
      </c>
      <c r="CF412" s="21">
        <v>329</v>
      </c>
      <c r="CG412" s="42">
        <v>78</v>
      </c>
      <c r="CH412" s="21">
        <v>49</v>
      </c>
      <c r="CI412" s="21">
        <v>107</v>
      </c>
      <c r="CJ412" s="21">
        <v>40</v>
      </c>
      <c r="CK412" s="21">
        <v>0</v>
      </c>
      <c r="CL412" s="21">
        <v>0</v>
      </c>
      <c r="CM412" s="21">
        <v>0</v>
      </c>
      <c r="CN412" s="21">
        <v>0</v>
      </c>
      <c r="CO412" s="21">
        <v>0</v>
      </c>
      <c r="CP412" s="21">
        <f t="shared" si="655"/>
        <v>0</v>
      </c>
      <c r="CQ412" s="343">
        <f t="shared" si="656"/>
        <v>21.777777777777779</v>
      </c>
      <c r="CR412" s="40"/>
      <c r="CS412" s="39"/>
      <c r="CT412" s="38">
        <f t="shared" si="595"/>
        <v>0</v>
      </c>
      <c r="CU412" s="38">
        <f t="shared" si="596"/>
        <v>0</v>
      </c>
      <c r="CV412" s="38">
        <f t="shared" si="597"/>
        <v>0</v>
      </c>
      <c r="CW412" s="38">
        <f t="shared" si="598"/>
        <v>0</v>
      </c>
      <c r="CX412" s="38">
        <f t="shared" si="599"/>
        <v>0</v>
      </c>
      <c r="CY412" s="39">
        <f t="shared" si="600"/>
        <v>0</v>
      </c>
      <c r="CZ412" s="40">
        <f t="shared" si="601"/>
        <v>0</v>
      </c>
      <c r="DA412" s="40">
        <f t="shared" si="602"/>
        <v>0</v>
      </c>
      <c r="DB412" s="40">
        <f t="shared" si="603"/>
        <v>0</v>
      </c>
      <c r="DC412" s="40">
        <f t="shared" si="604"/>
        <v>0</v>
      </c>
      <c r="DD412" s="40">
        <f t="shared" si="605"/>
        <v>0</v>
      </c>
      <c r="DE412" s="40">
        <f t="shared" si="606"/>
        <v>49</v>
      </c>
      <c r="DF412" s="40">
        <f t="shared" si="607"/>
        <v>432</v>
      </c>
      <c r="DG412" s="40">
        <f t="shared" si="608"/>
        <v>666</v>
      </c>
      <c r="DH412" s="40">
        <f t="shared" si="609"/>
        <v>511</v>
      </c>
      <c r="DI412" s="40">
        <f t="shared" si="610"/>
        <v>669</v>
      </c>
      <c r="DJ412" s="40">
        <f t="shared" si="611"/>
        <v>912</v>
      </c>
      <c r="DK412" s="39">
        <f t="shared" si="612"/>
        <v>541</v>
      </c>
      <c r="DL412" s="40">
        <f t="shared" si="613"/>
        <v>690</v>
      </c>
      <c r="DM412" s="40">
        <f t="shared" si="614"/>
        <v>655</v>
      </c>
      <c r="DN412" s="40">
        <f t="shared" si="615"/>
        <v>650</v>
      </c>
      <c r="DO412" s="40">
        <f t="shared" si="616"/>
        <v>338</v>
      </c>
      <c r="DP412" s="40">
        <f t="shared" si="617"/>
        <v>59</v>
      </c>
      <c r="DQ412" s="40">
        <f t="shared" si="618"/>
        <v>60</v>
      </c>
      <c r="DR412" s="40">
        <f t="shared" si="623"/>
        <v>18</v>
      </c>
      <c r="DS412" s="40">
        <f t="shared" si="624"/>
        <v>1</v>
      </c>
      <c r="DT412" s="40">
        <f t="shared" si="619"/>
        <v>2</v>
      </c>
      <c r="DU412" s="40">
        <f t="shared" si="620"/>
        <v>22.777777777777779</v>
      </c>
      <c r="DV412" s="40">
        <f t="shared" si="621"/>
        <v>0</v>
      </c>
      <c r="DW412" s="40">
        <f t="shared" si="622"/>
        <v>0</v>
      </c>
    </row>
    <row r="413" spans="1:127">
      <c r="A413" s="22" t="s">
        <v>33</v>
      </c>
      <c r="B413" s="26">
        <v>4987176280794</v>
      </c>
      <c r="C413" s="22" t="s">
        <v>34</v>
      </c>
      <c r="D413" s="22" t="s">
        <v>36</v>
      </c>
      <c r="E413" s="22">
        <v>264823</v>
      </c>
      <c r="F413" s="80" t="s">
        <v>501</v>
      </c>
      <c r="G413" s="25">
        <v>445.06350000000003</v>
      </c>
      <c r="H413" s="38">
        <f t="shared" si="629"/>
        <v>0</v>
      </c>
      <c r="I413" s="38">
        <f t="shared" si="630"/>
        <v>0</v>
      </c>
      <c r="J413" s="38">
        <f t="shared" si="631"/>
        <v>0</v>
      </c>
      <c r="K413" s="38">
        <f t="shared" si="632"/>
        <v>0</v>
      </c>
      <c r="L413" s="38">
        <f t="shared" si="633"/>
        <v>0</v>
      </c>
      <c r="M413" s="39">
        <f t="shared" si="634"/>
        <v>0</v>
      </c>
      <c r="N413" s="40">
        <f t="shared" si="635"/>
        <v>0</v>
      </c>
      <c r="O413" s="40">
        <f t="shared" si="636"/>
        <v>0</v>
      </c>
      <c r="P413" s="40">
        <f t="shared" si="637"/>
        <v>0</v>
      </c>
      <c r="Q413" s="40">
        <f t="shared" si="638"/>
        <v>0</v>
      </c>
      <c r="R413" s="40">
        <f t="shared" si="639"/>
        <v>0</v>
      </c>
      <c r="S413" s="40">
        <f t="shared" si="640"/>
        <v>0</v>
      </c>
      <c r="T413" s="40">
        <f t="shared" si="641"/>
        <v>0</v>
      </c>
      <c r="U413" s="40">
        <f t="shared" si="642"/>
        <v>0</v>
      </c>
      <c r="V413" s="40">
        <f t="shared" si="643"/>
        <v>0</v>
      </c>
      <c r="W413" s="40">
        <f t="shared" si="644"/>
        <v>469096.92900000006</v>
      </c>
      <c r="X413" s="40">
        <f t="shared" si="645"/>
        <v>864313.31700000004</v>
      </c>
      <c r="Y413" s="39">
        <f t="shared" si="646"/>
        <v>254576.32200000001</v>
      </c>
      <c r="Z413" s="40">
        <f t="shared" si="647"/>
        <v>537636.70799999998</v>
      </c>
      <c r="AA413" s="40">
        <f t="shared" si="648"/>
        <v>63644.080500000004</v>
      </c>
      <c r="AB413" s="40">
        <f t="shared" si="649"/>
        <v>33824.826000000001</v>
      </c>
      <c r="AC413" s="40">
        <f t="shared" si="650"/>
        <v>24033.429</v>
      </c>
      <c r="AD413" s="40">
        <f t="shared" si="651"/>
        <v>692963.86950000003</v>
      </c>
      <c r="AE413" s="40">
        <f t="shared" si="652"/>
        <v>2272049.1675</v>
      </c>
      <c r="AF413" s="40">
        <f t="shared" si="653"/>
        <v>759278.33100000001</v>
      </c>
      <c r="AG413" s="40">
        <f t="shared" si="654"/>
        <v>773965.42650000006</v>
      </c>
      <c r="AH413" s="40">
        <f t="shared" si="625"/>
        <v>582588.12150000001</v>
      </c>
      <c r="AI413" s="40">
        <f t="shared" si="626"/>
        <v>1577651.2045000002</v>
      </c>
      <c r="AJ413" s="40">
        <f t="shared" si="627"/>
        <v>0</v>
      </c>
      <c r="AK413" s="39">
        <f t="shared" si="628"/>
        <v>0</v>
      </c>
      <c r="AL413" s="38">
        <v>0</v>
      </c>
      <c r="AM413" s="38">
        <v>0</v>
      </c>
      <c r="AN413" s="38">
        <v>0</v>
      </c>
      <c r="AO413" s="38">
        <v>0</v>
      </c>
      <c r="AP413" s="38">
        <v>0</v>
      </c>
      <c r="AQ413" s="39">
        <v>0</v>
      </c>
      <c r="AR413" s="40">
        <v>0</v>
      </c>
      <c r="AS413" s="40">
        <v>0</v>
      </c>
      <c r="AT413" s="40">
        <v>0</v>
      </c>
      <c r="AU413" s="40">
        <v>0</v>
      </c>
      <c r="AV413" s="40">
        <v>0</v>
      </c>
      <c r="AW413" s="40">
        <v>0</v>
      </c>
      <c r="AX413" s="40">
        <v>0</v>
      </c>
      <c r="AY413" s="40">
        <v>0</v>
      </c>
      <c r="AZ413" s="40">
        <v>0</v>
      </c>
      <c r="BA413" s="40">
        <v>972</v>
      </c>
      <c r="BB413" s="40">
        <v>1656</v>
      </c>
      <c r="BC413" s="39">
        <v>384</v>
      </c>
      <c r="BD413" s="40">
        <v>1208</v>
      </c>
      <c r="BE413" s="40">
        <v>143</v>
      </c>
      <c r="BF413" s="40">
        <v>76</v>
      </c>
      <c r="BG413" s="40">
        <f>VLOOKUP(E413,'[1]Offline Offtake'!$G$522:$FL$619,161,0)</f>
        <v>54</v>
      </c>
      <c r="BH413" s="40">
        <v>1383</v>
      </c>
      <c r="BI413" s="40">
        <v>5009</v>
      </c>
      <c r="BJ413" s="40">
        <v>1369</v>
      </c>
      <c r="BK413" s="40">
        <v>1670</v>
      </c>
      <c r="BL413" s="40">
        <v>1240</v>
      </c>
      <c r="BM413" s="40">
        <v>3462</v>
      </c>
      <c r="BN413" s="40"/>
      <c r="BO413" s="39"/>
      <c r="BP413" s="21">
        <v>0</v>
      </c>
      <c r="BQ413" s="21">
        <v>0</v>
      </c>
      <c r="BR413" s="21">
        <v>0</v>
      </c>
      <c r="BS413" s="21">
        <v>0</v>
      </c>
      <c r="BT413" s="21">
        <v>0</v>
      </c>
      <c r="BU413" s="42">
        <v>0</v>
      </c>
      <c r="BV413" s="21">
        <v>0</v>
      </c>
      <c r="BW413" s="21">
        <v>0</v>
      </c>
      <c r="BX413" s="21">
        <v>0</v>
      </c>
      <c r="BY413" s="21">
        <v>0</v>
      </c>
      <c r="BZ413" s="21">
        <v>0</v>
      </c>
      <c r="CA413" s="21">
        <v>0</v>
      </c>
      <c r="CB413" s="21">
        <v>0</v>
      </c>
      <c r="CC413" s="21">
        <v>0</v>
      </c>
      <c r="CD413" s="21">
        <v>0</v>
      </c>
      <c r="CE413" s="21">
        <v>82</v>
      </c>
      <c r="CF413" s="21">
        <v>286</v>
      </c>
      <c r="CG413" s="42">
        <v>188</v>
      </c>
      <c r="CH413" s="21">
        <v>0</v>
      </c>
      <c r="CI413" s="21">
        <v>0</v>
      </c>
      <c r="CJ413" s="21">
        <v>0</v>
      </c>
      <c r="CK413" s="21">
        <v>0</v>
      </c>
      <c r="CL413" s="21">
        <v>174</v>
      </c>
      <c r="CM413" s="21">
        <v>96</v>
      </c>
      <c r="CN413" s="21">
        <v>337</v>
      </c>
      <c r="CO413" s="21">
        <v>69</v>
      </c>
      <c r="CP413" s="21">
        <f t="shared" si="655"/>
        <v>69</v>
      </c>
      <c r="CQ413" s="343">
        <f t="shared" si="656"/>
        <v>82.777777777777771</v>
      </c>
      <c r="CR413" s="40"/>
      <c r="CS413" s="39"/>
      <c r="CT413" s="38">
        <f t="shared" si="595"/>
        <v>0</v>
      </c>
      <c r="CU413" s="38">
        <f t="shared" si="596"/>
        <v>0</v>
      </c>
      <c r="CV413" s="38">
        <f t="shared" si="597"/>
        <v>0</v>
      </c>
      <c r="CW413" s="38">
        <f t="shared" si="598"/>
        <v>0</v>
      </c>
      <c r="CX413" s="38">
        <f t="shared" si="599"/>
        <v>0</v>
      </c>
      <c r="CY413" s="39">
        <f t="shared" si="600"/>
        <v>0</v>
      </c>
      <c r="CZ413" s="40">
        <f t="shared" si="601"/>
        <v>0</v>
      </c>
      <c r="DA413" s="40">
        <f t="shared" si="602"/>
        <v>0</v>
      </c>
      <c r="DB413" s="40">
        <f t="shared" si="603"/>
        <v>0</v>
      </c>
      <c r="DC413" s="40">
        <f t="shared" si="604"/>
        <v>0</v>
      </c>
      <c r="DD413" s="40">
        <f t="shared" si="605"/>
        <v>0</v>
      </c>
      <c r="DE413" s="40">
        <f t="shared" si="606"/>
        <v>0</v>
      </c>
      <c r="DF413" s="40">
        <f t="shared" si="607"/>
        <v>0</v>
      </c>
      <c r="DG413" s="40">
        <f t="shared" si="608"/>
        <v>0</v>
      </c>
      <c r="DH413" s="40">
        <f t="shared" si="609"/>
        <v>0</v>
      </c>
      <c r="DI413" s="40">
        <f t="shared" si="610"/>
        <v>1054</v>
      </c>
      <c r="DJ413" s="40">
        <f t="shared" si="611"/>
        <v>1942</v>
      </c>
      <c r="DK413" s="39">
        <f t="shared" si="612"/>
        <v>572</v>
      </c>
      <c r="DL413" s="40">
        <f t="shared" si="613"/>
        <v>1208</v>
      </c>
      <c r="DM413" s="40">
        <f t="shared" si="614"/>
        <v>143</v>
      </c>
      <c r="DN413" s="40">
        <f t="shared" si="615"/>
        <v>76</v>
      </c>
      <c r="DO413" s="40">
        <f t="shared" si="616"/>
        <v>54</v>
      </c>
      <c r="DP413" s="40">
        <f t="shared" si="617"/>
        <v>1557</v>
      </c>
      <c r="DQ413" s="40">
        <f t="shared" si="618"/>
        <v>5105</v>
      </c>
      <c r="DR413" s="40">
        <f t="shared" si="623"/>
        <v>1706</v>
      </c>
      <c r="DS413" s="40">
        <f t="shared" si="624"/>
        <v>1739</v>
      </c>
      <c r="DT413" s="40">
        <f t="shared" si="619"/>
        <v>1309</v>
      </c>
      <c r="DU413" s="40">
        <f t="shared" si="620"/>
        <v>3544.7777777777778</v>
      </c>
      <c r="DV413" s="40">
        <f t="shared" si="621"/>
        <v>0</v>
      </c>
      <c r="DW413" s="40">
        <f t="shared" si="622"/>
        <v>0</v>
      </c>
    </row>
    <row r="414" spans="1:127">
      <c r="A414" s="22" t="s">
        <v>33</v>
      </c>
      <c r="B414" s="26">
        <v>4987176280800</v>
      </c>
      <c r="C414" s="22" t="s">
        <v>34</v>
      </c>
      <c r="D414" s="22" t="s">
        <v>36</v>
      </c>
      <c r="E414" s="22">
        <v>264996</v>
      </c>
      <c r="F414" s="80" t="s">
        <v>502</v>
      </c>
      <c r="G414" s="25">
        <v>445.06350000000003</v>
      </c>
      <c r="H414" s="38">
        <f t="shared" si="629"/>
        <v>0</v>
      </c>
      <c r="I414" s="38">
        <f t="shared" si="630"/>
        <v>0</v>
      </c>
      <c r="J414" s="38">
        <f t="shared" si="631"/>
        <v>0</v>
      </c>
      <c r="K414" s="38">
        <f t="shared" si="632"/>
        <v>0</v>
      </c>
      <c r="L414" s="38">
        <f t="shared" si="633"/>
        <v>0</v>
      </c>
      <c r="M414" s="39">
        <f t="shared" si="634"/>
        <v>0</v>
      </c>
      <c r="N414" s="40">
        <f t="shared" si="635"/>
        <v>0</v>
      </c>
      <c r="O414" s="40">
        <f t="shared" si="636"/>
        <v>0</v>
      </c>
      <c r="P414" s="40">
        <f t="shared" si="637"/>
        <v>0</v>
      </c>
      <c r="Q414" s="40">
        <f t="shared" si="638"/>
        <v>0</v>
      </c>
      <c r="R414" s="40">
        <f t="shared" si="639"/>
        <v>0</v>
      </c>
      <c r="S414" s="40">
        <f t="shared" si="640"/>
        <v>0</v>
      </c>
      <c r="T414" s="40">
        <f t="shared" si="641"/>
        <v>0</v>
      </c>
      <c r="U414" s="40">
        <f t="shared" si="642"/>
        <v>0</v>
      </c>
      <c r="V414" s="40">
        <f t="shared" si="643"/>
        <v>445.06350000000003</v>
      </c>
      <c r="W414" s="40">
        <f t="shared" si="644"/>
        <v>446398.69050000003</v>
      </c>
      <c r="X414" s="40">
        <f t="shared" si="645"/>
        <v>881670.79350000003</v>
      </c>
      <c r="Y414" s="39">
        <f t="shared" si="646"/>
        <v>223866.94050000003</v>
      </c>
      <c r="Z414" s="40">
        <f t="shared" si="647"/>
        <v>587928.8835</v>
      </c>
      <c r="AA414" s="40">
        <f t="shared" si="648"/>
        <v>60973.699500000002</v>
      </c>
      <c r="AB414" s="40">
        <f t="shared" si="649"/>
        <v>46286.604000000007</v>
      </c>
      <c r="AC414" s="40">
        <f t="shared" si="650"/>
        <v>24033.429</v>
      </c>
      <c r="AD414" s="40">
        <f t="shared" si="651"/>
        <v>761503.64850000001</v>
      </c>
      <c r="AE414" s="40">
        <f t="shared" si="652"/>
        <v>2405123.1540000001</v>
      </c>
      <c r="AF414" s="40">
        <f t="shared" si="653"/>
        <v>832713.80850000004</v>
      </c>
      <c r="AG414" s="40">
        <f t="shared" si="654"/>
        <v>1065482.0190000001</v>
      </c>
      <c r="AH414" s="40">
        <f t="shared" si="625"/>
        <v>635995.7415</v>
      </c>
      <c r="AI414" s="40">
        <f t="shared" si="626"/>
        <v>2007236.3850000002</v>
      </c>
      <c r="AJ414" s="40">
        <f t="shared" si="627"/>
        <v>0</v>
      </c>
      <c r="AK414" s="39">
        <f t="shared" si="628"/>
        <v>0</v>
      </c>
      <c r="AL414" s="38">
        <v>0</v>
      </c>
      <c r="AM414" s="38">
        <v>0</v>
      </c>
      <c r="AN414" s="38">
        <v>0</v>
      </c>
      <c r="AO414" s="38">
        <v>0</v>
      </c>
      <c r="AP414" s="38">
        <v>0</v>
      </c>
      <c r="AQ414" s="39">
        <v>0</v>
      </c>
      <c r="AR414" s="40">
        <v>0</v>
      </c>
      <c r="AS414" s="40">
        <v>0</v>
      </c>
      <c r="AT414" s="40">
        <v>0</v>
      </c>
      <c r="AU414" s="40">
        <v>0</v>
      </c>
      <c r="AV414" s="40">
        <v>0</v>
      </c>
      <c r="AW414" s="40">
        <v>0</v>
      </c>
      <c r="AX414" s="40">
        <v>0</v>
      </c>
      <c r="AY414" s="40">
        <v>0</v>
      </c>
      <c r="AZ414" s="40">
        <v>0</v>
      </c>
      <c r="BA414" s="40">
        <v>917</v>
      </c>
      <c r="BB414" s="40">
        <v>1663</v>
      </c>
      <c r="BC414" s="39">
        <v>336</v>
      </c>
      <c r="BD414" s="40">
        <v>1320</v>
      </c>
      <c r="BE414" s="40">
        <v>137</v>
      </c>
      <c r="BF414" s="40">
        <v>104</v>
      </c>
      <c r="BG414" s="40">
        <f>VLOOKUP(E414,'[1]Offline Offtake'!$G$522:$FL$619,161,0)</f>
        <v>54</v>
      </c>
      <c r="BH414" s="40">
        <v>1473</v>
      </c>
      <c r="BI414" s="40">
        <v>5292</v>
      </c>
      <c r="BJ414" s="40">
        <v>1421</v>
      </c>
      <c r="BK414" s="40">
        <v>2295</v>
      </c>
      <c r="BL414" s="40">
        <v>1330</v>
      </c>
      <c r="BM414" s="40">
        <v>4399</v>
      </c>
      <c r="BN414" s="40"/>
      <c r="BO414" s="39"/>
      <c r="BP414" s="21">
        <v>0</v>
      </c>
      <c r="BQ414" s="21">
        <v>0</v>
      </c>
      <c r="BR414" s="21">
        <v>0</v>
      </c>
      <c r="BS414" s="21">
        <v>0</v>
      </c>
      <c r="BT414" s="21">
        <v>0</v>
      </c>
      <c r="BU414" s="42">
        <v>0</v>
      </c>
      <c r="BV414" s="21">
        <v>0</v>
      </c>
      <c r="BW414" s="21">
        <v>0</v>
      </c>
      <c r="BX414" s="21">
        <v>0</v>
      </c>
      <c r="BY414" s="21">
        <v>0</v>
      </c>
      <c r="BZ414" s="21">
        <v>0</v>
      </c>
      <c r="CA414" s="21">
        <v>0</v>
      </c>
      <c r="CB414" s="21">
        <v>0</v>
      </c>
      <c r="CC414" s="21">
        <v>0</v>
      </c>
      <c r="CD414" s="21">
        <v>1</v>
      </c>
      <c r="CE414" s="21">
        <v>86</v>
      </c>
      <c r="CF414" s="21">
        <v>318</v>
      </c>
      <c r="CG414" s="42">
        <v>167</v>
      </c>
      <c r="CH414" s="21">
        <v>1</v>
      </c>
      <c r="CI414" s="21">
        <v>0</v>
      </c>
      <c r="CJ414" s="21">
        <v>0</v>
      </c>
      <c r="CK414" s="21">
        <v>0</v>
      </c>
      <c r="CL414" s="21">
        <v>238</v>
      </c>
      <c r="CM414" s="21">
        <v>112</v>
      </c>
      <c r="CN414" s="21">
        <v>450</v>
      </c>
      <c r="CO414" s="21">
        <v>99</v>
      </c>
      <c r="CP414" s="21">
        <f t="shared" si="655"/>
        <v>99</v>
      </c>
      <c r="CQ414" s="343">
        <f t="shared" si="656"/>
        <v>111</v>
      </c>
      <c r="CR414" s="40"/>
      <c r="CS414" s="39"/>
      <c r="CT414" s="38">
        <f t="shared" si="595"/>
        <v>0</v>
      </c>
      <c r="CU414" s="38">
        <f t="shared" si="596"/>
        <v>0</v>
      </c>
      <c r="CV414" s="38">
        <f t="shared" si="597"/>
        <v>0</v>
      </c>
      <c r="CW414" s="38">
        <f t="shared" si="598"/>
        <v>0</v>
      </c>
      <c r="CX414" s="38">
        <f t="shared" si="599"/>
        <v>0</v>
      </c>
      <c r="CY414" s="39">
        <f t="shared" si="600"/>
        <v>0</v>
      </c>
      <c r="CZ414" s="40">
        <f t="shared" si="601"/>
        <v>0</v>
      </c>
      <c r="DA414" s="40">
        <f t="shared" si="602"/>
        <v>0</v>
      </c>
      <c r="DB414" s="40">
        <f t="shared" si="603"/>
        <v>0</v>
      </c>
      <c r="DC414" s="40">
        <f t="shared" si="604"/>
        <v>0</v>
      </c>
      <c r="DD414" s="40">
        <f t="shared" si="605"/>
        <v>0</v>
      </c>
      <c r="DE414" s="40">
        <f t="shared" si="606"/>
        <v>0</v>
      </c>
      <c r="DF414" s="40">
        <f t="shared" si="607"/>
        <v>0</v>
      </c>
      <c r="DG414" s="40">
        <f t="shared" si="608"/>
        <v>0</v>
      </c>
      <c r="DH414" s="40">
        <f t="shared" si="609"/>
        <v>1</v>
      </c>
      <c r="DI414" s="40">
        <f t="shared" si="610"/>
        <v>1003</v>
      </c>
      <c r="DJ414" s="40">
        <f t="shared" si="611"/>
        <v>1981</v>
      </c>
      <c r="DK414" s="39">
        <f t="shared" si="612"/>
        <v>503</v>
      </c>
      <c r="DL414" s="40">
        <f t="shared" si="613"/>
        <v>1321</v>
      </c>
      <c r="DM414" s="40">
        <f t="shared" si="614"/>
        <v>137</v>
      </c>
      <c r="DN414" s="40">
        <f t="shared" si="615"/>
        <v>104</v>
      </c>
      <c r="DO414" s="40">
        <f t="shared" si="616"/>
        <v>54</v>
      </c>
      <c r="DP414" s="40">
        <f t="shared" si="617"/>
        <v>1711</v>
      </c>
      <c r="DQ414" s="40">
        <f t="shared" si="618"/>
        <v>5404</v>
      </c>
      <c r="DR414" s="40">
        <f t="shared" si="623"/>
        <v>1871</v>
      </c>
      <c r="DS414" s="40">
        <f t="shared" si="624"/>
        <v>2394</v>
      </c>
      <c r="DT414" s="40">
        <f t="shared" si="619"/>
        <v>1429</v>
      </c>
      <c r="DU414" s="40">
        <f t="shared" si="620"/>
        <v>4510</v>
      </c>
      <c r="DV414" s="40">
        <f t="shared" si="621"/>
        <v>0</v>
      </c>
      <c r="DW414" s="40">
        <f t="shared" si="622"/>
        <v>0</v>
      </c>
    </row>
    <row r="415" spans="1:127">
      <c r="A415" s="22" t="s">
        <v>33</v>
      </c>
      <c r="B415" s="26">
        <v>4987176351104</v>
      </c>
      <c r="C415" s="22" t="s">
        <v>34</v>
      </c>
      <c r="D415" s="22" t="s">
        <v>36</v>
      </c>
      <c r="E415" s="22">
        <v>275083</v>
      </c>
      <c r="F415" s="80" t="s">
        <v>503</v>
      </c>
      <c r="G415" s="25">
        <v>109.3</v>
      </c>
      <c r="H415" s="38">
        <f t="shared" si="629"/>
        <v>0</v>
      </c>
      <c r="I415" s="38">
        <f t="shared" si="630"/>
        <v>0</v>
      </c>
      <c r="J415" s="38">
        <f t="shared" si="631"/>
        <v>0</v>
      </c>
      <c r="K415" s="38">
        <f t="shared" si="632"/>
        <v>0</v>
      </c>
      <c r="L415" s="38">
        <f t="shared" si="633"/>
        <v>0</v>
      </c>
      <c r="M415" s="39">
        <f t="shared" si="634"/>
        <v>0</v>
      </c>
      <c r="N415" s="40">
        <f t="shared" si="635"/>
        <v>0</v>
      </c>
      <c r="O415" s="40">
        <f t="shared" si="636"/>
        <v>0</v>
      </c>
      <c r="P415" s="40">
        <f t="shared" si="637"/>
        <v>0</v>
      </c>
      <c r="Q415" s="40">
        <f t="shared" si="638"/>
        <v>0</v>
      </c>
      <c r="R415" s="40">
        <f t="shared" si="639"/>
        <v>0</v>
      </c>
      <c r="S415" s="40">
        <f t="shared" si="640"/>
        <v>0</v>
      </c>
      <c r="T415" s="40">
        <f t="shared" si="641"/>
        <v>0</v>
      </c>
      <c r="U415" s="40">
        <f t="shared" si="642"/>
        <v>0</v>
      </c>
      <c r="V415" s="40">
        <f t="shared" si="643"/>
        <v>0</v>
      </c>
      <c r="W415" s="40">
        <f t="shared" si="644"/>
        <v>0</v>
      </c>
      <c r="X415" s="40">
        <f t="shared" si="645"/>
        <v>0</v>
      </c>
      <c r="Y415" s="39">
        <f t="shared" si="646"/>
        <v>0</v>
      </c>
      <c r="Z415" s="40">
        <f t="shared" si="647"/>
        <v>0</v>
      </c>
      <c r="AA415" s="40">
        <f t="shared" si="648"/>
        <v>0</v>
      </c>
      <c r="AB415" s="40">
        <f t="shared" si="649"/>
        <v>0</v>
      </c>
      <c r="AC415" s="40">
        <f t="shared" si="650"/>
        <v>14099.699999999999</v>
      </c>
      <c r="AD415" s="40">
        <f t="shared" si="651"/>
        <v>32790</v>
      </c>
      <c r="AE415" s="40">
        <f t="shared" si="652"/>
        <v>314018.89999999997</v>
      </c>
      <c r="AF415" s="40">
        <f t="shared" si="653"/>
        <v>254450.4</v>
      </c>
      <c r="AG415" s="40">
        <f t="shared" si="654"/>
        <v>43173.5</v>
      </c>
      <c r="AH415" s="40">
        <f t="shared" si="625"/>
        <v>387796.39999999997</v>
      </c>
      <c r="AI415" s="40">
        <f t="shared" si="626"/>
        <v>318815.95555555553</v>
      </c>
      <c r="AJ415" s="40">
        <f t="shared" si="627"/>
        <v>0</v>
      </c>
      <c r="AK415" s="39">
        <f t="shared" si="628"/>
        <v>0</v>
      </c>
      <c r="AL415" s="38">
        <v>0</v>
      </c>
      <c r="AM415" s="38">
        <v>0</v>
      </c>
      <c r="AN415" s="38">
        <v>0</v>
      </c>
      <c r="AO415" s="38">
        <v>0</v>
      </c>
      <c r="AP415" s="38">
        <v>0</v>
      </c>
      <c r="AQ415" s="39">
        <v>0</v>
      </c>
      <c r="AR415" s="40">
        <v>0</v>
      </c>
      <c r="AS415" s="40">
        <v>0</v>
      </c>
      <c r="AT415" s="40">
        <v>0</v>
      </c>
      <c r="AU415" s="40">
        <v>0</v>
      </c>
      <c r="AV415" s="40">
        <v>0</v>
      </c>
      <c r="AW415" s="40">
        <v>0</v>
      </c>
      <c r="AX415" s="40">
        <v>0</v>
      </c>
      <c r="AY415" s="40">
        <v>0</v>
      </c>
      <c r="AZ415" s="40">
        <v>0</v>
      </c>
      <c r="BA415" s="40">
        <v>0</v>
      </c>
      <c r="BB415" s="40">
        <v>0</v>
      </c>
      <c r="BC415" s="39">
        <v>0</v>
      </c>
      <c r="BD415" s="40">
        <v>0</v>
      </c>
      <c r="BE415" s="40">
        <v>0</v>
      </c>
      <c r="BF415" s="40">
        <v>0</v>
      </c>
      <c r="BG415" s="40">
        <f>VLOOKUP(E415,'[1]Offline Offtake'!$G$522:$FL$619,161,0)</f>
        <v>120</v>
      </c>
      <c r="BH415" s="40">
        <v>288</v>
      </c>
      <c r="BI415" s="40">
        <v>2711</v>
      </c>
      <c r="BJ415" s="40">
        <v>2326</v>
      </c>
      <c r="BK415" s="40">
        <v>389</v>
      </c>
      <c r="BL415" s="40">
        <v>3542</v>
      </c>
      <c r="BM415" s="40">
        <v>2895</v>
      </c>
      <c r="BN415" s="40"/>
      <c r="BO415" s="39"/>
      <c r="BP415" s="21">
        <v>0</v>
      </c>
      <c r="BQ415" s="21">
        <v>0</v>
      </c>
      <c r="BR415" s="21">
        <v>0</v>
      </c>
      <c r="BS415" s="21">
        <v>0</v>
      </c>
      <c r="BT415" s="21">
        <v>0</v>
      </c>
      <c r="BU415" s="42">
        <v>0</v>
      </c>
      <c r="BV415" s="21">
        <v>0</v>
      </c>
      <c r="BW415" s="21">
        <v>0</v>
      </c>
      <c r="BX415" s="21">
        <v>0</v>
      </c>
      <c r="BY415" s="21">
        <v>0</v>
      </c>
      <c r="BZ415" s="21">
        <v>0</v>
      </c>
      <c r="CA415" s="21">
        <v>0</v>
      </c>
      <c r="CB415" s="21">
        <v>0</v>
      </c>
      <c r="CC415" s="21">
        <v>0</v>
      </c>
      <c r="CD415" s="21">
        <v>0</v>
      </c>
      <c r="CE415" s="21">
        <v>0</v>
      </c>
      <c r="CF415" s="21">
        <v>0</v>
      </c>
      <c r="CG415" s="42">
        <v>0</v>
      </c>
      <c r="CH415" s="21">
        <v>0</v>
      </c>
      <c r="CI415" s="21">
        <v>0</v>
      </c>
      <c r="CJ415" s="21">
        <v>0</v>
      </c>
      <c r="CK415" s="21">
        <v>9</v>
      </c>
      <c r="CL415" s="21">
        <v>12</v>
      </c>
      <c r="CM415" s="21">
        <v>162</v>
      </c>
      <c r="CN415" s="21">
        <v>2</v>
      </c>
      <c r="CO415" s="21">
        <v>6</v>
      </c>
      <c r="CP415" s="21">
        <f t="shared" si="655"/>
        <v>6</v>
      </c>
      <c r="CQ415" s="343">
        <f t="shared" si="656"/>
        <v>21.888888888888889</v>
      </c>
      <c r="CR415" s="40"/>
      <c r="CS415" s="39"/>
      <c r="CT415" s="38">
        <f t="shared" ref="CT415:CT478" si="657">AL415+BP415</f>
        <v>0</v>
      </c>
      <c r="CU415" s="38">
        <f t="shared" ref="CU415:CU478" si="658">AM415+BQ415</f>
        <v>0</v>
      </c>
      <c r="CV415" s="38">
        <f t="shared" ref="CV415:CV478" si="659">AN415+BR415</f>
        <v>0</v>
      </c>
      <c r="CW415" s="38">
        <f t="shared" ref="CW415:CW478" si="660">AO415+BS415</f>
        <v>0</v>
      </c>
      <c r="CX415" s="38">
        <f t="shared" ref="CX415:CX478" si="661">AP415+BT415</f>
        <v>0</v>
      </c>
      <c r="CY415" s="39">
        <f t="shared" ref="CY415:CY478" si="662">AQ415+BU415</f>
        <v>0</v>
      </c>
      <c r="CZ415" s="40">
        <f t="shared" ref="CZ415:CZ478" si="663">AR415+BV415</f>
        <v>0</v>
      </c>
      <c r="DA415" s="40">
        <f t="shared" ref="DA415:DA478" si="664">AS415+BW415</f>
        <v>0</v>
      </c>
      <c r="DB415" s="40">
        <f t="shared" ref="DB415:DB478" si="665">AT415+BX415</f>
        <v>0</v>
      </c>
      <c r="DC415" s="40">
        <f t="shared" ref="DC415:DC478" si="666">AU415+BY415</f>
        <v>0</v>
      </c>
      <c r="DD415" s="40">
        <f t="shared" ref="DD415:DD478" si="667">AV415+BZ415</f>
        <v>0</v>
      </c>
      <c r="DE415" s="40">
        <f t="shared" ref="DE415:DE478" si="668">AW415+CA415</f>
        <v>0</v>
      </c>
      <c r="DF415" s="40">
        <f t="shared" ref="DF415:DF478" si="669">AX415+CB415</f>
        <v>0</v>
      </c>
      <c r="DG415" s="40">
        <f t="shared" ref="DG415:DG478" si="670">AY415+CC415</f>
        <v>0</v>
      </c>
      <c r="DH415" s="40">
        <f t="shared" ref="DH415:DH478" si="671">AZ415+CD415</f>
        <v>0</v>
      </c>
      <c r="DI415" s="40">
        <f t="shared" ref="DI415:DI478" si="672">BA415+CE415</f>
        <v>0</v>
      </c>
      <c r="DJ415" s="40">
        <f t="shared" ref="DJ415:DJ478" si="673">BB415+CF415</f>
        <v>0</v>
      </c>
      <c r="DK415" s="39">
        <f t="shared" ref="DK415:DK478" si="674">BC415+CG415</f>
        <v>0</v>
      </c>
      <c r="DL415" s="40">
        <f t="shared" ref="DL415:DL478" si="675">BD415+CH415</f>
        <v>0</v>
      </c>
      <c r="DM415" s="40">
        <f t="shared" ref="DM415:DM478" si="676">BE415+CI415</f>
        <v>0</v>
      </c>
      <c r="DN415" s="40">
        <f t="shared" ref="DN415:DN478" si="677">BF415+CJ415</f>
        <v>0</v>
      </c>
      <c r="DO415" s="40">
        <f t="shared" ref="DO415:DO478" si="678">BG415+CK415</f>
        <v>129</v>
      </c>
      <c r="DP415" s="40">
        <f t="shared" ref="DP415:DP478" si="679">BH415+CL415</f>
        <v>300</v>
      </c>
      <c r="DQ415" s="40">
        <f t="shared" ref="DQ415:DQ478" si="680">BI415+CM415</f>
        <v>2873</v>
      </c>
      <c r="DR415" s="40">
        <f t="shared" si="623"/>
        <v>2328</v>
      </c>
      <c r="DS415" s="40">
        <f t="shared" si="624"/>
        <v>395</v>
      </c>
      <c r="DT415" s="40">
        <f t="shared" ref="DT415:DT478" si="681">BL415+CP415</f>
        <v>3548</v>
      </c>
      <c r="DU415" s="40">
        <f t="shared" ref="DU415:DU478" si="682">BM415+CQ415</f>
        <v>2916.8888888888887</v>
      </c>
      <c r="DV415" s="40">
        <f t="shared" ref="DV415:DV478" si="683">BN415+CR415</f>
        <v>0</v>
      </c>
      <c r="DW415" s="40">
        <f t="shared" ref="DW415:DW478" si="684">BO415+CS415</f>
        <v>0</v>
      </c>
    </row>
    <row r="416" spans="1:127">
      <c r="A416" s="22" t="s">
        <v>33</v>
      </c>
      <c r="B416" s="26">
        <v>4987176340900</v>
      </c>
      <c r="C416" s="22" t="s">
        <v>34</v>
      </c>
      <c r="D416" s="22" t="s">
        <v>35</v>
      </c>
      <c r="E416" s="22">
        <v>275092</v>
      </c>
      <c r="F416" s="80" t="s">
        <v>504</v>
      </c>
      <c r="G416" s="25">
        <v>213.9</v>
      </c>
      <c r="H416" s="38">
        <f t="shared" si="629"/>
        <v>0</v>
      </c>
      <c r="I416" s="38">
        <f t="shared" si="630"/>
        <v>0</v>
      </c>
      <c r="J416" s="38">
        <f t="shared" si="631"/>
        <v>0</v>
      </c>
      <c r="K416" s="38">
        <f t="shared" si="632"/>
        <v>0</v>
      </c>
      <c r="L416" s="38">
        <f t="shared" si="633"/>
        <v>0</v>
      </c>
      <c r="M416" s="39">
        <f t="shared" si="634"/>
        <v>0</v>
      </c>
      <c r="N416" s="40">
        <f t="shared" si="635"/>
        <v>0</v>
      </c>
      <c r="O416" s="40">
        <f t="shared" si="636"/>
        <v>0</v>
      </c>
      <c r="P416" s="40">
        <f t="shared" si="637"/>
        <v>0</v>
      </c>
      <c r="Q416" s="40">
        <f t="shared" si="638"/>
        <v>0</v>
      </c>
      <c r="R416" s="40">
        <f t="shared" si="639"/>
        <v>0</v>
      </c>
      <c r="S416" s="40">
        <f t="shared" si="640"/>
        <v>0</v>
      </c>
      <c r="T416" s="40">
        <f t="shared" si="641"/>
        <v>0</v>
      </c>
      <c r="U416" s="40">
        <f t="shared" si="642"/>
        <v>0</v>
      </c>
      <c r="V416" s="40">
        <f t="shared" si="643"/>
        <v>0</v>
      </c>
      <c r="W416" s="40">
        <f t="shared" si="644"/>
        <v>0</v>
      </c>
      <c r="X416" s="40">
        <f t="shared" si="645"/>
        <v>0</v>
      </c>
      <c r="Y416" s="39">
        <f t="shared" si="646"/>
        <v>0</v>
      </c>
      <c r="Z416" s="40">
        <f t="shared" si="647"/>
        <v>0</v>
      </c>
      <c r="AA416" s="40">
        <f t="shared" si="648"/>
        <v>0</v>
      </c>
      <c r="AB416" s="40">
        <f t="shared" si="649"/>
        <v>0</v>
      </c>
      <c r="AC416" s="40">
        <f t="shared" si="650"/>
        <v>26737.5</v>
      </c>
      <c r="AD416" s="40">
        <f t="shared" si="651"/>
        <v>89624.1</v>
      </c>
      <c r="AE416" s="40">
        <f t="shared" si="652"/>
        <v>149088.30000000002</v>
      </c>
      <c r="AF416" s="40">
        <f t="shared" si="653"/>
        <v>117003.3</v>
      </c>
      <c r="AG416" s="40">
        <f t="shared" si="654"/>
        <v>111655.8</v>
      </c>
      <c r="AH416" s="40">
        <f t="shared" si="625"/>
        <v>82993.2</v>
      </c>
      <c r="AI416" s="40">
        <f t="shared" si="626"/>
        <v>107187.66666666666</v>
      </c>
      <c r="AJ416" s="40">
        <f t="shared" si="627"/>
        <v>0</v>
      </c>
      <c r="AK416" s="39">
        <f t="shared" si="628"/>
        <v>0</v>
      </c>
      <c r="AL416" s="38">
        <v>0</v>
      </c>
      <c r="AM416" s="38">
        <v>0</v>
      </c>
      <c r="AN416" s="38">
        <v>0</v>
      </c>
      <c r="AO416" s="38">
        <v>0</v>
      </c>
      <c r="AP416" s="38">
        <v>0</v>
      </c>
      <c r="AQ416" s="39">
        <v>0</v>
      </c>
      <c r="AR416" s="40">
        <v>0</v>
      </c>
      <c r="AS416" s="40">
        <v>0</v>
      </c>
      <c r="AT416" s="40">
        <v>0</v>
      </c>
      <c r="AU416" s="40">
        <v>0</v>
      </c>
      <c r="AV416" s="40">
        <v>0</v>
      </c>
      <c r="AW416" s="40">
        <v>0</v>
      </c>
      <c r="AX416" s="40">
        <v>0</v>
      </c>
      <c r="AY416" s="40">
        <v>0</v>
      </c>
      <c r="AZ416" s="40">
        <v>0</v>
      </c>
      <c r="BA416" s="40">
        <v>0</v>
      </c>
      <c r="BB416" s="40">
        <v>0</v>
      </c>
      <c r="BC416" s="39">
        <v>0</v>
      </c>
      <c r="BD416" s="40">
        <v>0</v>
      </c>
      <c r="BE416" s="40">
        <v>0</v>
      </c>
      <c r="BF416" s="40">
        <v>0</v>
      </c>
      <c r="BG416" s="40">
        <f>VLOOKUP(E416,'[1]Offline Offtake'!$G$522:$FL$619,161,0)</f>
        <v>87</v>
      </c>
      <c r="BH416" s="40">
        <v>337</v>
      </c>
      <c r="BI416" s="40">
        <v>677</v>
      </c>
      <c r="BJ416" s="40">
        <v>474</v>
      </c>
      <c r="BK416" s="40">
        <v>502</v>
      </c>
      <c r="BL416" s="40">
        <v>368</v>
      </c>
      <c r="BM416" s="40">
        <v>473</v>
      </c>
      <c r="BN416" s="40"/>
      <c r="BO416" s="39"/>
      <c r="BP416" s="21">
        <v>0</v>
      </c>
      <c r="BQ416" s="21">
        <v>0</v>
      </c>
      <c r="BR416" s="21">
        <v>0</v>
      </c>
      <c r="BS416" s="21">
        <v>0</v>
      </c>
      <c r="BT416" s="21">
        <v>0</v>
      </c>
      <c r="BU416" s="42">
        <v>0</v>
      </c>
      <c r="BV416" s="21">
        <v>0</v>
      </c>
      <c r="BW416" s="21">
        <v>0</v>
      </c>
      <c r="BX416" s="21">
        <v>0</v>
      </c>
      <c r="BY416" s="21">
        <v>0</v>
      </c>
      <c r="BZ416" s="21">
        <v>0</v>
      </c>
      <c r="CA416" s="21">
        <v>0</v>
      </c>
      <c r="CB416" s="21">
        <v>0</v>
      </c>
      <c r="CC416" s="21">
        <v>0</v>
      </c>
      <c r="CD416" s="21">
        <v>0</v>
      </c>
      <c r="CE416" s="21">
        <v>0</v>
      </c>
      <c r="CF416" s="21">
        <v>0</v>
      </c>
      <c r="CG416" s="42">
        <v>0</v>
      </c>
      <c r="CH416" s="21">
        <v>0</v>
      </c>
      <c r="CI416" s="21">
        <v>0</v>
      </c>
      <c r="CJ416" s="21">
        <v>0</v>
      </c>
      <c r="CK416" s="21">
        <v>38</v>
      </c>
      <c r="CL416" s="21">
        <v>82</v>
      </c>
      <c r="CM416" s="21">
        <v>20</v>
      </c>
      <c r="CN416" s="21">
        <v>73</v>
      </c>
      <c r="CO416" s="21">
        <v>20</v>
      </c>
      <c r="CP416" s="21">
        <f t="shared" si="655"/>
        <v>20</v>
      </c>
      <c r="CQ416" s="343">
        <f t="shared" si="656"/>
        <v>28.111111111111111</v>
      </c>
      <c r="CR416" s="40"/>
      <c r="CS416" s="39"/>
      <c r="CT416" s="38">
        <f t="shared" si="657"/>
        <v>0</v>
      </c>
      <c r="CU416" s="38">
        <f t="shared" si="658"/>
        <v>0</v>
      </c>
      <c r="CV416" s="38">
        <f t="shared" si="659"/>
        <v>0</v>
      </c>
      <c r="CW416" s="38">
        <f t="shared" si="660"/>
        <v>0</v>
      </c>
      <c r="CX416" s="38">
        <f t="shared" si="661"/>
        <v>0</v>
      </c>
      <c r="CY416" s="39">
        <f t="shared" si="662"/>
        <v>0</v>
      </c>
      <c r="CZ416" s="40">
        <f t="shared" si="663"/>
        <v>0</v>
      </c>
      <c r="DA416" s="40">
        <f t="shared" si="664"/>
        <v>0</v>
      </c>
      <c r="DB416" s="40">
        <f t="shared" si="665"/>
        <v>0</v>
      </c>
      <c r="DC416" s="40">
        <f t="shared" si="666"/>
        <v>0</v>
      </c>
      <c r="DD416" s="40">
        <f t="shared" si="667"/>
        <v>0</v>
      </c>
      <c r="DE416" s="40">
        <f t="shared" si="668"/>
        <v>0</v>
      </c>
      <c r="DF416" s="40">
        <f t="shared" si="669"/>
        <v>0</v>
      </c>
      <c r="DG416" s="40">
        <f t="shared" si="670"/>
        <v>0</v>
      </c>
      <c r="DH416" s="40">
        <f t="shared" si="671"/>
        <v>0</v>
      </c>
      <c r="DI416" s="40">
        <f t="shared" si="672"/>
        <v>0</v>
      </c>
      <c r="DJ416" s="40">
        <f t="shared" si="673"/>
        <v>0</v>
      </c>
      <c r="DK416" s="39">
        <f t="shared" si="674"/>
        <v>0</v>
      </c>
      <c r="DL416" s="40">
        <f t="shared" si="675"/>
        <v>0</v>
      </c>
      <c r="DM416" s="40">
        <f t="shared" si="676"/>
        <v>0</v>
      </c>
      <c r="DN416" s="40">
        <f t="shared" si="677"/>
        <v>0</v>
      </c>
      <c r="DO416" s="40">
        <f t="shared" si="678"/>
        <v>125</v>
      </c>
      <c r="DP416" s="40">
        <f t="shared" si="679"/>
        <v>419</v>
      </c>
      <c r="DQ416" s="40">
        <f t="shared" si="680"/>
        <v>697</v>
      </c>
      <c r="DR416" s="40">
        <f t="shared" si="623"/>
        <v>547</v>
      </c>
      <c r="DS416" s="40">
        <f t="shared" si="624"/>
        <v>522</v>
      </c>
      <c r="DT416" s="40">
        <f t="shared" si="681"/>
        <v>388</v>
      </c>
      <c r="DU416" s="40">
        <f t="shared" si="682"/>
        <v>501.11111111111109</v>
      </c>
      <c r="DV416" s="40">
        <f t="shared" si="683"/>
        <v>0</v>
      </c>
      <c r="DW416" s="40">
        <f t="shared" si="684"/>
        <v>0</v>
      </c>
    </row>
    <row r="417" spans="1:127">
      <c r="A417" s="22" t="s">
        <v>33</v>
      </c>
      <c r="B417" s="26">
        <v>4987176340856</v>
      </c>
      <c r="C417" s="22" t="s">
        <v>34</v>
      </c>
      <c r="D417" s="22" t="s">
        <v>35</v>
      </c>
      <c r="E417" s="22">
        <v>275117</v>
      </c>
      <c r="F417" s="80" t="s">
        <v>505</v>
      </c>
      <c r="G417" s="25">
        <v>213.9</v>
      </c>
      <c r="H417" s="38">
        <f t="shared" si="629"/>
        <v>0</v>
      </c>
      <c r="I417" s="38">
        <f t="shared" si="630"/>
        <v>0</v>
      </c>
      <c r="J417" s="38">
        <f t="shared" si="631"/>
        <v>0</v>
      </c>
      <c r="K417" s="38">
        <f t="shared" si="632"/>
        <v>0</v>
      </c>
      <c r="L417" s="38">
        <f t="shared" si="633"/>
        <v>0</v>
      </c>
      <c r="M417" s="39">
        <f t="shared" si="634"/>
        <v>0</v>
      </c>
      <c r="N417" s="40">
        <f t="shared" si="635"/>
        <v>0</v>
      </c>
      <c r="O417" s="40">
        <f t="shared" si="636"/>
        <v>0</v>
      </c>
      <c r="P417" s="40">
        <f t="shared" si="637"/>
        <v>0</v>
      </c>
      <c r="Q417" s="40">
        <f t="shared" si="638"/>
        <v>0</v>
      </c>
      <c r="R417" s="40">
        <f t="shared" si="639"/>
        <v>0</v>
      </c>
      <c r="S417" s="40">
        <f t="shared" si="640"/>
        <v>0</v>
      </c>
      <c r="T417" s="40">
        <f t="shared" si="641"/>
        <v>0</v>
      </c>
      <c r="U417" s="40">
        <f t="shared" si="642"/>
        <v>0</v>
      </c>
      <c r="V417" s="40">
        <f t="shared" si="643"/>
        <v>0</v>
      </c>
      <c r="W417" s="40">
        <f t="shared" si="644"/>
        <v>0</v>
      </c>
      <c r="X417" s="40">
        <f t="shared" si="645"/>
        <v>0</v>
      </c>
      <c r="Y417" s="39">
        <f t="shared" si="646"/>
        <v>0</v>
      </c>
      <c r="Z417" s="40">
        <f t="shared" si="647"/>
        <v>0</v>
      </c>
      <c r="AA417" s="40">
        <f t="shared" si="648"/>
        <v>0</v>
      </c>
      <c r="AB417" s="40">
        <f t="shared" si="649"/>
        <v>0</v>
      </c>
      <c r="AC417" s="40">
        <f t="shared" si="650"/>
        <v>48341.4</v>
      </c>
      <c r="AD417" s="40">
        <f t="shared" si="651"/>
        <v>151227.30000000002</v>
      </c>
      <c r="AE417" s="40">
        <f t="shared" si="652"/>
        <v>206199.6</v>
      </c>
      <c r="AF417" s="40">
        <f t="shared" si="653"/>
        <v>162350.1</v>
      </c>
      <c r="AG417" s="40">
        <f t="shared" si="654"/>
        <v>140960.1</v>
      </c>
      <c r="AH417" s="40">
        <f t="shared" si="625"/>
        <v>112939.2</v>
      </c>
      <c r="AI417" s="40">
        <f t="shared" si="626"/>
        <v>158642.5</v>
      </c>
      <c r="AJ417" s="40">
        <f t="shared" si="627"/>
        <v>0</v>
      </c>
      <c r="AK417" s="39">
        <f t="shared" si="628"/>
        <v>0</v>
      </c>
      <c r="AL417" s="38">
        <v>0</v>
      </c>
      <c r="AM417" s="38">
        <v>0</v>
      </c>
      <c r="AN417" s="38">
        <v>0</v>
      </c>
      <c r="AO417" s="38">
        <v>0</v>
      </c>
      <c r="AP417" s="38">
        <v>0</v>
      </c>
      <c r="AQ417" s="39">
        <v>0</v>
      </c>
      <c r="AR417" s="40">
        <v>0</v>
      </c>
      <c r="AS417" s="40">
        <v>0</v>
      </c>
      <c r="AT417" s="40">
        <v>0</v>
      </c>
      <c r="AU417" s="40">
        <v>0</v>
      </c>
      <c r="AV417" s="40">
        <v>0</v>
      </c>
      <c r="AW417" s="40">
        <v>0</v>
      </c>
      <c r="AX417" s="40">
        <v>0</v>
      </c>
      <c r="AY417" s="40">
        <v>0</v>
      </c>
      <c r="AZ417" s="40">
        <v>0</v>
      </c>
      <c r="BA417" s="40">
        <v>0</v>
      </c>
      <c r="BB417" s="40">
        <v>0</v>
      </c>
      <c r="BC417" s="39">
        <v>0</v>
      </c>
      <c r="BD417" s="40">
        <v>0</v>
      </c>
      <c r="BE417" s="40">
        <v>0</v>
      </c>
      <c r="BF417" s="40">
        <v>0</v>
      </c>
      <c r="BG417" s="40">
        <f>VLOOKUP(E417,'[1]Offline Offtake'!$G$522:$FL$619,161,0)</f>
        <v>181</v>
      </c>
      <c r="BH417" s="40">
        <v>582</v>
      </c>
      <c r="BI417" s="40">
        <v>919</v>
      </c>
      <c r="BJ417" s="40">
        <v>626</v>
      </c>
      <c r="BK417" s="40">
        <v>632</v>
      </c>
      <c r="BL417" s="40">
        <v>501</v>
      </c>
      <c r="BM417" s="40">
        <v>697</v>
      </c>
      <c r="BN417" s="40"/>
      <c r="BO417" s="39"/>
      <c r="BP417" s="21">
        <v>0</v>
      </c>
      <c r="BQ417" s="21">
        <v>0</v>
      </c>
      <c r="BR417" s="21">
        <v>0</v>
      </c>
      <c r="BS417" s="21">
        <v>0</v>
      </c>
      <c r="BT417" s="21">
        <v>0</v>
      </c>
      <c r="BU417" s="42">
        <v>0</v>
      </c>
      <c r="BV417" s="21">
        <v>0</v>
      </c>
      <c r="BW417" s="21">
        <v>0</v>
      </c>
      <c r="BX417" s="21">
        <v>0</v>
      </c>
      <c r="BY417" s="21">
        <v>0</v>
      </c>
      <c r="BZ417" s="21">
        <v>0</v>
      </c>
      <c r="CA417" s="21">
        <v>0</v>
      </c>
      <c r="CB417" s="21">
        <v>0</v>
      </c>
      <c r="CC417" s="21">
        <v>0</v>
      </c>
      <c r="CD417" s="21">
        <v>0</v>
      </c>
      <c r="CE417" s="21">
        <v>0</v>
      </c>
      <c r="CF417" s="21">
        <v>0</v>
      </c>
      <c r="CG417" s="42">
        <v>0</v>
      </c>
      <c r="CH417" s="21">
        <v>0</v>
      </c>
      <c r="CI417" s="21">
        <v>0</v>
      </c>
      <c r="CJ417" s="21">
        <v>0</v>
      </c>
      <c r="CK417" s="21">
        <v>45</v>
      </c>
      <c r="CL417" s="21">
        <v>125</v>
      </c>
      <c r="CM417" s="21">
        <v>45</v>
      </c>
      <c r="CN417" s="21">
        <v>133</v>
      </c>
      <c r="CO417" s="21">
        <v>27</v>
      </c>
      <c r="CP417" s="21">
        <f t="shared" si="655"/>
        <v>27</v>
      </c>
      <c r="CQ417" s="343">
        <f t="shared" si="656"/>
        <v>44.666666666666664</v>
      </c>
      <c r="CR417" s="40"/>
      <c r="CS417" s="39"/>
      <c r="CT417" s="38">
        <f t="shared" si="657"/>
        <v>0</v>
      </c>
      <c r="CU417" s="38">
        <f t="shared" si="658"/>
        <v>0</v>
      </c>
      <c r="CV417" s="38">
        <f t="shared" si="659"/>
        <v>0</v>
      </c>
      <c r="CW417" s="38">
        <f t="shared" si="660"/>
        <v>0</v>
      </c>
      <c r="CX417" s="38">
        <f t="shared" si="661"/>
        <v>0</v>
      </c>
      <c r="CY417" s="39">
        <f t="shared" si="662"/>
        <v>0</v>
      </c>
      <c r="CZ417" s="40">
        <f t="shared" si="663"/>
        <v>0</v>
      </c>
      <c r="DA417" s="40">
        <f t="shared" si="664"/>
        <v>0</v>
      </c>
      <c r="DB417" s="40">
        <f t="shared" si="665"/>
        <v>0</v>
      </c>
      <c r="DC417" s="40">
        <f t="shared" si="666"/>
        <v>0</v>
      </c>
      <c r="DD417" s="40">
        <f t="shared" si="667"/>
        <v>0</v>
      </c>
      <c r="DE417" s="40">
        <f t="shared" si="668"/>
        <v>0</v>
      </c>
      <c r="DF417" s="40">
        <f t="shared" si="669"/>
        <v>0</v>
      </c>
      <c r="DG417" s="40">
        <f t="shared" si="670"/>
        <v>0</v>
      </c>
      <c r="DH417" s="40">
        <f t="shared" si="671"/>
        <v>0</v>
      </c>
      <c r="DI417" s="40">
        <f t="shared" si="672"/>
        <v>0</v>
      </c>
      <c r="DJ417" s="40">
        <f t="shared" si="673"/>
        <v>0</v>
      </c>
      <c r="DK417" s="39">
        <f t="shared" si="674"/>
        <v>0</v>
      </c>
      <c r="DL417" s="40">
        <f t="shared" si="675"/>
        <v>0</v>
      </c>
      <c r="DM417" s="40">
        <f t="shared" si="676"/>
        <v>0</v>
      </c>
      <c r="DN417" s="40">
        <f t="shared" si="677"/>
        <v>0</v>
      </c>
      <c r="DO417" s="40">
        <f t="shared" si="678"/>
        <v>226</v>
      </c>
      <c r="DP417" s="40">
        <f t="shared" si="679"/>
        <v>707</v>
      </c>
      <c r="DQ417" s="40">
        <f t="shared" si="680"/>
        <v>964</v>
      </c>
      <c r="DR417" s="40">
        <f t="shared" si="623"/>
        <v>759</v>
      </c>
      <c r="DS417" s="40">
        <f t="shared" si="624"/>
        <v>659</v>
      </c>
      <c r="DT417" s="40">
        <f t="shared" si="681"/>
        <v>528</v>
      </c>
      <c r="DU417" s="40">
        <f t="shared" si="682"/>
        <v>741.66666666666663</v>
      </c>
      <c r="DV417" s="40">
        <f t="shared" si="683"/>
        <v>0</v>
      </c>
      <c r="DW417" s="40">
        <f t="shared" si="684"/>
        <v>0</v>
      </c>
    </row>
    <row r="418" spans="1:127">
      <c r="A418" s="22" t="s">
        <v>33</v>
      </c>
      <c r="B418" s="26">
        <v>4987176340887</v>
      </c>
      <c r="C418" s="22" t="s">
        <v>34</v>
      </c>
      <c r="D418" s="22" t="s">
        <v>35</v>
      </c>
      <c r="E418" s="22">
        <v>275130</v>
      </c>
      <c r="F418" s="80" t="s">
        <v>506</v>
      </c>
      <c r="G418" s="25">
        <v>135</v>
      </c>
      <c r="H418" s="38">
        <f t="shared" si="629"/>
        <v>0</v>
      </c>
      <c r="I418" s="38">
        <f t="shared" si="630"/>
        <v>0</v>
      </c>
      <c r="J418" s="38">
        <f t="shared" si="631"/>
        <v>0</v>
      </c>
      <c r="K418" s="38">
        <f t="shared" si="632"/>
        <v>0</v>
      </c>
      <c r="L418" s="38">
        <f t="shared" si="633"/>
        <v>0</v>
      </c>
      <c r="M418" s="39">
        <f t="shared" si="634"/>
        <v>0</v>
      </c>
      <c r="N418" s="40">
        <f t="shared" si="635"/>
        <v>0</v>
      </c>
      <c r="O418" s="40">
        <f t="shared" si="636"/>
        <v>0</v>
      </c>
      <c r="P418" s="40">
        <f t="shared" si="637"/>
        <v>0</v>
      </c>
      <c r="Q418" s="40">
        <f t="shared" si="638"/>
        <v>0</v>
      </c>
      <c r="R418" s="40">
        <f t="shared" si="639"/>
        <v>0</v>
      </c>
      <c r="S418" s="40">
        <f t="shared" si="640"/>
        <v>0</v>
      </c>
      <c r="T418" s="40">
        <f t="shared" si="641"/>
        <v>0</v>
      </c>
      <c r="U418" s="40">
        <f t="shared" si="642"/>
        <v>0</v>
      </c>
      <c r="V418" s="40">
        <f t="shared" si="643"/>
        <v>0</v>
      </c>
      <c r="W418" s="40">
        <f t="shared" si="644"/>
        <v>0</v>
      </c>
      <c r="X418" s="40">
        <f t="shared" si="645"/>
        <v>0</v>
      </c>
      <c r="Y418" s="39">
        <f t="shared" si="646"/>
        <v>0</v>
      </c>
      <c r="Z418" s="40">
        <f t="shared" si="647"/>
        <v>0</v>
      </c>
      <c r="AA418" s="40">
        <f t="shared" si="648"/>
        <v>0</v>
      </c>
      <c r="AB418" s="40">
        <f t="shared" si="649"/>
        <v>0</v>
      </c>
      <c r="AC418" s="40">
        <f t="shared" si="650"/>
        <v>1350</v>
      </c>
      <c r="AD418" s="40">
        <f t="shared" si="651"/>
        <v>6075</v>
      </c>
      <c r="AE418" s="40">
        <f t="shared" si="652"/>
        <v>9585</v>
      </c>
      <c r="AF418" s="40">
        <f t="shared" si="653"/>
        <v>9450</v>
      </c>
      <c r="AG418" s="40">
        <f t="shared" si="654"/>
        <v>17685</v>
      </c>
      <c r="AH418" s="40">
        <f t="shared" si="625"/>
        <v>13905</v>
      </c>
      <c r="AI418" s="40">
        <f t="shared" si="626"/>
        <v>13185</v>
      </c>
      <c r="AJ418" s="40">
        <f t="shared" si="627"/>
        <v>0</v>
      </c>
      <c r="AK418" s="39">
        <f t="shared" si="628"/>
        <v>0</v>
      </c>
      <c r="AL418" s="38">
        <v>0</v>
      </c>
      <c r="AM418" s="38">
        <v>0</v>
      </c>
      <c r="AN418" s="38">
        <v>0</v>
      </c>
      <c r="AO418" s="38">
        <v>0</v>
      </c>
      <c r="AP418" s="38">
        <v>0</v>
      </c>
      <c r="AQ418" s="39">
        <v>0</v>
      </c>
      <c r="AR418" s="40">
        <v>0</v>
      </c>
      <c r="AS418" s="40">
        <v>0</v>
      </c>
      <c r="AT418" s="40">
        <v>0</v>
      </c>
      <c r="AU418" s="40">
        <v>0</v>
      </c>
      <c r="AV418" s="40">
        <v>0</v>
      </c>
      <c r="AW418" s="40">
        <v>0</v>
      </c>
      <c r="AX418" s="40">
        <v>0</v>
      </c>
      <c r="AY418" s="40">
        <v>0</v>
      </c>
      <c r="AZ418" s="40">
        <v>0</v>
      </c>
      <c r="BA418" s="40">
        <v>0</v>
      </c>
      <c r="BB418" s="40">
        <v>0</v>
      </c>
      <c r="BC418" s="39">
        <v>0</v>
      </c>
      <c r="BD418" s="40">
        <v>0</v>
      </c>
      <c r="BE418" s="40">
        <v>0</v>
      </c>
      <c r="BF418" s="40">
        <v>0</v>
      </c>
      <c r="BG418" s="40">
        <f>VLOOKUP(E418,'[1]Offline Offtake'!$G$522:$FL$619,161,0)</f>
        <v>0</v>
      </c>
      <c r="BH418" s="40">
        <v>32</v>
      </c>
      <c r="BI418" s="40">
        <v>64</v>
      </c>
      <c r="BJ418" s="40">
        <v>61</v>
      </c>
      <c r="BK418" s="40">
        <v>116</v>
      </c>
      <c r="BL418" s="40">
        <v>88</v>
      </c>
      <c r="BM418" s="40">
        <v>90</v>
      </c>
      <c r="BN418" s="40"/>
      <c r="BO418" s="39"/>
      <c r="BP418" s="21">
        <v>0</v>
      </c>
      <c r="BQ418" s="21">
        <v>0</v>
      </c>
      <c r="BR418" s="21">
        <v>0</v>
      </c>
      <c r="BS418" s="21">
        <v>0</v>
      </c>
      <c r="BT418" s="21">
        <v>0</v>
      </c>
      <c r="BU418" s="42">
        <v>0</v>
      </c>
      <c r="BV418" s="21">
        <v>0</v>
      </c>
      <c r="BW418" s="21">
        <v>0</v>
      </c>
      <c r="BX418" s="21">
        <v>0</v>
      </c>
      <c r="BY418" s="21">
        <v>0</v>
      </c>
      <c r="BZ418" s="21">
        <v>0</v>
      </c>
      <c r="CA418" s="21">
        <v>0</v>
      </c>
      <c r="CB418" s="21">
        <v>0</v>
      </c>
      <c r="CC418" s="21">
        <v>0</v>
      </c>
      <c r="CD418" s="21">
        <v>0</v>
      </c>
      <c r="CE418" s="21">
        <v>0</v>
      </c>
      <c r="CF418" s="21">
        <v>0</v>
      </c>
      <c r="CG418" s="42">
        <v>0</v>
      </c>
      <c r="CH418" s="21">
        <v>0</v>
      </c>
      <c r="CI418" s="21">
        <v>0</v>
      </c>
      <c r="CJ418" s="21">
        <v>0</v>
      </c>
      <c r="CK418" s="21">
        <v>10</v>
      </c>
      <c r="CL418" s="21">
        <v>13</v>
      </c>
      <c r="CM418" s="21">
        <v>7</v>
      </c>
      <c r="CN418" s="21">
        <v>9</v>
      </c>
      <c r="CO418" s="21">
        <v>15</v>
      </c>
      <c r="CP418" s="21">
        <f t="shared" si="655"/>
        <v>15</v>
      </c>
      <c r="CQ418" s="343">
        <f t="shared" si="656"/>
        <v>7.666666666666667</v>
      </c>
      <c r="CR418" s="40"/>
      <c r="CS418" s="39"/>
      <c r="CT418" s="38">
        <f t="shared" si="657"/>
        <v>0</v>
      </c>
      <c r="CU418" s="38">
        <f t="shared" si="658"/>
        <v>0</v>
      </c>
      <c r="CV418" s="38">
        <f t="shared" si="659"/>
        <v>0</v>
      </c>
      <c r="CW418" s="38">
        <f t="shared" si="660"/>
        <v>0</v>
      </c>
      <c r="CX418" s="38">
        <f t="shared" si="661"/>
        <v>0</v>
      </c>
      <c r="CY418" s="39">
        <f t="shared" si="662"/>
        <v>0</v>
      </c>
      <c r="CZ418" s="40">
        <f t="shared" si="663"/>
        <v>0</v>
      </c>
      <c r="DA418" s="40">
        <f t="shared" si="664"/>
        <v>0</v>
      </c>
      <c r="DB418" s="40">
        <f t="shared" si="665"/>
        <v>0</v>
      </c>
      <c r="DC418" s="40">
        <f t="shared" si="666"/>
        <v>0</v>
      </c>
      <c r="DD418" s="40">
        <f t="shared" si="667"/>
        <v>0</v>
      </c>
      <c r="DE418" s="40">
        <f t="shared" si="668"/>
        <v>0</v>
      </c>
      <c r="DF418" s="40">
        <f t="shared" si="669"/>
        <v>0</v>
      </c>
      <c r="DG418" s="40">
        <f t="shared" si="670"/>
        <v>0</v>
      </c>
      <c r="DH418" s="40">
        <f t="shared" si="671"/>
        <v>0</v>
      </c>
      <c r="DI418" s="40">
        <f t="shared" si="672"/>
        <v>0</v>
      </c>
      <c r="DJ418" s="40">
        <f t="shared" si="673"/>
        <v>0</v>
      </c>
      <c r="DK418" s="39">
        <f t="shared" si="674"/>
        <v>0</v>
      </c>
      <c r="DL418" s="40">
        <f t="shared" si="675"/>
        <v>0</v>
      </c>
      <c r="DM418" s="40">
        <f t="shared" si="676"/>
        <v>0</v>
      </c>
      <c r="DN418" s="40">
        <f t="shared" si="677"/>
        <v>0</v>
      </c>
      <c r="DO418" s="40">
        <f t="shared" si="678"/>
        <v>10</v>
      </c>
      <c r="DP418" s="40">
        <f t="shared" si="679"/>
        <v>45</v>
      </c>
      <c r="DQ418" s="40">
        <f t="shared" si="680"/>
        <v>71</v>
      </c>
      <c r="DR418" s="40">
        <f t="shared" si="623"/>
        <v>70</v>
      </c>
      <c r="DS418" s="40">
        <f t="shared" si="624"/>
        <v>131</v>
      </c>
      <c r="DT418" s="40">
        <f t="shared" si="681"/>
        <v>103</v>
      </c>
      <c r="DU418" s="40">
        <f t="shared" si="682"/>
        <v>97.666666666666671</v>
      </c>
      <c r="DV418" s="40">
        <f t="shared" si="683"/>
        <v>0</v>
      </c>
      <c r="DW418" s="40">
        <f t="shared" si="684"/>
        <v>0</v>
      </c>
    </row>
    <row r="419" spans="1:127">
      <c r="A419" s="22" t="s">
        <v>33</v>
      </c>
      <c r="B419" s="26">
        <v>4987176351111</v>
      </c>
      <c r="C419" s="22" t="s">
        <v>34</v>
      </c>
      <c r="D419" s="22" t="s">
        <v>36</v>
      </c>
      <c r="E419" s="22">
        <v>275184</v>
      </c>
      <c r="F419" s="80" t="s">
        <v>507</v>
      </c>
      <c r="G419" s="25">
        <v>109.3</v>
      </c>
      <c r="H419" s="38">
        <f t="shared" si="629"/>
        <v>0</v>
      </c>
      <c r="I419" s="38">
        <f t="shared" si="630"/>
        <v>0</v>
      </c>
      <c r="J419" s="38">
        <f t="shared" si="631"/>
        <v>0</v>
      </c>
      <c r="K419" s="38">
        <f t="shared" si="632"/>
        <v>0</v>
      </c>
      <c r="L419" s="38">
        <f t="shared" si="633"/>
        <v>0</v>
      </c>
      <c r="M419" s="39">
        <f t="shared" si="634"/>
        <v>0</v>
      </c>
      <c r="N419" s="40">
        <f t="shared" si="635"/>
        <v>0</v>
      </c>
      <c r="O419" s="40">
        <f t="shared" si="636"/>
        <v>0</v>
      </c>
      <c r="P419" s="40">
        <f t="shared" si="637"/>
        <v>0</v>
      </c>
      <c r="Q419" s="40">
        <f t="shared" si="638"/>
        <v>0</v>
      </c>
      <c r="R419" s="40">
        <f t="shared" si="639"/>
        <v>0</v>
      </c>
      <c r="S419" s="40">
        <f t="shared" si="640"/>
        <v>0</v>
      </c>
      <c r="T419" s="40">
        <f t="shared" si="641"/>
        <v>0</v>
      </c>
      <c r="U419" s="40">
        <f t="shared" si="642"/>
        <v>0</v>
      </c>
      <c r="V419" s="40">
        <f t="shared" si="643"/>
        <v>0</v>
      </c>
      <c r="W419" s="40">
        <f t="shared" si="644"/>
        <v>0</v>
      </c>
      <c r="X419" s="40">
        <f t="shared" si="645"/>
        <v>0</v>
      </c>
      <c r="Y419" s="39">
        <f t="shared" si="646"/>
        <v>0</v>
      </c>
      <c r="Z419" s="40">
        <f t="shared" si="647"/>
        <v>0</v>
      </c>
      <c r="AA419" s="40">
        <f t="shared" si="648"/>
        <v>0</v>
      </c>
      <c r="AB419" s="40">
        <f t="shared" si="649"/>
        <v>0</v>
      </c>
      <c r="AC419" s="40">
        <f t="shared" si="650"/>
        <v>8416.1</v>
      </c>
      <c r="AD419" s="40">
        <f t="shared" si="651"/>
        <v>13443.9</v>
      </c>
      <c r="AE419" s="40">
        <f t="shared" si="652"/>
        <v>2841.7999999999997</v>
      </c>
      <c r="AF419" s="40">
        <f t="shared" si="653"/>
        <v>0</v>
      </c>
      <c r="AG419" s="40">
        <f t="shared" si="654"/>
        <v>0</v>
      </c>
      <c r="AH419" s="40">
        <f t="shared" si="625"/>
        <v>0</v>
      </c>
      <c r="AI419" s="40">
        <f t="shared" si="626"/>
        <v>157.87777777777777</v>
      </c>
      <c r="AJ419" s="40">
        <f t="shared" si="627"/>
        <v>0</v>
      </c>
      <c r="AK419" s="39">
        <f t="shared" si="628"/>
        <v>0</v>
      </c>
      <c r="AL419" s="38">
        <v>0</v>
      </c>
      <c r="AM419" s="38">
        <v>0</v>
      </c>
      <c r="AN419" s="38">
        <v>0</v>
      </c>
      <c r="AO419" s="38">
        <v>0</v>
      </c>
      <c r="AP419" s="38">
        <v>0</v>
      </c>
      <c r="AQ419" s="39">
        <v>0</v>
      </c>
      <c r="AR419" s="40">
        <v>0</v>
      </c>
      <c r="AS419" s="40">
        <v>0</v>
      </c>
      <c r="AT419" s="40">
        <v>0</v>
      </c>
      <c r="AU419" s="40">
        <v>0</v>
      </c>
      <c r="AV419" s="40">
        <v>0</v>
      </c>
      <c r="AW419" s="40">
        <v>0</v>
      </c>
      <c r="AX419" s="40">
        <v>0</v>
      </c>
      <c r="AY419" s="40">
        <v>0</v>
      </c>
      <c r="AZ419" s="40">
        <v>0</v>
      </c>
      <c r="BA419" s="40">
        <v>0</v>
      </c>
      <c r="BB419" s="40">
        <v>0</v>
      </c>
      <c r="BC419" s="39">
        <v>0</v>
      </c>
      <c r="BD419" s="40">
        <v>0</v>
      </c>
      <c r="BE419" s="40">
        <v>0</v>
      </c>
      <c r="BF419" s="40">
        <v>0</v>
      </c>
      <c r="BG419" s="40">
        <f>VLOOKUP(E419,'[1]Offline Offtake'!$G$522:$FL$619,161,0)</f>
        <v>67</v>
      </c>
      <c r="BH419" s="40">
        <v>120</v>
      </c>
      <c r="BI419" s="40">
        <v>26</v>
      </c>
      <c r="BJ419" s="40">
        <v>0</v>
      </c>
      <c r="BK419" s="40">
        <v>0</v>
      </c>
      <c r="BL419" s="40">
        <v>0</v>
      </c>
      <c r="BM419" s="40">
        <v>0</v>
      </c>
      <c r="BN419" s="40"/>
      <c r="BO419" s="39"/>
      <c r="BP419" s="21">
        <v>0</v>
      </c>
      <c r="BQ419" s="21">
        <v>0</v>
      </c>
      <c r="BR419" s="21">
        <v>0</v>
      </c>
      <c r="BS419" s="21">
        <v>0</v>
      </c>
      <c r="BT419" s="21">
        <v>0</v>
      </c>
      <c r="BU419" s="42">
        <v>0</v>
      </c>
      <c r="BV419" s="21">
        <v>0</v>
      </c>
      <c r="BW419" s="21">
        <v>0</v>
      </c>
      <c r="BX419" s="21">
        <v>0</v>
      </c>
      <c r="BY419" s="21">
        <v>0</v>
      </c>
      <c r="BZ419" s="21">
        <v>0</v>
      </c>
      <c r="CA419" s="21">
        <v>0</v>
      </c>
      <c r="CB419" s="21">
        <v>0</v>
      </c>
      <c r="CC419" s="21">
        <v>0</v>
      </c>
      <c r="CD419" s="21">
        <v>0</v>
      </c>
      <c r="CE419" s="21">
        <v>0</v>
      </c>
      <c r="CF419" s="21">
        <v>0</v>
      </c>
      <c r="CG419" s="42">
        <v>0</v>
      </c>
      <c r="CH419" s="21">
        <v>0</v>
      </c>
      <c r="CI419" s="21">
        <v>0</v>
      </c>
      <c r="CJ419" s="21">
        <v>0</v>
      </c>
      <c r="CK419" s="21">
        <v>10</v>
      </c>
      <c r="CL419" s="21">
        <v>3</v>
      </c>
      <c r="CM419" s="21">
        <v>0</v>
      </c>
      <c r="CN419" s="21">
        <v>0</v>
      </c>
      <c r="CO419" s="21">
        <v>0</v>
      </c>
      <c r="CP419" s="21">
        <f t="shared" si="655"/>
        <v>0</v>
      </c>
      <c r="CQ419" s="343">
        <f t="shared" si="656"/>
        <v>1.4444444444444444</v>
      </c>
      <c r="CR419" s="40"/>
      <c r="CS419" s="39"/>
      <c r="CT419" s="38">
        <f t="shared" si="657"/>
        <v>0</v>
      </c>
      <c r="CU419" s="38">
        <f t="shared" si="658"/>
        <v>0</v>
      </c>
      <c r="CV419" s="38">
        <f t="shared" si="659"/>
        <v>0</v>
      </c>
      <c r="CW419" s="38">
        <f t="shared" si="660"/>
        <v>0</v>
      </c>
      <c r="CX419" s="38">
        <f t="shared" si="661"/>
        <v>0</v>
      </c>
      <c r="CY419" s="39">
        <f t="shared" si="662"/>
        <v>0</v>
      </c>
      <c r="CZ419" s="40">
        <f t="shared" si="663"/>
        <v>0</v>
      </c>
      <c r="DA419" s="40">
        <f t="shared" si="664"/>
        <v>0</v>
      </c>
      <c r="DB419" s="40">
        <f t="shared" si="665"/>
        <v>0</v>
      </c>
      <c r="DC419" s="40">
        <f t="shared" si="666"/>
        <v>0</v>
      </c>
      <c r="DD419" s="40">
        <f t="shared" si="667"/>
        <v>0</v>
      </c>
      <c r="DE419" s="40">
        <f t="shared" si="668"/>
        <v>0</v>
      </c>
      <c r="DF419" s="40">
        <f t="shared" si="669"/>
        <v>0</v>
      </c>
      <c r="DG419" s="40">
        <f t="shared" si="670"/>
        <v>0</v>
      </c>
      <c r="DH419" s="40">
        <f t="shared" si="671"/>
        <v>0</v>
      </c>
      <c r="DI419" s="40">
        <f t="shared" si="672"/>
        <v>0</v>
      </c>
      <c r="DJ419" s="40">
        <f t="shared" si="673"/>
        <v>0</v>
      </c>
      <c r="DK419" s="39">
        <f t="shared" si="674"/>
        <v>0</v>
      </c>
      <c r="DL419" s="40">
        <f t="shared" si="675"/>
        <v>0</v>
      </c>
      <c r="DM419" s="40">
        <f t="shared" si="676"/>
        <v>0</v>
      </c>
      <c r="DN419" s="40">
        <f t="shared" si="677"/>
        <v>0</v>
      </c>
      <c r="DO419" s="40">
        <f t="shared" si="678"/>
        <v>77</v>
      </c>
      <c r="DP419" s="40">
        <f t="shared" si="679"/>
        <v>123</v>
      </c>
      <c r="DQ419" s="40">
        <f t="shared" si="680"/>
        <v>26</v>
      </c>
      <c r="DR419" s="40">
        <f t="shared" si="623"/>
        <v>0</v>
      </c>
      <c r="DS419" s="40">
        <f t="shared" si="624"/>
        <v>0</v>
      </c>
      <c r="DT419" s="40">
        <f t="shared" si="681"/>
        <v>0</v>
      </c>
      <c r="DU419" s="40">
        <f t="shared" si="682"/>
        <v>1.4444444444444444</v>
      </c>
      <c r="DV419" s="40">
        <f t="shared" si="683"/>
        <v>0</v>
      </c>
      <c r="DW419" s="40">
        <f t="shared" si="684"/>
        <v>0</v>
      </c>
    </row>
    <row r="420" spans="1:127">
      <c r="A420" s="22" t="s">
        <v>33</v>
      </c>
      <c r="B420" s="26">
        <v>4987176337160</v>
      </c>
      <c r="C420" s="22" t="s">
        <v>34</v>
      </c>
      <c r="D420" s="22" t="s">
        <v>36</v>
      </c>
      <c r="E420" s="22">
        <v>275188</v>
      </c>
      <c r="F420" s="80" t="s">
        <v>508</v>
      </c>
      <c r="G420" s="25">
        <v>225.69</v>
      </c>
      <c r="H420" s="38">
        <f t="shared" si="629"/>
        <v>0</v>
      </c>
      <c r="I420" s="38">
        <f t="shared" si="630"/>
        <v>0</v>
      </c>
      <c r="J420" s="38">
        <f t="shared" si="631"/>
        <v>0</v>
      </c>
      <c r="K420" s="38">
        <f t="shared" si="632"/>
        <v>0</v>
      </c>
      <c r="L420" s="38">
        <f t="shared" si="633"/>
        <v>0</v>
      </c>
      <c r="M420" s="39">
        <f t="shared" si="634"/>
        <v>0</v>
      </c>
      <c r="N420" s="40">
        <f t="shared" si="635"/>
        <v>0</v>
      </c>
      <c r="O420" s="40">
        <f t="shared" si="636"/>
        <v>0</v>
      </c>
      <c r="P420" s="40">
        <f t="shared" si="637"/>
        <v>0</v>
      </c>
      <c r="Q420" s="40">
        <f t="shared" si="638"/>
        <v>0</v>
      </c>
      <c r="R420" s="40">
        <f t="shared" si="639"/>
        <v>0</v>
      </c>
      <c r="S420" s="40">
        <f t="shared" si="640"/>
        <v>0</v>
      </c>
      <c r="T420" s="40">
        <f t="shared" si="641"/>
        <v>0</v>
      </c>
      <c r="U420" s="40">
        <f t="shared" si="642"/>
        <v>0</v>
      </c>
      <c r="V420" s="40">
        <f t="shared" si="643"/>
        <v>0</v>
      </c>
      <c r="W420" s="40">
        <f t="shared" si="644"/>
        <v>0</v>
      </c>
      <c r="X420" s="40">
        <f t="shared" si="645"/>
        <v>0</v>
      </c>
      <c r="Y420" s="39">
        <f t="shared" si="646"/>
        <v>0</v>
      </c>
      <c r="Z420" s="40">
        <f t="shared" si="647"/>
        <v>0</v>
      </c>
      <c r="AA420" s="40">
        <f t="shared" si="648"/>
        <v>0</v>
      </c>
      <c r="AB420" s="40">
        <f t="shared" si="649"/>
        <v>902.76</v>
      </c>
      <c r="AC420" s="40">
        <f t="shared" si="650"/>
        <v>83279.61</v>
      </c>
      <c r="AD420" s="40">
        <f t="shared" si="651"/>
        <v>246453.48</v>
      </c>
      <c r="AE420" s="40">
        <f t="shared" si="652"/>
        <v>266991.27</v>
      </c>
      <c r="AF420" s="40">
        <f t="shared" si="653"/>
        <v>232235.01</v>
      </c>
      <c r="AG420" s="40">
        <f t="shared" si="654"/>
        <v>294074.07</v>
      </c>
      <c r="AH420" s="40">
        <f t="shared" si="625"/>
        <v>216888.09</v>
      </c>
      <c r="AI420" s="40">
        <f t="shared" si="626"/>
        <v>281259.89333333331</v>
      </c>
      <c r="AJ420" s="40">
        <f t="shared" si="627"/>
        <v>0</v>
      </c>
      <c r="AK420" s="39">
        <f t="shared" si="628"/>
        <v>0</v>
      </c>
      <c r="AL420" s="38">
        <v>0</v>
      </c>
      <c r="AM420" s="38">
        <v>0</v>
      </c>
      <c r="AN420" s="38">
        <v>0</v>
      </c>
      <c r="AO420" s="38">
        <v>0</v>
      </c>
      <c r="AP420" s="38">
        <v>0</v>
      </c>
      <c r="AQ420" s="39">
        <v>0</v>
      </c>
      <c r="AR420" s="40">
        <v>0</v>
      </c>
      <c r="AS420" s="40">
        <v>0</v>
      </c>
      <c r="AT420" s="40">
        <v>0</v>
      </c>
      <c r="AU420" s="40">
        <v>0</v>
      </c>
      <c r="AV420" s="40">
        <v>0</v>
      </c>
      <c r="AW420" s="40">
        <v>0</v>
      </c>
      <c r="AX420" s="40">
        <v>0</v>
      </c>
      <c r="AY420" s="40">
        <v>0</v>
      </c>
      <c r="AZ420" s="40">
        <v>0</v>
      </c>
      <c r="BA420" s="40">
        <v>0</v>
      </c>
      <c r="BB420" s="40">
        <v>0</v>
      </c>
      <c r="BC420" s="39">
        <v>0</v>
      </c>
      <c r="BD420" s="40">
        <v>0</v>
      </c>
      <c r="BE420" s="40">
        <v>0</v>
      </c>
      <c r="BF420" s="40">
        <v>0</v>
      </c>
      <c r="BG420" s="40">
        <f>VLOOKUP(E420,'[1]Offline Offtake'!$G$522:$FL$619,161,0)</f>
        <v>248</v>
      </c>
      <c r="BH420" s="40">
        <v>996</v>
      </c>
      <c r="BI420" s="40">
        <v>1166</v>
      </c>
      <c r="BJ420" s="40">
        <v>984</v>
      </c>
      <c r="BK420" s="40">
        <v>1286</v>
      </c>
      <c r="BL420" s="40">
        <v>944</v>
      </c>
      <c r="BM420" s="40">
        <v>1211</v>
      </c>
      <c r="BN420" s="40"/>
      <c r="BO420" s="39"/>
      <c r="BP420" s="21">
        <v>0</v>
      </c>
      <c r="BQ420" s="21">
        <v>0</v>
      </c>
      <c r="BR420" s="21">
        <v>0</v>
      </c>
      <c r="BS420" s="21">
        <v>0</v>
      </c>
      <c r="BT420" s="21">
        <v>0</v>
      </c>
      <c r="BU420" s="42">
        <v>0</v>
      </c>
      <c r="BV420" s="21">
        <v>0</v>
      </c>
      <c r="BW420" s="21">
        <v>0</v>
      </c>
      <c r="BX420" s="21">
        <v>0</v>
      </c>
      <c r="BY420" s="21">
        <v>0</v>
      </c>
      <c r="BZ420" s="21">
        <v>0</v>
      </c>
      <c r="CA420" s="21">
        <v>0</v>
      </c>
      <c r="CB420" s="21">
        <v>0</v>
      </c>
      <c r="CC420" s="21">
        <v>0</v>
      </c>
      <c r="CD420" s="21">
        <v>0</v>
      </c>
      <c r="CE420" s="21">
        <v>0</v>
      </c>
      <c r="CF420" s="21">
        <v>0</v>
      </c>
      <c r="CG420" s="42">
        <v>0</v>
      </c>
      <c r="CH420" s="21">
        <v>0</v>
      </c>
      <c r="CI420" s="21">
        <v>0</v>
      </c>
      <c r="CJ420" s="21">
        <v>4</v>
      </c>
      <c r="CK420" s="21">
        <v>121</v>
      </c>
      <c r="CL420" s="21">
        <v>96</v>
      </c>
      <c r="CM420" s="21">
        <v>17</v>
      </c>
      <c r="CN420" s="21">
        <v>45</v>
      </c>
      <c r="CO420" s="21">
        <v>17</v>
      </c>
      <c r="CP420" s="21">
        <f t="shared" si="655"/>
        <v>17</v>
      </c>
      <c r="CQ420" s="343">
        <f t="shared" si="656"/>
        <v>35.222222222222221</v>
      </c>
      <c r="CR420" s="40"/>
      <c r="CS420" s="39"/>
      <c r="CT420" s="38">
        <f t="shared" si="657"/>
        <v>0</v>
      </c>
      <c r="CU420" s="38">
        <f t="shared" si="658"/>
        <v>0</v>
      </c>
      <c r="CV420" s="38">
        <f t="shared" si="659"/>
        <v>0</v>
      </c>
      <c r="CW420" s="38">
        <f t="shared" si="660"/>
        <v>0</v>
      </c>
      <c r="CX420" s="38">
        <f t="shared" si="661"/>
        <v>0</v>
      </c>
      <c r="CY420" s="39">
        <f t="shared" si="662"/>
        <v>0</v>
      </c>
      <c r="CZ420" s="40">
        <f t="shared" si="663"/>
        <v>0</v>
      </c>
      <c r="DA420" s="40">
        <f t="shared" si="664"/>
        <v>0</v>
      </c>
      <c r="DB420" s="40">
        <f t="shared" si="665"/>
        <v>0</v>
      </c>
      <c r="DC420" s="40">
        <f t="shared" si="666"/>
        <v>0</v>
      </c>
      <c r="DD420" s="40">
        <f t="shared" si="667"/>
        <v>0</v>
      </c>
      <c r="DE420" s="40">
        <f t="shared" si="668"/>
        <v>0</v>
      </c>
      <c r="DF420" s="40">
        <f t="shared" si="669"/>
        <v>0</v>
      </c>
      <c r="DG420" s="40">
        <f t="shared" si="670"/>
        <v>0</v>
      </c>
      <c r="DH420" s="40">
        <f t="shared" si="671"/>
        <v>0</v>
      </c>
      <c r="DI420" s="40">
        <f t="shared" si="672"/>
        <v>0</v>
      </c>
      <c r="DJ420" s="40">
        <f t="shared" si="673"/>
        <v>0</v>
      </c>
      <c r="DK420" s="39">
        <f t="shared" si="674"/>
        <v>0</v>
      </c>
      <c r="DL420" s="40">
        <f t="shared" si="675"/>
        <v>0</v>
      </c>
      <c r="DM420" s="40">
        <f t="shared" si="676"/>
        <v>0</v>
      </c>
      <c r="DN420" s="40">
        <f t="shared" si="677"/>
        <v>4</v>
      </c>
      <c r="DO420" s="40">
        <f t="shared" si="678"/>
        <v>369</v>
      </c>
      <c r="DP420" s="40">
        <f t="shared" si="679"/>
        <v>1092</v>
      </c>
      <c r="DQ420" s="40">
        <f t="shared" si="680"/>
        <v>1183</v>
      </c>
      <c r="DR420" s="40">
        <f t="shared" si="623"/>
        <v>1029</v>
      </c>
      <c r="DS420" s="40">
        <f t="shared" si="624"/>
        <v>1303</v>
      </c>
      <c r="DT420" s="40">
        <f t="shared" si="681"/>
        <v>961</v>
      </c>
      <c r="DU420" s="40">
        <f t="shared" si="682"/>
        <v>1246.2222222222222</v>
      </c>
      <c r="DV420" s="40">
        <f t="shared" si="683"/>
        <v>0</v>
      </c>
      <c r="DW420" s="40">
        <f t="shared" si="684"/>
        <v>0</v>
      </c>
    </row>
    <row r="421" spans="1:127">
      <c r="A421" s="22" t="s">
        <v>33</v>
      </c>
      <c r="B421" s="26">
        <v>4987176337153</v>
      </c>
      <c r="C421" s="22" t="s">
        <v>34</v>
      </c>
      <c r="D421" s="22" t="s">
        <v>36</v>
      </c>
      <c r="E421" s="22">
        <v>275192</v>
      </c>
      <c r="F421" s="80" t="s">
        <v>509</v>
      </c>
      <c r="G421" s="25">
        <v>225.69</v>
      </c>
      <c r="H421" s="38">
        <f t="shared" si="629"/>
        <v>0</v>
      </c>
      <c r="I421" s="38">
        <f t="shared" si="630"/>
        <v>0</v>
      </c>
      <c r="J421" s="38">
        <f t="shared" si="631"/>
        <v>0</v>
      </c>
      <c r="K421" s="38">
        <f t="shared" si="632"/>
        <v>0</v>
      </c>
      <c r="L421" s="38">
        <f t="shared" si="633"/>
        <v>0</v>
      </c>
      <c r="M421" s="39">
        <f t="shared" si="634"/>
        <v>0</v>
      </c>
      <c r="N421" s="40">
        <f t="shared" si="635"/>
        <v>0</v>
      </c>
      <c r="O421" s="40">
        <f t="shared" si="636"/>
        <v>0</v>
      </c>
      <c r="P421" s="40">
        <f t="shared" si="637"/>
        <v>0</v>
      </c>
      <c r="Q421" s="40">
        <f t="shared" si="638"/>
        <v>0</v>
      </c>
      <c r="R421" s="40">
        <f t="shared" si="639"/>
        <v>0</v>
      </c>
      <c r="S421" s="40">
        <f t="shared" si="640"/>
        <v>0</v>
      </c>
      <c r="T421" s="40">
        <f t="shared" si="641"/>
        <v>0</v>
      </c>
      <c r="U421" s="40">
        <f t="shared" si="642"/>
        <v>0</v>
      </c>
      <c r="V421" s="40">
        <f t="shared" si="643"/>
        <v>0</v>
      </c>
      <c r="W421" s="40">
        <f t="shared" si="644"/>
        <v>0</v>
      </c>
      <c r="X421" s="40">
        <f t="shared" si="645"/>
        <v>0</v>
      </c>
      <c r="Y421" s="39">
        <f t="shared" si="646"/>
        <v>0</v>
      </c>
      <c r="Z421" s="40">
        <f t="shared" si="647"/>
        <v>0</v>
      </c>
      <c r="AA421" s="40">
        <f t="shared" si="648"/>
        <v>0</v>
      </c>
      <c r="AB421" s="40">
        <f t="shared" si="649"/>
        <v>0</v>
      </c>
      <c r="AC421" s="40">
        <f t="shared" si="650"/>
        <v>79217.19</v>
      </c>
      <c r="AD421" s="40">
        <f t="shared" si="651"/>
        <v>247807.62</v>
      </c>
      <c r="AE421" s="40">
        <f t="shared" si="652"/>
        <v>264508.68</v>
      </c>
      <c r="AF421" s="40">
        <f t="shared" si="653"/>
        <v>208537.56</v>
      </c>
      <c r="AG421" s="40">
        <f t="shared" si="654"/>
        <v>259769.19</v>
      </c>
      <c r="AH421" s="40">
        <f t="shared" si="625"/>
        <v>190708.05</v>
      </c>
      <c r="AI421" s="40">
        <f t="shared" si="626"/>
        <v>254503.09000000003</v>
      </c>
      <c r="AJ421" s="40">
        <f t="shared" si="627"/>
        <v>0</v>
      </c>
      <c r="AK421" s="39">
        <f t="shared" si="628"/>
        <v>0</v>
      </c>
      <c r="AL421" s="38">
        <v>0</v>
      </c>
      <c r="AM421" s="38">
        <v>0</v>
      </c>
      <c r="AN421" s="38">
        <v>0</v>
      </c>
      <c r="AO421" s="38">
        <v>0</v>
      </c>
      <c r="AP421" s="38">
        <v>0</v>
      </c>
      <c r="AQ421" s="39">
        <v>0</v>
      </c>
      <c r="AR421" s="40">
        <v>0</v>
      </c>
      <c r="AS421" s="40">
        <v>0</v>
      </c>
      <c r="AT421" s="40">
        <v>0</v>
      </c>
      <c r="AU421" s="40">
        <v>0</v>
      </c>
      <c r="AV421" s="40">
        <v>0</v>
      </c>
      <c r="AW421" s="40">
        <v>0</v>
      </c>
      <c r="AX421" s="40">
        <v>0</v>
      </c>
      <c r="AY421" s="40">
        <v>0</v>
      </c>
      <c r="AZ421" s="40">
        <v>0</v>
      </c>
      <c r="BA421" s="40">
        <v>0</v>
      </c>
      <c r="BB421" s="40">
        <v>0</v>
      </c>
      <c r="BC421" s="39">
        <v>0</v>
      </c>
      <c r="BD421" s="40">
        <v>0</v>
      </c>
      <c r="BE421" s="40">
        <v>0</v>
      </c>
      <c r="BF421" s="40">
        <v>0</v>
      </c>
      <c r="BG421" s="40">
        <f>VLOOKUP(E421,'[1]Offline Offtake'!$G$522:$FL$619,161,0)</f>
        <v>252</v>
      </c>
      <c r="BH421" s="40">
        <v>990</v>
      </c>
      <c r="BI421" s="40">
        <v>1145</v>
      </c>
      <c r="BJ421" s="40">
        <v>857</v>
      </c>
      <c r="BK421" s="40">
        <v>1141</v>
      </c>
      <c r="BL421" s="40">
        <v>835</v>
      </c>
      <c r="BM421" s="40">
        <v>1092</v>
      </c>
      <c r="BN421" s="40"/>
      <c r="BO421" s="39"/>
      <c r="BP421" s="21">
        <v>0</v>
      </c>
      <c r="BQ421" s="21">
        <v>0</v>
      </c>
      <c r="BR421" s="21">
        <v>0</v>
      </c>
      <c r="BS421" s="21">
        <v>0</v>
      </c>
      <c r="BT421" s="21">
        <v>0</v>
      </c>
      <c r="BU421" s="42">
        <v>0</v>
      </c>
      <c r="BV421" s="21">
        <v>0</v>
      </c>
      <c r="BW421" s="21">
        <v>0</v>
      </c>
      <c r="BX421" s="21">
        <v>0</v>
      </c>
      <c r="BY421" s="21">
        <v>0</v>
      </c>
      <c r="BZ421" s="21">
        <v>0</v>
      </c>
      <c r="CA421" s="21">
        <v>0</v>
      </c>
      <c r="CB421" s="21">
        <v>0</v>
      </c>
      <c r="CC421" s="21">
        <v>0</v>
      </c>
      <c r="CD421" s="21">
        <v>0</v>
      </c>
      <c r="CE421" s="21">
        <v>0</v>
      </c>
      <c r="CF421" s="21">
        <v>0</v>
      </c>
      <c r="CG421" s="42">
        <v>0</v>
      </c>
      <c r="CH421" s="21">
        <v>0</v>
      </c>
      <c r="CI421" s="21">
        <v>0</v>
      </c>
      <c r="CJ421" s="21">
        <v>0</v>
      </c>
      <c r="CK421" s="21">
        <v>99</v>
      </c>
      <c r="CL421" s="21">
        <v>108</v>
      </c>
      <c r="CM421" s="21">
        <v>27</v>
      </c>
      <c r="CN421" s="21">
        <v>67</v>
      </c>
      <c r="CO421" s="21">
        <v>10</v>
      </c>
      <c r="CP421" s="21">
        <f t="shared" si="655"/>
        <v>10</v>
      </c>
      <c r="CQ421" s="343">
        <f t="shared" si="656"/>
        <v>35.666666666666664</v>
      </c>
      <c r="CR421" s="40"/>
      <c r="CS421" s="39"/>
      <c r="CT421" s="38">
        <f t="shared" si="657"/>
        <v>0</v>
      </c>
      <c r="CU421" s="38">
        <f t="shared" si="658"/>
        <v>0</v>
      </c>
      <c r="CV421" s="38">
        <f t="shared" si="659"/>
        <v>0</v>
      </c>
      <c r="CW421" s="38">
        <f t="shared" si="660"/>
        <v>0</v>
      </c>
      <c r="CX421" s="38">
        <f t="shared" si="661"/>
        <v>0</v>
      </c>
      <c r="CY421" s="39">
        <f t="shared" si="662"/>
        <v>0</v>
      </c>
      <c r="CZ421" s="40">
        <f t="shared" si="663"/>
        <v>0</v>
      </c>
      <c r="DA421" s="40">
        <f t="shared" si="664"/>
        <v>0</v>
      </c>
      <c r="DB421" s="40">
        <f t="shared" si="665"/>
        <v>0</v>
      </c>
      <c r="DC421" s="40">
        <f t="shared" si="666"/>
        <v>0</v>
      </c>
      <c r="DD421" s="40">
        <f t="shared" si="667"/>
        <v>0</v>
      </c>
      <c r="DE421" s="40">
        <f t="shared" si="668"/>
        <v>0</v>
      </c>
      <c r="DF421" s="40">
        <f t="shared" si="669"/>
        <v>0</v>
      </c>
      <c r="DG421" s="40">
        <f t="shared" si="670"/>
        <v>0</v>
      </c>
      <c r="DH421" s="40">
        <f t="shared" si="671"/>
        <v>0</v>
      </c>
      <c r="DI421" s="40">
        <f t="shared" si="672"/>
        <v>0</v>
      </c>
      <c r="DJ421" s="40">
        <f t="shared" si="673"/>
        <v>0</v>
      </c>
      <c r="DK421" s="39">
        <f t="shared" si="674"/>
        <v>0</v>
      </c>
      <c r="DL421" s="40">
        <f t="shared" si="675"/>
        <v>0</v>
      </c>
      <c r="DM421" s="40">
        <f t="shared" si="676"/>
        <v>0</v>
      </c>
      <c r="DN421" s="40">
        <f t="shared" si="677"/>
        <v>0</v>
      </c>
      <c r="DO421" s="40">
        <f t="shared" si="678"/>
        <v>351</v>
      </c>
      <c r="DP421" s="40">
        <f t="shared" si="679"/>
        <v>1098</v>
      </c>
      <c r="DQ421" s="40">
        <f t="shared" si="680"/>
        <v>1172</v>
      </c>
      <c r="DR421" s="40">
        <f t="shared" si="623"/>
        <v>924</v>
      </c>
      <c r="DS421" s="40">
        <f t="shared" si="624"/>
        <v>1151</v>
      </c>
      <c r="DT421" s="40">
        <f t="shared" si="681"/>
        <v>845</v>
      </c>
      <c r="DU421" s="40">
        <f t="shared" si="682"/>
        <v>1127.6666666666667</v>
      </c>
      <c r="DV421" s="40">
        <f t="shared" si="683"/>
        <v>0</v>
      </c>
      <c r="DW421" s="40">
        <f t="shared" si="684"/>
        <v>0</v>
      </c>
    </row>
    <row r="422" spans="1:127">
      <c r="A422" s="22" t="s">
        <v>33</v>
      </c>
      <c r="B422" s="26">
        <v>4987176342867</v>
      </c>
      <c r="C422" s="22" t="s">
        <v>34</v>
      </c>
      <c r="D422" s="22" t="s">
        <v>35</v>
      </c>
      <c r="E422" s="22">
        <v>275200</v>
      </c>
      <c r="F422" s="80" t="s">
        <v>510</v>
      </c>
      <c r="G422" s="25">
        <v>180</v>
      </c>
      <c r="H422" s="38">
        <f t="shared" si="629"/>
        <v>0</v>
      </c>
      <c r="I422" s="38">
        <f t="shared" si="630"/>
        <v>0</v>
      </c>
      <c r="J422" s="38">
        <f t="shared" si="631"/>
        <v>0</v>
      </c>
      <c r="K422" s="38">
        <f t="shared" si="632"/>
        <v>0</v>
      </c>
      <c r="L422" s="38">
        <f t="shared" si="633"/>
        <v>0</v>
      </c>
      <c r="M422" s="39">
        <f t="shared" si="634"/>
        <v>0</v>
      </c>
      <c r="N422" s="40">
        <f t="shared" si="635"/>
        <v>0</v>
      </c>
      <c r="O422" s="40">
        <f t="shared" si="636"/>
        <v>0</v>
      </c>
      <c r="P422" s="40">
        <f t="shared" si="637"/>
        <v>0</v>
      </c>
      <c r="Q422" s="40">
        <f t="shared" si="638"/>
        <v>0</v>
      </c>
      <c r="R422" s="40">
        <f t="shared" si="639"/>
        <v>0</v>
      </c>
      <c r="S422" s="40">
        <f t="shared" si="640"/>
        <v>0</v>
      </c>
      <c r="T422" s="40">
        <f t="shared" si="641"/>
        <v>0</v>
      </c>
      <c r="U422" s="40">
        <f t="shared" si="642"/>
        <v>0</v>
      </c>
      <c r="V422" s="40">
        <f t="shared" si="643"/>
        <v>0</v>
      </c>
      <c r="W422" s="40">
        <f t="shared" si="644"/>
        <v>0</v>
      </c>
      <c r="X422" s="40">
        <f t="shared" si="645"/>
        <v>0</v>
      </c>
      <c r="Y422" s="39">
        <f t="shared" si="646"/>
        <v>0</v>
      </c>
      <c r="Z422" s="40">
        <f t="shared" si="647"/>
        <v>0</v>
      </c>
      <c r="AA422" s="40">
        <f t="shared" si="648"/>
        <v>0</v>
      </c>
      <c r="AB422" s="40">
        <f t="shared" si="649"/>
        <v>180</v>
      </c>
      <c r="AC422" s="40">
        <f t="shared" si="650"/>
        <v>30060</v>
      </c>
      <c r="AD422" s="40">
        <f t="shared" si="651"/>
        <v>83700</v>
      </c>
      <c r="AE422" s="40">
        <f t="shared" si="652"/>
        <v>117900</v>
      </c>
      <c r="AF422" s="40">
        <f t="shared" si="653"/>
        <v>91440</v>
      </c>
      <c r="AG422" s="40">
        <f t="shared" si="654"/>
        <v>210240</v>
      </c>
      <c r="AH422" s="40">
        <f t="shared" si="625"/>
        <v>102780</v>
      </c>
      <c r="AI422" s="40">
        <f t="shared" si="626"/>
        <v>118460</v>
      </c>
      <c r="AJ422" s="40">
        <f t="shared" si="627"/>
        <v>0</v>
      </c>
      <c r="AK422" s="39">
        <f t="shared" si="628"/>
        <v>0</v>
      </c>
      <c r="AL422" s="38">
        <v>0</v>
      </c>
      <c r="AM422" s="38">
        <v>0</v>
      </c>
      <c r="AN422" s="38">
        <v>0</v>
      </c>
      <c r="AO422" s="38">
        <v>0</v>
      </c>
      <c r="AP422" s="38">
        <v>0</v>
      </c>
      <c r="AQ422" s="39">
        <v>0</v>
      </c>
      <c r="AR422" s="40">
        <v>0</v>
      </c>
      <c r="AS422" s="40">
        <v>0</v>
      </c>
      <c r="AT422" s="40">
        <v>0</v>
      </c>
      <c r="AU422" s="40">
        <v>0</v>
      </c>
      <c r="AV422" s="40">
        <v>0</v>
      </c>
      <c r="AW422" s="40">
        <v>0</v>
      </c>
      <c r="AX422" s="40">
        <v>0</v>
      </c>
      <c r="AY422" s="40">
        <v>0</v>
      </c>
      <c r="AZ422" s="40">
        <v>0</v>
      </c>
      <c r="BA422" s="40">
        <v>0</v>
      </c>
      <c r="BB422" s="40">
        <v>0</v>
      </c>
      <c r="BC422" s="39">
        <v>0</v>
      </c>
      <c r="BD422" s="40">
        <v>0</v>
      </c>
      <c r="BE422" s="40">
        <v>0</v>
      </c>
      <c r="BF422" s="40">
        <v>0</v>
      </c>
      <c r="BG422" s="40">
        <f>VLOOKUP(E422,'[1]Offline Offtake'!$G$522:$FL$619,161,0)</f>
        <v>135</v>
      </c>
      <c r="BH422" s="40">
        <v>421</v>
      </c>
      <c r="BI422" s="40">
        <v>607</v>
      </c>
      <c r="BJ422" s="40">
        <v>463</v>
      </c>
      <c r="BK422" s="40">
        <v>1140</v>
      </c>
      <c r="BL422" s="40">
        <v>543</v>
      </c>
      <c r="BM422" s="40">
        <v>633</v>
      </c>
      <c r="BN422" s="40"/>
      <c r="BO422" s="39"/>
      <c r="BP422" s="21">
        <v>0</v>
      </c>
      <c r="BQ422" s="21">
        <v>0</v>
      </c>
      <c r="BR422" s="21">
        <v>0</v>
      </c>
      <c r="BS422" s="21">
        <v>0</v>
      </c>
      <c r="BT422" s="21">
        <v>0</v>
      </c>
      <c r="BU422" s="42">
        <v>0</v>
      </c>
      <c r="BV422" s="21">
        <v>0</v>
      </c>
      <c r="BW422" s="21">
        <v>0</v>
      </c>
      <c r="BX422" s="21">
        <v>0</v>
      </c>
      <c r="BY422" s="21">
        <v>0</v>
      </c>
      <c r="BZ422" s="21">
        <v>0</v>
      </c>
      <c r="CA422" s="21">
        <v>0</v>
      </c>
      <c r="CB422" s="21">
        <v>0</v>
      </c>
      <c r="CC422" s="21">
        <v>0</v>
      </c>
      <c r="CD422" s="21">
        <v>0</v>
      </c>
      <c r="CE422" s="21">
        <v>0</v>
      </c>
      <c r="CF422" s="21">
        <v>0</v>
      </c>
      <c r="CG422" s="42">
        <v>0</v>
      </c>
      <c r="CH422" s="21">
        <v>0</v>
      </c>
      <c r="CI422" s="21">
        <v>0</v>
      </c>
      <c r="CJ422" s="21">
        <v>1</v>
      </c>
      <c r="CK422" s="21">
        <v>32</v>
      </c>
      <c r="CL422" s="21">
        <v>44</v>
      </c>
      <c r="CM422" s="21">
        <v>48</v>
      </c>
      <c r="CN422" s="21">
        <v>45</v>
      </c>
      <c r="CO422" s="21">
        <v>28</v>
      </c>
      <c r="CP422" s="21">
        <f t="shared" si="655"/>
        <v>28</v>
      </c>
      <c r="CQ422" s="343">
        <f t="shared" si="656"/>
        <v>25.111111111111111</v>
      </c>
      <c r="CR422" s="40"/>
      <c r="CS422" s="39"/>
      <c r="CT422" s="38">
        <f t="shared" si="657"/>
        <v>0</v>
      </c>
      <c r="CU422" s="38">
        <f t="shared" si="658"/>
        <v>0</v>
      </c>
      <c r="CV422" s="38">
        <f t="shared" si="659"/>
        <v>0</v>
      </c>
      <c r="CW422" s="38">
        <f t="shared" si="660"/>
        <v>0</v>
      </c>
      <c r="CX422" s="38">
        <f t="shared" si="661"/>
        <v>0</v>
      </c>
      <c r="CY422" s="39">
        <f t="shared" si="662"/>
        <v>0</v>
      </c>
      <c r="CZ422" s="40">
        <f t="shared" si="663"/>
        <v>0</v>
      </c>
      <c r="DA422" s="40">
        <f t="shared" si="664"/>
        <v>0</v>
      </c>
      <c r="DB422" s="40">
        <f t="shared" si="665"/>
        <v>0</v>
      </c>
      <c r="DC422" s="40">
        <f t="shared" si="666"/>
        <v>0</v>
      </c>
      <c r="DD422" s="40">
        <f t="shared" si="667"/>
        <v>0</v>
      </c>
      <c r="DE422" s="40">
        <f t="shared" si="668"/>
        <v>0</v>
      </c>
      <c r="DF422" s="40">
        <f t="shared" si="669"/>
        <v>0</v>
      </c>
      <c r="DG422" s="40">
        <f t="shared" si="670"/>
        <v>0</v>
      </c>
      <c r="DH422" s="40">
        <f t="shared" si="671"/>
        <v>0</v>
      </c>
      <c r="DI422" s="40">
        <f t="shared" si="672"/>
        <v>0</v>
      </c>
      <c r="DJ422" s="40">
        <f t="shared" si="673"/>
        <v>0</v>
      </c>
      <c r="DK422" s="39">
        <f t="shared" si="674"/>
        <v>0</v>
      </c>
      <c r="DL422" s="40">
        <f t="shared" si="675"/>
        <v>0</v>
      </c>
      <c r="DM422" s="40">
        <f t="shared" si="676"/>
        <v>0</v>
      </c>
      <c r="DN422" s="40">
        <f t="shared" si="677"/>
        <v>1</v>
      </c>
      <c r="DO422" s="40">
        <f t="shared" si="678"/>
        <v>167</v>
      </c>
      <c r="DP422" s="40">
        <f t="shared" si="679"/>
        <v>465</v>
      </c>
      <c r="DQ422" s="40">
        <f t="shared" si="680"/>
        <v>655</v>
      </c>
      <c r="DR422" s="40">
        <f t="shared" si="623"/>
        <v>508</v>
      </c>
      <c r="DS422" s="40">
        <f t="shared" si="624"/>
        <v>1168</v>
      </c>
      <c r="DT422" s="40">
        <f t="shared" si="681"/>
        <v>571</v>
      </c>
      <c r="DU422" s="40">
        <f t="shared" si="682"/>
        <v>658.11111111111109</v>
      </c>
      <c r="DV422" s="40">
        <f t="shared" si="683"/>
        <v>0</v>
      </c>
      <c r="DW422" s="40">
        <f t="shared" si="684"/>
        <v>0</v>
      </c>
    </row>
    <row r="423" spans="1:127">
      <c r="A423" s="22" t="s">
        <v>33</v>
      </c>
      <c r="B423" s="26">
        <v>4987176340870</v>
      </c>
      <c r="C423" s="22" t="s">
        <v>34</v>
      </c>
      <c r="D423" s="22" t="s">
        <v>35</v>
      </c>
      <c r="E423" s="22">
        <v>275210</v>
      </c>
      <c r="F423" s="80" t="s">
        <v>511</v>
      </c>
      <c r="G423" s="25">
        <v>213.9</v>
      </c>
      <c r="H423" s="38">
        <f t="shared" si="629"/>
        <v>0</v>
      </c>
      <c r="I423" s="38">
        <f t="shared" si="630"/>
        <v>0</v>
      </c>
      <c r="J423" s="38">
        <f t="shared" si="631"/>
        <v>0</v>
      </c>
      <c r="K423" s="38">
        <f t="shared" si="632"/>
        <v>0</v>
      </c>
      <c r="L423" s="38">
        <f t="shared" si="633"/>
        <v>0</v>
      </c>
      <c r="M423" s="39">
        <f t="shared" si="634"/>
        <v>0</v>
      </c>
      <c r="N423" s="40">
        <f t="shared" si="635"/>
        <v>0</v>
      </c>
      <c r="O423" s="40">
        <f t="shared" si="636"/>
        <v>0</v>
      </c>
      <c r="P423" s="40">
        <f t="shared" si="637"/>
        <v>0</v>
      </c>
      <c r="Q423" s="40">
        <f t="shared" si="638"/>
        <v>0</v>
      </c>
      <c r="R423" s="40">
        <f t="shared" si="639"/>
        <v>0</v>
      </c>
      <c r="S423" s="40">
        <f t="shared" si="640"/>
        <v>0</v>
      </c>
      <c r="T423" s="40">
        <f t="shared" si="641"/>
        <v>0</v>
      </c>
      <c r="U423" s="40">
        <f t="shared" si="642"/>
        <v>0</v>
      </c>
      <c r="V423" s="40">
        <f t="shared" si="643"/>
        <v>0</v>
      </c>
      <c r="W423" s="40">
        <f t="shared" si="644"/>
        <v>0</v>
      </c>
      <c r="X423" s="40">
        <f t="shared" si="645"/>
        <v>0</v>
      </c>
      <c r="Y423" s="39">
        <f t="shared" si="646"/>
        <v>0</v>
      </c>
      <c r="Z423" s="40">
        <f t="shared" si="647"/>
        <v>0</v>
      </c>
      <c r="AA423" s="40">
        <f t="shared" si="648"/>
        <v>0</v>
      </c>
      <c r="AB423" s="40">
        <f t="shared" si="649"/>
        <v>213.9</v>
      </c>
      <c r="AC423" s="40">
        <f t="shared" si="650"/>
        <v>22031.7</v>
      </c>
      <c r="AD423" s="40">
        <f t="shared" si="651"/>
        <v>50908.200000000004</v>
      </c>
      <c r="AE423" s="40">
        <f t="shared" si="652"/>
        <v>66950.7</v>
      </c>
      <c r="AF423" s="40">
        <f t="shared" si="653"/>
        <v>53902.8</v>
      </c>
      <c r="AG423" s="40">
        <f t="shared" si="654"/>
        <v>55400.1</v>
      </c>
      <c r="AH423" s="40">
        <f t="shared" si="625"/>
        <v>40641</v>
      </c>
      <c r="AI423" s="40">
        <f t="shared" si="626"/>
        <v>60913.966666666667</v>
      </c>
      <c r="AJ423" s="40">
        <f t="shared" si="627"/>
        <v>0</v>
      </c>
      <c r="AK423" s="39">
        <f t="shared" si="628"/>
        <v>0</v>
      </c>
      <c r="AL423" s="38">
        <v>0</v>
      </c>
      <c r="AM423" s="38">
        <v>0</v>
      </c>
      <c r="AN423" s="38">
        <v>0</v>
      </c>
      <c r="AO423" s="38">
        <v>0</v>
      </c>
      <c r="AP423" s="38">
        <v>0</v>
      </c>
      <c r="AQ423" s="39">
        <v>0</v>
      </c>
      <c r="AR423" s="40">
        <v>0</v>
      </c>
      <c r="AS423" s="40">
        <v>0</v>
      </c>
      <c r="AT423" s="40">
        <v>0</v>
      </c>
      <c r="AU423" s="40">
        <v>0</v>
      </c>
      <c r="AV423" s="40">
        <v>0</v>
      </c>
      <c r="AW423" s="40">
        <v>0</v>
      </c>
      <c r="AX423" s="40">
        <v>0</v>
      </c>
      <c r="AY423" s="40">
        <v>0</v>
      </c>
      <c r="AZ423" s="40">
        <v>0</v>
      </c>
      <c r="BA423" s="40">
        <v>0</v>
      </c>
      <c r="BB423" s="40">
        <v>0</v>
      </c>
      <c r="BC423" s="39">
        <v>0</v>
      </c>
      <c r="BD423" s="40">
        <v>0</v>
      </c>
      <c r="BE423" s="40">
        <v>0</v>
      </c>
      <c r="BF423" s="40">
        <v>0</v>
      </c>
      <c r="BG423" s="40">
        <f>VLOOKUP(E423,'[1]Offline Offtake'!$G$522:$FL$619,161,0)</f>
        <v>54</v>
      </c>
      <c r="BH423" s="40">
        <v>172</v>
      </c>
      <c r="BI423" s="40">
        <v>295</v>
      </c>
      <c r="BJ423" s="40">
        <v>204</v>
      </c>
      <c r="BK423" s="40">
        <v>243</v>
      </c>
      <c r="BL423" s="40">
        <v>174</v>
      </c>
      <c r="BM423" s="40">
        <v>261</v>
      </c>
      <c r="BN423" s="40"/>
      <c r="BO423" s="39"/>
      <c r="BP423" s="21">
        <v>0</v>
      </c>
      <c r="BQ423" s="21">
        <v>0</v>
      </c>
      <c r="BR423" s="21">
        <v>0</v>
      </c>
      <c r="BS423" s="21">
        <v>0</v>
      </c>
      <c r="BT423" s="21">
        <v>0</v>
      </c>
      <c r="BU423" s="42">
        <v>0</v>
      </c>
      <c r="BV423" s="21">
        <v>0</v>
      </c>
      <c r="BW423" s="21">
        <v>0</v>
      </c>
      <c r="BX423" s="21">
        <v>0</v>
      </c>
      <c r="BY423" s="21">
        <v>0</v>
      </c>
      <c r="BZ423" s="21">
        <v>0</v>
      </c>
      <c r="CA423" s="21">
        <v>0</v>
      </c>
      <c r="CB423" s="21">
        <v>0</v>
      </c>
      <c r="CC423" s="21">
        <v>0</v>
      </c>
      <c r="CD423" s="21">
        <v>0</v>
      </c>
      <c r="CE423" s="21">
        <v>0</v>
      </c>
      <c r="CF423" s="21">
        <v>0</v>
      </c>
      <c r="CG423" s="42">
        <v>0</v>
      </c>
      <c r="CH423" s="21">
        <v>0</v>
      </c>
      <c r="CI423" s="21">
        <v>0</v>
      </c>
      <c r="CJ423" s="21">
        <v>1</v>
      </c>
      <c r="CK423" s="21">
        <v>49</v>
      </c>
      <c r="CL423" s="21">
        <v>66</v>
      </c>
      <c r="CM423" s="21">
        <v>18</v>
      </c>
      <c r="CN423" s="21">
        <v>48</v>
      </c>
      <c r="CO423" s="21">
        <v>16</v>
      </c>
      <c r="CP423" s="21">
        <f t="shared" si="655"/>
        <v>16</v>
      </c>
      <c r="CQ423" s="343">
        <f t="shared" si="656"/>
        <v>23.777777777777779</v>
      </c>
      <c r="CR423" s="40"/>
      <c r="CS423" s="39"/>
      <c r="CT423" s="38">
        <f t="shared" si="657"/>
        <v>0</v>
      </c>
      <c r="CU423" s="38">
        <f t="shared" si="658"/>
        <v>0</v>
      </c>
      <c r="CV423" s="38">
        <f t="shared" si="659"/>
        <v>0</v>
      </c>
      <c r="CW423" s="38">
        <f t="shared" si="660"/>
        <v>0</v>
      </c>
      <c r="CX423" s="38">
        <f t="shared" si="661"/>
        <v>0</v>
      </c>
      <c r="CY423" s="39">
        <f t="shared" si="662"/>
        <v>0</v>
      </c>
      <c r="CZ423" s="40">
        <f t="shared" si="663"/>
        <v>0</v>
      </c>
      <c r="DA423" s="40">
        <f t="shared" si="664"/>
        <v>0</v>
      </c>
      <c r="DB423" s="40">
        <f t="shared" si="665"/>
        <v>0</v>
      </c>
      <c r="DC423" s="40">
        <f t="shared" si="666"/>
        <v>0</v>
      </c>
      <c r="DD423" s="40">
        <f t="shared" si="667"/>
        <v>0</v>
      </c>
      <c r="DE423" s="40">
        <f t="shared" si="668"/>
        <v>0</v>
      </c>
      <c r="DF423" s="40">
        <f t="shared" si="669"/>
        <v>0</v>
      </c>
      <c r="DG423" s="40">
        <f t="shared" si="670"/>
        <v>0</v>
      </c>
      <c r="DH423" s="40">
        <f t="shared" si="671"/>
        <v>0</v>
      </c>
      <c r="DI423" s="40">
        <f t="shared" si="672"/>
        <v>0</v>
      </c>
      <c r="DJ423" s="40">
        <f t="shared" si="673"/>
        <v>0</v>
      </c>
      <c r="DK423" s="39">
        <f t="shared" si="674"/>
        <v>0</v>
      </c>
      <c r="DL423" s="40">
        <f t="shared" si="675"/>
        <v>0</v>
      </c>
      <c r="DM423" s="40">
        <f t="shared" si="676"/>
        <v>0</v>
      </c>
      <c r="DN423" s="40">
        <f t="shared" si="677"/>
        <v>1</v>
      </c>
      <c r="DO423" s="40">
        <f t="shared" si="678"/>
        <v>103</v>
      </c>
      <c r="DP423" s="40">
        <f t="shared" si="679"/>
        <v>238</v>
      </c>
      <c r="DQ423" s="40">
        <f t="shared" si="680"/>
        <v>313</v>
      </c>
      <c r="DR423" s="40">
        <f t="shared" ref="DR423:DR486" si="685">BJ423+CN423</f>
        <v>252</v>
      </c>
      <c r="DS423" s="40">
        <f t="shared" si="624"/>
        <v>259</v>
      </c>
      <c r="DT423" s="40">
        <f t="shared" si="681"/>
        <v>190</v>
      </c>
      <c r="DU423" s="40">
        <f t="shared" si="682"/>
        <v>284.77777777777777</v>
      </c>
      <c r="DV423" s="40">
        <f t="shared" si="683"/>
        <v>0</v>
      </c>
      <c r="DW423" s="40">
        <f t="shared" si="684"/>
        <v>0</v>
      </c>
    </row>
    <row r="424" spans="1:127">
      <c r="A424" s="22" t="s">
        <v>33</v>
      </c>
      <c r="B424" s="26">
        <v>4987176337146</v>
      </c>
      <c r="C424" s="22" t="s">
        <v>34</v>
      </c>
      <c r="D424" s="22" t="s">
        <v>36</v>
      </c>
      <c r="E424" s="22">
        <v>275230</v>
      </c>
      <c r="F424" s="80" t="s">
        <v>512</v>
      </c>
      <c r="G424" s="25">
        <v>225.69</v>
      </c>
      <c r="H424" s="38">
        <f t="shared" si="629"/>
        <v>0</v>
      </c>
      <c r="I424" s="38">
        <f t="shared" si="630"/>
        <v>0</v>
      </c>
      <c r="J424" s="38">
        <f t="shared" si="631"/>
        <v>0</v>
      </c>
      <c r="K424" s="38">
        <f t="shared" si="632"/>
        <v>0</v>
      </c>
      <c r="L424" s="38">
        <f t="shared" si="633"/>
        <v>0</v>
      </c>
      <c r="M424" s="39">
        <f t="shared" si="634"/>
        <v>0</v>
      </c>
      <c r="N424" s="40">
        <f t="shared" si="635"/>
        <v>0</v>
      </c>
      <c r="O424" s="40">
        <f t="shared" si="636"/>
        <v>0</v>
      </c>
      <c r="P424" s="40">
        <f t="shared" si="637"/>
        <v>0</v>
      </c>
      <c r="Q424" s="40">
        <f t="shared" si="638"/>
        <v>0</v>
      </c>
      <c r="R424" s="40">
        <f t="shared" si="639"/>
        <v>0</v>
      </c>
      <c r="S424" s="40">
        <f t="shared" si="640"/>
        <v>0</v>
      </c>
      <c r="T424" s="40">
        <f t="shared" si="641"/>
        <v>0</v>
      </c>
      <c r="U424" s="40">
        <f t="shared" si="642"/>
        <v>0</v>
      </c>
      <c r="V424" s="40">
        <f t="shared" si="643"/>
        <v>0</v>
      </c>
      <c r="W424" s="40">
        <f t="shared" si="644"/>
        <v>0</v>
      </c>
      <c r="X424" s="40">
        <f t="shared" si="645"/>
        <v>0</v>
      </c>
      <c r="Y424" s="39">
        <f t="shared" si="646"/>
        <v>0</v>
      </c>
      <c r="Z424" s="40">
        <f t="shared" si="647"/>
        <v>0</v>
      </c>
      <c r="AA424" s="40">
        <f t="shared" si="648"/>
        <v>0</v>
      </c>
      <c r="AB424" s="40">
        <f t="shared" si="649"/>
        <v>0</v>
      </c>
      <c r="AC424" s="40">
        <f t="shared" si="650"/>
        <v>26405.73</v>
      </c>
      <c r="AD424" s="40">
        <f t="shared" si="651"/>
        <v>78540.12</v>
      </c>
      <c r="AE424" s="40">
        <f t="shared" si="652"/>
        <v>23246.07</v>
      </c>
      <c r="AF424" s="40">
        <f t="shared" si="653"/>
        <v>0</v>
      </c>
      <c r="AG424" s="40">
        <f t="shared" si="654"/>
        <v>0</v>
      </c>
      <c r="AH424" s="40">
        <f t="shared" si="625"/>
        <v>0</v>
      </c>
      <c r="AI424" s="40">
        <f t="shared" si="626"/>
        <v>2231.8233333333333</v>
      </c>
      <c r="AJ424" s="40">
        <f t="shared" si="627"/>
        <v>0</v>
      </c>
      <c r="AK424" s="39">
        <f t="shared" si="628"/>
        <v>0</v>
      </c>
      <c r="AL424" s="38">
        <v>0</v>
      </c>
      <c r="AM424" s="38">
        <v>0</v>
      </c>
      <c r="AN424" s="38">
        <v>0</v>
      </c>
      <c r="AO424" s="38">
        <v>0</v>
      </c>
      <c r="AP424" s="38">
        <v>0</v>
      </c>
      <c r="AQ424" s="39">
        <v>0</v>
      </c>
      <c r="AR424" s="40">
        <v>0</v>
      </c>
      <c r="AS424" s="40">
        <v>0</v>
      </c>
      <c r="AT424" s="40">
        <v>0</v>
      </c>
      <c r="AU424" s="40">
        <v>0</v>
      </c>
      <c r="AV424" s="40">
        <v>0</v>
      </c>
      <c r="AW424" s="40">
        <v>0</v>
      </c>
      <c r="AX424" s="40">
        <v>0</v>
      </c>
      <c r="AY424" s="40">
        <v>0</v>
      </c>
      <c r="AZ424" s="40">
        <v>0</v>
      </c>
      <c r="BA424" s="40">
        <v>0</v>
      </c>
      <c r="BB424" s="40">
        <v>0</v>
      </c>
      <c r="BC424" s="39">
        <v>0</v>
      </c>
      <c r="BD424" s="40">
        <v>0</v>
      </c>
      <c r="BE424" s="40">
        <v>0</v>
      </c>
      <c r="BF424" s="40">
        <v>0</v>
      </c>
      <c r="BG424" s="40">
        <f>VLOOKUP(E424,'[1]Offline Offtake'!$G$522:$FL$619,161,0)</f>
        <v>64</v>
      </c>
      <c r="BH424" s="40">
        <v>312</v>
      </c>
      <c r="BI424" s="40">
        <v>103</v>
      </c>
      <c r="BJ424" s="40">
        <v>0</v>
      </c>
      <c r="BK424" s="40">
        <v>0</v>
      </c>
      <c r="BL424" s="40">
        <v>0</v>
      </c>
      <c r="BM424" s="40">
        <v>0</v>
      </c>
      <c r="BN424" s="40"/>
      <c r="BO424" s="39"/>
      <c r="BP424" s="21">
        <v>0</v>
      </c>
      <c r="BQ424" s="21">
        <v>0</v>
      </c>
      <c r="BR424" s="21">
        <v>0</v>
      </c>
      <c r="BS424" s="21">
        <v>0</v>
      </c>
      <c r="BT424" s="21">
        <v>0</v>
      </c>
      <c r="BU424" s="42">
        <v>0</v>
      </c>
      <c r="BV424" s="21">
        <v>0</v>
      </c>
      <c r="BW424" s="21">
        <v>0</v>
      </c>
      <c r="BX424" s="21">
        <v>0</v>
      </c>
      <c r="BY424" s="21">
        <v>0</v>
      </c>
      <c r="BZ424" s="21">
        <v>0</v>
      </c>
      <c r="CA424" s="21">
        <v>0</v>
      </c>
      <c r="CB424" s="21">
        <v>0</v>
      </c>
      <c r="CC424" s="21">
        <v>0</v>
      </c>
      <c r="CD424" s="21">
        <v>0</v>
      </c>
      <c r="CE424" s="21">
        <v>0</v>
      </c>
      <c r="CF424" s="21">
        <v>0</v>
      </c>
      <c r="CG424" s="42">
        <v>0</v>
      </c>
      <c r="CH424" s="21">
        <v>0</v>
      </c>
      <c r="CI424" s="21">
        <v>0</v>
      </c>
      <c r="CJ424" s="21">
        <v>0</v>
      </c>
      <c r="CK424" s="21">
        <v>53</v>
      </c>
      <c r="CL424" s="21">
        <v>36</v>
      </c>
      <c r="CM424" s="21">
        <v>0</v>
      </c>
      <c r="CN424" s="21">
        <v>0</v>
      </c>
      <c r="CO424" s="21">
        <v>0</v>
      </c>
      <c r="CP424" s="21">
        <f t="shared" si="655"/>
        <v>0</v>
      </c>
      <c r="CQ424" s="343">
        <f t="shared" si="656"/>
        <v>9.8888888888888893</v>
      </c>
      <c r="CR424" s="40"/>
      <c r="CS424" s="39"/>
      <c r="CT424" s="38">
        <f t="shared" si="657"/>
        <v>0</v>
      </c>
      <c r="CU424" s="38">
        <f t="shared" si="658"/>
        <v>0</v>
      </c>
      <c r="CV424" s="38">
        <f t="shared" si="659"/>
        <v>0</v>
      </c>
      <c r="CW424" s="38">
        <f t="shared" si="660"/>
        <v>0</v>
      </c>
      <c r="CX424" s="38">
        <f t="shared" si="661"/>
        <v>0</v>
      </c>
      <c r="CY424" s="39">
        <f t="shared" si="662"/>
        <v>0</v>
      </c>
      <c r="CZ424" s="40">
        <f t="shared" si="663"/>
        <v>0</v>
      </c>
      <c r="DA424" s="40">
        <f t="shared" si="664"/>
        <v>0</v>
      </c>
      <c r="DB424" s="40">
        <f t="shared" si="665"/>
        <v>0</v>
      </c>
      <c r="DC424" s="40">
        <f t="shared" si="666"/>
        <v>0</v>
      </c>
      <c r="DD424" s="40">
        <f t="shared" si="667"/>
        <v>0</v>
      </c>
      <c r="DE424" s="40">
        <f t="shared" si="668"/>
        <v>0</v>
      </c>
      <c r="DF424" s="40">
        <f t="shared" si="669"/>
        <v>0</v>
      </c>
      <c r="DG424" s="40">
        <f t="shared" si="670"/>
        <v>0</v>
      </c>
      <c r="DH424" s="40">
        <f t="shared" si="671"/>
        <v>0</v>
      </c>
      <c r="DI424" s="40">
        <f t="shared" si="672"/>
        <v>0</v>
      </c>
      <c r="DJ424" s="40">
        <f t="shared" si="673"/>
        <v>0</v>
      </c>
      <c r="DK424" s="39">
        <f t="shared" si="674"/>
        <v>0</v>
      </c>
      <c r="DL424" s="40">
        <f t="shared" si="675"/>
        <v>0</v>
      </c>
      <c r="DM424" s="40">
        <f t="shared" si="676"/>
        <v>0</v>
      </c>
      <c r="DN424" s="40">
        <f t="shared" si="677"/>
        <v>0</v>
      </c>
      <c r="DO424" s="40">
        <f t="shared" si="678"/>
        <v>117</v>
      </c>
      <c r="DP424" s="40">
        <f t="shared" si="679"/>
        <v>348</v>
      </c>
      <c r="DQ424" s="40">
        <f t="shared" si="680"/>
        <v>103</v>
      </c>
      <c r="DR424" s="40">
        <f t="shared" si="685"/>
        <v>0</v>
      </c>
      <c r="DS424" s="40">
        <f t="shared" si="624"/>
        <v>0</v>
      </c>
      <c r="DT424" s="40">
        <f t="shared" si="681"/>
        <v>0</v>
      </c>
      <c r="DU424" s="40">
        <f t="shared" si="682"/>
        <v>9.8888888888888893</v>
      </c>
      <c r="DV424" s="40">
        <f t="shared" si="683"/>
        <v>0</v>
      </c>
      <c r="DW424" s="40">
        <f t="shared" si="684"/>
        <v>0</v>
      </c>
    </row>
    <row r="425" spans="1:127">
      <c r="A425" s="22" t="s">
        <v>33</v>
      </c>
      <c r="B425" s="26">
        <v>4987176351142</v>
      </c>
      <c r="C425" s="22" t="s">
        <v>34</v>
      </c>
      <c r="D425" s="22" t="s">
        <v>36</v>
      </c>
      <c r="E425" s="22">
        <v>275248</v>
      </c>
      <c r="F425" s="80" t="s">
        <v>513</v>
      </c>
      <c r="G425" s="25">
        <v>109.3</v>
      </c>
      <c r="H425" s="38">
        <f t="shared" si="629"/>
        <v>0</v>
      </c>
      <c r="I425" s="38">
        <f t="shared" si="630"/>
        <v>0</v>
      </c>
      <c r="J425" s="38">
        <f t="shared" si="631"/>
        <v>0</v>
      </c>
      <c r="K425" s="38">
        <f t="shared" si="632"/>
        <v>0</v>
      </c>
      <c r="L425" s="38">
        <f t="shared" si="633"/>
        <v>0</v>
      </c>
      <c r="M425" s="39">
        <f t="shared" si="634"/>
        <v>0</v>
      </c>
      <c r="N425" s="40">
        <f t="shared" si="635"/>
        <v>0</v>
      </c>
      <c r="O425" s="40">
        <f t="shared" si="636"/>
        <v>0</v>
      </c>
      <c r="P425" s="40">
        <f t="shared" si="637"/>
        <v>0</v>
      </c>
      <c r="Q425" s="40">
        <f t="shared" si="638"/>
        <v>0</v>
      </c>
      <c r="R425" s="40">
        <f t="shared" si="639"/>
        <v>0</v>
      </c>
      <c r="S425" s="40">
        <f t="shared" si="640"/>
        <v>0</v>
      </c>
      <c r="T425" s="40">
        <f t="shared" si="641"/>
        <v>0</v>
      </c>
      <c r="U425" s="40">
        <f t="shared" si="642"/>
        <v>0</v>
      </c>
      <c r="V425" s="40">
        <f t="shared" si="643"/>
        <v>0</v>
      </c>
      <c r="W425" s="40">
        <f t="shared" si="644"/>
        <v>0</v>
      </c>
      <c r="X425" s="40">
        <f t="shared" si="645"/>
        <v>0</v>
      </c>
      <c r="Y425" s="39">
        <f t="shared" si="646"/>
        <v>0</v>
      </c>
      <c r="Z425" s="40">
        <f t="shared" si="647"/>
        <v>0</v>
      </c>
      <c r="AA425" s="40">
        <f t="shared" si="648"/>
        <v>0</v>
      </c>
      <c r="AB425" s="40">
        <f t="shared" si="649"/>
        <v>0</v>
      </c>
      <c r="AC425" s="40">
        <f t="shared" si="650"/>
        <v>15629.9</v>
      </c>
      <c r="AD425" s="40">
        <f t="shared" si="651"/>
        <v>29292.399999999998</v>
      </c>
      <c r="AE425" s="40">
        <f t="shared" si="652"/>
        <v>302979.59999999998</v>
      </c>
      <c r="AF425" s="40">
        <f t="shared" si="653"/>
        <v>259478.19999999998</v>
      </c>
      <c r="AG425" s="40">
        <f t="shared" si="654"/>
        <v>50278</v>
      </c>
      <c r="AH425" s="40">
        <f t="shared" si="625"/>
        <v>391184.7</v>
      </c>
      <c r="AI425" s="40">
        <f t="shared" si="626"/>
        <v>297344.57777777774</v>
      </c>
      <c r="AJ425" s="40">
        <f t="shared" si="627"/>
        <v>0</v>
      </c>
      <c r="AK425" s="39">
        <f t="shared" si="628"/>
        <v>0</v>
      </c>
      <c r="AL425" s="38">
        <v>0</v>
      </c>
      <c r="AM425" s="38">
        <v>0</v>
      </c>
      <c r="AN425" s="38">
        <v>0</v>
      </c>
      <c r="AO425" s="38">
        <v>0</v>
      </c>
      <c r="AP425" s="38">
        <v>0</v>
      </c>
      <c r="AQ425" s="39">
        <v>0</v>
      </c>
      <c r="AR425" s="40">
        <v>0</v>
      </c>
      <c r="AS425" s="40">
        <v>0</v>
      </c>
      <c r="AT425" s="40">
        <v>0</v>
      </c>
      <c r="AU425" s="40">
        <v>0</v>
      </c>
      <c r="AV425" s="40">
        <v>0</v>
      </c>
      <c r="AW425" s="40">
        <v>0</v>
      </c>
      <c r="AX425" s="40">
        <v>0</v>
      </c>
      <c r="AY425" s="40">
        <v>0</v>
      </c>
      <c r="AZ425" s="40">
        <v>0</v>
      </c>
      <c r="BA425" s="40">
        <v>0</v>
      </c>
      <c r="BB425" s="40">
        <v>0</v>
      </c>
      <c r="BC425" s="39">
        <v>0</v>
      </c>
      <c r="BD425" s="40">
        <v>0</v>
      </c>
      <c r="BE425" s="40">
        <v>0</v>
      </c>
      <c r="BF425" s="40">
        <v>0</v>
      </c>
      <c r="BG425" s="40">
        <f>VLOOKUP(E425,'[1]Offline Offtake'!$G$522:$FL$619,161,0)</f>
        <v>129</v>
      </c>
      <c r="BH425" s="40">
        <v>255</v>
      </c>
      <c r="BI425" s="40">
        <v>2647</v>
      </c>
      <c r="BJ425" s="40">
        <v>2370</v>
      </c>
      <c r="BK425" s="40">
        <v>455</v>
      </c>
      <c r="BL425" s="40">
        <v>3574</v>
      </c>
      <c r="BM425" s="40">
        <v>2702</v>
      </c>
      <c r="BN425" s="40"/>
      <c r="BO425" s="39"/>
      <c r="BP425" s="21">
        <v>0</v>
      </c>
      <c r="BQ425" s="21">
        <v>0</v>
      </c>
      <c r="BR425" s="21">
        <v>0</v>
      </c>
      <c r="BS425" s="21">
        <v>0</v>
      </c>
      <c r="BT425" s="21">
        <v>0</v>
      </c>
      <c r="BU425" s="42">
        <v>0</v>
      </c>
      <c r="BV425" s="21">
        <v>0</v>
      </c>
      <c r="BW425" s="21">
        <v>0</v>
      </c>
      <c r="BX425" s="21">
        <v>0</v>
      </c>
      <c r="BY425" s="21">
        <v>0</v>
      </c>
      <c r="BZ425" s="21">
        <v>0</v>
      </c>
      <c r="CA425" s="21">
        <v>0</v>
      </c>
      <c r="CB425" s="21">
        <v>0</v>
      </c>
      <c r="CC425" s="21">
        <v>0</v>
      </c>
      <c r="CD425" s="21">
        <v>0</v>
      </c>
      <c r="CE425" s="21">
        <v>0</v>
      </c>
      <c r="CF425" s="21">
        <v>0</v>
      </c>
      <c r="CG425" s="42">
        <v>0</v>
      </c>
      <c r="CH425" s="21">
        <v>0</v>
      </c>
      <c r="CI425" s="21">
        <v>0</v>
      </c>
      <c r="CJ425" s="21">
        <v>0</v>
      </c>
      <c r="CK425" s="21">
        <v>14</v>
      </c>
      <c r="CL425" s="21">
        <v>13</v>
      </c>
      <c r="CM425" s="21">
        <v>125</v>
      </c>
      <c r="CN425" s="21">
        <v>4</v>
      </c>
      <c r="CO425" s="21">
        <v>5</v>
      </c>
      <c r="CP425" s="21">
        <f t="shared" si="655"/>
        <v>5</v>
      </c>
      <c r="CQ425" s="343">
        <f t="shared" si="656"/>
        <v>18.444444444444443</v>
      </c>
      <c r="CR425" s="40"/>
      <c r="CS425" s="39"/>
      <c r="CT425" s="38">
        <f t="shared" si="657"/>
        <v>0</v>
      </c>
      <c r="CU425" s="38">
        <f t="shared" si="658"/>
        <v>0</v>
      </c>
      <c r="CV425" s="38">
        <f t="shared" si="659"/>
        <v>0</v>
      </c>
      <c r="CW425" s="38">
        <f t="shared" si="660"/>
        <v>0</v>
      </c>
      <c r="CX425" s="38">
        <f t="shared" si="661"/>
        <v>0</v>
      </c>
      <c r="CY425" s="39">
        <f t="shared" si="662"/>
        <v>0</v>
      </c>
      <c r="CZ425" s="40">
        <f t="shared" si="663"/>
        <v>0</v>
      </c>
      <c r="DA425" s="40">
        <f t="shared" si="664"/>
        <v>0</v>
      </c>
      <c r="DB425" s="40">
        <f t="shared" si="665"/>
        <v>0</v>
      </c>
      <c r="DC425" s="40">
        <f t="shared" si="666"/>
        <v>0</v>
      </c>
      <c r="DD425" s="40">
        <f t="shared" si="667"/>
        <v>0</v>
      </c>
      <c r="DE425" s="40">
        <f t="shared" si="668"/>
        <v>0</v>
      </c>
      <c r="DF425" s="40">
        <f t="shared" si="669"/>
        <v>0</v>
      </c>
      <c r="DG425" s="40">
        <f t="shared" si="670"/>
        <v>0</v>
      </c>
      <c r="DH425" s="40">
        <f t="shared" si="671"/>
        <v>0</v>
      </c>
      <c r="DI425" s="40">
        <f t="shared" si="672"/>
        <v>0</v>
      </c>
      <c r="DJ425" s="40">
        <f t="shared" si="673"/>
        <v>0</v>
      </c>
      <c r="DK425" s="39">
        <f t="shared" si="674"/>
        <v>0</v>
      </c>
      <c r="DL425" s="40">
        <f t="shared" si="675"/>
        <v>0</v>
      </c>
      <c r="DM425" s="40">
        <f t="shared" si="676"/>
        <v>0</v>
      </c>
      <c r="DN425" s="40">
        <f t="shared" si="677"/>
        <v>0</v>
      </c>
      <c r="DO425" s="40">
        <f t="shared" si="678"/>
        <v>143</v>
      </c>
      <c r="DP425" s="40">
        <f t="shared" si="679"/>
        <v>268</v>
      </c>
      <c r="DQ425" s="40">
        <f t="shared" si="680"/>
        <v>2772</v>
      </c>
      <c r="DR425" s="40">
        <f t="shared" si="685"/>
        <v>2374</v>
      </c>
      <c r="DS425" s="40">
        <f t="shared" si="624"/>
        <v>460</v>
      </c>
      <c r="DT425" s="40">
        <f t="shared" si="681"/>
        <v>3579</v>
      </c>
      <c r="DU425" s="40">
        <f t="shared" si="682"/>
        <v>2720.4444444444443</v>
      </c>
      <c r="DV425" s="40">
        <f t="shared" si="683"/>
        <v>0</v>
      </c>
      <c r="DW425" s="40">
        <f t="shared" si="684"/>
        <v>0</v>
      </c>
    </row>
    <row r="426" spans="1:127">
      <c r="A426" s="22" t="s">
        <v>33</v>
      </c>
      <c r="B426" s="26">
        <v>4987176342874</v>
      </c>
      <c r="C426" s="22" t="s">
        <v>34</v>
      </c>
      <c r="D426" s="22" t="s">
        <v>35</v>
      </c>
      <c r="E426" s="22">
        <v>275260</v>
      </c>
      <c r="F426" s="80" t="s">
        <v>514</v>
      </c>
      <c r="G426" s="25">
        <v>180</v>
      </c>
      <c r="H426" s="38">
        <f t="shared" si="629"/>
        <v>0</v>
      </c>
      <c r="I426" s="38">
        <f t="shared" si="630"/>
        <v>0</v>
      </c>
      <c r="J426" s="38">
        <f t="shared" si="631"/>
        <v>0</v>
      </c>
      <c r="K426" s="38">
        <f t="shared" si="632"/>
        <v>0</v>
      </c>
      <c r="L426" s="38">
        <f t="shared" si="633"/>
        <v>0</v>
      </c>
      <c r="M426" s="39">
        <f t="shared" si="634"/>
        <v>0</v>
      </c>
      <c r="N426" s="40">
        <f t="shared" si="635"/>
        <v>0</v>
      </c>
      <c r="O426" s="40">
        <f t="shared" si="636"/>
        <v>0</v>
      </c>
      <c r="P426" s="40">
        <f t="shared" si="637"/>
        <v>0</v>
      </c>
      <c r="Q426" s="40">
        <f t="shared" si="638"/>
        <v>0</v>
      </c>
      <c r="R426" s="40">
        <f t="shared" si="639"/>
        <v>0</v>
      </c>
      <c r="S426" s="40">
        <f t="shared" si="640"/>
        <v>0</v>
      </c>
      <c r="T426" s="40">
        <f t="shared" si="641"/>
        <v>0</v>
      </c>
      <c r="U426" s="40">
        <f t="shared" si="642"/>
        <v>0</v>
      </c>
      <c r="V426" s="40">
        <f t="shared" si="643"/>
        <v>0</v>
      </c>
      <c r="W426" s="40">
        <f t="shared" si="644"/>
        <v>0</v>
      </c>
      <c r="X426" s="40">
        <f t="shared" si="645"/>
        <v>0</v>
      </c>
      <c r="Y426" s="39">
        <f t="shared" si="646"/>
        <v>0</v>
      </c>
      <c r="Z426" s="40">
        <f t="shared" si="647"/>
        <v>0</v>
      </c>
      <c r="AA426" s="40">
        <f t="shared" si="648"/>
        <v>0</v>
      </c>
      <c r="AB426" s="40">
        <f t="shared" si="649"/>
        <v>0</v>
      </c>
      <c r="AC426" s="40">
        <f t="shared" si="650"/>
        <v>42660</v>
      </c>
      <c r="AD426" s="40">
        <f t="shared" si="651"/>
        <v>104400</v>
      </c>
      <c r="AE426" s="40">
        <f t="shared" si="652"/>
        <v>141120</v>
      </c>
      <c r="AF426" s="40">
        <f t="shared" si="653"/>
        <v>99900</v>
      </c>
      <c r="AG426" s="40">
        <f t="shared" si="654"/>
        <v>232740</v>
      </c>
      <c r="AH426" s="40">
        <f t="shared" si="625"/>
        <v>111780</v>
      </c>
      <c r="AI426" s="40">
        <f t="shared" si="626"/>
        <v>129140</v>
      </c>
      <c r="AJ426" s="40">
        <f t="shared" si="627"/>
        <v>0</v>
      </c>
      <c r="AK426" s="39">
        <f t="shared" si="628"/>
        <v>0</v>
      </c>
      <c r="AL426" s="38">
        <v>0</v>
      </c>
      <c r="AM426" s="38">
        <v>0</v>
      </c>
      <c r="AN426" s="38">
        <v>0</v>
      </c>
      <c r="AO426" s="38">
        <v>0</v>
      </c>
      <c r="AP426" s="38">
        <v>0</v>
      </c>
      <c r="AQ426" s="39">
        <v>0</v>
      </c>
      <c r="AR426" s="40">
        <v>0</v>
      </c>
      <c r="AS426" s="40">
        <v>0</v>
      </c>
      <c r="AT426" s="40">
        <v>0</v>
      </c>
      <c r="AU426" s="40">
        <v>0</v>
      </c>
      <c r="AV426" s="40">
        <v>0</v>
      </c>
      <c r="AW426" s="40">
        <v>0</v>
      </c>
      <c r="AX426" s="40">
        <v>0</v>
      </c>
      <c r="AY426" s="40">
        <v>0</v>
      </c>
      <c r="AZ426" s="40">
        <v>0</v>
      </c>
      <c r="BA426" s="40">
        <v>0</v>
      </c>
      <c r="BB426" s="40">
        <v>0</v>
      </c>
      <c r="BC426" s="39">
        <v>0</v>
      </c>
      <c r="BD426" s="40">
        <v>0</v>
      </c>
      <c r="BE426" s="40">
        <v>0</v>
      </c>
      <c r="BF426" s="40">
        <v>0</v>
      </c>
      <c r="BG426" s="40">
        <f>VLOOKUP(E426,'[1]Offline Offtake'!$G$522:$FL$619,161,0)</f>
        <v>184</v>
      </c>
      <c r="BH426" s="40">
        <v>484</v>
      </c>
      <c r="BI426" s="40">
        <v>712</v>
      </c>
      <c r="BJ426" s="40">
        <v>477</v>
      </c>
      <c r="BK426" s="40">
        <v>1247</v>
      </c>
      <c r="BL426" s="40">
        <v>575</v>
      </c>
      <c r="BM426" s="40">
        <v>674</v>
      </c>
      <c r="BN426" s="40"/>
      <c r="BO426" s="39"/>
      <c r="BP426" s="21">
        <v>0</v>
      </c>
      <c r="BQ426" s="21">
        <v>0</v>
      </c>
      <c r="BR426" s="21">
        <v>0</v>
      </c>
      <c r="BS426" s="21">
        <v>0</v>
      </c>
      <c r="BT426" s="21">
        <v>0</v>
      </c>
      <c r="BU426" s="42">
        <v>0</v>
      </c>
      <c r="BV426" s="21">
        <v>0</v>
      </c>
      <c r="BW426" s="21">
        <v>0</v>
      </c>
      <c r="BX426" s="21">
        <v>0</v>
      </c>
      <c r="BY426" s="21">
        <v>0</v>
      </c>
      <c r="BZ426" s="21">
        <v>0</v>
      </c>
      <c r="CA426" s="21">
        <v>0</v>
      </c>
      <c r="CB426" s="21">
        <v>0</v>
      </c>
      <c r="CC426" s="21">
        <v>0</v>
      </c>
      <c r="CD426" s="21">
        <v>0</v>
      </c>
      <c r="CE426" s="21">
        <v>0</v>
      </c>
      <c r="CF426" s="21">
        <v>0</v>
      </c>
      <c r="CG426" s="42">
        <v>0</v>
      </c>
      <c r="CH426" s="21">
        <v>0</v>
      </c>
      <c r="CI426" s="21">
        <v>0</v>
      </c>
      <c r="CJ426" s="21">
        <v>0</v>
      </c>
      <c r="CK426" s="21">
        <v>53</v>
      </c>
      <c r="CL426" s="21">
        <v>96</v>
      </c>
      <c r="CM426" s="21">
        <v>72</v>
      </c>
      <c r="CN426" s="21">
        <v>78</v>
      </c>
      <c r="CO426" s="21">
        <v>46</v>
      </c>
      <c r="CP426" s="21">
        <f t="shared" si="655"/>
        <v>46</v>
      </c>
      <c r="CQ426" s="343">
        <f t="shared" si="656"/>
        <v>43.444444444444443</v>
      </c>
      <c r="CR426" s="40"/>
      <c r="CS426" s="39"/>
      <c r="CT426" s="38">
        <f t="shared" si="657"/>
        <v>0</v>
      </c>
      <c r="CU426" s="38">
        <f t="shared" si="658"/>
        <v>0</v>
      </c>
      <c r="CV426" s="38">
        <f t="shared" si="659"/>
        <v>0</v>
      </c>
      <c r="CW426" s="38">
        <f t="shared" si="660"/>
        <v>0</v>
      </c>
      <c r="CX426" s="38">
        <f t="shared" si="661"/>
        <v>0</v>
      </c>
      <c r="CY426" s="39">
        <f t="shared" si="662"/>
        <v>0</v>
      </c>
      <c r="CZ426" s="40">
        <f t="shared" si="663"/>
        <v>0</v>
      </c>
      <c r="DA426" s="40">
        <f t="shared" si="664"/>
        <v>0</v>
      </c>
      <c r="DB426" s="40">
        <f t="shared" si="665"/>
        <v>0</v>
      </c>
      <c r="DC426" s="40">
        <f t="shared" si="666"/>
        <v>0</v>
      </c>
      <c r="DD426" s="40">
        <f t="shared" si="667"/>
        <v>0</v>
      </c>
      <c r="DE426" s="40">
        <f t="shared" si="668"/>
        <v>0</v>
      </c>
      <c r="DF426" s="40">
        <f t="shared" si="669"/>
        <v>0</v>
      </c>
      <c r="DG426" s="40">
        <f t="shared" si="670"/>
        <v>0</v>
      </c>
      <c r="DH426" s="40">
        <f t="shared" si="671"/>
        <v>0</v>
      </c>
      <c r="DI426" s="40">
        <f t="shared" si="672"/>
        <v>0</v>
      </c>
      <c r="DJ426" s="40">
        <f t="shared" si="673"/>
        <v>0</v>
      </c>
      <c r="DK426" s="39">
        <f t="shared" si="674"/>
        <v>0</v>
      </c>
      <c r="DL426" s="40">
        <f t="shared" si="675"/>
        <v>0</v>
      </c>
      <c r="DM426" s="40">
        <f t="shared" si="676"/>
        <v>0</v>
      </c>
      <c r="DN426" s="40">
        <f t="shared" si="677"/>
        <v>0</v>
      </c>
      <c r="DO426" s="40">
        <f t="shared" si="678"/>
        <v>237</v>
      </c>
      <c r="DP426" s="40">
        <f t="shared" si="679"/>
        <v>580</v>
      </c>
      <c r="DQ426" s="40">
        <f t="shared" si="680"/>
        <v>784</v>
      </c>
      <c r="DR426" s="40">
        <f t="shared" si="685"/>
        <v>555</v>
      </c>
      <c r="DS426" s="40">
        <f t="shared" si="624"/>
        <v>1293</v>
      </c>
      <c r="DT426" s="40">
        <f t="shared" si="681"/>
        <v>621</v>
      </c>
      <c r="DU426" s="40">
        <f t="shared" si="682"/>
        <v>717.44444444444446</v>
      </c>
      <c r="DV426" s="40">
        <f t="shared" si="683"/>
        <v>0</v>
      </c>
      <c r="DW426" s="40">
        <f t="shared" si="684"/>
        <v>0</v>
      </c>
    </row>
    <row r="427" spans="1:127">
      <c r="A427" s="22" t="s">
        <v>33</v>
      </c>
      <c r="B427" s="26">
        <v>4987176340924</v>
      </c>
      <c r="C427" s="22" t="s">
        <v>34</v>
      </c>
      <c r="D427" s="22" t="s">
        <v>35</v>
      </c>
      <c r="E427" s="22">
        <v>275277</v>
      </c>
      <c r="F427" s="80" t="s">
        <v>515</v>
      </c>
      <c r="G427" s="25">
        <v>213.9</v>
      </c>
      <c r="H427" s="38">
        <f t="shared" si="629"/>
        <v>0</v>
      </c>
      <c r="I427" s="38">
        <f t="shared" si="630"/>
        <v>0</v>
      </c>
      <c r="J427" s="38">
        <f t="shared" si="631"/>
        <v>0</v>
      </c>
      <c r="K427" s="38">
        <f t="shared" si="632"/>
        <v>0</v>
      </c>
      <c r="L427" s="38">
        <f t="shared" si="633"/>
        <v>0</v>
      </c>
      <c r="M427" s="39">
        <f t="shared" si="634"/>
        <v>0</v>
      </c>
      <c r="N427" s="40">
        <f t="shared" si="635"/>
        <v>0</v>
      </c>
      <c r="O427" s="40">
        <f t="shared" si="636"/>
        <v>0</v>
      </c>
      <c r="P427" s="40">
        <f t="shared" si="637"/>
        <v>0</v>
      </c>
      <c r="Q427" s="40">
        <f t="shared" si="638"/>
        <v>0</v>
      </c>
      <c r="R427" s="40">
        <f t="shared" si="639"/>
        <v>0</v>
      </c>
      <c r="S427" s="40">
        <f t="shared" si="640"/>
        <v>0</v>
      </c>
      <c r="T427" s="40">
        <f t="shared" si="641"/>
        <v>0</v>
      </c>
      <c r="U427" s="40">
        <f t="shared" si="642"/>
        <v>0</v>
      </c>
      <c r="V427" s="40">
        <f t="shared" si="643"/>
        <v>0</v>
      </c>
      <c r="W427" s="40">
        <f t="shared" si="644"/>
        <v>0</v>
      </c>
      <c r="X427" s="40">
        <f t="shared" si="645"/>
        <v>0</v>
      </c>
      <c r="Y427" s="39">
        <f t="shared" si="646"/>
        <v>0</v>
      </c>
      <c r="Z427" s="40">
        <f t="shared" si="647"/>
        <v>0</v>
      </c>
      <c r="AA427" s="40">
        <f t="shared" si="648"/>
        <v>0</v>
      </c>
      <c r="AB427" s="40">
        <f t="shared" si="649"/>
        <v>0</v>
      </c>
      <c r="AC427" s="40">
        <f t="shared" si="650"/>
        <v>4705.8</v>
      </c>
      <c r="AD427" s="40">
        <f t="shared" si="651"/>
        <v>18823.2</v>
      </c>
      <c r="AE427" s="40">
        <f t="shared" si="652"/>
        <v>30159.9</v>
      </c>
      <c r="AF427" s="40">
        <f t="shared" si="653"/>
        <v>29732.100000000002</v>
      </c>
      <c r="AG427" s="40">
        <f t="shared" si="654"/>
        <v>22031.7</v>
      </c>
      <c r="AH427" s="40">
        <f t="shared" si="625"/>
        <v>17967.600000000002</v>
      </c>
      <c r="AI427" s="40">
        <f t="shared" si="626"/>
        <v>31181.866666666665</v>
      </c>
      <c r="AJ427" s="40">
        <f t="shared" si="627"/>
        <v>0</v>
      </c>
      <c r="AK427" s="39">
        <f t="shared" si="628"/>
        <v>0</v>
      </c>
      <c r="AL427" s="38">
        <v>0</v>
      </c>
      <c r="AM427" s="38">
        <v>0</v>
      </c>
      <c r="AN427" s="38">
        <v>0</v>
      </c>
      <c r="AO427" s="38">
        <v>0</v>
      </c>
      <c r="AP427" s="38">
        <v>0</v>
      </c>
      <c r="AQ427" s="39">
        <v>0</v>
      </c>
      <c r="AR427" s="40">
        <v>0</v>
      </c>
      <c r="AS427" s="40">
        <v>0</v>
      </c>
      <c r="AT427" s="40">
        <v>0</v>
      </c>
      <c r="AU427" s="40">
        <v>0</v>
      </c>
      <c r="AV427" s="40">
        <v>0</v>
      </c>
      <c r="AW427" s="40">
        <v>0</v>
      </c>
      <c r="AX427" s="40">
        <v>0</v>
      </c>
      <c r="AY427" s="40">
        <v>0</v>
      </c>
      <c r="AZ427" s="40">
        <v>0</v>
      </c>
      <c r="BA427" s="40">
        <v>0</v>
      </c>
      <c r="BB427" s="40">
        <v>0</v>
      </c>
      <c r="BC427" s="39">
        <v>0</v>
      </c>
      <c r="BD427" s="40">
        <v>0</v>
      </c>
      <c r="BE427" s="40">
        <v>0</v>
      </c>
      <c r="BF427" s="40">
        <v>0</v>
      </c>
      <c r="BG427" s="40">
        <f>VLOOKUP(E427,'[1]Offline Offtake'!$G$522:$FL$619,161,0)</f>
        <v>0</v>
      </c>
      <c r="BH427" s="40">
        <v>68</v>
      </c>
      <c r="BI427" s="40">
        <v>130</v>
      </c>
      <c r="BJ427" s="40">
        <v>114</v>
      </c>
      <c r="BK427" s="40">
        <v>98</v>
      </c>
      <c r="BL427" s="40">
        <v>79</v>
      </c>
      <c r="BM427" s="40">
        <v>136</v>
      </c>
      <c r="BN427" s="40"/>
      <c r="BO427" s="39"/>
      <c r="BP427" s="21">
        <v>0</v>
      </c>
      <c r="BQ427" s="21">
        <v>0</v>
      </c>
      <c r="BR427" s="21">
        <v>0</v>
      </c>
      <c r="BS427" s="21">
        <v>0</v>
      </c>
      <c r="BT427" s="21">
        <v>0</v>
      </c>
      <c r="BU427" s="42">
        <v>0</v>
      </c>
      <c r="BV427" s="21">
        <v>0</v>
      </c>
      <c r="BW427" s="21">
        <v>0</v>
      </c>
      <c r="BX427" s="21">
        <v>0</v>
      </c>
      <c r="BY427" s="21">
        <v>0</v>
      </c>
      <c r="BZ427" s="21">
        <v>0</v>
      </c>
      <c r="CA427" s="21">
        <v>0</v>
      </c>
      <c r="CB427" s="21">
        <v>0</v>
      </c>
      <c r="CC427" s="21">
        <v>0</v>
      </c>
      <c r="CD427" s="21">
        <v>0</v>
      </c>
      <c r="CE427" s="21">
        <v>0</v>
      </c>
      <c r="CF427" s="21">
        <v>0</v>
      </c>
      <c r="CG427" s="42">
        <v>0</v>
      </c>
      <c r="CH427" s="21">
        <v>0</v>
      </c>
      <c r="CI427" s="21">
        <v>0</v>
      </c>
      <c r="CJ427" s="21">
        <v>0</v>
      </c>
      <c r="CK427" s="21">
        <v>22</v>
      </c>
      <c r="CL427" s="21">
        <v>20</v>
      </c>
      <c r="CM427" s="21">
        <v>11</v>
      </c>
      <c r="CN427" s="21">
        <v>25</v>
      </c>
      <c r="CO427" s="21">
        <v>5</v>
      </c>
      <c r="CP427" s="21">
        <f t="shared" si="655"/>
        <v>5</v>
      </c>
      <c r="CQ427" s="343">
        <f t="shared" si="656"/>
        <v>9.7777777777777786</v>
      </c>
      <c r="CR427" s="40"/>
      <c r="CS427" s="39"/>
      <c r="CT427" s="38">
        <f t="shared" si="657"/>
        <v>0</v>
      </c>
      <c r="CU427" s="38">
        <f t="shared" si="658"/>
        <v>0</v>
      </c>
      <c r="CV427" s="38">
        <f t="shared" si="659"/>
        <v>0</v>
      </c>
      <c r="CW427" s="38">
        <f t="shared" si="660"/>
        <v>0</v>
      </c>
      <c r="CX427" s="38">
        <f t="shared" si="661"/>
        <v>0</v>
      </c>
      <c r="CY427" s="39">
        <f t="shared" si="662"/>
        <v>0</v>
      </c>
      <c r="CZ427" s="40">
        <f t="shared" si="663"/>
        <v>0</v>
      </c>
      <c r="DA427" s="40">
        <f t="shared" si="664"/>
        <v>0</v>
      </c>
      <c r="DB427" s="40">
        <f t="shared" si="665"/>
        <v>0</v>
      </c>
      <c r="DC427" s="40">
        <f t="shared" si="666"/>
        <v>0</v>
      </c>
      <c r="DD427" s="40">
        <f t="shared" si="667"/>
        <v>0</v>
      </c>
      <c r="DE427" s="40">
        <f t="shared" si="668"/>
        <v>0</v>
      </c>
      <c r="DF427" s="40">
        <f t="shared" si="669"/>
        <v>0</v>
      </c>
      <c r="DG427" s="40">
        <f t="shared" si="670"/>
        <v>0</v>
      </c>
      <c r="DH427" s="40">
        <f t="shared" si="671"/>
        <v>0</v>
      </c>
      <c r="DI427" s="40">
        <f t="shared" si="672"/>
        <v>0</v>
      </c>
      <c r="DJ427" s="40">
        <f t="shared" si="673"/>
        <v>0</v>
      </c>
      <c r="DK427" s="39">
        <f t="shared" si="674"/>
        <v>0</v>
      </c>
      <c r="DL427" s="40">
        <f t="shared" si="675"/>
        <v>0</v>
      </c>
      <c r="DM427" s="40">
        <f t="shared" si="676"/>
        <v>0</v>
      </c>
      <c r="DN427" s="40">
        <f t="shared" si="677"/>
        <v>0</v>
      </c>
      <c r="DO427" s="40">
        <f t="shared" si="678"/>
        <v>22</v>
      </c>
      <c r="DP427" s="40">
        <f t="shared" si="679"/>
        <v>88</v>
      </c>
      <c r="DQ427" s="40">
        <f t="shared" si="680"/>
        <v>141</v>
      </c>
      <c r="DR427" s="40">
        <f t="shared" si="685"/>
        <v>139</v>
      </c>
      <c r="DS427" s="40">
        <f t="shared" ref="DS427:DS490" si="686">BK427+CO427</f>
        <v>103</v>
      </c>
      <c r="DT427" s="40">
        <f t="shared" si="681"/>
        <v>84</v>
      </c>
      <c r="DU427" s="40">
        <f t="shared" si="682"/>
        <v>145.77777777777777</v>
      </c>
      <c r="DV427" s="40">
        <f t="shared" si="683"/>
        <v>0</v>
      </c>
      <c r="DW427" s="40">
        <f t="shared" si="684"/>
        <v>0</v>
      </c>
    </row>
    <row r="428" spans="1:127">
      <c r="A428" s="22" t="s">
        <v>33</v>
      </c>
      <c r="B428" s="26">
        <v>4987176340931</v>
      </c>
      <c r="C428" s="22" t="s">
        <v>34</v>
      </c>
      <c r="D428" s="22" t="s">
        <v>35</v>
      </c>
      <c r="E428" s="22">
        <v>275287</v>
      </c>
      <c r="F428" s="80" t="s">
        <v>516</v>
      </c>
      <c r="G428" s="25">
        <v>135</v>
      </c>
      <c r="H428" s="38">
        <f t="shared" si="629"/>
        <v>0</v>
      </c>
      <c r="I428" s="38">
        <f t="shared" si="630"/>
        <v>0</v>
      </c>
      <c r="J428" s="38">
        <f t="shared" si="631"/>
        <v>0</v>
      </c>
      <c r="K428" s="38">
        <f t="shared" si="632"/>
        <v>0</v>
      </c>
      <c r="L428" s="38">
        <f t="shared" si="633"/>
        <v>0</v>
      </c>
      <c r="M428" s="39">
        <f t="shared" si="634"/>
        <v>0</v>
      </c>
      <c r="N428" s="40">
        <f t="shared" si="635"/>
        <v>0</v>
      </c>
      <c r="O428" s="40">
        <f t="shared" si="636"/>
        <v>0</v>
      </c>
      <c r="P428" s="40">
        <f t="shared" si="637"/>
        <v>0</v>
      </c>
      <c r="Q428" s="40">
        <f t="shared" si="638"/>
        <v>0</v>
      </c>
      <c r="R428" s="40">
        <f t="shared" si="639"/>
        <v>0</v>
      </c>
      <c r="S428" s="40">
        <f t="shared" si="640"/>
        <v>0</v>
      </c>
      <c r="T428" s="40">
        <f t="shared" si="641"/>
        <v>0</v>
      </c>
      <c r="U428" s="40">
        <f t="shared" si="642"/>
        <v>0</v>
      </c>
      <c r="V428" s="40">
        <f t="shared" si="643"/>
        <v>0</v>
      </c>
      <c r="W428" s="40">
        <f t="shared" si="644"/>
        <v>0</v>
      </c>
      <c r="X428" s="40">
        <f t="shared" si="645"/>
        <v>0</v>
      </c>
      <c r="Y428" s="39">
        <f t="shared" si="646"/>
        <v>0</v>
      </c>
      <c r="Z428" s="40">
        <f t="shared" si="647"/>
        <v>0</v>
      </c>
      <c r="AA428" s="40">
        <f t="shared" si="648"/>
        <v>0</v>
      </c>
      <c r="AB428" s="40">
        <f t="shared" si="649"/>
        <v>0</v>
      </c>
      <c r="AC428" s="40">
        <f t="shared" si="650"/>
        <v>21870</v>
      </c>
      <c r="AD428" s="40">
        <f t="shared" si="651"/>
        <v>46305</v>
      </c>
      <c r="AE428" s="40">
        <f t="shared" si="652"/>
        <v>50355</v>
      </c>
      <c r="AF428" s="40">
        <f t="shared" si="653"/>
        <v>34830</v>
      </c>
      <c r="AG428" s="40">
        <f t="shared" si="654"/>
        <v>60075</v>
      </c>
      <c r="AH428" s="40">
        <f t="shared" si="625"/>
        <v>47250</v>
      </c>
      <c r="AI428" s="40">
        <f t="shared" si="626"/>
        <v>52395</v>
      </c>
      <c r="AJ428" s="40">
        <f t="shared" si="627"/>
        <v>0</v>
      </c>
      <c r="AK428" s="39">
        <f t="shared" si="628"/>
        <v>0</v>
      </c>
      <c r="AL428" s="38">
        <v>0</v>
      </c>
      <c r="AM428" s="38">
        <v>0</v>
      </c>
      <c r="AN428" s="38">
        <v>0</v>
      </c>
      <c r="AO428" s="38">
        <v>0</v>
      </c>
      <c r="AP428" s="38">
        <v>0</v>
      </c>
      <c r="AQ428" s="39">
        <v>0</v>
      </c>
      <c r="AR428" s="40">
        <v>0</v>
      </c>
      <c r="AS428" s="40">
        <v>0</v>
      </c>
      <c r="AT428" s="40">
        <v>0</v>
      </c>
      <c r="AU428" s="40">
        <v>0</v>
      </c>
      <c r="AV428" s="40">
        <v>0</v>
      </c>
      <c r="AW428" s="40">
        <v>0</v>
      </c>
      <c r="AX428" s="40">
        <v>0</v>
      </c>
      <c r="AY428" s="40">
        <v>0</v>
      </c>
      <c r="AZ428" s="40">
        <v>0</v>
      </c>
      <c r="BA428" s="40">
        <v>0</v>
      </c>
      <c r="BB428" s="40">
        <v>0</v>
      </c>
      <c r="BC428" s="39">
        <v>0</v>
      </c>
      <c r="BD428" s="40">
        <v>0</v>
      </c>
      <c r="BE428" s="40">
        <v>0</v>
      </c>
      <c r="BF428" s="40">
        <v>0</v>
      </c>
      <c r="BG428" s="40">
        <f>VLOOKUP(E428,'[1]Offline Offtake'!$G$522:$FL$619,161,0)</f>
        <v>153</v>
      </c>
      <c r="BH428" s="40">
        <v>317</v>
      </c>
      <c r="BI428" s="40">
        <v>370</v>
      </c>
      <c r="BJ428" s="40">
        <v>247</v>
      </c>
      <c r="BK428" s="40">
        <v>424</v>
      </c>
      <c r="BL428" s="40">
        <v>329</v>
      </c>
      <c r="BM428" s="40">
        <v>378</v>
      </c>
      <c r="BN428" s="40"/>
      <c r="BO428" s="39"/>
      <c r="BP428" s="21">
        <v>0</v>
      </c>
      <c r="BQ428" s="21">
        <v>0</v>
      </c>
      <c r="BR428" s="21">
        <v>0</v>
      </c>
      <c r="BS428" s="21">
        <v>0</v>
      </c>
      <c r="BT428" s="21">
        <v>0</v>
      </c>
      <c r="BU428" s="42">
        <v>0</v>
      </c>
      <c r="BV428" s="21">
        <v>0</v>
      </c>
      <c r="BW428" s="21">
        <v>0</v>
      </c>
      <c r="BX428" s="21">
        <v>0</v>
      </c>
      <c r="BY428" s="21">
        <v>0</v>
      </c>
      <c r="BZ428" s="21">
        <v>0</v>
      </c>
      <c r="CA428" s="21">
        <v>0</v>
      </c>
      <c r="CB428" s="21">
        <v>0</v>
      </c>
      <c r="CC428" s="21">
        <v>0</v>
      </c>
      <c r="CD428" s="21">
        <v>0</v>
      </c>
      <c r="CE428" s="21">
        <v>0</v>
      </c>
      <c r="CF428" s="21">
        <v>0</v>
      </c>
      <c r="CG428" s="42">
        <v>0</v>
      </c>
      <c r="CH428" s="21">
        <v>0</v>
      </c>
      <c r="CI428" s="21">
        <v>0</v>
      </c>
      <c r="CJ428" s="21">
        <v>0</v>
      </c>
      <c r="CK428" s="21">
        <v>9</v>
      </c>
      <c r="CL428" s="21">
        <v>26</v>
      </c>
      <c r="CM428" s="21">
        <v>3</v>
      </c>
      <c r="CN428" s="21">
        <v>11</v>
      </c>
      <c r="CO428" s="21">
        <v>21</v>
      </c>
      <c r="CP428" s="21">
        <f t="shared" si="655"/>
        <v>21</v>
      </c>
      <c r="CQ428" s="343">
        <f t="shared" si="656"/>
        <v>10.111111111111111</v>
      </c>
      <c r="CR428" s="40"/>
      <c r="CS428" s="39"/>
      <c r="CT428" s="38">
        <f t="shared" si="657"/>
        <v>0</v>
      </c>
      <c r="CU428" s="38">
        <f t="shared" si="658"/>
        <v>0</v>
      </c>
      <c r="CV428" s="38">
        <f t="shared" si="659"/>
        <v>0</v>
      </c>
      <c r="CW428" s="38">
        <f t="shared" si="660"/>
        <v>0</v>
      </c>
      <c r="CX428" s="38">
        <f t="shared" si="661"/>
        <v>0</v>
      </c>
      <c r="CY428" s="39">
        <f t="shared" si="662"/>
        <v>0</v>
      </c>
      <c r="CZ428" s="40">
        <f t="shared" si="663"/>
        <v>0</v>
      </c>
      <c r="DA428" s="40">
        <f t="shared" si="664"/>
        <v>0</v>
      </c>
      <c r="DB428" s="40">
        <f t="shared" si="665"/>
        <v>0</v>
      </c>
      <c r="DC428" s="40">
        <f t="shared" si="666"/>
        <v>0</v>
      </c>
      <c r="DD428" s="40">
        <f t="shared" si="667"/>
        <v>0</v>
      </c>
      <c r="DE428" s="40">
        <f t="shared" si="668"/>
        <v>0</v>
      </c>
      <c r="DF428" s="40">
        <f t="shared" si="669"/>
        <v>0</v>
      </c>
      <c r="DG428" s="40">
        <f t="shared" si="670"/>
        <v>0</v>
      </c>
      <c r="DH428" s="40">
        <f t="shared" si="671"/>
        <v>0</v>
      </c>
      <c r="DI428" s="40">
        <f t="shared" si="672"/>
        <v>0</v>
      </c>
      <c r="DJ428" s="40">
        <f t="shared" si="673"/>
        <v>0</v>
      </c>
      <c r="DK428" s="39">
        <f t="shared" si="674"/>
        <v>0</v>
      </c>
      <c r="DL428" s="40">
        <f t="shared" si="675"/>
        <v>0</v>
      </c>
      <c r="DM428" s="40">
        <f t="shared" si="676"/>
        <v>0</v>
      </c>
      <c r="DN428" s="40">
        <f t="shared" si="677"/>
        <v>0</v>
      </c>
      <c r="DO428" s="40">
        <f t="shared" si="678"/>
        <v>162</v>
      </c>
      <c r="DP428" s="40">
        <f t="shared" si="679"/>
        <v>343</v>
      </c>
      <c r="DQ428" s="40">
        <f t="shared" si="680"/>
        <v>373</v>
      </c>
      <c r="DR428" s="40">
        <f t="shared" si="685"/>
        <v>258</v>
      </c>
      <c r="DS428" s="40">
        <f t="shared" si="686"/>
        <v>445</v>
      </c>
      <c r="DT428" s="40">
        <f t="shared" si="681"/>
        <v>350</v>
      </c>
      <c r="DU428" s="40">
        <f t="shared" si="682"/>
        <v>388.11111111111109</v>
      </c>
      <c r="DV428" s="40">
        <f t="shared" si="683"/>
        <v>0</v>
      </c>
      <c r="DW428" s="40">
        <f t="shared" si="684"/>
        <v>0</v>
      </c>
    </row>
    <row r="429" spans="1:127">
      <c r="A429" s="22" t="s">
        <v>33</v>
      </c>
      <c r="B429" s="26">
        <v>4987176340917</v>
      </c>
      <c r="C429" s="22" t="s">
        <v>34</v>
      </c>
      <c r="D429" s="22" t="s">
        <v>35</v>
      </c>
      <c r="E429" s="22">
        <v>275289</v>
      </c>
      <c r="F429" s="80" t="s">
        <v>517</v>
      </c>
      <c r="G429" s="25">
        <v>135</v>
      </c>
      <c r="H429" s="38">
        <f t="shared" si="629"/>
        <v>0</v>
      </c>
      <c r="I429" s="38">
        <f t="shared" si="630"/>
        <v>0</v>
      </c>
      <c r="J429" s="38">
        <f t="shared" si="631"/>
        <v>0</v>
      </c>
      <c r="K429" s="38">
        <f t="shared" si="632"/>
        <v>0</v>
      </c>
      <c r="L429" s="38">
        <f t="shared" si="633"/>
        <v>0</v>
      </c>
      <c r="M429" s="39">
        <f t="shared" si="634"/>
        <v>0</v>
      </c>
      <c r="N429" s="40">
        <f t="shared" si="635"/>
        <v>0</v>
      </c>
      <c r="O429" s="40">
        <f t="shared" si="636"/>
        <v>0</v>
      </c>
      <c r="P429" s="40">
        <f t="shared" si="637"/>
        <v>0</v>
      </c>
      <c r="Q429" s="40">
        <f t="shared" si="638"/>
        <v>0</v>
      </c>
      <c r="R429" s="40">
        <f t="shared" si="639"/>
        <v>0</v>
      </c>
      <c r="S429" s="40">
        <f t="shared" si="640"/>
        <v>0</v>
      </c>
      <c r="T429" s="40">
        <f t="shared" si="641"/>
        <v>0</v>
      </c>
      <c r="U429" s="40">
        <f t="shared" si="642"/>
        <v>0</v>
      </c>
      <c r="V429" s="40">
        <f t="shared" si="643"/>
        <v>0</v>
      </c>
      <c r="W429" s="40">
        <f t="shared" si="644"/>
        <v>0</v>
      </c>
      <c r="X429" s="40">
        <f t="shared" si="645"/>
        <v>0</v>
      </c>
      <c r="Y429" s="39">
        <f t="shared" si="646"/>
        <v>0</v>
      </c>
      <c r="Z429" s="40">
        <f t="shared" si="647"/>
        <v>0</v>
      </c>
      <c r="AA429" s="40">
        <f t="shared" si="648"/>
        <v>0</v>
      </c>
      <c r="AB429" s="40">
        <f t="shared" si="649"/>
        <v>0</v>
      </c>
      <c r="AC429" s="40">
        <f t="shared" si="650"/>
        <v>12150</v>
      </c>
      <c r="AD429" s="40">
        <f t="shared" si="651"/>
        <v>34830</v>
      </c>
      <c r="AE429" s="40">
        <f t="shared" si="652"/>
        <v>39420</v>
      </c>
      <c r="AF429" s="40">
        <f t="shared" si="653"/>
        <v>31185</v>
      </c>
      <c r="AG429" s="40">
        <f t="shared" si="654"/>
        <v>53325</v>
      </c>
      <c r="AH429" s="40">
        <f t="shared" si="625"/>
        <v>38880</v>
      </c>
      <c r="AI429" s="40">
        <f t="shared" si="626"/>
        <v>38940</v>
      </c>
      <c r="AJ429" s="40">
        <f t="shared" si="627"/>
        <v>0</v>
      </c>
      <c r="AK429" s="39">
        <f t="shared" si="628"/>
        <v>0</v>
      </c>
      <c r="AL429" s="38">
        <v>0</v>
      </c>
      <c r="AM429" s="38">
        <v>0</v>
      </c>
      <c r="AN429" s="38">
        <v>0</v>
      </c>
      <c r="AO429" s="38">
        <v>0</v>
      </c>
      <c r="AP429" s="38">
        <v>0</v>
      </c>
      <c r="AQ429" s="39">
        <v>0</v>
      </c>
      <c r="AR429" s="40">
        <v>0</v>
      </c>
      <c r="AS429" s="40">
        <v>0</v>
      </c>
      <c r="AT429" s="40">
        <v>0</v>
      </c>
      <c r="AU429" s="40">
        <v>0</v>
      </c>
      <c r="AV429" s="40">
        <v>0</v>
      </c>
      <c r="AW429" s="40">
        <v>0</v>
      </c>
      <c r="AX429" s="40">
        <v>0</v>
      </c>
      <c r="AY429" s="40">
        <v>0</v>
      </c>
      <c r="AZ429" s="40">
        <v>0</v>
      </c>
      <c r="BA429" s="40">
        <v>0</v>
      </c>
      <c r="BB429" s="40">
        <v>0</v>
      </c>
      <c r="BC429" s="39">
        <v>0</v>
      </c>
      <c r="BD429" s="40">
        <v>0</v>
      </c>
      <c r="BE429" s="40">
        <v>0</v>
      </c>
      <c r="BF429" s="40">
        <v>0</v>
      </c>
      <c r="BG429" s="40">
        <f>VLOOKUP(E429,'[1]Offline Offtake'!$G$522:$FL$619,161,0)</f>
        <v>81</v>
      </c>
      <c r="BH429" s="40">
        <v>250</v>
      </c>
      <c r="BI429" s="40">
        <v>287</v>
      </c>
      <c r="BJ429" s="40">
        <v>226</v>
      </c>
      <c r="BK429" s="40">
        <v>384</v>
      </c>
      <c r="BL429" s="40">
        <v>277</v>
      </c>
      <c r="BM429" s="40">
        <v>283</v>
      </c>
      <c r="BN429" s="40"/>
      <c r="BO429" s="39"/>
      <c r="BP429" s="21">
        <v>0</v>
      </c>
      <c r="BQ429" s="21">
        <v>0</v>
      </c>
      <c r="BR429" s="21">
        <v>0</v>
      </c>
      <c r="BS429" s="21">
        <v>0</v>
      </c>
      <c r="BT429" s="21">
        <v>0</v>
      </c>
      <c r="BU429" s="42">
        <v>0</v>
      </c>
      <c r="BV429" s="21">
        <v>0</v>
      </c>
      <c r="BW429" s="21">
        <v>0</v>
      </c>
      <c r="BX429" s="21">
        <v>0</v>
      </c>
      <c r="BY429" s="21">
        <v>0</v>
      </c>
      <c r="BZ429" s="21">
        <v>0</v>
      </c>
      <c r="CA429" s="21">
        <v>0</v>
      </c>
      <c r="CB429" s="21">
        <v>0</v>
      </c>
      <c r="CC429" s="21">
        <v>0</v>
      </c>
      <c r="CD429" s="21">
        <v>0</v>
      </c>
      <c r="CE429" s="21">
        <v>0</v>
      </c>
      <c r="CF429" s="21">
        <v>0</v>
      </c>
      <c r="CG429" s="42">
        <v>0</v>
      </c>
      <c r="CH429" s="21">
        <v>0</v>
      </c>
      <c r="CI429" s="21">
        <v>0</v>
      </c>
      <c r="CJ429" s="21">
        <v>0</v>
      </c>
      <c r="CK429" s="21">
        <v>9</v>
      </c>
      <c r="CL429" s="21">
        <v>8</v>
      </c>
      <c r="CM429" s="21">
        <v>5</v>
      </c>
      <c r="CN429" s="21">
        <v>5</v>
      </c>
      <c r="CO429" s="21">
        <v>11</v>
      </c>
      <c r="CP429" s="21">
        <f t="shared" si="655"/>
        <v>11</v>
      </c>
      <c r="CQ429" s="343">
        <f t="shared" si="656"/>
        <v>5.4444444444444446</v>
      </c>
      <c r="CR429" s="40"/>
      <c r="CS429" s="39"/>
      <c r="CT429" s="38">
        <f t="shared" si="657"/>
        <v>0</v>
      </c>
      <c r="CU429" s="38">
        <f t="shared" si="658"/>
        <v>0</v>
      </c>
      <c r="CV429" s="38">
        <f t="shared" si="659"/>
        <v>0</v>
      </c>
      <c r="CW429" s="38">
        <f t="shared" si="660"/>
        <v>0</v>
      </c>
      <c r="CX429" s="38">
        <f t="shared" si="661"/>
        <v>0</v>
      </c>
      <c r="CY429" s="39">
        <f t="shared" si="662"/>
        <v>0</v>
      </c>
      <c r="CZ429" s="40">
        <f t="shared" si="663"/>
        <v>0</v>
      </c>
      <c r="DA429" s="40">
        <f t="shared" si="664"/>
        <v>0</v>
      </c>
      <c r="DB429" s="40">
        <f t="shared" si="665"/>
        <v>0</v>
      </c>
      <c r="DC429" s="40">
        <f t="shared" si="666"/>
        <v>0</v>
      </c>
      <c r="DD429" s="40">
        <f t="shared" si="667"/>
        <v>0</v>
      </c>
      <c r="DE429" s="40">
        <f t="shared" si="668"/>
        <v>0</v>
      </c>
      <c r="DF429" s="40">
        <f t="shared" si="669"/>
        <v>0</v>
      </c>
      <c r="DG429" s="40">
        <f t="shared" si="670"/>
        <v>0</v>
      </c>
      <c r="DH429" s="40">
        <f t="shared" si="671"/>
        <v>0</v>
      </c>
      <c r="DI429" s="40">
        <f t="shared" si="672"/>
        <v>0</v>
      </c>
      <c r="DJ429" s="40">
        <f t="shared" si="673"/>
        <v>0</v>
      </c>
      <c r="DK429" s="39">
        <f t="shared" si="674"/>
        <v>0</v>
      </c>
      <c r="DL429" s="40">
        <f t="shared" si="675"/>
        <v>0</v>
      </c>
      <c r="DM429" s="40">
        <f t="shared" si="676"/>
        <v>0</v>
      </c>
      <c r="DN429" s="40">
        <f t="shared" si="677"/>
        <v>0</v>
      </c>
      <c r="DO429" s="40">
        <f t="shared" si="678"/>
        <v>90</v>
      </c>
      <c r="DP429" s="40">
        <f t="shared" si="679"/>
        <v>258</v>
      </c>
      <c r="DQ429" s="40">
        <f t="shared" si="680"/>
        <v>292</v>
      </c>
      <c r="DR429" s="40">
        <f t="shared" si="685"/>
        <v>231</v>
      </c>
      <c r="DS429" s="40">
        <f t="shared" si="686"/>
        <v>395</v>
      </c>
      <c r="DT429" s="40">
        <f t="shared" si="681"/>
        <v>288</v>
      </c>
      <c r="DU429" s="40">
        <f t="shared" si="682"/>
        <v>288.44444444444446</v>
      </c>
      <c r="DV429" s="40">
        <f t="shared" si="683"/>
        <v>0</v>
      </c>
      <c r="DW429" s="40">
        <f t="shared" si="684"/>
        <v>0</v>
      </c>
    </row>
    <row r="430" spans="1:127">
      <c r="A430" s="22" t="s">
        <v>33</v>
      </c>
      <c r="B430" s="26">
        <v>4987176340948</v>
      </c>
      <c r="C430" s="22" t="s">
        <v>34</v>
      </c>
      <c r="D430" s="22" t="s">
        <v>35</v>
      </c>
      <c r="E430" s="22">
        <v>275290</v>
      </c>
      <c r="F430" s="80" t="s">
        <v>518</v>
      </c>
      <c r="G430" s="25">
        <v>135</v>
      </c>
      <c r="H430" s="38">
        <f t="shared" si="629"/>
        <v>0</v>
      </c>
      <c r="I430" s="38">
        <f t="shared" si="630"/>
        <v>0</v>
      </c>
      <c r="J430" s="38">
        <f t="shared" si="631"/>
        <v>0</v>
      </c>
      <c r="K430" s="38">
        <f t="shared" si="632"/>
        <v>0</v>
      </c>
      <c r="L430" s="38">
        <f t="shared" si="633"/>
        <v>0</v>
      </c>
      <c r="M430" s="39">
        <f t="shared" si="634"/>
        <v>0</v>
      </c>
      <c r="N430" s="40">
        <f t="shared" si="635"/>
        <v>0</v>
      </c>
      <c r="O430" s="40">
        <f t="shared" si="636"/>
        <v>0</v>
      </c>
      <c r="P430" s="40">
        <f t="shared" si="637"/>
        <v>0</v>
      </c>
      <c r="Q430" s="40">
        <f t="shared" si="638"/>
        <v>0</v>
      </c>
      <c r="R430" s="40">
        <f t="shared" si="639"/>
        <v>0</v>
      </c>
      <c r="S430" s="40">
        <f t="shared" si="640"/>
        <v>0</v>
      </c>
      <c r="T430" s="40">
        <f t="shared" si="641"/>
        <v>0</v>
      </c>
      <c r="U430" s="40">
        <f t="shared" si="642"/>
        <v>0</v>
      </c>
      <c r="V430" s="40">
        <f t="shared" si="643"/>
        <v>0</v>
      </c>
      <c r="W430" s="40">
        <f t="shared" si="644"/>
        <v>0</v>
      </c>
      <c r="X430" s="40">
        <f t="shared" si="645"/>
        <v>0</v>
      </c>
      <c r="Y430" s="39">
        <f t="shared" si="646"/>
        <v>0</v>
      </c>
      <c r="Z430" s="40">
        <f t="shared" si="647"/>
        <v>0</v>
      </c>
      <c r="AA430" s="40">
        <f t="shared" si="648"/>
        <v>0</v>
      </c>
      <c r="AB430" s="40">
        <f t="shared" si="649"/>
        <v>0</v>
      </c>
      <c r="AC430" s="40">
        <f t="shared" si="650"/>
        <v>7425</v>
      </c>
      <c r="AD430" s="40">
        <f t="shared" si="651"/>
        <v>13635</v>
      </c>
      <c r="AE430" s="40">
        <f t="shared" si="652"/>
        <v>18630</v>
      </c>
      <c r="AF430" s="40">
        <f t="shared" si="653"/>
        <v>17145</v>
      </c>
      <c r="AG430" s="40">
        <f t="shared" si="654"/>
        <v>42390</v>
      </c>
      <c r="AH430" s="40">
        <f t="shared" si="625"/>
        <v>29565</v>
      </c>
      <c r="AI430" s="40">
        <f t="shared" si="626"/>
        <v>30660</v>
      </c>
      <c r="AJ430" s="40">
        <f t="shared" si="627"/>
        <v>0</v>
      </c>
      <c r="AK430" s="39">
        <f t="shared" si="628"/>
        <v>0</v>
      </c>
      <c r="AL430" s="38">
        <v>0</v>
      </c>
      <c r="AM430" s="38">
        <v>0</v>
      </c>
      <c r="AN430" s="38">
        <v>0</v>
      </c>
      <c r="AO430" s="38">
        <v>0</v>
      </c>
      <c r="AP430" s="38">
        <v>0</v>
      </c>
      <c r="AQ430" s="39">
        <v>0</v>
      </c>
      <c r="AR430" s="40">
        <v>0</v>
      </c>
      <c r="AS430" s="40">
        <v>0</v>
      </c>
      <c r="AT430" s="40">
        <v>0</v>
      </c>
      <c r="AU430" s="40">
        <v>0</v>
      </c>
      <c r="AV430" s="40">
        <v>0</v>
      </c>
      <c r="AW430" s="40">
        <v>0</v>
      </c>
      <c r="AX430" s="40">
        <v>0</v>
      </c>
      <c r="AY430" s="40">
        <v>0</v>
      </c>
      <c r="AZ430" s="40">
        <v>0</v>
      </c>
      <c r="BA430" s="40">
        <v>0</v>
      </c>
      <c r="BB430" s="40">
        <v>0</v>
      </c>
      <c r="BC430" s="39">
        <v>0</v>
      </c>
      <c r="BD430" s="40">
        <v>0</v>
      </c>
      <c r="BE430" s="40">
        <v>0</v>
      </c>
      <c r="BF430" s="40">
        <v>0</v>
      </c>
      <c r="BG430" s="40">
        <f>VLOOKUP(E430,'[1]Offline Offtake'!$G$522:$FL$619,161,0)</f>
        <v>33</v>
      </c>
      <c r="BH430" s="40">
        <v>87</v>
      </c>
      <c r="BI430" s="40">
        <v>131</v>
      </c>
      <c r="BJ430" s="40">
        <v>116</v>
      </c>
      <c r="BK430" s="40">
        <v>300</v>
      </c>
      <c r="BL430" s="40">
        <v>205</v>
      </c>
      <c r="BM430" s="40">
        <v>218</v>
      </c>
      <c r="BN430" s="40"/>
      <c r="BO430" s="39"/>
      <c r="BP430" s="21">
        <v>0</v>
      </c>
      <c r="BQ430" s="21">
        <v>0</v>
      </c>
      <c r="BR430" s="21">
        <v>0</v>
      </c>
      <c r="BS430" s="21">
        <v>0</v>
      </c>
      <c r="BT430" s="21">
        <v>0</v>
      </c>
      <c r="BU430" s="42">
        <v>0</v>
      </c>
      <c r="BV430" s="21">
        <v>0</v>
      </c>
      <c r="BW430" s="21">
        <v>0</v>
      </c>
      <c r="BX430" s="21">
        <v>0</v>
      </c>
      <c r="BY430" s="21">
        <v>0</v>
      </c>
      <c r="BZ430" s="21">
        <v>0</v>
      </c>
      <c r="CA430" s="21">
        <v>0</v>
      </c>
      <c r="CB430" s="21">
        <v>0</v>
      </c>
      <c r="CC430" s="21">
        <v>0</v>
      </c>
      <c r="CD430" s="21">
        <v>0</v>
      </c>
      <c r="CE430" s="21">
        <v>0</v>
      </c>
      <c r="CF430" s="21">
        <v>0</v>
      </c>
      <c r="CG430" s="42">
        <v>0</v>
      </c>
      <c r="CH430" s="21">
        <v>0</v>
      </c>
      <c r="CI430" s="21">
        <v>0</v>
      </c>
      <c r="CJ430" s="21">
        <v>0</v>
      </c>
      <c r="CK430" s="21">
        <v>22</v>
      </c>
      <c r="CL430" s="21">
        <v>14</v>
      </c>
      <c r="CM430" s="21">
        <v>7</v>
      </c>
      <c r="CN430" s="21">
        <v>11</v>
      </c>
      <c r="CO430" s="21">
        <v>14</v>
      </c>
      <c r="CP430" s="21">
        <f t="shared" si="655"/>
        <v>14</v>
      </c>
      <c r="CQ430" s="343">
        <f t="shared" si="656"/>
        <v>9.1111111111111107</v>
      </c>
      <c r="CR430" s="40"/>
      <c r="CS430" s="39"/>
      <c r="CT430" s="38">
        <f t="shared" si="657"/>
        <v>0</v>
      </c>
      <c r="CU430" s="38">
        <f t="shared" si="658"/>
        <v>0</v>
      </c>
      <c r="CV430" s="38">
        <f t="shared" si="659"/>
        <v>0</v>
      </c>
      <c r="CW430" s="38">
        <f t="shared" si="660"/>
        <v>0</v>
      </c>
      <c r="CX430" s="38">
        <f t="shared" si="661"/>
        <v>0</v>
      </c>
      <c r="CY430" s="39">
        <f t="shared" si="662"/>
        <v>0</v>
      </c>
      <c r="CZ430" s="40">
        <f t="shared" si="663"/>
        <v>0</v>
      </c>
      <c r="DA430" s="40">
        <f t="shared" si="664"/>
        <v>0</v>
      </c>
      <c r="DB430" s="40">
        <f t="shared" si="665"/>
        <v>0</v>
      </c>
      <c r="DC430" s="40">
        <f t="shared" si="666"/>
        <v>0</v>
      </c>
      <c r="DD430" s="40">
        <f t="shared" si="667"/>
        <v>0</v>
      </c>
      <c r="DE430" s="40">
        <f t="shared" si="668"/>
        <v>0</v>
      </c>
      <c r="DF430" s="40">
        <f t="shared" si="669"/>
        <v>0</v>
      </c>
      <c r="DG430" s="40">
        <f t="shared" si="670"/>
        <v>0</v>
      </c>
      <c r="DH430" s="40">
        <f t="shared" si="671"/>
        <v>0</v>
      </c>
      <c r="DI430" s="40">
        <f t="shared" si="672"/>
        <v>0</v>
      </c>
      <c r="DJ430" s="40">
        <f t="shared" si="673"/>
        <v>0</v>
      </c>
      <c r="DK430" s="39">
        <f t="shared" si="674"/>
        <v>0</v>
      </c>
      <c r="DL430" s="40">
        <f t="shared" si="675"/>
        <v>0</v>
      </c>
      <c r="DM430" s="40">
        <f t="shared" si="676"/>
        <v>0</v>
      </c>
      <c r="DN430" s="40">
        <f t="shared" si="677"/>
        <v>0</v>
      </c>
      <c r="DO430" s="40">
        <f t="shared" si="678"/>
        <v>55</v>
      </c>
      <c r="DP430" s="40">
        <f t="shared" si="679"/>
        <v>101</v>
      </c>
      <c r="DQ430" s="40">
        <f t="shared" si="680"/>
        <v>138</v>
      </c>
      <c r="DR430" s="40">
        <f t="shared" si="685"/>
        <v>127</v>
      </c>
      <c r="DS430" s="40">
        <f t="shared" si="686"/>
        <v>314</v>
      </c>
      <c r="DT430" s="40">
        <f t="shared" si="681"/>
        <v>219</v>
      </c>
      <c r="DU430" s="40">
        <f t="shared" si="682"/>
        <v>227.11111111111111</v>
      </c>
      <c r="DV430" s="40">
        <f t="shared" si="683"/>
        <v>0</v>
      </c>
      <c r="DW430" s="40">
        <f t="shared" si="684"/>
        <v>0</v>
      </c>
    </row>
    <row r="431" spans="1:127">
      <c r="A431" s="22" t="s">
        <v>33</v>
      </c>
      <c r="B431" s="26">
        <v>4987176293244</v>
      </c>
      <c r="C431" s="22" t="s">
        <v>37</v>
      </c>
      <c r="D431" s="22" t="s">
        <v>37</v>
      </c>
      <c r="E431" s="22">
        <v>265105</v>
      </c>
      <c r="F431" s="80" t="s">
        <v>519</v>
      </c>
      <c r="G431" s="25">
        <v>445.06350000000003</v>
      </c>
      <c r="H431" s="38">
        <f t="shared" si="629"/>
        <v>0</v>
      </c>
      <c r="I431" s="38">
        <f t="shared" si="630"/>
        <v>0</v>
      </c>
      <c r="J431" s="38">
        <f t="shared" si="631"/>
        <v>0</v>
      </c>
      <c r="K431" s="38">
        <f t="shared" si="632"/>
        <v>0</v>
      </c>
      <c r="L431" s="38">
        <f t="shared" si="633"/>
        <v>0</v>
      </c>
      <c r="M431" s="39">
        <f t="shared" si="634"/>
        <v>0</v>
      </c>
      <c r="N431" s="40">
        <f t="shared" si="635"/>
        <v>0</v>
      </c>
      <c r="O431" s="40">
        <f t="shared" si="636"/>
        <v>0</v>
      </c>
      <c r="P431" s="40">
        <f t="shared" si="637"/>
        <v>0</v>
      </c>
      <c r="Q431" s="40">
        <f t="shared" si="638"/>
        <v>0</v>
      </c>
      <c r="R431" s="40">
        <f t="shared" si="639"/>
        <v>0</v>
      </c>
      <c r="S431" s="40">
        <f t="shared" si="640"/>
        <v>0</v>
      </c>
      <c r="T431" s="40">
        <f t="shared" si="641"/>
        <v>0</v>
      </c>
      <c r="U431" s="40">
        <f t="shared" si="642"/>
        <v>0</v>
      </c>
      <c r="V431" s="40">
        <f t="shared" si="643"/>
        <v>0</v>
      </c>
      <c r="W431" s="40">
        <f t="shared" si="644"/>
        <v>263477.592</v>
      </c>
      <c r="X431" s="40">
        <f t="shared" si="645"/>
        <v>427706.02350000001</v>
      </c>
      <c r="Y431" s="39">
        <f t="shared" si="646"/>
        <v>130848.66900000001</v>
      </c>
      <c r="Z431" s="40">
        <f t="shared" si="647"/>
        <v>332462.43450000003</v>
      </c>
      <c r="AA431" s="40">
        <f t="shared" si="648"/>
        <v>86787.382500000007</v>
      </c>
      <c r="AB431" s="40">
        <f t="shared" si="649"/>
        <v>76995.98550000001</v>
      </c>
      <c r="AC431" s="40">
        <f t="shared" si="650"/>
        <v>90792.954000000012</v>
      </c>
      <c r="AD431" s="40">
        <f t="shared" si="651"/>
        <v>91238.017500000002</v>
      </c>
      <c r="AE431" s="40">
        <f t="shared" si="652"/>
        <v>98804.097000000009</v>
      </c>
      <c r="AF431" s="40">
        <f t="shared" si="653"/>
        <v>108595.49400000001</v>
      </c>
      <c r="AG431" s="40">
        <f t="shared" si="654"/>
        <v>26258.746500000001</v>
      </c>
      <c r="AH431" s="40">
        <f t="shared" si="625"/>
        <v>18692.667000000001</v>
      </c>
      <c r="AI431" s="40">
        <f t="shared" si="626"/>
        <v>27198.325000000004</v>
      </c>
      <c r="AJ431" s="40">
        <f t="shared" si="627"/>
        <v>0</v>
      </c>
      <c r="AK431" s="39">
        <f t="shared" si="628"/>
        <v>0</v>
      </c>
      <c r="AL431" s="38">
        <v>0</v>
      </c>
      <c r="AM431" s="38">
        <v>0</v>
      </c>
      <c r="AN431" s="38">
        <v>0</v>
      </c>
      <c r="AO431" s="38">
        <v>0</v>
      </c>
      <c r="AP431" s="38">
        <v>0</v>
      </c>
      <c r="AQ431" s="39">
        <v>0</v>
      </c>
      <c r="AR431" s="40">
        <v>0</v>
      </c>
      <c r="AS431" s="40">
        <v>0</v>
      </c>
      <c r="AT431" s="40">
        <v>0</v>
      </c>
      <c r="AU431" s="40">
        <v>0</v>
      </c>
      <c r="AV431" s="40">
        <v>0</v>
      </c>
      <c r="AW431" s="40">
        <v>0</v>
      </c>
      <c r="AX431" s="40">
        <v>0</v>
      </c>
      <c r="AY431" s="40">
        <v>0</v>
      </c>
      <c r="AZ431" s="40">
        <v>0</v>
      </c>
      <c r="BA431" s="40">
        <v>570</v>
      </c>
      <c r="BB431" s="40">
        <v>897</v>
      </c>
      <c r="BC431" s="39">
        <v>243</v>
      </c>
      <c r="BD431" s="40">
        <v>716</v>
      </c>
      <c r="BE431" s="40">
        <v>156</v>
      </c>
      <c r="BF431" s="40">
        <v>125</v>
      </c>
      <c r="BG431" s="40">
        <v>135</v>
      </c>
      <c r="BH431" s="40">
        <v>141</v>
      </c>
      <c r="BI431" s="40">
        <v>179</v>
      </c>
      <c r="BJ431" s="40">
        <v>240</v>
      </c>
      <c r="BK431" s="40">
        <v>59</v>
      </c>
      <c r="BL431" s="40">
        <v>42</v>
      </c>
      <c r="BM431" s="40">
        <v>28</v>
      </c>
      <c r="BN431" s="40"/>
      <c r="BO431" s="39"/>
      <c r="BP431" s="21">
        <v>0</v>
      </c>
      <c r="BQ431" s="21">
        <v>0</v>
      </c>
      <c r="BR431" s="21">
        <v>0</v>
      </c>
      <c r="BS431" s="21">
        <v>0</v>
      </c>
      <c r="BT431" s="21">
        <v>0</v>
      </c>
      <c r="BU431" s="42">
        <v>0</v>
      </c>
      <c r="BV431" s="21">
        <v>0</v>
      </c>
      <c r="BW431" s="21">
        <v>0</v>
      </c>
      <c r="BX431" s="21">
        <v>0</v>
      </c>
      <c r="BY431" s="21">
        <v>0</v>
      </c>
      <c r="BZ431" s="21">
        <v>0</v>
      </c>
      <c r="CA431" s="21">
        <v>0</v>
      </c>
      <c r="CB431" s="21">
        <v>0</v>
      </c>
      <c r="CC431" s="21">
        <v>0</v>
      </c>
      <c r="CD431" s="21">
        <v>0</v>
      </c>
      <c r="CE431" s="21">
        <v>22</v>
      </c>
      <c r="CF431" s="21">
        <v>64</v>
      </c>
      <c r="CG431" s="42">
        <v>51</v>
      </c>
      <c r="CH431" s="21">
        <v>31</v>
      </c>
      <c r="CI431" s="21">
        <v>39</v>
      </c>
      <c r="CJ431" s="21">
        <v>48</v>
      </c>
      <c r="CK431" s="21">
        <v>69</v>
      </c>
      <c r="CL431" s="21">
        <v>64</v>
      </c>
      <c r="CM431" s="21">
        <v>43</v>
      </c>
      <c r="CN431" s="21">
        <v>4</v>
      </c>
      <c r="CO431" s="21">
        <v>0</v>
      </c>
      <c r="CP431" s="21">
        <f t="shared" si="655"/>
        <v>0</v>
      </c>
      <c r="CQ431" s="343">
        <f t="shared" si="656"/>
        <v>33.111111111111114</v>
      </c>
      <c r="CR431" s="40"/>
      <c r="CS431" s="39"/>
      <c r="CT431" s="38">
        <f t="shared" si="657"/>
        <v>0</v>
      </c>
      <c r="CU431" s="38">
        <f t="shared" si="658"/>
        <v>0</v>
      </c>
      <c r="CV431" s="38">
        <f t="shared" si="659"/>
        <v>0</v>
      </c>
      <c r="CW431" s="38">
        <f t="shared" si="660"/>
        <v>0</v>
      </c>
      <c r="CX431" s="38">
        <f t="shared" si="661"/>
        <v>0</v>
      </c>
      <c r="CY431" s="39">
        <f t="shared" si="662"/>
        <v>0</v>
      </c>
      <c r="CZ431" s="40">
        <f t="shared" si="663"/>
        <v>0</v>
      </c>
      <c r="DA431" s="40">
        <f t="shared" si="664"/>
        <v>0</v>
      </c>
      <c r="DB431" s="40">
        <f t="shared" si="665"/>
        <v>0</v>
      </c>
      <c r="DC431" s="40">
        <f t="shared" si="666"/>
        <v>0</v>
      </c>
      <c r="DD431" s="40">
        <f t="shared" si="667"/>
        <v>0</v>
      </c>
      <c r="DE431" s="40">
        <f t="shared" si="668"/>
        <v>0</v>
      </c>
      <c r="DF431" s="40">
        <f t="shared" si="669"/>
        <v>0</v>
      </c>
      <c r="DG431" s="40">
        <f t="shared" si="670"/>
        <v>0</v>
      </c>
      <c r="DH431" s="40">
        <f t="shared" si="671"/>
        <v>0</v>
      </c>
      <c r="DI431" s="40">
        <f t="shared" si="672"/>
        <v>592</v>
      </c>
      <c r="DJ431" s="40">
        <f t="shared" si="673"/>
        <v>961</v>
      </c>
      <c r="DK431" s="39">
        <f t="shared" si="674"/>
        <v>294</v>
      </c>
      <c r="DL431" s="40">
        <f t="shared" si="675"/>
        <v>747</v>
      </c>
      <c r="DM431" s="40">
        <f t="shared" si="676"/>
        <v>195</v>
      </c>
      <c r="DN431" s="40">
        <f t="shared" si="677"/>
        <v>173</v>
      </c>
      <c r="DO431" s="40">
        <f t="shared" si="678"/>
        <v>204</v>
      </c>
      <c r="DP431" s="40">
        <f t="shared" si="679"/>
        <v>205</v>
      </c>
      <c r="DQ431" s="40">
        <f t="shared" si="680"/>
        <v>222</v>
      </c>
      <c r="DR431" s="40">
        <f t="shared" si="685"/>
        <v>244</v>
      </c>
      <c r="DS431" s="40">
        <f t="shared" si="686"/>
        <v>59</v>
      </c>
      <c r="DT431" s="40">
        <f t="shared" si="681"/>
        <v>42</v>
      </c>
      <c r="DU431" s="40">
        <f t="shared" si="682"/>
        <v>61.111111111111114</v>
      </c>
      <c r="DV431" s="40">
        <f t="shared" si="683"/>
        <v>0</v>
      </c>
      <c r="DW431" s="40">
        <f t="shared" si="684"/>
        <v>0</v>
      </c>
    </row>
    <row r="432" spans="1:127">
      <c r="A432" s="22" t="s">
        <v>33</v>
      </c>
      <c r="B432" s="26">
        <v>4987176175793</v>
      </c>
      <c r="C432" s="22" t="s">
        <v>37</v>
      </c>
      <c r="D432" s="22" t="s">
        <v>37</v>
      </c>
      <c r="E432" s="22">
        <v>236678</v>
      </c>
      <c r="F432" s="80" t="s">
        <v>520</v>
      </c>
      <c r="G432" s="25">
        <v>374.2</v>
      </c>
      <c r="H432" s="38">
        <f t="shared" si="629"/>
        <v>0</v>
      </c>
      <c r="I432" s="38">
        <f t="shared" si="630"/>
        <v>0</v>
      </c>
      <c r="J432" s="38">
        <f t="shared" si="631"/>
        <v>11600.199999999999</v>
      </c>
      <c r="K432" s="38">
        <f t="shared" si="632"/>
        <v>14219.6</v>
      </c>
      <c r="L432" s="38">
        <f t="shared" si="633"/>
        <v>39665.199999999997</v>
      </c>
      <c r="M432" s="39">
        <f t="shared" si="634"/>
        <v>34800.6</v>
      </c>
      <c r="N432" s="40">
        <f t="shared" si="635"/>
        <v>35174.799999999996</v>
      </c>
      <c r="O432" s="40">
        <f t="shared" si="636"/>
        <v>49394.400000000001</v>
      </c>
      <c r="P432" s="40">
        <f t="shared" si="637"/>
        <v>47523.4</v>
      </c>
      <c r="Q432" s="40">
        <f t="shared" si="638"/>
        <v>45652.4</v>
      </c>
      <c r="R432" s="40">
        <f t="shared" si="639"/>
        <v>37420</v>
      </c>
      <c r="S432" s="40">
        <f t="shared" si="640"/>
        <v>43781.4</v>
      </c>
      <c r="T432" s="40">
        <f t="shared" si="641"/>
        <v>46400.799999999996</v>
      </c>
      <c r="U432" s="40">
        <f t="shared" si="642"/>
        <v>28813.399999999998</v>
      </c>
      <c r="V432" s="40">
        <f t="shared" si="643"/>
        <v>7858.2</v>
      </c>
      <c r="W432" s="40">
        <f t="shared" si="644"/>
        <v>2619.4</v>
      </c>
      <c r="X432" s="40">
        <f t="shared" si="645"/>
        <v>0</v>
      </c>
      <c r="Y432" s="39">
        <f t="shared" si="646"/>
        <v>0</v>
      </c>
      <c r="Z432" s="40">
        <f t="shared" si="647"/>
        <v>0</v>
      </c>
      <c r="AA432" s="40">
        <f t="shared" si="648"/>
        <v>0</v>
      </c>
      <c r="AB432" s="40">
        <f t="shared" si="649"/>
        <v>748.4</v>
      </c>
      <c r="AC432" s="40">
        <f t="shared" si="650"/>
        <v>0</v>
      </c>
      <c r="AD432" s="40">
        <f t="shared" si="651"/>
        <v>0</v>
      </c>
      <c r="AE432" s="40">
        <f t="shared" si="652"/>
        <v>0</v>
      </c>
      <c r="AF432" s="40">
        <f t="shared" si="653"/>
        <v>0</v>
      </c>
      <c r="AG432" s="40">
        <f t="shared" si="654"/>
        <v>0</v>
      </c>
      <c r="AH432" s="40">
        <f t="shared" si="625"/>
        <v>0</v>
      </c>
      <c r="AI432" s="40">
        <f t="shared" si="626"/>
        <v>0</v>
      </c>
      <c r="AJ432" s="40">
        <f t="shared" si="627"/>
        <v>0</v>
      </c>
      <c r="AK432" s="39">
        <f t="shared" si="628"/>
        <v>0</v>
      </c>
      <c r="AL432" s="38">
        <v>0</v>
      </c>
      <c r="AM432" s="38">
        <v>0</v>
      </c>
      <c r="AN432" s="38">
        <v>22</v>
      </c>
      <c r="AO432" s="38">
        <v>29</v>
      </c>
      <c r="AP432" s="38">
        <v>96</v>
      </c>
      <c r="AQ432" s="39">
        <v>75</v>
      </c>
      <c r="AR432" s="40">
        <v>80</v>
      </c>
      <c r="AS432" s="40">
        <v>114</v>
      </c>
      <c r="AT432" s="40">
        <v>84</v>
      </c>
      <c r="AU432" s="40">
        <v>111</v>
      </c>
      <c r="AV432" s="40">
        <v>102</v>
      </c>
      <c r="AW432" s="40">
        <v>108</v>
      </c>
      <c r="AX432" s="40">
        <v>102</v>
      </c>
      <c r="AY432" s="40">
        <v>77</v>
      </c>
      <c r="AZ432" s="40">
        <v>21</v>
      </c>
      <c r="BA432" s="40">
        <v>7</v>
      </c>
      <c r="BB432" s="40">
        <v>0</v>
      </c>
      <c r="BC432" s="39">
        <v>0</v>
      </c>
      <c r="BD432" s="40">
        <v>0</v>
      </c>
      <c r="BE432" s="40">
        <v>0</v>
      </c>
      <c r="BF432" s="40">
        <v>2</v>
      </c>
      <c r="BG432" s="40">
        <v>0</v>
      </c>
      <c r="BH432" s="40">
        <v>0</v>
      </c>
      <c r="BI432" s="40">
        <v>0</v>
      </c>
      <c r="BJ432" s="40">
        <v>0</v>
      </c>
      <c r="BK432" s="40">
        <v>0</v>
      </c>
      <c r="BL432" s="40">
        <v>0</v>
      </c>
      <c r="BM432" s="40">
        <v>0</v>
      </c>
      <c r="BN432" s="40"/>
      <c r="BO432" s="39"/>
      <c r="BP432" s="21">
        <v>0</v>
      </c>
      <c r="BQ432" s="21">
        <v>0</v>
      </c>
      <c r="BR432" s="21">
        <v>9</v>
      </c>
      <c r="BS432" s="21">
        <v>9</v>
      </c>
      <c r="BT432" s="21">
        <v>10</v>
      </c>
      <c r="BU432" s="42">
        <v>18</v>
      </c>
      <c r="BV432" s="21">
        <v>14</v>
      </c>
      <c r="BW432" s="21">
        <v>18</v>
      </c>
      <c r="BX432" s="21">
        <v>43</v>
      </c>
      <c r="BY432" s="21">
        <v>11</v>
      </c>
      <c r="BZ432" s="21">
        <v>-2</v>
      </c>
      <c r="CA432" s="21">
        <v>9</v>
      </c>
      <c r="CB432" s="21">
        <v>22</v>
      </c>
      <c r="CC432" s="21">
        <v>0</v>
      </c>
      <c r="CD432" s="21">
        <v>0</v>
      </c>
      <c r="CE432" s="21">
        <v>0</v>
      </c>
      <c r="CF432" s="21">
        <v>0</v>
      </c>
      <c r="CG432" s="42">
        <v>0</v>
      </c>
      <c r="CH432" s="21">
        <v>0</v>
      </c>
      <c r="CI432" s="21">
        <v>0</v>
      </c>
      <c r="CJ432" s="21">
        <v>0</v>
      </c>
      <c r="CK432" s="21">
        <v>0</v>
      </c>
      <c r="CL432" s="21">
        <v>0</v>
      </c>
      <c r="CM432" s="21">
        <v>0</v>
      </c>
      <c r="CN432" s="21">
        <v>0</v>
      </c>
      <c r="CO432" s="21">
        <v>0</v>
      </c>
      <c r="CP432" s="21">
        <f t="shared" si="655"/>
        <v>0</v>
      </c>
      <c r="CQ432" s="343">
        <f t="shared" si="656"/>
        <v>0</v>
      </c>
      <c r="CR432" s="40"/>
      <c r="CS432" s="39"/>
      <c r="CT432" s="38">
        <f t="shared" si="657"/>
        <v>0</v>
      </c>
      <c r="CU432" s="38">
        <f t="shared" si="658"/>
        <v>0</v>
      </c>
      <c r="CV432" s="38">
        <f t="shared" si="659"/>
        <v>31</v>
      </c>
      <c r="CW432" s="38">
        <f t="shared" si="660"/>
        <v>38</v>
      </c>
      <c r="CX432" s="38">
        <f t="shared" si="661"/>
        <v>106</v>
      </c>
      <c r="CY432" s="39">
        <f t="shared" si="662"/>
        <v>93</v>
      </c>
      <c r="CZ432" s="40">
        <f t="shared" si="663"/>
        <v>94</v>
      </c>
      <c r="DA432" s="40">
        <f t="shared" si="664"/>
        <v>132</v>
      </c>
      <c r="DB432" s="40">
        <f t="shared" si="665"/>
        <v>127</v>
      </c>
      <c r="DC432" s="40">
        <f t="shared" si="666"/>
        <v>122</v>
      </c>
      <c r="DD432" s="40">
        <f t="shared" si="667"/>
        <v>100</v>
      </c>
      <c r="DE432" s="40">
        <f t="shared" si="668"/>
        <v>117</v>
      </c>
      <c r="DF432" s="40">
        <f t="shared" si="669"/>
        <v>124</v>
      </c>
      <c r="DG432" s="40">
        <f t="shared" si="670"/>
        <v>77</v>
      </c>
      <c r="DH432" s="40">
        <f t="shared" si="671"/>
        <v>21</v>
      </c>
      <c r="DI432" s="40">
        <f t="shared" si="672"/>
        <v>7</v>
      </c>
      <c r="DJ432" s="40">
        <f t="shared" si="673"/>
        <v>0</v>
      </c>
      <c r="DK432" s="39">
        <f t="shared" si="674"/>
        <v>0</v>
      </c>
      <c r="DL432" s="40">
        <f t="shared" si="675"/>
        <v>0</v>
      </c>
      <c r="DM432" s="40">
        <f t="shared" si="676"/>
        <v>0</v>
      </c>
      <c r="DN432" s="40">
        <f t="shared" si="677"/>
        <v>2</v>
      </c>
      <c r="DO432" s="40">
        <f t="shared" si="678"/>
        <v>0</v>
      </c>
      <c r="DP432" s="40">
        <f t="shared" si="679"/>
        <v>0</v>
      </c>
      <c r="DQ432" s="40">
        <f t="shared" si="680"/>
        <v>0</v>
      </c>
      <c r="DR432" s="40">
        <f t="shared" si="685"/>
        <v>0</v>
      </c>
      <c r="DS432" s="40">
        <f t="shared" si="686"/>
        <v>0</v>
      </c>
      <c r="DT432" s="40">
        <f t="shared" si="681"/>
        <v>0</v>
      </c>
      <c r="DU432" s="40">
        <f t="shared" si="682"/>
        <v>0</v>
      </c>
      <c r="DV432" s="40">
        <f t="shared" si="683"/>
        <v>0</v>
      </c>
      <c r="DW432" s="40">
        <f t="shared" si="684"/>
        <v>0</v>
      </c>
    </row>
    <row r="433" spans="1:127">
      <c r="A433" s="22" t="s">
        <v>33</v>
      </c>
      <c r="B433" s="26">
        <v>4987176175809</v>
      </c>
      <c r="C433" s="22" t="s">
        <v>37</v>
      </c>
      <c r="D433" s="22" t="s">
        <v>37</v>
      </c>
      <c r="E433" s="22">
        <v>236506</v>
      </c>
      <c r="F433" s="80" t="s">
        <v>521</v>
      </c>
      <c r="G433" s="25">
        <v>374.2</v>
      </c>
      <c r="H433" s="38">
        <f t="shared" si="629"/>
        <v>0</v>
      </c>
      <c r="I433" s="38">
        <f t="shared" si="630"/>
        <v>0</v>
      </c>
      <c r="J433" s="38">
        <f t="shared" si="631"/>
        <v>11600.199999999999</v>
      </c>
      <c r="K433" s="38">
        <f t="shared" si="632"/>
        <v>18335.8</v>
      </c>
      <c r="L433" s="38">
        <f t="shared" si="633"/>
        <v>28813.399999999998</v>
      </c>
      <c r="M433" s="39">
        <f t="shared" si="634"/>
        <v>43781.4</v>
      </c>
      <c r="N433" s="40">
        <f t="shared" si="635"/>
        <v>26194</v>
      </c>
      <c r="O433" s="40">
        <f t="shared" si="636"/>
        <v>43781.4</v>
      </c>
      <c r="P433" s="40">
        <f t="shared" si="637"/>
        <v>39665.199999999997</v>
      </c>
      <c r="Q433" s="40">
        <f t="shared" si="638"/>
        <v>37794.199999999997</v>
      </c>
      <c r="R433" s="40">
        <f t="shared" si="639"/>
        <v>36297.4</v>
      </c>
      <c r="S433" s="40">
        <f t="shared" si="640"/>
        <v>50142.799999999996</v>
      </c>
      <c r="T433" s="40">
        <f t="shared" si="641"/>
        <v>38916.799999999996</v>
      </c>
      <c r="U433" s="40">
        <f t="shared" si="642"/>
        <v>25445.599999999999</v>
      </c>
      <c r="V433" s="40">
        <f t="shared" si="643"/>
        <v>7484</v>
      </c>
      <c r="W433" s="40">
        <f t="shared" si="644"/>
        <v>3367.7999999999997</v>
      </c>
      <c r="X433" s="40">
        <f t="shared" si="645"/>
        <v>748.4</v>
      </c>
      <c r="Y433" s="39">
        <f t="shared" si="646"/>
        <v>0</v>
      </c>
      <c r="Z433" s="40">
        <f t="shared" si="647"/>
        <v>0</v>
      </c>
      <c r="AA433" s="40">
        <f t="shared" si="648"/>
        <v>374.2</v>
      </c>
      <c r="AB433" s="40">
        <f t="shared" si="649"/>
        <v>0</v>
      </c>
      <c r="AC433" s="40">
        <f t="shared" si="650"/>
        <v>0</v>
      </c>
      <c r="AD433" s="40">
        <f t="shared" si="651"/>
        <v>0</v>
      </c>
      <c r="AE433" s="40">
        <f t="shared" si="652"/>
        <v>374.2</v>
      </c>
      <c r="AF433" s="40">
        <f t="shared" si="653"/>
        <v>0</v>
      </c>
      <c r="AG433" s="40">
        <f t="shared" si="654"/>
        <v>0</v>
      </c>
      <c r="AH433" s="40">
        <f t="shared" si="625"/>
        <v>0</v>
      </c>
      <c r="AI433" s="40">
        <f t="shared" si="626"/>
        <v>0</v>
      </c>
      <c r="AJ433" s="40">
        <f t="shared" si="627"/>
        <v>0</v>
      </c>
      <c r="AK433" s="39">
        <f t="shared" si="628"/>
        <v>0</v>
      </c>
      <c r="AL433" s="38">
        <v>0</v>
      </c>
      <c r="AM433" s="38">
        <v>0</v>
      </c>
      <c r="AN433" s="38">
        <v>23</v>
      </c>
      <c r="AO433" s="38">
        <v>43</v>
      </c>
      <c r="AP433" s="38">
        <v>65</v>
      </c>
      <c r="AQ433" s="39">
        <v>98</v>
      </c>
      <c r="AR433" s="40">
        <v>62</v>
      </c>
      <c r="AS433" s="40">
        <v>106</v>
      </c>
      <c r="AT433" s="40">
        <v>91</v>
      </c>
      <c r="AU433" s="40">
        <v>98</v>
      </c>
      <c r="AV433" s="40">
        <v>74</v>
      </c>
      <c r="AW433" s="40">
        <v>133</v>
      </c>
      <c r="AX433" s="40">
        <v>104</v>
      </c>
      <c r="AY433" s="40">
        <v>68</v>
      </c>
      <c r="AZ433" s="40">
        <v>20</v>
      </c>
      <c r="BA433" s="40">
        <v>9</v>
      </c>
      <c r="BB433" s="40">
        <v>2</v>
      </c>
      <c r="BC433" s="39">
        <v>0</v>
      </c>
      <c r="BD433" s="40">
        <v>0</v>
      </c>
      <c r="BE433" s="40">
        <v>1</v>
      </c>
      <c r="BF433" s="40">
        <v>0</v>
      </c>
      <c r="BG433" s="40">
        <v>0</v>
      </c>
      <c r="BH433" s="40">
        <v>0</v>
      </c>
      <c r="BI433" s="40">
        <v>1</v>
      </c>
      <c r="BJ433" s="40">
        <v>0</v>
      </c>
      <c r="BK433" s="40">
        <v>0</v>
      </c>
      <c r="BL433" s="40">
        <v>0</v>
      </c>
      <c r="BM433" s="40">
        <v>0</v>
      </c>
      <c r="BN433" s="40"/>
      <c r="BO433" s="39"/>
      <c r="BP433" s="21">
        <v>0</v>
      </c>
      <c r="BQ433" s="21">
        <v>0</v>
      </c>
      <c r="BR433" s="21">
        <v>8</v>
      </c>
      <c r="BS433" s="21">
        <v>6</v>
      </c>
      <c r="BT433" s="21">
        <v>12</v>
      </c>
      <c r="BU433" s="42">
        <v>19</v>
      </c>
      <c r="BV433" s="21">
        <v>8</v>
      </c>
      <c r="BW433" s="21">
        <v>11</v>
      </c>
      <c r="BX433" s="21">
        <v>15</v>
      </c>
      <c r="BY433" s="21">
        <v>3</v>
      </c>
      <c r="BZ433" s="21">
        <v>23</v>
      </c>
      <c r="CA433" s="21">
        <v>1</v>
      </c>
      <c r="CB433" s="21">
        <v>0</v>
      </c>
      <c r="CC433" s="21">
        <v>0</v>
      </c>
      <c r="CD433" s="21">
        <v>0</v>
      </c>
      <c r="CE433" s="21">
        <v>0</v>
      </c>
      <c r="CF433" s="21">
        <v>0</v>
      </c>
      <c r="CG433" s="42">
        <v>0</v>
      </c>
      <c r="CH433" s="21">
        <v>0</v>
      </c>
      <c r="CI433" s="21">
        <v>0</v>
      </c>
      <c r="CJ433" s="21">
        <v>0</v>
      </c>
      <c r="CK433" s="21">
        <v>0</v>
      </c>
      <c r="CL433" s="21">
        <v>0</v>
      </c>
      <c r="CM433" s="21">
        <v>0</v>
      </c>
      <c r="CN433" s="21">
        <v>0</v>
      </c>
      <c r="CO433" s="21">
        <v>0</v>
      </c>
      <c r="CP433" s="21">
        <f t="shared" si="655"/>
        <v>0</v>
      </c>
      <c r="CQ433" s="343">
        <f t="shared" si="656"/>
        <v>0</v>
      </c>
      <c r="CR433" s="40"/>
      <c r="CS433" s="39"/>
      <c r="CT433" s="38">
        <f t="shared" si="657"/>
        <v>0</v>
      </c>
      <c r="CU433" s="38">
        <f t="shared" si="658"/>
        <v>0</v>
      </c>
      <c r="CV433" s="38">
        <f t="shared" si="659"/>
        <v>31</v>
      </c>
      <c r="CW433" s="38">
        <f t="shared" si="660"/>
        <v>49</v>
      </c>
      <c r="CX433" s="38">
        <f t="shared" si="661"/>
        <v>77</v>
      </c>
      <c r="CY433" s="39">
        <f t="shared" si="662"/>
        <v>117</v>
      </c>
      <c r="CZ433" s="40">
        <f t="shared" si="663"/>
        <v>70</v>
      </c>
      <c r="DA433" s="40">
        <f t="shared" si="664"/>
        <v>117</v>
      </c>
      <c r="DB433" s="40">
        <f t="shared" si="665"/>
        <v>106</v>
      </c>
      <c r="DC433" s="40">
        <f t="shared" si="666"/>
        <v>101</v>
      </c>
      <c r="DD433" s="40">
        <f t="shared" si="667"/>
        <v>97</v>
      </c>
      <c r="DE433" s="40">
        <f t="shared" si="668"/>
        <v>134</v>
      </c>
      <c r="DF433" s="40">
        <f t="shared" si="669"/>
        <v>104</v>
      </c>
      <c r="DG433" s="40">
        <f t="shared" si="670"/>
        <v>68</v>
      </c>
      <c r="DH433" s="40">
        <f t="shared" si="671"/>
        <v>20</v>
      </c>
      <c r="DI433" s="40">
        <f t="shared" si="672"/>
        <v>9</v>
      </c>
      <c r="DJ433" s="40">
        <f t="shared" si="673"/>
        <v>2</v>
      </c>
      <c r="DK433" s="39">
        <f t="shared" si="674"/>
        <v>0</v>
      </c>
      <c r="DL433" s="40">
        <f t="shared" si="675"/>
        <v>0</v>
      </c>
      <c r="DM433" s="40">
        <f t="shared" si="676"/>
        <v>1</v>
      </c>
      <c r="DN433" s="40">
        <f t="shared" si="677"/>
        <v>0</v>
      </c>
      <c r="DO433" s="40">
        <f t="shared" si="678"/>
        <v>0</v>
      </c>
      <c r="DP433" s="40">
        <f t="shared" si="679"/>
        <v>0</v>
      </c>
      <c r="DQ433" s="40">
        <f t="shared" si="680"/>
        <v>1</v>
      </c>
      <c r="DR433" s="40">
        <f t="shared" si="685"/>
        <v>0</v>
      </c>
      <c r="DS433" s="40">
        <f t="shared" si="686"/>
        <v>0</v>
      </c>
      <c r="DT433" s="40">
        <f t="shared" si="681"/>
        <v>0</v>
      </c>
      <c r="DU433" s="40">
        <f t="shared" si="682"/>
        <v>0</v>
      </c>
      <c r="DV433" s="40">
        <f t="shared" si="683"/>
        <v>0</v>
      </c>
      <c r="DW433" s="40">
        <f t="shared" si="684"/>
        <v>0</v>
      </c>
    </row>
    <row r="434" spans="1:127">
      <c r="A434" s="22" t="s">
        <v>33</v>
      </c>
      <c r="B434" s="26">
        <v>4987176306784</v>
      </c>
      <c r="C434" s="22" t="s">
        <v>37</v>
      </c>
      <c r="D434" s="22" t="s">
        <v>37</v>
      </c>
      <c r="E434" s="22">
        <v>256852</v>
      </c>
      <c r="F434" s="80" t="s">
        <v>522</v>
      </c>
      <c r="G434" s="25">
        <v>372.34</v>
      </c>
      <c r="H434" s="38">
        <f t="shared" si="629"/>
        <v>0</v>
      </c>
      <c r="I434" s="38">
        <f t="shared" si="630"/>
        <v>0</v>
      </c>
      <c r="J434" s="38">
        <f t="shared" si="631"/>
        <v>0</v>
      </c>
      <c r="K434" s="38">
        <f t="shared" si="632"/>
        <v>0</v>
      </c>
      <c r="L434" s="38">
        <f t="shared" si="633"/>
        <v>0</v>
      </c>
      <c r="M434" s="39">
        <f t="shared" si="634"/>
        <v>0</v>
      </c>
      <c r="N434" s="40">
        <f t="shared" si="635"/>
        <v>0</v>
      </c>
      <c r="O434" s="40">
        <f t="shared" si="636"/>
        <v>0</v>
      </c>
      <c r="P434" s="40">
        <f t="shared" si="637"/>
        <v>0</v>
      </c>
      <c r="Q434" s="40">
        <f t="shared" si="638"/>
        <v>0</v>
      </c>
      <c r="R434" s="40">
        <f t="shared" si="639"/>
        <v>0</v>
      </c>
      <c r="S434" s="40">
        <f t="shared" si="640"/>
        <v>1489.36</v>
      </c>
      <c r="T434" s="40">
        <f t="shared" si="641"/>
        <v>32021.239999999998</v>
      </c>
      <c r="U434" s="40">
        <f t="shared" si="642"/>
        <v>59946.74</v>
      </c>
      <c r="V434" s="40">
        <f t="shared" si="643"/>
        <v>51382.92</v>
      </c>
      <c r="W434" s="40">
        <f t="shared" si="644"/>
        <v>46170.159999999996</v>
      </c>
      <c r="X434" s="40">
        <f t="shared" si="645"/>
        <v>47659.519999999997</v>
      </c>
      <c r="Y434" s="39">
        <f t="shared" si="646"/>
        <v>38723.360000000001</v>
      </c>
      <c r="Z434" s="40">
        <f t="shared" si="647"/>
        <v>42074.42</v>
      </c>
      <c r="AA434" s="40">
        <f t="shared" si="648"/>
        <v>21595.719999999998</v>
      </c>
      <c r="AB434" s="40">
        <f t="shared" si="649"/>
        <v>7074.4599999999991</v>
      </c>
      <c r="AC434" s="40">
        <f t="shared" si="650"/>
        <v>0</v>
      </c>
      <c r="AD434" s="40">
        <f t="shared" si="651"/>
        <v>372.34</v>
      </c>
      <c r="AE434" s="40">
        <f t="shared" si="652"/>
        <v>0</v>
      </c>
      <c r="AF434" s="40">
        <f t="shared" si="653"/>
        <v>0</v>
      </c>
      <c r="AG434" s="40">
        <f t="shared" si="654"/>
        <v>0</v>
      </c>
      <c r="AH434" s="40">
        <f t="shared" si="625"/>
        <v>1117.02</v>
      </c>
      <c r="AI434" s="40">
        <f t="shared" si="626"/>
        <v>0</v>
      </c>
      <c r="AJ434" s="40">
        <f t="shared" si="627"/>
        <v>0</v>
      </c>
      <c r="AK434" s="39">
        <f t="shared" si="628"/>
        <v>0</v>
      </c>
      <c r="AL434" s="38">
        <v>0</v>
      </c>
      <c r="AM434" s="38">
        <v>0</v>
      </c>
      <c r="AN434" s="38">
        <v>0</v>
      </c>
      <c r="AO434" s="38">
        <v>0</v>
      </c>
      <c r="AP434" s="38">
        <v>0</v>
      </c>
      <c r="AQ434" s="39">
        <v>0</v>
      </c>
      <c r="AR434" s="40">
        <v>0</v>
      </c>
      <c r="AS434" s="40">
        <v>0</v>
      </c>
      <c r="AT434" s="40">
        <v>0</v>
      </c>
      <c r="AU434" s="40">
        <v>0</v>
      </c>
      <c r="AV434" s="40">
        <v>0</v>
      </c>
      <c r="AW434" s="40">
        <v>0</v>
      </c>
      <c r="AX434" s="40">
        <v>79</v>
      </c>
      <c r="AY434" s="40">
        <v>141</v>
      </c>
      <c r="AZ434" s="40">
        <v>125</v>
      </c>
      <c r="BA434" s="40">
        <v>114</v>
      </c>
      <c r="BB434" s="40">
        <v>120</v>
      </c>
      <c r="BC434" s="39">
        <v>95</v>
      </c>
      <c r="BD434" s="40">
        <v>113</v>
      </c>
      <c r="BE434" s="40">
        <v>58</v>
      </c>
      <c r="BF434" s="40">
        <v>19</v>
      </c>
      <c r="BG434" s="40">
        <v>0</v>
      </c>
      <c r="BH434" s="40">
        <v>1</v>
      </c>
      <c r="BI434" s="40">
        <v>0</v>
      </c>
      <c r="BJ434" s="40">
        <v>0</v>
      </c>
      <c r="BK434" s="40">
        <v>0</v>
      </c>
      <c r="BL434" s="40">
        <v>3</v>
      </c>
      <c r="BM434" s="40">
        <v>0</v>
      </c>
      <c r="BN434" s="40"/>
      <c r="BO434" s="39"/>
      <c r="BP434" s="21">
        <v>0</v>
      </c>
      <c r="BQ434" s="21">
        <v>0</v>
      </c>
      <c r="BR434" s="21">
        <v>0</v>
      </c>
      <c r="BS434" s="21">
        <v>0</v>
      </c>
      <c r="BT434" s="21">
        <v>0</v>
      </c>
      <c r="BU434" s="42">
        <v>0</v>
      </c>
      <c r="BV434" s="21">
        <v>0</v>
      </c>
      <c r="BW434" s="21">
        <v>0</v>
      </c>
      <c r="BX434" s="21">
        <v>0</v>
      </c>
      <c r="BY434" s="21">
        <v>0</v>
      </c>
      <c r="BZ434" s="21">
        <v>0</v>
      </c>
      <c r="CA434" s="21">
        <v>4</v>
      </c>
      <c r="CB434" s="21">
        <v>7</v>
      </c>
      <c r="CC434" s="21">
        <v>20</v>
      </c>
      <c r="CD434" s="21">
        <v>13</v>
      </c>
      <c r="CE434" s="21">
        <v>10</v>
      </c>
      <c r="CF434" s="21">
        <v>8</v>
      </c>
      <c r="CG434" s="42">
        <v>9</v>
      </c>
      <c r="CH434" s="21">
        <v>0</v>
      </c>
      <c r="CI434" s="21">
        <v>0</v>
      </c>
      <c r="CJ434" s="21">
        <v>0</v>
      </c>
      <c r="CK434" s="21">
        <v>0</v>
      </c>
      <c r="CL434" s="21">
        <v>0</v>
      </c>
      <c r="CM434" s="21">
        <v>0</v>
      </c>
      <c r="CN434" s="21">
        <v>0</v>
      </c>
      <c r="CO434" s="21">
        <v>0</v>
      </c>
      <c r="CP434" s="21">
        <f t="shared" si="655"/>
        <v>0</v>
      </c>
      <c r="CQ434" s="343">
        <f t="shared" si="656"/>
        <v>0</v>
      </c>
      <c r="CR434" s="40"/>
      <c r="CS434" s="39"/>
      <c r="CT434" s="38">
        <f t="shared" si="657"/>
        <v>0</v>
      </c>
      <c r="CU434" s="38">
        <f t="shared" si="658"/>
        <v>0</v>
      </c>
      <c r="CV434" s="38">
        <f t="shared" si="659"/>
        <v>0</v>
      </c>
      <c r="CW434" s="38">
        <f t="shared" si="660"/>
        <v>0</v>
      </c>
      <c r="CX434" s="38">
        <f t="shared" si="661"/>
        <v>0</v>
      </c>
      <c r="CY434" s="39">
        <f t="shared" si="662"/>
        <v>0</v>
      </c>
      <c r="CZ434" s="40">
        <f t="shared" si="663"/>
        <v>0</v>
      </c>
      <c r="DA434" s="40">
        <f t="shared" si="664"/>
        <v>0</v>
      </c>
      <c r="DB434" s="40">
        <f t="shared" si="665"/>
        <v>0</v>
      </c>
      <c r="DC434" s="40">
        <f t="shared" si="666"/>
        <v>0</v>
      </c>
      <c r="DD434" s="40">
        <f t="shared" si="667"/>
        <v>0</v>
      </c>
      <c r="DE434" s="40">
        <f t="shared" si="668"/>
        <v>4</v>
      </c>
      <c r="DF434" s="40">
        <f t="shared" si="669"/>
        <v>86</v>
      </c>
      <c r="DG434" s="40">
        <f t="shared" si="670"/>
        <v>161</v>
      </c>
      <c r="DH434" s="40">
        <f t="shared" si="671"/>
        <v>138</v>
      </c>
      <c r="DI434" s="40">
        <f t="shared" si="672"/>
        <v>124</v>
      </c>
      <c r="DJ434" s="40">
        <f t="shared" si="673"/>
        <v>128</v>
      </c>
      <c r="DK434" s="39">
        <f t="shared" si="674"/>
        <v>104</v>
      </c>
      <c r="DL434" s="40">
        <f t="shared" si="675"/>
        <v>113</v>
      </c>
      <c r="DM434" s="40">
        <f t="shared" si="676"/>
        <v>58</v>
      </c>
      <c r="DN434" s="40">
        <f t="shared" si="677"/>
        <v>19</v>
      </c>
      <c r="DO434" s="40">
        <f t="shared" si="678"/>
        <v>0</v>
      </c>
      <c r="DP434" s="40">
        <f t="shared" si="679"/>
        <v>1</v>
      </c>
      <c r="DQ434" s="40">
        <f t="shared" si="680"/>
        <v>0</v>
      </c>
      <c r="DR434" s="40">
        <f t="shared" si="685"/>
        <v>0</v>
      </c>
      <c r="DS434" s="40">
        <f t="shared" si="686"/>
        <v>0</v>
      </c>
      <c r="DT434" s="40">
        <f t="shared" si="681"/>
        <v>3</v>
      </c>
      <c r="DU434" s="40">
        <f t="shared" si="682"/>
        <v>0</v>
      </c>
      <c r="DV434" s="40">
        <f t="shared" si="683"/>
        <v>0</v>
      </c>
      <c r="DW434" s="40">
        <f t="shared" si="684"/>
        <v>0</v>
      </c>
    </row>
    <row r="435" spans="1:127">
      <c r="A435" s="22" t="s">
        <v>33</v>
      </c>
      <c r="B435" s="26">
        <v>4987176306777</v>
      </c>
      <c r="C435" s="22" t="s">
        <v>37</v>
      </c>
      <c r="D435" s="22" t="s">
        <v>37</v>
      </c>
      <c r="E435" s="22">
        <v>256856</v>
      </c>
      <c r="F435" s="80" t="s">
        <v>523</v>
      </c>
      <c r="G435" s="25">
        <v>372.34</v>
      </c>
      <c r="H435" s="38">
        <f t="shared" si="629"/>
        <v>0</v>
      </c>
      <c r="I435" s="38">
        <f t="shared" si="630"/>
        <v>0</v>
      </c>
      <c r="J435" s="38">
        <f t="shared" si="631"/>
        <v>0</v>
      </c>
      <c r="K435" s="38">
        <f t="shared" si="632"/>
        <v>0</v>
      </c>
      <c r="L435" s="38">
        <f t="shared" si="633"/>
        <v>0</v>
      </c>
      <c r="M435" s="39">
        <f t="shared" si="634"/>
        <v>0</v>
      </c>
      <c r="N435" s="40">
        <f t="shared" si="635"/>
        <v>0</v>
      </c>
      <c r="O435" s="40">
        <f t="shared" si="636"/>
        <v>0</v>
      </c>
      <c r="P435" s="40">
        <f t="shared" si="637"/>
        <v>0</v>
      </c>
      <c r="Q435" s="40">
        <f t="shared" si="638"/>
        <v>0</v>
      </c>
      <c r="R435" s="40">
        <f t="shared" si="639"/>
        <v>0</v>
      </c>
      <c r="S435" s="40">
        <f t="shared" si="640"/>
        <v>0</v>
      </c>
      <c r="T435" s="40">
        <f t="shared" si="641"/>
        <v>18989.34</v>
      </c>
      <c r="U435" s="40">
        <f t="shared" si="642"/>
        <v>60319.079999999994</v>
      </c>
      <c r="V435" s="40">
        <f t="shared" si="643"/>
        <v>41329.74</v>
      </c>
      <c r="W435" s="40">
        <f t="shared" si="644"/>
        <v>48776.539999999994</v>
      </c>
      <c r="X435" s="40">
        <f t="shared" si="645"/>
        <v>56968.02</v>
      </c>
      <c r="Y435" s="39">
        <f t="shared" si="646"/>
        <v>40212.719999999994</v>
      </c>
      <c r="Z435" s="40">
        <f t="shared" si="647"/>
        <v>50265.899999999994</v>
      </c>
      <c r="AA435" s="40">
        <f t="shared" si="648"/>
        <v>19734.02</v>
      </c>
      <c r="AB435" s="40">
        <f t="shared" si="649"/>
        <v>4840.42</v>
      </c>
      <c r="AC435" s="40">
        <f t="shared" si="650"/>
        <v>372.34</v>
      </c>
      <c r="AD435" s="40">
        <f t="shared" si="651"/>
        <v>744.68</v>
      </c>
      <c r="AE435" s="40">
        <f t="shared" si="652"/>
        <v>0</v>
      </c>
      <c r="AF435" s="40">
        <f t="shared" si="653"/>
        <v>1117.02</v>
      </c>
      <c r="AG435" s="40">
        <f t="shared" si="654"/>
        <v>0</v>
      </c>
      <c r="AH435" s="40">
        <f t="shared" si="625"/>
        <v>0</v>
      </c>
      <c r="AI435" s="40">
        <f t="shared" si="626"/>
        <v>0</v>
      </c>
      <c r="AJ435" s="40">
        <f t="shared" si="627"/>
        <v>0</v>
      </c>
      <c r="AK435" s="39">
        <f t="shared" si="628"/>
        <v>0</v>
      </c>
      <c r="AL435" s="38">
        <v>0</v>
      </c>
      <c r="AM435" s="38">
        <v>0</v>
      </c>
      <c r="AN435" s="38">
        <v>0</v>
      </c>
      <c r="AO435" s="38">
        <v>0</v>
      </c>
      <c r="AP435" s="38">
        <v>0</v>
      </c>
      <c r="AQ435" s="39">
        <v>0</v>
      </c>
      <c r="AR435" s="40">
        <v>0</v>
      </c>
      <c r="AS435" s="40">
        <v>0</v>
      </c>
      <c r="AT435" s="40">
        <v>0</v>
      </c>
      <c r="AU435" s="40">
        <v>0</v>
      </c>
      <c r="AV435" s="40">
        <v>0</v>
      </c>
      <c r="AW435" s="40">
        <v>0</v>
      </c>
      <c r="AX435" s="40">
        <v>44</v>
      </c>
      <c r="AY435" s="40">
        <v>125</v>
      </c>
      <c r="AZ435" s="40">
        <v>93</v>
      </c>
      <c r="BA435" s="40">
        <v>117</v>
      </c>
      <c r="BB435" s="40">
        <v>136</v>
      </c>
      <c r="BC435" s="39">
        <v>108</v>
      </c>
      <c r="BD435" s="40">
        <v>135</v>
      </c>
      <c r="BE435" s="40">
        <v>53</v>
      </c>
      <c r="BF435" s="40">
        <v>13</v>
      </c>
      <c r="BG435" s="40">
        <v>1</v>
      </c>
      <c r="BH435" s="40">
        <v>2</v>
      </c>
      <c r="BI435" s="40">
        <v>0</v>
      </c>
      <c r="BJ435" s="40">
        <v>3</v>
      </c>
      <c r="BK435" s="40">
        <v>0</v>
      </c>
      <c r="BL435" s="40">
        <v>0</v>
      </c>
      <c r="BM435" s="40">
        <v>0</v>
      </c>
      <c r="BN435" s="40"/>
      <c r="BO435" s="39"/>
      <c r="BP435" s="21">
        <v>0</v>
      </c>
      <c r="BQ435" s="21">
        <v>0</v>
      </c>
      <c r="BR435" s="21">
        <v>0</v>
      </c>
      <c r="BS435" s="21">
        <v>0</v>
      </c>
      <c r="BT435" s="21">
        <v>0</v>
      </c>
      <c r="BU435" s="42">
        <v>0</v>
      </c>
      <c r="BV435" s="21">
        <v>0</v>
      </c>
      <c r="BW435" s="21">
        <v>0</v>
      </c>
      <c r="BX435" s="21">
        <v>0</v>
      </c>
      <c r="BY435" s="21">
        <v>0</v>
      </c>
      <c r="BZ435" s="21">
        <v>0</v>
      </c>
      <c r="CA435" s="21">
        <v>0</v>
      </c>
      <c r="CB435" s="21">
        <v>7</v>
      </c>
      <c r="CC435" s="21">
        <v>37</v>
      </c>
      <c r="CD435" s="21">
        <v>18</v>
      </c>
      <c r="CE435" s="21">
        <v>14</v>
      </c>
      <c r="CF435" s="21">
        <v>17</v>
      </c>
      <c r="CG435" s="42">
        <v>0</v>
      </c>
      <c r="CH435" s="21">
        <v>0</v>
      </c>
      <c r="CI435" s="21">
        <v>0</v>
      </c>
      <c r="CJ435" s="21">
        <v>0</v>
      </c>
      <c r="CK435" s="21">
        <v>0</v>
      </c>
      <c r="CL435" s="21">
        <v>0</v>
      </c>
      <c r="CM435" s="21">
        <v>0</v>
      </c>
      <c r="CN435" s="21">
        <v>0</v>
      </c>
      <c r="CO435" s="21">
        <v>0</v>
      </c>
      <c r="CP435" s="21">
        <f t="shared" si="655"/>
        <v>0</v>
      </c>
      <c r="CQ435" s="343">
        <f t="shared" si="656"/>
        <v>0</v>
      </c>
      <c r="CR435" s="40"/>
      <c r="CS435" s="39"/>
      <c r="CT435" s="38">
        <f t="shared" si="657"/>
        <v>0</v>
      </c>
      <c r="CU435" s="38">
        <f t="shared" si="658"/>
        <v>0</v>
      </c>
      <c r="CV435" s="38">
        <f t="shared" si="659"/>
        <v>0</v>
      </c>
      <c r="CW435" s="38">
        <f t="shared" si="660"/>
        <v>0</v>
      </c>
      <c r="CX435" s="38">
        <f t="shared" si="661"/>
        <v>0</v>
      </c>
      <c r="CY435" s="39">
        <f t="shared" si="662"/>
        <v>0</v>
      </c>
      <c r="CZ435" s="40">
        <f t="shared" si="663"/>
        <v>0</v>
      </c>
      <c r="DA435" s="40">
        <f t="shared" si="664"/>
        <v>0</v>
      </c>
      <c r="DB435" s="40">
        <f t="shared" si="665"/>
        <v>0</v>
      </c>
      <c r="DC435" s="40">
        <f t="shared" si="666"/>
        <v>0</v>
      </c>
      <c r="DD435" s="40">
        <f t="shared" si="667"/>
        <v>0</v>
      </c>
      <c r="DE435" s="40">
        <f t="shared" si="668"/>
        <v>0</v>
      </c>
      <c r="DF435" s="40">
        <f t="shared" si="669"/>
        <v>51</v>
      </c>
      <c r="DG435" s="40">
        <f t="shared" si="670"/>
        <v>162</v>
      </c>
      <c r="DH435" s="40">
        <f t="shared" si="671"/>
        <v>111</v>
      </c>
      <c r="DI435" s="40">
        <f t="shared" si="672"/>
        <v>131</v>
      </c>
      <c r="DJ435" s="40">
        <f t="shared" si="673"/>
        <v>153</v>
      </c>
      <c r="DK435" s="39">
        <f t="shared" si="674"/>
        <v>108</v>
      </c>
      <c r="DL435" s="40">
        <f t="shared" si="675"/>
        <v>135</v>
      </c>
      <c r="DM435" s="40">
        <f t="shared" si="676"/>
        <v>53</v>
      </c>
      <c r="DN435" s="40">
        <f t="shared" si="677"/>
        <v>13</v>
      </c>
      <c r="DO435" s="40">
        <f t="shared" si="678"/>
        <v>1</v>
      </c>
      <c r="DP435" s="40">
        <f t="shared" si="679"/>
        <v>2</v>
      </c>
      <c r="DQ435" s="40">
        <f t="shared" si="680"/>
        <v>0</v>
      </c>
      <c r="DR435" s="40">
        <f t="shared" si="685"/>
        <v>3</v>
      </c>
      <c r="DS435" s="40">
        <f t="shared" si="686"/>
        <v>0</v>
      </c>
      <c r="DT435" s="40">
        <f t="shared" si="681"/>
        <v>0</v>
      </c>
      <c r="DU435" s="40">
        <f t="shared" si="682"/>
        <v>0</v>
      </c>
      <c r="DV435" s="40">
        <f t="shared" si="683"/>
        <v>0</v>
      </c>
      <c r="DW435" s="40">
        <f t="shared" si="684"/>
        <v>0</v>
      </c>
    </row>
    <row r="436" spans="1:127">
      <c r="A436" s="22" t="s">
        <v>33</v>
      </c>
      <c r="B436" s="26">
        <v>4987176339898</v>
      </c>
      <c r="C436" s="22" t="s">
        <v>37</v>
      </c>
      <c r="D436" s="22" t="s">
        <v>37</v>
      </c>
      <c r="E436" s="22">
        <v>266978</v>
      </c>
      <c r="F436" s="80" t="s">
        <v>524</v>
      </c>
      <c r="G436" s="25">
        <v>237.79</v>
      </c>
      <c r="H436" s="38">
        <f t="shared" si="629"/>
        <v>0</v>
      </c>
      <c r="I436" s="38">
        <f t="shared" si="630"/>
        <v>0</v>
      </c>
      <c r="J436" s="38">
        <f t="shared" si="631"/>
        <v>0</v>
      </c>
      <c r="K436" s="38">
        <f t="shared" si="632"/>
        <v>0</v>
      </c>
      <c r="L436" s="38">
        <f t="shared" si="633"/>
        <v>0</v>
      </c>
      <c r="M436" s="39">
        <f t="shared" si="634"/>
        <v>0</v>
      </c>
      <c r="N436" s="40">
        <f t="shared" si="635"/>
        <v>0</v>
      </c>
      <c r="O436" s="40">
        <f t="shared" si="636"/>
        <v>0</v>
      </c>
      <c r="P436" s="40">
        <f t="shared" si="637"/>
        <v>0</v>
      </c>
      <c r="Q436" s="40">
        <f t="shared" si="638"/>
        <v>0</v>
      </c>
      <c r="R436" s="40">
        <f t="shared" si="639"/>
        <v>0</v>
      </c>
      <c r="S436" s="40">
        <f t="shared" si="640"/>
        <v>0</v>
      </c>
      <c r="T436" s="40">
        <f t="shared" si="641"/>
        <v>0</v>
      </c>
      <c r="U436" s="40">
        <f t="shared" si="642"/>
        <v>0</v>
      </c>
      <c r="V436" s="40">
        <f t="shared" si="643"/>
        <v>0</v>
      </c>
      <c r="W436" s="40">
        <f t="shared" si="644"/>
        <v>0</v>
      </c>
      <c r="X436" s="40">
        <f t="shared" si="645"/>
        <v>0</v>
      </c>
      <c r="Y436" s="39">
        <f t="shared" si="646"/>
        <v>3566.85</v>
      </c>
      <c r="Z436" s="40">
        <f t="shared" si="647"/>
        <v>3329.06</v>
      </c>
      <c r="AA436" s="40">
        <f t="shared" si="648"/>
        <v>204023.82</v>
      </c>
      <c r="AB436" s="40">
        <f t="shared" si="649"/>
        <v>63965.509999999995</v>
      </c>
      <c r="AC436" s="40">
        <f t="shared" si="650"/>
        <v>78470.7</v>
      </c>
      <c r="AD436" s="40">
        <f t="shared" si="651"/>
        <v>51124.85</v>
      </c>
      <c r="AE436" s="40">
        <f t="shared" si="652"/>
        <v>53978.33</v>
      </c>
      <c r="AF436" s="40">
        <f t="shared" si="653"/>
        <v>49698.11</v>
      </c>
      <c r="AG436" s="40">
        <f t="shared" si="654"/>
        <v>53978.33</v>
      </c>
      <c r="AH436" s="40">
        <f t="shared" si="625"/>
        <v>46606.84</v>
      </c>
      <c r="AI436" s="40">
        <f t="shared" si="626"/>
        <v>65762.145555555544</v>
      </c>
      <c r="AJ436" s="40">
        <f t="shared" si="627"/>
        <v>0</v>
      </c>
      <c r="AK436" s="39">
        <f t="shared" si="628"/>
        <v>0</v>
      </c>
      <c r="AL436" s="38">
        <v>0</v>
      </c>
      <c r="AM436" s="38">
        <v>0</v>
      </c>
      <c r="AN436" s="38">
        <v>0</v>
      </c>
      <c r="AO436" s="38">
        <v>0</v>
      </c>
      <c r="AP436" s="38">
        <v>0</v>
      </c>
      <c r="AQ436" s="39">
        <v>0</v>
      </c>
      <c r="AR436" s="40">
        <v>0</v>
      </c>
      <c r="AS436" s="40">
        <v>0</v>
      </c>
      <c r="AT436" s="40">
        <v>0</v>
      </c>
      <c r="AU436" s="40">
        <v>0</v>
      </c>
      <c r="AV436" s="40">
        <v>0</v>
      </c>
      <c r="AW436" s="40">
        <v>0</v>
      </c>
      <c r="AX436" s="40">
        <v>0</v>
      </c>
      <c r="AY436" s="40">
        <v>0</v>
      </c>
      <c r="AZ436" s="40">
        <v>0</v>
      </c>
      <c r="BA436" s="40">
        <v>0</v>
      </c>
      <c r="BB436" s="40">
        <v>0</v>
      </c>
      <c r="BC436" s="39">
        <v>0</v>
      </c>
      <c r="BD436" s="40">
        <v>0</v>
      </c>
      <c r="BE436" s="40">
        <v>846</v>
      </c>
      <c r="BF436" s="40">
        <v>244</v>
      </c>
      <c r="BG436" s="40">
        <v>315</v>
      </c>
      <c r="BH436" s="40">
        <v>207</v>
      </c>
      <c r="BI436" s="40">
        <v>222</v>
      </c>
      <c r="BJ436" s="40">
        <v>180</v>
      </c>
      <c r="BK436" s="40">
        <v>220</v>
      </c>
      <c r="BL436" s="40">
        <v>189</v>
      </c>
      <c r="BM436" s="40">
        <v>263</v>
      </c>
      <c r="BN436" s="40"/>
      <c r="BO436" s="39"/>
      <c r="BP436" s="21">
        <v>0</v>
      </c>
      <c r="BQ436" s="21">
        <v>0</v>
      </c>
      <c r="BR436" s="21">
        <v>0</v>
      </c>
      <c r="BS436" s="21">
        <v>0</v>
      </c>
      <c r="BT436" s="21">
        <v>0</v>
      </c>
      <c r="BU436" s="42">
        <v>0</v>
      </c>
      <c r="BV436" s="21">
        <v>0</v>
      </c>
      <c r="BW436" s="21">
        <v>0</v>
      </c>
      <c r="BX436" s="21">
        <v>0</v>
      </c>
      <c r="BY436" s="21">
        <v>0</v>
      </c>
      <c r="BZ436" s="21">
        <v>0</v>
      </c>
      <c r="CA436" s="21">
        <v>0</v>
      </c>
      <c r="CB436" s="21">
        <v>0</v>
      </c>
      <c r="CC436" s="21">
        <v>0</v>
      </c>
      <c r="CD436" s="21">
        <v>0</v>
      </c>
      <c r="CE436" s="21">
        <v>0</v>
      </c>
      <c r="CF436" s="21">
        <v>0</v>
      </c>
      <c r="CG436" s="42">
        <v>15</v>
      </c>
      <c r="CH436" s="21">
        <v>14</v>
      </c>
      <c r="CI436" s="21">
        <v>12</v>
      </c>
      <c r="CJ436" s="21">
        <v>25</v>
      </c>
      <c r="CK436" s="21">
        <v>15</v>
      </c>
      <c r="CL436" s="21">
        <v>8</v>
      </c>
      <c r="CM436" s="21">
        <v>5</v>
      </c>
      <c r="CN436" s="21">
        <v>29</v>
      </c>
      <c r="CO436" s="21">
        <v>7</v>
      </c>
      <c r="CP436" s="21">
        <f t="shared" si="655"/>
        <v>7</v>
      </c>
      <c r="CQ436" s="343">
        <f t="shared" si="656"/>
        <v>13.555555555555555</v>
      </c>
      <c r="CR436" s="40"/>
      <c r="CS436" s="39"/>
      <c r="CT436" s="38">
        <f t="shared" si="657"/>
        <v>0</v>
      </c>
      <c r="CU436" s="38">
        <f t="shared" si="658"/>
        <v>0</v>
      </c>
      <c r="CV436" s="38">
        <f t="shared" si="659"/>
        <v>0</v>
      </c>
      <c r="CW436" s="38">
        <f t="shared" si="660"/>
        <v>0</v>
      </c>
      <c r="CX436" s="38">
        <f t="shared" si="661"/>
        <v>0</v>
      </c>
      <c r="CY436" s="39">
        <f t="shared" si="662"/>
        <v>0</v>
      </c>
      <c r="CZ436" s="40">
        <f t="shared" si="663"/>
        <v>0</v>
      </c>
      <c r="DA436" s="40">
        <f t="shared" si="664"/>
        <v>0</v>
      </c>
      <c r="DB436" s="40">
        <f t="shared" si="665"/>
        <v>0</v>
      </c>
      <c r="DC436" s="40">
        <f t="shared" si="666"/>
        <v>0</v>
      </c>
      <c r="DD436" s="40">
        <f t="shared" si="667"/>
        <v>0</v>
      </c>
      <c r="DE436" s="40">
        <f t="shared" si="668"/>
        <v>0</v>
      </c>
      <c r="DF436" s="40">
        <f t="shared" si="669"/>
        <v>0</v>
      </c>
      <c r="DG436" s="40">
        <f t="shared" si="670"/>
        <v>0</v>
      </c>
      <c r="DH436" s="40">
        <f t="shared" si="671"/>
        <v>0</v>
      </c>
      <c r="DI436" s="40">
        <f t="shared" si="672"/>
        <v>0</v>
      </c>
      <c r="DJ436" s="40">
        <f t="shared" si="673"/>
        <v>0</v>
      </c>
      <c r="DK436" s="39">
        <f t="shared" si="674"/>
        <v>15</v>
      </c>
      <c r="DL436" s="40">
        <f t="shared" si="675"/>
        <v>14</v>
      </c>
      <c r="DM436" s="40">
        <f t="shared" si="676"/>
        <v>858</v>
      </c>
      <c r="DN436" s="40">
        <f t="shared" si="677"/>
        <v>269</v>
      </c>
      <c r="DO436" s="40">
        <f t="shared" si="678"/>
        <v>330</v>
      </c>
      <c r="DP436" s="40">
        <f t="shared" si="679"/>
        <v>215</v>
      </c>
      <c r="DQ436" s="40">
        <f t="shared" si="680"/>
        <v>227</v>
      </c>
      <c r="DR436" s="40">
        <f t="shared" si="685"/>
        <v>209</v>
      </c>
      <c r="DS436" s="40">
        <f t="shared" si="686"/>
        <v>227</v>
      </c>
      <c r="DT436" s="40">
        <f t="shared" si="681"/>
        <v>196</v>
      </c>
      <c r="DU436" s="40">
        <f t="shared" si="682"/>
        <v>276.55555555555554</v>
      </c>
      <c r="DV436" s="40">
        <f t="shared" si="683"/>
        <v>0</v>
      </c>
      <c r="DW436" s="40">
        <f t="shared" si="684"/>
        <v>0</v>
      </c>
    </row>
    <row r="437" spans="1:127">
      <c r="A437" s="22" t="s">
        <v>33</v>
      </c>
      <c r="B437" s="26">
        <v>4987176339935</v>
      </c>
      <c r="C437" s="22" t="s">
        <v>37</v>
      </c>
      <c r="D437" s="22" t="s">
        <v>37</v>
      </c>
      <c r="E437" s="22">
        <v>267269</v>
      </c>
      <c r="F437" s="80" t="s">
        <v>525</v>
      </c>
      <c r="G437" s="25">
        <v>237.79</v>
      </c>
      <c r="H437" s="38">
        <f t="shared" si="629"/>
        <v>0</v>
      </c>
      <c r="I437" s="38">
        <f t="shared" si="630"/>
        <v>0</v>
      </c>
      <c r="J437" s="38">
        <f t="shared" si="631"/>
        <v>0</v>
      </c>
      <c r="K437" s="38">
        <f t="shared" si="632"/>
        <v>0</v>
      </c>
      <c r="L437" s="38">
        <f t="shared" si="633"/>
        <v>0</v>
      </c>
      <c r="M437" s="39">
        <f t="shared" si="634"/>
        <v>0</v>
      </c>
      <c r="N437" s="40">
        <f t="shared" si="635"/>
        <v>0</v>
      </c>
      <c r="O437" s="40">
        <f t="shared" si="636"/>
        <v>0</v>
      </c>
      <c r="P437" s="40">
        <f t="shared" si="637"/>
        <v>0</v>
      </c>
      <c r="Q437" s="40">
        <f t="shared" si="638"/>
        <v>0</v>
      </c>
      <c r="R437" s="40">
        <f t="shared" si="639"/>
        <v>0</v>
      </c>
      <c r="S437" s="40">
        <f t="shared" si="640"/>
        <v>0</v>
      </c>
      <c r="T437" s="40">
        <f t="shared" si="641"/>
        <v>0</v>
      </c>
      <c r="U437" s="40">
        <f t="shared" si="642"/>
        <v>0</v>
      </c>
      <c r="V437" s="40">
        <f t="shared" si="643"/>
        <v>0</v>
      </c>
      <c r="W437" s="40">
        <f t="shared" si="644"/>
        <v>0</v>
      </c>
      <c r="X437" s="40">
        <f t="shared" si="645"/>
        <v>0</v>
      </c>
      <c r="Y437" s="39">
        <f t="shared" si="646"/>
        <v>4518.01</v>
      </c>
      <c r="Z437" s="40">
        <f t="shared" si="647"/>
        <v>2853.48</v>
      </c>
      <c r="AA437" s="40">
        <f t="shared" si="648"/>
        <v>219242.38</v>
      </c>
      <c r="AB437" s="40">
        <f t="shared" si="649"/>
        <v>69672.47</v>
      </c>
      <c r="AC437" s="40">
        <f t="shared" si="650"/>
        <v>81086.39</v>
      </c>
      <c r="AD437" s="40">
        <f t="shared" si="651"/>
        <v>58020.759999999995</v>
      </c>
      <c r="AE437" s="40">
        <f t="shared" si="652"/>
        <v>48271.369999999995</v>
      </c>
      <c r="AF437" s="40">
        <f t="shared" si="653"/>
        <v>42088.83</v>
      </c>
      <c r="AG437" s="40">
        <f t="shared" si="654"/>
        <v>44942.31</v>
      </c>
      <c r="AH437" s="40">
        <f t="shared" si="625"/>
        <v>44942.31</v>
      </c>
      <c r="AI437" s="40">
        <f t="shared" si="626"/>
        <v>56039.176666666659</v>
      </c>
      <c r="AJ437" s="40">
        <f t="shared" si="627"/>
        <v>0</v>
      </c>
      <c r="AK437" s="39">
        <f t="shared" si="628"/>
        <v>0</v>
      </c>
      <c r="AL437" s="38">
        <v>0</v>
      </c>
      <c r="AM437" s="38">
        <v>0</v>
      </c>
      <c r="AN437" s="38">
        <v>0</v>
      </c>
      <c r="AO437" s="38">
        <v>0</v>
      </c>
      <c r="AP437" s="38">
        <v>0</v>
      </c>
      <c r="AQ437" s="39">
        <v>0</v>
      </c>
      <c r="AR437" s="40">
        <v>0</v>
      </c>
      <c r="AS437" s="40">
        <v>0</v>
      </c>
      <c r="AT437" s="40">
        <v>0</v>
      </c>
      <c r="AU437" s="40">
        <v>0</v>
      </c>
      <c r="AV437" s="40">
        <v>0</v>
      </c>
      <c r="AW437" s="40">
        <v>0</v>
      </c>
      <c r="AX437" s="40">
        <v>0</v>
      </c>
      <c r="AY437" s="40">
        <v>0</v>
      </c>
      <c r="AZ437" s="40">
        <v>0</v>
      </c>
      <c r="BA437" s="40">
        <v>0</v>
      </c>
      <c r="BB437" s="40">
        <v>0</v>
      </c>
      <c r="BC437" s="39">
        <v>0</v>
      </c>
      <c r="BD437" s="40">
        <v>0</v>
      </c>
      <c r="BE437" s="40">
        <v>899</v>
      </c>
      <c r="BF437" s="40">
        <v>267</v>
      </c>
      <c r="BG437" s="40">
        <v>324</v>
      </c>
      <c r="BH437" s="40">
        <v>222</v>
      </c>
      <c r="BI437" s="40">
        <v>191</v>
      </c>
      <c r="BJ437" s="40">
        <v>151</v>
      </c>
      <c r="BK437" s="40">
        <v>174</v>
      </c>
      <c r="BL437" s="40">
        <v>174</v>
      </c>
      <c r="BM437" s="40">
        <v>217</v>
      </c>
      <c r="BN437" s="40"/>
      <c r="BO437" s="39"/>
      <c r="BP437" s="21">
        <v>0</v>
      </c>
      <c r="BQ437" s="21">
        <v>0</v>
      </c>
      <c r="BR437" s="21">
        <v>0</v>
      </c>
      <c r="BS437" s="21">
        <v>0</v>
      </c>
      <c r="BT437" s="21">
        <v>0</v>
      </c>
      <c r="BU437" s="42">
        <v>0</v>
      </c>
      <c r="BV437" s="21">
        <v>0</v>
      </c>
      <c r="BW437" s="21">
        <v>0</v>
      </c>
      <c r="BX437" s="21">
        <v>0</v>
      </c>
      <c r="BY437" s="21">
        <v>0</v>
      </c>
      <c r="BZ437" s="21">
        <v>0</v>
      </c>
      <c r="CA437" s="21">
        <v>0</v>
      </c>
      <c r="CB437" s="21">
        <v>0</v>
      </c>
      <c r="CC437" s="21">
        <v>0</v>
      </c>
      <c r="CD437" s="21">
        <v>0</v>
      </c>
      <c r="CE437" s="21">
        <v>0</v>
      </c>
      <c r="CF437" s="21">
        <v>0</v>
      </c>
      <c r="CG437" s="42">
        <v>19</v>
      </c>
      <c r="CH437" s="21">
        <v>12</v>
      </c>
      <c r="CI437" s="21">
        <v>23</v>
      </c>
      <c r="CJ437" s="21">
        <v>26</v>
      </c>
      <c r="CK437" s="21">
        <v>17</v>
      </c>
      <c r="CL437" s="21">
        <v>22</v>
      </c>
      <c r="CM437" s="21">
        <v>12</v>
      </c>
      <c r="CN437" s="21">
        <v>26</v>
      </c>
      <c r="CO437" s="21">
        <v>15</v>
      </c>
      <c r="CP437" s="21">
        <f t="shared" si="655"/>
        <v>15</v>
      </c>
      <c r="CQ437" s="343">
        <f t="shared" si="656"/>
        <v>18.666666666666668</v>
      </c>
      <c r="CR437" s="40"/>
      <c r="CS437" s="39"/>
      <c r="CT437" s="38">
        <f t="shared" si="657"/>
        <v>0</v>
      </c>
      <c r="CU437" s="38">
        <f t="shared" si="658"/>
        <v>0</v>
      </c>
      <c r="CV437" s="38">
        <f t="shared" si="659"/>
        <v>0</v>
      </c>
      <c r="CW437" s="38">
        <f t="shared" si="660"/>
        <v>0</v>
      </c>
      <c r="CX437" s="38">
        <f t="shared" si="661"/>
        <v>0</v>
      </c>
      <c r="CY437" s="39">
        <f t="shared" si="662"/>
        <v>0</v>
      </c>
      <c r="CZ437" s="40">
        <f t="shared" si="663"/>
        <v>0</v>
      </c>
      <c r="DA437" s="40">
        <f t="shared" si="664"/>
        <v>0</v>
      </c>
      <c r="DB437" s="40">
        <f t="shared" si="665"/>
        <v>0</v>
      </c>
      <c r="DC437" s="40">
        <f t="shared" si="666"/>
        <v>0</v>
      </c>
      <c r="DD437" s="40">
        <f t="shared" si="667"/>
        <v>0</v>
      </c>
      <c r="DE437" s="40">
        <f t="shared" si="668"/>
        <v>0</v>
      </c>
      <c r="DF437" s="40">
        <f t="shared" si="669"/>
        <v>0</v>
      </c>
      <c r="DG437" s="40">
        <f t="shared" si="670"/>
        <v>0</v>
      </c>
      <c r="DH437" s="40">
        <f t="shared" si="671"/>
        <v>0</v>
      </c>
      <c r="DI437" s="40">
        <f t="shared" si="672"/>
        <v>0</v>
      </c>
      <c r="DJ437" s="40">
        <f t="shared" si="673"/>
        <v>0</v>
      </c>
      <c r="DK437" s="39">
        <f t="shared" si="674"/>
        <v>19</v>
      </c>
      <c r="DL437" s="40">
        <f t="shared" si="675"/>
        <v>12</v>
      </c>
      <c r="DM437" s="40">
        <f t="shared" si="676"/>
        <v>922</v>
      </c>
      <c r="DN437" s="40">
        <f t="shared" si="677"/>
        <v>293</v>
      </c>
      <c r="DO437" s="40">
        <f t="shared" si="678"/>
        <v>341</v>
      </c>
      <c r="DP437" s="40">
        <f t="shared" si="679"/>
        <v>244</v>
      </c>
      <c r="DQ437" s="40">
        <f t="shared" si="680"/>
        <v>203</v>
      </c>
      <c r="DR437" s="40">
        <f t="shared" si="685"/>
        <v>177</v>
      </c>
      <c r="DS437" s="40">
        <f t="shared" si="686"/>
        <v>189</v>
      </c>
      <c r="DT437" s="40">
        <f t="shared" si="681"/>
        <v>189</v>
      </c>
      <c r="DU437" s="40">
        <f t="shared" si="682"/>
        <v>235.66666666666666</v>
      </c>
      <c r="DV437" s="40">
        <f t="shared" si="683"/>
        <v>0</v>
      </c>
      <c r="DW437" s="40">
        <f t="shared" si="684"/>
        <v>0</v>
      </c>
    </row>
    <row r="438" spans="1:127">
      <c r="A438" s="22" t="s">
        <v>33</v>
      </c>
      <c r="B438" s="26">
        <v>4987176212122</v>
      </c>
      <c r="C438" s="22" t="s">
        <v>38</v>
      </c>
      <c r="D438" s="22" t="s">
        <v>38</v>
      </c>
      <c r="E438" s="22">
        <v>236634</v>
      </c>
      <c r="F438" s="80" t="s">
        <v>526</v>
      </c>
      <c r="G438" s="25">
        <v>14.3</v>
      </c>
      <c r="H438" s="38">
        <f t="shared" si="629"/>
        <v>0</v>
      </c>
      <c r="I438" s="38">
        <f t="shared" si="630"/>
        <v>0</v>
      </c>
      <c r="J438" s="38">
        <f t="shared" si="631"/>
        <v>31202.600000000002</v>
      </c>
      <c r="K438" s="38">
        <f t="shared" si="632"/>
        <v>1587.3000000000002</v>
      </c>
      <c r="L438" s="38">
        <f t="shared" si="633"/>
        <v>1015.3000000000001</v>
      </c>
      <c r="M438" s="39">
        <f t="shared" si="634"/>
        <v>2988.7000000000003</v>
      </c>
      <c r="N438" s="40">
        <f t="shared" si="635"/>
        <v>5634.2000000000007</v>
      </c>
      <c r="O438" s="40">
        <f t="shared" si="636"/>
        <v>2073.5</v>
      </c>
      <c r="P438" s="40">
        <f t="shared" si="637"/>
        <v>2073.5</v>
      </c>
      <c r="Q438" s="40">
        <f t="shared" si="638"/>
        <v>5362.5</v>
      </c>
      <c r="R438" s="40">
        <f t="shared" si="639"/>
        <v>4819.1000000000004</v>
      </c>
      <c r="S438" s="40">
        <f t="shared" si="640"/>
        <v>1301.3</v>
      </c>
      <c r="T438" s="40">
        <f t="shared" si="641"/>
        <v>786.5</v>
      </c>
      <c r="U438" s="40">
        <f t="shared" si="642"/>
        <v>614.9</v>
      </c>
      <c r="V438" s="40">
        <f t="shared" si="643"/>
        <v>614.9</v>
      </c>
      <c r="W438" s="40">
        <f t="shared" si="644"/>
        <v>314.60000000000002</v>
      </c>
      <c r="X438" s="40">
        <f t="shared" si="645"/>
        <v>543.4</v>
      </c>
      <c r="Y438" s="39">
        <f t="shared" si="646"/>
        <v>14.3</v>
      </c>
      <c r="Z438" s="40">
        <f t="shared" si="647"/>
        <v>57.2</v>
      </c>
      <c r="AA438" s="40">
        <f t="shared" si="648"/>
        <v>0</v>
      </c>
      <c r="AB438" s="40">
        <f t="shared" si="649"/>
        <v>0</v>
      </c>
      <c r="AC438" s="40">
        <f t="shared" si="650"/>
        <v>0</v>
      </c>
      <c r="AD438" s="40">
        <f t="shared" si="651"/>
        <v>0</v>
      </c>
      <c r="AE438" s="40">
        <f t="shared" si="652"/>
        <v>0</v>
      </c>
      <c r="AF438" s="40">
        <f t="shared" si="653"/>
        <v>0</v>
      </c>
      <c r="AG438" s="40">
        <f t="shared" si="654"/>
        <v>0</v>
      </c>
      <c r="AH438" s="40">
        <f t="shared" si="625"/>
        <v>0</v>
      </c>
      <c r="AI438" s="40">
        <f t="shared" si="626"/>
        <v>14.3</v>
      </c>
      <c r="AJ438" s="40">
        <f t="shared" si="627"/>
        <v>0</v>
      </c>
      <c r="AK438" s="39">
        <f t="shared" si="628"/>
        <v>0</v>
      </c>
      <c r="AL438" s="38">
        <v>0</v>
      </c>
      <c r="AM438" s="38">
        <v>0</v>
      </c>
      <c r="AN438" s="38">
        <v>0</v>
      </c>
      <c r="AO438" s="38">
        <v>1</v>
      </c>
      <c r="AP438" s="38">
        <v>28</v>
      </c>
      <c r="AQ438" s="39">
        <v>82</v>
      </c>
      <c r="AR438" s="40">
        <v>146</v>
      </c>
      <c r="AS438" s="40">
        <v>112</v>
      </c>
      <c r="AT438" s="40">
        <v>88</v>
      </c>
      <c r="AU438" s="40">
        <v>262</v>
      </c>
      <c r="AV438" s="40">
        <v>180</v>
      </c>
      <c r="AW438" s="40">
        <v>91</v>
      </c>
      <c r="AX438" s="40">
        <v>55</v>
      </c>
      <c r="AY438" s="40">
        <v>43</v>
      </c>
      <c r="AZ438" s="40">
        <v>43</v>
      </c>
      <c r="BA438" s="40">
        <v>22</v>
      </c>
      <c r="BB438" s="40">
        <v>38</v>
      </c>
      <c r="BC438" s="39">
        <v>1</v>
      </c>
      <c r="BD438" s="40">
        <v>4</v>
      </c>
      <c r="BE438" s="40">
        <v>0</v>
      </c>
      <c r="BF438" s="40">
        <v>0</v>
      </c>
      <c r="BG438" s="40">
        <v>0</v>
      </c>
      <c r="BH438" s="40">
        <v>0</v>
      </c>
      <c r="BI438" s="40">
        <v>0</v>
      </c>
      <c r="BJ438" s="40">
        <v>0</v>
      </c>
      <c r="BK438" s="40">
        <v>0</v>
      </c>
      <c r="BL438" s="40">
        <v>0</v>
      </c>
      <c r="BM438" s="40">
        <v>1</v>
      </c>
      <c r="BN438" s="40"/>
      <c r="BO438" s="39"/>
      <c r="BP438" s="21">
        <v>0</v>
      </c>
      <c r="BQ438" s="21">
        <v>0</v>
      </c>
      <c r="BR438" s="21">
        <v>2182</v>
      </c>
      <c r="BS438" s="21">
        <v>110</v>
      </c>
      <c r="BT438" s="21">
        <v>43</v>
      </c>
      <c r="BU438" s="42">
        <v>127</v>
      </c>
      <c r="BV438" s="21">
        <v>248</v>
      </c>
      <c r="BW438" s="21">
        <v>33</v>
      </c>
      <c r="BX438" s="21">
        <v>57</v>
      </c>
      <c r="BY438" s="21">
        <v>113</v>
      </c>
      <c r="BZ438" s="21">
        <v>157</v>
      </c>
      <c r="CA438" s="21">
        <v>0</v>
      </c>
      <c r="CB438" s="21">
        <v>0</v>
      </c>
      <c r="CC438" s="21">
        <v>0</v>
      </c>
      <c r="CD438" s="21">
        <v>0</v>
      </c>
      <c r="CE438" s="21">
        <v>0</v>
      </c>
      <c r="CF438" s="21">
        <v>0</v>
      </c>
      <c r="CG438" s="42">
        <v>0</v>
      </c>
      <c r="CH438" s="21">
        <v>0</v>
      </c>
      <c r="CI438" s="21">
        <v>0</v>
      </c>
      <c r="CJ438" s="21">
        <v>0</v>
      </c>
      <c r="CK438" s="21">
        <v>0</v>
      </c>
      <c r="CL438" s="21">
        <v>0</v>
      </c>
      <c r="CM438" s="21">
        <v>0</v>
      </c>
      <c r="CN438" s="21">
        <v>0</v>
      </c>
      <c r="CO438" s="21">
        <v>0</v>
      </c>
      <c r="CP438" s="21">
        <f t="shared" si="655"/>
        <v>0</v>
      </c>
      <c r="CQ438" s="343">
        <f t="shared" si="656"/>
        <v>0</v>
      </c>
      <c r="CR438" s="40"/>
      <c r="CS438" s="39"/>
      <c r="CT438" s="38">
        <f t="shared" si="657"/>
        <v>0</v>
      </c>
      <c r="CU438" s="38">
        <f t="shared" si="658"/>
        <v>0</v>
      </c>
      <c r="CV438" s="38">
        <f t="shared" si="659"/>
        <v>2182</v>
      </c>
      <c r="CW438" s="38">
        <f t="shared" si="660"/>
        <v>111</v>
      </c>
      <c r="CX438" s="38">
        <f t="shared" si="661"/>
        <v>71</v>
      </c>
      <c r="CY438" s="39">
        <f t="shared" si="662"/>
        <v>209</v>
      </c>
      <c r="CZ438" s="40">
        <f t="shared" si="663"/>
        <v>394</v>
      </c>
      <c r="DA438" s="40">
        <f t="shared" si="664"/>
        <v>145</v>
      </c>
      <c r="DB438" s="40">
        <f t="shared" si="665"/>
        <v>145</v>
      </c>
      <c r="DC438" s="40">
        <f t="shared" si="666"/>
        <v>375</v>
      </c>
      <c r="DD438" s="40">
        <f t="shared" si="667"/>
        <v>337</v>
      </c>
      <c r="DE438" s="40">
        <f t="shared" si="668"/>
        <v>91</v>
      </c>
      <c r="DF438" s="40">
        <f t="shared" si="669"/>
        <v>55</v>
      </c>
      <c r="DG438" s="40">
        <f t="shared" si="670"/>
        <v>43</v>
      </c>
      <c r="DH438" s="40">
        <f t="shared" si="671"/>
        <v>43</v>
      </c>
      <c r="DI438" s="40">
        <f t="shared" si="672"/>
        <v>22</v>
      </c>
      <c r="DJ438" s="40">
        <f t="shared" si="673"/>
        <v>38</v>
      </c>
      <c r="DK438" s="39">
        <f t="shared" si="674"/>
        <v>1</v>
      </c>
      <c r="DL438" s="40">
        <f t="shared" si="675"/>
        <v>4</v>
      </c>
      <c r="DM438" s="40">
        <f t="shared" si="676"/>
        <v>0</v>
      </c>
      <c r="DN438" s="40">
        <f t="shared" si="677"/>
        <v>0</v>
      </c>
      <c r="DO438" s="40">
        <f t="shared" si="678"/>
        <v>0</v>
      </c>
      <c r="DP438" s="40">
        <f t="shared" si="679"/>
        <v>0</v>
      </c>
      <c r="DQ438" s="40">
        <f t="shared" si="680"/>
        <v>0</v>
      </c>
      <c r="DR438" s="40">
        <f t="shared" si="685"/>
        <v>0</v>
      </c>
      <c r="DS438" s="40">
        <f t="shared" si="686"/>
        <v>0</v>
      </c>
      <c r="DT438" s="40">
        <f t="shared" si="681"/>
        <v>0</v>
      </c>
      <c r="DU438" s="40">
        <f t="shared" si="682"/>
        <v>1</v>
      </c>
      <c r="DV438" s="40">
        <f t="shared" si="683"/>
        <v>0</v>
      </c>
      <c r="DW438" s="40">
        <f t="shared" si="684"/>
        <v>0</v>
      </c>
    </row>
    <row r="439" spans="1:127">
      <c r="A439" s="22" t="s">
        <v>33</v>
      </c>
      <c r="B439" s="26">
        <v>4987176212115</v>
      </c>
      <c r="C439" s="22" t="s">
        <v>38</v>
      </c>
      <c r="D439" s="22" t="s">
        <v>38</v>
      </c>
      <c r="E439" s="22">
        <v>236636</v>
      </c>
      <c r="F439" s="80" t="s">
        <v>527</v>
      </c>
      <c r="G439" s="25">
        <v>14.3</v>
      </c>
      <c r="H439" s="38">
        <f t="shared" si="629"/>
        <v>0</v>
      </c>
      <c r="I439" s="38">
        <f t="shared" si="630"/>
        <v>0</v>
      </c>
      <c r="J439" s="38">
        <f t="shared" si="631"/>
        <v>1758.9</v>
      </c>
      <c r="K439" s="38">
        <f t="shared" si="632"/>
        <v>1430</v>
      </c>
      <c r="L439" s="38">
        <f t="shared" si="633"/>
        <v>958.1</v>
      </c>
      <c r="M439" s="39">
        <f t="shared" si="634"/>
        <v>4290</v>
      </c>
      <c r="N439" s="40">
        <f t="shared" si="635"/>
        <v>3760.9</v>
      </c>
      <c r="O439" s="40">
        <f t="shared" si="636"/>
        <v>1830.4</v>
      </c>
      <c r="P439" s="40">
        <f t="shared" si="637"/>
        <v>1944.8000000000002</v>
      </c>
      <c r="Q439" s="40">
        <f t="shared" si="638"/>
        <v>5076.5</v>
      </c>
      <c r="R439" s="40">
        <f t="shared" si="639"/>
        <v>4304.3</v>
      </c>
      <c r="S439" s="40">
        <f t="shared" si="640"/>
        <v>2259.4</v>
      </c>
      <c r="T439" s="40">
        <f t="shared" si="641"/>
        <v>1201.2</v>
      </c>
      <c r="U439" s="40">
        <f t="shared" si="642"/>
        <v>586.30000000000007</v>
      </c>
      <c r="V439" s="40">
        <f t="shared" si="643"/>
        <v>300.3</v>
      </c>
      <c r="W439" s="40">
        <f t="shared" si="644"/>
        <v>200.20000000000002</v>
      </c>
      <c r="X439" s="40">
        <f t="shared" si="645"/>
        <v>757.90000000000009</v>
      </c>
      <c r="Y439" s="39">
        <f t="shared" si="646"/>
        <v>157.30000000000001</v>
      </c>
      <c r="Z439" s="40">
        <f t="shared" si="647"/>
        <v>171.60000000000002</v>
      </c>
      <c r="AA439" s="40">
        <f t="shared" si="648"/>
        <v>0</v>
      </c>
      <c r="AB439" s="40">
        <f t="shared" si="649"/>
        <v>0</v>
      </c>
      <c r="AC439" s="40">
        <f t="shared" si="650"/>
        <v>0</v>
      </c>
      <c r="AD439" s="40">
        <f t="shared" si="651"/>
        <v>0</v>
      </c>
      <c r="AE439" s="40">
        <f t="shared" si="652"/>
        <v>0</v>
      </c>
      <c r="AF439" s="40">
        <f t="shared" si="653"/>
        <v>0</v>
      </c>
      <c r="AG439" s="40">
        <f t="shared" si="654"/>
        <v>0</v>
      </c>
      <c r="AH439" s="40">
        <f t="shared" si="625"/>
        <v>0</v>
      </c>
      <c r="AI439" s="40">
        <f t="shared" si="626"/>
        <v>0</v>
      </c>
      <c r="AJ439" s="40">
        <f t="shared" si="627"/>
        <v>0</v>
      </c>
      <c r="AK439" s="39">
        <f t="shared" si="628"/>
        <v>0</v>
      </c>
      <c r="AL439" s="38">
        <v>0</v>
      </c>
      <c r="AM439" s="38">
        <v>0</v>
      </c>
      <c r="AN439" s="38">
        <v>19</v>
      </c>
      <c r="AO439" s="38">
        <v>4</v>
      </c>
      <c r="AP439" s="38">
        <v>23</v>
      </c>
      <c r="AQ439" s="39">
        <v>44</v>
      </c>
      <c r="AR439" s="40">
        <v>91</v>
      </c>
      <c r="AS439" s="40">
        <v>81</v>
      </c>
      <c r="AT439" s="40">
        <v>75</v>
      </c>
      <c r="AU439" s="40">
        <v>259</v>
      </c>
      <c r="AV439" s="40">
        <v>182</v>
      </c>
      <c r="AW439" s="40">
        <v>113</v>
      </c>
      <c r="AX439" s="40">
        <v>68</v>
      </c>
      <c r="AY439" s="40">
        <v>41</v>
      </c>
      <c r="AZ439" s="40">
        <v>21</v>
      </c>
      <c r="BA439" s="40">
        <v>14</v>
      </c>
      <c r="BB439" s="40">
        <v>53</v>
      </c>
      <c r="BC439" s="39">
        <v>11</v>
      </c>
      <c r="BD439" s="40">
        <v>12</v>
      </c>
      <c r="BE439" s="40">
        <v>0</v>
      </c>
      <c r="BF439" s="40">
        <v>0</v>
      </c>
      <c r="BG439" s="40">
        <v>0</v>
      </c>
      <c r="BH439" s="40">
        <v>0</v>
      </c>
      <c r="BI439" s="40">
        <v>0</v>
      </c>
      <c r="BJ439" s="40">
        <v>0</v>
      </c>
      <c r="BK439" s="40">
        <v>0</v>
      </c>
      <c r="BL439" s="40">
        <v>0</v>
      </c>
      <c r="BM439" s="40">
        <v>0</v>
      </c>
      <c r="BN439" s="40"/>
      <c r="BO439" s="39"/>
      <c r="BP439" s="21">
        <v>0</v>
      </c>
      <c r="BQ439" s="21">
        <v>0</v>
      </c>
      <c r="BR439" s="21">
        <v>104</v>
      </c>
      <c r="BS439" s="21">
        <v>96</v>
      </c>
      <c r="BT439" s="21">
        <v>44</v>
      </c>
      <c r="BU439" s="42">
        <v>256</v>
      </c>
      <c r="BV439" s="21">
        <v>172</v>
      </c>
      <c r="BW439" s="21">
        <v>47</v>
      </c>
      <c r="BX439" s="21">
        <v>61</v>
      </c>
      <c r="BY439" s="21">
        <v>96</v>
      </c>
      <c r="BZ439" s="21">
        <v>119</v>
      </c>
      <c r="CA439" s="21">
        <v>45</v>
      </c>
      <c r="CB439" s="21">
        <v>16</v>
      </c>
      <c r="CC439" s="21">
        <v>0</v>
      </c>
      <c r="CD439" s="21">
        <v>0</v>
      </c>
      <c r="CE439" s="21">
        <v>0</v>
      </c>
      <c r="CF439" s="21">
        <v>0</v>
      </c>
      <c r="CG439" s="42">
        <v>0</v>
      </c>
      <c r="CH439" s="21">
        <v>0</v>
      </c>
      <c r="CI439" s="21">
        <v>0</v>
      </c>
      <c r="CJ439" s="21">
        <v>0</v>
      </c>
      <c r="CK439" s="21">
        <v>0</v>
      </c>
      <c r="CL439" s="21">
        <v>0</v>
      </c>
      <c r="CM439" s="21">
        <v>0</v>
      </c>
      <c r="CN439" s="21">
        <v>0</v>
      </c>
      <c r="CO439" s="21">
        <v>0</v>
      </c>
      <c r="CP439" s="21">
        <f t="shared" si="655"/>
        <v>0</v>
      </c>
      <c r="CQ439" s="343">
        <f t="shared" si="656"/>
        <v>0</v>
      </c>
      <c r="CR439" s="40"/>
      <c r="CS439" s="39"/>
      <c r="CT439" s="38">
        <f t="shared" si="657"/>
        <v>0</v>
      </c>
      <c r="CU439" s="38">
        <f t="shared" si="658"/>
        <v>0</v>
      </c>
      <c r="CV439" s="38">
        <f t="shared" si="659"/>
        <v>123</v>
      </c>
      <c r="CW439" s="38">
        <f t="shared" si="660"/>
        <v>100</v>
      </c>
      <c r="CX439" s="38">
        <f t="shared" si="661"/>
        <v>67</v>
      </c>
      <c r="CY439" s="39">
        <f t="shared" si="662"/>
        <v>300</v>
      </c>
      <c r="CZ439" s="40">
        <f t="shared" si="663"/>
        <v>263</v>
      </c>
      <c r="DA439" s="40">
        <f t="shared" si="664"/>
        <v>128</v>
      </c>
      <c r="DB439" s="40">
        <f t="shared" si="665"/>
        <v>136</v>
      </c>
      <c r="DC439" s="40">
        <f t="shared" si="666"/>
        <v>355</v>
      </c>
      <c r="DD439" s="40">
        <f t="shared" si="667"/>
        <v>301</v>
      </c>
      <c r="DE439" s="40">
        <f t="shared" si="668"/>
        <v>158</v>
      </c>
      <c r="DF439" s="40">
        <f t="shared" si="669"/>
        <v>84</v>
      </c>
      <c r="DG439" s="40">
        <f t="shared" si="670"/>
        <v>41</v>
      </c>
      <c r="DH439" s="40">
        <f t="shared" si="671"/>
        <v>21</v>
      </c>
      <c r="DI439" s="40">
        <f t="shared" si="672"/>
        <v>14</v>
      </c>
      <c r="DJ439" s="40">
        <f t="shared" si="673"/>
        <v>53</v>
      </c>
      <c r="DK439" s="39">
        <f t="shared" si="674"/>
        <v>11</v>
      </c>
      <c r="DL439" s="40">
        <f t="shared" si="675"/>
        <v>12</v>
      </c>
      <c r="DM439" s="40">
        <f t="shared" si="676"/>
        <v>0</v>
      </c>
      <c r="DN439" s="40">
        <f t="shared" si="677"/>
        <v>0</v>
      </c>
      <c r="DO439" s="40">
        <f t="shared" si="678"/>
        <v>0</v>
      </c>
      <c r="DP439" s="40">
        <f t="shared" si="679"/>
        <v>0</v>
      </c>
      <c r="DQ439" s="40">
        <f t="shared" si="680"/>
        <v>0</v>
      </c>
      <c r="DR439" s="40">
        <f t="shared" si="685"/>
        <v>0</v>
      </c>
      <c r="DS439" s="40">
        <f t="shared" si="686"/>
        <v>0</v>
      </c>
      <c r="DT439" s="40">
        <f t="shared" si="681"/>
        <v>0</v>
      </c>
      <c r="DU439" s="40">
        <f t="shared" si="682"/>
        <v>0</v>
      </c>
      <c r="DV439" s="40">
        <f t="shared" si="683"/>
        <v>0</v>
      </c>
      <c r="DW439" s="40">
        <f t="shared" si="684"/>
        <v>0</v>
      </c>
    </row>
    <row r="440" spans="1:127">
      <c r="A440" s="22" t="s">
        <v>33</v>
      </c>
      <c r="B440" s="26">
        <v>4902430744072</v>
      </c>
      <c r="C440" s="22" t="s">
        <v>38</v>
      </c>
      <c r="D440" s="22" t="s">
        <v>38</v>
      </c>
      <c r="E440" s="22">
        <v>104975</v>
      </c>
      <c r="F440" s="80" t="s">
        <v>528</v>
      </c>
      <c r="G440" s="25">
        <v>14.3</v>
      </c>
      <c r="H440" s="38">
        <f t="shared" si="629"/>
        <v>0</v>
      </c>
      <c r="I440" s="38">
        <f t="shared" si="630"/>
        <v>0</v>
      </c>
      <c r="J440" s="38">
        <f t="shared" si="631"/>
        <v>0</v>
      </c>
      <c r="K440" s="38">
        <f t="shared" si="632"/>
        <v>0</v>
      </c>
      <c r="L440" s="38">
        <f t="shared" si="633"/>
        <v>0</v>
      </c>
      <c r="M440" s="39">
        <f t="shared" si="634"/>
        <v>0</v>
      </c>
      <c r="N440" s="40">
        <f t="shared" si="635"/>
        <v>0</v>
      </c>
      <c r="O440" s="40">
        <f t="shared" si="636"/>
        <v>0</v>
      </c>
      <c r="P440" s="40">
        <f t="shared" si="637"/>
        <v>0</v>
      </c>
      <c r="Q440" s="40">
        <f t="shared" si="638"/>
        <v>0</v>
      </c>
      <c r="R440" s="40">
        <f t="shared" si="639"/>
        <v>0</v>
      </c>
      <c r="S440" s="40">
        <f t="shared" si="640"/>
        <v>0</v>
      </c>
      <c r="T440" s="40">
        <f t="shared" si="641"/>
        <v>0</v>
      </c>
      <c r="U440" s="40">
        <f t="shared" si="642"/>
        <v>0</v>
      </c>
      <c r="V440" s="40">
        <f t="shared" si="643"/>
        <v>0</v>
      </c>
      <c r="W440" s="40">
        <f t="shared" si="644"/>
        <v>0</v>
      </c>
      <c r="X440" s="40">
        <f t="shared" si="645"/>
        <v>0</v>
      </c>
      <c r="Y440" s="39">
        <f t="shared" si="646"/>
        <v>0</v>
      </c>
      <c r="Z440" s="40">
        <f t="shared" si="647"/>
        <v>0</v>
      </c>
      <c r="AA440" s="40">
        <f t="shared" si="648"/>
        <v>0</v>
      </c>
      <c r="AB440" s="40">
        <f t="shared" si="649"/>
        <v>0</v>
      </c>
      <c r="AC440" s="40">
        <f t="shared" si="650"/>
        <v>0</v>
      </c>
      <c r="AD440" s="40">
        <f t="shared" si="651"/>
        <v>0</v>
      </c>
      <c r="AE440" s="40">
        <f t="shared" si="652"/>
        <v>0</v>
      </c>
      <c r="AF440" s="40">
        <f t="shared" si="653"/>
        <v>0</v>
      </c>
      <c r="AG440" s="40">
        <f t="shared" si="654"/>
        <v>0</v>
      </c>
      <c r="AH440" s="40">
        <f t="shared" si="625"/>
        <v>0</v>
      </c>
      <c r="AI440" s="40">
        <f t="shared" si="626"/>
        <v>0</v>
      </c>
      <c r="AJ440" s="40">
        <f t="shared" si="627"/>
        <v>0</v>
      </c>
      <c r="AK440" s="39">
        <f t="shared" si="628"/>
        <v>0</v>
      </c>
      <c r="AL440" s="38">
        <v>0</v>
      </c>
      <c r="AM440" s="38">
        <v>0</v>
      </c>
      <c r="AN440" s="38">
        <v>0</v>
      </c>
      <c r="AO440" s="38">
        <v>0</v>
      </c>
      <c r="AP440" s="38">
        <v>0</v>
      </c>
      <c r="AQ440" s="39">
        <v>0</v>
      </c>
      <c r="AR440" s="40">
        <v>0</v>
      </c>
      <c r="AS440" s="40">
        <v>0</v>
      </c>
      <c r="AT440" s="40">
        <v>0</v>
      </c>
      <c r="AU440" s="40">
        <v>0</v>
      </c>
      <c r="AV440" s="40">
        <v>0</v>
      </c>
      <c r="AW440" s="40">
        <v>0</v>
      </c>
      <c r="AX440" s="40">
        <v>0</v>
      </c>
      <c r="AY440" s="40">
        <v>0</v>
      </c>
      <c r="AZ440" s="40">
        <v>0</v>
      </c>
      <c r="BA440" s="40">
        <v>0</v>
      </c>
      <c r="BB440" s="40">
        <v>0</v>
      </c>
      <c r="BC440" s="39">
        <v>0</v>
      </c>
      <c r="BD440" s="40">
        <v>0</v>
      </c>
      <c r="BE440" s="40">
        <v>0</v>
      </c>
      <c r="BF440" s="40">
        <v>0</v>
      </c>
      <c r="BG440" s="40">
        <v>0</v>
      </c>
      <c r="BH440" s="40">
        <v>0</v>
      </c>
      <c r="BI440" s="40">
        <v>0</v>
      </c>
      <c r="BJ440" s="40">
        <v>0</v>
      </c>
      <c r="BK440" s="40">
        <v>0</v>
      </c>
      <c r="BL440" s="40">
        <v>0</v>
      </c>
      <c r="BM440" s="40" t="s">
        <v>768</v>
      </c>
      <c r="BN440" s="40"/>
      <c r="BO440" s="39"/>
      <c r="BP440" s="21">
        <v>0</v>
      </c>
      <c r="BQ440" s="21">
        <v>0</v>
      </c>
      <c r="BR440" s="21">
        <v>0</v>
      </c>
      <c r="BS440" s="21">
        <v>0</v>
      </c>
      <c r="BT440" s="21">
        <v>0</v>
      </c>
      <c r="BU440" s="42">
        <v>0</v>
      </c>
      <c r="BV440" s="21">
        <v>0</v>
      </c>
      <c r="BW440" s="21">
        <v>0</v>
      </c>
      <c r="BX440" s="21">
        <v>0</v>
      </c>
      <c r="BY440" s="21">
        <v>0</v>
      </c>
      <c r="BZ440" s="21">
        <v>0</v>
      </c>
      <c r="CA440" s="21">
        <v>0</v>
      </c>
      <c r="CB440" s="21">
        <v>0</v>
      </c>
      <c r="CC440" s="21">
        <v>0</v>
      </c>
      <c r="CD440" s="21">
        <v>0</v>
      </c>
      <c r="CE440" s="21">
        <v>0</v>
      </c>
      <c r="CF440" s="21">
        <v>0</v>
      </c>
      <c r="CG440" s="42">
        <v>0</v>
      </c>
      <c r="CH440" s="21">
        <v>0</v>
      </c>
      <c r="CI440" s="21">
        <v>0</v>
      </c>
      <c r="CJ440" s="21">
        <v>0</v>
      </c>
      <c r="CK440" s="21">
        <v>0</v>
      </c>
      <c r="CL440" s="21">
        <v>0</v>
      </c>
      <c r="CM440" s="21">
        <v>0</v>
      </c>
      <c r="CN440" s="21">
        <v>0</v>
      </c>
      <c r="CO440" s="21">
        <v>0</v>
      </c>
      <c r="CP440" s="21">
        <f t="shared" si="655"/>
        <v>0</v>
      </c>
      <c r="CQ440" s="343">
        <f t="shared" si="656"/>
        <v>0</v>
      </c>
      <c r="CR440" s="40"/>
      <c r="CS440" s="39"/>
      <c r="CT440" s="38">
        <f t="shared" si="657"/>
        <v>0</v>
      </c>
      <c r="CU440" s="38">
        <f t="shared" si="658"/>
        <v>0</v>
      </c>
      <c r="CV440" s="38">
        <f t="shared" si="659"/>
        <v>0</v>
      </c>
      <c r="CW440" s="38">
        <f t="shared" si="660"/>
        <v>0</v>
      </c>
      <c r="CX440" s="38">
        <f t="shared" si="661"/>
        <v>0</v>
      </c>
      <c r="CY440" s="39">
        <f t="shared" si="662"/>
        <v>0</v>
      </c>
      <c r="CZ440" s="40">
        <f t="shared" si="663"/>
        <v>0</v>
      </c>
      <c r="DA440" s="40">
        <f t="shared" si="664"/>
        <v>0</v>
      </c>
      <c r="DB440" s="40">
        <f t="shared" si="665"/>
        <v>0</v>
      </c>
      <c r="DC440" s="40">
        <f t="shared" si="666"/>
        <v>0</v>
      </c>
      <c r="DD440" s="40">
        <f t="shared" si="667"/>
        <v>0</v>
      </c>
      <c r="DE440" s="40">
        <f t="shared" si="668"/>
        <v>0</v>
      </c>
      <c r="DF440" s="40">
        <f t="shared" si="669"/>
        <v>0</v>
      </c>
      <c r="DG440" s="40">
        <f t="shared" si="670"/>
        <v>0</v>
      </c>
      <c r="DH440" s="40">
        <f t="shared" si="671"/>
        <v>0</v>
      </c>
      <c r="DI440" s="40">
        <f t="shared" si="672"/>
        <v>0</v>
      </c>
      <c r="DJ440" s="40">
        <f t="shared" si="673"/>
        <v>0</v>
      </c>
      <c r="DK440" s="39">
        <f t="shared" si="674"/>
        <v>0</v>
      </c>
      <c r="DL440" s="40">
        <f t="shared" si="675"/>
        <v>0</v>
      </c>
      <c r="DM440" s="40">
        <f t="shared" si="676"/>
        <v>0</v>
      </c>
      <c r="DN440" s="40">
        <f t="shared" si="677"/>
        <v>0</v>
      </c>
      <c r="DO440" s="40">
        <f t="shared" si="678"/>
        <v>0</v>
      </c>
      <c r="DP440" s="40">
        <f t="shared" si="679"/>
        <v>0</v>
      </c>
      <c r="DQ440" s="40">
        <f t="shared" si="680"/>
        <v>0</v>
      </c>
      <c r="DR440" s="40">
        <f t="shared" si="685"/>
        <v>0</v>
      </c>
      <c r="DS440" s="40">
        <f t="shared" si="686"/>
        <v>0</v>
      </c>
      <c r="DT440" s="40">
        <f t="shared" si="681"/>
        <v>0</v>
      </c>
      <c r="DU440" s="40">
        <f t="shared" si="682"/>
        <v>0</v>
      </c>
      <c r="DV440" s="40">
        <f t="shared" si="683"/>
        <v>0</v>
      </c>
      <c r="DW440" s="40">
        <f t="shared" si="684"/>
        <v>0</v>
      </c>
    </row>
    <row r="441" spans="1:127">
      <c r="A441" s="22" t="s">
        <v>33</v>
      </c>
      <c r="B441" s="26">
        <v>4902430744089</v>
      </c>
      <c r="C441" s="22" t="s">
        <v>38</v>
      </c>
      <c r="D441" s="22" t="s">
        <v>38</v>
      </c>
      <c r="E441" s="22">
        <v>289955</v>
      </c>
      <c r="F441" s="80" t="s">
        <v>529</v>
      </c>
      <c r="G441" s="25">
        <v>14.3</v>
      </c>
      <c r="H441" s="38">
        <f t="shared" si="629"/>
        <v>12269.400000000001</v>
      </c>
      <c r="I441" s="38">
        <f t="shared" si="630"/>
        <v>9623.9</v>
      </c>
      <c r="J441" s="38">
        <f t="shared" si="631"/>
        <v>6006</v>
      </c>
      <c r="K441" s="38">
        <f t="shared" si="632"/>
        <v>5019.3</v>
      </c>
      <c r="L441" s="38">
        <f t="shared" si="633"/>
        <v>3989.7000000000003</v>
      </c>
      <c r="M441" s="39">
        <f t="shared" si="634"/>
        <v>3575</v>
      </c>
      <c r="N441" s="40">
        <f t="shared" si="635"/>
        <v>5720</v>
      </c>
      <c r="O441" s="40">
        <f t="shared" si="636"/>
        <v>2316.6</v>
      </c>
      <c r="P441" s="40">
        <f t="shared" si="637"/>
        <v>2302.3000000000002</v>
      </c>
      <c r="Q441" s="40">
        <f t="shared" si="638"/>
        <v>2860</v>
      </c>
      <c r="R441" s="40">
        <f t="shared" si="639"/>
        <v>2302.3000000000002</v>
      </c>
      <c r="S441" s="40">
        <f t="shared" si="640"/>
        <v>57.2</v>
      </c>
      <c r="T441" s="40">
        <f t="shared" si="641"/>
        <v>71.5</v>
      </c>
      <c r="U441" s="40">
        <f t="shared" si="642"/>
        <v>171.60000000000002</v>
      </c>
      <c r="V441" s="40">
        <f t="shared" si="643"/>
        <v>0</v>
      </c>
      <c r="W441" s="40">
        <f t="shared" si="644"/>
        <v>0</v>
      </c>
      <c r="X441" s="40">
        <f t="shared" si="645"/>
        <v>0</v>
      </c>
      <c r="Y441" s="39">
        <f t="shared" si="646"/>
        <v>0</v>
      </c>
      <c r="Z441" s="40">
        <f t="shared" si="647"/>
        <v>0</v>
      </c>
      <c r="AA441" s="40">
        <f t="shared" si="648"/>
        <v>0</v>
      </c>
      <c r="AB441" s="40">
        <f t="shared" si="649"/>
        <v>0</v>
      </c>
      <c r="AC441" s="40">
        <f t="shared" si="650"/>
        <v>0</v>
      </c>
      <c r="AD441" s="40">
        <f t="shared" si="651"/>
        <v>0</v>
      </c>
      <c r="AE441" s="40">
        <f t="shared" si="652"/>
        <v>0</v>
      </c>
      <c r="AF441" s="40">
        <f t="shared" si="653"/>
        <v>0</v>
      </c>
      <c r="AG441" s="40">
        <f t="shared" si="654"/>
        <v>0</v>
      </c>
      <c r="AH441" s="40">
        <f t="shared" si="625"/>
        <v>0</v>
      </c>
      <c r="AI441" s="40">
        <f t="shared" si="626"/>
        <v>0</v>
      </c>
      <c r="AJ441" s="40">
        <f t="shared" si="627"/>
        <v>0</v>
      </c>
      <c r="AK441" s="39">
        <f t="shared" si="628"/>
        <v>0</v>
      </c>
      <c r="AL441" s="38">
        <v>482</v>
      </c>
      <c r="AM441" s="38">
        <v>503</v>
      </c>
      <c r="AN441" s="38">
        <v>241</v>
      </c>
      <c r="AO441" s="38">
        <v>232</v>
      </c>
      <c r="AP441" s="38">
        <v>227</v>
      </c>
      <c r="AQ441" s="39">
        <v>122</v>
      </c>
      <c r="AR441" s="40">
        <v>163</v>
      </c>
      <c r="AS441" s="40">
        <v>115</v>
      </c>
      <c r="AT441" s="40">
        <v>58</v>
      </c>
      <c r="AU441" s="40">
        <v>83</v>
      </c>
      <c r="AV441" s="40">
        <v>29</v>
      </c>
      <c r="AW441" s="40">
        <v>4</v>
      </c>
      <c r="AX441" s="40">
        <v>5</v>
      </c>
      <c r="AY441" s="40">
        <v>12</v>
      </c>
      <c r="AZ441" s="40">
        <v>0</v>
      </c>
      <c r="BA441" s="40">
        <v>0</v>
      </c>
      <c r="BB441" s="40">
        <v>0</v>
      </c>
      <c r="BC441" s="39">
        <v>0</v>
      </c>
      <c r="BD441" s="40">
        <v>0</v>
      </c>
      <c r="BE441" s="40">
        <v>0</v>
      </c>
      <c r="BF441" s="40">
        <v>0</v>
      </c>
      <c r="BG441" s="40">
        <v>0</v>
      </c>
      <c r="BH441" s="40">
        <v>0</v>
      </c>
      <c r="BI441" s="40">
        <v>0</v>
      </c>
      <c r="BJ441" s="40">
        <v>0</v>
      </c>
      <c r="BK441" s="40">
        <v>0</v>
      </c>
      <c r="BL441" s="40">
        <v>0</v>
      </c>
      <c r="BM441" s="40">
        <v>0</v>
      </c>
      <c r="BN441" s="40"/>
      <c r="BO441" s="39"/>
      <c r="BP441" s="21">
        <v>376</v>
      </c>
      <c r="BQ441" s="21">
        <v>170</v>
      </c>
      <c r="BR441" s="21">
        <v>179</v>
      </c>
      <c r="BS441" s="21">
        <v>119</v>
      </c>
      <c r="BT441" s="21">
        <v>52</v>
      </c>
      <c r="BU441" s="42">
        <v>128</v>
      </c>
      <c r="BV441" s="21">
        <v>237</v>
      </c>
      <c r="BW441" s="21">
        <v>47</v>
      </c>
      <c r="BX441" s="21">
        <v>103</v>
      </c>
      <c r="BY441" s="21">
        <v>117</v>
      </c>
      <c r="BZ441" s="21">
        <v>132</v>
      </c>
      <c r="CA441" s="21">
        <v>0</v>
      </c>
      <c r="CB441" s="21">
        <v>0</v>
      </c>
      <c r="CC441" s="21">
        <v>0</v>
      </c>
      <c r="CD441" s="21">
        <v>0</v>
      </c>
      <c r="CE441" s="21">
        <v>0</v>
      </c>
      <c r="CF441" s="21">
        <v>0</v>
      </c>
      <c r="CG441" s="42">
        <v>0</v>
      </c>
      <c r="CH441" s="21">
        <v>0</v>
      </c>
      <c r="CI441" s="21">
        <v>0</v>
      </c>
      <c r="CJ441" s="21">
        <v>0</v>
      </c>
      <c r="CK441" s="21">
        <v>0</v>
      </c>
      <c r="CL441" s="21">
        <v>0</v>
      </c>
      <c r="CM441" s="21">
        <v>0</v>
      </c>
      <c r="CN441" s="21">
        <v>0</v>
      </c>
      <c r="CO441" s="21">
        <v>0</v>
      </c>
      <c r="CP441" s="21">
        <f t="shared" si="655"/>
        <v>0</v>
      </c>
      <c r="CQ441" s="343">
        <f t="shared" si="656"/>
        <v>0</v>
      </c>
      <c r="CR441" s="40"/>
      <c r="CS441" s="39"/>
      <c r="CT441" s="38">
        <f t="shared" si="657"/>
        <v>858</v>
      </c>
      <c r="CU441" s="38">
        <f t="shared" si="658"/>
        <v>673</v>
      </c>
      <c r="CV441" s="38">
        <f t="shared" si="659"/>
        <v>420</v>
      </c>
      <c r="CW441" s="38">
        <f t="shared" si="660"/>
        <v>351</v>
      </c>
      <c r="CX441" s="38">
        <f t="shared" si="661"/>
        <v>279</v>
      </c>
      <c r="CY441" s="39">
        <f t="shared" si="662"/>
        <v>250</v>
      </c>
      <c r="CZ441" s="40">
        <f t="shared" si="663"/>
        <v>400</v>
      </c>
      <c r="DA441" s="40">
        <f t="shared" si="664"/>
        <v>162</v>
      </c>
      <c r="DB441" s="40">
        <f t="shared" si="665"/>
        <v>161</v>
      </c>
      <c r="DC441" s="40">
        <f t="shared" si="666"/>
        <v>200</v>
      </c>
      <c r="DD441" s="40">
        <f t="shared" si="667"/>
        <v>161</v>
      </c>
      <c r="DE441" s="40">
        <f t="shared" si="668"/>
        <v>4</v>
      </c>
      <c r="DF441" s="40">
        <f t="shared" si="669"/>
        <v>5</v>
      </c>
      <c r="DG441" s="40">
        <f t="shared" si="670"/>
        <v>12</v>
      </c>
      <c r="DH441" s="40">
        <f t="shared" si="671"/>
        <v>0</v>
      </c>
      <c r="DI441" s="40">
        <f t="shared" si="672"/>
        <v>0</v>
      </c>
      <c r="DJ441" s="40">
        <f t="shared" si="673"/>
        <v>0</v>
      </c>
      <c r="DK441" s="39">
        <f t="shared" si="674"/>
        <v>0</v>
      </c>
      <c r="DL441" s="40">
        <f t="shared" si="675"/>
        <v>0</v>
      </c>
      <c r="DM441" s="40">
        <f t="shared" si="676"/>
        <v>0</v>
      </c>
      <c r="DN441" s="40">
        <f t="shared" si="677"/>
        <v>0</v>
      </c>
      <c r="DO441" s="40">
        <f t="shared" si="678"/>
        <v>0</v>
      </c>
      <c r="DP441" s="40">
        <f t="shared" si="679"/>
        <v>0</v>
      </c>
      <c r="DQ441" s="40">
        <f t="shared" si="680"/>
        <v>0</v>
      </c>
      <c r="DR441" s="40">
        <f t="shared" si="685"/>
        <v>0</v>
      </c>
      <c r="DS441" s="40">
        <f t="shared" si="686"/>
        <v>0</v>
      </c>
      <c r="DT441" s="40">
        <f t="shared" si="681"/>
        <v>0</v>
      </c>
      <c r="DU441" s="40">
        <f t="shared" si="682"/>
        <v>0</v>
      </c>
      <c r="DV441" s="40">
        <f t="shared" si="683"/>
        <v>0</v>
      </c>
      <c r="DW441" s="40">
        <f t="shared" si="684"/>
        <v>0</v>
      </c>
    </row>
    <row r="442" spans="1:127">
      <c r="A442" s="22" t="s">
        <v>33</v>
      </c>
      <c r="B442" s="26">
        <v>4902430893916</v>
      </c>
      <c r="C442" s="22" t="s">
        <v>38</v>
      </c>
      <c r="D442" s="22" t="s">
        <v>38</v>
      </c>
      <c r="E442" s="22">
        <v>404976</v>
      </c>
      <c r="F442" s="80" t="s">
        <v>530</v>
      </c>
      <c r="G442" s="25">
        <v>14.3</v>
      </c>
      <c r="H442" s="38">
        <f t="shared" si="629"/>
        <v>12240.800000000001</v>
      </c>
      <c r="I442" s="38">
        <f t="shared" si="630"/>
        <v>6906.9000000000005</v>
      </c>
      <c r="J442" s="38">
        <f t="shared" si="631"/>
        <v>5233.8</v>
      </c>
      <c r="K442" s="38">
        <f t="shared" si="632"/>
        <v>4347.2</v>
      </c>
      <c r="L442" s="38">
        <f t="shared" si="633"/>
        <v>1816.1000000000001</v>
      </c>
      <c r="M442" s="39">
        <f t="shared" si="634"/>
        <v>3303.3</v>
      </c>
      <c r="N442" s="40">
        <f t="shared" si="635"/>
        <v>4676.1000000000004</v>
      </c>
      <c r="O442" s="40">
        <f t="shared" si="636"/>
        <v>1687.4</v>
      </c>
      <c r="P442" s="40">
        <f t="shared" si="637"/>
        <v>1344.2</v>
      </c>
      <c r="Q442" s="40">
        <f t="shared" si="638"/>
        <v>915.2</v>
      </c>
      <c r="R442" s="40">
        <f t="shared" si="639"/>
        <v>85.800000000000011</v>
      </c>
      <c r="S442" s="40">
        <f t="shared" si="640"/>
        <v>14.3</v>
      </c>
      <c r="T442" s="40">
        <f t="shared" si="641"/>
        <v>57.2</v>
      </c>
      <c r="U442" s="40">
        <f t="shared" si="642"/>
        <v>114.4</v>
      </c>
      <c r="V442" s="40">
        <f t="shared" si="643"/>
        <v>128.70000000000002</v>
      </c>
      <c r="W442" s="40">
        <f t="shared" si="644"/>
        <v>14.3</v>
      </c>
      <c r="X442" s="40">
        <f t="shared" si="645"/>
        <v>0</v>
      </c>
      <c r="Y442" s="39">
        <f t="shared" si="646"/>
        <v>0</v>
      </c>
      <c r="Z442" s="40">
        <f t="shared" si="647"/>
        <v>0</v>
      </c>
      <c r="AA442" s="40">
        <f t="shared" si="648"/>
        <v>0</v>
      </c>
      <c r="AB442" s="40">
        <f t="shared" si="649"/>
        <v>0</v>
      </c>
      <c r="AC442" s="40">
        <f t="shared" si="650"/>
        <v>0</v>
      </c>
      <c r="AD442" s="40">
        <f t="shared" si="651"/>
        <v>0</v>
      </c>
      <c r="AE442" s="40">
        <f t="shared" si="652"/>
        <v>0</v>
      </c>
      <c r="AF442" s="40">
        <f t="shared" si="653"/>
        <v>0</v>
      </c>
      <c r="AG442" s="40">
        <f t="shared" si="654"/>
        <v>0</v>
      </c>
      <c r="AH442" s="40">
        <f t="shared" si="625"/>
        <v>0</v>
      </c>
      <c r="AI442" s="40">
        <f t="shared" si="626"/>
        <v>0</v>
      </c>
      <c r="AJ442" s="40">
        <f t="shared" si="627"/>
        <v>0</v>
      </c>
      <c r="AK442" s="39">
        <f t="shared" si="628"/>
        <v>0</v>
      </c>
      <c r="AL442" s="38">
        <v>376</v>
      </c>
      <c r="AM442" s="38">
        <v>245</v>
      </c>
      <c r="AN442" s="38">
        <v>157</v>
      </c>
      <c r="AO442" s="38">
        <v>176</v>
      </c>
      <c r="AP442" s="38">
        <v>79</v>
      </c>
      <c r="AQ442" s="39">
        <v>114</v>
      </c>
      <c r="AR442" s="40">
        <v>105</v>
      </c>
      <c r="AS442" s="40">
        <v>61</v>
      </c>
      <c r="AT442" s="40">
        <v>43</v>
      </c>
      <c r="AU442" s="40">
        <v>63</v>
      </c>
      <c r="AV442" s="40">
        <v>6</v>
      </c>
      <c r="AW442" s="40">
        <v>1</v>
      </c>
      <c r="AX442" s="40">
        <v>4</v>
      </c>
      <c r="AY442" s="40">
        <v>8</v>
      </c>
      <c r="AZ442" s="40">
        <v>9</v>
      </c>
      <c r="BA442" s="40">
        <v>1</v>
      </c>
      <c r="BB442" s="40">
        <v>0</v>
      </c>
      <c r="BC442" s="39">
        <v>0</v>
      </c>
      <c r="BD442" s="40">
        <v>0</v>
      </c>
      <c r="BE442" s="40">
        <v>0</v>
      </c>
      <c r="BF442" s="40">
        <v>0</v>
      </c>
      <c r="BG442" s="40">
        <v>0</v>
      </c>
      <c r="BH442" s="40">
        <v>0</v>
      </c>
      <c r="BI442" s="40">
        <v>0</v>
      </c>
      <c r="BJ442" s="40">
        <v>0</v>
      </c>
      <c r="BK442" s="40">
        <v>0</v>
      </c>
      <c r="BL442" s="40">
        <v>0</v>
      </c>
      <c r="BM442" s="40">
        <v>0</v>
      </c>
      <c r="BN442" s="40"/>
      <c r="BO442" s="39"/>
      <c r="BP442" s="21">
        <v>480</v>
      </c>
      <c r="BQ442" s="21">
        <v>238</v>
      </c>
      <c r="BR442" s="21">
        <v>209</v>
      </c>
      <c r="BS442" s="21">
        <v>128</v>
      </c>
      <c r="BT442" s="21">
        <v>48</v>
      </c>
      <c r="BU442" s="42">
        <v>117</v>
      </c>
      <c r="BV442" s="21">
        <v>222</v>
      </c>
      <c r="BW442" s="21">
        <v>57</v>
      </c>
      <c r="BX442" s="21">
        <v>51</v>
      </c>
      <c r="BY442" s="21">
        <v>1</v>
      </c>
      <c r="BZ442" s="21">
        <v>0</v>
      </c>
      <c r="CA442" s="21">
        <v>0</v>
      </c>
      <c r="CB442" s="21">
        <v>0</v>
      </c>
      <c r="CC442" s="21">
        <v>0</v>
      </c>
      <c r="CD442" s="21">
        <v>0</v>
      </c>
      <c r="CE442" s="21">
        <v>0</v>
      </c>
      <c r="CF442" s="21">
        <v>0</v>
      </c>
      <c r="CG442" s="42">
        <v>0</v>
      </c>
      <c r="CH442" s="21">
        <v>0</v>
      </c>
      <c r="CI442" s="21">
        <v>0</v>
      </c>
      <c r="CJ442" s="21">
        <v>0</v>
      </c>
      <c r="CK442" s="21">
        <v>0</v>
      </c>
      <c r="CL442" s="21">
        <v>0</v>
      </c>
      <c r="CM442" s="21">
        <v>0</v>
      </c>
      <c r="CN442" s="21">
        <v>0</v>
      </c>
      <c r="CO442" s="21">
        <v>0</v>
      </c>
      <c r="CP442" s="21">
        <f t="shared" si="655"/>
        <v>0</v>
      </c>
      <c r="CQ442" s="343">
        <f t="shared" si="656"/>
        <v>0</v>
      </c>
      <c r="CR442" s="40"/>
      <c r="CS442" s="39"/>
      <c r="CT442" s="38">
        <f t="shared" si="657"/>
        <v>856</v>
      </c>
      <c r="CU442" s="38">
        <f t="shared" si="658"/>
        <v>483</v>
      </c>
      <c r="CV442" s="38">
        <f t="shared" si="659"/>
        <v>366</v>
      </c>
      <c r="CW442" s="38">
        <f t="shared" si="660"/>
        <v>304</v>
      </c>
      <c r="CX442" s="38">
        <f t="shared" si="661"/>
        <v>127</v>
      </c>
      <c r="CY442" s="39">
        <f t="shared" si="662"/>
        <v>231</v>
      </c>
      <c r="CZ442" s="40">
        <f t="shared" si="663"/>
        <v>327</v>
      </c>
      <c r="DA442" s="40">
        <f t="shared" si="664"/>
        <v>118</v>
      </c>
      <c r="DB442" s="40">
        <f t="shared" si="665"/>
        <v>94</v>
      </c>
      <c r="DC442" s="40">
        <f t="shared" si="666"/>
        <v>64</v>
      </c>
      <c r="DD442" s="40">
        <f t="shared" si="667"/>
        <v>6</v>
      </c>
      <c r="DE442" s="40">
        <f t="shared" si="668"/>
        <v>1</v>
      </c>
      <c r="DF442" s="40">
        <f t="shared" si="669"/>
        <v>4</v>
      </c>
      <c r="DG442" s="40">
        <f t="shared" si="670"/>
        <v>8</v>
      </c>
      <c r="DH442" s="40">
        <f t="shared" si="671"/>
        <v>9</v>
      </c>
      <c r="DI442" s="40">
        <f t="shared" si="672"/>
        <v>1</v>
      </c>
      <c r="DJ442" s="40">
        <f t="shared" si="673"/>
        <v>0</v>
      </c>
      <c r="DK442" s="39">
        <f t="shared" si="674"/>
        <v>0</v>
      </c>
      <c r="DL442" s="40">
        <f t="shared" si="675"/>
        <v>0</v>
      </c>
      <c r="DM442" s="40">
        <f t="shared" si="676"/>
        <v>0</v>
      </c>
      <c r="DN442" s="40">
        <f t="shared" si="677"/>
        <v>0</v>
      </c>
      <c r="DO442" s="40">
        <f t="shared" si="678"/>
        <v>0</v>
      </c>
      <c r="DP442" s="40">
        <f t="shared" si="679"/>
        <v>0</v>
      </c>
      <c r="DQ442" s="40">
        <f t="shared" si="680"/>
        <v>0</v>
      </c>
      <c r="DR442" s="40">
        <f t="shared" si="685"/>
        <v>0</v>
      </c>
      <c r="DS442" s="40">
        <f t="shared" si="686"/>
        <v>0</v>
      </c>
      <c r="DT442" s="40">
        <f t="shared" si="681"/>
        <v>0</v>
      </c>
      <c r="DU442" s="40">
        <f t="shared" si="682"/>
        <v>0</v>
      </c>
      <c r="DV442" s="40">
        <f t="shared" si="683"/>
        <v>0</v>
      </c>
      <c r="DW442" s="40">
        <f t="shared" si="684"/>
        <v>0</v>
      </c>
    </row>
    <row r="443" spans="1:127">
      <c r="A443" s="22" t="s">
        <v>33</v>
      </c>
      <c r="B443" s="26">
        <v>4902430359306</v>
      </c>
      <c r="C443" s="22" t="s">
        <v>38</v>
      </c>
      <c r="D443" s="22" t="s">
        <v>38</v>
      </c>
      <c r="E443" s="22">
        <v>321419</v>
      </c>
      <c r="F443" s="80" t="s">
        <v>531</v>
      </c>
      <c r="G443" s="25">
        <v>205</v>
      </c>
      <c r="H443" s="38">
        <f t="shared" si="629"/>
        <v>16810</v>
      </c>
      <c r="I443" s="38">
        <f t="shared" si="630"/>
        <v>12915</v>
      </c>
      <c r="J443" s="38">
        <f t="shared" si="631"/>
        <v>7790</v>
      </c>
      <c r="K443" s="38">
        <f t="shared" si="632"/>
        <v>10045</v>
      </c>
      <c r="L443" s="38">
        <f t="shared" si="633"/>
        <v>12710</v>
      </c>
      <c r="M443" s="39">
        <f t="shared" si="634"/>
        <v>9020</v>
      </c>
      <c r="N443" s="40">
        <f t="shared" si="635"/>
        <v>8815</v>
      </c>
      <c r="O443" s="40">
        <f t="shared" si="636"/>
        <v>13735</v>
      </c>
      <c r="P443" s="40">
        <f t="shared" si="637"/>
        <v>9225</v>
      </c>
      <c r="Q443" s="40">
        <f t="shared" si="638"/>
        <v>5125</v>
      </c>
      <c r="R443" s="40">
        <f t="shared" si="639"/>
        <v>9430</v>
      </c>
      <c r="S443" s="40">
        <f t="shared" si="640"/>
        <v>3075</v>
      </c>
      <c r="T443" s="40">
        <f t="shared" si="641"/>
        <v>3485</v>
      </c>
      <c r="U443" s="40">
        <f t="shared" si="642"/>
        <v>2050</v>
      </c>
      <c r="V443" s="40">
        <f t="shared" si="643"/>
        <v>615</v>
      </c>
      <c r="W443" s="40">
        <f t="shared" si="644"/>
        <v>410</v>
      </c>
      <c r="X443" s="40">
        <f t="shared" si="645"/>
        <v>0</v>
      </c>
      <c r="Y443" s="39">
        <f t="shared" si="646"/>
        <v>0</v>
      </c>
      <c r="Z443" s="40">
        <f t="shared" si="647"/>
        <v>0</v>
      </c>
      <c r="AA443" s="40">
        <f t="shared" si="648"/>
        <v>0</v>
      </c>
      <c r="AB443" s="40">
        <f t="shared" si="649"/>
        <v>0</v>
      </c>
      <c r="AC443" s="40">
        <f t="shared" si="650"/>
        <v>0</v>
      </c>
      <c r="AD443" s="40">
        <f t="shared" si="651"/>
        <v>0</v>
      </c>
      <c r="AE443" s="40">
        <f t="shared" si="652"/>
        <v>0</v>
      </c>
      <c r="AF443" s="40">
        <f t="shared" si="653"/>
        <v>0</v>
      </c>
      <c r="AG443" s="40">
        <f t="shared" si="654"/>
        <v>0</v>
      </c>
      <c r="AH443" s="40">
        <f t="shared" si="625"/>
        <v>0</v>
      </c>
      <c r="AI443" s="40">
        <f t="shared" si="626"/>
        <v>0</v>
      </c>
      <c r="AJ443" s="40">
        <f t="shared" si="627"/>
        <v>0</v>
      </c>
      <c r="AK443" s="39">
        <f t="shared" si="628"/>
        <v>0</v>
      </c>
      <c r="AL443" s="38">
        <v>66</v>
      </c>
      <c r="AM443" s="38">
        <v>56</v>
      </c>
      <c r="AN443" s="38">
        <v>34</v>
      </c>
      <c r="AO443" s="38">
        <v>39</v>
      </c>
      <c r="AP443" s="38">
        <v>55</v>
      </c>
      <c r="AQ443" s="39">
        <v>36</v>
      </c>
      <c r="AR443" s="40">
        <v>33</v>
      </c>
      <c r="AS443" s="40">
        <v>60</v>
      </c>
      <c r="AT443" s="40">
        <v>41</v>
      </c>
      <c r="AU443" s="40">
        <v>18</v>
      </c>
      <c r="AV443" s="40">
        <v>38</v>
      </c>
      <c r="AW443" s="40">
        <v>15</v>
      </c>
      <c r="AX443" s="40">
        <v>17</v>
      </c>
      <c r="AY443" s="40">
        <v>10</v>
      </c>
      <c r="AZ443" s="40">
        <v>3</v>
      </c>
      <c r="BA443" s="40">
        <v>2</v>
      </c>
      <c r="BB443" s="40">
        <v>0</v>
      </c>
      <c r="BC443" s="39">
        <v>0</v>
      </c>
      <c r="BD443" s="40">
        <v>0</v>
      </c>
      <c r="BE443" s="40">
        <v>0</v>
      </c>
      <c r="BF443" s="40">
        <v>0</v>
      </c>
      <c r="BG443" s="40">
        <v>0</v>
      </c>
      <c r="BH443" s="40">
        <v>0</v>
      </c>
      <c r="BI443" s="40">
        <v>0</v>
      </c>
      <c r="BJ443" s="40">
        <v>0</v>
      </c>
      <c r="BK443" s="40">
        <v>0</v>
      </c>
      <c r="BL443" s="40">
        <v>0</v>
      </c>
      <c r="BM443" s="40">
        <v>0</v>
      </c>
      <c r="BN443" s="40"/>
      <c r="BO443" s="39"/>
      <c r="BP443" s="21">
        <v>16</v>
      </c>
      <c r="BQ443" s="21">
        <v>7</v>
      </c>
      <c r="BR443" s="21">
        <v>4</v>
      </c>
      <c r="BS443" s="21">
        <v>10</v>
      </c>
      <c r="BT443" s="21">
        <v>7</v>
      </c>
      <c r="BU443" s="42">
        <v>8</v>
      </c>
      <c r="BV443" s="21">
        <v>10</v>
      </c>
      <c r="BW443" s="21">
        <v>7</v>
      </c>
      <c r="BX443" s="21">
        <v>4</v>
      </c>
      <c r="BY443" s="21">
        <v>7</v>
      </c>
      <c r="BZ443" s="21">
        <v>8</v>
      </c>
      <c r="CA443" s="21">
        <v>0</v>
      </c>
      <c r="CB443" s="21">
        <v>0</v>
      </c>
      <c r="CC443" s="21">
        <v>0</v>
      </c>
      <c r="CD443" s="21">
        <v>0</v>
      </c>
      <c r="CE443" s="21">
        <v>0</v>
      </c>
      <c r="CF443" s="21">
        <v>0</v>
      </c>
      <c r="CG443" s="42">
        <v>0</v>
      </c>
      <c r="CH443" s="21">
        <v>0</v>
      </c>
      <c r="CI443" s="21">
        <v>0</v>
      </c>
      <c r="CJ443" s="21">
        <v>0</v>
      </c>
      <c r="CK443" s="21">
        <v>0</v>
      </c>
      <c r="CL443" s="21">
        <v>0</v>
      </c>
      <c r="CM443" s="21">
        <v>0</v>
      </c>
      <c r="CN443" s="21">
        <v>0</v>
      </c>
      <c r="CO443" s="21">
        <v>0</v>
      </c>
      <c r="CP443" s="21">
        <f t="shared" si="655"/>
        <v>0</v>
      </c>
      <c r="CQ443" s="343">
        <f t="shared" si="656"/>
        <v>0</v>
      </c>
      <c r="CR443" s="40"/>
      <c r="CS443" s="39"/>
      <c r="CT443" s="38">
        <f t="shared" si="657"/>
        <v>82</v>
      </c>
      <c r="CU443" s="38">
        <f t="shared" si="658"/>
        <v>63</v>
      </c>
      <c r="CV443" s="38">
        <f t="shared" si="659"/>
        <v>38</v>
      </c>
      <c r="CW443" s="38">
        <f t="shared" si="660"/>
        <v>49</v>
      </c>
      <c r="CX443" s="38">
        <f t="shared" si="661"/>
        <v>62</v>
      </c>
      <c r="CY443" s="39">
        <f t="shared" si="662"/>
        <v>44</v>
      </c>
      <c r="CZ443" s="40">
        <f t="shared" si="663"/>
        <v>43</v>
      </c>
      <c r="DA443" s="40">
        <f t="shared" si="664"/>
        <v>67</v>
      </c>
      <c r="DB443" s="40">
        <f t="shared" si="665"/>
        <v>45</v>
      </c>
      <c r="DC443" s="40">
        <f t="shared" si="666"/>
        <v>25</v>
      </c>
      <c r="DD443" s="40">
        <f t="shared" si="667"/>
        <v>46</v>
      </c>
      <c r="DE443" s="40">
        <f t="shared" si="668"/>
        <v>15</v>
      </c>
      <c r="DF443" s="40">
        <f t="shared" si="669"/>
        <v>17</v>
      </c>
      <c r="DG443" s="40">
        <f t="shared" si="670"/>
        <v>10</v>
      </c>
      <c r="DH443" s="40">
        <f t="shared" si="671"/>
        <v>3</v>
      </c>
      <c r="DI443" s="40">
        <f t="shared" si="672"/>
        <v>2</v>
      </c>
      <c r="DJ443" s="40">
        <f t="shared" si="673"/>
        <v>0</v>
      </c>
      <c r="DK443" s="39">
        <f t="shared" si="674"/>
        <v>0</v>
      </c>
      <c r="DL443" s="40">
        <f t="shared" si="675"/>
        <v>0</v>
      </c>
      <c r="DM443" s="40">
        <f t="shared" si="676"/>
        <v>0</v>
      </c>
      <c r="DN443" s="40">
        <f t="shared" si="677"/>
        <v>0</v>
      </c>
      <c r="DO443" s="40">
        <f t="shared" si="678"/>
        <v>0</v>
      </c>
      <c r="DP443" s="40">
        <f t="shared" si="679"/>
        <v>0</v>
      </c>
      <c r="DQ443" s="40">
        <f t="shared" si="680"/>
        <v>0</v>
      </c>
      <c r="DR443" s="40">
        <f t="shared" si="685"/>
        <v>0</v>
      </c>
      <c r="DS443" s="40">
        <f t="shared" si="686"/>
        <v>0</v>
      </c>
      <c r="DT443" s="40">
        <f t="shared" si="681"/>
        <v>0</v>
      </c>
      <c r="DU443" s="40">
        <f t="shared" si="682"/>
        <v>0</v>
      </c>
      <c r="DV443" s="40">
        <f t="shared" si="683"/>
        <v>0</v>
      </c>
      <c r="DW443" s="40">
        <f t="shared" si="684"/>
        <v>0</v>
      </c>
    </row>
    <row r="444" spans="1:127">
      <c r="A444" s="22" t="s">
        <v>33</v>
      </c>
      <c r="B444" s="26">
        <v>4902430734707</v>
      </c>
      <c r="C444" s="22" t="s">
        <v>38</v>
      </c>
      <c r="D444" s="22" t="s">
        <v>38</v>
      </c>
      <c r="E444" s="22">
        <v>359458</v>
      </c>
      <c r="F444" s="80" t="s">
        <v>532</v>
      </c>
      <c r="G444" s="25">
        <v>205</v>
      </c>
      <c r="H444" s="38">
        <f t="shared" si="629"/>
        <v>0</v>
      </c>
      <c r="I444" s="38">
        <f t="shared" si="630"/>
        <v>0</v>
      </c>
      <c r="J444" s="38">
        <f t="shared" si="631"/>
        <v>0</v>
      </c>
      <c r="K444" s="38">
        <f t="shared" si="632"/>
        <v>0</v>
      </c>
      <c r="L444" s="38">
        <f t="shared" si="633"/>
        <v>0</v>
      </c>
      <c r="M444" s="39">
        <f t="shared" si="634"/>
        <v>0</v>
      </c>
      <c r="N444" s="40">
        <f t="shared" si="635"/>
        <v>0</v>
      </c>
      <c r="O444" s="40">
        <f t="shared" si="636"/>
        <v>0</v>
      </c>
      <c r="P444" s="40">
        <f t="shared" si="637"/>
        <v>0</v>
      </c>
      <c r="Q444" s="40">
        <f t="shared" si="638"/>
        <v>0</v>
      </c>
      <c r="R444" s="40">
        <f t="shared" si="639"/>
        <v>0</v>
      </c>
      <c r="S444" s="40">
        <f t="shared" si="640"/>
        <v>0</v>
      </c>
      <c r="T444" s="40">
        <f t="shared" si="641"/>
        <v>0</v>
      </c>
      <c r="U444" s="40">
        <f t="shared" si="642"/>
        <v>0</v>
      </c>
      <c r="V444" s="40">
        <f t="shared" si="643"/>
        <v>0</v>
      </c>
      <c r="W444" s="40">
        <f t="shared" si="644"/>
        <v>0</v>
      </c>
      <c r="X444" s="40">
        <f t="shared" si="645"/>
        <v>0</v>
      </c>
      <c r="Y444" s="39">
        <f t="shared" si="646"/>
        <v>0</v>
      </c>
      <c r="Z444" s="40">
        <f t="shared" si="647"/>
        <v>0</v>
      </c>
      <c r="AA444" s="40">
        <f t="shared" si="648"/>
        <v>0</v>
      </c>
      <c r="AB444" s="40">
        <f t="shared" si="649"/>
        <v>0</v>
      </c>
      <c r="AC444" s="40">
        <f t="shared" si="650"/>
        <v>0</v>
      </c>
      <c r="AD444" s="40">
        <f t="shared" si="651"/>
        <v>0</v>
      </c>
      <c r="AE444" s="40">
        <f t="shared" si="652"/>
        <v>0</v>
      </c>
      <c r="AF444" s="40">
        <f t="shared" si="653"/>
        <v>0</v>
      </c>
      <c r="AG444" s="40">
        <f t="shared" si="654"/>
        <v>0</v>
      </c>
      <c r="AH444" s="40">
        <f t="shared" si="625"/>
        <v>0</v>
      </c>
      <c r="AI444" s="40">
        <f t="shared" si="626"/>
        <v>0</v>
      </c>
      <c r="AJ444" s="40">
        <f t="shared" si="627"/>
        <v>0</v>
      </c>
      <c r="AK444" s="39">
        <f t="shared" si="628"/>
        <v>0</v>
      </c>
      <c r="AL444" s="38">
        <v>0</v>
      </c>
      <c r="AM444" s="38">
        <v>0</v>
      </c>
      <c r="AN444" s="38">
        <v>0</v>
      </c>
      <c r="AO444" s="38">
        <v>0</v>
      </c>
      <c r="AP444" s="38">
        <v>0</v>
      </c>
      <c r="AQ444" s="39">
        <v>0</v>
      </c>
      <c r="AR444" s="40">
        <v>0</v>
      </c>
      <c r="AS444" s="40">
        <v>0</v>
      </c>
      <c r="AT444" s="40">
        <v>0</v>
      </c>
      <c r="AU444" s="40">
        <v>0</v>
      </c>
      <c r="AV444" s="40">
        <v>0</v>
      </c>
      <c r="AW444" s="40">
        <v>0</v>
      </c>
      <c r="AX444" s="40">
        <v>0</v>
      </c>
      <c r="AY444" s="40">
        <v>0</v>
      </c>
      <c r="AZ444" s="40">
        <v>0</v>
      </c>
      <c r="BA444" s="40">
        <v>0</v>
      </c>
      <c r="BB444" s="40">
        <v>0</v>
      </c>
      <c r="BC444" s="39">
        <v>0</v>
      </c>
      <c r="BD444" s="40">
        <v>0</v>
      </c>
      <c r="BE444" s="40">
        <v>0</v>
      </c>
      <c r="BF444" s="40">
        <v>0</v>
      </c>
      <c r="BG444" s="40">
        <v>0</v>
      </c>
      <c r="BH444" s="40">
        <v>0</v>
      </c>
      <c r="BI444" s="40">
        <v>0</v>
      </c>
      <c r="BJ444" s="40">
        <v>0</v>
      </c>
      <c r="BK444" s="40">
        <v>0</v>
      </c>
      <c r="BL444" s="40">
        <v>0</v>
      </c>
      <c r="BM444" s="40" t="s">
        <v>768</v>
      </c>
      <c r="BN444" s="40"/>
      <c r="BO444" s="39"/>
      <c r="BP444" s="21">
        <v>0</v>
      </c>
      <c r="BQ444" s="21">
        <v>0</v>
      </c>
      <c r="BR444" s="21">
        <v>0</v>
      </c>
      <c r="BS444" s="21">
        <v>0</v>
      </c>
      <c r="BT444" s="21">
        <v>0</v>
      </c>
      <c r="BU444" s="42">
        <v>0</v>
      </c>
      <c r="BV444" s="21">
        <v>0</v>
      </c>
      <c r="BW444" s="21">
        <v>0</v>
      </c>
      <c r="BX444" s="21">
        <v>0</v>
      </c>
      <c r="BY444" s="21">
        <v>0</v>
      </c>
      <c r="BZ444" s="21">
        <v>0</v>
      </c>
      <c r="CA444" s="21">
        <v>0</v>
      </c>
      <c r="CB444" s="21">
        <v>0</v>
      </c>
      <c r="CC444" s="21">
        <v>0</v>
      </c>
      <c r="CD444" s="21">
        <v>0</v>
      </c>
      <c r="CE444" s="21">
        <v>0</v>
      </c>
      <c r="CF444" s="21">
        <v>0</v>
      </c>
      <c r="CG444" s="42">
        <v>0</v>
      </c>
      <c r="CH444" s="21">
        <v>0</v>
      </c>
      <c r="CI444" s="21">
        <v>0</v>
      </c>
      <c r="CJ444" s="21">
        <v>0</v>
      </c>
      <c r="CK444" s="21">
        <v>0</v>
      </c>
      <c r="CL444" s="21">
        <v>0</v>
      </c>
      <c r="CM444" s="21">
        <v>0</v>
      </c>
      <c r="CN444" s="21">
        <v>0</v>
      </c>
      <c r="CO444" s="21">
        <v>0</v>
      </c>
      <c r="CP444" s="21">
        <f t="shared" si="655"/>
        <v>0</v>
      </c>
      <c r="CQ444" s="343">
        <f t="shared" si="656"/>
        <v>0</v>
      </c>
      <c r="CR444" s="40"/>
      <c r="CS444" s="39"/>
      <c r="CT444" s="38">
        <f t="shared" si="657"/>
        <v>0</v>
      </c>
      <c r="CU444" s="38">
        <f t="shared" si="658"/>
        <v>0</v>
      </c>
      <c r="CV444" s="38">
        <f t="shared" si="659"/>
        <v>0</v>
      </c>
      <c r="CW444" s="38">
        <f t="shared" si="660"/>
        <v>0</v>
      </c>
      <c r="CX444" s="38">
        <f t="shared" si="661"/>
        <v>0</v>
      </c>
      <c r="CY444" s="39">
        <f t="shared" si="662"/>
        <v>0</v>
      </c>
      <c r="CZ444" s="40">
        <f t="shared" si="663"/>
        <v>0</v>
      </c>
      <c r="DA444" s="40">
        <f t="shared" si="664"/>
        <v>0</v>
      </c>
      <c r="DB444" s="40">
        <f t="shared" si="665"/>
        <v>0</v>
      </c>
      <c r="DC444" s="40">
        <f t="shared" si="666"/>
        <v>0</v>
      </c>
      <c r="DD444" s="40">
        <f t="shared" si="667"/>
        <v>0</v>
      </c>
      <c r="DE444" s="40">
        <f t="shared" si="668"/>
        <v>0</v>
      </c>
      <c r="DF444" s="40">
        <f t="shared" si="669"/>
        <v>0</v>
      </c>
      <c r="DG444" s="40">
        <f t="shared" si="670"/>
        <v>0</v>
      </c>
      <c r="DH444" s="40">
        <f t="shared" si="671"/>
        <v>0</v>
      </c>
      <c r="DI444" s="40">
        <f t="shared" si="672"/>
        <v>0</v>
      </c>
      <c r="DJ444" s="40">
        <f t="shared" si="673"/>
        <v>0</v>
      </c>
      <c r="DK444" s="39">
        <f t="shared" si="674"/>
        <v>0</v>
      </c>
      <c r="DL444" s="40">
        <f t="shared" si="675"/>
        <v>0</v>
      </c>
      <c r="DM444" s="40">
        <f t="shared" si="676"/>
        <v>0</v>
      </c>
      <c r="DN444" s="40">
        <f t="shared" si="677"/>
        <v>0</v>
      </c>
      <c r="DO444" s="40">
        <f t="shared" si="678"/>
        <v>0</v>
      </c>
      <c r="DP444" s="40">
        <f t="shared" si="679"/>
        <v>0</v>
      </c>
      <c r="DQ444" s="40">
        <f t="shared" si="680"/>
        <v>0</v>
      </c>
      <c r="DR444" s="40">
        <f t="shared" si="685"/>
        <v>0</v>
      </c>
      <c r="DS444" s="40">
        <f t="shared" si="686"/>
        <v>0</v>
      </c>
      <c r="DT444" s="40">
        <f t="shared" si="681"/>
        <v>0</v>
      </c>
      <c r="DU444" s="40">
        <f t="shared" si="682"/>
        <v>0</v>
      </c>
      <c r="DV444" s="40">
        <f t="shared" si="683"/>
        <v>0</v>
      </c>
      <c r="DW444" s="40">
        <f t="shared" si="684"/>
        <v>0</v>
      </c>
    </row>
    <row r="445" spans="1:127">
      <c r="A445" s="22" t="s">
        <v>33</v>
      </c>
      <c r="B445" s="26">
        <v>4987176069962</v>
      </c>
      <c r="C445" s="22" t="s">
        <v>38</v>
      </c>
      <c r="D445" s="22" t="s">
        <v>38</v>
      </c>
      <c r="E445" s="22">
        <v>101070</v>
      </c>
      <c r="F445" s="80" t="s">
        <v>533</v>
      </c>
      <c r="G445" s="25">
        <v>205</v>
      </c>
      <c r="H445" s="38">
        <f t="shared" si="629"/>
        <v>8815</v>
      </c>
      <c r="I445" s="38">
        <f t="shared" si="630"/>
        <v>6150</v>
      </c>
      <c r="J445" s="38">
        <f t="shared" si="631"/>
        <v>3690</v>
      </c>
      <c r="K445" s="38">
        <f t="shared" si="632"/>
        <v>5740</v>
      </c>
      <c r="L445" s="38">
        <f t="shared" si="633"/>
        <v>11070</v>
      </c>
      <c r="M445" s="39">
        <f t="shared" si="634"/>
        <v>4305</v>
      </c>
      <c r="N445" s="40">
        <f t="shared" si="635"/>
        <v>7790</v>
      </c>
      <c r="O445" s="40">
        <f t="shared" si="636"/>
        <v>5125</v>
      </c>
      <c r="P445" s="40">
        <f t="shared" si="637"/>
        <v>2255</v>
      </c>
      <c r="Q445" s="40">
        <f t="shared" si="638"/>
        <v>2460</v>
      </c>
      <c r="R445" s="40">
        <f t="shared" si="639"/>
        <v>5740</v>
      </c>
      <c r="S445" s="40">
        <f t="shared" si="640"/>
        <v>1435</v>
      </c>
      <c r="T445" s="40">
        <f t="shared" si="641"/>
        <v>820</v>
      </c>
      <c r="U445" s="40">
        <f t="shared" si="642"/>
        <v>820</v>
      </c>
      <c r="V445" s="40">
        <f t="shared" si="643"/>
        <v>0</v>
      </c>
      <c r="W445" s="40">
        <f t="shared" si="644"/>
        <v>410</v>
      </c>
      <c r="X445" s="40">
        <f t="shared" si="645"/>
        <v>820</v>
      </c>
      <c r="Y445" s="39">
        <f t="shared" si="646"/>
        <v>0</v>
      </c>
      <c r="Z445" s="40">
        <f t="shared" si="647"/>
        <v>0</v>
      </c>
      <c r="AA445" s="40">
        <f t="shared" si="648"/>
        <v>0</v>
      </c>
      <c r="AB445" s="40">
        <f t="shared" si="649"/>
        <v>0</v>
      </c>
      <c r="AC445" s="40">
        <f t="shared" si="650"/>
        <v>0</v>
      </c>
      <c r="AD445" s="40">
        <f t="shared" si="651"/>
        <v>0</v>
      </c>
      <c r="AE445" s="40">
        <f t="shared" si="652"/>
        <v>0</v>
      </c>
      <c r="AF445" s="40">
        <f t="shared" si="653"/>
        <v>0</v>
      </c>
      <c r="AG445" s="40">
        <f t="shared" si="654"/>
        <v>0</v>
      </c>
      <c r="AH445" s="40">
        <f t="shared" si="625"/>
        <v>0</v>
      </c>
      <c r="AI445" s="40">
        <f t="shared" si="626"/>
        <v>0</v>
      </c>
      <c r="AJ445" s="40">
        <f t="shared" si="627"/>
        <v>0</v>
      </c>
      <c r="AK445" s="39">
        <f t="shared" si="628"/>
        <v>0</v>
      </c>
      <c r="AL445" s="38">
        <v>33</v>
      </c>
      <c r="AM445" s="38">
        <v>28</v>
      </c>
      <c r="AN445" s="38">
        <v>15</v>
      </c>
      <c r="AO445" s="38">
        <v>23</v>
      </c>
      <c r="AP445" s="38">
        <v>34</v>
      </c>
      <c r="AQ445" s="39">
        <v>19</v>
      </c>
      <c r="AR445" s="40">
        <v>15</v>
      </c>
      <c r="AS445" s="40">
        <v>20</v>
      </c>
      <c r="AT445" s="40">
        <v>9</v>
      </c>
      <c r="AU445" s="40">
        <v>6</v>
      </c>
      <c r="AV445" s="40">
        <v>24</v>
      </c>
      <c r="AW445" s="40">
        <v>7</v>
      </c>
      <c r="AX445" s="40">
        <v>4</v>
      </c>
      <c r="AY445" s="40">
        <v>4</v>
      </c>
      <c r="AZ445" s="40">
        <v>0</v>
      </c>
      <c r="BA445" s="40">
        <v>2</v>
      </c>
      <c r="BB445" s="40">
        <v>4</v>
      </c>
      <c r="BC445" s="39">
        <v>0</v>
      </c>
      <c r="BD445" s="40">
        <v>0</v>
      </c>
      <c r="BE445" s="40">
        <v>0</v>
      </c>
      <c r="BF445" s="40">
        <v>0</v>
      </c>
      <c r="BG445" s="40">
        <v>0</v>
      </c>
      <c r="BH445" s="40">
        <v>0</v>
      </c>
      <c r="BI445" s="40">
        <v>0</v>
      </c>
      <c r="BJ445" s="40">
        <v>0</v>
      </c>
      <c r="BK445" s="40">
        <v>0</v>
      </c>
      <c r="BL445" s="40">
        <v>0</v>
      </c>
      <c r="BM445" s="40">
        <v>0</v>
      </c>
      <c r="BN445" s="40"/>
      <c r="BO445" s="39"/>
      <c r="BP445" s="21">
        <v>10</v>
      </c>
      <c r="BQ445" s="21">
        <v>2</v>
      </c>
      <c r="BR445" s="21">
        <v>3</v>
      </c>
      <c r="BS445" s="21">
        <v>5</v>
      </c>
      <c r="BT445" s="21">
        <v>20</v>
      </c>
      <c r="BU445" s="42">
        <v>2</v>
      </c>
      <c r="BV445" s="21">
        <v>23</v>
      </c>
      <c r="BW445" s="21">
        <v>5</v>
      </c>
      <c r="BX445" s="21">
        <v>2</v>
      </c>
      <c r="BY445" s="21">
        <v>6</v>
      </c>
      <c r="BZ445" s="21">
        <v>4</v>
      </c>
      <c r="CA445" s="21">
        <v>0</v>
      </c>
      <c r="CB445" s="21">
        <v>0</v>
      </c>
      <c r="CC445" s="21">
        <v>0</v>
      </c>
      <c r="CD445" s="21">
        <v>0</v>
      </c>
      <c r="CE445" s="21">
        <v>0</v>
      </c>
      <c r="CF445" s="21">
        <v>0</v>
      </c>
      <c r="CG445" s="42">
        <v>0</v>
      </c>
      <c r="CH445" s="21">
        <v>0</v>
      </c>
      <c r="CI445" s="21">
        <v>0</v>
      </c>
      <c r="CJ445" s="21">
        <v>0</v>
      </c>
      <c r="CK445" s="21">
        <v>0</v>
      </c>
      <c r="CL445" s="21">
        <v>0</v>
      </c>
      <c r="CM445" s="21">
        <v>0</v>
      </c>
      <c r="CN445" s="21">
        <v>0</v>
      </c>
      <c r="CO445" s="21">
        <v>0</v>
      </c>
      <c r="CP445" s="21">
        <f t="shared" si="655"/>
        <v>0</v>
      </c>
      <c r="CQ445" s="343">
        <f t="shared" si="656"/>
        <v>0</v>
      </c>
      <c r="CR445" s="40"/>
      <c r="CS445" s="39"/>
      <c r="CT445" s="38">
        <f t="shared" si="657"/>
        <v>43</v>
      </c>
      <c r="CU445" s="38">
        <f t="shared" si="658"/>
        <v>30</v>
      </c>
      <c r="CV445" s="38">
        <f t="shared" si="659"/>
        <v>18</v>
      </c>
      <c r="CW445" s="38">
        <f t="shared" si="660"/>
        <v>28</v>
      </c>
      <c r="CX445" s="38">
        <f t="shared" si="661"/>
        <v>54</v>
      </c>
      <c r="CY445" s="39">
        <f t="shared" si="662"/>
        <v>21</v>
      </c>
      <c r="CZ445" s="40">
        <f t="shared" si="663"/>
        <v>38</v>
      </c>
      <c r="DA445" s="40">
        <f t="shared" si="664"/>
        <v>25</v>
      </c>
      <c r="DB445" s="40">
        <f t="shared" si="665"/>
        <v>11</v>
      </c>
      <c r="DC445" s="40">
        <f t="shared" si="666"/>
        <v>12</v>
      </c>
      <c r="DD445" s="40">
        <f t="shared" si="667"/>
        <v>28</v>
      </c>
      <c r="DE445" s="40">
        <f t="shared" si="668"/>
        <v>7</v>
      </c>
      <c r="DF445" s="40">
        <f t="shared" si="669"/>
        <v>4</v>
      </c>
      <c r="DG445" s="40">
        <f t="shared" si="670"/>
        <v>4</v>
      </c>
      <c r="DH445" s="40">
        <f t="shared" si="671"/>
        <v>0</v>
      </c>
      <c r="DI445" s="40">
        <f t="shared" si="672"/>
        <v>2</v>
      </c>
      <c r="DJ445" s="40">
        <f t="shared" si="673"/>
        <v>4</v>
      </c>
      <c r="DK445" s="39">
        <f t="shared" si="674"/>
        <v>0</v>
      </c>
      <c r="DL445" s="40">
        <f t="shared" si="675"/>
        <v>0</v>
      </c>
      <c r="DM445" s="40">
        <f t="shared" si="676"/>
        <v>0</v>
      </c>
      <c r="DN445" s="40">
        <f t="shared" si="677"/>
        <v>0</v>
      </c>
      <c r="DO445" s="40">
        <f t="shared" si="678"/>
        <v>0</v>
      </c>
      <c r="DP445" s="40">
        <f t="shared" si="679"/>
        <v>0</v>
      </c>
      <c r="DQ445" s="40">
        <f t="shared" si="680"/>
        <v>0</v>
      </c>
      <c r="DR445" s="40">
        <f t="shared" si="685"/>
        <v>0</v>
      </c>
      <c r="DS445" s="40">
        <f t="shared" si="686"/>
        <v>0</v>
      </c>
      <c r="DT445" s="40">
        <f t="shared" si="681"/>
        <v>0</v>
      </c>
      <c r="DU445" s="40">
        <f t="shared" si="682"/>
        <v>0</v>
      </c>
      <c r="DV445" s="40">
        <f t="shared" si="683"/>
        <v>0</v>
      </c>
      <c r="DW445" s="40">
        <f t="shared" si="684"/>
        <v>0</v>
      </c>
    </row>
    <row r="446" spans="1:127">
      <c r="A446" s="22" t="s">
        <v>33</v>
      </c>
      <c r="B446" s="26">
        <v>4902430892582</v>
      </c>
      <c r="C446" s="22" t="s">
        <v>38</v>
      </c>
      <c r="D446" s="22" t="s">
        <v>38</v>
      </c>
      <c r="E446" s="22">
        <v>359351</v>
      </c>
      <c r="F446" s="80" t="s">
        <v>534</v>
      </c>
      <c r="G446" s="25">
        <v>205</v>
      </c>
      <c r="H446" s="38">
        <f t="shared" si="629"/>
        <v>0</v>
      </c>
      <c r="I446" s="38">
        <f t="shared" si="630"/>
        <v>0</v>
      </c>
      <c r="J446" s="38">
        <f t="shared" si="631"/>
        <v>0</v>
      </c>
      <c r="K446" s="38">
        <f t="shared" si="632"/>
        <v>0</v>
      </c>
      <c r="L446" s="38">
        <f t="shared" si="633"/>
        <v>0</v>
      </c>
      <c r="M446" s="39">
        <f t="shared" si="634"/>
        <v>0</v>
      </c>
      <c r="N446" s="40">
        <f t="shared" si="635"/>
        <v>0</v>
      </c>
      <c r="O446" s="40">
        <f t="shared" si="636"/>
        <v>0</v>
      </c>
      <c r="P446" s="40">
        <f t="shared" si="637"/>
        <v>0</v>
      </c>
      <c r="Q446" s="40">
        <f t="shared" si="638"/>
        <v>0</v>
      </c>
      <c r="R446" s="40">
        <f t="shared" si="639"/>
        <v>0</v>
      </c>
      <c r="S446" s="40">
        <f t="shared" si="640"/>
        <v>0</v>
      </c>
      <c r="T446" s="40">
        <f t="shared" si="641"/>
        <v>0</v>
      </c>
      <c r="U446" s="40">
        <f t="shared" si="642"/>
        <v>0</v>
      </c>
      <c r="V446" s="40">
        <f t="shared" si="643"/>
        <v>0</v>
      </c>
      <c r="W446" s="40">
        <f t="shared" si="644"/>
        <v>0</v>
      </c>
      <c r="X446" s="40">
        <f t="shared" si="645"/>
        <v>0</v>
      </c>
      <c r="Y446" s="39">
        <f t="shared" si="646"/>
        <v>0</v>
      </c>
      <c r="Z446" s="40">
        <f t="shared" si="647"/>
        <v>0</v>
      </c>
      <c r="AA446" s="40">
        <f t="shared" si="648"/>
        <v>0</v>
      </c>
      <c r="AB446" s="40">
        <f t="shared" si="649"/>
        <v>0</v>
      </c>
      <c r="AC446" s="40">
        <f t="shared" si="650"/>
        <v>0</v>
      </c>
      <c r="AD446" s="40">
        <f t="shared" si="651"/>
        <v>0</v>
      </c>
      <c r="AE446" s="40">
        <f t="shared" si="652"/>
        <v>0</v>
      </c>
      <c r="AF446" s="40">
        <f t="shared" si="653"/>
        <v>0</v>
      </c>
      <c r="AG446" s="40">
        <f t="shared" si="654"/>
        <v>0</v>
      </c>
      <c r="AH446" s="40">
        <f t="shared" si="625"/>
        <v>0</v>
      </c>
      <c r="AI446" s="40">
        <f t="shared" si="626"/>
        <v>0</v>
      </c>
      <c r="AJ446" s="40">
        <f t="shared" si="627"/>
        <v>0</v>
      </c>
      <c r="AK446" s="39">
        <f t="shared" si="628"/>
        <v>0</v>
      </c>
      <c r="AL446" s="38">
        <v>0</v>
      </c>
      <c r="AM446" s="38">
        <v>0</v>
      </c>
      <c r="AN446" s="38">
        <v>0</v>
      </c>
      <c r="AO446" s="38">
        <v>0</v>
      </c>
      <c r="AP446" s="38">
        <v>0</v>
      </c>
      <c r="AQ446" s="39">
        <v>0</v>
      </c>
      <c r="AR446" s="40">
        <v>0</v>
      </c>
      <c r="AS446" s="40">
        <v>0</v>
      </c>
      <c r="AT446" s="40">
        <v>0</v>
      </c>
      <c r="AU446" s="40">
        <v>0</v>
      </c>
      <c r="AV446" s="40">
        <v>0</v>
      </c>
      <c r="AW446" s="40">
        <v>0</v>
      </c>
      <c r="AX446" s="40">
        <v>0</v>
      </c>
      <c r="AY446" s="40">
        <v>0</v>
      </c>
      <c r="AZ446" s="40">
        <v>0</v>
      </c>
      <c r="BA446" s="40">
        <v>0</v>
      </c>
      <c r="BB446" s="40">
        <v>0</v>
      </c>
      <c r="BC446" s="39">
        <v>0</v>
      </c>
      <c r="BD446" s="40">
        <v>0</v>
      </c>
      <c r="BE446" s="40">
        <v>0</v>
      </c>
      <c r="BF446" s="40">
        <v>0</v>
      </c>
      <c r="BG446" s="40">
        <v>0</v>
      </c>
      <c r="BH446" s="40">
        <v>0</v>
      </c>
      <c r="BI446" s="40">
        <v>0</v>
      </c>
      <c r="BJ446" s="40">
        <v>0</v>
      </c>
      <c r="BK446" s="40">
        <v>0</v>
      </c>
      <c r="BL446" s="40">
        <v>0</v>
      </c>
      <c r="BM446" s="40" t="s">
        <v>768</v>
      </c>
      <c r="BN446" s="40"/>
      <c r="BO446" s="39"/>
      <c r="BP446" s="21">
        <v>0</v>
      </c>
      <c r="BQ446" s="21">
        <v>0</v>
      </c>
      <c r="BR446" s="21">
        <v>0</v>
      </c>
      <c r="BS446" s="21">
        <v>0</v>
      </c>
      <c r="BT446" s="21">
        <v>0</v>
      </c>
      <c r="BU446" s="42">
        <v>0</v>
      </c>
      <c r="BV446" s="21">
        <v>0</v>
      </c>
      <c r="BW446" s="21">
        <v>0</v>
      </c>
      <c r="BX446" s="21">
        <v>0</v>
      </c>
      <c r="BY446" s="21">
        <v>0</v>
      </c>
      <c r="BZ446" s="21">
        <v>0</v>
      </c>
      <c r="CA446" s="21">
        <v>0</v>
      </c>
      <c r="CB446" s="21">
        <v>0</v>
      </c>
      <c r="CC446" s="21">
        <v>0</v>
      </c>
      <c r="CD446" s="21">
        <v>0</v>
      </c>
      <c r="CE446" s="21">
        <v>0</v>
      </c>
      <c r="CF446" s="21">
        <v>0</v>
      </c>
      <c r="CG446" s="42">
        <v>0</v>
      </c>
      <c r="CH446" s="21">
        <v>0</v>
      </c>
      <c r="CI446" s="21">
        <v>0</v>
      </c>
      <c r="CJ446" s="21">
        <v>0</v>
      </c>
      <c r="CK446" s="21">
        <v>0</v>
      </c>
      <c r="CL446" s="21">
        <v>0</v>
      </c>
      <c r="CM446" s="21">
        <v>0</v>
      </c>
      <c r="CN446" s="21">
        <v>0</v>
      </c>
      <c r="CO446" s="21">
        <v>0</v>
      </c>
      <c r="CP446" s="21">
        <f t="shared" si="655"/>
        <v>0</v>
      </c>
      <c r="CQ446" s="343">
        <f t="shared" si="656"/>
        <v>0</v>
      </c>
      <c r="CR446" s="40"/>
      <c r="CS446" s="39"/>
      <c r="CT446" s="38">
        <f t="shared" si="657"/>
        <v>0</v>
      </c>
      <c r="CU446" s="38">
        <f t="shared" si="658"/>
        <v>0</v>
      </c>
      <c r="CV446" s="38">
        <f t="shared" si="659"/>
        <v>0</v>
      </c>
      <c r="CW446" s="38">
        <f t="shared" si="660"/>
        <v>0</v>
      </c>
      <c r="CX446" s="38">
        <f t="shared" si="661"/>
        <v>0</v>
      </c>
      <c r="CY446" s="39">
        <f t="shared" si="662"/>
        <v>0</v>
      </c>
      <c r="CZ446" s="40">
        <f t="shared" si="663"/>
        <v>0</v>
      </c>
      <c r="DA446" s="40">
        <f t="shared" si="664"/>
        <v>0</v>
      </c>
      <c r="DB446" s="40">
        <f t="shared" si="665"/>
        <v>0</v>
      </c>
      <c r="DC446" s="40">
        <f t="shared" si="666"/>
        <v>0</v>
      </c>
      <c r="DD446" s="40">
        <f t="shared" si="667"/>
        <v>0</v>
      </c>
      <c r="DE446" s="40">
        <f t="shared" si="668"/>
        <v>0</v>
      </c>
      <c r="DF446" s="40">
        <f t="shared" si="669"/>
        <v>0</v>
      </c>
      <c r="DG446" s="40">
        <f t="shared" si="670"/>
        <v>0</v>
      </c>
      <c r="DH446" s="40">
        <f t="shared" si="671"/>
        <v>0</v>
      </c>
      <c r="DI446" s="40">
        <f t="shared" si="672"/>
        <v>0</v>
      </c>
      <c r="DJ446" s="40">
        <f t="shared" si="673"/>
        <v>0</v>
      </c>
      <c r="DK446" s="39">
        <f t="shared" si="674"/>
        <v>0</v>
      </c>
      <c r="DL446" s="40">
        <f t="shared" si="675"/>
        <v>0</v>
      </c>
      <c r="DM446" s="40">
        <f t="shared" si="676"/>
        <v>0</v>
      </c>
      <c r="DN446" s="40">
        <f t="shared" si="677"/>
        <v>0</v>
      </c>
      <c r="DO446" s="40">
        <f t="shared" si="678"/>
        <v>0</v>
      </c>
      <c r="DP446" s="40">
        <f t="shared" si="679"/>
        <v>0</v>
      </c>
      <c r="DQ446" s="40">
        <f t="shared" si="680"/>
        <v>0</v>
      </c>
      <c r="DR446" s="40">
        <f t="shared" si="685"/>
        <v>0</v>
      </c>
      <c r="DS446" s="40">
        <f t="shared" si="686"/>
        <v>0</v>
      </c>
      <c r="DT446" s="40">
        <f t="shared" si="681"/>
        <v>0</v>
      </c>
      <c r="DU446" s="40">
        <f t="shared" si="682"/>
        <v>0</v>
      </c>
      <c r="DV446" s="40">
        <f t="shared" si="683"/>
        <v>0</v>
      </c>
      <c r="DW446" s="40">
        <f t="shared" si="684"/>
        <v>0</v>
      </c>
    </row>
    <row r="447" spans="1:127">
      <c r="A447" s="22" t="s">
        <v>33</v>
      </c>
      <c r="B447" s="26">
        <v>4902430807777</v>
      </c>
      <c r="C447" s="22" t="s">
        <v>38</v>
      </c>
      <c r="D447" s="22" t="s">
        <v>38</v>
      </c>
      <c r="E447" s="22">
        <v>359364</v>
      </c>
      <c r="F447" s="80" t="s">
        <v>535</v>
      </c>
      <c r="G447" s="25">
        <v>205</v>
      </c>
      <c r="H447" s="38">
        <f t="shared" si="629"/>
        <v>48175</v>
      </c>
      <c r="I447" s="38">
        <f t="shared" si="630"/>
        <v>20295</v>
      </c>
      <c r="J447" s="38">
        <f t="shared" si="631"/>
        <v>15170</v>
      </c>
      <c r="K447" s="38">
        <f t="shared" si="632"/>
        <v>24805</v>
      </c>
      <c r="L447" s="38">
        <f t="shared" si="633"/>
        <v>45920</v>
      </c>
      <c r="M447" s="39">
        <f t="shared" si="634"/>
        <v>17015</v>
      </c>
      <c r="N447" s="40">
        <f t="shared" si="635"/>
        <v>20500</v>
      </c>
      <c r="O447" s="40">
        <f t="shared" si="636"/>
        <v>40795</v>
      </c>
      <c r="P447" s="40">
        <f t="shared" si="637"/>
        <v>21730</v>
      </c>
      <c r="Q447" s="40">
        <f t="shared" si="638"/>
        <v>18040</v>
      </c>
      <c r="R447" s="40">
        <f t="shared" si="639"/>
        <v>35260</v>
      </c>
      <c r="S447" s="40">
        <f t="shared" si="640"/>
        <v>21730</v>
      </c>
      <c r="T447" s="40">
        <f t="shared" si="641"/>
        <v>40385</v>
      </c>
      <c r="U447" s="40">
        <f t="shared" si="642"/>
        <v>26650</v>
      </c>
      <c r="V447" s="40">
        <f t="shared" si="643"/>
        <v>14965</v>
      </c>
      <c r="W447" s="40">
        <f t="shared" si="644"/>
        <v>31980</v>
      </c>
      <c r="X447" s="40">
        <f t="shared" si="645"/>
        <v>36490</v>
      </c>
      <c r="Y447" s="39">
        <f t="shared" si="646"/>
        <v>19885</v>
      </c>
      <c r="Z447" s="40">
        <f t="shared" si="647"/>
        <v>20705</v>
      </c>
      <c r="AA447" s="40">
        <f t="shared" si="648"/>
        <v>7585</v>
      </c>
      <c r="AB447" s="40">
        <f t="shared" si="649"/>
        <v>0</v>
      </c>
      <c r="AC447" s="40">
        <f t="shared" si="650"/>
        <v>0</v>
      </c>
      <c r="AD447" s="40">
        <f t="shared" si="651"/>
        <v>205</v>
      </c>
      <c r="AE447" s="40">
        <f t="shared" si="652"/>
        <v>0</v>
      </c>
      <c r="AF447" s="40">
        <f t="shared" si="653"/>
        <v>0</v>
      </c>
      <c r="AG447" s="40">
        <f t="shared" si="654"/>
        <v>205</v>
      </c>
      <c r="AH447" s="40">
        <f t="shared" si="625"/>
        <v>0</v>
      </c>
      <c r="AI447" s="40">
        <f t="shared" si="626"/>
        <v>0</v>
      </c>
      <c r="AJ447" s="40">
        <f t="shared" si="627"/>
        <v>0</v>
      </c>
      <c r="AK447" s="39">
        <f t="shared" si="628"/>
        <v>0</v>
      </c>
      <c r="AL447" s="38">
        <v>235</v>
      </c>
      <c r="AM447" s="38">
        <v>99</v>
      </c>
      <c r="AN447" s="38">
        <v>74</v>
      </c>
      <c r="AO447" s="38">
        <v>121</v>
      </c>
      <c r="AP447" s="38">
        <v>224</v>
      </c>
      <c r="AQ447" s="39">
        <v>83</v>
      </c>
      <c r="AR447" s="40">
        <v>100</v>
      </c>
      <c r="AS447" s="40">
        <v>199</v>
      </c>
      <c r="AT447" s="40">
        <v>106</v>
      </c>
      <c r="AU447" s="40">
        <v>88</v>
      </c>
      <c r="AV447" s="40">
        <v>172</v>
      </c>
      <c r="AW447" s="40">
        <v>102</v>
      </c>
      <c r="AX447" s="40">
        <v>159</v>
      </c>
      <c r="AY447" s="40">
        <v>115</v>
      </c>
      <c r="AZ447" s="40">
        <v>62</v>
      </c>
      <c r="BA447" s="40">
        <v>130</v>
      </c>
      <c r="BB447" s="40">
        <v>176</v>
      </c>
      <c r="BC447" s="39">
        <v>97</v>
      </c>
      <c r="BD447" s="40">
        <v>101</v>
      </c>
      <c r="BE447" s="40">
        <v>37</v>
      </c>
      <c r="BF447" s="40">
        <v>0</v>
      </c>
      <c r="BG447" s="40">
        <v>0</v>
      </c>
      <c r="BH447" s="40">
        <v>1</v>
      </c>
      <c r="BI447" s="40">
        <v>0</v>
      </c>
      <c r="BJ447" s="40">
        <v>0</v>
      </c>
      <c r="BK447" s="40">
        <v>1</v>
      </c>
      <c r="BL447" s="40">
        <v>0</v>
      </c>
      <c r="BM447" s="40">
        <v>0</v>
      </c>
      <c r="BN447" s="40"/>
      <c r="BO447" s="39"/>
      <c r="BP447" s="21">
        <v>0</v>
      </c>
      <c r="BQ447" s="21">
        <v>0</v>
      </c>
      <c r="BR447" s="21">
        <v>0</v>
      </c>
      <c r="BS447" s="21">
        <v>0</v>
      </c>
      <c r="BT447" s="21">
        <v>0</v>
      </c>
      <c r="BU447" s="42">
        <v>0</v>
      </c>
      <c r="BV447" s="21">
        <v>0</v>
      </c>
      <c r="BW447" s="21">
        <v>0</v>
      </c>
      <c r="BX447" s="21">
        <v>0</v>
      </c>
      <c r="BY447" s="21">
        <v>0</v>
      </c>
      <c r="BZ447" s="21">
        <v>0</v>
      </c>
      <c r="CA447" s="21">
        <v>4</v>
      </c>
      <c r="CB447" s="21">
        <v>38</v>
      </c>
      <c r="CC447" s="21">
        <v>15</v>
      </c>
      <c r="CD447" s="21">
        <v>11</v>
      </c>
      <c r="CE447" s="21">
        <v>26</v>
      </c>
      <c r="CF447" s="21">
        <v>2</v>
      </c>
      <c r="CG447" s="42">
        <v>0</v>
      </c>
      <c r="CH447" s="21">
        <v>0</v>
      </c>
      <c r="CI447" s="21">
        <v>0</v>
      </c>
      <c r="CJ447" s="21">
        <v>0</v>
      </c>
      <c r="CK447" s="21">
        <v>0</v>
      </c>
      <c r="CL447" s="21">
        <v>0</v>
      </c>
      <c r="CM447" s="21">
        <v>0</v>
      </c>
      <c r="CN447" s="21">
        <v>0</v>
      </c>
      <c r="CO447" s="21">
        <v>0</v>
      </c>
      <c r="CP447" s="21">
        <f t="shared" si="655"/>
        <v>0</v>
      </c>
      <c r="CQ447" s="343">
        <f t="shared" si="656"/>
        <v>0</v>
      </c>
      <c r="CR447" s="40"/>
      <c r="CS447" s="39"/>
      <c r="CT447" s="38">
        <f t="shared" si="657"/>
        <v>235</v>
      </c>
      <c r="CU447" s="38">
        <f t="shared" si="658"/>
        <v>99</v>
      </c>
      <c r="CV447" s="38">
        <f t="shared" si="659"/>
        <v>74</v>
      </c>
      <c r="CW447" s="38">
        <f t="shared" si="660"/>
        <v>121</v>
      </c>
      <c r="CX447" s="38">
        <f t="shared" si="661"/>
        <v>224</v>
      </c>
      <c r="CY447" s="39">
        <f t="shared" si="662"/>
        <v>83</v>
      </c>
      <c r="CZ447" s="40">
        <f t="shared" si="663"/>
        <v>100</v>
      </c>
      <c r="DA447" s="40">
        <f t="shared" si="664"/>
        <v>199</v>
      </c>
      <c r="DB447" s="40">
        <f t="shared" si="665"/>
        <v>106</v>
      </c>
      <c r="DC447" s="40">
        <f t="shared" si="666"/>
        <v>88</v>
      </c>
      <c r="DD447" s="40">
        <f t="shared" si="667"/>
        <v>172</v>
      </c>
      <c r="DE447" s="40">
        <f t="shared" si="668"/>
        <v>106</v>
      </c>
      <c r="DF447" s="40">
        <f t="shared" si="669"/>
        <v>197</v>
      </c>
      <c r="DG447" s="40">
        <f t="shared" si="670"/>
        <v>130</v>
      </c>
      <c r="DH447" s="40">
        <f t="shared" si="671"/>
        <v>73</v>
      </c>
      <c r="DI447" s="40">
        <f t="shared" si="672"/>
        <v>156</v>
      </c>
      <c r="DJ447" s="40">
        <f t="shared" si="673"/>
        <v>178</v>
      </c>
      <c r="DK447" s="39">
        <f t="shared" si="674"/>
        <v>97</v>
      </c>
      <c r="DL447" s="40">
        <f t="shared" si="675"/>
        <v>101</v>
      </c>
      <c r="DM447" s="40">
        <f t="shared" si="676"/>
        <v>37</v>
      </c>
      <c r="DN447" s="40">
        <f t="shared" si="677"/>
        <v>0</v>
      </c>
      <c r="DO447" s="40">
        <f t="shared" si="678"/>
        <v>0</v>
      </c>
      <c r="DP447" s="40">
        <f t="shared" si="679"/>
        <v>1</v>
      </c>
      <c r="DQ447" s="40">
        <f t="shared" si="680"/>
        <v>0</v>
      </c>
      <c r="DR447" s="40">
        <f t="shared" si="685"/>
        <v>0</v>
      </c>
      <c r="DS447" s="40">
        <f t="shared" si="686"/>
        <v>1</v>
      </c>
      <c r="DT447" s="40">
        <f t="shared" si="681"/>
        <v>0</v>
      </c>
      <c r="DU447" s="40">
        <f t="shared" si="682"/>
        <v>0</v>
      </c>
      <c r="DV447" s="40">
        <f t="shared" si="683"/>
        <v>0</v>
      </c>
      <c r="DW447" s="40">
        <f t="shared" si="684"/>
        <v>0</v>
      </c>
    </row>
    <row r="448" spans="1:127">
      <c r="A448" s="22" t="s">
        <v>33</v>
      </c>
      <c r="B448" s="26">
        <v>4902430881630</v>
      </c>
      <c r="C448" s="22" t="s">
        <v>38</v>
      </c>
      <c r="D448" s="22" t="s">
        <v>38</v>
      </c>
      <c r="E448" s="22">
        <v>238386</v>
      </c>
      <c r="F448" s="80" t="s">
        <v>536</v>
      </c>
      <c r="G448" s="25">
        <v>304</v>
      </c>
      <c r="H448" s="38">
        <f t="shared" si="629"/>
        <v>0</v>
      </c>
      <c r="I448" s="38">
        <f t="shared" si="630"/>
        <v>0</v>
      </c>
      <c r="J448" s="38">
        <f t="shared" si="631"/>
        <v>0</v>
      </c>
      <c r="K448" s="38">
        <f t="shared" si="632"/>
        <v>0</v>
      </c>
      <c r="L448" s="38">
        <f t="shared" si="633"/>
        <v>0</v>
      </c>
      <c r="M448" s="39">
        <f t="shared" si="634"/>
        <v>0</v>
      </c>
      <c r="N448" s="40">
        <f t="shared" si="635"/>
        <v>0</v>
      </c>
      <c r="O448" s="40">
        <f t="shared" si="636"/>
        <v>0</v>
      </c>
      <c r="P448" s="40">
        <f t="shared" si="637"/>
        <v>0</v>
      </c>
      <c r="Q448" s="40">
        <f t="shared" si="638"/>
        <v>0</v>
      </c>
      <c r="R448" s="40">
        <f t="shared" si="639"/>
        <v>0</v>
      </c>
      <c r="S448" s="40">
        <f t="shared" si="640"/>
        <v>0</v>
      </c>
      <c r="T448" s="40">
        <f t="shared" si="641"/>
        <v>0</v>
      </c>
      <c r="U448" s="40">
        <f t="shared" si="642"/>
        <v>0</v>
      </c>
      <c r="V448" s="40">
        <f t="shared" si="643"/>
        <v>0</v>
      </c>
      <c r="W448" s="40">
        <f t="shared" si="644"/>
        <v>0</v>
      </c>
      <c r="X448" s="40">
        <f t="shared" si="645"/>
        <v>0</v>
      </c>
      <c r="Y448" s="39">
        <f t="shared" si="646"/>
        <v>0</v>
      </c>
      <c r="Z448" s="40">
        <f t="shared" si="647"/>
        <v>0</v>
      </c>
      <c r="AA448" s="40">
        <f t="shared" si="648"/>
        <v>0</v>
      </c>
      <c r="AB448" s="40">
        <f t="shared" si="649"/>
        <v>0</v>
      </c>
      <c r="AC448" s="40">
        <f t="shared" si="650"/>
        <v>0</v>
      </c>
      <c r="AD448" s="40">
        <f t="shared" si="651"/>
        <v>0</v>
      </c>
      <c r="AE448" s="40">
        <f t="shared" si="652"/>
        <v>0</v>
      </c>
      <c r="AF448" s="40">
        <f t="shared" si="653"/>
        <v>0</v>
      </c>
      <c r="AG448" s="40">
        <f t="shared" si="654"/>
        <v>0</v>
      </c>
      <c r="AH448" s="40">
        <f t="shared" ref="AH448:AH511" si="687">DT448*$G448</f>
        <v>0</v>
      </c>
      <c r="AI448" s="40">
        <f t="shared" ref="AI448:AI511" si="688">DU448*$G448</f>
        <v>0</v>
      </c>
      <c r="AJ448" s="40">
        <f t="shared" ref="AJ448:AJ511" si="689">DV448*$G448</f>
        <v>0</v>
      </c>
      <c r="AK448" s="39">
        <f t="shared" ref="AK448:AK511" si="690">DW448*$G448</f>
        <v>0</v>
      </c>
      <c r="AL448" s="38">
        <v>0</v>
      </c>
      <c r="AM448" s="38">
        <v>0</v>
      </c>
      <c r="AN448" s="38">
        <v>0</v>
      </c>
      <c r="AO448" s="38">
        <v>0</v>
      </c>
      <c r="AP448" s="38">
        <v>0</v>
      </c>
      <c r="AQ448" s="39">
        <v>0</v>
      </c>
      <c r="AR448" s="40">
        <v>0</v>
      </c>
      <c r="AS448" s="40">
        <v>0</v>
      </c>
      <c r="AT448" s="40">
        <v>0</v>
      </c>
      <c r="AU448" s="40">
        <v>0</v>
      </c>
      <c r="AV448" s="40">
        <v>0</v>
      </c>
      <c r="AW448" s="40">
        <v>0</v>
      </c>
      <c r="AX448" s="40">
        <v>0</v>
      </c>
      <c r="AY448" s="40">
        <v>0</v>
      </c>
      <c r="AZ448" s="40">
        <v>0</v>
      </c>
      <c r="BA448" s="40">
        <v>0</v>
      </c>
      <c r="BB448" s="40">
        <v>0</v>
      </c>
      <c r="BC448" s="39">
        <v>0</v>
      </c>
      <c r="BD448" s="40">
        <v>0</v>
      </c>
      <c r="BE448" s="40">
        <v>0</v>
      </c>
      <c r="BF448" s="40">
        <v>0</v>
      </c>
      <c r="BG448" s="40">
        <v>0</v>
      </c>
      <c r="BH448" s="40">
        <v>0</v>
      </c>
      <c r="BI448" s="40">
        <v>0</v>
      </c>
      <c r="BJ448" s="40">
        <v>0</v>
      </c>
      <c r="BK448" s="40">
        <v>0</v>
      </c>
      <c r="BL448" s="40">
        <v>0</v>
      </c>
      <c r="BM448" s="40" t="s">
        <v>768</v>
      </c>
      <c r="BN448" s="40"/>
      <c r="BO448" s="39"/>
      <c r="BP448" s="21">
        <v>0</v>
      </c>
      <c r="BQ448" s="21">
        <v>0</v>
      </c>
      <c r="BR448" s="21">
        <v>0</v>
      </c>
      <c r="BS448" s="21">
        <v>0</v>
      </c>
      <c r="BT448" s="21">
        <v>0</v>
      </c>
      <c r="BU448" s="42">
        <v>0</v>
      </c>
      <c r="BV448" s="21">
        <v>0</v>
      </c>
      <c r="BW448" s="21">
        <v>0</v>
      </c>
      <c r="BX448" s="21">
        <v>0</v>
      </c>
      <c r="BY448" s="21">
        <v>0</v>
      </c>
      <c r="BZ448" s="21">
        <v>0</v>
      </c>
      <c r="CA448" s="21">
        <v>0</v>
      </c>
      <c r="CB448" s="21">
        <v>0</v>
      </c>
      <c r="CC448" s="21">
        <v>0</v>
      </c>
      <c r="CD448" s="21">
        <v>0</v>
      </c>
      <c r="CE448" s="21">
        <v>0</v>
      </c>
      <c r="CF448" s="21">
        <v>0</v>
      </c>
      <c r="CG448" s="42">
        <v>0</v>
      </c>
      <c r="CH448" s="21">
        <v>0</v>
      </c>
      <c r="CI448" s="21">
        <v>0</v>
      </c>
      <c r="CJ448" s="21">
        <v>0</v>
      </c>
      <c r="CK448" s="21">
        <v>0</v>
      </c>
      <c r="CL448" s="21">
        <v>0</v>
      </c>
      <c r="CM448" s="21">
        <v>0</v>
      </c>
      <c r="CN448" s="21">
        <v>0</v>
      </c>
      <c r="CO448" s="21">
        <v>0</v>
      </c>
      <c r="CP448" s="21">
        <f t="shared" si="655"/>
        <v>0</v>
      </c>
      <c r="CQ448" s="343">
        <f t="shared" si="656"/>
        <v>0</v>
      </c>
      <c r="CR448" s="40"/>
      <c r="CS448" s="39"/>
      <c r="CT448" s="38">
        <f t="shared" si="657"/>
        <v>0</v>
      </c>
      <c r="CU448" s="38">
        <f t="shared" si="658"/>
        <v>0</v>
      </c>
      <c r="CV448" s="38">
        <f t="shared" si="659"/>
        <v>0</v>
      </c>
      <c r="CW448" s="38">
        <f t="shared" si="660"/>
        <v>0</v>
      </c>
      <c r="CX448" s="38">
        <f t="shared" si="661"/>
        <v>0</v>
      </c>
      <c r="CY448" s="39">
        <f t="shared" si="662"/>
        <v>0</v>
      </c>
      <c r="CZ448" s="40">
        <f t="shared" si="663"/>
        <v>0</v>
      </c>
      <c r="DA448" s="40">
        <f t="shared" si="664"/>
        <v>0</v>
      </c>
      <c r="DB448" s="40">
        <f t="shared" si="665"/>
        <v>0</v>
      </c>
      <c r="DC448" s="40">
        <f t="shared" si="666"/>
        <v>0</v>
      </c>
      <c r="DD448" s="40">
        <f t="shared" si="667"/>
        <v>0</v>
      </c>
      <c r="DE448" s="40">
        <f t="shared" si="668"/>
        <v>0</v>
      </c>
      <c r="DF448" s="40">
        <f t="shared" si="669"/>
        <v>0</v>
      </c>
      <c r="DG448" s="40">
        <f t="shared" si="670"/>
        <v>0</v>
      </c>
      <c r="DH448" s="40">
        <f t="shared" si="671"/>
        <v>0</v>
      </c>
      <c r="DI448" s="40">
        <f t="shared" si="672"/>
        <v>0</v>
      </c>
      <c r="DJ448" s="40">
        <f t="shared" si="673"/>
        <v>0</v>
      </c>
      <c r="DK448" s="39">
        <f t="shared" si="674"/>
        <v>0</v>
      </c>
      <c r="DL448" s="40">
        <f t="shared" si="675"/>
        <v>0</v>
      </c>
      <c r="DM448" s="40">
        <f t="shared" si="676"/>
        <v>0</v>
      </c>
      <c r="DN448" s="40">
        <f t="shared" si="677"/>
        <v>0</v>
      </c>
      <c r="DO448" s="40">
        <f t="shared" si="678"/>
        <v>0</v>
      </c>
      <c r="DP448" s="40">
        <f t="shared" si="679"/>
        <v>0</v>
      </c>
      <c r="DQ448" s="40">
        <f t="shared" si="680"/>
        <v>0</v>
      </c>
      <c r="DR448" s="40">
        <f t="shared" si="685"/>
        <v>0</v>
      </c>
      <c r="DS448" s="40">
        <f t="shared" si="686"/>
        <v>0</v>
      </c>
      <c r="DT448" s="40">
        <f t="shared" si="681"/>
        <v>0</v>
      </c>
      <c r="DU448" s="40">
        <f t="shared" si="682"/>
        <v>0</v>
      </c>
      <c r="DV448" s="40">
        <f t="shared" si="683"/>
        <v>0</v>
      </c>
      <c r="DW448" s="40">
        <f t="shared" si="684"/>
        <v>0</v>
      </c>
    </row>
    <row r="449" spans="1:127">
      <c r="A449" s="22" t="s">
        <v>33</v>
      </c>
      <c r="B449" s="26">
        <v>4902430881647</v>
      </c>
      <c r="C449" s="22" t="s">
        <v>38</v>
      </c>
      <c r="D449" s="22" t="s">
        <v>38</v>
      </c>
      <c r="E449" s="22">
        <v>238399</v>
      </c>
      <c r="F449" s="80" t="s">
        <v>537</v>
      </c>
      <c r="G449" s="25">
        <v>304</v>
      </c>
      <c r="H449" s="38">
        <f t="shared" si="629"/>
        <v>0</v>
      </c>
      <c r="I449" s="38">
        <f t="shared" si="630"/>
        <v>0</v>
      </c>
      <c r="J449" s="38">
        <f t="shared" si="631"/>
        <v>0</v>
      </c>
      <c r="K449" s="38">
        <f t="shared" si="632"/>
        <v>0</v>
      </c>
      <c r="L449" s="38">
        <f t="shared" si="633"/>
        <v>0</v>
      </c>
      <c r="M449" s="39">
        <f t="shared" si="634"/>
        <v>0</v>
      </c>
      <c r="N449" s="40">
        <f t="shared" si="635"/>
        <v>0</v>
      </c>
      <c r="O449" s="40">
        <f t="shared" si="636"/>
        <v>0</v>
      </c>
      <c r="P449" s="40">
        <f t="shared" si="637"/>
        <v>0</v>
      </c>
      <c r="Q449" s="40">
        <f t="shared" si="638"/>
        <v>0</v>
      </c>
      <c r="R449" s="40">
        <f t="shared" si="639"/>
        <v>0</v>
      </c>
      <c r="S449" s="40">
        <f t="shared" si="640"/>
        <v>0</v>
      </c>
      <c r="T449" s="40">
        <f t="shared" si="641"/>
        <v>0</v>
      </c>
      <c r="U449" s="40">
        <f t="shared" si="642"/>
        <v>0</v>
      </c>
      <c r="V449" s="40">
        <f t="shared" si="643"/>
        <v>0</v>
      </c>
      <c r="W449" s="40">
        <f t="shared" si="644"/>
        <v>0</v>
      </c>
      <c r="X449" s="40">
        <f t="shared" si="645"/>
        <v>0</v>
      </c>
      <c r="Y449" s="39">
        <f t="shared" si="646"/>
        <v>0</v>
      </c>
      <c r="Z449" s="40">
        <f t="shared" si="647"/>
        <v>0</v>
      </c>
      <c r="AA449" s="40">
        <f t="shared" si="648"/>
        <v>0</v>
      </c>
      <c r="AB449" s="40">
        <f t="shared" si="649"/>
        <v>0</v>
      </c>
      <c r="AC449" s="40">
        <f t="shared" si="650"/>
        <v>0</v>
      </c>
      <c r="AD449" s="40">
        <f t="shared" si="651"/>
        <v>0</v>
      </c>
      <c r="AE449" s="40">
        <f t="shared" si="652"/>
        <v>0</v>
      </c>
      <c r="AF449" s="40">
        <f t="shared" si="653"/>
        <v>0</v>
      </c>
      <c r="AG449" s="40">
        <f t="shared" si="654"/>
        <v>0</v>
      </c>
      <c r="AH449" s="40">
        <f t="shared" si="687"/>
        <v>0</v>
      </c>
      <c r="AI449" s="40">
        <f t="shared" si="688"/>
        <v>0</v>
      </c>
      <c r="AJ449" s="40">
        <f t="shared" si="689"/>
        <v>0</v>
      </c>
      <c r="AK449" s="39">
        <f t="shared" si="690"/>
        <v>0</v>
      </c>
      <c r="AL449" s="38">
        <v>0</v>
      </c>
      <c r="AM449" s="38">
        <v>0</v>
      </c>
      <c r="AN449" s="38">
        <v>0</v>
      </c>
      <c r="AO449" s="38">
        <v>0</v>
      </c>
      <c r="AP449" s="38">
        <v>0</v>
      </c>
      <c r="AQ449" s="39">
        <v>0</v>
      </c>
      <c r="AR449" s="40">
        <v>0</v>
      </c>
      <c r="AS449" s="40">
        <v>0</v>
      </c>
      <c r="AT449" s="40">
        <v>0</v>
      </c>
      <c r="AU449" s="40">
        <v>0</v>
      </c>
      <c r="AV449" s="40">
        <v>0</v>
      </c>
      <c r="AW449" s="40">
        <v>0</v>
      </c>
      <c r="AX449" s="40">
        <v>0</v>
      </c>
      <c r="AY449" s="40">
        <v>0</v>
      </c>
      <c r="AZ449" s="40">
        <v>0</v>
      </c>
      <c r="BA449" s="40">
        <v>0</v>
      </c>
      <c r="BB449" s="40">
        <v>0</v>
      </c>
      <c r="BC449" s="39">
        <v>0</v>
      </c>
      <c r="BD449" s="40">
        <v>0</v>
      </c>
      <c r="BE449" s="40">
        <v>0</v>
      </c>
      <c r="BF449" s="40">
        <v>0</v>
      </c>
      <c r="BG449" s="40">
        <v>0</v>
      </c>
      <c r="BH449" s="40">
        <v>0</v>
      </c>
      <c r="BI449" s="40">
        <v>0</v>
      </c>
      <c r="BJ449" s="40">
        <v>0</v>
      </c>
      <c r="BK449" s="40">
        <v>0</v>
      </c>
      <c r="BL449" s="40">
        <v>0</v>
      </c>
      <c r="BM449" s="40" t="s">
        <v>768</v>
      </c>
      <c r="BN449" s="40"/>
      <c r="BO449" s="39"/>
      <c r="BP449" s="21">
        <v>0</v>
      </c>
      <c r="BQ449" s="21">
        <v>0</v>
      </c>
      <c r="BR449" s="21">
        <v>0</v>
      </c>
      <c r="BS449" s="21">
        <v>0</v>
      </c>
      <c r="BT449" s="21">
        <v>0</v>
      </c>
      <c r="BU449" s="42">
        <v>0</v>
      </c>
      <c r="BV449" s="21">
        <v>0</v>
      </c>
      <c r="BW449" s="21">
        <v>0</v>
      </c>
      <c r="BX449" s="21">
        <v>0</v>
      </c>
      <c r="BY449" s="21">
        <v>0</v>
      </c>
      <c r="BZ449" s="21">
        <v>0</v>
      </c>
      <c r="CA449" s="21">
        <v>0</v>
      </c>
      <c r="CB449" s="21">
        <v>0</v>
      </c>
      <c r="CC449" s="21">
        <v>0</v>
      </c>
      <c r="CD449" s="21">
        <v>0</v>
      </c>
      <c r="CE449" s="21">
        <v>0</v>
      </c>
      <c r="CF449" s="21">
        <v>0</v>
      </c>
      <c r="CG449" s="42">
        <v>0</v>
      </c>
      <c r="CH449" s="21">
        <v>0</v>
      </c>
      <c r="CI449" s="21">
        <v>0</v>
      </c>
      <c r="CJ449" s="21">
        <v>0</v>
      </c>
      <c r="CK449" s="21">
        <v>0</v>
      </c>
      <c r="CL449" s="21">
        <v>0</v>
      </c>
      <c r="CM449" s="21">
        <v>0</v>
      </c>
      <c r="CN449" s="21">
        <v>0</v>
      </c>
      <c r="CO449" s="21">
        <v>0</v>
      </c>
      <c r="CP449" s="21">
        <f t="shared" si="655"/>
        <v>0</v>
      </c>
      <c r="CQ449" s="343">
        <f t="shared" si="656"/>
        <v>0</v>
      </c>
      <c r="CR449" s="40"/>
      <c r="CS449" s="39"/>
      <c r="CT449" s="38">
        <f t="shared" si="657"/>
        <v>0</v>
      </c>
      <c r="CU449" s="38">
        <f t="shared" si="658"/>
        <v>0</v>
      </c>
      <c r="CV449" s="38">
        <f t="shared" si="659"/>
        <v>0</v>
      </c>
      <c r="CW449" s="38">
        <f t="shared" si="660"/>
        <v>0</v>
      </c>
      <c r="CX449" s="38">
        <f t="shared" si="661"/>
        <v>0</v>
      </c>
      <c r="CY449" s="39">
        <f t="shared" si="662"/>
        <v>0</v>
      </c>
      <c r="CZ449" s="40">
        <f t="shared" si="663"/>
        <v>0</v>
      </c>
      <c r="DA449" s="40">
        <f t="shared" si="664"/>
        <v>0</v>
      </c>
      <c r="DB449" s="40">
        <f t="shared" si="665"/>
        <v>0</v>
      </c>
      <c r="DC449" s="40">
        <f t="shared" si="666"/>
        <v>0</v>
      </c>
      <c r="DD449" s="40">
        <f t="shared" si="667"/>
        <v>0</v>
      </c>
      <c r="DE449" s="40">
        <f t="shared" si="668"/>
        <v>0</v>
      </c>
      <c r="DF449" s="40">
        <f t="shared" si="669"/>
        <v>0</v>
      </c>
      <c r="DG449" s="40">
        <f t="shared" si="670"/>
        <v>0</v>
      </c>
      <c r="DH449" s="40">
        <f t="shared" si="671"/>
        <v>0</v>
      </c>
      <c r="DI449" s="40">
        <f t="shared" si="672"/>
        <v>0</v>
      </c>
      <c r="DJ449" s="40">
        <f t="shared" si="673"/>
        <v>0</v>
      </c>
      <c r="DK449" s="39">
        <f t="shared" si="674"/>
        <v>0</v>
      </c>
      <c r="DL449" s="40">
        <f t="shared" si="675"/>
        <v>0</v>
      </c>
      <c r="DM449" s="40">
        <f t="shared" si="676"/>
        <v>0</v>
      </c>
      <c r="DN449" s="40">
        <f t="shared" si="677"/>
        <v>0</v>
      </c>
      <c r="DO449" s="40">
        <f t="shared" si="678"/>
        <v>0</v>
      </c>
      <c r="DP449" s="40">
        <f t="shared" si="679"/>
        <v>0</v>
      </c>
      <c r="DQ449" s="40">
        <f t="shared" si="680"/>
        <v>0</v>
      </c>
      <c r="DR449" s="40">
        <f t="shared" si="685"/>
        <v>0</v>
      </c>
      <c r="DS449" s="40">
        <f t="shared" si="686"/>
        <v>0</v>
      </c>
      <c r="DT449" s="40">
        <f t="shared" si="681"/>
        <v>0</v>
      </c>
      <c r="DU449" s="40">
        <f t="shared" si="682"/>
        <v>0</v>
      </c>
      <c r="DV449" s="40">
        <f t="shared" si="683"/>
        <v>0</v>
      </c>
      <c r="DW449" s="40">
        <f t="shared" si="684"/>
        <v>0</v>
      </c>
    </row>
    <row r="450" spans="1:127">
      <c r="A450" s="22" t="s">
        <v>33</v>
      </c>
      <c r="B450" s="26">
        <v>4902430925037</v>
      </c>
      <c r="C450" s="22" t="s">
        <v>38</v>
      </c>
      <c r="D450" s="22" t="s">
        <v>38</v>
      </c>
      <c r="E450" s="22">
        <v>327787</v>
      </c>
      <c r="F450" s="80" t="s">
        <v>538</v>
      </c>
      <c r="G450" s="25">
        <v>341.5</v>
      </c>
      <c r="H450" s="38">
        <f t="shared" si="629"/>
        <v>0</v>
      </c>
      <c r="I450" s="38">
        <f t="shared" si="630"/>
        <v>0</v>
      </c>
      <c r="J450" s="38">
        <f t="shared" si="631"/>
        <v>0</v>
      </c>
      <c r="K450" s="38">
        <f t="shared" si="632"/>
        <v>341.5</v>
      </c>
      <c r="L450" s="38">
        <f t="shared" si="633"/>
        <v>0</v>
      </c>
      <c r="M450" s="39">
        <f t="shared" si="634"/>
        <v>0</v>
      </c>
      <c r="N450" s="40">
        <f t="shared" si="635"/>
        <v>0</v>
      </c>
      <c r="O450" s="40">
        <f t="shared" si="636"/>
        <v>0</v>
      </c>
      <c r="P450" s="40">
        <f t="shared" si="637"/>
        <v>0</v>
      </c>
      <c r="Q450" s="40">
        <f t="shared" si="638"/>
        <v>0</v>
      </c>
      <c r="R450" s="40">
        <f t="shared" si="639"/>
        <v>0</v>
      </c>
      <c r="S450" s="40">
        <f t="shared" si="640"/>
        <v>0</v>
      </c>
      <c r="T450" s="40">
        <f t="shared" si="641"/>
        <v>0</v>
      </c>
      <c r="U450" s="40">
        <f t="shared" si="642"/>
        <v>0</v>
      </c>
      <c r="V450" s="40">
        <f t="shared" si="643"/>
        <v>0</v>
      </c>
      <c r="W450" s="40">
        <f t="shared" si="644"/>
        <v>0</v>
      </c>
      <c r="X450" s="40">
        <f t="shared" si="645"/>
        <v>0</v>
      </c>
      <c r="Y450" s="39">
        <f t="shared" si="646"/>
        <v>0</v>
      </c>
      <c r="Z450" s="40">
        <f t="shared" si="647"/>
        <v>0</v>
      </c>
      <c r="AA450" s="40">
        <f t="shared" si="648"/>
        <v>0</v>
      </c>
      <c r="AB450" s="40">
        <f t="shared" si="649"/>
        <v>0</v>
      </c>
      <c r="AC450" s="40">
        <f t="shared" si="650"/>
        <v>0</v>
      </c>
      <c r="AD450" s="40">
        <f t="shared" si="651"/>
        <v>0</v>
      </c>
      <c r="AE450" s="40">
        <f t="shared" si="652"/>
        <v>0</v>
      </c>
      <c r="AF450" s="40">
        <f t="shared" si="653"/>
        <v>0</v>
      </c>
      <c r="AG450" s="40">
        <f t="shared" si="654"/>
        <v>0</v>
      </c>
      <c r="AH450" s="40">
        <f t="shared" si="687"/>
        <v>0</v>
      </c>
      <c r="AI450" s="40">
        <f t="shared" si="688"/>
        <v>0</v>
      </c>
      <c r="AJ450" s="40">
        <f t="shared" si="689"/>
        <v>0</v>
      </c>
      <c r="AK450" s="39">
        <f t="shared" si="690"/>
        <v>0</v>
      </c>
      <c r="AL450" s="38">
        <v>0</v>
      </c>
      <c r="AM450" s="38">
        <v>0</v>
      </c>
      <c r="AN450" s="38">
        <v>0</v>
      </c>
      <c r="AO450" s="38">
        <v>1</v>
      </c>
      <c r="AP450" s="38">
        <v>0</v>
      </c>
      <c r="AQ450" s="39">
        <v>0</v>
      </c>
      <c r="AR450" s="40">
        <v>0</v>
      </c>
      <c r="AS450" s="40">
        <v>0</v>
      </c>
      <c r="AT450" s="40">
        <v>0</v>
      </c>
      <c r="AU450" s="40">
        <v>0</v>
      </c>
      <c r="AV450" s="40">
        <v>0</v>
      </c>
      <c r="AW450" s="40">
        <v>0</v>
      </c>
      <c r="AX450" s="40">
        <v>0</v>
      </c>
      <c r="AY450" s="40">
        <v>0</v>
      </c>
      <c r="AZ450" s="40">
        <v>0</v>
      </c>
      <c r="BA450" s="40">
        <v>0</v>
      </c>
      <c r="BB450" s="40">
        <v>0</v>
      </c>
      <c r="BC450" s="39">
        <v>0</v>
      </c>
      <c r="BD450" s="40">
        <v>0</v>
      </c>
      <c r="BE450" s="40">
        <v>0</v>
      </c>
      <c r="BF450" s="40">
        <v>0</v>
      </c>
      <c r="BG450" s="40">
        <v>0</v>
      </c>
      <c r="BH450" s="40">
        <v>0</v>
      </c>
      <c r="BI450" s="40">
        <v>0</v>
      </c>
      <c r="BJ450" s="40">
        <v>0</v>
      </c>
      <c r="BK450" s="40">
        <v>0</v>
      </c>
      <c r="BL450" s="40">
        <v>0</v>
      </c>
      <c r="BM450" s="40">
        <v>0</v>
      </c>
      <c r="BN450" s="40"/>
      <c r="BO450" s="39"/>
      <c r="BP450" s="21">
        <v>0</v>
      </c>
      <c r="BQ450" s="21">
        <v>0</v>
      </c>
      <c r="BR450" s="21">
        <v>0</v>
      </c>
      <c r="BS450" s="21">
        <v>0</v>
      </c>
      <c r="BT450" s="21">
        <v>0</v>
      </c>
      <c r="BU450" s="42">
        <v>0</v>
      </c>
      <c r="BV450" s="21">
        <v>0</v>
      </c>
      <c r="BW450" s="21">
        <v>0</v>
      </c>
      <c r="BX450" s="21">
        <v>0</v>
      </c>
      <c r="BY450" s="21">
        <v>0</v>
      </c>
      <c r="BZ450" s="21">
        <v>0</v>
      </c>
      <c r="CA450" s="21">
        <v>0</v>
      </c>
      <c r="CB450" s="21">
        <v>0</v>
      </c>
      <c r="CC450" s="21">
        <v>0</v>
      </c>
      <c r="CD450" s="21">
        <v>0</v>
      </c>
      <c r="CE450" s="21">
        <v>0</v>
      </c>
      <c r="CF450" s="21">
        <v>0</v>
      </c>
      <c r="CG450" s="42">
        <v>0</v>
      </c>
      <c r="CH450" s="21">
        <v>0</v>
      </c>
      <c r="CI450" s="21">
        <v>0</v>
      </c>
      <c r="CJ450" s="21">
        <v>0</v>
      </c>
      <c r="CK450" s="21">
        <v>0</v>
      </c>
      <c r="CL450" s="21">
        <v>0</v>
      </c>
      <c r="CM450" s="21">
        <v>0</v>
      </c>
      <c r="CN450" s="21">
        <v>0</v>
      </c>
      <c r="CO450" s="21">
        <v>0</v>
      </c>
      <c r="CP450" s="21">
        <f t="shared" si="655"/>
        <v>0</v>
      </c>
      <c r="CQ450" s="343">
        <f t="shared" si="656"/>
        <v>0</v>
      </c>
      <c r="CR450" s="40"/>
      <c r="CS450" s="39"/>
      <c r="CT450" s="38">
        <f t="shared" si="657"/>
        <v>0</v>
      </c>
      <c r="CU450" s="38">
        <f t="shared" si="658"/>
        <v>0</v>
      </c>
      <c r="CV450" s="38">
        <f t="shared" si="659"/>
        <v>0</v>
      </c>
      <c r="CW450" s="38">
        <f t="shared" si="660"/>
        <v>1</v>
      </c>
      <c r="CX450" s="38">
        <f t="shared" si="661"/>
        <v>0</v>
      </c>
      <c r="CY450" s="39">
        <f t="shared" si="662"/>
        <v>0</v>
      </c>
      <c r="CZ450" s="40">
        <f t="shared" si="663"/>
        <v>0</v>
      </c>
      <c r="DA450" s="40">
        <f t="shared" si="664"/>
        <v>0</v>
      </c>
      <c r="DB450" s="40">
        <f t="shared" si="665"/>
        <v>0</v>
      </c>
      <c r="DC450" s="40">
        <f t="shared" si="666"/>
        <v>0</v>
      </c>
      <c r="DD450" s="40">
        <f t="shared" si="667"/>
        <v>0</v>
      </c>
      <c r="DE450" s="40">
        <f t="shared" si="668"/>
        <v>0</v>
      </c>
      <c r="DF450" s="40">
        <f t="shared" si="669"/>
        <v>0</v>
      </c>
      <c r="DG450" s="40">
        <f t="shared" si="670"/>
        <v>0</v>
      </c>
      <c r="DH450" s="40">
        <f t="shared" si="671"/>
        <v>0</v>
      </c>
      <c r="DI450" s="40">
        <f t="shared" si="672"/>
        <v>0</v>
      </c>
      <c r="DJ450" s="40">
        <f t="shared" si="673"/>
        <v>0</v>
      </c>
      <c r="DK450" s="39">
        <f t="shared" si="674"/>
        <v>0</v>
      </c>
      <c r="DL450" s="40">
        <f t="shared" si="675"/>
        <v>0</v>
      </c>
      <c r="DM450" s="40">
        <f t="shared" si="676"/>
        <v>0</v>
      </c>
      <c r="DN450" s="40">
        <f t="shared" si="677"/>
        <v>0</v>
      </c>
      <c r="DO450" s="40">
        <f t="shared" si="678"/>
        <v>0</v>
      </c>
      <c r="DP450" s="40">
        <f t="shared" si="679"/>
        <v>0</v>
      </c>
      <c r="DQ450" s="40">
        <f t="shared" si="680"/>
        <v>0</v>
      </c>
      <c r="DR450" s="40">
        <f t="shared" si="685"/>
        <v>0</v>
      </c>
      <c r="DS450" s="40">
        <f t="shared" si="686"/>
        <v>0</v>
      </c>
      <c r="DT450" s="40">
        <f t="shared" si="681"/>
        <v>0</v>
      </c>
      <c r="DU450" s="40">
        <f t="shared" si="682"/>
        <v>0</v>
      </c>
      <c r="DV450" s="40">
        <f t="shared" si="683"/>
        <v>0</v>
      </c>
      <c r="DW450" s="40">
        <f t="shared" si="684"/>
        <v>0</v>
      </c>
    </row>
    <row r="451" spans="1:127">
      <c r="A451" s="22" t="s">
        <v>33</v>
      </c>
      <c r="B451" s="26">
        <v>4987176116154</v>
      </c>
      <c r="C451" s="22" t="s">
        <v>38</v>
      </c>
      <c r="D451" s="22" t="s">
        <v>38</v>
      </c>
      <c r="E451" s="22">
        <v>133580</v>
      </c>
      <c r="F451" s="80" t="s">
        <v>539</v>
      </c>
      <c r="G451" s="25">
        <v>74</v>
      </c>
      <c r="H451" s="38">
        <f t="shared" ref="H451:H514" si="691">CT451*$G451</f>
        <v>13542</v>
      </c>
      <c r="I451" s="38">
        <f t="shared" ref="I451:I514" si="692">CU451*$G451</f>
        <v>20794</v>
      </c>
      <c r="J451" s="38">
        <f t="shared" ref="J451:J514" si="693">CV451*$G451</f>
        <v>11026</v>
      </c>
      <c r="K451" s="38">
        <f t="shared" ref="K451:K514" si="694">CW451*$G451</f>
        <v>18796</v>
      </c>
      <c r="L451" s="38">
        <f t="shared" ref="L451:L514" si="695">CX451*$G451</f>
        <v>26344</v>
      </c>
      <c r="M451" s="39">
        <f t="shared" ref="M451:M514" si="696">CY451*$G451</f>
        <v>9102</v>
      </c>
      <c r="N451" s="40">
        <f t="shared" ref="N451:N514" si="697">CZ451*$G451</f>
        <v>6068</v>
      </c>
      <c r="O451" s="40">
        <f t="shared" ref="O451:O514" si="698">DA451*$G451</f>
        <v>5772</v>
      </c>
      <c r="P451" s="40">
        <f t="shared" ref="P451:P514" si="699">DB451*$G451</f>
        <v>7770</v>
      </c>
      <c r="Q451" s="40">
        <f t="shared" ref="Q451:Q514" si="700">DC451*$G451</f>
        <v>5550</v>
      </c>
      <c r="R451" s="40">
        <f t="shared" ref="R451:R514" si="701">DD451*$G451</f>
        <v>1924</v>
      </c>
      <c r="S451" s="40">
        <f t="shared" ref="S451:S514" si="702">DE451*$G451</f>
        <v>222</v>
      </c>
      <c r="T451" s="40">
        <f t="shared" ref="T451:T514" si="703">DF451*$G451</f>
        <v>1332</v>
      </c>
      <c r="U451" s="40">
        <f t="shared" ref="U451:U514" si="704">DG451*$G451</f>
        <v>1406</v>
      </c>
      <c r="V451" s="40">
        <f t="shared" ref="V451:V514" si="705">DH451*$G451</f>
        <v>148</v>
      </c>
      <c r="W451" s="40">
        <f t="shared" ref="W451:W514" si="706">DI451*$G451</f>
        <v>0</v>
      </c>
      <c r="X451" s="40">
        <f t="shared" ref="X451:X514" si="707">DJ451*$G451</f>
        <v>0</v>
      </c>
      <c r="Y451" s="39">
        <f t="shared" ref="Y451:Y514" si="708">DK451*$G451</f>
        <v>0</v>
      </c>
      <c r="Z451" s="40">
        <f t="shared" ref="Z451:Z514" si="709">DL451*$G451</f>
        <v>0</v>
      </c>
      <c r="AA451" s="40">
        <f t="shared" ref="AA451:AA514" si="710">DM451*$G451</f>
        <v>0</v>
      </c>
      <c r="AB451" s="40">
        <f t="shared" ref="AB451:AB514" si="711">DN451*$G451</f>
        <v>0</v>
      </c>
      <c r="AC451" s="40">
        <f t="shared" ref="AC451:AC514" si="712">DO451*$G451</f>
        <v>0</v>
      </c>
      <c r="AD451" s="40">
        <f t="shared" ref="AD451:AD514" si="713">DP451*$G451</f>
        <v>0</v>
      </c>
      <c r="AE451" s="40">
        <f t="shared" ref="AE451:AE514" si="714">DQ451*$G451</f>
        <v>0</v>
      </c>
      <c r="AF451" s="40">
        <f t="shared" ref="AF451:AF514" si="715">DR451*$G451</f>
        <v>0</v>
      </c>
      <c r="AG451" s="40">
        <f t="shared" ref="AG451:AG514" si="716">DS451*$G451</f>
        <v>0</v>
      </c>
      <c r="AH451" s="40">
        <f t="shared" si="687"/>
        <v>0</v>
      </c>
      <c r="AI451" s="40">
        <f t="shared" si="688"/>
        <v>0</v>
      </c>
      <c r="AJ451" s="40">
        <f t="shared" si="689"/>
        <v>0</v>
      </c>
      <c r="AK451" s="39">
        <f t="shared" si="690"/>
        <v>0</v>
      </c>
      <c r="AL451" s="38">
        <v>163</v>
      </c>
      <c r="AM451" s="38">
        <v>254</v>
      </c>
      <c r="AN451" s="38">
        <v>121</v>
      </c>
      <c r="AO451" s="38">
        <v>242</v>
      </c>
      <c r="AP451" s="38">
        <v>315</v>
      </c>
      <c r="AQ451" s="39">
        <v>87</v>
      </c>
      <c r="AR451" s="40">
        <v>68</v>
      </c>
      <c r="AS451" s="40">
        <v>73</v>
      </c>
      <c r="AT451" s="40">
        <v>79</v>
      </c>
      <c r="AU451" s="40">
        <v>48</v>
      </c>
      <c r="AV451" s="40">
        <v>26</v>
      </c>
      <c r="AW451" s="40">
        <v>3</v>
      </c>
      <c r="AX451" s="40">
        <v>18</v>
      </c>
      <c r="AY451" s="40">
        <v>19</v>
      </c>
      <c r="AZ451" s="40">
        <v>2</v>
      </c>
      <c r="BA451" s="40">
        <v>0</v>
      </c>
      <c r="BB451" s="40">
        <v>0</v>
      </c>
      <c r="BC451" s="39">
        <v>0</v>
      </c>
      <c r="BD451" s="40">
        <v>0</v>
      </c>
      <c r="BE451" s="40">
        <v>0</v>
      </c>
      <c r="BF451" s="40">
        <v>0</v>
      </c>
      <c r="BG451" s="40">
        <v>0</v>
      </c>
      <c r="BH451" s="40">
        <v>0</v>
      </c>
      <c r="BI451" s="40">
        <v>0</v>
      </c>
      <c r="BJ451" s="40">
        <v>0</v>
      </c>
      <c r="BK451" s="40">
        <v>0</v>
      </c>
      <c r="BL451" s="40">
        <v>0</v>
      </c>
      <c r="BM451" s="40">
        <v>0</v>
      </c>
      <c r="BN451" s="40"/>
      <c r="BO451" s="39"/>
      <c r="BP451" s="21">
        <v>20</v>
      </c>
      <c r="BQ451" s="21">
        <v>27</v>
      </c>
      <c r="BR451" s="21">
        <v>28</v>
      </c>
      <c r="BS451" s="21">
        <v>12</v>
      </c>
      <c r="BT451" s="21">
        <v>41</v>
      </c>
      <c r="BU451" s="42">
        <v>36</v>
      </c>
      <c r="BV451" s="21">
        <v>14</v>
      </c>
      <c r="BW451" s="21">
        <v>5</v>
      </c>
      <c r="BX451" s="21">
        <v>26</v>
      </c>
      <c r="BY451" s="21">
        <v>27</v>
      </c>
      <c r="BZ451" s="21">
        <v>0</v>
      </c>
      <c r="CA451" s="21">
        <v>0</v>
      </c>
      <c r="CB451" s="21">
        <v>0</v>
      </c>
      <c r="CC451" s="21">
        <v>0</v>
      </c>
      <c r="CD451" s="21">
        <v>0</v>
      </c>
      <c r="CE451" s="21">
        <v>0</v>
      </c>
      <c r="CF451" s="21">
        <v>0</v>
      </c>
      <c r="CG451" s="42">
        <v>0</v>
      </c>
      <c r="CH451" s="21">
        <v>0</v>
      </c>
      <c r="CI451" s="21">
        <v>0</v>
      </c>
      <c r="CJ451" s="21">
        <v>0</v>
      </c>
      <c r="CK451" s="21">
        <v>0</v>
      </c>
      <c r="CL451" s="21">
        <v>0</v>
      </c>
      <c r="CM451" s="21">
        <v>0</v>
      </c>
      <c r="CN451" s="21">
        <v>0</v>
      </c>
      <c r="CO451" s="21">
        <v>0</v>
      </c>
      <c r="CP451" s="21">
        <f t="shared" si="655"/>
        <v>0</v>
      </c>
      <c r="CQ451" s="343">
        <f t="shared" si="656"/>
        <v>0</v>
      </c>
      <c r="CR451" s="40"/>
      <c r="CS451" s="39"/>
      <c r="CT451" s="38">
        <f t="shared" si="657"/>
        <v>183</v>
      </c>
      <c r="CU451" s="38">
        <f t="shared" si="658"/>
        <v>281</v>
      </c>
      <c r="CV451" s="38">
        <f t="shared" si="659"/>
        <v>149</v>
      </c>
      <c r="CW451" s="38">
        <f t="shared" si="660"/>
        <v>254</v>
      </c>
      <c r="CX451" s="38">
        <f t="shared" si="661"/>
        <v>356</v>
      </c>
      <c r="CY451" s="39">
        <f t="shared" si="662"/>
        <v>123</v>
      </c>
      <c r="CZ451" s="40">
        <f t="shared" si="663"/>
        <v>82</v>
      </c>
      <c r="DA451" s="40">
        <f t="shared" si="664"/>
        <v>78</v>
      </c>
      <c r="DB451" s="40">
        <f t="shared" si="665"/>
        <v>105</v>
      </c>
      <c r="DC451" s="40">
        <f t="shared" si="666"/>
        <v>75</v>
      </c>
      <c r="DD451" s="40">
        <f t="shared" si="667"/>
        <v>26</v>
      </c>
      <c r="DE451" s="40">
        <f t="shared" si="668"/>
        <v>3</v>
      </c>
      <c r="DF451" s="40">
        <f t="shared" si="669"/>
        <v>18</v>
      </c>
      <c r="DG451" s="40">
        <f t="shared" si="670"/>
        <v>19</v>
      </c>
      <c r="DH451" s="40">
        <f t="shared" si="671"/>
        <v>2</v>
      </c>
      <c r="DI451" s="40">
        <f t="shared" si="672"/>
        <v>0</v>
      </c>
      <c r="DJ451" s="40">
        <f t="shared" si="673"/>
        <v>0</v>
      </c>
      <c r="DK451" s="39">
        <f t="shared" si="674"/>
        <v>0</v>
      </c>
      <c r="DL451" s="40">
        <f t="shared" si="675"/>
        <v>0</v>
      </c>
      <c r="DM451" s="40">
        <f t="shared" si="676"/>
        <v>0</v>
      </c>
      <c r="DN451" s="40">
        <f t="shared" si="677"/>
        <v>0</v>
      </c>
      <c r="DO451" s="40">
        <f t="shared" si="678"/>
        <v>0</v>
      </c>
      <c r="DP451" s="40">
        <f t="shared" si="679"/>
        <v>0</v>
      </c>
      <c r="DQ451" s="40">
        <f t="shared" si="680"/>
        <v>0</v>
      </c>
      <c r="DR451" s="40">
        <f t="shared" si="685"/>
        <v>0</v>
      </c>
      <c r="DS451" s="40">
        <f t="shared" si="686"/>
        <v>0</v>
      </c>
      <c r="DT451" s="40">
        <f t="shared" si="681"/>
        <v>0</v>
      </c>
      <c r="DU451" s="40">
        <f t="shared" si="682"/>
        <v>0</v>
      </c>
      <c r="DV451" s="40">
        <f t="shared" si="683"/>
        <v>0</v>
      </c>
      <c r="DW451" s="40">
        <f t="shared" si="684"/>
        <v>0</v>
      </c>
    </row>
    <row r="452" spans="1:127">
      <c r="A452" s="22" t="s">
        <v>33</v>
      </c>
      <c r="B452" s="26">
        <v>4987176116147</v>
      </c>
      <c r="C452" s="22" t="s">
        <v>38</v>
      </c>
      <c r="D452" s="22" t="s">
        <v>38</v>
      </c>
      <c r="E452" s="22">
        <v>133601</v>
      </c>
      <c r="F452" s="80" t="s">
        <v>540</v>
      </c>
      <c r="G452" s="25">
        <v>74</v>
      </c>
      <c r="H452" s="38">
        <f t="shared" si="691"/>
        <v>14504</v>
      </c>
      <c r="I452" s="38">
        <f t="shared" si="692"/>
        <v>99530</v>
      </c>
      <c r="J452" s="38">
        <f t="shared" si="693"/>
        <v>36186</v>
      </c>
      <c r="K452" s="38">
        <f t="shared" si="694"/>
        <v>182114</v>
      </c>
      <c r="L452" s="38">
        <f t="shared" si="695"/>
        <v>247234</v>
      </c>
      <c r="M452" s="39">
        <f t="shared" si="696"/>
        <v>22200</v>
      </c>
      <c r="N452" s="40">
        <f t="shared" si="697"/>
        <v>13838</v>
      </c>
      <c r="O452" s="40">
        <f t="shared" si="698"/>
        <v>13172</v>
      </c>
      <c r="P452" s="40">
        <f t="shared" si="699"/>
        <v>17834</v>
      </c>
      <c r="Q452" s="40">
        <f t="shared" si="700"/>
        <v>111074</v>
      </c>
      <c r="R452" s="40">
        <f t="shared" si="701"/>
        <v>466940</v>
      </c>
      <c r="S452" s="40">
        <f t="shared" si="702"/>
        <v>31154</v>
      </c>
      <c r="T452" s="40">
        <f t="shared" si="703"/>
        <v>12210</v>
      </c>
      <c r="U452" s="40">
        <f t="shared" si="704"/>
        <v>15614</v>
      </c>
      <c r="V452" s="40">
        <f t="shared" si="705"/>
        <v>257520</v>
      </c>
      <c r="W452" s="40">
        <f t="shared" si="706"/>
        <v>190772</v>
      </c>
      <c r="X452" s="40">
        <f t="shared" si="707"/>
        <v>95090</v>
      </c>
      <c r="Y452" s="39">
        <f t="shared" si="708"/>
        <v>42550</v>
      </c>
      <c r="Z452" s="40">
        <f t="shared" si="709"/>
        <v>10138</v>
      </c>
      <c r="AA452" s="40">
        <f t="shared" si="710"/>
        <v>7400</v>
      </c>
      <c r="AB452" s="40">
        <f t="shared" si="711"/>
        <v>6660</v>
      </c>
      <c r="AC452" s="40">
        <f t="shared" si="712"/>
        <v>7622</v>
      </c>
      <c r="AD452" s="40">
        <f t="shared" si="713"/>
        <v>5624</v>
      </c>
      <c r="AE452" s="40">
        <f t="shared" si="714"/>
        <v>3774</v>
      </c>
      <c r="AF452" s="40">
        <f t="shared" si="715"/>
        <v>3330</v>
      </c>
      <c r="AG452" s="40">
        <f t="shared" si="716"/>
        <v>2442</v>
      </c>
      <c r="AH452" s="40">
        <f t="shared" si="687"/>
        <v>2294</v>
      </c>
      <c r="AI452" s="40">
        <f t="shared" si="688"/>
        <v>3691.7777777777774</v>
      </c>
      <c r="AJ452" s="40">
        <f t="shared" si="689"/>
        <v>0</v>
      </c>
      <c r="AK452" s="39">
        <f t="shared" si="690"/>
        <v>0</v>
      </c>
      <c r="AL452" s="38">
        <v>177</v>
      </c>
      <c r="AM452" s="38">
        <v>1305</v>
      </c>
      <c r="AN452" s="38">
        <v>349</v>
      </c>
      <c r="AO452" s="38">
        <v>2358</v>
      </c>
      <c r="AP452" s="38">
        <v>3219</v>
      </c>
      <c r="AQ452" s="39">
        <v>255</v>
      </c>
      <c r="AR452" s="40">
        <v>174</v>
      </c>
      <c r="AS452" s="40">
        <v>168</v>
      </c>
      <c r="AT452" s="40">
        <v>214</v>
      </c>
      <c r="AU452" s="40">
        <v>1404</v>
      </c>
      <c r="AV452" s="40">
        <v>6119</v>
      </c>
      <c r="AW452" s="40">
        <v>412</v>
      </c>
      <c r="AX452" s="40">
        <v>157</v>
      </c>
      <c r="AY452" s="40">
        <v>177</v>
      </c>
      <c r="AZ452" s="40">
        <v>3241</v>
      </c>
      <c r="BA452" s="40">
        <v>2573</v>
      </c>
      <c r="BB452" s="40">
        <v>1071</v>
      </c>
      <c r="BC452" s="39">
        <v>490</v>
      </c>
      <c r="BD452" s="40">
        <v>62</v>
      </c>
      <c r="BE452" s="40">
        <v>35</v>
      </c>
      <c r="BF452" s="40">
        <v>50</v>
      </c>
      <c r="BG452" s="40">
        <v>31</v>
      </c>
      <c r="BH452" s="40">
        <v>12</v>
      </c>
      <c r="BI452" s="40">
        <v>20</v>
      </c>
      <c r="BJ452" s="40">
        <v>8</v>
      </c>
      <c r="BK452" s="40">
        <v>5</v>
      </c>
      <c r="BL452" s="40">
        <v>3</v>
      </c>
      <c r="BM452" s="40">
        <v>1</v>
      </c>
      <c r="BN452" s="40"/>
      <c r="BO452" s="39"/>
      <c r="BP452" s="21">
        <v>19</v>
      </c>
      <c r="BQ452" s="21">
        <v>40</v>
      </c>
      <c r="BR452" s="21">
        <v>140</v>
      </c>
      <c r="BS452" s="21">
        <v>103</v>
      </c>
      <c r="BT452" s="21">
        <v>122</v>
      </c>
      <c r="BU452" s="42">
        <v>45</v>
      </c>
      <c r="BV452" s="21">
        <v>13</v>
      </c>
      <c r="BW452" s="21">
        <v>10</v>
      </c>
      <c r="BX452" s="21">
        <v>27</v>
      </c>
      <c r="BY452" s="21">
        <v>97</v>
      </c>
      <c r="BZ452" s="21">
        <v>191</v>
      </c>
      <c r="CA452" s="21">
        <v>9</v>
      </c>
      <c r="CB452" s="21">
        <v>8</v>
      </c>
      <c r="CC452" s="21">
        <v>34</v>
      </c>
      <c r="CD452" s="21">
        <v>239</v>
      </c>
      <c r="CE452" s="21">
        <v>5</v>
      </c>
      <c r="CF452" s="21">
        <v>214</v>
      </c>
      <c r="CG452" s="42">
        <v>85</v>
      </c>
      <c r="CH452" s="21">
        <v>75</v>
      </c>
      <c r="CI452" s="21">
        <v>65</v>
      </c>
      <c r="CJ452" s="21">
        <v>40</v>
      </c>
      <c r="CK452" s="21">
        <v>72</v>
      </c>
      <c r="CL452" s="21">
        <v>64</v>
      </c>
      <c r="CM452" s="21">
        <v>31</v>
      </c>
      <c r="CN452" s="21">
        <v>37</v>
      </c>
      <c r="CO452" s="21">
        <v>28</v>
      </c>
      <c r="CP452" s="21">
        <f t="shared" si="655"/>
        <v>28</v>
      </c>
      <c r="CQ452" s="343">
        <f t="shared" si="656"/>
        <v>48.888888888888886</v>
      </c>
      <c r="CR452" s="40"/>
      <c r="CS452" s="39"/>
      <c r="CT452" s="38">
        <f t="shared" si="657"/>
        <v>196</v>
      </c>
      <c r="CU452" s="38">
        <f t="shared" si="658"/>
        <v>1345</v>
      </c>
      <c r="CV452" s="38">
        <f t="shared" si="659"/>
        <v>489</v>
      </c>
      <c r="CW452" s="38">
        <f t="shared" si="660"/>
        <v>2461</v>
      </c>
      <c r="CX452" s="38">
        <f t="shared" si="661"/>
        <v>3341</v>
      </c>
      <c r="CY452" s="39">
        <f t="shared" si="662"/>
        <v>300</v>
      </c>
      <c r="CZ452" s="40">
        <f t="shared" si="663"/>
        <v>187</v>
      </c>
      <c r="DA452" s="40">
        <f t="shared" si="664"/>
        <v>178</v>
      </c>
      <c r="DB452" s="40">
        <f t="shared" si="665"/>
        <v>241</v>
      </c>
      <c r="DC452" s="40">
        <f t="shared" si="666"/>
        <v>1501</v>
      </c>
      <c r="DD452" s="40">
        <f t="shared" si="667"/>
        <v>6310</v>
      </c>
      <c r="DE452" s="40">
        <f t="shared" si="668"/>
        <v>421</v>
      </c>
      <c r="DF452" s="40">
        <f t="shared" si="669"/>
        <v>165</v>
      </c>
      <c r="DG452" s="40">
        <f t="shared" si="670"/>
        <v>211</v>
      </c>
      <c r="DH452" s="40">
        <f t="shared" si="671"/>
        <v>3480</v>
      </c>
      <c r="DI452" s="40">
        <f t="shared" si="672"/>
        <v>2578</v>
      </c>
      <c r="DJ452" s="40">
        <f t="shared" si="673"/>
        <v>1285</v>
      </c>
      <c r="DK452" s="39">
        <f t="shared" si="674"/>
        <v>575</v>
      </c>
      <c r="DL452" s="40">
        <f t="shared" si="675"/>
        <v>137</v>
      </c>
      <c r="DM452" s="40">
        <f t="shared" si="676"/>
        <v>100</v>
      </c>
      <c r="DN452" s="40">
        <f t="shared" si="677"/>
        <v>90</v>
      </c>
      <c r="DO452" s="40">
        <f t="shared" si="678"/>
        <v>103</v>
      </c>
      <c r="DP452" s="40">
        <f t="shared" si="679"/>
        <v>76</v>
      </c>
      <c r="DQ452" s="40">
        <f t="shared" si="680"/>
        <v>51</v>
      </c>
      <c r="DR452" s="40">
        <f t="shared" si="685"/>
        <v>45</v>
      </c>
      <c r="DS452" s="40">
        <f t="shared" si="686"/>
        <v>33</v>
      </c>
      <c r="DT452" s="40">
        <f t="shared" si="681"/>
        <v>31</v>
      </c>
      <c r="DU452" s="40">
        <f t="shared" si="682"/>
        <v>49.888888888888886</v>
      </c>
      <c r="DV452" s="40">
        <f t="shared" si="683"/>
        <v>0</v>
      </c>
      <c r="DW452" s="40">
        <f t="shared" si="684"/>
        <v>0</v>
      </c>
    </row>
    <row r="453" spans="1:127">
      <c r="A453" s="22" t="s">
        <v>33</v>
      </c>
      <c r="B453" s="26">
        <v>4987176212108</v>
      </c>
      <c r="C453" s="22" t="s">
        <v>38</v>
      </c>
      <c r="D453" s="22" t="s">
        <v>38</v>
      </c>
      <c r="E453" s="22">
        <v>224791</v>
      </c>
      <c r="F453" s="80" t="s">
        <v>541</v>
      </c>
      <c r="G453" s="25">
        <v>74</v>
      </c>
      <c r="H453" s="38">
        <f t="shared" si="691"/>
        <v>10434</v>
      </c>
      <c r="I453" s="38">
        <f t="shared" si="692"/>
        <v>15244</v>
      </c>
      <c r="J453" s="38">
        <f t="shared" si="693"/>
        <v>9176</v>
      </c>
      <c r="K453" s="38">
        <f t="shared" si="694"/>
        <v>177748</v>
      </c>
      <c r="L453" s="38">
        <f t="shared" si="695"/>
        <v>245606</v>
      </c>
      <c r="M453" s="39">
        <f t="shared" si="696"/>
        <v>20128</v>
      </c>
      <c r="N453" s="40">
        <f t="shared" si="697"/>
        <v>11100</v>
      </c>
      <c r="O453" s="40">
        <f t="shared" si="698"/>
        <v>11544</v>
      </c>
      <c r="P453" s="40">
        <f t="shared" si="699"/>
        <v>13690</v>
      </c>
      <c r="Q453" s="40">
        <f t="shared" si="700"/>
        <v>107744</v>
      </c>
      <c r="R453" s="40">
        <f t="shared" si="701"/>
        <v>433714</v>
      </c>
      <c r="S453" s="40">
        <f t="shared" si="702"/>
        <v>26566</v>
      </c>
      <c r="T453" s="40">
        <f t="shared" si="703"/>
        <v>10582</v>
      </c>
      <c r="U453" s="40">
        <f t="shared" si="704"/>
        <v>14652</v>
      </c>
      <c r="V453" s="40">
        <f t="shared" si="705"/>
        <v>132978</v>
      </c>
      <c r="W453" s="40">
        <f t="shared" si="706"/>
        <v>117808</v>
      </c>
      <c r="X453" s="40">
        <f t="shared" si="707"/>
        <v>14060</v>
      </c>
      <c r="Y453" s="39">
        <f t="shared" si="708"/>
        <v>13468</v>
      </c>
      <c r="Z453" s="40">
        <f t="shared" si="709"/>
        <v>10434</v>
      </c>
      <c r="AA453" s="40">
        <f t="shared" si="710"/>
        <v>8140</v>
      </c>
      <c r="AB453" s="40">
        <f t="shared" si="711"/>
        <v>6512</v>
      </c>
      <c r="AC453" s="40">
        <f t="shared" si="712"/>
        <v>6660</v>
      </c>
      <c r="AD453" s="40">
        <f t="shared" si="713"/>
        <v>2146</v>
      </c>
      <c r="AE453" s="40">
        <f t="shared" si="714"/>
        <v>1480</v>
      </c>
      <c r="AF453" s="40">
        <f t="shared" si="715"/>
        <v>1036</v>
      </c>
      <c r="AG453" s="40">
        <f t="shared" si="716"/>
        <v>1332</v>
      </c>
      <c r="AH453" s="40">
        <f t="shared" si="687"/>
        <v>148</v>
      </c>
      <c r="AI453" s="40">
        <f t="shared" si="688"/>
        <v>920.88888888888891</v>
      </c>
      <c r="AJ453" s="40">
        <f t="shared" si="689"/>
        <v>0</v>
      </c>
      <c r="AK453" s="39">
        <f t="shared" si="690"/>
        <v>0</v>
      </c>
      <c r="AL453" s="38">
        <v>127</v>
      </c>
      <c r="AM453" s="38">
        <v>191</v>
      </c>
      <c r="AN453" s="38">
        <v>105</v>
      </c>
      <c r="AO453" s="38">
        <v>2332</v>
      </c>
      <c r="AP453" s="38">
        <v>3206</v>
      </c>
      <c r="AQ453" s="39">
        <v>224</v>
      </c>
      <c r="AR453" s="40">
        <v>137</v>
      </c>
      <c r="AS453" s="40">
        <v>146</v>
      </c>
      <c r="AT453" s="40">
        <v>168</v>
      </c>
      <c r="AU453" s="40">
        <v>1365</v>
      </c>
      <c r="AV453" s="40">
        <v>5678</v>
      </c>
      <c r="AW453" s="40">
        <v>351</v>
      </c>
      <c r="AX453" s="40">
        <v>141</v>
      </c>
      <c r="AY453" s="40">
        <v>181</v>
      </c>
      <c r="AZ453" s="40">
        <v>1597</v>
      </c>
      <c r="BA453" s="40">
        <v>1587</v>
      </c>
      <c r="BB453" s="40">
        <v>120</v>
      </c>
      <c r="BC453" s="39">
        <v>159</v>
      </c>
      <c r="BD453" s="40">
        <v>119</v>
      </c>
      <c r="BE453" s="40">
        <v>85</v>
      </c>
      <c r="BF453" s="40">
        <v>78</v>
      </c>
      <c r="BG453" s="40">
        <v>89</v>
      </c>
      <c r="BH453" s="40">
        <v>29</v>
      </c>
      <c r="BI453" s="40">
        <v>20</v>
      </c>
      <c r="BJ453" s="40">
        <v>14</v>
      </c>
      <c r="BK453" s="40">
        <v>18</v>
      </c>
      <c r="BL453" s="40">
        <v>2</v>
      </c>
      <c r="BM453" s="40">
        <v>6</v>
      </c>
      <c r="BN453" s="40"/>
      <c r="BO453" s="39"/>
      <c r="BP453" s="21">
        <v>14</v>
      </c>
      <c r="BQ453" s="21">
        <v>15</v>
      </c>
      <c r="BR453" s="21">
        <v>19</v>
      </c>
      <c r="BS453" s="21">
        <v>70</v>
      </c>
      <c r="BT453" s="21">
        <v>113</v>
      </c>
      <c r="BU453" s="42">
        <v>48</v>
      </c>
      <c r="BV453" s="21">
        <v>13</v>
      </c>
      <c r="BW453" s="21">
        <v>10</v>
      </c>
      <c r="BX453" s="21">
        <v>17</v>
      </c>
      <c r="BY453" s="21">
        <v>91</v>
      </c>
      <c r="BZ453" s="21">
        <v>183</v>
      </c>
      <c r="CA453" s="21">
        <v>8</v>
      </c>
      <c r="CB453" s="21">
        <v>2</v>
      </c>
      <c r="CC453" s="21">
        <v>17</v>
      </c>
      <c r="CD453" s="21">
        <v>200</v>
      </c>
      <c r="CE453" s="21">
        <v>5</v>
      </c>
      <c r="CF453" s="21">
        <v>70</v>
      </c>
      <c r="CG453" s="42">
        <v>23</v>
      </c>
      <c r="CH453" s="21">
        <v>22</v>
      </c>
      <c r="CI453" s="21">
        <v>25</v>
      </c>
      <c r="CJ453" s="21">
        <v>10</v>
      </c>
      <c r="CK453" s="21">
        <v>1</v>
      </c>
      <c r="CL453" s="21">
        <v>0</v>
      </c>
      <c r="CM453" s="21">
        <v>0</v>
      </c>
      <c r="CN453" s="21">
        <v>0</v>
      </c>
      <c r="CO453" s="21">
        <v>0</v>
      </c>
      <c r="CP453" s="21">
        <f t="shared" ref="CP453:CP516" si="717">CO453</f>
        <v>0</v>
      </c>
      <c r="CQ453" s="343">
        <f t="shared" ref="CQ453:CQ516" si="718">AVERAGE(CH453:CP453)</f>
        <v>6.4444444444444446</v>
      </c>
      <c r="CR453" s="40"/>
      <c r="CS453" s="39"/>
      <c r="CT453" s="38">
        <f t="shared" si="657"/>
        <v>141</v>
      </c>
      <c r="CU453" s="38">
        <f t="shared" si="658"/>
        <v>206</v>
      </c>
      <c r="CV453" s="38">
        <f t="shared" si="659"/>
        <v>124</v>
      </c>
      <c r="CW453" s="38">
        <f t="shared" si="660"/>
        <v>2402</v>
      </c>
      <c r="CX453" s="38">
        <f t="shared" si="661"/>
        <v>3319</v>
      </c>
      <c r="CY453" s="39">
        <f t="shared" si="662"/>
        <v>272</v>
      </c>
      <c r="CZ453" s="40">
        <f t="shared" si="663"/>
        <v>150</v>
      </c>
      <c r="DA453" s="40">
        <f t="shared" si="664"/>
        <v>156</v>
      </c>
      <c r="DB453" s="40">
        <f t="shared" si="665"/>
        <v>185</v>
      </c>
      <c r="DC453" s="40">
        <f t="shared" si="666"/>
        <v>1456</v>
      </c>
      <c r="DD453" s="40">
        <f t="shared" si="667"/>
        <v>5861</v>
      </c>
      <c r="DE453" s="40">
        <f t="shared" si="668"/>
        <v>359</v>
      </c>
      <c r="DF453" s="40">
        <f t="shared" si="669"/>
        <v>143</v>
      </c>
      <c r="DG453" s="40">
        <f t="shared" si="670"/>
        <v>198</v>
      </c>
      <c r="DH453" s="40">
        <f t="shared" si="671"/>
        <v>1797</v>
      </c>
      <c r="DI453" s="40">
        <f t="shared" si="672"/>
        <v>1592</v>
      </c>
      <c r="DJ453" s="40">
        <f t="shared" si="673"/>
        <v>190</v>
      </c>
      <c r="DK453" s="39">
        <f t="shared" si="674"/>
        <v>182</v>
      </c>
      <c r="DL453" s="40">
        <f t="shared" si="675"/>
        <v>141</v>
      </c>
      <c r="DM453" s="40">
        <f t="shared" si="676"/>
        <v>110</v>
      </c>
      <c r="DN453" s="40">
        <f t="shared" si="677"/>
        <v>88</v>
      </c>
      <c r="DO453" s="40">
        <f t="shared" si="678"/>
        <v>90</v>
      </c>
      <c r="DP453" s="40">
        <f t="shared" si="679"/>
        <v>29</v>
      </c>
      <c r="DQ453" s="40">
        <f t="shared" si="680"/>
        <v>20</v>
      </c>
      <c r="DR453" s="40">
        <f t="shared" si="685"/>
        <v>14</v>
      </c>
      <c r="DS453" s="40">
        <f t="shared" si="686"/>
        <v>18</v>
      </c>
      <c r="DT453" s="40">
        <f t="shared" si="681"/>
        <v>2</v>
      </c>
      <c r="DU453" s="40">
        <f t="shared" si="682"/>
        <v>12.444444444444445</v>
      </c>
      <c r="DV453" s="40">
        <f t="shared" si="683"/>
        <v>0</v>
      </c>
      <c r="DW453" s="40">
        <f t="shared" si="684"/>
        <v>0</v>
      </c>
    </row>
    <row r="454" spans="1:127">
      <c r="A454" s="22" t="s">
        <v>33</v>
      </c>
      <c r="B454" s="26">
        <v>4902430402606</v>
      </c>
      <c r="C454" s="22" t="s">
        <v>38</v>
      </c>
      <c r="D454" s="22" t="s">
        <v>38</v>
      </c>
      <c r="E454" s="22">
        <v>359393</v>
      </c>
      <c r="F454" s="80" t="s">
        <v>542</v>
      </c>
      <c r="G454" s="25">
        <v>56.599999999999994</v>
      </c>
      <c r="H454" s="38">
        <f t="shared" si="691"/>
        <v>0</v>
      </c>
      <c r="I454" s="38">
        <f t="shared" si="692"/>
        <v>0</v>
      </c>
      <c r="J454" s="38">
        <f t="shared" si="693"/>
        <v>0</v>
      </c>
      <c r="K454" s="38">
        <f t="shared" si="694"/>
        <v>0</v>
      </c>
      <c r="L454" s="38">
        <f t="shared" si="695"/>
        <v>0</v>
      </c>
      <c r="M454" s="39">
        <f t="shared" si="696"/>
        <v>0</v>
      </c>
      <c r="N454" s="40">
        <f t="shared" si="697"/>
        <v>0</v>
      </c>
      <c r="O454" s="40">
        <f t="shared" si="698"/>
        <v>0</v>
      </c>
      <c r="P454" s="40">
        <f t="shared" si="699"/>
        <v>0</v>
      </c>
      <c r="Q454" s="40">
        <f t="shared" si="700"/>
        <v>0</v>
      </c>
      <c r="R454" s="40">
        <f t="shared" si="701"/>
        <v>0</v>
      </c>
      <c r="S454" s="40">
        <f t="shared" si="702"/>
        <v>0</v>
      </c>
      <c r="T454" s="40">
        <f t="shared" si="703"/>
        <v>0</v>
      </c>
      <c r="U454" s="40">
        <f t="shared" si="704"/>
        <v>0</v>
      </c>
      <c r="V454" s="40">
        <f t="shared" si="705"/>
        <v>0</v>
      </c>
      <c r="W454" s="40">
        <f t="shared" si="706"/>
        <v>0</v>
      </c>
      <c r="X454" s="40">
        <f t="shared" si="707"/>
        <v>0</v>
      </c>
      <c r="Y454" s="39">
        <f t="shared" si="708"/>
        <v>0</v>
      </c>
      <c r="Z454" s="40">
        <f t="shared" si="709"/>
        <v>0</v>
      </c>
      <c r="AA454" s="40">
        <f t="shared" si="710"/>
        <v>0</v>
      </c>
      <c r="AB454" s="40">
        <f t="shared" si="711"/>
        <v>0</v>
      </c>
      <c r="AC454" s="40">
        <f t="shared" si="712"/>
        <v>0</v>
      </c>
      <c r="AD454" s="40">
        <f t="shared" si="713"/>
        <v>0</v>
      </c>
      <c r="AE454" s="40">
        <f t="shared" si="714"/>
        <v>0</v>
      </c>
      <c r="AF454" s="40">
        <f t="shared" si="715"/>
        <v>0</v>
      </c>
      <c r="AG454" s="40">
        <f t="shared" si="716"/>
        <v>0</v>
      </c>
      <c r="AH454" s="40">
        <f t="shared" si="687"/>
        <v>0</v>
      </c>
      <c r="AI454" s="40">
        <f t="shared" si="688"/>
        <v>0</v>
      </c>
      <c r="AJ454" s="40">
        <f t="shared" si="689"/>
        <v>0</v>
      </c>
      <c r="AK454" s="39">
        <f t="shared" si="690"/>
        <v>0</v>
      </c>
      <c r="AL454" s="38">
        <v>0</v>
      </c>
      <c r="AM454" s="38">
        <v>0</v>
      </c>
      <c r="AN454" s="38">
        <v>0</v>
      </c>
      <c r="AO454" s="38">
        <v>0</v>
      </c>
      <c r="AP454" s="38">
        <v>0</v>
      </c>
      <c r="AQ454" s="39">
        <v>0</v>
      </c>
      <c r="AR454" s="40">
        <v>0</v>
      </c>
      <c r="AS454" s="40">
        <v>0</v>
      </c>
      <c r="AT454" s="40">
        <v>0</v>
      </c>
      <c r="AU454" s="40">
        <v>0</v>
      </c>
      <c r="AV454" s="40">
        <v>0</v>
      </c>
      <c r="AW454" s="40">
        <v>0</v>
      </c>
      <c r="AX454" s="40">
        <v>0</v>
      </c>
      <c r="AY454" s="40">
        <v>0</v>
      </c>
      <c r="AZ454" s="40">
        <v>0</v>
      </c>
      <c r="BA454" s="40">
        <v>0</v>
      </c>
      <c r="BB454" s="40">
        <v>0</v>
      </c>
      <c r="BC454" s="39">
        <v>0</v>
      </c>
      <c r="BD454" s="40">
        <v>0</v>
      </c>
      <c r="BE454" s="40">
        <v>0</v>
      </c>
      <c r="BF454" s="40">
        <v>0</v>
      </c>
      <c r="BG454" s="40">
        <v>0</v>
      </c>
      <c r="BH454" s="40">
        <v>0</v>
      </c>
      <c r="BI454" s="40">
        <v>0</v>
      </c>
      <c r="BJ454" s="40">
        <v>0</v>
      </c>
      <c r="BK454" s="40">
        <v>0</v>
      </c>
      <c r="BL454" s="40">
        <v>0</v>
      </c>
      <c r="BM454" s="40" t="s">
        <v>768</v>
      </c>
      <c r="BN454" s="40"/>
      <c r="BO454" s="39"/>
      <c r="BP454" s="21">
        <v>0</v>
      </c>
      <c r="BQ454" s="21">
        <v>0</v>
      </c>
      <c r="BR454" s="21">
        <v>0</v>
      </c>
      <c r="BS454" s="21">
        <v>0</v>
      </c>
      <c r="BT454" s="21">
        <v>0</v>
      </c>
      <c r="BU454" s="42">
        <v>0</v>
      </c>
      <c r="BV454" s="21">
        <v>0</v>
      </c>
      <c r="BW454" s="21">
        <v>0</v>
      </c>
      <c r="BX454" s="21">
        <v>0</v>
      </c>
      <c r="BY454" s="21">
        <v>0</v>
      </c>
      <c r="BZ454" s="21">
        <v>0</v>
      </c>
      <c r="CA454" s="21">
        <v>0</v>
      </c>
      <c r="CB454" s="21">
        <v>0</v>
      </c>
      <c r="CC454" s="21">
        <v>0</v>
      </c>
      <c r="CD454" s="21">
        <v>0</v>
      </c>
      <c r="CE454" s="21">
        <v>0</v>
      </c>
      <c r="CF454" s="21">
        <v>0</v>
      </c>
      <c r="CG454" s="42">
        <v>0</v>
      </c>
      <c r="CH454" s="21">
        <v>0</v>
      </c>
      <c r="CI454" s="21">
        <v>0</v>
      </c>
      <c r="CJ454" s="21">
        <v>0</v>
      </c>
      <c r="CK454" s="21">
        <v>0</v>
      </c>
      <c r="CL454" s="21">
        <v>0</v>
      </c>
      <c r="CM454" s="21">
        <v>0</v>
      </c>
      <c r="CN454" s="21">
        <v>0</v>
      </c>
      <c r="CO454" s="21">
        <v>0</v>
      </c>
      <c r="CP454" s="21">
        <f t="shared" si="717"/>
        <v>0</v>
      </c>
      <c r="CQ454" s="343">
        <f t="shared" si="718"/>
        <v>0</v>
      </c>
      <c r="CR454" s="40"/>
      <c r="CS454" s="39"/>
      <c r="CT454" s="38">
        <f t="shared" si="657"/>
        <v>0</v>
      </c>
      <c r="CU454" s="38">
        <f t="shared" si="658"/>
        <v>0</v>
      </c>
      <c r="CV454" s="38">
        <f t="shared" si="659"/>
        <v>0</v>
      </c>
      <c r="CW454" s="38">
        <f t="shared" si="660"/>
        <v>0</v>
      </c>
      <c r="CX454" s="38">
        <f t="shared" si="661"/>
        <v>0</v>
      </c>
      <c r="CY454" s="39">
        <f t="shared" si="662"/>
        <v>0</v>
      </c>
      <c r="CZ454" s="40">
        <f t="shared" si="663"/>
        <v>0</v>
      </c>
      <c r="DA454" s="40">
        <f t="shared" si="664"/>
        <v>0</v>
      </c>
      <c r="DB454" s="40">
        <f t="shared" si="665"/>
        <v>0</v>
      </c>
      <c r="DC454" s="40">
        <f t="shared" si="666"/>
        <v>0</v>
      </c>
      <c r="DD454" s="40">
        <f t="shared" si="667"/>
        <v>0</v>
      </c>
      <c r="DE454" s="40">
        <f t="shared" si="668"/>
        <v>0</v>
      </c>
      <c r="DF454" s="40">
        <f t="shared" si="669"/>
        <v>0</v>
      </c>
      <c r="DG454" s="40">
        <f t="shared" si="670"/>
        <v>0</v>
      </c>
      <c r="DH454" s="40">
        <f t="shared" si="671"/>
        <v>0</v>
      </c>
      <c r="DI454" s="40">
        <f t="shared" si="672"/>
        <v>0</v>
      </c>
      <c r="DJ454" s="40">
        <f t="shared" si="673"/>
        <v>0</v>
      </c>
      <c r="DK454" s="39">
        <f t="shared" si="674"/>
        <v>0</v>
      </c>
      <c r="DL454" s="40">
        <f t="shared" si="675"/>
        <v>0</v>
      </c>
      <c r="DM454" s="40">
        <f t="shared" si="676"/>
        <v>0</v>
      </c>
      <c r="DN454" s="40">
        <f t="shared" si="677"/>
        <v>0</v>
      </c>
      <c r="DO454" s="40">
        <f t="shared" si="678"/>
        <v>0</v>
      </c>
      <c r="DP454" s="40">
        <f t="shared" si="679"/>
        <v>0</v>
      </c>
      <c r="DQ454" s="40">
        <f t="shared" si="680"/>
        <v>0</v>
      </c>
      <c r="DR454" s="40">
        <f t="shared" si="685"/>
        <v>0</v>
      </c>
      <c r="DS454" s="40">
        <f t="shared" si="686"/>
        <v>0</v>
      </c>
      <c r="DT454" s="40">
        <f t="shared" si="681"/>
        <v>0</v>
      </c>
      <c r="DU454" s="40">
        <f t="shared" si="682"/>
        <v>0</v>
      </c>
      <c r="DV454" s="40">
        <f t="shared" si="683"/>
        <v>0</v>
      </c>
      <c r="DW454" s="40">
        <f t="shared" si="684"/>
        <v>0</v>
      </c>
    </row>
    <row r="455" spans="1:127">
      <c r="A455" s="22" t="s">
        <v>33</v>
      </c>
      <c r="B455" s="26">
        <v>4902430360371</v>
      </c>
      <c r="C455" s="22" t="s">
        <v>38</v>
      </c>
      <c r="D455" s="22" t="s">
        <v>38</v>
      </c>
      <c r="E455" s="22">
        <v>342034</v>
      </c>
      <c r="F455" s="80" t="s">
        <v>543</v>
      </c>
      <c r="G455" s="25">
        <v>150.19999999999999</v>
      </c>
      <c r="H455" s="38">
        <f t="shared" si="691"/>
        <v>4656.2</v>
      </c>
      <c r="I455" s="38">
        <f t="shared" si="692"/>
        <v>12166.199999999999</v>
      </c>
      <c r="J455" s="38">
        <f t="shared" si="693"/>
        <v>7960.5999999999995</v>
      </c>
      <c r="K455" s="38">
        <f t="shared" si="694"/>
        <v>3454.6</v>
      </c>
      <c r="L455" s="38">
        <f t="shared" si="695"/>
        <v>3754.9999999999995</v>
      </c>
      <c r="M455" s="39">
        <f t="shared" si="696"/>
        <v>2553.3999999999996</v>
      </c>
      <c r="N455" s="40">
        <f t="shared" si="697"/>
        <v>3454.6</v>
      </c>
      <c r="O455" s="40">
        <f t="shared" si="698"/>
        <v>1351.8</v>
      </c>
      <c r="P455" s="40">
        <f t="shared" si="699"/>
        <v>0</v>
      </c>
      <c r="Q455" s="40">
        <f t="shared" si="700"/>
        <v>0</v>
      </c>
      <c r="R455" s="40">
        <f t="shared" si="701"/>
        <v>0</v>
      </c>
      <c r="S455" s="40">
        <f t="shared" si="702"/>
        <v>150.19999999999999</v>
      </c>
      <c r="T455" s="40">
        <f t="shared" si="703"/>
        <v>0</v>
      </c>
      <c r="U455" s="40">
        <f t="shared" si="704"/>
        <v>0</v>
      </c>
      <c r="V455" s="40">
        <f t="shared" si="705"/>
        <v>0</v>
      </c>
      <c r="W455" s="40">
        <f t="shared" si="706"/>
        <v>0</v>
      </c>
      <c r="X455" s="40">
        <f t="shared" si="707"/>
        <v>0</v>
      </c>
      <c r="Y455" s="39">
        <f t="shared" si="708"/>
        <v>0</v>
      </c>
      <c r="Z455" s="40">
        <f t="shared" si="709"/>
        <v>0</v>
      </c>
      <c r="AA455" s="40">
        <f t="shared" si="710"/>
        <v>0</v>
      </c>
      <c r="AB455" s="40">
        <f t="shared" si="711"/>
        <v>0</v>
      </c>
      <c r="AC455" s="40">
        <f t="shared" si="712"/>
        <v>0</v>
      </c>
      <c r="AD455" s="40">
        <f t="shared" si="713"/>
        <v>0</v>
      </c>
      <c r="AE455" s="40">
        <f t="shared" si="714"/>
        <v>0</v>
      </c>
      <c r="AF455" s="40">
        <f t="shared" si="715"/>
        <v>0</v>
      </c>
      <c r="AG455" s="40">
        <f t="shared" si="716"/>
        <v>0</v>
      </c>
      <c r="AH455" s="40">
        <f t="shared" si="687"/>
        <v>0</v>
      </c>
      <c r="AI455" s="40">
        <f t="shared" si="688"/>
        <v>0</v>
      </c>
      <c r="AJ455" s="40">
        <f t="shared" si="689"/>
        <v>0</v>
      </c>
      <c r="AK455" s="39">
        <f t="shared" si="690"/>
        <v>0</v>
      </c>
      <c r="AL455" s="38">
        <v>17</v>
      </c>
      <c r="AM455" s="38">
        <v>50</v>
      </c>
      <c r="AN455" s="38">
        <v>29</v>
      </c>
      <c r="AO455" s="38">
        <v>23</v>
      </c>
      <c r="AP455" s="38">
        <v>25</v>
      </c>
      <c r="AQ455" s="39">
        <v>17</v>
      </c>
      <c r="AR455" s="40">
        <v>23</v>
      </c>
      <c r="AS455" s="40">
        <v>9</v>
      </c>
      <c r="AT455" s="40">
        <v>0</v>
      </c>
      <c r="AU455" s="40">
        <v>0</v>
      </c>
      <c r="AV455" s="40">
        <v>0</v>
      </c>
      <c r="AW455" s="40">
        <v>1</v>
      </c>
      <c r="AX455" s="40">
        <v>0</v>
      </c>
      <c r="AY455" s="40">
        <v>0</v>
      </c>
      <c r="AZ455" s="40">
        <v>0</v>
      </c>
      <c r="BA455" s="40">
        <v>0</v>
      </c>
      <c r="BB455" s="40">
        <v>0</v>
      </c>
      <c r="BC455" s="39">
        <v>0</v>
      </c>
      <c r="BD455" s="40">
        <v>0</v>
      </c>
      <c r="BE455" s="40">
        <v>0</v>
      </c>
      <c r="BF455" s="40">
        <v>0</v>
      </c>
      <c r="BG455" s="40">
        <v>0</v>
      </c>
      <c r="BH455" s="40">
        <v>0</v>
      </c>
      <c r="BI455" s="40">
        <v>0</v>
      </c>
      <c r="BJ455" s="40">
        <v>0</v>
      </c>
      <c r="BK455" s="40">
        <v>0</v>
      </c>
      <c r="BL455" s="40">
        <v>0</v>
      </c>
      <c r="BM455" s="40">
        <v>0</v>
      </c>
      <c r="BN455" s="40"/>
      <c r="BO455" s="39"/>
      <c r="BP455" s="21">
        <v>14</v>
      </c>
      <c r="BQ455" s="21">
        <v>31</v>
      </c>
      <c r="BR455" s="21">
        <v>24</v>
      </c>
      <c r="BS455" s="21">
        <v>0</v>
      </c>
      <c r="BT455" s="21">
        <v>0</v>
      </c>
      <c r="BU455" s="42">
        <v>0</v>
      </c>
      <c r="BV455" s="21">
        <v>0</v>
      </c>
      <c r="BW455" s="21">
        <v>0</v>
      </c>
      <c r="BX455" s="21">
        <v>0</v>
      </c>
      <c r="BY455" s="21">
        <v>0</v>
      </c>
      <c r="BZ455" s="21">
        <v>0</v>
      </c>
      <c r="CA455" s="21">
        <v>0</v>
      </c>
      <c r="CB455" s="21">
        <v>0</v>
      </c>
      <c r="CC455" s="21">
        <v>0</v>
      </c>
      <c r="CD455" s="21">
        <v>0</v>
      </c>
      <c r="CE455" s="21">
        <v>0</v>
      </c>
      <c r="CF455" s="21">
        <v>0</v>
      </c>
      <c r="CG455" s="42">
        <v>0</v>
      </c>
      <c r="CH455" s="21">
        <v>0</v>
      </c>
      <c r="CI455" s="21">
        <v>0</v>
      </c>
      <c r="CJ455" s="21">
        <v>0</v>
      </c>
      <c r="CK455" s="21">
        <v>0</v>
      </c>
      <c r="CL455" s="21">
        <v>0</v>
      </c>
      <c r="CM455" s="21">
        <v>0</v>
      </c>
      <c r="CN455" s="21">
        <v>0</v>
      </c>
      <c r="CO455" s="21">
        <v>0</v>
      </c>
      <c r="CP455" s="21">
        <f t="shared" si="717"/>
        <v>0</v>
      </c>
      <c r="CQ455" s="343">
        <f t="shared" si="718"/>
        <v>0</v>
      </c>
      <c r="CR455" s="40"/>
      <c r="CS455" s="39"/>
      <c r="CT455" s="38">
        <f t="shared" si="657"/>
        <v>31</v>
      </c>
      <c r="CU455" s="38">
        <f t="shared" si="658"/>
        <v>81</v>
      </c>
      <c r="CV455" s="38">
        <f t="shared" si="659"/>
        <v>53</v>
      </c>
      <c r="CW455" s="38">
        <f t="shared" si="660"/>
        <v>23</v>
      </c>
      <c r="CX455" s="38">
        <f t="shared" si="661"/>
        <v>25</v>
      </c>
      <c r="CY455" s="39">
        <f t="shared" si="662"/>
        <v>17</v>
      </c>
      <c r="CZ455" s="40">
        <f t="shared" si="663"/>
        <v>23</v>
      </c>
      <c r="DA455" s="40">
        <f t="shared" si="664"/>
        <v>9</v>
      </c>
      <c r="DB455" s="40">
        <f t="shared" si="665"/>
        <v>0</v>
      </c>
      <c r="DC455" s="40">
        <f t="shared" si="666"/>
        <v>0</v>
      </c>
      <c r="DD455" s="40">
        <f t="shared" si="667"/>
        <v>0</v>
      </c>
      <c r="DE455" s="40">
        <f t="shared" si="668"/>
        <v>1</v>
      </c>
      <c r="DF455" s="40">
        <f t="shared" si="669"/>
        <v>0</v>
      </c>
      <c r="DG455" s="40">
        <f t="shared" si="670"/>
        <v>0</v>
      </c>
      <c r="DH455" s="40">
        <f t="shared" si="671"/>
        <v>0</v>
      </c>
      <c r="DI455" s="40">
        <f t="shared" si="672"/>
        <v>0</v>
      </c>
      <c r="DJ455" s="40">
        <f t="shared" si="673"/>
        <v>0</v>
      </c>
      <c r="DK455" s="39">
        <f t="shared" si="674"/>
        <v>0</v>
      </c>
      <c r="DL455" s="40">
        <f t="shared" si="675"/>
        <v>0</v>
      </c>
      <c r="DM455" s="40">
        <f t="shared" si="676"/>
        <v>0</v>
      </c>
      <c r="DN455" s="40">
        <f t="shared" si="677"/>
        <v>0</v>
      </c>
      <c r="DO455" s="40">
        <f t="shared" si="678"/>
        <v>0</v>
      </c>
      <c r="DP455" s="40">
        <f t="shared" si="679"/>
        <v>0</v>
      </c>
      <c r="DQ455" s="40">
        <f t="shared" si="680"/>
        <v>0</v>
      </c>
      <c r="DR455" s="40">
        <f t="shared" si="685"/>
        <v>0</v>
      </c>
      <c r="DS455" s="40">
        <f t="shared" si="686"/>
        <v>0</v>
      </c>
      <c r="DT455" s="40">
        <f t="shared" si="681"/>
        <v>0</v>
      </c>
      <c r="DU455" s="40">
        <f t="shared" si="682"/>
        <v>0</v>
      </c>
      <c r="DV455" s="40">
        <f t="shared" si="683"/>
        <v>0</v>
      </c>
      <c r="DW455" s="40">
        <f t="shared" si="684"/>
        <v>0</v>
      </c>
    </row>
    <row r="456" spans="1:127">
      <c r="A456" s="22" t="s">
        <v>33</v>
      </c>
      <c r="B456" s="26">
        <v>4902430360340</v>
      </c>
      <c r="C456" s="22" t="s">
        <v>38</v>
      </c>
      <c r="D456" s="22" t="s">
        <v>38</v>
      </c>
      <c r="E456" s="22">
        <v>342047</v>
      </c>
      <c r="F456" s="80" t="s">
        <v>544</v>
      </c>
      <c r="G456" s="25">
        <v>150.19999999999999</v>
      </c>
      <c r="H456" s="38">
        <f t="shared" si="691"/>
        <v>4055.3999999999996</v>
      </c>
      <c r="I456" s="38">
        <f t="shared" si="692"/>
        <v>13217.599999999999</v>
      </c>
      <c r="J456" s="38">
        <f t="shared" si="693"/>
        <v>5707.5999999999995</v>
      </c>
      <c r="K456" s="38">
        <f t="shared" si="694"/>
        <v>5407.2</v>
      </c>
      <c r="L456" s="38">
        <f t="shared" si="695"/>
        <v>11114.8</v>
      </c>
      <c r="M456" s="39">
        <f t="shared" si="696"/>
        <v>11415.199999999999</v>
      </c>
      <c r="N456" s="40">
        <f t="shared" si="697"/>
        <v>13217.599999999999</v>
      </c>
      <c r="O456" s="40">
        <f t="shared" si="698"/>
        <v>11415.199999999999</v>
      </c>
      <c r="P456" s="40">
        <f t="shared" si="699"/>
        <v>9763</v>
      </c>
      <c r="Q456" s="40">
        <f t="shared" si="700"/>
        <v>5407.2</v>
      </c>
      <c r="R456" s="40">
        <f t="shared" si="701"/>
        <v>11715.599999999999</v>
      </c>
      <c r="S456" s="40">
        <f t="shared" si="702"/>
        <v>8561.4</v>
      </c>
      <c r="T456" s="40">
        <f t="shared" si="703"/>
        <v>6158.2</v>
      </c>
      <c r="U456" s="40">
        <f t="shared" si="704"/>
        <v>6158.2</v>
      </c>
      <c r="V456" s="40">
        <f t="shared" si="705"/>
        <v>4806.3999999999996</v>
      </c>
      <c r="W456" s="40">
        <f t="shared" si="706"/>
        <v>4205.5999999999995</v>
      </c>
      <c r="X456" s="40">
        <f t="shared" si="707"/>
        <v>2253</v>
      </c>
      <c r="Y456" s="39">
        <f t="shared" si="708"/>
        <v>1051.3999999999999</v>
      </c>
      <c r="Z456" s="40">
        <f t="shared" si="709"/>
        <v>600.79999999999995</v>
      </c>
      <c r="AA456" s="40">
        <f t="shared" si="710"/>
        <v>1502</v>
      </c>
      <c r="AB456" s="40">
        <f t="shared" si="711"/>
        <v>600.79999999999995</v>
      </c>
      <c r="AC456" s="40">
        <f t="shared" si="712"/>
        <v>0</v>
      </c>
      <c r="AD456" s="40">
        <f t="shared" si="713"/>
        <v>0</v>
      </c>
      <c r="AE456" s="40">
        <f t="shared" si="714"/>
        <v>0</v>
      </c>
      <c r="AF456" s="40">
        <f t="shared" si="715"/>
        <v>0</v>
      </c>
      <c r="AG456" s="40">
        <f t="shared" si="716"/>
        <v>0</v>
      </c>
      <c r="AH456" s="40">
        <f t="shared" si="687"/>
        <v>0</v>
      </c>
      <c r="AI456" s="40">
        <f t="shared" si="688"/>
        <v>0</v>
      </c>
      <c r="AJ456" s="40">
        <f t="shared" si="689"/>
        <v>0</v>
      </c>
      <c r="AK456" s="39">
        <f t="shared" si="690"/>
        <v>0</v>
      </c>
      <c r="AL456" s="38">
        <v>18</v>
      </c>
      <c r="AM456" s="38">
        <v>51</v>
      </c>
      <c r="AN456" s="38">
        <v>21</v>
      </c>
      <c r="AO456" s="38">
        <v>26</v>
      </c>
      <c r="AP456" s="38">
        <v>55</v>
      </c>
      <c r="AQ456" s="39">
        <v>38</v>
      </c>
      <c r="AR456" s="40">
        <v>54</v>
      </c>
      <c r="AS456" s="40">
        <v>56</v>
      </c>
      <c r="AT456" s="40">
        <v>34</v>
      </c>
      <c r="AU456" s="40">
        <v>21</v>
      </c>
      <c r="AV456" s="40">
        <v>41</v>
      </c>
      <c r="AW456" s="40">
        <v>57</v>
      </c>
      <c r="AX456" s="40">
        <v>41</v>
      </c>
      <c r="AY456" s="40">
        <v>41</v>
      </c>
      <c r="AZ456" s="40">
        <v>32</v>
      </c>
      <c r="BA456" s="40">
        <v>28</v>
      </c>
      <c r="BB456" s="40">
        <v>15</v>
      </c>
      <c r="BC456" s="39">
        <v>7</v>
      </c>
      <c r="BD456" s="40">
        <v>4</v>
      </c>
      <c r="BE456" s="40">
        <v>10</v>
      </c>
      <c r="BF456" s="40">
        <v>4</v>
      </c>
      <c r="BG456" s="40">
        <v>0</v>
      </c>
      <c r="BH456" s="40">
        <v>0</v>
      </c>
      <c r="BI456" s="40">
        <v>0</v>
      </c>
      <c r="BJ456" s="40">
        <v>0</v>
      </c>
      <c r="BK456" s="40">
        <v>0</v>
      </c>
      <c r="BL456" s="40">
        <v>0</v>
      </c>
      <c r="BM456" s="40">
        <v>0</v>
      </c>
      <c r="BN456" s="40"/>
      <c r="BO456" s="39"/>
      <c r="BP456" s="21">
        <v>9</v>
      </c>
      <c r="BQ456" s="21">
        <v>37</v>
      </c>
      <c r="BR456" s="21">
        <v>17</v>
      </c>
      <c r="BS456" s="21">
        <v>10</v>
      </c>
      <c r="BT456" s="21">
        <v>19</v>
      </c>
      <c r="BU456" s="42">
        <v>38</v>
      </c>
      <c r="BV456" s="21">
        <v>34</v>
      </c>
      <c r="BW456" s="21">
        <v>20</v>
      </c>
      <c r="BX456" s="21">
        <v>31</v>
      </c>
      <c r="BY456" s="21">
        <v>15</v>
      </c>
      <c r="BZ456" s="21">
        <v>37</v>
      </c>
      <c r="CA456" s="21">
        <v>0</v>
      </c>
      <c r="CB456" s="21">
        <v>0</v>
      </c>
      <c r="CC456" s="21">
        <v>0</v>
      </c>
      <c r="CD456" s="21">
        <v>0</v>
      </c>
      <c r="CE456" s="21">
        <v>0</v>
      </c>
      <c r="CF456" s="21">
        <v>0</v>
      </c>
      <c r="CG456" s="42">
        <v>0</v>
      </c>
      <c r="CH456" s="21">
        <v>0</v>
      </c>
      <c r="CI456" s="21">
        <v>0</v>
      </c>
      <c r="CJ456" s="21">
        <v>0</v>
      </c>
      <c r="CK456" s="21">
        <v>0</v>
      </c>
      <c r="CL456" s="21">
        <v>0</v>
      </c>
      <c r="CM456" s="21">
        <v>0</v>
      </c>
      <c r="CN456" s="21">
        <v>0</v>
      </c>
      <c r="CO456" s="21">
        <v>0</v>
      </c>
      <c r="CP456" s="21">
        <f t="shared" si="717"/>
        <v>0</v>
      </c>
      <c r="CQ456" s="343">
        <f t="shared" si="718"/>
        <v>0</v>
      </c>
      <c r="CR456" s="40"/>
      <c r="CS456" s="39"/>
      <c r="CT456" s="38">
        <f t="shared" si="657"/>
        <v>27</v>
      </c>
      <c r="CU456" s="38">
        <f t="shared" si="658"/>
        <v>88</v>
      </c>
      <c r="CV456" s="38">
        <f t="shared" si="659"/>
        <v>38</v>
      </c>
      <c r="CW456" s="38">
        <f t="shared" si="660"/>
        <v>36</v>
      </c>
      <c r="CX456" s="38">
        <f t="shared" si="661"/>
        <v>74</v>
      </c>
      <c r="CY456" s="39">
        <f t="shared" si="662"/>
        <v>76</v>
      </c>
      <c r="CZ456" s="40">
        <f t="shared" si="663"/>
        <v>88</v>
      </c>
      <c r="DA456" s="40">
        <f t="shared" si="664"/>
        <v>76</v>
      </c>
      <c r="DB456" s="40">
        <f t="shared" si="665"/>
        <v>65</v>
      </c>
      <c r="DC456" s="40">
        <f t="shared" si="666"/>
        <v>36</v>
      </c>
      <c r="DD456" s="40">
        <f t="shared" si="667"/>
        <v>78</v>
      </c>
      <c r="DE456" s="40">
        <f t="shared" si="668"/>
        <v>57</v>
      </c>
      <c r="DF456" s="40">
        <f t="shared" si="669"/>
        <v>41</v>
      </c>
      <c r="DG456" s="40">
        <f t="shared" si="670"/>
        <v>41</v>
      </c>
      <c r="DH456" s="40">
        <f t="shared" si="671"/>
        <v>32</v>
      </c>
      <c r="DI456" s="40">
        <f t="shared" si="672"/>
        <v>28</v>
      </c>
      <c r="DJ456" s="40">
        <f t="shared" si="673"/>
        <v>15</v>
      </c>
      <c r="DK456" s="39">
        <f t="shared" si="674"/>
        <v>7</v>
      </c>
      <c r="DL456" s="40">
        <f t="shared" si="675"/>
        <v>4</v>
      </c>
      <c r="DM456" s="40">
        <f t="shared" si="676"/>
        <v>10</v>
      </c>
      <c r="DN456" s="40">
        <f t="shared" si="677"/>
        <v>4</v>
      </c>
      <c r="DO456" s="40">
        <f t="shared" si="678"/>
        <v>0</v>
      </c>
      <c r="DP456" s="40">
        <f t="shared" si="679"/>
        <v>0</v>
      </c>
      <c r="DQ456" s="40">
        <f t="shared" si="680"/>
        <v>0</v>
      </c>
      <c r="DR456" s="40">
        <f t="shared" si="685"/>
        <v>0</v>
      </c>
      <c r="DS456" s="40">
        <f t="shared" si="686"/>
        <v>0</v>
      </c>
      <c r="DT456" s="40">
        <f t="shared" si="681"/>
        <v>0</v>
      </c>
      <c r="DU456" s="40">
        <f t="shared" si="682"/>
        <v>0</v>
      </c>
      <c r="DV456" s="40">
        <f t="shared" si="683"/>
        <v>0</v>
      </c>
      <c r="DW456" s="40">
        <f t="shared" si="684"/>
        <v>0</v>
      </c>
    </row>
    <row r="457" spans="1:127">
      <c r="A457" s="22" t="s">
        <v>33</v>
      </c>
      <c r="B457" s="26">
        <v>4987176069979</v>
      </c>
      <c r="C457" s="22" t="s">
        <v>38</v>
      </c>
      <c r="D457" s="22" t="s">
        <v>38</v>
      </c>
      <c r="E457" s="22">
        <v>101069</v>
      </c>
      <c r="F457" s="80" t="s">
        <v>545</v>
      </c>
      <c r="G457" s="25">
        <v>150.19999999999999</v>
      </c>
      <c r="H457" s="38">
        <f t="shared" si="691"/>
        <v>4506</v>
      </c>
      <c r="I457" s="38">
        <f t="shared" si="692"/>
        <v>12616.8</v>
      </c>
      <c r="J457" s="38">
        <f t="shared" si="693"/>
        <v>9462.5999999999985</v>
      </c>
      <c r="K457" s="38">
        <f t="shared" si="694"/>
        <v>10363.799999999999</v>
      </c>
      <c r="L457" s="38">
        <f t="shared" si="695"/>
        <v>12166.199999999999</v>
      </c>
      <c r="M457" s="39">
        <f t="shared" si="696"/>
        <v>14569.4</v>
      </c>
      <c r="N457" s="40">
        <f t="shared" si="697"/>
        <v>12466.599999999999</v>
      </c>
      <c r="O457" s="40">
        <f t="shared" si="698"/>
        <v>12917.199999999999</v>
      </c>
      <c r="P457" s="40">
        <f t="shared" si="699"/>
        <v>9763</v>
      </c>
      <c r="Q457" s="40">
        <f t="shared" si="700"/>
        <v>7059.4</v>
      </c>
      <c r="R457" s="40">
        <f t="shared" si="701"/>
        <v>11415.199999999999</v>
      </c>
      <c r="S457" s="40">
        <f t="shared" si="702"/>
        <v>7509.9999999999991</v>
      </c>
      <c r="T457" s="40">
        <f t="shared" si="703"/>
        <v>6008</v>
      </c>
      <c r="U457" s="40">
        <f t="shared" si="704"/>
        <v>2703.6</v>
      </c>
      <c r="V457" s="40">
        <f t="shared" si="705"/>
        <v>2253</v>
      </c>
      <c r="W457" s="40">
        <f t="shared" si="706"/>
        <v>3154.2</v>
      </c>
      <c r="X457" s="40">
        <f t="shared" si="707"/>
        <v>1652.1999999999998</v>
      </c>
      <c r="Y457" s="39">
        <f t="shared" si="708"/>
        <v>450.59999999999997</v>
      </c>
      <c r="Z457" s="40">
        <f t="shared" si="709"/>
        <v>300.39999999999998</v>
      </c>
      <c r="AA457" s="40">
        <f t="shared" si="710"/>
        <v>1201.5999999999999</v>
      </c>
      <c r="AB457" s="40">
        <f t="shared" si="711"/>
        <v>0</v>
      </c>
      <c r="AC457" s="40">
        <f t="shared" si="712"/>
        <v>0</v>
      </c>
      <c r="AD457" s="40">
        <f t="shared" si="713"/>
        <v>0</v>
      </c>
      <c r="AE457" s="40">
        <f t="shared" si="714"/>
        <v>0</v>
      </c>
      <c r="AF457" s="40">
        <f t="shared" si="715"/>
        <v>0</v>
      </c>
      <c r="AG457" s="40">
        <f t="shared" si="716"/>
        <v>0</v>
      </c>
      <c r="AH457" s="40">
        <f t="shared" si="687"/>
        <v>0</v>
      </c>
      <c r="AI457" s="40">
        <f t="shared" si="688"/>
        <v>0</v>
      </c>
      <c r="AJ457" s="40">
        <f t="shared" si="689"/>
        <v>0</v>
      </c>
      <c r="AK457" s="39">
        <f t="shared" si="690"/>
        <v>0</v>
      </c>
      <c r="AL457" s="38">
        <v>19</v>
      </c>
      <c r="AM457" s="38">
        <v>64</v>
      </c>
      <c r="AN457" s="38">
        <v>45</v>
      </c>
      <c r="AO457" s="38">
        <v>53</v>
      </c>
      <c r="AP457" s="38">
        <v>61</v>
      </c>
      <c r="AQ457" s="39">
        <v>56</v>
      </c>
      <c r="AR457" s="40">
        <v>66</v>
      </c>
      <c r="AS457" s="40">
        <v>69</v>
      </c>
      <c r="AT457" s="40">
        <v>50</v>
      </c>
      <c r="AU457" s="40">
        <v>42</v>
      </c>
      <c r="AV457" s="40">
        <v>52</v>
      </c>
      <c r="AW457" s="40">
        <v>50</v>
      </c>
      <c r="AX457" s="40">
        <v>40</v>
      </c>
      <c r="AY457" s="40">
        <v>18</v>
      </c>
      <c r="AZ457" s="40">
        <v>15</v>
      </c>
      <c r="BA457" s="40">
        <v>21</v>
      </c>
      <c r="BB457" s="40">
        <v>11</v>
      </c>
      <c r="BC457" s="39">
        <v>3</v>
      </c>
      <c r="BD457" s="40">
        <v>2</v>
      </c>
      <c r="BE457" s="40">
        <v>8</v>
      </c>
      <c r="BF457" s="40">
        <v>0</v>
      </c>
      <c r="BG457" s="40">
        <v>0</v>
      </c>
      <c r="BH457" s="40">
        <v>0</v>
      </c>
      <c r="BI457" s="40">
        <v>0</v>
      </c>
      <c r="BJ457" s="40">
        <v>0</v>
      </c>
      <c r="BK457" s="40">
        <v>0</v>
      </c>
      <c r="BL457" s="40">
        <v>0</v>
      </c>
      <c r="BM457" s="40">
        <v>0</v>
      </c>
      <c r="BN457" s="40"/>
      <c r="BO457" s="39"/>
      <c r="BP457" s="21">
        <v>11</v>
      </c>
      <c r="BQ457" s="21">
        <v>20</v>
      </c>
      <c r="BR457" s="21">
        <v>18</v>
      </c>
      <c r="BS457" s="21">
        <v>16</v>
      </c>
      <c r="BT457" s="21">
        <v>20</v>
      </c>
      <c r="BU457" s="42">
        <v>41</v>
      </c>
      <c r="BV457" s="21">
        <v>17</v>
      </c>
      <c r="BW457" s="21">
        <v>17</v>
      </c>
      <c r="BX457" s="21">
        <v>15</v>
      </c>
      <c r="BY457" s="21">
        <v>5</v>
      </c>
      <c r="BZ457" s="21">
        <v>24</v>
      </c>
      <c r="CA457" s="21">
        <v>0</v>
      </c>
      <c r="CB457" s="21">
        <v>0</v>
      </c>
      <c r="CC457" s="21">
        <v>0</v>
      </c>
      <c r="CD457" s="21">
        <v>0</v>
      </c>
      <c r="CE457" s="21">
        <v>0</v>
      </c>
      <c r="CF457" s="21">
        <v>0</v>
      </c>
      <c r="CG457" s="42">
        <v>0</v>
      </c>
      <c r="CH457" s="21">
        <v>0</v>
      </c>
      <c r="CI457" s="21">
        <v>0</v>
      </c>
      <c r="CJ457" s="21">
        <v>0</v>
      </c>
      <c r="CK457" s="21">
        <v>0</v>
      </c>
      <c r="CL457" s="21">
        <v>0</v>
      </c>
      <c r="CM457" s="21">
        <v>0</v>
      </c>
      <c r="CN457" s="21">
        <v>0</v>
      </c>
      <c r="CO457" s="21">
        <v>0</v>
      </c>
      <c r="CP457" s="21">
        <f t="shared" si="717"/>
        <v>0</v>
      </c>
      <c r="CQ457" s="343">
        <f t="shared" si="718"/>
        <v>0</v>
      </c>
      <c r="CR457" s="40"/>
      <c r="CS457" s="39"/>
      <c r="CT457" s="38">
        <f t="shared" si="657"/>
        <v>30</v>
      </c>
      <c r="CU457" s="38">
        <f t="shared" si="658"/>
        <v>84</v>
      </c>
      <c r="CV457" s="38">
        <f t="shared" si="659"/>
        <v>63</v>
      </c>
      <c r="CW457" s="38">
        <f t="shared" si="660"/>
        <v>69</v>
      </c>
      <c r="CX457" s="38">
        <f t="shared" si="661"/>
        <v>81</v>
      </c>
      <c r="CY457" s="39">
        <f t="shared" si="662"/>
        <v>97</v>
      </c>
      <c r="CZ457" s="40">
        <f t="shared" si="663"/>
        <v>83</v>
      </c>
      <c r="DA457" s="40">
        <f t="shared" si="664"/>
        <v>86</v>
      </c>
      <c r="DB457" s="40">
        <f t="shared" si="665"/>
        <v>65</v>
      </c>
      <c r="DC457" s="40">
        <f t="shared" si="666"/>
        <v>47</v>
      </c>
      <c r="DD457" s="40">
        <f t="shared" si="667"/>
        <v>76</v>
      </c>
      <c r="DE457" s="40">
        <f t="shared" si="668"/>
        <v>50</v>
      </c>
      <c r="DF457" s="40">
        <f t="shared" si="669"/>
        <v>40</v>
      </c>
      <c r="DG457" s="40">
        <f t="shared" si="670"/>
        <v>18</v>
      </c>
      <c r="DH457" s="40">
        <f t="shared" si="671"/>
        <v>15</v>
      </c>
      <c r="DI457" s="40">
        <f t="shared" si="672"/>
        <v>21</v>
      </c>
      <c r="DJ457" s="40">
        <f t="shared" si="673"/>
        <v>11</v>
      </c>
      <c r="DK457" s="39">
        <f t="shared" si="674"/>
        <v>3</v>
      </c>
      <c r="DL457" s="40">
        <f t="shared" si="675"/>
        <v>2</v>
      </c>
      <c r="DM457" s="40">
        <f t="shared" si="676"/>
        <v>8</v>
      </c>
      <c r="DN457" s="40">
        <f t="shared" si="677"/>
        <v>0</v>
      </c>
      <c r="DO457" s="40">
        <f t="shared" si="678"/>
        <v>0</v>
      </c>
      <c r="DP457" s="40">
        <f t="shared" si="679"/>
        <v>0</v>
      </c>
      <c r="DQ457" s="40">
        <f t="shared" si="680"/>
        <v>0</v>
      </c>
      <c r="DR457" s="40">
        <f t="shared" si="685"/>
        <v>0</v>
      </c>
      <c r="DS457" s="40">
        <f t="shared" si="686"/>
        <v>0</v>
      </c>
      <c r="DT457" s="40">
        <f t="shared" si="681"/>
        <v>0</v>
      </c>
      <c r="DU457" s="40">
        <f t="shared" si="682"/>
        <v>0</v>
      </c>
      <c r="DV457" s="40">
        <f t="shared" si="683"/>
        <v>0</v>
      </c>
      <c r="DW457" s="40">
        <f t="shared" si="684"/>
        <v>0</v>
      </c>
    </row>
    <row r="458" spans="1:127">
      <c r="A458" s="22" t="s">
        <v>33</v>
      </c>
      <c r="B458" s="26">
        <v>4902430892605</v>
      </c>
      <c r="C458" s="22" t="s">
        <v>38</v>
      </c>
      <c r="D458" s="22" t="s">
        <v>38</v>
      </c>
      <c r="E458" s="22">
        <v>359416</v>
      </c>
      <c r="F458" s="80" t="s">
        <v>546</v>
      </c>
      <c r="G458" s="25">
        <v>136.5</v>
      </c>
      <c r="H458" s="38">
        <f t="shared" si="691"/>
        <v>0</v>
      </c>
      <c r="I458" s="38">
        <f t="shared" si="692"/>
        <v>0</v>
      </c>
      <c r="J458" s="38">
        <f t="shared" si="693"/>
        <v>0</v>
      </c>
      <c r="K458" s="38">
        <f t="shared" si="694"/>
        <v>0</v>
      </c>
      <c r="L458" s="38">
        <f t="shared" si="695"/>
        <v>0</v>
      </c>
      <c r="M458" s="39">
        <f t="shared" si="696"/>
        <v>0</v>
      </c>
      <c r="N458" s="40">
        <f t="shared" si="697"/>
        <v>0</v>
      </c>
      <c r="O458" s="40">
        <f t="shared" si="698"/>
        <v>0</v>
      </c>
      <c r="P458" s="40">
        <f t="shared" si="699"/>
        <v>0</v>
      </c>
      <c r="Q458" s="40">
        <f t="shared" si="700"/>
        <v>0</v>
      </c>
      <c r="R458" s="40">
        <f t="shared" si="701"/>
        <v>0</v>
      </c>
      <c r="S458" s="40">
        <f t="shared" si="702"/>
        <v>0</v>
      </c>
      <c r="T458" s="40">
        <f t="shared" si="703"/>
        <v>0</v>
      </c>
      <c r="U458" s="40">
        <f t="shared" si="704"/>
        <v>0</v>
      </c>
      <c r="V458" s="40">
        <f t="shared" si="705"/>
        <v>0</v>
      </c>
      <c r="W458" s="40">
        <f t="shared" si="706"/>
        <v>0</v>
      </c>
      <c r="X458" s="40">
        <f t="shared" si="707"/>
        <v>0</v>
      </c>
      <c r="Y458" s="39">
        <f t="shared" si="708"/>
        <v>0</v>
      </c>
      <c r="Z458" s="40">
        <f t="shared" si="709"/>
        <v>0</v>
      </c>
      <c r="AA458" s="40">
        <f t="shared" si="710"/>
        <v>0</v>
      </c>
      <c r="AB458" s="40">
        <f t="shared" si="711"/>
        <v>0</v>
      </c>
      <c r="AC458" s="40">
        <f t="shared" si="712"/>
        <v>0</v>
      </c>
      <c r="AD458" s="40">
        <f t="shared" si="713"/>
        <v>0</v>
      </c>
      <c r="AE458" s="40">
        <f t="shared" si="714"/>
        <v>0</v>
      </c>
      <c r="AF458" s="40">
        <f t="shared" si="715"/>
        <v>0</v>
      </c>
      <c r="AG458" s="40">
        <f t="shared" si="716"/>
        <v>0</v>
      </c>
      <c r="AH458" s="40">
        <f t="shared" si="687"/>
        <v>0</v>
      </c>
      <c r="AI458" s="40">
        <f t="shared" si="688"/>
        <v>0</v>
      </c>
      <c r="AJ458" s="40">
        <f t="shared" si="689"/>
        <v>0</v>
      </c>
      <c r="AK458" s="39">
        <f t="shared" si="690"/>
        <v>0</v>
      </c>
      <c r="AL458" s="38">
        <v>0</v>
      </c>
      <c r="AM458" s="38">
        <v>0</v>
      </c>
      <c r="AN458" s="38">
        <v>0</v>
      </c>
      <c r="AO458" s="38">
        <v>0</v>
      </c>
      <c r="AP458" s="38">
        <v>0</v>
      </c>
      <c r="AQ458" s="39">
        <v>0</v>
      </c>
      <c r="AR458" s="40">
        <v>0</v>
      </c>
      <c r="AS458" s="40">
        <v>0</v>
      </c>
      <c r="AT458" s="40">
        <v>0</v>
      </c>
      <c r="AU458" s="40">
        <v>0</v>
      </c>
      <c r="AV458" s="40">
        <v>0</v>
      </c>
      <c r="AW458" s="40">
        <v>0</v>
      </c>
      <c r="AX458" s="40">
        <v>0</v>
      </c>
      <c r="AY458" s="40">
        <v>0</v>
      </c>
      <c r="AZ458" s="40">
        <v>0</v>
      </c>
      <c r="BA458" s="40">
        <v>0</v>
      </c>
      <c r="BB458" s="40">
        <v>0</v>
      </c>
      <c r="BC458" s="39">
        <v>0</v>
      </c>
      <c r="BD458" s="40">
        <v>0</v>
      </c>
      <c r="BE458" s="40">
        <v>0</v>
      </c>
      <c r="BF458" s="40">
        <v>0</v>
      </c>
      <c r="BG458" s="40">
        <v>0</v>
      </c>
      <c r="BH458" s="40">
        <v>0</v>
      </c>
      <c r="BI458" s="40">
        <v>0</v>
      </c>
      <c r="BJ458" s="40">
        <v>0</v>
      </c>
      <c r="BK458" s="40">
        <v>0</v>
      </c>
      <c r="BL458" s="40">
        <v>0</v>
      </c>
      <c r="BM458" s="40" t="s">
        <v>768</v>
      </c>
      <c r="BN458" s="40"/>
      <c r="BO458" s="39"/>
      <c r="BP458" s="21">
        <v>0</v>
      </c>
      <c r="BQ458" s="21">
        <v>0</v>
      </c>
      <c r="BR458" s="21">
        <v>0</v>
      </c>
      <c r="BS458" s="21">
        <v>0</v>
      </c>
      <c r="BT458" s="21">
        <v>0</v>
      </c>
      <c r="BU458" s="42">
        <v>0</v>
      </c>
      <c r="BV458" s="21">
        <v>0</v>
      </c>
      <c r="BW458" s="21">
        <v>0</v>
      </c>
      <c r="BX458" s="21">
        <v>0</v>
      </c>
      <c r="BY458" s="21">
        <v>0</v>
      </c>
      <c r="BZ458" s="21">
        <v>0</v>
      </c>
      <c r="CA458" s="21">
        <v>0</v>
      </c>
      <c r="CB458" s="21">
        <v>0</v>
      </c>
      <c r="CC458" s="21">
        <v>0</v>
      </c>
      <c r="CD458" s="21">
        <v>0</v>
      </c>
      <c r="CE458" s="21">
        <v>0</v>
      </c>
      <c r="CF458" s="21">
        <v>0</v>
      </c>
      <c r="CG458" s="42">
        <v>0</v>
      </c>
      <c r="CH458" s="21">
        <v>0</v>
      </c>
      <c r="CI458" s="21">
        <v>0</v>
      </c>
      <c r="CJ458" s="21">
        <v>0</v>
      </c>
      <c r="CK458" s="21">
        <v>0</v>
      </c>
      <c r="CL458" s="21">
        <v>0</v>
      </c>
      <c r="CM458" s="21">
        <v>0</v>
      </c>
      <c r="CN458" s="21">
        <v>0</v>
      </c>
      <c r="CO458" s="21">
        <v>0</v>
      </c>
      <c r="CP458" s="21">
        <f t="shared" si="717"/>
        <v>0</v>
      </c>
      <c r="CQ458" s="343">
        <f t="shared" si="718"/>
        <v>0</v>
      </c>
      <c r="CR458" s="40"/>
      <c r="CS458" s="39"/>
      <c r="CT458" s="38">
        <f t="shared" si="657"/>
        <v>0</v>
      </c>
      <c r="CU458" s="38">
        <f t="shared" si="658"/>
        <v>0</v>
      </c>
      <c r="CV458" s="38">
        <f t="shared" si="659"/>
        <v>0</v>
      </c>
      <c r="CW458" s="38">
        <f t="shared" si="660"/>
        <v>0</v>
      </c>
      <c r="CX458" s="38">
        <f t="shared" si="661"/>
        <v>0</v>
      </c>
      <c r="CY458" s="39">
        <f t="shared" si="662"/>
        <v>0</v>
      </c>
      <c r="CZ458" s="40">
        <f t="shared" si="663"/>
        <v>0</v>
      </c>
      <c r="DA458" s="40">
        <f t="shared" si="664"/>
        <v>0</v>
      </c>
      <c r="DB458" s="40">
        <f t="shared" si="665"/>
        <v>0</v>
      </c>
      <c r="DC458" s="40">
        <f t="shared" si="666"/>
        <v>0</v>
      </c>
      <c r="DD458" s="40">
        <f t="shared" si="667"/>
        <v>0</v>
      </c>
      <c r="DE458" s="40">
        <f t="shared" si="668"/>
        <v>0</v>
      </c>
      <c r="DF458" s="40">
        <f t="shared" si="669"/>
        <v>0</v>
      </c>
      <c r="DG458" s="40">
        <f t="shared" si="670"/>
        <v>0</v>
      </c>
      <c r="DH458" s="40">
        <f t="shared" si="671"/>
        <v>0</v>
      </c>
      <c r="DI458" s="40">
        <f t="shared" si="672"/>
        <v>0</v>
      </c>
      <c r="DJ458" s="40">
        <f t="shared" si="673"/>
        <v>0</v>
      </c>
      <c r="DK458" s="39">
        <f t="shared" si="674"/>
        <v>0</v>
      </c>
      <c r="DL458" s="40">
        <f t="shared" si="675"/>
        <v>0</v>
      </c>
      <c r="DM458" s="40">
        <f t="shared" si="676"/>
        <v>0</v>
      </c>
      <c r="DN458" s="40">
        <f t="shared" si="677"/>
        <v>0</v>
      </c>
      <c r="DO458" s="40">
        <f t="shared" si="678"/>
        <v>0</v>
      </c>
      <c r="DP458" s="40">
        <f t="shared" si="679"/>
        <v>0</v>
      </c>
      <c r="DQ458" s="40">
        <f t="shared" si="680"/>
        <v>0</v>
      </c>
      <c r="DR458" s="40">
        <f t="shared" si="685"/>
        <v>0</v>
      </c>
      <c r="DS458" s="40">
        <f t="shared" si="686"/>
        <v>0</v>
      </c>
      <c r="DT458" s="40">
        <f t="shared" si="681"/>
        <v>0</v>
      </c>
      <c r="DU458" s="40">
        <f t="shared" si="682"/>
        <v>0</v>
      </c>
      <c r="DV458" s="40">
        <f t="shared" si="683"/>
        <v>0</v>
      </c>
      <c r="DW458" s="40">
        <f t="shared" si="684"/>
        <v>0</v>
      </c>
    </row>
    <row r="459" spans="1:127">
      <c r="A459" s="22" t="s">
        <v>33</v>
      </c>
      <c r="B459" s="26">
        <v>4987176116093</v>
      </c>
      <c r="C459" s="22" t="s">
        <v>38</v>
      </c>
      <c r="D459" s="22" t="s">
        <v>38</v>
      </c>
      <c r="E459" s="22">
        <v>359429</v>
      </c>
      <c r="F459" s="80" t="s">
        <v>547</v>
      </c>
      <c r="G459" s="25">
        <v>136.5</v>
      </c>
      <c r="H459" s="38">
        <f t="shared" si="691"/>
        <v>15424.5</v>
      </c>
      <c r="I459" s="38">
        <f t="shared" si="692"/>
        <v>42724.5</v>
      </c>
      <c r="J459" s="38">
        <f t="shared" si="693"/>
        <v>23068.5</v>
      </c>
      <c r="K459" s="38">
        <f t="shared" si="694"/>
        <v>22795.5</v>
      </c>
      <c r="L459" s="38">
        <f t="shared" si="695"/>
        <v>28255.5</v>
      </c>
      <c r="M459" s="39">
        <f t="shared" si="696"/>
        <v>28665</v>
      </c>
      <c r="N459" s="40">
        <f t="shared" si="697"/>
        <v>23205</v>
      </c>
      <c r="O459" s="40">
        <f t="shared" si="698"/>
        <v>25525.5</v>
      </c>
      <c r="P459" s="40">
        <f t="shared" si="699"/>
        <v>39312</v>
      </c>
      <c r="Q459" s="40">
        <f t="shared" si="700"/>
        <v>35490</v>
      </c>
      <c r="R459" s="40">
        <f t="shared" si="701"/>
        <v>30303</v>
      </c>
      <c r="S459" s="40">
        <f t="shared" si="702"/>
        <v>39721.5</v>
      </c>
      <c r="T459" s="40">
        <f t="shared" si="703"/>
        <v>30712.5</v>
      </c>
      <c r="U459" s="40">
        <f t="shared" si="704"/>
        <v>44089.5</v>
      </c>
      <c r="V459" s="40">
        <f t="shared" si="705"/>
        <v>20611.5</v>
      </c>
      <c r="W459" s="40">
        <f t="shared" si="706"/>
        <v>32896.5</v>
      </c>
      <c r="X459" s="40">
        <f t="shared" si="707"/>
        <v>23887.5</v>
      </c>
      <c r="Y459" s="39">
        <f t="shared" si="708"/>
        <v>10783.5</v>
      </c>
      <c r="Z459" s="40">
        <f t="shared" si="709"/>
        <v>15834</v>
      </c>
      <c r="AA459" s="40">
        <f t="shared" si="710"/>
        <v>5596.5</v>
      </c>
      <c r="AB459" s="40">
        <f t="shared" si="711"/>
        <v>0</v>
      </c>
      <c r="AC459" s="40">
        <f t="shared" si="712"/>
        <v>136.5</v>
      </c>
      <c r="AD459" s="40">
        <f t="shared" si="713"/>
        <v>0</v>
      </c>
      <c r="AE459" s="40">
        <f t="shared" si="714"/>
        <v>0</v>
      </c>
      <c r="AF459" s="40">
        <f t="shared" si="715"/>
        <v>0</v>
      </c>
      <c r="AG459" s="40">
        <f t="shared" si="716"/>
        <v>0</v>
      </c>
      <c r="AH459" s="40">
        <f t="shared" si="687"/>
        <v>0</v>
      </c>
      <c r="AI459" s="40">
        <f t="shared" si="688"/>
        <v>0</v>
      </c>
      <c r="AJ459" s="40">
        <f t="shared" si="689"/>
        <v>0</v>
      </c>
      <c r="AK459" s="39">
        <f t="shared" si="690"/>
        <v>0</v>
      </c>
      <c r="AL459" s="38">
        <v>113</v>
      </c>
      <c r="AM459" s="38">
        <v>313</v>
      </c>
      <c r="AN459" s="38">
        <v>169</v>
      </c>
      <c r="AO459" s="38">
        <v>167</v>
      </c>
      <c r="AP459" s="38">
        <v>207</v>
      </c>
      <c r="AQ459" s="39">
        <v>210</v>
      </c>
      <c r="AR459" s="40">
        <v>170</v>
      </c>
      <c r="AS459" s="40">
        <v>187</v>
      </c>
      <c r="AT459" s="40">
        <v>288</v>
      </c>
      <c r="AU459" s="40">
        <v>260</v>
      </c>
      <c r="AV459" s="40">
        <v>222</v>
      </c>
      <c r="AW459" s="40">
        <v>276</v>
      </c>
      <c r="AX459" s="40">
        <v>197</v>
      </c>
      <c r="AY459" s="40">
        <v>229</v>
      </c>
      <c r="AZ459" s="40">
        <v>121</v>
      </c>
      <c r="BA459" s="40">
        <v>199</v>
      </c>
      <c r="BB459" s="40">
        <v>175</v>
      </c>
      <c r="BC459" s="39">
        <v>79</v>
      </c>
      <c r="BD459" s="40">
        <v>116</v>
      </c>
      <c r="BE459" s="40">
        <v>41</v>
      </c>
      <c r="BF459" s="40">
        <v>0</v>
      </c>
      <c r="BG459" s="40">
        <v>1</v>
      </c>
      <c r="BH459" s="40">
        <v>0</v>
      </c>
      <c r="BI459" s="40">
        <v>0</v>
      </c>
      <c r="BJ459" s="40">
        <v>0</v>
      </c>
      <c r="BK459" s="40">
        <v>0</v>
      </c>
      <c r="BL459" s="40">
        <v>0</v>
      </c>
      <c r="BM459" s="40">
        <v>0</v>
      </c>
      <c r="BN459" s="40"/>
      <c r="BO459" s="39"/>
      <c r="BP459" s="21">
        <v>0</v>
      </c>
      <c r="BQ459" s="21">
        <v>0</v>
      </c>
      <c r="BR459" s="21">
        <v>0</v>
      </c>
      <c r="BS459" s="21">
        <v>0</v>
      </c>
      <c r="BT459" s="21">
        <v>0</v>
      </c>
      <c r="BU459" s="42">
        <v>0</v>
      </c>
      <c r="BV459" s="21">
        <v>0</v>
      </c>
      <c r="BW459" s="21">
        <v>0</v>
      </c>
      <c r="BX459" s="21">
        <v>0</v>
      </c>
      <c r="BY459" s="21">
        <v>0</v>
      </c>
      <c r="BZ459" s="21">
        <v>0</v>
      </c>
      <c r="CA459" s="21">
        <v>15</v>
      </c>
      <c r="CB459" s="21">
        <v>28</v>
      </c>
      <c r="CC459" s="21">
        <v>94</v>
      </c>
      <c r="CD459" s="21">
        <v>30</v>
      </c>
      <c r="CE459" s="21">
        <v>42</v>
      </c>
      <c r="CF459" s="21">
        <v>0</v>
      </c>
      <c r="CG459" s="42">
        <v>0</v>
      </c>
      <c r="CH459" s="21">
        <v>0</v>
      </c>
      <c r="CI459" s="21">
        <v>0</v>
      </c>
      <c r="CJ459" s="21">
        <v>0</v>
      </c>
      <c r="CK459" s="21">
        <v>0</v>
      </c>
      <c r="CL459" s="21">
        <v>0</v>
      </c>
      <c r="CM459" s="21">
        <v>0</v>
      </c>
      <c r="CN459" s="21">
        <v>0</v>
      </c>
      <c r="CO459" s="21">
        <v>0</v>
      </c>
      <c r="CP459" s="21">
        <f t="shared" si="717"/>
        <v>0</v>
      </c>
      <c r="CQ459" s="343">
        <f t="shared" si="718"/>
        <v>0</v>
      </c>
      <c r="CR459" s="40"/>
      <c r="CS459" s="39"/>
      <c r="CT459" s="38">
        <f t="shared" si="657"/>
        <v>113</v>
      </c>
      <c r="CU459" s="38">
        <f t="shared" si="658"/>
        <v>313</v>
      </c>
      <c r="CV459" s="38">
        <f t="shared" si="659"/>
        <v>169</v>
      </c>
      <c r="CW459" s="38">
        <f t="shared" si="660"/>
        <v>167</v>
      </c>
      <c r="CX459" s="38">
        <f t="shared" si="661"/>
        <v>207</v>
      </c>
      <c r="CY459" s="39">
        <f t="shared" si="662"/>
        <v>210</v>
      </c>
      <c r="CZ459" s="40">
        <f t="shared" si="663"/>
        <v>170</v>
      </c>
      <c r="DA459" s="40">
        <f t="shared" si="664"/>
        <v>187</v>
      </c>
      <c r="DB459" s="40">
        <f t="shared" si="665"/>
        <v>288</v>
      </c>
      <c r="DC459" s="40">
        <f t="shared" si="666"/>
        <v>260</v>
      </c>
      <c r="DD459" s="40">
        <f t="shared" si="667"/>
        <v>222</v>
      </c>
      <c r="DE459" s="40">
        <f t="shared" si="668"/>
        <v>291</v>
      </c>
      <c r="DF459" s="40">
        <f t="shared" si="669"/>
        <v>225</v>
      </c>
      <c r="DG459" s="40">
        <f t="shared" si="670"/>
        <v>323</v>
      </c>
      <c r="DH459" s="40">
        <f t="shared" si="671"/>
        <v>151</v>
      </c>
      <c r="DI459" s="40">
        <f t="shared" si="672"/>
        <v>241</v>
      </c>
      <c r="DJ459" s="40">
        <f t="shared" si="673"/>
        <v>175</v>
      </c>
      <c r="DK459" s="39">
        <f t="shared" si="674"/>
        <v>79</v>
      </c>
      <c r="DL459" s="40">
        <f t="shared" si="675"/>
        <v>116</v>
      </c>
      <c r="DM459" s="40">
        <f t="shared" si="676"/>
        <v>41</v>
      </c>
      <c r="DN459" s="40">
        <f t="shared" si="677"/>
        <v>0</v>
      </c>
      <c r="DO459" s="40">
        <f t="shared" si="678"/>
        <v>1</v>
      </c>
      <c r="DP459" s="40">
        <f t="shared" si="679"/>
        <v>0</v>
      </c>
      <c r="DQ459" s="40">
        <f t="shared" si="680"/>
        <v>0</v>
      </c>
      <c r="DR459" s="40">
        <f t="shared" si="685"/>
        <v>0</v>
      </c>
      <c r="DS459" s="40">
        <f t="shared" si="686"/>
        <v>0</v>
      </c>
      <c r="DT459" s="40">
        <f t="shared" si="681"/>
        <v>0</v>
      </c>
      <c r="DU459" s="40">
        <f t="shared" si="682"/>
        <v>0</v>
      </c>
      <c r="DV459" s="40">
        <f t="shared" si="683"/>
        <v>0</v>
      </c>
      <c r="DW459" s="40">
        <f t="shared" si="684"/>
        <v>0</v>
      </c>
    </row>
    <row r="460" spans="1:127">
      <c r="A460" s="22" t="s">
        <v>33</v>
      </c>
      <c r="B460" s="26">
        <v>4902430704571</v>
      </c>
      <c r="C460" s="22" t="s">
        <v>38</v>
      </c>
      <c r="D460" s="22" t="s">
        <v>38</v>
      </c>
      <c r="E460" s="22">
        <v>359432</v>
      </c>
      <c r="F460" s="80" t="s">
        <v>548</v>
      </c>
      <c r="G460" s="25">
        <v>136.5</v>
      </c>
      <c r="H460" s="38">
        <f t="shared" si="691"/>
        <v>0</v>
      </c>
      <c r="I460" s="38">
        <f t="shared" si="692"/>
        <v>0</v>
      </c>
      <c r="J460" s="38">
        <f t="shared" si="693"/>
        <v>0</v>
      </c>
      <c r="K460" s="38">
        <f t="shared" si="694"/>
        <v>0</v>
      </c>
      <c r="L460" s="38">
        <f t="shared" si="695"/>
        <v>0</v>
      </c>
      <c r="M460" s="39">
        <f t="shared" si="696"/>
        <v>0</v>
      </c>
      <c r="N460" s="40">
        <f t="shared" si="697"/>
        <v>0</v>
      </c>
      <c r="O460" s="40">
        <f t="shared" si="698"/>
        <v>0</v>
      </c>
      <c r="P460" s="40">
        <f t="shared" si="699"/>
        <v>0</v>
      </c>
      <c r="Q460" s="40">
        <f t="shared" si="700"/>
        <v>0</v>
      </c>
      <c r="R460" s="40">
        <f t="shared" si="701"/>
        <v>0</v>
      </c>
      <c r="S460" s="40">
        <f t="shared" si="702"/>
        <v>0</v>
      </c>
      <c r="T460" s="40">
        <f t="shared" si="703"/>
        <v>0</v>
      </c>
      <c r="U460" s="40">
        <f t="shared" si="704"/>
        <v>0</v>
      </c>
      <c r="V460" s="40">
        <f t="shared" si="705"/>
        <v>0</v>
      </c>
      <c r="W460" s="40">
        <f t="shared" si="706"/>
        <v>0</v>
      </c>
      <c r="X460" s="40">
        <f t="shared" si="707"/>
        <v>0</v>
      </c>
      <c r="Y460" s="39">
        <f t="shared" si="708"/>
        <v>0</v>
      </c>
      <c r="Z460" s="40">
        <f t="shared" si="709"/>
        <v>0</v>
      </c>
      <c r="AA460" s="40">
        <f t="shared" si="710"/>
        <v>0</v>
      </c>
      <c r="AB460" s="40">
        <f t="shared" si="711"/>
        <v>0</v>
      </c>
      <c r="AC460" s="40">
        <f t="shared" si="712"/>
        <v>0</v>
      </c>
      <c r="AD460" s="40">
        <f t="shared" si="713"/>
        <v>0</v>
      </c>
      <c r="AE460" s="40">
        <f t="shared" si="714"/>
        <v>0</v>
      </c>
      <c r="AF460" s="40">
        <f t="shared" si="715"/>
        <v>0</v>
      </c>
      <c r="AG460" s="40">
        <f t="shared" si="716"/>
        <v>0</v>
      </c>
      <c r="AH460" s="40">
        <f t="shared" si="687"/>
        <v>0</v>
      </c>
      <c r="AI460" s="40">
        <f t="shared" si="688"/>
        <v>0</v>
      </c>
      <c r="AJ460" s="40">
        <f t="shared" si="689"/>
        <v>0</v>
      </c>
      <c r="AK460" s="39">
        <f t="shared" si="690"/>
        <v>0</v>
      </c>
      <c r="AL460" s="38">
        <v>0</v>
      </c>
      <c r="AM460" s="38">
        <v>0</v>
      </c>
      <c r="AN460" s="38">
        <v>0</v>
      </c>
      <c r="AO460" s="38">
        <v>0</v>
      </c>
      <c r="AP460" s="38">
        <v>0</v>
      </c>
      <c r="AQ460" s="39">
        <v>0</v>
      </c>
      <c r="AR460" s="40">
        <v>0</v>
      </c>
      <c r="AS460" s="40">
        <v>0</v>
      </c>
      <c r="AT460" s="40">
        <v>0</v>
      </c>
      <c r="AU460" s="40">
        <v>0</v>
      </c>
      <c r="AV460" s="40">
        <v>0</v>
      </c>
      <c r="AW460" s="40">
        <v>0</v>
      </c>
      <c r="AX460" s="40">
        <v>0</v>
      </c>
      <c r="AY460" s="40">
        <v>0</v>
      </c>
      <c r="AZ460" s="40">
        <v>0</v>
      </c>
      <c r="BA460" s="40">
        <v>0</v>
      </c>
      <c r="BB460" s="40">
        <v>0</v>
      </c>
      <c r="BC460" s="39">
        <v>0</v>
      </c>
      <c r="BD460" s="40">
        <v>0</v>
      </c>
      <c r="BE460" s="40">
        <v>0</v>
      </c>
      <c r="BF460" s="40">
        <v>0</v>
      </c>
      <c r="BG460" s="40">
        <v>0</v>
      </c>
      <c r="BH460" s="40">
        <v>0</v>
      </c>
      <c r="BI460" s="40">
        <v>0</v>
      </c>
      <c r="BJ460" s="40">
        <v>0</v>
      </c>
      <c r="BK460" s="40">
        <v>0</v>
      </c>
      <c r="BL460" s="40">
        <v>0</v>
      </c>
      <c r="BM460" s="40" t="s">
        <v>768</v>
      </c>
      <c r="BN460" s="40"/>
      <c r="BO460" s="39"/>
      <c r="BP460" s="21">
        <v>0</v>
      </c>
      <c r="BQ460" s="21">
        <v>0</v>
      </c>
      <c r="BR460" s="21">
        <v>0</v>
      </c>
      <c r="BS460" s="21">
        <v>0</v>
      </c>
      <c r="BT460" s="21">
        <v>0</v>
      </c>
      <c r="BU460" s="42">
        <v>0</v>
      </c>
      <c r="BV460" s="21">
        <v>0</v>
      </c>
      <c r="BW460" s="21">
        <v>0</v>
      </c>
      <c r="BX460" s="21">
        <v>0</v>
      </c>
      <c r="BY460" s="21">
        <v>0</v>
      </c>
      <c r="BZ460" s="21">
        <v>0</v>
      </c>
      <c r="CA460" s="21">
        <v>0</v>
      </c>
      <c r="CB460" s="21">
        <v>0</v>
      </c>
      <c r="CC460" s="21">
        <v>0</v>
      </c>
      <c r="CD460" s="21">
        <v>0</v>
      </c>
      <c r="CE460" s="21">
        <v>0</v>
      </c>
      <c r="CF460" s="21">
        <v>0</v>
      </c>
      <c r="CG460" s="42">
        <v>0</v>
      </c>
      <c r="CH460" s="21">
        <v>0</v>
      </c>
      <c r="CI460" s="21">
        <v>0</v>
      </c>
      <c r="CJ460" s="21">
        <v>0</v>
      </c>
      <c r="CK460" s="21">
        <v>0</v>
      </c>
      <c r="CL460" s="21">
        <v>0</v>
      </c>
      <c r="CM460" s="21">
        <v>0</v>
      </c>
      <c r="CN460" s="21">
        <v>0</v>
      </c>
      <c r="CO460" s="21">
        <v>0</v>
      </c>
      <c r="CP460" s="21">
        <f t="shared" si="717"/>
        <v>0</v>
      </c>
      <c r="CQ460" s="343">
        <f t="shared" si="718"/>
        <v>0</v>
      </c>
      <c r="CR460" s="40"/>
      <c r="CS460" s="39"/>
      <c r="CT460" s="38">
        <f t="shared" si="657"/>
        <v>0</v>
      </c>
      <c r="CU460" s="38">
        <f t="shared" si="658"/>
        <v>0</v>
      </c>
      <c r="CV460" s="38">
        <f t="shared" si="659"/>
        <v>0</v>
      </c>
      <c r="CW460" s="38">
        <f t="shared" si="660"/>
        <v>0</v>
      </c>
      <c r="CX460" s="38">
        <f t="shared" si="661"/>
        <v>0</v>
      </c>
      <c r="CY460" s="39">
        <f t="shared" si="662"/>
        <v>0</v>
      </c>
      <c r="CZ460" s="40">
        <f t="shared" si="663"/>
        <v>0</v>
      </c>
      <c r="DA460" s="40">
        <f t="shared" si="664"/>
        <v>0</v>
      </c>
      <c r="DB460" s="40">
        <f t="shared" si="665"/>
        <v>0</v>
      </c>
      <c r="DC460" s="40">
        <f t="shared" si="666"/>
        <v>0</v>
      </c>
      <c r="DD460" s="40">
        <f t="shared" si="667"/>
        <v>0</v>
      </c>
      <c r="DE460" s="40">
        <f t="shared" si="668"/>
        <v>0</v>
      </c>
      <c r="DF460" s="40">
        <f t="shared" si="669"/>
        <v>0</v>
      </c>
      <c r="DG460" s="40">
        <f t="shared" si="670"/>
        <v>0</v>
      </c>
      <c r="DH460" s="40">
        <f t="shared" si="671"/>
        <v>0</v>
      </c>
      <c r="DI460" s="40">
        <f t="shared" si="672"/>
        <v>0</v>
      </c>
      <c r="DJ460" s="40">
        <f t="shared" si="673"/>
        <v>0</v>
      </c>
      <c r="DK460" s="39">
        <f t="shared" si="674"/>
        <v>0</v>
      </c>
      <c r="DL460" s="40">
        <f t="shared" si="675"/>
        <v>0</v>
      </c>
      <c r="DM460" s="40">
        <f t="shared" si="676"/>
        <v>0</v>
      </c>
      <c r="DN460" s="40">
        <f t="shared" si="677"/>
        <v>0</v>
      </c>
      <c r="DO460" s="40">
        <f t="shared" si="678"/>
        <v>0</v>
      </c>
      <c r="DP460" s="40">
        <f t="shared" si="679"/>
        <v>0</v>
      </c>
      <c r="DQ460" s="40">
        <f t="shared" si="680"/>
        <v>0</v>
      </c>
      <c r="DR460" s="40">
        <f t="shared" si="685"/>
        <v>0</v>
      </c>
      <c r="DS460" s="40">
        <f t="shared" si="686"/>
        <v>0</v>
      </c>
      <c r="DT460" s="40">
        <f t="shared" si="681"/>
        <v>0</v>
      </c>
      <c r="DU460" s="40">
        <f t="shared" si="682"/>
        <v>0</v>
      </c>
      <c r="DV460" s="40">
        <f t="shared" si="683"/>
        <v>0</v>
      </c>
      <c r="DW460" s="40">
        <f t="shared" si="684"/>
        <v>0</v>
      </c>
    </row>
    <row r="461" spans="1:127">
      <c r="A461" s="22" t="s">
        <v>33</v>
      </c>
      <c r="B461" s="26">
        <v>4987176116109</v>
      </c>
      <c r="C461" s="22" t="s">
        <v>38</v>
      </c>
      <c r="D461" s="22" t="s">
        <v>38</v>
      </c>
      <c r="E461" s="22">
        <v>359445</v>
      </c>
      <c r="F461" s="80" t="s">
        <v>549</v>
      </c>
      <c r="G461" s="25">
        <v>136.5</v>
      </c>
      <c r="H461" s="38">
        <f t="shared" si="691"/>
        <v>19792.5</v>
      </c>
      <c r="I461" s="38">
        <f t="shared" si="692"/>
        <v>61288.5</v>
      </c>
      <c r="J461" s="38">
        <f t="shared" si="693"/>
        <v>33033</v>
      </c>
      <c r="K461" s="38">
        <f t="shared" si="694"/>
        <v>31258.5</v>
      </c>
      <c r="L461" s="38">
        <f t="shared" si="695"/>
        <v>39175.5</v>
      </c>
      <c r="M461" s="39">
        <f t="shared" si="696"/>
        <v>36036</v>
      </c>
      <c r="N461" s="40">
        <f t="shared" si="697"/>
        <v>32214</v>
      </c>
      <c r="O461" s="40">
        <f t="shared" si="698"/>
        <v>35080.5</v>
      </c>
      <c r="P461" s="40">
        <f t="shared" si="699"/>
        <v>45045</v>
      </c>
      <c r="Q461" s="40">
        <f t="shared" si="700"/>
        <v>48184.5</v>
      </c>
      <c r="R461" s="40">
        <f t="shared" si="701"/>
        <v>52825.5</v>
      </c>
      <c r="S461" s="40">
        <f t="shared" si="702"/>
        <v>59514</v>
      </c>
      <c r="T461" s="40">
        <f t="shared" si="703"/>
        <v>51051</v>
      </c>
      <c r="U461" s="40">
        <f t="shared" si="704"/>
        <v>102921</v>
      </c>
      <c r="V461" s="40">
        <f t="shared" si="705"/>
        <v>59787</v>
      </c>
      <c r="W461" s="40">
        <f t="shared" si="706"/>
        <v>72481.5</v>
      </c>
      <c r="X461" s="40">
        <f t="shared" si="707"/>
        <v>66066</v>
      </c>
      <c r="Y461" s="39">
        <f t="shared" si="708"/>
        <v>36445.5</v>
      </c>
      <c r="Z461" s="40">
        <f t="shared" si="709"/>
        <v>33033</v>
      </c>
      <c r="AA461" s="40">
        <f t="shared" si="710"/>
        <v>18291</v>
      </c>
      <c r="AB461" s="40">
        <f t="shared" si="711"/>
        <v>409.5</v>
      </c>
      <c r="AC461" s="40">
        <f t="shared" si="712"/>
        <v>0</v>
      </c>
      <c r="AD461" s="40">
        <f t="shared" si="713"/>
        <v>273</v>
      </c>
      <c r="AE461" s="40">
        <f t="shared" si="714"/>
        <v>0</v>
      </c>
      <c r="AF461" s="40">
        <f t="shared" si="715"/>
        <v>0</v>
      </c>
      <c r="AG461" s="40">
        <f t="shared" si="716"/>
        <v>136.5</v>
      </c>
      <c r="AH461" s="40">
        <f t="shared" si="687"/>
        <v>0</v>
      </c>
      <c r="AI461" s="40">
        <f t="shared" si="688"/>
        <v>0</v>
      </c>
      <c r="AJ461" s="40">
        <f t="shared" si="689"/>
        <v>0</v>
      </c>
      <c r="AK461" s="39">
        <f t="shared" si="690"/>
        <v>0</v>
      </c>
      <c r="AL461" s="38">
        <v>145</v>
      </c>
      <c r="AM461" s="38">
        <v>449</v>
      </c>
      <c r="AN461" s="38">
        <v>242</v>
      </c>
      <c r="AO461" s="38">
        <v>229</v>
      </c>
      <c r="AP461" s="38">
        <v>287</v>
      </c>
      <c r="AQ461" s="39">
        <v>264</v>
      </c>
      <c r="AR461" s="40">
        <v>236</v>
      </c>
      <c r="AS461" s="40">
        <v>257</v>
      </c>
      <c r="AT461" s="40">
        <v>330</v>
      </c>
      <c r="AU461" s="40">
        <v>353</v>
      </c>
      <c r="AV461" s="40">
        <v>387</v>
      </c>
      <c r="AW461" s="40">
        <v>421</v>
      </c>
      <c r="AX461" s="40">
        <v>327</v>
      </c>
      <c r="AY461" s="40">
        <v>636</v>
      </c>
      <c r="AZ461" s="40">
        <v>401</v>
      </c>
      <c r="BA461" s="40">
        <v>391</v>
      </c>
      <c r="BB461" s="40">
        <v>484</v>
      </c>
      <c r="BC461" s="39">
        <v>267</v>
      </c>
      <c r="BD461" s="40">
        <v>242</v>
      </c>
      <c r="BE461" s="40">
        <v>134</v>
      </c>
      <c r="BF461" s="40">
        <v>3</v>
      </c>
      <c r="BG461" s="40">
        <v>0</v>
      </c>
      <c r="BH461" s="40">
        <v>2</v>
      </c>
      <c r="BI461" s="40">
        <v>0</v>
      </c>
      <c r="BJ461" s="40">
        <v>0</v>
      </c>
      <c r="BK461" s="40">
        <v>1</v>
      </c>
      <c r="BL461" s="40">
        <v>0</v>
      </c>
      <c r="BM461" s="40">
        <v>0</v>
      </c>
      <c r="BN461" s="40"/>
      <c r="BO461" s="39"/>
      <c r="BP461" s="21">
        <v>0</v>
      </c>
      <c r="BQ461" s="21">
        <v>0</v>
      </c>
      <c r="BR461" s="21">
        <v>0</v>
      </c>
      <c r="BS461" s="21">
        <v>0</v>
      </c>
      <c r="BT461" s="21">
        <v>0</v>
      </c>
      <c r="BU461" s="42">
        <v>0</v>
      </c>
      <c r="BV461" s="21">
        <v>0</v>
      </c>
      <c r="BW461" s="21">
        <v>0</v>
      </c>
      <c r="BX461" s="21">
        <v>0</v>
      </c>
      <c r="BY461" s="21">
        <v>0</v>
      </c>
      <c r="BZ461" s="21">
        <v>0</v>
      </c>
      <c r="CA461" s="21">
        <v>15</v>
      </c>
      <c r="CB461" s="21">
        <v>47</v>
      </c>
      <c r="CC461" s="21">
        <v>118</v>
      </c>
      <c r="CD461" s="21">
        <v>37</v>
      </c>
      <c r="CE461" s="21">
        <v>140</v>
      </c>
      <c r="CF461" s="21">
        <v>0</v>
      </c>
      <c r="CG461" s="42">
        <v>0</v>
      </c>
      <c r="CH461" s="21">
        <v>0</v>
      </c>
      <c r="CI461" s="21">
        <v>0</v>
      </c>
      <c r="CJ461" s="21">
        <v>0</v>
      </c>
      <c r="CK461" s="21">
        <v>0</v>
      </c>
      <c r="CL461" s="21">
        <v>0</v>
      </c>
      <c r="CM461" s="21">
        <v>0</v>
      </c>
      <c r="CN461" s="21">
        <v>0</v>
      </c>
      <c r="CO461" s="21">
        <v>0</v>
      </c>
      <c r="CP461" s="21">
        <f t="shared" si="717"/>
        <v>0</v>
      </c>
      <c r="CQ461" s="343">
        <f t="shared" si="718"/>
        <v>0</v>
      </c>
      <c r="CR461" s="40"/>
      <c r="CS461" s="39"/>
      <c r="CT461" s="38">
        <f t="shared" si="657"/>
        <v>145</v>
      </c>
      <c r="CU461" s="38">
        <f t="shared" si="658"/>
        <v>449</v>
      </c>
      <c r="CV461" s="38">
        <f t="shared" si="659"/>
        <v>242</v>
      </c>
      <c r="CW461" s="38">
        <f t="shared" si="660"/>
        <v>229</v>
      </c>
      <c r="CX461" s="38">
        <f t="shared" si="661"/>
        <v>287</v>
      </c>
      <c r="CY461" s="39">
        <f t="shared" si="662"/>
        <v>264</v>
      </c>
      <c r="CZ461" s="40">
        <f t="shared" si="663"/>
        <v>236</v>
      </c>
      <c r="DA461" s="40">
        <f t="shared" si="664"/>
        <v>257</v>
      </c>
      <c r="DB461" s="40">
        <f t="shared" si="665"/>
        <v>330</v>
      </c>
      <c r="DC461" s="40">
        <f t="shared" si="666"/>
        <v>353</v>
      </c>
      <c r="DD461" s="40">
        <f t="shared" si="667"/>
        <v>387</v>
      </c>
      <c r="DE461" s="40">
        <f t="shared" si="668"/>
        <v>436</v>
      </c>
      <c r="DF461" s="40">
        <f t="shared" si="669"/>
        <v>374</v>
      </c>
      <c r="DG461" s="40">
        <f t="shared" si="670"/>
        <v>754</v>
      </c>
      <c r="DH461" s="40">
        <f t="shared" si="671"/>
        <v>438</v>
      </c>
      <c r="DI461" s="40">
        <f t="shared" si="672"/>
        <v>531</v>
      </c>
      <c r="DJ461" s="40">
        <f t="shared" si="673"/>
        <v>484</v>
      </c>
      <c r="DK461" s="39">
        <f t="shared" si="674"/>
        <v>267</v>
      </c>
      <c r="DL461" s="40">
        <f t="shared" si="675"/>
        <v>242</v>
      </c>
      <c r="DM461" s="40">
        <f t="shared" si="676"/>
        <v>134</v>
      </c>
      <c r="DN461" s="40">
        <f t="shared" si="677"/>
        <v>3</v>
      </c>
      <c r="DO461" s="40">
        <f t="shared" si="678"/>
        <v>0</v>
      </c>
      <c r="DP461" s="40">
        <f t="shared" si="679"/>
        <v>2</v>
      </c>
      <c r="DQ461" s="40">
        <f t="shared" si="680"/>
        <v>0</v>
      </c>
      <c r="DR461" s="40">
        <f t="shared" si="685"/>
        <v>0</v>
      </c>
      <c r="DS461" s="40">
        <f t="shared" si="686"/>
        <v>1</v>
      </c>
      <c r="DT461" s="40">
        <f t="shared" si="681"/>
        <v>0</v>
      </c>
      <c r="DU461" s="40">
        <f t="shared" si="682"/>
        <v>0</v>
      </c>
      <c r="DV461" s="40">
        <f t="shared" si="683"/>
        <v>0</v>
      </c>
      <c r="DW461" s="40">
        <f t="shared" si="684"/>
        <v>0</v>
      </c>
    </row>
    <row r="462" spans="1:127">
      <c r="A462" s="22" t="s">
        <v>33</v>
      </c>
      <c r="B462" s="26">
        <v>4987176116079</v>
      </c>
      <c r="C462" s="22" t="s">
        <v>38</v>
      </c>
      <c r="D462" s="22" t="s">
        <v>38</v>
      </c>
      <c r="E462" s="22">
        <v>359403</v>
      </c>
      <c r="F462" s="80" t="s">
        <v>550</v>
      </c>
      <c r="G462" s="25">
        <v>136.5</v>
      </c>
      <c r="H462" s="38">
        <f t="shared" si="691"/>
        <v>5869.5</v>
      </c>
      <c r="I462" s="38">
        <f t="shared" si="692"/>
        <v>20065.5</v>
      </c>
      <c r="J462" s="38">
        <f t="shared" si="693"/>
        <v>11739</v>
      </c>
      <c r="K462" s="38">
        <f t="shared" si="694"/>
        <v>10374</v>
      </c>
      <c r="L462" s="38">
        <f t="shared" si="695"/>
        <v>16107</v>
      </c>
      <c r="M462" s="39">
        <f t="shared" si="696"/>
        <v>15561</v>
      </c>
      <c r="N462" s="40">
        <f t="shared" si="697"/>
        <v>11875.5</v>
      </c>
      <c r="O462" s="40">
        <f t="shared" si="698"/>
        <v>11875.5</v>
      </c>
      <c r="P462" s="40">
        <f t="shared" si="699"/>
        <v>22522.5</v>
      </c>
      <c r="Q462" s="40">
        <f t="shared" si="700"/>
        <v>20611.5</v>
      </c>
      <c r="R462" s="40">
        <f t="shared" si="701"/>
        <v>15561</v>
      </c>
      <c r="S462" s="40">
        <f t="shared" si="702"/>
        <v>22386</v>
      </c>
      <c r="T462" s="40">
        <f t="shared" si="703"/>
        <v>18700.5</v>
      </c>
      <c r="U462" s="40">
        <f t="shared" si="704"/>
        <v>28938</v>
      </c>
      <c r="V462" s="40">
        <f t="shared" si="705"/>
        <v>18427.5</v>
      </c>
      <c r="W462" s="40">
        <f t="shared" si="706"/>
        <v>26890.5</v>
      </c>
      <c r="X462" s="40">
        <f t="shared" si="707"/>
        <v>21157.5</v>
      </c>
      <c r="Y462" s="39">
        <f t="shared" si="708"/>
        <v>9282</v>
      </c>
      <c r="Z462" s="40">
        <f t="shared" si="709"/>
        <v>12285</v>
      </c>
      <c r="AA462" s="40">
        <f t="shared" si="710"/>
        <v>5596.5</v>
      </c>
      <c r="AB462" s="40">
        <f t="shared" si="711"/>
        <v>0</v>
      </c>
      <c r="AC462" s="40">
        <f t="shared" si="712"/>
        <v>136.5</v>
      </c>
      <c r="AD462" s="40">
        <f t="shared" si="713"/>
        <v>0</v>
      </c>
      <c r="AE462" s="40">
        <f t="shared" si="714"/>
        <v>0</v>
      </c>
      <c r="AF462" s="40">
        <f t="shared" si="715"/>
        <v>0</v>
      </c>
      <c r="AG462" s="40">
        <f t="shared" si="716"/>
        <v>409.5</v>
      </c>
      <c r="AH462" s="40">
        <f t="shared" si="687"/>
        <v>0</v>
      </c>
      <c r="AI462" s="40">
        <f t="shared" si="688"/>
        <v>0</v>
      </c>
      <c r="AJ462" s="40">
        <f t="shared" si="689"/>
        <v>0</v>
      </c>
      <c r="AK462" s="39">
        <f t="shared" si="690"/>
        <v>0</v>
      </c>
      <c r="AL462" s="38">
        <v>43</v>
      </c>
      <c r="AM462" s="38">
        <v>147</v>
      </c>
      <c r="AN462" s="38">
        <v>86</v>
      </c>
      <c r="AO462" s="38">
        <v>76</v>
      </c>
      <c r="AP462" s="38">
        <v>118</v>
      </c>
      <c r="AQ462" s="39">
        <v>114</v>
      </c>
      <c r="AR462" s="40">
        <v>87</v>
      </c>
      <c r="AS462" s="40">
        <v>87</v>
      </c>
      <c r="AT462" s="40">
        <v>165</v>
      </c>
      <c r="AU462" s="40">
        <v>151</v>
      </c>
      <c r="AV462" s="40">
        <v>114</v>
      </c>
      <c r="AW462" s="40">
        <v>153</v>
      </c>
      <c r="AX462" s="40">
        <v>112</v>
      </c>
      <c r="AY462" s="40">
        <v>146</v>
      </c>
      <c r="AZ462" s="40">
        <v>118</v>
      </c>
      <c r="BA462" s="40">
        <v>119</v>
      </c>
      <c r="BB462" s="40">
        <v>155</v>
      </c>
      <c r="BC462" s="39">
        <v>68</v>
      </c>
      <c r="BD462" s="40">
        <v>90</v>
      </c>
      <c r="BE462" s="40">
        <v>41</v>
      </c>
      <c r="BF462" s="40">
        <v>0</v>
      </c>
      <c r="BG462" s="40">
        <v>1</v>
      </c>
      <c r="BH462" s="40">
        <v>0</v>
      </c>
      <c r="BI462" s="40">
        <v>0</v>
      </c>
      <c r="BJ462" s="40">
        <v>0</v>
      </c>
      <c r="BK462" s="40">
        <v>3</v>
      </c>
      <c r="BL462" s="40">
        <v>0</v>
      </c>
      <c r="BM462" s="40">
        <v>0</v>
      </c>
      <c r="BN462" s="40"/>
      <c r="BO462" s="39"/>
      <c r="BP462" s="21">
        <v>0</v>
      </c>
      <c r="BQ462" s="21">
        <v>0</v>
      </c>
      <c r="BR462" s="21">
        <v>0</v>
      </c>
      <c r="BS462" s="21">
        <v>0</v>
      </c>
      <c r="BT462" s="21">
        <v>0</v>
      </c>
      <c r="BU462" s="42">
        <v>0</v>
      </c>
      <c r="BV462" s="21">
        <v>0</v>
      </c>
      <c r="BW462" s="21">
        <v>0</v>
      </c>
      <c r="BX462" s="21">
        <v>0</v>
      </c>
      <c r="BY462" s="21">
        <v>0</v>
      </c>
      <c r="BZ462" s="21">
        <v>0</v>
      </c>
      <c r="CA462" s="21">
        <v>11</v>
      </c>
      <c r="CB462" s="21">
        <v>25</v>
      </c>
      <c r="CC462" s="21">
        <v>66</v>
      </c>
      <c r="CD462" s="21">
        <v>17</v>
      </c>
      <c r="CE462" s="21">
        <v>78</v>
      </c>
      <c r="CF462" s="21">
        <v>0</v>
      </c>
      <c r="CG462" s="42">
        <v>0</v>
      </c>
      <c r="CH462" s="21">
        <v>0</v>
      </c>
      <c r="CI462" s="21">
        <v>0</v>
      </c>
      <c r="CJ462" s="21">
        <v>0</v>
      </c>
      <c r="CK462" s="21">
        <v>0</v>
      </c>
      <c r="CL462" s="21">
        <v>0</v>
      </c>
      <c r="CM462" s="21">
        <v>0</v>
      </c>
      <c r="CN462" s="21">
        <v>0</v>
      </c>
      <c r="CO462" s="21">
        <v>0</v>
      </c>
      <c r="CP462" s="21">
        <f t="shared" si="717"/>
        <v>0</v>
      </c>
      <c r="CQ462" s="343">
        <f t="shared" si="718"/>
        <v>0</v>
      </c>
      <c r="CR462" s="40"/>
      <c r="CS462" s="39"/>
      <c r="CT462" s="38">
        <f t="shared" si="657"/>
        <v>43</v>
      </c>
      <c r="CU462" s="38">
        <f t="shared" si="658"/>
        <v>147</v>
      </c>
      <c r="CV462" s="38">
        <f t="shared" si="659"/>
        <v>86</v>
      </c>
      <c r="CW462" s="38">
        <f t="shared" si="660"/>
        <v>76</v>
      </c>
      <c r="CX462" s="38">
        <f t="shared" si="661"/>
        <v>118</v>
      </c>
      <c r="CY462" s="39">
        <f t="shared" si="662"/>
        <v>114</v>
      </c>
      <c r="CZ462" s="40">
        <f t="shared" si="663"/>
        <v>87</v>
      </c>
      <c r="DA462" s="40">
        <f t="shared" si="664"/>
        <v>87</v>
      </c>
      <c r="DB462" s="40">
        <f t="shared" si="665"/>
        <v>165</v>
      </c>
      <c r="DC462" s="40">
        <f t="shared" si="666"/>
        <v>151</v>
      </c>
      <c r="DD462" s="40">
        <f t="shared" si="667"/>
        <v>114</v>
      </c>
      <c r="DE462" s="40">
        <f t="shared" si="668"/>
        <v>164</v>
      </c>
      <c r="DF462" s="40">
        <f t="shared" si="669"/>
        <v>137</v>
      </c>
      <c r="DG462" s="40">
        <f t="shared" si="670"/>
        <v>212</v>
      </c>
      <c r="DH462" s="40">
        <f t="shared" si="671"/>
        <v>135</v>
      </c>
      <c r="DI462" s="40">
        <f t="shared" si="672"/>
        <v>197</v>
      </c>
      <c r="DJ462" s="40">
        <f t="shared" si="673"/>
        <v>155</v>
      </c>
      <c r="DK462" s="39">
        <f t="shared" si="674"/>
        <v>68</v>
      </c>
      <c r="DL462" s="40">
        <f t="shared" si="675"/>
        <v>90</v>
      </c>
      <c r="DM462" s="40">
        <f t="shared" si="676"/>
        <v>41</v>
      </c>
      <c r="DN462" s="40">
        <f t="shared" si="677"/>
        <v>0</v>
      </c>
      <c r="DO462" s="40">
        <f t="shared" si="678"/>
        <v>1</v>
      </c>
      <c r="DP462" s="40">
        <f t="shared" si="679"/>
        <v>0</v>
      </c>
      <c r="DQ462" s="40">
        <f t="shared" si="680"/>
        <v>0</v>
      </c>
      <c r="DR462" s="40">
        <f t="shared" si="685"/>
        <v>0</v>
      </c>
      <c r="DS462" s="40">
        <f t="shared" si="686"/>
        <v>3</v>
      </c>
      <c r="DT462" s="40">
        <f t="shared" si="681"/>
        <v>0</v>
      </c>
      <c r="DU462" s="40">
        <f t="shared" si="682"/>
        <v>0</v>
      </c>
      <c r="DV462" s="40">
        <f t="shared" si="683"/>
        <v>0</v>
      </c>
      <c r="DW462" s="40">
        <f t="shared" si="684"/>
        <v>0</v>
      </c>
    </row>
    <row r="463" spans="1:127">
      <c r="A463" s="22" t="s">
        <v>33</v>
      </c>
      <c r="B463" s="26">
        <v>4987176116116</v>
      </c>
      <c r="C463" s="22" t="s">
        <v>38</v>
      </c>
      <c r="D463" s="22" t="s">
        <v>38</v>
      </c>
      <c r="E463" s="22">
        <v>131614</v>
      </c>
      <c r="F463" s="80" t="s">
        <v>551</v>
      </c>
      <c r="G463" s="25">
        <v>136.5</v>
      </c>
      <c r="H463" s="38">
        <f t="shared" si="691"/>
        <v>8872.5</v>
      </c>
      <c r="I463" s="38">
        <f t="shared" si="692"/>
        <v>20611.5</v>
      </c>
      <c r="J463" s="38">
        <f t="shared" si="693"/>
        <v>13104</v>
      </c>
      <c r="K463" s="38">
        <f t="shared" si="694"/>
        <v>15424.5</v>
      </c>
      <c r="L463" s="38">
        <f t="shared" si="695"/>
        <v>18837</v>
      </c>
      <c r="M463" s="39">
        <f t="shared" si="696"/>
        <v>19792.5</v>
      </c>
      <c r="N463" s="40">
        <f t="shared" si="697"/>
        <v>19519.5</v>
      </c>
      <c r="O463" s="40">
        <f t="shared" si="698"/>
        <v>16653</v>
      </c>
      <c r="P463" s="40">
        <f t="shared" si="699"/>
        <v>16516.5</v>
      </c>
      <c r="Q463" s="40">
        <f t="shared" si="700"/>
        <v>9691.5</v>
      </c>
      <c r="R463" s="40">
        <f t="shared" si="701"/>
        <v>27436.5</v>
      </c>
      <c r="S463" s="40">
        <f t="shared" si="702"/>
        <v>22932</v>
      </c>
      <c r="T463" s="40">
        <f t="shared" si="703"/>
        <v>16107</v>
      </c>
      <c r="U463" s="40">
        <f t="shared" si="704"/>
        <v>26890.5</v>
      </c>
      <c r="V463" s="40">
        <f t="shared" si="705"/>
        <v>13786.5</v>
      </c>
      <c r="W463" s="40">
        <f t="shared" si="706"/>
        <v>24979.5</v>
      </c>
      <c r="X463" s="40">
        <f t="shared" si="707"/>
        <v>15834</v>
      </c>
      <c r="Y463" s="39">
        <f t="shared" si="708"/>
        <v>7917</v>
      </c>
      <c r="Z463" s="40">
        <f t="shared" si="709"/>
        <v>8326.5</v>
      </c>
      <c r="AA463" s="40">
        <f t="shared" si="710"/>
        <v>4777.5</v>
      </c>
      <c r="AB463" s="40">
        <f t="shared" si="711"/>
        <v>0</v>
      </c>
      <c r="AC463" s="40">
        <f t="shared" si="712"/>
        <v>0</v>
      </c>
      <c r="AD463" s="40">
        <f t="shared" si="713"/>
        <v>0</v>
      </c>
      <c r="AE463" s="40">
        <f t="shared" si="714"/>
        <v>0</v>
      </c>
      <c r="AF463" s="40">
        <f t="shared" si="715"/>
        <v>0</v>
      </c>
      <c r="AG463" s="40">
        <f t="shared" si="716"/>
        <v>0</v>
      </c>
      <c r="AH463" s="40">
        <f t="shared" si="687"/>
        <v>0</v>
      </c>
      <c r="AI463" s="40">
        <f t="shared" si="688"/>
        <v>0</v>
      </c>
      <c r="AJ463" s="40">
        <f t="shared" si="689"/>
        <v>0</v>
      </c>
      <c r="AK463" s="39">
        <f t="shared" si="690"/>
        <v>0</v>
      </c>
      <c r="AL463" s="38">
        <v>48</v>
      </c>
      <c r="AM463" s="38">
        <v>135</v>
      </c>
      <c r="AN463" s="38">
        <v>72</v>
      </c>
      <c r="AO463" s="38">
        <v>91</v>
      </c>
      <c r="AP463" s="38">
        <v>126</v>
      </c>
      <c r="AQ463" s="39">
        <v>116</v>
      </c>
      <c r="AR463" s="40">
        <v>103</v>
      </c>
      <c r="AS463" s="40">
        <v>96</v>
      </c>
      <c r="AT463" s="40">
        <v>86</v>
      </c>
      <c r="AU463" s="40">
        <v>66</v>
      </c>
      <c r="AV463" s="40">
        <v>122</v>
      </c>
      <c r="AW463" s="40">
        <v>156</v>
      </c>
      <c r="AX463" s="40">
        <v>98</v>
      </c>
      <c r="AY463" s="40">
        <v>130</v>
      </c>
      <c r="AZ463" s="40">
        <v>85</v>
      </c>
      <c r="BA463" s="40">
        <v>116</v>
      </c>
      <c r="BB463" s="40">
        <v>116</v>
      </c>
      <c r="BC463" s="39">
        <v>58</v>
      </c>
      <c r="BD463" s="40">
        <v>61</v>
      </c>
      <c r="BE463" s="40">
        <v>35</v>
      </c>
      <c r="BF463" s="40">
        <v>0</v>
      </c>
      <c r="BG463" s="40">
        <v>0</v>
      </c>
      <c r="BH463" s="40">
        <v>0</v>
      </c>
      <c r="BI463" s="40">
        <v>0</v>
      </c>
      <c r="BJ463" s="40">
        <v>0</v>
      </c>
      <c r="BK463" s="40">
        <v>0</v>
      </c>
      <c r="BL463" s="40">
        <v>0</v>
      </c>
      <c r="BM463" s="40">
        <v>0</v>
      </c>
      <c r="BN463" s="40"/>
      <c r="BO463" s="39"/>
      <c r="BP463" s="21">
        <v>17</v>
      </c>
      <c r="BQ463" s="21">
        <v>16</v>
      </c>
      <c r="BR463" s="21">
        <v>24</v>
      </c>
      <c r="BS463" s="21">
        <v>22</v>
      </c>
      <c r="BT463" s="21">
        <v>12</v>
      </c>
      <c r="BU463" s="42">
        <v>29</v>
      </c>
      <c r="BV463" s="21">
        <v>40</v>
      </c>
      <c r="BW463" s="21">
        <v>26</v>
      </c>
      <c r="BX463" s="21">
        <v>35</v>
      </c>
      <c r="BY463" s="21">
        <v>5</v>
      </c>
      <c r="BZ463" s="21">
        <v>79</v>
      </c>
      <c r="CA463" s="21">
        <v>12</v>
      </c>
      <c r="CB463" s="21">
        <v>20</v>
      </c>
      <c r="CC463" s="21">
        <v>67</v>
      </c>
      <c r="CD463" s="21">
        <v>16</v>
      </c>
      <c r="CE463" s="21">
        <v>67</v>
      </c>
      <c r="CF463" s="21">
        <v>0</v>
      </c>
      <c r="CG463" s="42">
        <v>0</v>
      </c>
      <c r="CH463" s="21">
        <v>0</v>
      </c>
      <c r="CI463" s="21">
        <v>0</v>
      </c>
      <c r="CJ463" s="21">
        <v>0</v>
      </c>
      <c r="CK463" s="21">
        <v>0</v>
      </c>
      <c r="CL463" s="21">
        <v>0</v>
      </c>
      <c r="CM463" s="21">
        <v>0</v>
      </c>
      <c r="CN463" s="21">
        <v>0</v>
      </c>
      <c r="CO463" s="21">
        <v>0</v>
      </c>
      <c r="CP463" s="21">
        <f t="shared" si="717"/>
        <v>0</v>
      </c>
      <c r="CQ463" s="343">
        <f t="shared" si="718"/>
        <v>0</v>
      </c>
      <c r="CR463" s="40"/>
      <c r="CS463" s="39"/>
      <c r="CT463" s="38">
        <f t="shared" si="657"/>
        <v>65</v>
      </c>
      <c r="CU463" s="38">
        <f t="shared" si="658"/>
        <v>151</v>
      </c>
      <c r="CV463" s="38">
        <f t="shared" si="659"/>
        <v>96</v>
      </c>
      <c r="CW463" s="38">
        <f t="shared" si="660"/>
        <v>113</v>
      </c>
      <c r="CX463" s="38">
        <f t="shared" si="661"/>
        <v>138</v>
      </c>
      <c r="CY463" s="39">
        <f t="shared" si="662"/>
        <v>145</v>
      </c>
      <c r="CZ463" s="40">
        <f t="shared" si="663"/>
        <v>143</v>
      </c>
      <c r="DA463" s="40">
        <f t="shared" si="664"/>
        <v>122</v>
      </c>
      <c r="DB463" s="40">
        <f t="shared" si="665"/>
        <v>121</v>
      </c>
      <c r="DC463" s="40">
        <f t="shared" si="666"/>
        <v>71</v>
      </c>
      <c r="DD463" s="40">
        <f t="shared" si="667"/>
        <v>201</v>
      </c>
      <c r="DE463" s="40">
        <f t="shared" si="668"/>
        <v>168</v>
      </c>
      <c r="DF463" s="40">
        <f t="shared" si="669"/>
        <v>118</v>
      </c>
      <c r="DG463" s="40">
        <f t="shared" si="670"/>
        <v>197</v>
      </c>
      <c r="DH463" s="40">
        <f t="shared" si="671"/>
        <v>101</v>
      </c>
      <c r="DI463" s="40">
        <f t="shared" si="672"/>
        <v>183</v>
      </c>
      <c r="DJ463" s="40">
        <f t="shared" si="673"/>
        <v>116</v>
      </c>
      <c r="DK463" s="39">
        <f t="shared" si="674"/>
        <v>58</v>
      </c>
      <c r="DL463" s="40">
        <f t="shared" si="675"/>
        <v>61</v>
      </c>
      <c r="DM463" s="40">
        <f t="shared" si="676"/>
        <v>35</v>
      </c>
      <c r="DN463" s="40">
        <f t="shared" si="677"/>
        <v>0</v>
      </c>
      <c r="DO463" s="40">
        <f t="shared" si="678"/>
        <v>0</v>
      </c>
      <c r="DP463" s="40">
        <f t="shared" si="679"/>
        <v>0</v>
      </c>
      <c r="DQ463" s="40">
        <f t="shared" si="680"/>
        <v>0</v>
      </c>
      <c r="DR463" s="40">
        <f t="shared" si="685"/>
        <v>0</v>
      </c>
      <c r="DS463" s="40">
        <f t="shared" si="686"/>
        <v>0</v>
      </c>
      <c r="DT463" s="40">
        <f t="shared" si="681"/>
        <v>0</v>
      </c>
      <c r="DU463" s="40">
        <f t="shared" si="682"/>
        <v>0</v>
      </c>
      <c r="DV463" s="40">
        <f t="shared" si="683"/>
        <v>0</v>
      </c>
      <c r="DW463" s="40">
        <f t="shared" si="684"/>
        <v>0</v>
      </c>
    </row>
    <row r="464" spans="1:127">
      <c r="A464" s="22" t="s">
        <v>33</v>
      </c>
      <c r="B464" s="26">
        <v>4987176116086</v>
      </c>
      <c r="C464" s="22" t="s">
        <v>38</v>
      </c>
      <c r="D464" s="22" t="s">
        <v>38</v>
      </c>
      <c r="E464" s="22">
        <v>131623</v>
      </c>
      <c r="F464" s="80" t="s">
        <v>552</v>
      </c>
      <c r="G464" s="25">
        <v>136.5</v>
      </c>
      <c r="H464" s="38">
        <f t="shared" si="691"/>
        <v>14469</v>
      </c>
      <c r="I464" s="38">
        <f t="shared" si="692"/>
        <v>33988.5</v>
      </c>
      <c r="J464" s="38">
        <f t="shared" si="693"/>
        <v>18154.5</v>
      </c>
      <c r="K464" s="38">
        <f t="shared" si="694"/>
        <v>18154.5</v>
      </c>
      <c r="L464" s="38">
        <f t="shared" si="695"/>
        <v>23887.5</v>
      </c>
      <c r="M464" s="39">
        <f t="shared" si="696"/>
        <v>27027</v>
      </c>
      <c r="N464" s="40">
        <f t="shared" si="697"/>
        <v>22659</v>
      </c>
      <c r="O464" s="40">
        <f t="shared" si="698"/>
        <v>21840</v>
      </c>
      <c r="P464" s="40">
        <f t="shared" si="699"/>
        <v>31804.5</v>
      </c>
      <c r="Q464" s="40">
        <f t="shared" si="700"/>
        <v>14059.5</v>
      </c>
      <c r="R464" s="40">
        <f t="shared" si="701"/>
        <v>52143</v>
      </c>
      <c r="S464" s="40">
        <f t="shared" si="702"/>
        <v>36855</v>
      </c>
      <c r="T464" s="40">
        <f t="shared" si="703"/>
        <v>27982.5</v>
      </c>
      <c r="U464" s="40">
        <f t="shared" si="704"/>
        <v>67704</v>
      </c>
      <c r="V464" s="40">
        <f t="shared" si="705"/>
        <v>33988.5</v>
      </c>
      <c r="W464" s="40">
        <f t="shared" si="706"/>
        <v>41359.5</v>
      </c>
      <c r="X464" s="40">
        <f t="shared" si="707"/>
        <v>37264.5</v>
      </c>
      <c r="Y464" s="39">
        <f t="shared" si="708"/>
        <v>16107</v>
      </c>
      <c r="Z464" s="40">
        <f t="shared" si="709"/>
        <v>18154.5</v>
      </c>
      <c r="AA464" s="40">
        <f t="shared" si="710"/>
        <v>11739</v>
      </c>
      <c r="AB464" s="40">
        <f t="shared" si="711"/>
        <v>546</v>
      </c>
      <c r="AC464" s="40">
        <f t="shared" si="712"/>
        <v>0</v>
      </c>
      <c r="AD464" s="40">
        <f t="shared" si="713"/>
        <v>136.5</v>
      </c>
      <c r="AE464" s="40">
        <f t="shared" si="714"/>
        <v>0</v>
      </c>
      <c r="AF464" s="40">
        <f t="shared" si="715"/>
        <v>0</v>
      </c>
      <c r="AG464" s="40">
        <f t="shared" si="716"/>
        <v>0</v>
      </c>
      <c r="AH464" s="40">
        <f t="shared" si="687"/>
        <v>136.5</v>
      </c>
      <c r="AI464" s="40">
        <f t="shared" si="688"/>
        <v>0</v>
      </c>
      <c r="AJ464" s="40">
        <f t="shared" si="689"/>
        <v>0</v>
      </c>
      <c r="AK464" s="39">
        <f t="shared" si="690"/>
        <v>0</v>
      </c>
      <c r="AL464" s="38">
        <v>78</v>
      </c>
      <c r="AM464" s="38">
        <v>172</v>
      </c>
      <c r="AN464" s="38">
        <v>79</v>
      </c>
      <c r="AO464" s="38">
        <v>91</v>
      </c>
      <c r="AP464" s="38">
        <v>129</v>
      </c>
      <c r="AQ464" s="39">
        <v>137</v>
      </c>
      <c r="AR464" s="40">
        <v>106</v>
      </c>
      <c r="AS464" s="40">
        <v>122</v>
      </c>
      <c r="AT464" s="40">
        <v>136</v>
      </c>
      <c r="AU464" s="40">
        <v>85</v>
      </c>
      <c r="AV464" s="40">
        <v>209</v>
      </c>
      <c r="AW464" s="40">
        <v>254</v>
      </c>
      <c r="AX464" s="40">
        <v>167</v>
      </c>
      <c r="AY464" s="40">
        <v>399</v>
      </c>
      <c r="AZ464" s="40">
        <v>221</v>
      </c>
      <c r="BA464" s="40">
        <v>196</v>
      </c>
      <c r="BB464" s="40">
        <v>273</v>
      </c>
      <c r="BC464" s="39">
        <v>118</v>
      </c>
      <c r="BD464" s="40">
        <v>133</v>
      </c>
      <c r="BE464" s="40">
        <v>86</v>
      </c>
      <c r="BF464" s="40">
        <v>4</v>
      </c>
      <c r="BG464" s="40">
        <v>0</v>
      </c>
      <c r="BH464" s="40">
        <v>1</v>
      </c>
      <c r="BI464" s="40">
        <v>0</v>
      </c>
      <c r="BJ464" s="40">
        <v>0</v>
      </c>
      <c r="BK464" s="40">
        <v>0</v>
      </c>
      <c r="BL464" s="40">
        <v>1</v>
      </c>
      <c r="BM464" s="40">
        <v>0</v>
      </c>
      <c r="BN464" s="40"/>
      <c r="BO464" s="39"/>
      <c r="BP464" s="21">
        <v>28</v>
      </c>
      <c r="BQ464" s="21">
        <v>77</v>
      </c>
      <c r="BR464" s="21">
        <v>54</v>
      </c>
      <c r="BS464" s="21">
        <v>42</v>
      </c>
      <c r="BT464" s="21">
        <v>46</v>
      </c>
      <c r="BU464" s="42">
        <v>61</v>
      </c>
      <c r="BV464" s="21">
        <v>60</v>
      </c>
      <c r="BW464" s="21">
        <v>38</v>
      </c>
      <c r="BX464" s="21">
        <v>97</v>
      </c>
      <c r="BY464" s="21">
        <v>18</v>
      </c>
      <c r="BZ464" s="21">
        <v>173</v>
      </c>
      <c r="CA464" s="21">
        <v>16</v>
      </c>
      <c r="CB464" s="21">
        <v>38</v>
      </c>
      <c r="CC464" s="21">
        <v>97</v>
      </c>
      <c r="CD464" s="21">
        <v>28</v>
      </c>
      <c r="CE464" s="21">
        <v>107</v>
      </c>
      <c r="CF464" s="21">
        <v>0</v>
      </c>
      <c r="CG464" s="42">
        <v>0</v>
      </c>
      <c r="CH464" s="21">
        <v>0</v>
      </c>
      <c r="CI464" s="21">
        <v>0</v>
      </c>
      <c r="CJ464" s="21">
        <v>0</v>
      </c>
      <c r="CK464" s="21">
        <v>0</v>
      </c>
      <c r="CL464" s="21">
        <v>0</v>
      </c>
      <c r="CM464" s="21">
        <v>0</v>
      </c>
      <c r="CN464" s="21">
        <v>0</v>
      </c>
      <c r="CO464" s="21">
        <v>0</v>
      </c>
      <c r="CP464" s="21">
        <f t="shared" si="717"/>
        <v>0</v>
      </c>
      <c r="CQ464" s="343">
        <f t="shared" si="718"/>
        <v>0</v>
      </c>
      <c r="CR464" s="40"/>
      <c r="CS464" s="39"/>
      <c r="CT464" s="38">
        <f t="shared" si="657"/>
        <v>106</v>
      </c>
      <c r="CU464" s="38">
        <f t="shared" si="658"/>
        <v>249</v>
      </c>
      <c r="CV464" s="38">
        <f t="shared" si="659"/>
        <v>133</v>
      </c>
      <c r="CW464" s="38">
        <f t="shared" si="660"/>
        <v>133</v>
      </c>
      <c r="CX464" s="38">
        <f t="shared" si="661"/>
        <v>175</v>
      </c>
      <c r="CY464" s="39">
        <f t="shared" si="662"/>
        <v>198</v>
      </c>
      <c r="CZ464" s="40">
        <f t="shared" si="663"/>
        <v>166</v>
      </c>
      <c r="DA464" s="40">
        <f t="shared" si="664"/>
        <v>160</v>
      </c>
      <c r="DB464" s="40">
        <f t="shared" si="665"/>
        <v>233</v>
      </c>
      <c r="DC464" s="40">
        <f t="shared" si="666"/>
        <v>103</v>
      </c>
      <c r="DD464" s="40">
        <f t="shared" si="667"/>
        <v>382</v>
      </c>
      <c r="DE464" s="40">
        <f t="shared" si="668"/>
        <v>270</v>
      </c>
      <c r="DF464" s="40">
        <f t="shared" si="669"/>
        <v>205</v>
      </c>
      <c r="DG464" s="40">
        <f t="shared" si="670"/>
        <v>496</v>
      </c>
      <c r="DH464" s="40">
        <f t="shared" si="671"/>
        <v>249</v>
      </c>
      <c r="DI464" s="40">
        <f t="shared" si="672"/>
        <v>303</v>
      </c>
      <c r="DJ464" s="40">
        <f t="shared" si="673"/>
        <v>273</v>
      </c>
      <c r="DK464" s="39">
        <f t="shared" si="674"/>
        <v>118</v>
      </c>
      <c r="DL464" s="40">
        <f t="shared" si="675"/>
        <v>133</v>
      </c>
      <c r="DM464" s="40">
        <f t="shared" si="676"/>
        <v>86</v>
      </c>
      <c r="DN464" s="40">
        <f t="shared" si="677"/>
        <v>4</v>
      </c>
      <c r="DO464" s="40">
        <f t="shared" si="678"/>
        <v>0</v>
      </c>
      <c r="DP464" s="40">
        <f t="shared" si="679"/>
        <v>1</v>
      </c>
      <c r="DQ464" s="40">
        <f t="shared" si="680"/>
        <v>0</v>
      </c>
      <c r="DR464" s="40">
        <f t="shared" si="685"/>
        <v>0</v>
      </c>
      <c r="DS464" s="40">
        <f t="shared" si="686"/>
        <v>0</v>
      </c>
      <c r="DT464" s="40">
        <f t="shared" si="681"/>
        <v>1</v>
      </c>
      <c r="DU464" s="40">
        <f t="shared" si="682"/>
        <v>0</v>
      </c>
      <c r="DV464" s="40">
        <f t="shared" si="683"/>
        <v>0</v>
      </c>
      <c r="DW464" s="40">
        <f t="shared" si="684"/>
        <v>0</v>
      </c>
    </row>
    <row r="465" spans="1:127">
      <c r="A465" s="22" t="s">
        <v>33</v>
      </c>
      <c r="B465" s="26">
        <v>4902430754989</v>
      </c>
      <c r="C465" s="22" t="s">
        <v>38</v>
      </c>
      <c r="D465" s="22" t="s">
        <v>38</v>
      </c>
      <c r="E465" s="22">
        <v>737076</v>
      </c>
      <c r="F465" s="80" t="s">
        <v>553</v>
      </c>
      <c r="G465" s="25">
        <v>205</v>
      </c>
      <c r="H465" s="38">
        <f t="shared" si="691"/>
        <v>115210</v>
      </c>
      <c r="I465" s="38">
        <f t="shared" si="692"/>
        <v>58630</v>
      </c>
      <c r="J465" s="38">
        <f t="shared" si="693"/>
        <v>39975</v>
      </c>
      <c r="K465" s="38">
        <f t="shared" si="694"/>
        <v>144525</v>
      </c>
      <c r="L465" s="38">
        <f t="shared" si="695"/>
        <v>98400</v>
      </c>
      <c r="M465" s="39">
        <f t="shared" si="696"/>
        <v>47970</v>
      </c>
      <c r="N465" s="40">
        <f t="shared" si="697"/>
        <v>220375</v>
      </c>
      <c r="O465" s="40">
        <f t="shared" si="698"/>
        <v>167895</v>
      </c>
      <c r="P465" s="40">
        <f t="shared" si="699"/>
        <v>47355</v>
      </c>
      <c r="Q465" s="40">
        <f t="shared" si="700"/>
        <v>60680</v>
      </c>
      <c r="R465" s="40">
        <f t="shared" si="701"/>
        <v>89790</v>
      </c>
      <c r="S465" s="40">
        <f t="shared" si="702"/>
        <v>130790</v>
      </c>
      <c r="T465" s="40">
        <f t="shared" si="703"/>
        <v>322055</v>
      </c>
      <c r="U465" s="40">
        <f t="shared" si="704"/>
        <v>125870</v>
      </c>
      <c r="V465" s="40">
        <f t="shared" si="705"/>
        <v>64575</v>
      </c>
      <c r="W465" s="40">
        <f t="shared" si="706"/>
        <v>80975</v>
      </c>
      <c r="X465" s="40">
        <f t="shared" si="707"/>
        <v>112340</v>
      </c>
      <c r="Y465" s="39">
        <f t="shared" si="708"/>
        <v>61090</v>
      </c>
      <c r="Z465" s="40">
        <f t="shared" si="709"/>
        <v>74415</v>
      </c>
      <c r="AA465" s="40">
        <f t="shared" si="710"/>
        <v>29930</v>
      </c>
      <c r="AB465" s="40">
        <f t="shared" si="711"/>
        <v>820</v>
      </c>
      <c r="AC465" s="40">
        <f t="shared" si="712"/>
        <v>205</v>
      </c>
      <c r="AD465" s="40">
        <f t="shared" si="713"/>
        <v>205</v>
      </c>
      <c r="AE465" s="40">
        <f t="shared" si="714"/>
        <v>205</v>
      </c>
      <c r="AF465" s="40">
        <f t="shared" si="715"/>
        <v>0</v>
      </c>
      <c r="AG465" s="40">
        <f t="shared" si="716"/>
        <v>0</v>
      </c>
      <c r="AH465" s="40">
        <f t="shared" si="687"/>
        <v>0</v>
      </c>
      <c r="AI465" s="40">
        <f t="shared" si="688"/>
        <v>410</v>
      </c>
      <c r="AJ465" s="40">
        <f t="shared" si="689"/>
        <v>0</v>
      </c>
      <c r="AK465" s="39">
        <f t="shared" si="690"/>
        <v>0</v>
      </c>
      <c r="AL465" s="38">
        <v>562</v>
      </c>
      <c r="AM465" s="38">
        <v>286</v>
      </c>
      <c r="AN465" s="38">
        <v>195</v>
      </c>
      <c r="AO465" s="38">
        <v>705</v>
      </c>
      <c r="AP465" s="38">
        <v>480</v>
      </c>
      <c r="AQ465" s="39">
        <v>234</v>
      </c>
      <c r="AR465" s="40">
        <v>1075</v>
      </c>
      <c r="AS465" s="40">
        <v>819</v>
      </c>
      <c r="AT465" s="40">
        <v>231</v>
      </c>
      <c r="AU465" s="40">
        <v>296</v>
      </c>
      <c r="AV465" s="40">
        <v>438</v>
      </c>
      <c r="AW465" s="40">
        <v>579</v>
      </c>
      <c r="AX465" s="40">
        <v>1499</v>
      </c>
      <c r="AY465" s="40">
        <v>577</v>
      </c>
      <c r="AZ465" s="40">
        <v>307</v>
      </c>
      <c r="BA465" s="40">
        <v>301</v>
      </c>
      <c r="BB465" s="40">
        <v>543</v>
      </c>
      <c r="BC465" s="39">
        <v>298</v>
      </c>
      <c r="BD465" s="40">
        <v>363</v>
      </c>
      <c r="BE465" s="40">
        <v>146</v>
      </c>
      <c r="BF465" s="40">
        <v>4</v>
      </c>
      <c r="BG465" s="40">
        <v>1</v>
      </c>
      <c r="BH465" s="40">
        <v>1</v>
      </c>
      <c r="BI465" s="40">
        <v>1</v>
      </c>
      <c r="BJ465" s="40">
        <v>0</v>
      </c>
      <c r="BK465" s="40">
        <v>0</v>
      </c>
      <c r="BL465" s="40">
        <v>0</v>
      </c>
      <c r="BM465" s="40">
        <v>2</v>
      </c>
      <c r="BN465" s="40"/>
      <c r="BO465" s="39"/>
      <c r="BP465" s="21">
        <v>0</v>
      </c>
      <c r="BQ465" s="21">
        <v>0</v>
      </c>
      <c r="BR465" s="21">
        <v>0</v>
      </c>
      <c r="BS465" s="21">
        <v>0</v>
      </c>
      <c r="BT465" s="21">
        <v>0</v>
      </c>
      <c r="BU465" s="42">
        <v>0</v>
      </c>
      <c r="BV465" s="21">
        <v>0</v>
      </c>
      <c r="BW465" s="21">
        <v>0</v>
      </c>
      <c r="BX465" s="21">
        <v>0</v>
      </c>
      <c r="BY465" s="21">
        <v>0</v>
      </c>
      <c r="BZ465" s="21">
        <v>0</v>
      </c>
      <c r="CA465" s="21">
        <v>59</v>
      </c>
      <c r="CB465" s="21">
        <v>72</v>
      </c>
      <c r="CC465" s="21">
        <v>37</v>
      </c>
      <c r="CD465" s="21">
        <v>8</v>
      </c>
      <c r="CE465" s="21">
        <v>94</v>
      </c>
      <c r="CF465" s="21">
        <v>5</v>
      </c>
      <c r="CG465" s="42">
        <v>0</v>
      </c>
      <c r="CH465" s="21">
        <v>0</v>
      </c>
      <c r="CI465" s="21">
        <v>0</v>
      </c>
      <c r="CJ465" s="21">
        <v>0</v>
      </c>
      <c r="CK465" s="21">
        <v>0</v>
      </c>
      <c r="CL465" s="21">
        <v>0</v>
      </c>
      <c r="CM465" s="21">
        <v>0</v>
      </c>
      <c r="CN465" s="21">
        <v>0</v>
      </c>
      <c r="CO465" s="21">
        <v>0</v>
      </c>
      <c r="CP465" s="21">
        <f t="shared" si="717"/>
        <v>0</v>
      </c>
      <c r="CQ465" s="343">
        <f t="shared" si="718"/>
        <v>0</v>
      </c>
      <c r="CR465" s="40"/>
      <c r="CS465" s="39"/>
      <c r="CT465" s="38">
        <f t="shared" si="657"/>
        <v>562</v>
      </c>
      <c r="CU465" s="38">
        <f t="shared" si="658"/>
        <v>286</v>
      </c>
      <c r="CV465" s="38">
        <f t="shared" si="659"/>
        <v>195</v>
      </c>
      <c r="CW465" s="38">
        <f t="shared" si="660"/>
        <v>705</v>
      </c>
      <c r="CX465" s="38">
        <f t="shared" si="661"/>
        <v>480</v>
      </c>
      <c r="CY465" s="39">
        <f t="shared" si="662"/>
        <v>234</v>
      </c>
      <c r="CZ465" s="40">
        <f t="shared" si="663"/>
        <v>1075</v>
      </c>
      <c r="DA465" s="40">
        <f t="shared" si="664"/>
        <v>819</v>
      </c>
      <c r="DB465" s="40">
        <f t="shared" si="665"/>
        <v>231</v>
      </c>
      <c r="DC465" s="40">
        <f t="shared" si="666"/>
        <v>296</v>
      </c>
      <c r="DD465" s="40">
        <f t="shared" si="667"/>
        <v>438</v>
      </c>
      <c r="DE465" s="40">
        <f t="shared" si="668"/>
        <v>638</v>
      </c>
      <c r="DF465" s="40">
        <f t="shared" si="669"/>
        <v>1571</v>
      </c>
      <c r="DG465" s="40">
        <f t="shared" si="670"/>
        <v>614</v>
      </c>
      <c r="DH465" s="40">
        <f t="shared" si="671"/>
        <v>315</v>
      </c>
      <c r="DI465" s="40">
        <f t="shared" si="672"/>
        <v>395</v>
      </c>
      <c r="DJ465" s="40">
        <f t="shared" si="673"/>
        <v>548</v>
      </c>
      <c r="DK465" s="39">
        <f t="shared" si="674"/>
        <v>298</v>
      </c>
      <c r="DL465" s="40">
        <f t="shared" si="675"/>
        <v>363</v>
      </c>
      <c r="DM465" s="40">
        <f t="shared" si="676"/>
        <v>146</v>
      </c>
      <c r="DN465" s="40">
        <f t="shared" si="677"/>
        <v>4</v>
      </c>
      <c r="DO465" s="40">
        <f t="shared" si="678"/>
        <v>1</v>
      </c>
      <c r="DP465" s="40">
        <f t="shared" si="679"/>
        <v>1</v>
      </c>
      <c r="DQ465" s="40">
        <f t="shared" si="680"/>
        <v>1</v>
      </c>
      <c r="DR465" s="40">
        <f t="shared" si="685"/>
        <v>0</v>
      </c>
      <c r="DS465" s="40">
        <f t="shared" si="686"/>
        <v>0</v>
      </c>
      <c r="DT465" s="40">
        <f t="shared" si="681"/>
        <v>0</v>
      </c>
      <c r="DU465" s="40">
        <f t="shared" si="682"/>
        <v>2</v>
      </c>
      <c r="DV465" s="40">
        <f t="shared" si="683"/>
        <v>0</v>
      </c>
      <c r="DW465" s="40">
        <f t="shared" si="684"/>
        <v>0</v>
      </c>
    </row>
    <row r="466" spans="1:127">
      <c r="A466" s="22" t="s">
        <v>33</v>
      </c>
      <c r="B466" s="26">
        <v>4902430755023</v>
      </c>
      <c r="C466" s="22" t="s">
        <v>38</v>
      </c>
      <c r="D466" s="22" t="s">
        <v>38</v>
      </c>
      <c r="E466" s="22">
        <v>737092</v>
      </c>
      <c r="F466" s="80" t="s">
        <v>554</v>
      </c>
      <c r="G466" s="25">
        <v>205</v>
      </c>
      <c r="H466" s="38">
        <f t="shared" si="691"/>
        <v>85280</v>
      </c>
      <c r="I466" s="38">
        <f t="shared" si="692"/>
        <v>47765</v>
      </c>
      <c r="J466" s="38">
        <f t="shared" si="693"/>
        <v>29520</v>
      </c>
      <c r="K466" s="38">
        <f t="shared" si="694"/>
        <v>108035</v>
      </c>
      <c r="L466" s="38">
        <f t="shared" si="695"/>
        <v>72365</v>
      </c>
      <c r="M466" s="39">
        <f t="shared" si="696"/>
        <v>29315</v>
      </c>
      <c r="N466" s="40">
        <f t="shared" si="697"/>
        <v>145755</v>
      </c>
      <c r="O466" s="40">
        <f t="shared" si="698"/>
        <v>108650</v>
      </c>
      <c r="P466" s="40">
        <f t="shared" si="699"/>
        <v>32185</v>
      </c>
      <c r="Q466" s="40">
        <f t="shared" si="700"/>
        <v>39360</v>
      </c>
      <c r="R466" s="40">
        <f t="shared" si="701"/>
        <v>63140</v>
      </c>
      <c r="S466" s="40">
        <f t="shared" si="702"/>
        <v>27470</v>
      </c>
      <c r="T466" s="40">
        <f t="shared" si="703"/>
        <v>39975</v>
      </c>
      <c r="U466" s="40">
        <f t="shared" si="704"/>
        <v>72775</v>
      </c>
      <c r="V466" s="40">
        <f t="shared" si="705"/>
        <v>41000</v>
      </c>
      <c r="W466" s="40">
        <f t="shared" si="706"/>
        <v>54530</v>
      </c>
      <c r="X466" s="40">
        <f t="shared" si="707"/>
        <v>58220</v>
      </c>
      <c r="Y466" s="39">
        <f t="shared" si="708"/>
        <v>38540</v>
      </c>
      <c r="Z466" s="40">
        <f t="shared" si="709"/>
        <v>52275</v>
      </c>
      <c r="AA466" s="40">
        <f t="shared" si="710"/>
        <v>25215</v>
      </c>
      <c r="AB466" s="40">
        <f t="shared" si="711"/>
        <v>615</v>
      </c>
      <c r="AC466" s="40">
        <f t="shared" si="712"/>
        <v>1230</v>
      </c>
      <c r="AD466" s="40">
        <f t="shared" si="713"/>
        <v>0</v>
      </c>
      <c r="AE466" s="40">
        <f t="shared" si="714"/>
        <v>205</v>
      </c>
      <c r="AF466" s="40">
        <f t="shared" si="715"/>
        <v>0</v>
      </c>
      <c r="AG466" s="40">
        <f t="shared" si="716"/>
        <v>615</v>
      </c>
      <c r="AH466" s="40">
        <f t="shared" si="687"/>
        <v>0</v>
      </c>
      <c r="AI466" s="40">
        <f t="shared" si="688"/>
        <v>0</v>
      </c>
      <c r="AJ466" s="40">
        <f t="shared" si="689"/>
        <v>0</v>
      </c>
      <c r="AK466" s="39">
        <f t="shared" si="690"/>
        <v>0</v>
      </c>
      <c r="AL466" s="38">
        <v>416</v>
      </c>
      <c r="AM466" s="38">
        <v>233</v>
      </c>
      <c r="AN466" s="38">
        <v>144</v>
      </c>
      <c r="AO466" s="38">
        <v>527</v>
      </c>
      <c r="AP466" s="38">
        <v>353</v>
      </c>
      <c r="AQ466" s="39">
        <v>143</v>
      </c>
      <c r="AR466" s="40">
        <v>711</v>
      </c>
      <c r="AS466" s="40">
        <v>530</v>
      </c>
      <c r="AT466" s="40">
        <v>157</v>
      </c>
      <c r="AU466" s="40">
        <v>192</v>
      </c>
      <c r="AV466" s="40">
        <v>308</v>
      </c>
      <c r="AW466" s="40">
        <v>130</v>
      </c>
      <c r="AX466" s="40">
        <v>172</v>
      </c>
      <c r="AY466" s="40">
        <v>346</v>
      </c>
      <c r="AZ466" s="40">
        <v>198</v>
      </c>
      <c r="BA466" s="40">
        <v>196</v>
      </c>
      <c r="BB466" s="40">
        <v>282</v>
      </c>
      <c r="BC466" s="39">
        <v>188</v>
      </c>
      <c r="BD466" s="40">
        <v>255</v>
      </c>
      <c r="BE466" s="40">
        <v>123</v>
      </c>
      <c r="BF466" s="40">
        <v>3</v>
      </c>
      <c r="BG466" s="40">
        <v>6</v>
      </c>
      <c r="BH466" s="40">
        <v>0</v>
      </c>
      <c r="BI466" s="40">
        <v>1</v>
      </c>
      <c r="BJ466" s="40">
        <v>0</v>
      </c>
      <c r="BK466" s="40">
        <v>3</v>
      </c>
      <c r="BL466" s="40">
        <v>0</v>
      </c>
      <c r="BM466" s="40">
        <v>0</v>
      </c>
      <c r="BN466" s="40"/>
      <c r="BO466" s="39"/>
      <c r="BP466" s="21">
        <v>0</v>
      </c>
      <c r="BQ466" s="21">
        <v>0</v>
      </c>
      <c r="BR466" s="21">
        <v>0</v>
      </c>
      <c r="BS466" s="21">
        <v>0</v>
      </c>
      <c r="BT466" s="21">
        <v>0</v>
      </c>
      <c r="BU466" s="42">
        <v>0</v>
      </c>
      <c r="BV466" s="21">
        <v>0</v>
      </c>
      <c r="BW466" s="21">
        <v>0</v>
      </c>
      <c r="BX466" s="21">
        <v>0</v>
      </c>
      <c r="BY466" s="21">
        <v>0</v>
      </c>
      <c r="BZ466" s="21">
        <v>0</v>
      </c>
      <c r="CA466" s="21">
        <v>4</v>
      </c>
      <c r="CB466" s="21">
        <v>23</v>
      </c>
      <c r="CC466" s="21">
        <v>9</v>
      </c>
      <c r="CD466" s="21">
        <v>2</v>
      </c>
      <c r="CE466" s="21">
        <v>70</v>
      </c>
      <c r="CF466" s="21">
        <v>2</v>
      </c>
      <c r="CG466" s="42">
        <v>0</v>
      </c>
      <c r="CH466" s="21">
        <v>0</v>
      </c>
      <c r="CI466" s="21">
        <v>0</v>
      </c>
      <c r="CJ466" s="21">
        <v>0</v>
      </c>
      <c r="CK466" s="21">
        <v>0</v>
      </c>
      <c r="CL466" s="21">
        <v>0</v>
      </c>
      <c r="CM466" s="21">
        <v>0</v>
      </c>
      <c r="CN466" s="21">
        <v>0</v>
      </c>
      <c r="CO466" s="21">
        <v>0</v>
      </c>
      <c r="CP466" s="21">
        <f t="shared" si="717"/>
        <v>0</v>
      </c>
      <c r="CQ466" s="343">
        <f t="shared" si="718"/>
        <v>0</v>
      </c>
      <c r="CR466" s="40"/>
      <c r="CS466" s="39"/>
      <c r="CT466" s="38">
        <f t="shared" si="657"/>
        <v>416</v>
      </c>
      <c r="CU466" s="38">
        <f t="shared" si="658"/>
        <v>233</v>
      </c>
      <c r="CV466" s="38">
        <f t="shared" si="659"/>
        <v>144</v>
      </c>
      <c r="CW466" s="38">
        <f t="shared" si="660"/>
        <v>527</v>
      </c>
      <c r="CX466" s="38">
        <f t="shared" si="661"/>
        <v>353</v>
      </c>
      <c r="CY466" s="39">
        <f t="shared" si="662"/>
        <v>143</v>
      </c>
      <c r="CZ466" s="40">
        <f t="shared" si="663"/>
        <v>711</v>
      </c>
      <c r="DA466" s="40">
        <f t="shared" si="664"/>
        <v>530</v>
      </c>
      <c r="DB466" s="40">
        <f t="shared" si="665"/>
        <v>157</v>
      </c>
      <c r="DC466" s="40">
        <f t="shared" si="666"/>
        <v>192</v>
      </c>
      <c r="DD466" s="40">
        <f t="shared" si="667"/>
        <v>308</v>
      </c>
      <c r="DE466" s="40">
        <f t="shared" si="668"/>
        <v>134</v>
      </c>
      <c r="DF466" s="40">
        <f t="shared" si="669"/>
        <v>195</v>
      </c>
      <c r="DG466" s="40">
        <f t="shared" si="670"/>
        <v>355</v>
      </c>
      <c r="DH466" s="40">
        <f t="shared" si="671"/>
        <v>200</v>
      </c>
      <c r="DI466" s="40">
        <f t="shared" si="672"/>
        <v>266</v>
      </c>
      <c r="DJ466" s="40">
        <f t="shared" si="673"/>
        <v>284</v>
      </c>
      <c r="DK466" s="39">
        <f t="shared" si="674"/>
        <v>188</v>
      </c>
      <c r="DL466" s="40">
        <f t="shared" si="675"/>
        <v>255</v>
      </c>
      <c r="DM466" s="40">
        <f t="shared" si="676"/>
        <v>123</v>
      </c>
      <c r="DN466" s="40">
        <f t="shared" si="677"/>
        <v>3</v>
      </c>
      <c r="DO466" s="40">
        <f t="shared" si="678"/>
        <v>6</v>
      </c>
      <c r="DP466" s="40">
        <f t="shared" si="679"/>
        <v>0</v>
      </c>
      <c r="DQ466" s="40">
        <f t="shared" si="680"/>
        <v>1</v>
      </c>
      <c r="DR466" s="40">
        <f t="shared" si="685"/>
        <v>0</v>
      </c>
      <c r="DS466" s="40">
        <f t="shared" si="686"/>
        <v>3</v>
      </c>
      <c r="DT466" s="40">
        <f t="shared" si="681"/>
        <v>0</v>
      </c>
      <c r="DU466" s="40">
        <f t="shared" si="682"/>
        <v>0</v>
      </c>
      <c r="DV466" s="40">
        <f t="shared" si="683"/>
        <v>0</v>
      </c>
      <c r="DW466" s="40">
        <f t="shared" si="684"/>
        <v>0</v>
      </c>
    </row>
    <row r="467" spans="1:127">
      <c r="A467" s="22" t="s">
        <v>33</v>
      </c>
      <c r="B467" s="26">
        <v>4902430359474</v>
      </c>
      <c r="C467" s="22" t="s">
        <v>38</v>
      </c>
      <c r="D467" s="22" t="s">
        <v>38</v>
      </c>
      <c r="E467" s="22">
        <v>321406</v>
      </c>
      <c r="F467" s="80" t="s">
        <v>555</v>
      </c>
      <c r="G467" s="25">
        <v>205</v>
      </c>
      <c r="H467" s="38">
        <f t="shared" si="691"/>
        <v>18655</v>
      </c>
      <c r="I467" s="38">
        <f t="shared" si="692"/>
        <v>13530</v>
      </c>
      <c r="J467" s="38">
        <f t="shared" si="693"/>
        <v>9840</v>
      </c>
      <c r="K467" s="38">
        <f t="shared" si="694"/>
        <v>8200</v>
      </c>
      <c r="L467" s="38">
        <f t="shared" si="695"/>
        <v>8815</v>
      </c>
      <c r="M467" s="39">
        <f t="shared" si="696"/>
        <v>3075</v>
      </c>
      <c r="N467" s="40">
        <f t="shared" si="697"/>
        <v>2665</v>
      </c>
      <c r="O467" s="40">
        <f t="shared" si="698"/>
        <v>1845</v>
      </c>
      <c r="P467" s="40">
        <f t="shared" si="699"/>
        <v>1025</v>
      </c>
      <c r="Q467" s="40">
        <f t="shared" si="700"/>
        <v>0</v>
      </c>
      <c r="R467" s="40">
        <f t="shared" si="701"/>
        <v>0</v>
      </c>
      <c r="S467" s="40">
        <f t="shared" si="702"/>
        <v>0</v>
      </c>
      <c r="T467" s="40">
        <f t="shared" si="703"/>
        <v>0</v>
      </c>
      <c r="U467" s="40">
        <f t="shared" si="704"/>
        <v>0</v>
      </c>
      <c r="V467" s="40">
        <f t="shared" si="705"/>
        <v>0</v>
      </c>
      <c r="W467" s="40">
        <f t="shared" si="706"/>
        <v>0</v>
      </c>
      <c r="X467" s="40">
        <f t="shared" si="707"/>
        <v>0</v>
      </c>
      <c r="Y467" s="39">
        <f t="shared" si="708"/>
        <v>0</v>
      </c>
      <c r="Z467" s="40">
        <f t="shared" si="709"/>
        <v>0</v>
      </c>
      <c r="AA467" s="40">
        <f t="shared" si="710"/>
        <v>0</v>
      </c>
      <c r="AB467" s="40">
        <f t="shared" si="711"/>
        <v>0</v>
      </c>
      <c r="AC467" s="40">
        <f t="shared" si="712"/>
        <v>0</v>
      </c>
      <c r="AD467" s="40">
        <f t="shared" si="713"/>
        <v>0</v>
      </c>
      <c r="AE467" s="40">
        <f t="shared" si="714"/>
        <v>0</v>
      </c>
      <c r="AF467" s="40">
        <f t="shared" si="715"/>
        <v>0</v>
      </c>
      <c r="AG467" s="40">
        <f t="shared" si="716"/>
        <v>0</v>
      </c>
      <c r="AH467" s="40">
        <f t="shared" si="687"/>
        <v>0</v>
      </c>
      <c r="AI467" s="40">
        <f t="shared" si="688"/>
        <v>0</v>
      </c>
      <c r="AJ467" s="40">
        <f t="shared" si="689"/>
        <v>0</v>
      </c>
      <c r="AK467" s="39">
        <f t="shared" si="690"/>
        <v>0</v>
      </c>
      <c r="AL467" s="38">
        <v>85</v>
      </c>
      <c r="AM467" s="38">
        <v>66</v>
      </c>
      <c r="AN467" s="38">
        <v>48</v>
      </c>
      <c r="AO467" s="38">
        <v>40</v>
      </c>
      <c r="AP467" s="38">
        <v>43</v>
      </c>
      <c r="AQ467" s="39">
        <v>15</v>
      </c>
      <c r="AR467" s="40">
        <v>13</v>
      </c>
      <c r="AS467" s="40">
        <v>9</v>
      </c>
      <c r="AT467" s="40">
        <v>5</v>
      </c>
      <c r="AU467" s="40">
        <v>0</v>
      </c>
      <c r="AV467" s="40">
        <v>0</v>
      </c>
      <c r="AW467" s="40">
        <v>0</v>
      </c>
      <c r="AX467" s="40">
        <v>0</v>
      </c>
      <c r="AY467" s="40">
        <v>0</v>
      </c>
      <c r="AZ467" s="40">
        <v>0</v>
      </c>
      <c r="BA467" s="40">
        <v>0</v>
      </c>
      <c r="BB467" s="40">
        <v>0</v>
      </c>
      <c r="BC467" s="39">
        <v>0</v>
      </c>
      <c r="BD467" s="40">
        <v>0</v>
      </c>
      <c r="BE467" s="40">
        <v>0</v>
      </c>
      <c r="BF467" s="40">
        <v>0</v>
      </c>
      <c r="BG467" s="40">
        <v>0</v>
      </c>
      <c r="BH467" s="40">
        <v>0</v>
      </c>
      <c r="BI467" s="40">
        <v>0</v>
      </c>
      <c r="BJ467" s="40">
        <v>0</v>
      </c>
      <c r="BK467" s="40">
        <v>0</v>
      </c>
      <c r="BL467" s="40">
        <v>0</v>
      </c>
      <c r="BM467" s="40">
        <v>0</v>
      </c>
      <c r="BN467" s="40"/>
      <c r="BO467" s="39"/>
      <c r="BP467" s="21">
        <v>6</v>
      </c>
      <c r="BQ467" s="21">
        <v>0</v>
      </c>
      <c r="BR467" s="21">
        <v>0</v>
      </c>
      <c r="BS467" s="21">
        <v>0</v>
      </c>
      <c r="BT467" s="21">
        <v>0</v>
      </c>
      <c r="BU467" s="42">
        <v>0</v>
      </c>
      <c r="BV467" s="21">
        <v>0</v>
      </c>
      <c r="BW467" s="21">
        <v>0</v>
      </c>
      <c r="BX467" s="21">
        <v>0</v>
      </c>
      <c r="BY467" s="21">
        <v>0</v>
      </c>
      <c r="BZ467" s="21">
        <v>0</v>
      </c>
      <c r="CA467" s="21">
        <v>0</v>
      </c>
      <c r="CB467" s="21">
        <v>0</v>
      </c>
      <c r="CC467" s="21">
        <v>0</v>
      </c>
      <c r="CD467" s="21">
        <v>0</v>
      </c>
      <c r="CE467" s="21">
        <v>0</v>
      </c>
      <c r="CF467" s="21">
        <v>0</v>
      </c>
      <c r="CG467" s="42">
        <v>0</v>
      </c>
      <c r="CH467" s="21">
        <v>0</v>
      </c>
      <c r="CI467" s="21">
        <v>0</v>
      </c>
      <c r="CJ467" s="21">
        <v>0</v>
      </c>
      <c r="CK467" s="21">
        <v>0</v>
      </c>
      <c r="CL467" s="21">
        <v>0</v>
      </c>
      <c r="CM467" s="21">
        <v>0</v>
      </c>
      <c r="CN467" s="21">
        <v>0</v>
      </c>
      <c r="CO467" s="21">
        <v>0</v>
      </c>
      <c r="CP467" s="21">
        <f t="shared" si="717"/>
        <v>0</v>
      </c>
      <c r="CQ467" s="343">
        <f t="shared" si="718"/>
        <v>0</v>
      </c>
      <c r="CR467" s="40"/>
      <c r="CS467" s="39"/>
      <c r="CT467" s="38">
        <f t="shared" si="657"/>
        <v>91</v>
      </c>
      <c r="CU467" s="38">
        <f t="shared" si="658"/>
        <v>66</v>
      </c>
      <c r="CV467" s="38">
        <f t="shared" si="659"/>
        <v>48</v>
      </c>
      <c r="CW467" s="38">
        <f t="shared" si="660"/>
        <v>40</v>
      </c>
      <c r="CX467" s="38">
        <f t="shared" si="661"/>
        <v>43</v>
      </c>
      <c r="CY467" s="39">
        <f t="shared" si="662"/>
        <v>15</v>
      </c>
      <c r="CZ467" s="40">
        <f t="shared" si="663"/>
        <v>13</v>
      </c>
      <c r="DA467" s="40">
        <f t="shared" si="664"/>
        <v>9</v>
      </c>
      <c r="DB467" s="40">
        <f t="shared" si="665"/>
        <v>5</v>
      </c>
      <c r="DC467" s="40">
        <f t="shared" si="666"/>
        <v>0</v>
      </c>
      <c r="DD467" s="40">
        <f t="shared" si="667"/>
        <v>0</v>
      </c>
      <c r="DE467" s="40">
        <f t="shared" si="668"/>
        <v>0</v>
      </c>
      <c r="DF467" s="40">
        <f t="shared" si="669"/>
        <v>0</v>
      </c>
      <c r="DG467" s="40">
        <f t="shared" si="670"/>
        <v>0</v>
      </c>
      <c r="DH467" s="40">
        <f t="shared" si="671"/>
        <v>0</v>
      </c>
      <c r="DI467" s="40">
        <f t="shared" si="672"/>
        <v>0</v>
      </c>
      <c r="DJ467" s="40">
        <f t="shared" si="673"/>
        <v>0</v>
      </c>
      <c r="DK467" s="39">
        <f t="shared" si="674"/>
        <v>0</v>
      </c>
      <c r="DL467" s="40">
        <f t="shared" si="675"/>
        <v>0</v>
      </c>
      <c r="DM467" s="40">
        <f t="shared" si="676"/>
        <v>0</v>
      </c>
      <c r="DN467" s="40">
        <f t="shared" si="677"/>
        <v>0</v>
      </c>
      <c r="DO467" s="40">
        <f t="shared" si="678"/>
        <v>0</v>
      </c>
      <c r="DP467" s="40">
        <f t="shared" si="679"/>
        <v>0</v>
      </c>
      <c r="DQ467" s="40">
        <f t="shared" si="680"/>
        <v>0</v>
      </c>
      <c r="DR467" s="40">
        <f t="shared" si="685"/>
        <v>0</v>
      </c>
      <c r="DS467" s="40">
        <f t="shared" si="686"/>
        <v>0</v>
      </c>
      <c r="DT467" s="40">
        <f t="shared" si="681"/>
        <v>0</v>
      </c>
      <c r="DU467" s="40">
        <f t="shared" si="682"/>
        <v>0</v>
      </c>
      <c r="DV467" s="40">
        <f t="shared" si="683"/>
        <v>0</v>
      </c>
      <c r="DW467" s="40">
        <f t="shared" si="684"/>
        <v>0</v>
      </c>
    </row>
    <row r="468" spans="1:127">
      <c r="A468" s="22" t="s">
        <v>33</v>
      </c>
      <c r="B468" s="26">
        <v>4987176116031</v>
      </c>
      <c r="C468" s="22" t="s">
        <v>38</v>
      </c>
      <c r="D468" s="22" t="s">
        <v>38</v>
      </c>
      <c r="E468" s="22">
        <v>131608</v>
      </c>
      <c r="F468" s="80" t="s">
        <v>556</v>
      </c>
      <c r="G468" s="25">
        <v>205</v>
      </c>
      <c r="H468" s="38">
        <f t="shared" si="691"/>
        <v>30340</v>
      </c>
      <c r="I468" s="38">
        <f t="shared" si="692"/>
        <v>10455</v>
      </c>
      <c r="J468" s="38">
        <f t="shared" si="693"/>
        <v>9430</v>
      </c>
      <c r="K468" s="38">
        <f t="shared" si="694"/>
        <v>18450</v>
      </c>
      <c r="L468" s="38">
        <f t="shared" si="695"/>
        <v>26855</v>
      </c>
      <c r="M468" s="39">
        <f t="shared" si="696"/>
        <v>10455</v>
      </c>
      <c r="N468" s="40">
        <f t="shared" si="697"/>
        <v>14145</v>
      </c>
      <c r="O468" s="40">
        <f t="shared" si="698"/>
        <v>27060</v>
      </c>
      <c r="P468" s="40">
        <f t="shared" si="699"/>
        <v>10250</v>
      </c>
      <c r="Q468" s="40">
        <f t="shared" si="700"/>
        <v>14555</v>
      </c>
      <c r="R468" s="40">
        <f t="shared" si="701"/>
        <v>32595</v>
      </c>
      <c r="S468" s="40">
        <f t="shared" si="702"/>
        <v>9430</v>
      </c>
      <c r="T468" s="40">
        <f t="shared" si="703"/>
        <v>23985</v>
      </c>
      <c r="U468" s="40">
        <f t="shared" si="704"/>
        <v>10660</v>
      </c>
      <c r="V468" s="40">
        <f t="shared" si="705"/>
        <v>8610</v>
      </c>
      <c r="W468" s="40">
        <f t="shared" si="706"/>
        <v>22140</v>
      </c>
      <c r="X468" s="40">
        <f t="shared" si="707"/>
        <v>22345</v>
      </c>
      <c r="Y468" s="39">
        <f t="shared" si="708"/>
        <v>8815</v>
      </c>
      <c r="Z468" s="40">
        <f t="shared" si="709"/>
        <v>14965</v>
      </c>
      <c r="AA468" s="40">
        <f t="shared" si="710"/>
        <v>9430</v>
      </c>
      <c r="AB468" s="40">
        <f t="shared" si="711"/>
        <v>0</v>
      </c>
      <c r="AC468" s="40">
        <f t="shared" si="712"/>
        <v>0</v>
      </c>
      <c r="AD468" s="40">
        <f t="shared" si="713"/>
        <v>0</v>
      </c>
      <c r="AE468" s="40">
        <f t="shared" si="714"/>
        <v>0</v>
      </c>
      <c r="AF468" s="40">
        <f t="shared" si="715"/>
        <v>0</v>
      </c>
      <c r="AG468" s="40">
        <f t="shared" si="716"/>
        <v>0</v>
      </c>
      <c r="AH468" s="40">
        <f t="shared" si="687"/>
        <v>205</v>
      </c>
      <c r="AI468" s="40">
        <f t="shared" si="688"/>
        <v>0</v>
      </c>
      <c r="AJ468" s="40">
        <f t="shared" si="689"/>
        <v>0</v>
      </c>
      <c r="AK468" s="39">
        <f t="shared" si="690"/>
        <v>0</v>
      </c>
      <c r="AL468" s="38">
        <v>114</v>
      </c>
      <c r="AM468" s="38">
        <v>47</v>
      </c>
      <c r="AN468" s="38">
        <v>37</v>
      </c>
      <c r="AO468" s="38">
        <v>78</v>
      </c>
      <c r="AP468" s="38">
        <v>108</v>
      </c>
      <c r="AQ468" s="39">
        <v>43</v>
      </c>
      <c r="AR468" s="40">
        <v>58</v>
      </c>
      <c r="AS468" s="40">
        <v>101</v>
      </c>
      <c r="AT468" s="40">
        <v>39</v>
      </c>
      <c r="AU468" s="40">
        <v>63</v>
      </c>
      <c r="AV468" s="40">
        <v>87</v>
      </c>
      <c r="AW468" s="40">
        <v>46</v>
      </c>
      <c r="AX468" s="40">
        <v>93</v>
      </c>
      <c r="AY468" s="40">
        <v>47</v>
      </c>
      <c r="AZ468" s="40">
        <v>41</v>
      </c>
      <c r="BA468" s="40">
        <v>51</v>
      </c>
      <c r="BB468" s="40">
        <v>109</v>
      </c>
      <c r="BC468" s="39">
        <v>43</v>
      </c>
      <c r="BD468" s="40">
        <v>73</v>
      </c>
      <c r="BE468" s="40">
        <v>46</v>
      </c>
      <c r="BF468" s="40">
        <v>0</v>
      </c>
      <c r="BG468" s="40">
        <v>0</v>
      </c>
      <c r="BH468" s="40">
        <v>0</v>
      </c>
      <c r="BI468" s="40">
        <v>0</v>
      </c>
      <c r="BJ468" s="40">
        <v>0</v>
      </c>
      <c r="BK468" s="40">
        <v>0</v>
      </c>
      <c r="BL468" s="40">
        <v>1</v>
      </c>
      <c r="BM468" s="40">
        <v>0</v>
      </c>
      <c r="BN468" s="40"/>
      <c r="BO468" s="39"/>
      <c r="BP468" s="21">
        <v>34</v>
      </c>
      <c r="BQ468" s="21">
        <v>4</v>
      </c>
      <c r="BR468" s="21">
        <v>9</v>
      </c>
      <c r="BS468" s="21">
        <v>12</v>
      </c>
      <c r="BT468" s="21">
        <v>23</v>
      </c>
      <c r="BU468" s="42">
        <v>8</v>
      </c>
      <c r="BV468" s="21">
        <v>11</v>
      </c>
      <c r="BW468" s="21">
        <v>31</v>
      </c>
      <c r="BX468" s="21">
        <v>11</v>
      </c>
      <c r="BY468" s="21">
        <v>8</v>
      </c>
      <c r="BZ468" s="21">
        <v>72</v>
      </c>
      <c r="CA468" s="21">
        <v>0</v>
      </c>
      <c r="CB468" s="21">
        <v>24</v>
      </c>
      <c r="CC468" s="21">
        <v>5</v>
      </c>
      <c r="CD468" s="21">
        <v>1</v>
      </c>
      <c r="CE468" s="21">
        <v>57</v>
      </c>
      <c r="CF468" s="21">
        <v>0</v>
      </c>
      <c r="CG468" s="42">
        <v>0</v>
      </c>
      <c r="CH468" s="21">
        <v>0</v>
      </c>
      <c r="CI468" s="21">
        <v>0</v>
      </c>
      <c r="CJ468" s="21">
        <v>0</v>
      </c>
      <c r="CK468" s="21">
        <v>0</v>
      </c>
      <c r="CL468" s="21">
        <v>0</v>
      </c>
      <c r="CM468" s="21">
        <v>0</v>
      </c>
      <c r="CN468" s="21">
        <v>0</v>
      </c>
      <c r="CO468" s="21">
        <v>0</v>
      </c>
      <c r="CP468" s="21">
        <f t="shared" si="717"/>
        <v>0</v>
      </c>
      <c r="CQ468" s="343">
        <f t="shared" si="718"/>
        <v>0</v>
      </c>
      <c r="CR468" s="40"/>
      <c r="CS468" s="39"/>
      <c r="CT468" s="38">
        <f t="shared" si="657"/>
        <v>148</v>
      </c>
      <c r="CU468" s="38">
        <f t="shared" si="658"/>
        <v>51</v>
      </c>
      <c r="CV468" s="38">
        <f t="shared" si="659"/>
        <v>46</v>
      </c>
      <c r="CW468" s="38">
        <f t="shared" si="660"/>
        <v>90</v>
      </c>
      <c r="CX468" s="38">
        <f t="shared" si="661"/>
        <v>131</v>
      </c>
      <c r="CY468" s="39">
        <f t="shared" si="662"/>
        <v>51</v>
      </c>
      <c r="CZ468" s="40">
        <f t="shared" si="663"/>
        <v>69</v>
      </c>
      <c r="DA468" s="40">
        <f t="shared" si="664"/>
        <v>132</v>
      </c>
      <c r="DB468" s="40">
        <f t="shared" si="665"/>
        <v>50</v>
      </c>
      <c r="DC468" s="40">
        <f t="shared" si="666"/>
        <v>71</v>
      </c>
      <c r="DD468" s="40">
        <f t="shared" si="667"/>
        <v>159</v>
      </c>
      <c r="DE468" s="40">
        <f t="shared" si="668"/>
        <v>46</v>
      </c>
      <c r="DF468" s="40">
        <f t="shared" si="669"/>
        <v>117</v>
      </c>
      <c r="DG468" s="40">
        <f t="shared" si="670"/>
        <v>52</v>
      </c>
      <c r="DH468" s="40">
        <f t="shared" si="671"/>
        <v>42</v>
      </c>
      <c r="DI468" s="40">
        <f t="shared" si="672"/>
        <v>108</v>
      </c>
      <c r="DJ468" s="40">
        <f t="shared" si="673"/>
        <v>109</v>
      </c>
      <c r="DK468" s="39">
        <f t="shared" si="674"/>
        <v>43</v>
      </c>
      <c r="DL468" s="40">
        <f t="shared" si="675"/>
        <v>73</v>
      </c>
      <c r="DM468" s="40">
        <f t="shared" si="676"/>
        <v>46</v>
      </c>
      <c r="DN468" s="40">
        <f t="shared" si="677"/>
        <v>0</v>
      </c>
      <c r="DO468" s="40">
        <f t="shared" si="678"/>
        <v>0</v>
      </c>
      <c r="DP468" s="40">
        <f t="shared" si="679"/>
        <v>0</v>
      </c>
      <c r="DQ468" s="40">
        <f t="shared" si="680"/>
        <v>0</v>
      </c>
      <c r="DR468" s="40">
        <f t="shared" si="685"/>
        <v>0</v>
      </c>
      <c r="DS468" s="40">
        <f t="shared" si="686"/>
        <v>0</v>
      </c>
      <c r="DT468" s="40">
        <f t="shared" si="681"/>
        <v>1</v>
      </c>
      <c r="DU468" s="40">
        <f t="shared" si="682"/>
        <v>0</v>
      </c>
      <c r="DV468" s="40">
        <f t="shared" si="683"/>
        <v>0</v>
      </c>
      <c r="DW468" s="40">
        <f t="shared" si="684"/>
        <v>0</v>
      </c>
    </row>
    <row r="469" spans="1:127">
      <c r="A469" s="22" t="s">
        <v>33</v>
      </c>
      <c r="B469" s="26">
        <v>4987176116000</v>
      </c>
      <c r="C469" s="22" t="s">
        <v>38</v>
      </c>
      <c r="D469" s="22" t="s">
        <v>38</v>
      </c>
      <c r="E469" s="22">
        <v>131631</v>
      </c>
      <c r="F469" s="80" t="s">
        <v>557</v>
      </c>
      <c r="G469" s="25">
        <v>205</v>
      </c>
      <c r="H469" s="38">
        <f t="shared" si="691"/>
        <v>47560</v>
      </c>
      <c r="I469" s="38">
        <f t="shared" si="692"/>
        <v>16810</v>
      </c>
      <c r="J469" s="38">
        <f t="shared" si="693"/>
        <v>11480</v>
      </c>
      <c r="K469" s="38">
        <f t="shared" si="694"/>
        <v>98400</v>
      </c>
      <c r="L469" s="38">
        <f t="shared" si="695"/>
        <v>70725</v>
      </c>
      <c r="M469" s="39">
        <f t="shared" si="696"/>
        <v>26855</v>
      </c>
      <c r="N469" s="40">
        <f t="shared" si="697"/>
        <v>163590</v>
      </c>
      <c r="O469" s="40">
        <f t="shared" si="698"/>
        <v>140425</v>
      </c>
      <c r="P469" s="40">
        <f t="shared" si="699"/>
        <v>36900</v>
      </c>
      <c r="Q469" s="40">
        <f t="shared" si="700"/>
        <v>45715</v>
      </c>
      <c r="R469" s="40">
        <f t="shared" si="701"/>
        <v>81590</v>
      </c>
      <c r="S469" s="40">
        <f t="shared" si="702"/>
        <v>28085</v>
      </c>
      <c r="T469" s="40">
        <f t="shared" si="703"/>
        <v>51455</v>
      </c>
      <c r="U469" s="40">
        <f t="shared" si="704"/>
        <v>39770</v>
      </c>
      <c r="V469" s="40">
        <f t="shared" si="705"/>
        <v>17835</v>
      </c>
      <c r="W469" s="40">
        <f t="shared" si="706"/>
        <v>48175</v>
      </c>
      <c r="X469" s="40">
        <f t="shared" si="707"/>
        <v>43870</v>
      </c>
      <c r="Y469" s="39">
        <f t="shared" si="708"/>
        <v>26035</v>
      </c>
      <c r="Z469" s="40">
        <f t="shared" si="709"/>
        <v>32595</v>
      </c>
      <c r="AA469" s="40">
        <f t="shared" si="710"/>
        <v>9840</v>
      </c>
      <c r="AB469" s="40">
        <f t="shared" si="711"/>
        <v>410</v>
      </c>
      <c r="AC469" s="40">
        <f t="shared" si="712"/>
        <v>205</v>
      </c>
      <c r="AD469" s="40">
        <f t="shared" si="713"/>
        <v>410</v>
      </c>
      <c r="AE469" s="40">
        <f t="shared" si="714"/>
        <v>0</v>
      </c>
      <c r="AF469" s="40">
        <f t="shared" si="715"/>
        <v>0</v>
      </c>
      <c r="AG469" s="40">
        <f t="shared" si="716"/>
        <v>205</v>
      </c>
      <c r="AH469" s="40">
        <f t="shared" si="687"/>
        <v>0</v>
      </c>
      <c r="AI469" s="40">
        <f t="shared" si="688"/>
        <v>205</v>
      </c>
      <c r="AJ469" s="40">
        <f t="shared" si="689"/>
        <v>0</v>
      </c>
      <c r="AK469" s="39">
        <f t="shared" si="690"/>
        <v>0</v>
      </c>
      <c r="AL469" s="38">
        <v>168</v>
      </c>
      <c r="AM469" s="38">
        <v>68</v>
      </c>
      <c r="AN469" s="38">
        <v>44</v>
      </c>
      <c r="AO469" s="38">
        <v>457</v>
      </c>
      <c r="AP469" s="38">
        <v>286</v>
      </c>
      <c r="AQ469" s="39">
        <v>113</v>
      </c>
      <c r="AR469" s="40">
        <v>772</v>
      </c>
      <c r="AS469" s="40">
        <v>592</v>
      </c>
      <c r="AT469" s="40">
        <v>174</v>
      </c>
      <c r="AU469" s="40">
        <v>193</v>
      </c>
      <c r="AV469" s="40">
        <v>312</v>
      </c>
      <c r="AW469" s="40">
        <v>134</v>
      </c>
      <c r="AX469" s="40">
        <v>209</v>
      </c>
      <c r="AY469" s="40">
        <v>181</v>
      </c>
      <c r="AZ469" s="40">
        <v>73</v>
      </c>
      <c r="BA469" s="40">
        <v>166</v>
      </c>
      <c r="BB469" s="40">
        <v>214</v>
      </c>
      <c r="BC469" s="39">
        <v>127</v>
      </c>
      <c r="BD469" s="40">
        <v>159</v>
      </c>
      <c r="BE469" s="40">
        <v>48</v>
      </c>
      <c r="BF469" s="40">
        <v>2</v>
      </c>
      <c r="BG469" s="40">
        <v>1</v>
      </c>
      <c r="BH469" s="40">
        <v>2</v>
      </c>
      <c r="BI469" s="40">
        <v>0</v>
      </c>
      <c r="BJ469" s="40">
        <v>0</v>
      </c>
      <c r="BK469" s="40">
        <v>1</v>
      </c>
      <c r="BL469" s="40">
        <v>0</v>
      </c>
      <c r="BM469" s="40">
        <v>1</v>
      </c>
      <c r="BN469" s="40"/>
      <c r="BO469" s="39"/>
      <c r="BP469" s="21">
        <v>64</v>
      </c>
      <c r="BQ469" s="21">
        <v>14</v>
      </c>
      <c r="BR469" s="21">
        <v>12</v>
      </c>
      <c r="BS469" s="21">
        <v>23</v>
      </c>
      <c r="BT469" s="21">
        <v>59</v>
      </c>
      <c r="BU469" s="42">
        <v>18</v>
      </c>
      <c r="BV469" s="21">
        <v>26</v>
      </c>
      <c r="BW469" s="21">
        <v>93</v>
      </c>
      <c r="BX469" s="21">
        <v>6</v>
      </c>
      <c r="BY469" s="21">
        <v>30</v>
      </c>
      <c r="BZ469" s="21">
        <v>86</v>
      </c>
      <c r="CA469" s="21">
        <v>3</v>
      </c>
      <c r="CB469" s="21">
        <v>42</v>
      </c>
      <c r="CC469" s="21">
        <v>13</v>
      </c>
      <c r="CD469" s="21">
        <v>14</v>
      </c>
      <c r="CE469" s="21">
        <v>69</v>
      </c>
      <c r="CF469" s="21">
        <v>0</v>
      </c>
      <c r="CG469" s="42">
        <v>0</v>
      </c>
      <c r="CH469" s="21">
        <v>0</v>
      </c>
      <c r="CI469" s="21">
        <v>0</v>
      </c>
      <c r="CJ469" s="21">
        <v>0</v>
      </c>
      <c r="CK469" s="21">
        <v>0</v>
      </c>
      <c r="CL469" s="21">
        <v>0</v>
      </c>
      <c r="CM469" s="21">
        <v>0</v>
      </c>
      <c r="CN469" s="21">
        <v>0</v>
      </c>
      <c r="CO469" s="21">
        <v>0</v>
      </c>
      <c r="CP469" s="21">
        <f t="shared" si="717"/>
        <v>0</v>
      </c>
      <c r="CQ469" s="343">
        <f t="shared" si="718"/>
        <v>0</v>
      </c>
      <c r="CR469" s="40"/>
      <c r="CS469" s="39"/>
      <c r="CT469" s="38">
        <f t="shared" si="657"/>
        <v>232</v>
      </c>
      <c r="CU469" s="38">
        <f t="shared" si="658"/>
        <v>82</v>
      </c>
      <c r="CV469" s="38">
        <f t="shared" si="659"/>
        <v>56</v>
      </c>
      <c r="CW469" s="38">
        <f t="shared" si="660"/>
        <v>480</v>
      </c>
      <c r="CX469" s="38">
        <f t="shared" si="661"/>
        <v>345</v>
      </c>
      <c r="CY469" s="39">
        <f t="shared" si="662"/>
        <v>131</v>
      </c>
      <c r="CZ469" s="40">
        <f t="shared" si="663"/>
        <v>798</v>
      </c>
      <c r="DA469" s="40">
        <f t="shared" si="664"/>
        <v>685</v>
      </c>
      <c r="DB469" s="40">
        <f t="shared" si="665"/>
        <v>180</v>
      </c>
      <c r="DC469" s="40">
        <f t="shared" si="666"/>
        <v>223</v>
      </c>
      <c r="DD469" s="40">
        <f t="shared" si="667"/>
        <v>398</v>
      </c>
      <c r="DE469" s="40">
        <f t="shared" si="668"/>
        <v>137</v>
      </c>
      <c r="DF469" s="40">
        <f t="shared" si="669"/>
        <v>251</v>
      </c>
      <c r="DG469" s="40">
        <f t="shared" si="670"/>
        <v>194</v>
      </c>
      <c r="DH469" s="40">
        <f t="shared" si="671"/>
        <v>87</v>
      </c>
      <c r="DI469" s="40">
        <f t="shared" si="672"/>
        <v>235</v>
      </c>
      <c r="DJ469" s="40">
        <f t="shared" si="673"/>
        <v>214</v>
      </c>
      <c r="DK469" s="39">
        <f t="shared" si="674"/>
        <v>127</v>
      </c>
      <c r="DL469" s="40">
        <f t="shared" si="675"/>
        <v>159</v>
      </c>
      <c r="DM469" s="40">
        <f t="shared" si="676"/>
        <v>48</v>
      </c>
      <c r="DN469" s="40">
        <f t="shared" si="677"/>
        <v>2</v>
      </c>
      <c r="DO469" s="40">
        <f t="shared" si="678"/>
        <v>1</v>
      </c>
      <c r="DP469" s="40">
        <f t="shared" si="679"/>
        <v>2</v>
      </c>
      <c r="DQ469" s="40">
        <f t="shared" si="680"/>
        <v>0</v>
      </c>
      <c r="DR469" s="40">
        <f t="shared" si="685"/>
        <v>0</v>
      </c>
      <c r="DS469" s="40">
        <f t="shared" si="686"/>
        <v>1</v>
      </c>
      <c r="DT469" s="40">
        <f t="shared" si="681"/>
        <v>0</v>
      </c>
      <c r="DU469" s="40">
        <f t="shared" si="682"/>
        <v>1</v>
      </c>
      <c r="DV469" s="40">
        <f t="shared" si="683"/>
        <v>0</v>
      </c>
      <c r="DW469" s="40">
        <f t="shared" si="684"/>
        <v>0</v>
      </c>
    </row>
    <row r="470" spans="1:127">
      <c r="A470" s="22" t="s">
        <v>33</v>
      </c>
      <c r="B470" s="26">
        <v>4987176274922</v>
      </c>
      <c r="C470" s="22" t="s">
        <v>38</v>
      </c>
      <c r="D470" s="22" t="s">
        <v>38</v>
      </c>
      <c r="E470" s="22">
        <v>252470</v>
      </c>
      <c r="F470" s="80" t="s">
        <v>558</v>
      </c>
      <c r="G470" s="25">
        <v>144.03</v>
      </c>
      <c r="H470" s="38">
        <f t="shared" si="691"/>
        <v>0</v>
      </c>
      <c r="I470" s="38">
        <f t="shared" si="692"/>
        <v>0</v>
      </c>
      <c r="J470" s="38">
        <f t="shared" si="693"/>
        <v>0</v>
      </c>
      <c r="K470" s="38">
        <f t="shared" si="694"/>
        <v>0</v>
      </c>
      <c r="L470" s="38">
        <f t="shared" si="695"/>
        <v>0</v>
      </c>
      <c r="M470" s="39">
        <f t="shared" si="696"/>
        <v>0</v>
      </c>
      <c r="N470" s="40">
        <f t="shared" si="697"/>
        <v>0</v>
      </c>
      <c r="O470" s="40">
        <f t="shared" si="698"/>
        <v>0</v>
      </c>
      <c r="P470" s="40">
        <f t="shared" si="699"/>
        <v>0</v>
      </c>
      <c r="Q470" s="40">
        <f t="shared" si="700"/>
        <v>11954.49</v>
      </c>
      <c r="R470" s="40">
        <f t="shared" si="701"/>
        <v>75471.72</v>
      </c>
      <c r="S470" s="40">
        <f t="shared" si="702"/>
        <v>39176.160000000003</v>
      </c>
      <c r="T470" s="40">
        <f t="shared" si="703"/>
        <v>26213.46</v>
      </c>
      <c r="U470" s="40">
        <f t="shared" si="704"/>
        <v>42056.76</v>
      </c>
      <c r="V470" s="40">
        <f t="shared" si="705"/>
        <v>26213.46</v>
      </c>
      <c r="W470" s="40">
        <f t="shared" si="706"/>
        <v>21460.47</v>
      </c>
      <c r="X470" s="40">
        <f t="shared" si="707"/>
        <v>28085.85</v>
      </c>
      <c r="Y470" s="39">
        <f t="shared" si="708"/>
        <v>17283.599999999999</v>
      </c>
      <c r="Z470" s="40">
        <f t="shared" si="709"/>
        <v>16707.48</v>
      </c>
      <c r="AA470" s="40">
        <f t="shared" si="710"/>
        <v>13826.880000000001</v>
      </c>
      <c r="AB470" s="40">
        <f t="shared" si="711"/>
        <v>23764.95</v>
      </c>
      <c r="AC470" s="40">
        <f t="shared" si="712"/>
        <v>21604.5</v>
      </c>
      <c r="AD470" s="40">
        <f t="shared" si="713"/>
        <v>19300.02</v>
      </c>
      <c r="AE470" s="40">
        <f t="shared" si="714"/>
        <v>19876.14</v>
      </c>
      <c r="AF470" s="40">
        <f t="shared" si="715"/>
        <v>33126.9</v>
      </c>
      <c r="AG470" s="40">
        <f t="shared" si="716"/>
        <v>34855.26</v>
      </c>
      <c r="AH470" s="40">
        <f t="shared" si="687"/>
        <v>41480.639999999999</v>
      </c>
      <c r="AI470" s="40">
        <f t="shared" si="688"/>
        <v>64541.443333333329</v>
      </c>
      <c r="AJ470" s="40">
        <f t="shared" si="689"/>
        <v>0</v>
      </c>
      <c r="AK470" s="39">
        <f t="shared" si="690"/>
        <v>0</v>
      </c>
      <c r="AL470" s="38">
        <v>0</v>
      </c>
      <c r="AM470" s="38">
        <v>0</v>
      </c>
      <c r="AN470" s="38">
        <v>0</v>
      </c>
      <c r="AO470" s="38">
        <v>0</v>
      </c>
      <c r="AP470" s="38">
        <v>0</v>
      </c>
      <c r="AQ470" s="39">
        <v>0</v>
      </c>
      <c r="AR470" s="40">
        <v>0</v>
      </c>
      <c r="AS470" s="40">
        <v>0</v>
      </c>
      <c r="AT470" s="40">
        <v>0</v>
      </c>
      <c r="AU470" s="40">
        <v>78</v>
      </c>
      <c r="AV470" s="40">
        <v>270</v>
      </c>
      <c r="AW470" s="40">
        <v>268</v>
      </c>
      <c r="AX470" s="40">
        <v>143</v>
      </c>
      <c r="AY470" s="40">
        <v>204</v>
      </c>
      <c r="AZ470" s="40">
        <v>152</v>
      </c>
      <c r="BA470" s="40">
        <v>119</v>
      </c>
      <c r="BB470" s="40">
        <v>134</v>
      </c>
      <c r="BC470" s="39">
        <v>89</v>
      </c>
      <c r="BD470" s="40">
        <v>108</v>
      </c>
      <c r="BE470" s="40">
        <v>78</v>
      </c>
      <c r="BF470" s="40">
        <v>134</v>
      </c>
      <c r="BG470" s="40">
        <v>98</v>
      </c>
      <c r="BH470" s="40">
        <v>80</v>
      </c>
      <c r="BI470" s="40">
        <v>123</v>
      </c>
      <c r="BJ470" s="40">
        <v>212</v>
      </c>
      <c r="BK470" s="40">
        <v>200</v>
      </c>
      <c r="BL470" s="40">
        <v>246</v>
      </c>
      <c r="BM470" s="40">
        <v>417</v>
      </c>
      <c r="BN470" s="40"/>
      <c r="BO470" s="39"/>
      <c r="BP470" s="21">
        <v>0</v>
      </c>
      <c r="BQ470" s="21">
        <v>0</v>
      </c>
      <c r="BR470" s="21">
        <v>0</v>
      </c>
      <c r="BS470" s="21">
        <v>0</v>
      </c>
      <c r="BT470" s="21">
        <v>0</v>
      </c>
      <c r="BU470" s="42">
        <v>0</v>
      </c>
      <c r="BV470" s="21">
        <v>0</v>
      </c>
      <c r="BW470" s="21">
        <v>0</v>
      </c>
      <c r="BX470" s="21">
        <v>0</v>
      </c>
      <c r="BY470" s="21">
        <v>5</v>
      </c>
      <c r="BZ470" s="21">
        <v>254</v>
      </c>
      <c r="CA470" s="21">
        <v>4</v>
      </c>
      <c r="CB470" s="21">
        <v>39</v>
      </c>
      <c r="CC470" s="21">
        <v>88</v>
      </c>
      <c r="CD470" s="21">
        <v>30</v>
      </c>
      <c r="CE470" s="21">
        <v>30</v>
      </c>
      <c r="CF470" s="21">
        <v>61</v>
      </c>
      <c r="CG470" s="42">
        <v>31</v>
      </c>
      <c r="CH470" s="21">
        <v>8</v>
      </c>
      <c r="CI470" s="21">
        <v>18</v>
      </c>
      <c r="CJ470" s="21">
        <v>31</v>
      </c>
      <c r="CK470" s="21">
        <v>52</v>
      </c>
      <c r="CL470" s="21">
        <v>54</v>
      </c>
      <c r="CM470" s="21">
        <v>15</v>
      </c>
      <c r="CN470" s="21">
        <v>18</v>
      </c>
      <c r="CO470" s="21">
        <v>42</v>
      </c>
      <c r="CP470" s="21">
        <f t="shared" si="717"/>
        <v>42</v>
      </c>
      <c r="CQ470" s="343">
        <f t="shared" si="718"/>
        <v>31.111111111111111</v>
      </c>
      <c r="CR470" s="40"/>
      <c r="CS470" s="39"/>
      <c r="CT470" s="38">
        <f t="shared" si="657"/>
        <v>0</v>
      </c>
      <c r="CU470" s="38">
        <f t="shared" si="658"/>
        <v>0</v>
      </c>
      <c r="CV470" s="38">
        <f t="shared" si="659"/>
        <v>0</v>
      </c>
      <c r="CW470" s="38">
        <f t="shared" si="660"/>
        <v>0</v>
      </c>
      <c r="CX470" s="38">
        <f t="shared" si="661"/>
        <v>0</v>
      </c>
      <c r="CY470" s="39">
        <f t="shared" si="662"/>
        <v>0</v>
      </c>
      <c r="CZ470" s="40">
        <f t="shared" si="663"/>
        <v>0</v>
      </c>
      <c r="DA470" s="40">
        <f t="shared" si="664"/>
        <v>0</v>
      </c>
      <c r="DB470" s="40">
        <f t="shared" si="665"/>
        <v>0</v>
      </c>
      <c r="DC470" s="40">
        <f t="shared" si="666"/>
        <v>83</v>
      </c>
      <c r="DD470" s="40">
        <f t="shared" si="667"/>
        <v>524</v>
      </c>
      <c r="DE470" s="40">
        <f t="shared" si="668"/>
        <v>272</v>
      </c>
      <c r="DF470" s="40">
        <f t="shared" si="669"/>
        <v>182</v>
      </c>
      <c r="DG470" s="40">
        <f t="shared" si="670"/>
        <v>292</v>
      </c>
      <c r="DH470" s="40">
        <f t="shared" si="671"/>
        <v>182</v>
      </c>
      <c r="DI470" s="40">
        <f t="shared" si="672"/>
        <v>149</v>
      </c>
      <c r="DJ470" s="40">
        <f t="shared" si="673"/>
        <v>195</v>
      </c>
      <c r="DK470" s="39">
        <f t="shared" si="674"/>
        <v>120</v>
      </c>
      <c r="DL470" s="40">
        <f t="shared" si="675"/>
        <v>116</v>
      </c>
      <c r="DM470" s="40">
        <f t="shared" si="676"/>
        <v>96</v>
      </c>
      <c r="DN470" s="40">
        <f t="shared" si="677"/>
        <v>165</v>
      </c>
      <c r="DO470" s="40">
        <f t="shared" si="678"/>
        <v>150</v>
      </c>
      <c r="DP470" s="40">
        <f t="shared" si="679"/>
        <v>134</v>
      </c>
      <c r="DQ470" s="40">
        <f t="shared" si="680"/>
        <v>138</v>
      </c>
      <c r="DR470" s="40">
        <f t="shared" si="685"/>
        <v>230</v>
      </c>
      <c r="DS470" s="40">
        <f t="shared" si="686"/>
        <v>242</v>
      </c>
      <c r="DT470" s="40">
        <f t="shared" si="681"/>
        <v>288</v>
      </c>
      <c r="DU470" s="40">
        <f t="shared" si="682"/>
        <v>448.11111111111109</v>
      </c>
      <c r="DV470" s="40">
        <f t="shared" si="683"/>
        <v>0</v>
      </c>
      <c r="DW470" s="40">
        <f t="shared" si="684"/>
        <v>0</v>
      </c>
    </row>
    <row r="471" spans="1:127">
      <c r="A471" s="22" t="s">
        <v>33</v>
      </c>
      <c r="B471" s="26">
        <v>4987176274908</v>
      </c>
      <c r="C471" s="22" t="s">
        <v>38</v>
      </c>
      <c r="D471" s="22" t="s">
        <v>38</v>
      </c>
      <c r="E471" s="22">
        <v>252566</v>
      </c>
      <c r="F471" s="80" t="s">
        <v>559</v>
      </c>
      <c r="G471" s="25">
        <v>180.21666669999999</v>
      </c>
      <c r="H471" s="38">
        <f t="shared" si="691"/>
        <v>0</v>
      </c>
      <c r="I471" s="38">
        <f t="shared" si="692"/>
        <v>0</v>
      </c>
      <c r="J471" s="38">
        <f t="shared" si="693"/>
        <v>0</v>
      </c>
      <c r="K471" s="38">
        <f t="shared" si="694"/>
        <v>0</v>
      </c>
      <c r="L471" s="38">
        <f t="shared" si="695"/>
        <v>0</v>
      </c>
      <c r="M471" s="39">
        <f t="shared" si="696"/>
        <v>0</v>
      </c>
      <c r="N471" s="40">
        <f t="shared" si="697"/>
        <v>0</v>
      </c>
      <c r="O471" s="40">
        <f t="shared" si="698"/>
        <v>0</v>
      </c>
      <c r="P471" s="40">
        <f t="shared" si="699"/>
        <v>0</v>
      </c>
      <c r="Q471" s="40">
        <f t="shared" si="700"/>
        <v>16399.716669699999</v>
      </c>
      <c r="R471" s="40">
        <f t="shared" si="701"/>
        <v>58029.766677399995</v>
      </c>
      <c r="S471" s="40">
        <f t="shared" si="702"/>
        <v>92631.366683799992</v>
      </c>
      <c r="T471" s="40">
        <f t="shared" si="703"/>
        <v>235002.53337679998</v>
      </c>
      <c r="U471" s="40">
        <f t="shared" si="704"/>
        <v>36944.416673499996</v>
      </c>
      <c r="V471" s="40">
        <f t="shared" si="705"/>
        <v>18922.750003499998</v>
      </c>
      <c r="W471" s="40">
        <f t="shared" si="706"/>
        <v>22527.0833375</v>
      </c>
      <c r="X471" s="40">
        <f t="shared" si="707"/>
        <v>37124.633340199995</v>
      </c>
      <c r="Y471" s="39">
        <f t="shared" si="708"/>
        <v>23608.383337699997</v>
      </c>
      <c r="Z471" s="40">
        <f t="shared" si="709"/>
        <v>46315.683341899996</v>
      </c>
      <c r="AA471" s="40">
        <f t="shared" si="710"/>
        <v>50280.450009299995</v>
      </c>
      <c r="AB471" s="40">
        <f t="shared" si="711"/>
        <v>34962.0333398</v>
      </c>
      <c r="AC471" s="40">
        <f t="shared" si="712"/>
        <v>33159.866672799995</v>
      </c>
      <c r="AD471" s="40">
        <f t="shared" si="713"/>
        <v>26491.850004899999</v>
      </c>
      <c r="AE471" s="40">
        <f t="shared" si="714"/>
        <v>37124.633340199995</v>
      </c>
      <c r="AF471" s="40">
        <f t="shared" si="715"/>
        <v>24329.250004499998</v>
      </c>
      <c r="AG471" s="40">
        <f t="shared" si="716"/>
        <v>22887.5166709</v>
      </c>
      <c r="AH471" s="40">
        <f t="shared" si="687"/>
        <v>23968.816671099998</v>
      </c>
      <c r="AI471" s="40">
        <f t="shared" si="688"/>
        <v>45134.262971311109</v>
      </c>
      <c r="AJ471" s="40">
        <f t="shared" si="689"/>
        <v>0</v>
      </c>
      <c r="AK471" s="39">
        <f t="shared" si="690"/>
        <v>0</v>
      </c>
      <c r="AL471" s="38">
        <v>0</v>
      </c>
      <c r="AM471" s="38">
        <v>0</v>
      </c>
      <c r="AN471" s="38">
        <v>0</v>
      </c>
      <c r="AO471" s="38">
        <v>0</v>
      </c>
      <c r="AP471" s="38">
        <v>0</v>
      </c>
      <c r="AQ471" s="39">
        <v>0</v>
      </c>
      <c r="AR471" s="40">
        <v>0</v>
      </c>
      <c r="AS471" s="40">
        <v>0</v>
      </c>
      <c r="AT471" s="40">
        <v>0</v>
      </c>
      <c r="AU471" s="40">
        <v>65</v>
      </c>
      <c r="AV471" s="40">
        <v>272</v>
      </c>
      <c r="AW471" s="40">
        <v>473</v>
      </c>
      <c r="AX471" s="40">
        <v>1285</v>
      </c>
      <c r="AY471" s="40">
        <v>199</v>
      </c>
      <c r="AZ471" s="40">
        <v>104</v>
      </c>
      <c r="BA471" s="40">
        <v>122</v>
      </c>
      <c r="BB471" s="40">
        <v>202</v>
      </c>
      <c r="BC471" s="39">
        <v>127</v>
      </c>
      <c r="BD471" s="40">
        <v>225</v>
      </c>
      <c r="BE471" s="40">
        <v>261</v>
      </c>
      <c r="BF471" s="40">
        <v>190</v>
      </c>
      <c r="BG471" s="40">
        <v>183</v>
      </c>
      <c r="BH471" s="40">
        <v>138</v>
      </c>
      <c r="BI471" s="40">
        <v>201</v>
      </c>
      <c r="BJ471" s="40">
        <v>134</v>
      </c>
      <c r="BK471" s="40">
        <v>124</v>
      </c>
      <c r="BL471" s="40">
        <v>130</v>
      </c>
      <c r="BM471" s="40">
        <v>242</v>
      </c>
      <c r="BN471" s="40"/>
      <c r="BO471" s="39"/>
      <c r="BP471" s="21">
        <v>0</v>
      </c>
      <c r="BQ471" s="21">
        <v>0</v>
      </c>
      <c r="BR471" s="21">
        <v>0</v>
      </c>
      <c r="BS471" s="21">
        <v>0</v>
      </c>
      <c r="BT471" s="21">
        <v>0</v>
      </c>
      <c r="BU471" s="42">
        <v>0</v>
      </c>
      <c r="BV471" s="21">
        <v>0</v>
      </c>
      <c r="BW471" s="21">
        <v>0</v>
      </c>
      <c r="BX471" s="21">
        <v>0</v>
      </c>
      <c r="BY471" s="21">
        <v>26</v>
      </c>
      <c r="BZ471" s="21">
        <v>50</v>
      </c>
      <c r="CA471" s="21">
        <v>41</v>
      </c>
      <c r="CB471" s="21">
        <v>19</v>
      </c>
      <c r="CC471" s="21">
        <v>6</v>
      </c>
      <c r="CD471" s="21">
        <v>1</v>
      </c>
      <c r="CE471" s="21">
        <v>3</v>
      </c>
      <c r="CF471" s="21">
        <v>4</v>
      </c>
      <c r="CG471" s="42">
        <v>4</v>
      </c>
      <c r="CH471" s="21">
        <v>32</v>
      </c>
      <c r="CI471" s="21">
        <v>18</v>
      </c>
      <c r="CJ471" s="21">
        <v>4</v>
      </c>
      <c r="CK471" s="21">
        <v>1</v>
      </c>
      <c r="CL471" s="21">
        <v>9</v>
      </c>
      <c r="CM471" s="21">
        <v>5</v>
      </c>
      <c r="CN471" s="21">
        <v>1</v>
      </c>
      <c r="CO471" s="21">
        <v>3</v>
      </c>
      <c r="CP471" s="21">
        <f t="shared" si="717"/>
        <v>3</v>
      </c>
      <c r="CQ471" s="343">
        <f t="shared" si="718"/>
        <v>8.4444444444444446</v>
      </c>
      <c r="CR471" s="40"/>
      <c r="CS471" s="39"/>
      <c r="CT471" s="38">
        <f t="shared" si="657"/>
        <v>0</v>
      </c>
      <c r="CU471" s="38">
        <f t="shared" si="658"/>
        <v>0</v>
      </c>
      <c r="CV471" s="38">
        <f t="shared" si="659"/>
        <v>0</v>
      </c>
      <c r="CW471" s="38">
        <f t="shared" si="660"/>
        <v>0</v>
      </c>
      <c r="CX471" s="38">
        <f t="shared" si="661"/>
        <v>0</v>
      </c>
      <c r="CY471" s="39">
        <f t="shared" si="662"/>
        <v>0</v>
      </c>
      <c r="CZ471" s="40">
        <f t="shared" si="663"/>
        <v>0</v>
      </c>
      <c r="DA471" s="40">
        <f t="shared" si="664"/>
        <v>0</v>
      </c>
      <c r="DB471" s="40">
        <f t="shared" si="665"/>
        <v>0</v>
      </c>
      <c r="DC471" s="40">
        <f t="shared" si="666"/>
        <v>91</v>
      </c>
      <c r="DD471" s="40">
        <f t="shared" si="667"/>
        <v>322</v>
      </c>
      <c r="DE471" s="40">
        <f t="shared" si="668"/>
        <v>514</v>
      </c>
      <c r="DF471" s="40">
        <f t="shared" si="669"/>
        <v>1304</v>
      </c>
      <c r="DG471" s="40">
        <f t="shared" si="670"/>
        <v>205</v>
      </c>
      <c r="DH471" s="40">
        <f t="shared" si="671"/>
        <v>105</v>
      </c>
      <c r="DI471" s="40">
        <f t="shared" si="672"/>
        <v>125</v>
      </c>
      <c r="DJ471" s="40">
        <f t="shared" si="673"/>
        <v>206</v>
      </c>
      <c r="DK471" s="39">
        <f t="shared" si="674"/>
        <v>131</v>
      </c>
      <c r="DL471" s="40">
        <f t="shared" si="675"/>
        <v>257</v>
      </c>
      <c r="DM471" s="40">
        <f t="shared" si="676"/>
        <v>279</v>
      </c>
      <c r="DN471" s="40">
        <f t="shared" si="677"/>
        <v>194</v>
      </c>
      <c r="DO471" s="40">
        <f t="shared" si="678"/>
        <v>184</v>
      </c>
      <c r="DP471" s="40">
        <f t="shared" si="679"/>
        <v>147</v>
      </c>
      <c r="DQ471" s="40">
        <f t="shared" si="680"/>
        <v>206</v>
      </c>
      <c r="DR471" s="40">
        <f t="shared" si="685"/>
        <v>135</v>
      </c>
      <c r="DS471" s="40">
        <f t="shared" si="686"/>
        <v>127</v>
      </c>
      <c r="DT471" s="40">
        <f t="shared" si="681"/>
        <v>133</v>
      </c>
      <c r="DU471" s="40">
        <f t="shared" si="682"/>
        <v>250.44444444444446</v>
      </c>
      <c r="DV471" s="40">
        <f t="shared" si="683"/>
        <v>0</v>
      </c>
      <c r="DW471" s="40">
        <f t="shared" si="684"/>
        <v>0</v>
      </c>
    </row>
    <row r="472" spans="1:127">
      <c r="A472" s="22" t="s">
        <v>33</v>
      </c>
      <c r="B472" s="26">
        <v>4987176274892</v>
      </c>
      <c r="C472" s="22" t="s">
        <v>38</v>
      </c>
      <c r="D472" s="22" t="s">
        <v>38</v>
      </c>
      <c r="E472" s="22">
        <v>252574</v>
      </c>
      <c r="F472" s="80" t="s">
        <v>560</v>
      </c>
      <c r="G472" s="25">
        <v>180.21666669999999</v>
      </c>
      <c r="H472" s="38">
        <f t="shared" si="691"/>
        <v>0</v>
      </c>
      <c r="I472" s="38">
        <f t="shared" si="692"/>
        <v>0</v>
      </c>
      <c r="J472" s="38">
        <f t="shared" si="693"/>
        <v>0</v>
      </c>
      <c r="K472" s="38">
        <f t="shared" si="694"/>
        <v>0</v>
      </c>
      <c r="L472" s="38">
        <f t="shared" si="695"/>
        <v>0</v>
      </c>
      <c r="M472" s="39">
        <f t="shared" si="696"/>
        <v>0</v>
      </c>
      <c r="N472" s="40">
        <f t="shared" si="697"/>
        <v>0</v>
      </c>
      <c r="O472" s="40">
        <f t="shared" si="698"/>
        <v>0</v>
      </c>
      <c r="P472" s="40">
        <f t="shared" si="699"/>
        <v>0</v>
      </c>
      <c r="Q472" s="40">
        <f t="shared" si="700"/>
        <v>11894.3000022</v>
      </c>
      <c r="R472" s="40">
        <f t="shared" si="701"/>
        <v>50100.233342599997</v>
      </c>
      <c r="S472" s="40">
        <f t="shared" si="702"/>
        <v>35863.116673299999</v>
      </c>
      <c r="T472" s="40">
        <f t="shared" si="703"/>
        <v>55326.516676899999</v>
      </c>
      <c r="U472" s="40">
        <f t="shared" si="704"/>
        <v>13696.466669199999</v>
      </c>
      <c r="V472" s="40">
        <f t="shared" si="705"/>
        <v>11173.433335399999</v>
      </c>
      <c r="W472" s="40">
        <f t="shared" si="706"/>
        <v>11353.650002099999</v>
      </c>
      <c r="X472" s="40">
        <f t="shared" si="707"/>
        <v>14777.7666694</v>
      </c>
      <c r="Y472" s="39">
        <f t="shared" si="708"/>
        <v>10092.1333352</v>
      </c>
      <c r="Z472" s="40">
        <f t="shared" si="709"/>
        <v>27753.366671799999</v>
      </c>
      <c r="AA472" s="40">
        <f t="shared" si="710"/>
        <v>23968.816671099998</v>
      </c>
      <c r="AB472" s="40">
        <f t="shared" si="711"/>
        <v>15678.850002899999</v>
      </c>
      <c r="AC472" s="40">
        <f t="shared" si="712"/>
        <v>17300.800003199998</v>
      </c>
      <c r="AD472" s="40">
        <f t="shared" si="713"/>
        <v>12434.9500023</v>
      </c>
      <c r="AE472" s="40">
        <f t="shared" si="714"/>
        <v>15318.416669499999</v>
      </c>
      <c r="AF472" s="40">
        <f t="shared" si="715"/>
        <v>6487.8000011999993</v>
      </c>
      <c r="AG472" s="40">
        <f t="shared" si="716"/>
        <v>7929.5333347999995</v>
      </c>
      <c r="AH472" s="40">
        <f t="shared" si="687"/>
        <v>9191.0500016999995</v>
      </c>
      <c r="AI472" s="40">
        <f t="shared" si="688"/>
        <v>11193.457409477778</v>
      </c>
      <c r="AJ472" s="40">
        <f t="shared" si="689"/>
        <v>0</v>
      </c>
      <c r="AK472" s="39">
        <f t="shared" si="690"/>
        <v>0</v>
      </c>
      <c r="AL472" s="38">
        <v>0</v>
      </c>
      <c r="AM472" s="38">
        <v>0</v>
      </c>
      <c r="AN472" s="38">
        <v>0</v>
      </c>
      <c r="AO472" s="38">
        <v>0</v>
      </c>
      <c r="AP472" s="38">
        <v>0</v>
      </c>
      <c r="AQ472" s="39">
        <v>0</v>
      </c>
      <c r="AR472" s="40">
        <v>0</v>
      </c>
      <c r="AS472" s="40">
        <v>0</v>
      </c>
      <c r="AT472" s="40">
        <v>0</v>
      </c>
      <c r="AU472" s="40">
        <v>47</v>
      </c>
      <c r="AV472" s="40">
        <v>189</v>
      </c>
      <c r="AW472" s="40">
        <v>162</v>
      </c>
      <c r="AX472" s="40">
        <v>284</v>
      </c>
      <c r="AY472" s="40">
        <v>71</v>
      </c>
      <c r="AZ472" s="40">
        <v>57</v>
      </c>
      <c r="BA472" s="40">
        <v>61</v>
      </c>
      <c r="BB472" s="40">
        <v>80</v>
      </c>
      <c r="BC472" s="39">
        <v>48</v>
      </c>
      <c r="BD472" s="40">
        <v>117</v>
      </c>
      <c r="BE472" s="40">
        <v>126</v>
      </c>
      <c r="BF472" s="40">
        <v>72</v>
      </c>
      <c r="BG472" s="40">
        <v>89</v>
      </c>
      <c r="BH472" s="40">
        <v>59</v>
      </c>
      <c r="BI472" s="40">
        <v>84</v>
      </c>
      <c r="BJ472" s="40">
        <v>35</v>
      </c>
      <c r="BK472" s="40">
        <v>42</v>
      </c>
      <c r="BL472" s="40">
        <v>49</v>
      </c>
      <c r="BM472" s="40">
        <v>53</v>
      </c>
      <c r="BN472" s="40"/>
      <c r="BO472" s="39"/>
      <c r="BP472" s="21">
        <v>0</v>
      </c>
      <c r="BQ472" s="21">
        <v>0</v>
      </c>
      <c r="BR472" s="21">
        <v>0</v>
      </c>
      <c r="BS472" s="21">
        <v>0</v>
      </c>
      <c r="BT472" s="21">
        <v>0</v>
      </c>
      <c r="BU472" s="42">
        <v>0</v>
      </c>
      <c r="BV472" s="21">
        <v>0</v>
      </c>
      <c r="BW472" s="21">
        <v>0</v>
      </c>
      <c r="BX472" s="21">
        <v>0</v>
      </c>
      <c r="BY472" s="21">
        <v>19</v>
      </c>
      <c r="BZ472" s="21">
        <v>89</v>
      </c>
      <c r="CA472" s="21">
        <v>37</v>
      </c>
      <c r="CB472" s="21">
        <v>23</v>
      </c>
      <c r="CC472" s="21">
        <v>5</v>
      </c>
      <c r="CD472" s="21">
        <v>5</v>
      </c>
      <c r="CE472" s="21">
        <v>2</v>
      </c>
      <c r="CF472" s="21">
        <v>2</v>
      </c>
      <c r="CG472" s="42">
        <v>8</v>
      </c>
      <c r="CH472" s="21">
        <v>37</v>
      </c>
      <c r="CI472" s="21">
        <v>7</v>
      </c>
      <c r="CJ472" s="21">
        <v>15</v>
      </c>
      <c r="CK472" s="21">
        <v>7</v>
      </c>
      <c r="CL472" s="21">
        <v>10</v>
      </c>
      <c r="CM472" s="21">
        <v>1</v>
      </c>
      <c r="CN472" s="21">
        <v>1</v>
      </c>
      <c r="CO472" s="21">
        <v>2</v>
      </c>
      <c r="CP472" s="21">
        <f t="shared" si="717"/>
        <v>2</v>
      </c>
      <c r="CQ472" s="343">
        <f t="shared" si="718"/>
        <v>9.1111111111111107</v>
      </c>
      <c r="CR472" s="40"/>
      <c r="CS472" s="39"/>
      <c r="CT472" s="38">
        <f t="shared" si="657"/>
        <v>0</v>
      </c>
      <c r="CU472" s="38">
        <f t="shared" si="658"/>
        <v>0</v>
      </c>
      <c r="CV472" s="38">
        <f t="shared" si="659"/>
        <v>0</v>
      </c>
      <c r="CW472" s="38">
        <f t="shared" si="660"/>
        <v>0</v>
      </c>
      <c r="CX472" s="38">
        <f t="shared" si="661"/>
        <v>0</v>
      </c>
      <c r="CY472" s="39">
        <f t="shared" si="662"/>
        <v>0</v>
      </c>
      <c r="CZ472" s="40">
        <f t="shared" si="663"/>
        <v>0</v>
      </c>
      <c r="DA472" s="40">
        <f t="shared" si="664"/>
        <v>0</v>
      </c>
      <c r="DB472" s="40">
        <f t="shared" si="665"/>
        <v>0</v>
      </c>
      <c r="DC472" s="40">
        <f t="shared" si="666"/>
        <v>66</v>
      </c>
      <c r="DD472" s="40">
        <f t="shared" si="667"/>
        <v>278</v>
      </c>
      <c r="DE472" s="40">
        <f t="shared" si="668"/>
        <v>199</v>
      </c>
      <c r="DF472" s="40">
        <f t="shared" si="669"/>
        <v>307</v>
      </c>
      <c r="DG472" s="40">
        <f t="shared" si="670"/>
        <v>76</v>
      </c>
      <c r="DH472" s="40">
        <f t="shared" si="671"/>
        <v>62</v>
      </c>
      <c r="DI472" s="40">
        <f t="shared" si="672"/>
        <v>63</v>
      </c>
      <c r="DJ472" s="40">
        <f t="shared" si="673"/>
        <v>82</v>
      </c>
      <c r="DK472" s="39">
        <f t="shared" si="674"/>
        <v>56</v>
      </c>
      <c r="DL472" s="40">
        <f t="shared" si="675"/>
        <v>154</v>
      </c>
      <c r="DM472" s="40">
        <f t="shared" si="676"/>
        <v>133</v>
      </c>
      <c r="DN472" s="40">
        <f t="shared" si="677"/>
        <v>87</v>
      </c>
      <c r="DO472" s="40">
        <f t="shared" si="678"/>
        <v>96</v>
      </c>
      <c r="DP472" s="40">
        <f t="shared" si="679"/>
        <v>69</v>
      </c>
      <c r="DQ472" s="40">
        <f t="shared" si="680"/>
        <v>85</v>
      </c>
      <c r="DR472" s="40">
        <f t="shared" si="685"/>
        <v>36</v>
      </c>
      <c r="DS472" s="40">
        <f t="shared" si="686"/>
        <v>44</v>
      </c>
      <c r="DT472" s="40">
        <f t="shared" si="681"/>
        <v>51</v>
      </c>
      <c r="DU472" s="40">
        <f t="shared" si="682"/>
        <v>62.111111111111114</v>
      </c>
      <c r="DV472" s="40">
        <f t="shared" si="683"/>
        <v>0</v>
      </c>
      <c r="DW472" s="40">
        <f t="shared" si="684"/>
        <v>0</v>
      </c>
    </row>
    <row r="473" spans="1:127">
      <c r="A473" s="22" t="s">
        <v>33</v>
      </c>
      <c r="B473" s="26">
        <v>4987176274915</v>
      </c>
      <c r="C473" s="22" t="s">
        <v>38</v>
      </c>
      <c r="D473" s="22" t="s">
        <v>38</v>
      </c>
      <c r="E473" s="22">
        <v>252590</v>
      </c>
      <c r="F473" s="80" t="s">
        <v>561</v>
      </c>
      <c r="G473" s="25">
        <v>144.03</v>
      </c>
      <c r="H473" s="38">
        <f t="shared" si="691"/>
        <v>0</v>
      </c>
      <c r="I473" s="38">
        <f t="shared" si="692"/>
        <v>0</v>
      </c>
      <c r="J473" s="38">
        <f t="shared" si="693"/>
        <v>0</v>
      </c>
      <c r="K473" s="38">
        <f t="shared" si="694"/>
        <v>0</v>
      </c>
      <c r="L473" s="38">
        <f t="shared" si="695"/>
        <v>0</v>
      </c>
      <c r="M473" s="39">
        <f t="shared" si="696"/>
        <v>0</v>
      </c>
      <c r="N473" s="40">
        <f t="shared" si="697"/>
        <v>0</v>
      </c>
      <c r="O473" s="40">
        <f t="shared" si="698"/>
        <v>0</v>
      </c>
      <c r="P473" s="40">
        <f t="shared" si="699"/>
        <v>0</v>
      </c>
      <c r="Q473" s="40">
        <f t="shared" si="700"/>
        <v>10226.129999999999</v>
      </c>
      <c r="R473" s="40">
        <f t="shared" si="701"/>
        <v>70862.759999999995</v>
      </c>
      <c r="S473" s="40">
        <f t="shared" si="702"/>
        <v>34423.17</v>
      </c>
      <c r="T473" s="40">
        <f t="shared" si="703"/>
        <v>25493.31</v>
      </c>
      <c r="U473" s="40">
        <f t="shared" si="704"/>
        <v>37303.769999999997</v>
      </c>
      <c r="V473" s="40">
        <f t="shared" si="705"/>
        <v>14691.06</v>
      </c>
      <c r="W473" s="40">
        <f t="shared" si="706"/>
        <v>20308.23</v>
      </c>
      <c r="X473" s="40">
        <f t="shared" si="707"/>
        <v>27077.64</v>
      </c>
      <c r="Y473" s="39">
        <f t="shared" si="708"/>
        <v>17427.63</v>
      </c>
      <c r="Z473" s="40">
        <f t="shared" si="709"/>
        <v>18291.810000000001</v>
      </c>
      <c r="AA473" s="40">
        <f t="shared" si="710"/>
        <v>19444.05</v>
      </c>
      <c r="AB473" s="40">
        <f t="shared" si="711"/>
        <v>22468.68</v>
      </c>
      <c r="AC473" s="40">
        <f t="shared" si="712"/>
        <v>27797.79</v>
      </c>
      <c r="AD473" s="40">
        <f t="shared" si="713"/>
        <v>24341.07</v>
      </c>
      <c r="AE473" s="40">
        <f t="shared" si="714"/>
        <v>25349.279999999999</v>
      </c>
      <c r="AF473" s="40">
        <f t="shared" si="715"/>
        <v>15267.18</v>
      </c>
      <c r="AG473" s="40">
        <f t="shared" si="716"/>
        <v>12098.52</v>
      </c>
      <c r="AH473" s="40">
        <f t="shared" si="687"/>
        <v>11954.49</v>
      </c>
      <c r="AI473" s="40">
        <f t="shared" si="688"/>
        <v>27413.710000000003</v>
      </c>
      <c r="AJ473" s="40">
        <f t="shared" si="689"/>
        <v>0</v>
      </c>
      <c r="AK473" s="39">
        <f t="shared" si="690"/>
        <v>0</v>
      </c>
      <c r="AL473" s="38">
        <v>0</v>
      </c>
      <c r="AM473" s="38">
        <v>0</v>
      </c>
      <c r="AN473" s="38">
        <v>0</v>
      </c>
      <c r="AO473" s="38">
        <v>0</v>
      </c>
      <c r="AP473" s="38">
        <v>0</v>
      </c>
      <c r="AQ473" s="39">
        <v>0</v>
      </c>
      <c r="AR473" s="40">
        <v>0</v>
      </c>
      <c r="AS473" s="40">
        <v>0</v>
      </c>
      <c r="AT473" s="40">
        <v>0</v>
      </c>
      <c r="AU473" s="40">
        <v>65</v>
      </c>
      <c r="AV473" s="40">
        <v>232</v>
      </c>
      <c r="AW473" s="40">
        <v>231</v>
      </c>
      <c r="AX473" s="40">
        <v>136</v>
      </c>
      <c r="AY473" s="40">
        <v>155</v>
      </c>
      <c r="AZ473" s="40">
        <v>81</v>
      </c>
      <c r="BA473" s="40">
        <v>120</v>
      </c>
      <c r="BB473" s="40">
        <v>138</v>
      </c>
      <c r="BC473" s="39">
        <v>89</v>
      </c>
      <c r="BD473" s="40">
        <v>106</v>
      </c>
      <c r="BE473" s="40">
        <v>100</v>
      </c>
      <c r="BF473" s="40">
        <v>116</v>
      </c>
      <c r="BG473" s="40">
        <v>132</v>
      </c>
      <c r="BH473" s="40">
        <v>110</v>
      </c>
      <c r="BI473" s="40">
        <v>156</v>
      </c>
      <c r="BJ473" s="40">
        <v>68</v>
      </c>
      <c r="BK473" s="40">
        <v>71</v>
      </c>
      <c r="BL473" s="40">
        <v>70</v>
      </c>
      <c r="BM473" s="40">
        <v>157</v>
      </c>
      <c r="BN473" s="40"/>
      <c r="BO473" s="39"/>
      <c r="BP473" s="21">
        <v>0</v>
      </c>
      <c r="BQ473" s="21">
        <v>0</v>
      </c>
      <c r="BR473" s="21">
        <v>0</v>
      </c>
      <c r="BS473" s="21">
        <v>0</v>
      </c>
      <c r="BT473" s="21">
        <v>0</v>
      </c>
      <c r="BU473" s="42">
        <v>0</v>
      </c>
      <c r="BV473" s="21">
        <v>0</v>
      </c>
      <c r="BW473" s="21">
        <v>0</v>
      </c>
      <c r="BX473" s="21">
        <v>0</v>
      </c>
      <c r="BY473" s="21">
        <v>6</v>
      </c>
      <c r="BZ473" s="21">
        <v>260</v>
      </c>
      <c r="CA473" s="21">
        <v>8</v>
      </c>
      <c r="CB473" s="21">
        <v>41</v>
      </c>
      <c r="CC473" s="21">
        <v>104</v>
      </c>
      <c r="CD473" s="21">
        <v>21</v>
      </c>
      <c r="CE473" s="21">
        <v>21</v>
      </c>
      <c r="CF473" s="21">
        <v>50</v>
      </c>
      <c r="CG473" s="42">
        <v>32</v>
      </c>
      <c r="CH473" s="21">
        <v>21</v>
      </c>
      <c r="CI473" s="21">
        <v>35</v>
      </c>
      <c r="CJ473" s="21">
        <v>40</v>
      </c>
      <c r="CK473" s="21">
        <v>61</v>
      </c>
      <c r="CL473" s="21">
        <v>59</v>
      </c>
      <c r="CM473" s="21">
        <v>20</v>
      </c>
      <c r="CN473" s="21">
        <v>38</v>
      </c>
      <c r="CO473" s="21">
        <v>13</v>
      </c>
      <c r="CP473" s="21">
        <f t="shared" si="717"/>
        <v>13</v>
      </c>
      <c r="CQ473" s="343">
        <f t="shared" si="718"/>
        <v>33.333333333333336</v>
      </c>
      <c r="CR473" s="40"/>
      <c r="CS473" s="39"/>
      <c r="CT473" s="38">
        <f t="shared" si="657"/>
        <v>0</v>
      </c>
      <c r="CU473" s="38">
        <f t="shared" si="658"/>
        <v>0</v>
      </c>
      <c r="CV473" s="38">
        <f t="shared" si="659"/>
        <v>0</v>
      </c>
      <c r="CW473" s="38">
        <f t="shared" si="660"/>
        <v>0</v>
      </c>
      <c r="CX473" s="38">
        <f t="shared" si="661"/>
        <v>0</v>
      </c>
      <c r="CY473" s="39">
        <f t="shared" si="662"/>
        <v>0</v>
      </c>
      <c r="CZ473" s="40">
        <f t="shared" si="663"/>
        <v>0</v>
      </c>
      <c r="DA473" s="40">
        <f t="shared" si="664"/>
        <v>0</v>
      </c>
      <c r="DB473" s="40">
        <f t="shared" si="665"/>
        <v>0</v>
      </c>
      <c r="DC473" s="40">
        <f t="shared" si="666"/>
        <v>71</v>
      </c>
      <c r="DD473" s="40">
        <f t="shared" si="667"/>
        <v>492</v>
      </c>
      <c r="DE473" s="40">
        <f t="shared" si="668"/>
        <v>239</v>
      </c>
      <c r="DF473" s="40">
        <f t="shared" si="669"/>
        <v>177</v>
      </c>
      <c r="DG473" s="40">
        <f t="shared" si="670"/>
        <v>259</v>
      </c>
      <c r="DH473" s="40">
        <f t="shared" si="671"/>
        <v>102</v>
      </c>
      <c r="DI473" s="40">
        <f t="shared" si="672"/>
        <v>141</v>
      </c>
      <c r="DJ473" s="40">
        <f t="shared" si="673"/>
        <v>188</v>
      </c>
      <c r="DK473" s="39">
        <f t="shared" si="674"/>
        <v>121</v>
      </c>
      <c r="DL473" s="40">
        <f t="shared" si="675"/>
        <v>127</v>
      </c>
      <c r="DM473" s="40">
        <f t="shared" si="676"/>
        <v>135</v>
      </c>
      <c r="DN473" s="40">
        <f t="shared" si="677"/>
        <v>156</v>
      </c>
      <c r="DO473" s="40">
        <f t="shared" si="678"/>
        <v>193</v>
      </c>
      <c r="DP473" s="40">
        <f t="shared" si="679"/>
        <v>169</v>
      </c>
      <c r="DQ473" s="40">
        <f t="shared" si="680"/>
        <v>176</v>
      </c>
      <c r="DR473" s="40">
        <f t="shared" si="685"/>
        <v>106</v>
      </c>
      <c r="DS473" s="40">
        <f t="shared" si="686"/>
        <v>84</v>
      </c>
      <c r="DT473" s="40">
        <f t="shared" si="681"/>
        <v>83</v>
      </c>
      <c r="DU473" s="40">
        <f t="shared" si="682"/>
        <v>190.33333333333334</v>
      </c>
      <c r="DV473" s="40">
        <f t="shared" si="683"/>
        <v>0</v>
      </c>
      <c r="DW473" s="40">
        <f t="shared" si="684"/>
        <v>0</v>
      </c>
    </row>
    <row r="474" spans="1:127">
      <c r="A474" s="22" t="s">
        <v>33</v>
      </c>
      <c r="B474" s="26">
        <v>4987176274946</v>
      </c>
      <c r="C474" s="22" t="s">
        <v>38</v>
      </c>
      <c r="D474" s="22" t="s">
        <v>38</v>
      </c>
      <c r="E474" s="22">
        <v>252243</v>
      </c>
      <c r="F474" s="80" t="s">
        <v>562</v>
      </c>
      <c r="G474" s="25">
        <v>14.43</v>
      </c>
      <c r="H474" s="38">
        <f t="shared" si="691"/>
        <v>0</v>
      </c>
      <c r="I474" s="38">
        <f t="shared" si="692"/>
        <v>0</v>
      </c>
      <c r="J474" s="38">
        <f t="shared" si="693"/>
        <v>0</v>
      </c>
      <c r="K474" s="38">
        <f t="shared" si="694"/>
        <v>0</v>
      </c>
      <c r="L474" s="38">
        <f t="shared" si="695"/>
        <v>0</v>
      </c>
      <c r="M474" s="39">
        <f t="shared" si="696"/>
        <v>0</v>
      </c>
      <c r="N474" s="40">
        <f t="shared" si="697"/>
        <v>0</v>
      </c>
      <c r="O474" s="40">
        <f t="shared" si="698"/>
        <v>0</v>
      </c>
      <c r="P474" s="40">
        <f t="shared" si="699"/>
        <v>0</v>
      </c>
      <c r="Q474" s="40">
        <f t="shared" si="700"/>
        <v>0</v>
      </c>
      <c r="R474" s="40">
        <f t="shared" si="701"/>
        <v>3246.75</v>
      </c>
      <c r="S474" s="40">
        <f t="shared" si="702"/>
        <v>1197.69</v>
      </c>
      <c r="T474" s="40">
        <f t="shared" si="703"/>
        <v>5526.69</v>
      </c>
      <c r="U474" s="40">
        <f t="shared" si="704"/>
        <v>7142.8499999999995</v>
      </c>
      <c r="V474" s="40">
        <f t="shared" si="705"/>
        <v>6075.03</v>
      </c>
      <c r="W474" s="40">
        <f t="shared" si="706"/>
        <v>4689.75</v>
      </c>
      <c r="X474" s="40">
        <f t="shared" si="707"/>
        <v>5050.5</v>
      </c>
      <c r="Y474" s="39">
        <f t="shared" si="708"/>
        <v>3997.11</v>
      </c>
      <c r="Z474" s="40">
        <f t="shared" si="709"/>
        <v>4256.8500000000004</v>
      </c>
      <c r="AA474" s="40">
        <f t="shared" si="710"/>
        <v>836.93999999999994</v>
      </c>
      <c r="AB474" s="40">
        <f t="shared" si="711"/>
        <v>1991.34</v>
      </c>
      <c r="AC474" s="40">
        <f t="shared" si="712"/>
        <v>2380.9499999999998</v>
      </c>
      <c r="AD474" s="40">
        <f t="shared" si="713"/>
        <v>1875.8999999999999</v>
      </c>
      <c r="AE474" s="40">
        <f t="shared" si="714"/>
        <v>1226.55</v>
      </c>
      <c r="AF474" s="40">
        <f t="shared" si="715"/>
        <v>1385.28</v>
      </c>
      <c r="AG474" s="40">
        <f t="shared" si="716"/>
        <v>1154.4000000000001</v>
      </c>
      <c r="AH474" s="40">
        <f t="shared" si="687"/>
        <v>1919.19</v>
      </c>
      <c r="AI474" s="40">
        <f t="shared" si="688"/>
        <v>1683.5</v>
      </c>
      <c r="AJ474" s="40">
        <f t="shared" si="689"/>
        <v>0</v>
      </c>
      <c r="AK474" s="39">
        <f t="shared" si="690"/>
        <v>0</v>
      </c>
      <c r="AL474" s="38">
        <v>0</v>
      </c>
      <c r="AM474" s="38">
        <v>0</v>
      </c>
      <c r="AN474" s="38">
        <v>0</v>
      </c>
      <c r="AO474" s="38">
        <v>0</v>
      </c>
      <c r="AP474" s="38">
        <v>0</v>
      </c>
      <c r="AQ474" s="39">
        <v>0</v>
      </c>
      <c r="AR474" s="40">
        <v>0</v>
      </c>
      <c r="AS474" s="40">
        <v>0</v>
      </c>
      <c r="AT474" s="40">
        <v>0</v>
      </c>
      <c r="AU474" s="40">
        <v>0</v>
      </c>
      <c r="AV474" s="40">
        <v>34</v>
      </c>
      <c r="AW474" s="40">
        <v>0</v>
      </c>
      <c r="AX474" s="40">
        <v>244</v>
      </c>
      <c r="AY474" s="40">
        <v>273</v>
      </c>
      <c r="AZ474" s="40">
        <v>250</v>
      </c>
      <c r="BA474" s="40">
        <v>152</v>
      </c>
      <c r="BB474" s="40">
        <v>150</v>
      </c>
      <c r="BC474" s="39">
        <v>81</v>
      </c>
      <c r="BD474" s="40">
        <v>49</v>
      </c>
      <c r="BE474" s="40">
        <v>16</v>
      </c>
      <c r="BF474" s="40">
        <v>20</v>
      </c>
      <c r="BG474" s="40">
        <v>57</v>
      </c>
      <c r="BH474" s="40">
        <v>39</v>
      </c>
      <c r="BI474" s="40">
        <v>20</v>
      </c>
      <c r="BJ474" s="40">
        <v>3</v>
      </c>
      <c r="BK474" s="40">
        <v>4</v>
      </c>
      <c r="BL474" s="40">
        <v>57</v>
      </c>
      <c r="BM474" s="40">
        <v>15</v>
      </c>
      <c r="BN474" s="40"/>
      <c r="BO474" s="39"/>
      <c r="BP474" s="21">
        <v>0</v>
      </c>
      <c r="BQ474" s="21">
        <v>0</v>
      </c>
      <c r="BR474" s="21">
        <v>0</v>
      </c>
      <c r="BS474" s="21">
        <v>0</v>
      </c>
      <c r="BT474" s="21">
        <v>0</v>
      </c>
      <c r="BU474" s="42">
        <v>0</v>
      </c>
      <c r="BV474" s="21">
        <v>0</v>
      </c>
      <c r="BW474" s="21">
        <v>0</v>
      </c>
      <c r="BX474" s="21">
        <v>0</v>
      </c>
      <c r="BY474" s="21">
        <v>0</v>
      </c>
      <c r="BZ474" s="21">
        <v>191</v>
      </c>
      <c r="CA474" s="21">
        <v>83</v>
      </c>
      <c r="CB474" s="21">
        <v>139</v>
      </c>
      <c r="CC474" s="21">
        <v>222</v>
      </c>
      <c r="CD474" s="21">
        <v>171</v>
      </c>
      <c r="CE474" s="21">
        <v>173</v>
      </c>
      <c r="CF474" s="21">
        <v>200</v>
      </c>
      <c r="CG474" s="42">
        <v>196</v>
      </c>
      <c r="CH474" s="21">
        <v>246</v>
      </c>
      <c r="CI474" s="21">
        <v>42</v>
      </c>
      <c r="CJ474" s="21">
        <v>118</v>
      </c>
      <c r="CK474" s="21">
        <v>108</v>
      </c>
      <c r="CL474" s="21">
        <v>91</v>
      </c>
      <c r="CM474" s="21">
        <v>65</v>
      </c>
      <c r="CN474" s="21">
        <v>93</v>
      </c>
      <c r="CO474" s="21">
        <v>76</v>
      </c>
      <c r="CP474" s="21">
        <f t="shared" si="717"/>
        <v>76</v>
      </c>
      <c r="CQ474" s="343">
        <f t="shared" si="718"/>
        <v>101.66666666666667</v>
      </c>
      <c r="CR474" s="40"/>
      <c r="CS474" s="39"/>
      <c r="CT474" s="38">
        <f t="shared" si="657"/>
        <v>0</v>
      </c>
      <c r="CU474" s="38">
        <f t="shared" si="658"/>
        <v>0</v>
      </c>
      <c r="CV474" s="38">
        <f t="shared" si="659"/>
        <v>0</v>
      </c>
      <c r="CW474" s="38">
        <f t="shared" si="660"/>
        <v>0</v>
      </c>
      <c r="CX474" s="38">
        <f t="shared" si="661"/>
        <v>0</v>
      </c>
      <c r="CY474" s="39">
        <f t="shared" si="662"/>
        <v>0</v>
      </c>
      <c r="CZ474" s="40">
        <f t="shared" si="663"/>
        <v>0</v>
      </c>
      <c r="DA474" s="40">
        <f t="shared" si="664"/>
        <v>0</v>
      </c>
      <c r="DB474" s="40">
        <f t="shared" si="665"/>
        <v>0</v>
      </c>
      <c r="DC474" s="40">
        <f t="shared" si="666"/>
        <v>0</v>
      </c>
      <c r="DD474" s="40">
        <f t="shared" si="667"/>
        <v>225</v>
      </c>
      <c r="DE474" s="40">
        <f t="shared" si="668"/>
        <v>83</v>
      </c>
      <c r="DF474" s="40">
        <f t="shared" si="669"/>
        <v>383</v>
      </c>
      <c r="DG474" s="40">
        <f t="shared" si="670"/>
        <v>495</v>
      </c>
      <c r="DH474" s="40">
        <f t="shared" si="671"/>
        <v>421</v>
      </c>
      <c r="DI474" s="40">
        <f t="shared" si="672"/>
        <v>325</v>
      </c>
      <c r="DJ474" s="40">
        <f t="shared" si="673"/>
        <v>350</v>
      </c>
      <c r="DK474" s="39">
        <f t="shared" si="674"/>
        <v>277</v>
      </c>
      <c r="DL474" s="40">
        <f t="shared" si="675"/>
        <v>295</v>
      </c>
      <c r="DM474" s="40">
        <f t="shared" si="676"/>
        <v>58</v>
      </c>
      <c r="DN474" s="40">
        <f t="shared" si="677"/>
        <v>138</v>
      </c>
      <c r="DO474" s="40">
        <f t="shared" si="678"/>
        <v>165</v>
      </c>
      <c r="DP474" s="40">
        <f t="shared" si="679"/>
        <v>130</v>
      </c>
      <c r="DQ474" s="40">
        <f t="shared" si="680"/>
        <v>85</v>
      </c>
      <c r="DR474" s="40">
        <f t="shared" si="685"/>
        <v>96</v>
      </c>
      <c r="DS474" s="40">
        <f t="shared" si="686"/>
        <v>80</v>
      </c>
      <c r="DT474" s="40">
        <f t="shared" si="681"/>
        <v>133</v>
      </c>
      <c r="DU474" s="40">
        <f t="shared" si="682"/>
        <v>116.66666666666667</v>
      </c>
      <c r="DV474" s="40">
        <f t="shared" si="683"/>
        <v>0</v>
      </c>
      <c r="DW474" s="40">
        <f t="shared" si="684"/>
        <v>0</v>
      </c>
    </row>
    <row r="475" spans="1:127">
      <c r="A475" s="22" t="s">
        <v>33</v>
      </c>
      <c r="B475" s="26">
        <v>4987176274939</v>
      </c>
      <c r="C475" s="22" t="s">
        <v>38</v>
      </c>
      <c r="D475" s="22" t="s">
        <v>38</v>
      </c>
      <c r="E475" s="22">
        <v>252615</v>
      </c>
      <c r="F475" s="80" t="s">
        <v>563</v>
      </c>
      <c r="G475" s="25">
        <v>73.899000000000001</v>
      </c>
      <c r="H475" s="38">
        <f t="shared" si="691"/>
        <v>0</v>
      </c>
      <c r="I475" s="38">
        <f t="shared" si="692"/>
        <v>0</v>
      </c>
      <c r="J475" s="38">
        <f t="shared" si="693"/>
        <v>0</v>
      </c>
      <c r="K475" s="38">
        <f t="shared" si="694"/>
        <v>0</v>
      </c>
      <c r="L475" s="38">
        <f t="shared" si="695"/>
        <v>0</v>
      </c>
      <c r="M475" s="39">
        <f t="shared" si="696"/>
        <v>0</v>
      </c>
      <c r="N475" s="40">
        <f t="shared" si="697"/>
        <v>0</v>
      </c>
      <c r="O475" s="40">
        <f t="shared" si="698"/>
        <v>0</v>
      </c>
      <c r="P475" s="40">
        <f t="shared" si="699"/>
        <v>0</v>
      </c>
      <c r="Q475" s="40">
        <f t="shared" si="700"/>
        <v>0</v>
      </c>
      <c r="R475" s="40">
        <f t="shared" si="701"/>
        <v>0</v>
      </c>
      <c r="S475" s="40">
        <f t="shared" si="702"/>
        <v>886.78800000000001</v>
      </c>
      <c r="T475" s="40">
        <f t="shared" si="703"/>
        <v>443.39400000000001</v>
      </c>
      <c r="U475" s="40">
        <f t="shared" si="704"/>
        <v>1477.98</v>
      </c>
      <c r="V475" s="40">
        <f t="shared" si="705"/>
        <v>222805.48500000002</v>
      </c>
      <c r="W475" s="40">
        <f t="shared" si="706"/>
        <v>159104.54699999999</v>
      </c>
      <c r="X475" s="40">
        <f t="shared" si="707"/>
        <v>20100.527999999998</v>
      </c>
      <c r="Y475" s="39">
        <f t="shared" si="708"/>
        <v>13301.82</v>
      </c>
      <c r="Z475" s="40">
        <f t="shared" si="709"/>
        <v>6133.6170000000002</v>
      </c>
      <c r="AA475" s="40">
        <f t="shared" si="710"/>
        <v>5468.5259999999998</v>
      </c>
      <c r="AB475" s="40">
        <f t="shared" si="711"/>
        <v>8424.4860000000008</v>
      </c>
      <c r="AC475" s="40">
        <f t="shared" si="712"/>
        <v>6872.607</v>
      </c>
      <c r="AD475" s="40">
        <f t="shared" si="713"/>
        <v>5690.223</v>
      </c>
      <c r="AE475" s="40">
        <f t="shared" si="714"/>
        <v>5542.4250000000002</v>
      </c>
      <c r="AF475" s="40">
        <f t="shared" si="715"/>
        <v>2512.5659999999998</v>
      </c>
      <c r="AG475" s="40">
        <f t="shared" si="716"/>
        <v>1625.778</v>
      </c>
      <c r="AH475" s="40">
        <f t="shared" si="687"/>
        <v>443.39400000000001</v>
      </c>
      <c r="AI475" s="40">
        <f t="shared" si="688"/>
        <v>2036.3280000000002</v>
      </c>
      <c r="AJ475" s="40">
        <f t="shared" si="689"/>
        <v>0</v>
      </c>
      <c r="AK475" s="39">
        <f t="shared" si="690"/>
        <v>0</v>
      </c>
      <c r="AL475" s="38">
        <v>0</v>
      </c>
      <c r="AM475" s="38">
        <v>0</v>
      </c>
      <c r="AN475" s="38">
        <v>0</v>
      </c>
      <c r="AO475" s="38">
        <v>0</v>
      </c>
      <c r="AP475" s="38">
        <v>0</v>
      </c>
      <c r="AQ475" s="39">
        <v>0</v>
      </c>
      <c r="AR475" s="40">
        <v>0</v>
      </c>
      <c r="AS475" s="40">
        <v>0</v>
      </c>
      <c r="AT475" s="40">
        <v>0</v>
      </c>
      <c r="AU475" s="40">
        <v>0</v>
      </c>
      <c r="AV475" s="40">
        <v>0</v>
      </c>
      <c r="AW475" s="40">
        <v>0</v>
      </c>
      <c r="AX475" s="40">
        <v>0</v>
      </c>
      <c r="AY475" s="40">
        <v>0</v>
      </c>
      <c r="AZ475" s="40">
        <v>2756</v>
      </c>
      <c r="BA475" s="40">
        <v>2144</v>
      </c>
      <c r="BB475" s="40">
        <v>147</v>
      </c>
      <c r="BC475" s="39">
        <v>153</v>
      </c>
      <c r="BD475" s="40">
        <v>69</v>
      </c>
      <c r="BE475" s="40">
        <v>41</v>
      </c>
      <c r="BF475" s="40">
        <v>98</v>
      </c>
      <c r="BG475" s="40">
        <v>79</v>
      </c>
      <c r="BH475" s="40">
        <v>54</v>
      </c>
      <c r="BI475" s="40">
        <v>71</v>
      </c>
      <c r="BJ475" s="40">
        <v>20</v>
      </c>
      <c r="BK475" s="40">
        <v>20</v>
      </c>
      <c r="BL475" s="40">
        <v>4</v>
      </c>
      <c r="BM475" s="40">
        <v>14</v>
      </c>
      <c r="BN475" s="40"/>
      <c r="BO475" s="39"/>
      <c r="BP475" s="21">
        <v>0</v>
      </c>
      <c r="BQ475" s="21">
        <v>0</v>
      </c>
      <c r="BR475" s="21">
        <v>0</v>
      </c>
      <c r="BS475" s="21">
        <v>0</v>
      </c>
      <c r="BT475" s="21">
        <v>0</v>
      </c>
      <c r="BU475" s="42">
        <v>0</v>
      </c>
      <c r="BV475" s="21">
        <v>0</v>
      </c>
      <c r="BW475" s="21">
        <v>0</v>
      </c>
      <c r="BX475" s="21">
        <v>0</v>
      </c>
      <c r="BY475" s="21">
        <v>0</v>
      </c>
      <c r="BZ475" s="21">
        <v>0</v>
      </c>
      <c r="CA475" s="21">
        <v>12</v>
      </c>
      <c r="CB475" s="21">
        <v>6</v>
      </c>
      <c r="CC475" s="21">
        <v>20</v>
      </c>
      <c r="CD475" s="21">
        <v>259</v>
      </c>
      <c r="CE475" s="21">
        <v>9</v>
      </c>
      <c r="CF475" s="21">
        <v>125</v>
      </c>
      <c r="CG475" s="42">
        <v>27</v>
      </c>
      <c r="CH475" s="21">
        <v>14</v>
      </c>
      <c r="CI475" s="21">
        <v>33</v>
      </c>
      <c r="CJ475" s="21">
        <v>16</v>
      </c>
      <c r="CK475" s="21">
        <v>14</v>
      </c>
      <c r="CL475" s="21">
        <v>23</v>
      </c>
      <c r="CM475" s="21">
        <v>4</v>
      </c>
      <c r="CN475" s="21">
        <v>14</v>
      </c>
      <c r="CO475" s="21">
        <v>2</v>
      </c>
      <c r="CP475" s="21">
        <f t="shared" si="717"/>
        <v>2</v>
      </c>
      <c r="CQ475" s="343">
        <f t="shared" si="718"/>
        <v>13.555555555555555</v>
      </c>
      <c r="CR475" s="40"/>
      <c r="CS475" s="39"/>
      <c r="CT475" s="38">
        <f t="shared" si="657"/>
        <v>0</v>
      </c>
      <c r="CU475" s="38">
        <f t="shared" si="658"/>
        <v>0</v>
      </c>
      <c r="CV475" s="38">
        <f t="shared" si="659"/>
        <v>0</v>
      </c>
      <c r="CW475" s="38">
        <f t="shared" si="660"/>
        <v>0</v>
      </c>
      <c r="CX475" s="38">
        <f t="shared" si="661"/>
        <v>0</v>
      </c>
      <c r="CY475" s="39">
        <f t="shared" si="662"/>
        <v>0</v>
      </c>
      <c r="CZ475" s="40">
        <f t="shared" si="663"/>
        <v>0</v>
      </c>
      <c r="DA475" s="40">
        <f t="shared" si="664"/>
        <v>0</v>
      </c>
      <c r="DB475" s="40">
        <f t="shared" si="665"/>
        <v>0</v>
      </c>
      <c r="DC475" s="40">
        <f t="shared" si="666"/>
        <v>0</v>
      </c>
      <c r="DD475" s="40">
        <f t="shared" si="667"/>
        <v>0</v>
      </c>
      <c r="DE475" s="40">
        <f t="shared" si="668"/>
        <v>12</v>
      </c>
      <c r="DF475" s="40">
        <f t="shared" si="669"/>
        <v>6</v>
      </c>
      <c r="DG475" s="40">
        <f t="shared" si="670"/>
        <v>20</v>
      </c>
      <c r="DH475" s="40">
        <f t="shared" si="671"/>
        <v>3015</v>
      </c>
      <c r="DI475" s="40">
        <f t="shared" si="672"/>
        <v>2153</v>
      </c>
      <c r="DJ475" s="40">
        <f t="shared" si="673"/>
        <v>272</v>
      </c>
      <c r="DK475" s="39">
        <f t="shared" si="674"/>
        <v>180</v>
      </c>
      <c r="DL475" s="40">
        <f t="shared" si="675"/>
        <v>83</v>
      </c>
      <c r="DM475" s="40">
        <f t="shared" si="676"/>
        <v>74</v>
      </c>
      <c r="DN475" s="40">
        <f t="shared" si="677"/>
        <v>114</v>
      </c>
      <c r="DO475" s="40">
        <f t="shared" si="678"/>
        <v>93</v>
      </c>
      <c r="DP475" s="40">
        <f t="shared" si="679"/>
        <v>77</v>
      </c>
      <c r="DQ475" s="40">
        <f t="shared" si="680"/>
        <v>75</v>
      </c>
      <c r="DR475" s="40">
        <f t="shared" si="685"/>
        <v>34</v>
      </c>
      <c r="DS475" s="40">
        <f t="shared" si="686"/>
        <v>22</v>
      </c>
      <c r="DT475" s="40">
        <f t="shared" si="681"/>
        <v>6</v>
      </c>
      <c r="DU475" s="40">
        <f t="shared" si="682"/>
        <v>27.555555555555557</v>
      </c>
      <c r="DV475" s="40">
        <f t="shared" si="683"/>
        <v>0</v>
      </c>
      <c r="DW475" s="40">
        <f t="shared" si="684"/>
        <v>0</v>
      </c>
    </row>
    <row r="476" spans="1:127">
      <c r="A476" s="22" t="s">
        <v>33</v>
      </c>
      <c r="B476" s="26">
        <v>4987176148742</v>
      </c>
      <c r="C476" s="22" t="s">
        <v>38</v>
      </c>
      <c r="D476" s="22" t="s">
        <v>38</v>
      </c>
      <c r="E476" s="22">
        <v>168103</v>
      </c>
      <c r="F476" s="80" t="s">
        <v>564</v>
      </c>
      <c r="G476" s="25">
        <v>17.91</v>
      </c>
      <c r="H476" s="38">
        <f t="shared" si="691"/>
        <v>10405.710000000001</v>
      </c>
      <c r="I476" s="38">
        <f t="shared" si="692"/>
        <v>11050.47</v>
      </c>
      <c r="J476" s="38">
        <f t="shared" si="693"/>
        <v>5498.37</v>
      </c>
      <c r="K476" s="38">
        <f t="shared" si="694"/>
        <v>2471.58</v>
      </c>
      <c r="L476" s="38">
        <f t="shared" si="695"/>
        <v>1074.5999999999999</v>
      </c>
      <c r="M476" s="39">
        <f t="shared" si="696"/>
        <v>71.64</v>
      </c>
      <c r="N476" s="40">
        <f t="shared" si="697"/>
        <v>232.83</v>
      </c>
      <c r="O476" s="40">
        <f t="shared" si="698"/>
        <v>107.46000000000001</v>
      </c>
      <c r="P476" s="40">
        <f t="shared" si="699"/>
        <v>17.91</v>
      </c>
      <c r="Q476" s="40">
        <f t="shared" si="700"/>
        <v>0</v>
      </c>
      <c r="R476" s="40">
        <f t="shared" si="701"/>
        <v>17.91</v>
      </c>
      <c r="S476" s="40">
        <f t="shared" si="702"/>
        <v>35.82</v>
      </c>
      <c r="T476" s="40">
        <f t="shared" si="703"/>
        <v>0</v>
      </c>
      <c r="U476" s="40">
        <f t="shared" si="704"/>
        <v>53.730000000000004</v>
      </c>
      <c r="V476" s="40">
        <f t="shared" si="705"/>
        <v>0</v>
      </c>
      <c r="W476" s="40">
        <f t="shared" si="706"/>
        <v>0</v>
      </c>
      <c r="X476" s="40">
        <f t="shared" si="707"/>
        <v>0</v>
      </c>
      <c r="Y476" s="39">
        <f t="shared" si="708"/>
        <v>0</v>
      </c>
      <c r="Z476" s="40">
        <f t="shared" si="709"/>
        <v>0</v>
      </c>
      <c r="AA476" s="40">
        <f t="shared" si="710"/>
        <v>0</v>
      </c>
      <c r="AB476" s="40">
        <f t="shared" si="711"/>
        <v>0</v>
      </c>
      <c r="AC476" s="40">
        <f t="shared" si="712"/>
        <v>0</v>
      </c>
      <c r="AD476" s="40">
        <f t="shared" si="713"/>
        <v>0</v>
      </c>
      <c r="AE476" s="40">
        <f t="shared" si="714"/>
        <v>0</v>
      </c>
      <c r="AF476" s="40">
        <f t="shared" si="715"/>
        <v>0</v>
      </c>
      <c r="AG476" s="40">
        <f t="shared" si="716"/>
        <v>0</v>
      </c>
      <c r="AH476" s="40">
        <f t="shared" si="687"/>
        <v>0</v>
      </c>
      <c r="AI476" s="40">
        <f t="shared" si="688"/>
        <v>0</v>
      </c>
      <c r="AJ476" s="40">
        <f t="shared" si="689"/>
        <v>0</v>
      </c>
      <c r="AK476" s="39">
        <f t="shared" si="690"/>
        <v>0</v>
      </c>
      <c r="AL476" s="38">
        <v>290</v>
      </c>
      <c r="AM476" s="38">
        <v>327</v>
      </c>
      <c r="AN476" s="38">
        <v>75</v>
      </c>
      <c r="AO476" s="38">
        <v>74</v>
      </c>
      <c r="AP476" s="38">
        <v>60</v>
      </c>
      <c r="AQ476" s="39">
        <v>4</v>
      </c>
      <c r="AR476" s="40">
        <v>13</v>
      </c>
      <c r="AS476" s="40">
        <v>6</v>
      </c>
      <c r="AT476" s="40">
        <v>1</v>
      </c>
      <c r="AU476" s="40">
        <v>0</v>
      </c>
      <c r="AV476" s="40">
        <v>1</v>
      </c>
      <c r="AW476" s="40">
        <v>2</v>
      </c>
      <c r="AX476" s="40">
        <v>0</v>
      </c>
      <c r="AY476" s="40">
        <v>3</v>
      </c>
      <c r="AZ476" s="40">
        <v>0</v>
      </c>
      <c r="BA476" s="40">
        <v>0</v>
      </c>
      <c r="BB476" s="40">
        <v>0</v>
      </c>
      <c r="BC476" s="39">
        <v>0</v>
      </c>
      <c r="BD476" s="40">
        <v>0</v>
      </c>
      <c r="BE476" s="40">
        <v>0</v>
      </c>
      <c r="BF476" s="40">
        <v>0</v>
      </c>
      <c r="BG476" s="40">
        <v>0</v>
      </c>
      <c r="BH476" s="40">
        <v>0</v>
      </c>
      <c r="BI476" s="40">
        <v>0</v>
      </c>
      <c r="BJ476" s="40">
        <v>0</v>
      </c>
      <c r="BK476" s="40">
        <v>0</v>
      </c>
      <c r="BL476" s="40">
        <v>0</v>
      </c>
      <c r="BM476" s="40">
        <v>0</v>
      </c>
      <c r="BN476" s="40"/>
      <c r="BO476" s="39"/>
      <c r="BP476" s="21">
        <v>291</v>
      </c>
      <c r="BQ476" s="21">
        <v>290</v>
      </c>
      <c r="BR476" s="21">
        <v>232</v>
      </c>
      <c r="BS476" s="21">
        <v>64</v>
      </c>
      <c r="BT476" s="21">
        <v>0</v>
      </c>
      <c r="BU476" s="42">
        <v>0</v>
      </c>
      <c r="BV476" s="21">
        <v>0</v>
      </c>
      <c r="BW476" s="21">
        <v>0</v>
      </c>
      <c r="BX476" s="21">
        <v>0</v>
      </c>
      <c r="BY476" s="21">
        <v>0</v>
      </c>
      <c r="BZ476" s="21">
        <v>0</v>
      </c>
      <c r="CA476" s="21">
        <v>0</v>
      </c>
      <c r="CB476" s="21">
        <v>0</v>
      </c>
      <c r="CC476" s="21">
        <v>0</v>
      </c>
      <c r="CD476" s="21">
        <v>0</v>
      </c>
      <c r="CE476" s="21">
        <v>0</v>
      </c>
      <c r="CF476" s="21">
        <v>0</v>
      </c>
      <c r="CG476" s="42">
        <v>0</v>
      </c>
      <c r="CH476" s="21">
        <v>0</v>
      </c>
      <c r="CI476" s="21">
        <v>0</v>
      </c>
      <c r="CJ476" s="21">
        <v>0</v>
      </c>
      <c r="CK476" s="21">
        <v>0</v>
      </c>
      <c r="CL476" s="21">
        <v>0</v>
      </c>
      <c r="CM476" s="21">
        <v>0</v>
      </c>
      <c r="CN476" s="21">
        <v>0</v>
      </c>
      <c r="CO476" s="21">
        <v>0</v>
      </c>
      <c r="CP476" s="21">
        <f t="shared" si="717"/>
        <v>0</v>
      </c>
      <c r="CQ476" s="343">
        <f t="shared" si="718"/>
        <v>0</v>
      </c>
      <c r="CR476" s="40"/>
      <c r="CS476" s="39"/>
      <c r="CT476" s="38">
        <f t="shared" si="657"/>
        <v>581</v>
      </c>
      <c r="CU476" s="38">
        <f t="shared" si="658"/>
        <v>617</v>
      </c>
      <c r="CV476" s="38">
        <f t="shared" si="659"/>
        <v>307</v>
      </c>
      <c r="CW476" s="38">
        <f t="shared" si="660"/>
        <v>138</v>
      </c>
      <c r="CX476" s="38">
        <f t="shared" si="661"/>
        <v>60</v>
      </c>
      <c r="CY476" s="39">
        <f t="shared" si="662"/>
        <v>4</v>
      </c>
      <c r="CZ476" s="40">
        <f t="shared" si="663"/>
        <v>13</v>
      </c>
      <c r="DA476" s="40">
        <f t="shared" si="664"/>
        <v>6</v>
      </c>
      <c r="DB476" s="40">
        <f t="shared" si="665"/>
        <v>1</v>
      </c>
      <c r="DC476" s="40">
        <f t="shared" si="666"/>
        <v>0</v>
      </c>
      <c r="DD476" s="40">
        <f t="shared" si="667"/>
        <v>1</v>
      </c>
      <c r="DE476" s="40">
        <f t="shared" si="668"/>
        <v>2</v>
      </c>
      <c r="DF476" s="40">
        <f t="shared" si="669"/>
        <v>0</v>
      </c>
      <c r="DG476" s="40">
        <f t="shared" si="670"/>
        <v>3</v>
      </c>
      <c r="DH476" s="40">
        <f t="shared" si="671"/>
        <v>0</v>
      </c>
      <c r="DI476" s="40">
        <f t="shared" si="672"/>
        <v>0</v>
      </c>
      <c r="DJ476" s="40">
        <f t="shared" si="673"/>
        <v>0</v>
      </c>
      <c r="DK476" s="39">
        <f t="shared" si="674"/>
        <v>0</v>
      </c>
      <c r="DL476" s="40">
        <f t="shared" si="675"/>
        <v>0</v>
      </c>
      <c r="DM476" s="40">
        <f t="shared" si="676"/>
        <v>0</v>
      </c>
      <c r="DN476" s="40">
        <f t="shared" si="677"/>
        <v>0</v>
      </c>
      <c r="DO476" s="40">
        <f t="shared" si="678"/>
        <v>0</v>
      </c>
      <c r="DP476" s="40">
        <f t="shared" si="679"/>
        <v>0</v>
      </c>
      <c r="DQ476" s="40">
        <f t="shared" si="680"/>
        <v>0</v>
      </c>
      <c r="DR476" s="40">
        <f t="shared" si="685"/>
        <v>0</v>
      </c>
      <c r="DS476" s="40">
        <f t="shared" si="686"/>
        <v>0</v>
      </c>
      <c r="DT476" s="40">
        <f t="shared" si="681"/>
        <v>0</v>
      </c>
      <c r="DU476" s="40">
        <f t="shared" si="682"/>
        <v>0</v>
      </c>
      <c r="DV476" s="40">
        <f t="shared" si="683"/>
        <v>0</v>
      </c>
      <c r="DW476" s="40">
        <f t="shared" si="684"/>
        <v>0</v>
      </c>
    </row>
    <row r="477" spans="1:127">
      <c r="A477" s="22" t="s">
        <v>33</v>
      </c>
      <c r="B477" s="26">
        <v>4987176148865</v>
      </c>
      <c r="C477" s="22" t="s">
        <v>38</v>
      </c>
      <c r="D477" s="22" t="s">
        <v>38</v>
      </c>
      <c r="E477" s="22">
        <v>168141</v>
      </c>
      <c r="F477" s="80" t="s">
        <v>565</v>
      </c>
      <c r="G477" s="25">
        <v>146.30000000000001</v>
      </c>
      <c r="H477" s="38">
        <f t="shared" si="691"/>
        <v>9655.8000000000011</v>
      </c>
      <c r="I477" s="38">
        <f t="shared" si="692"/>
        <v>28674.800000000003</v>
      </c>
      <c r="J477" s="38">
        <f t="shared" si="693"/>
        <v>17263.400000000001</v>
      </c>
      <c r="K477" s="38">
        <f t="shared" si="694"/>
        <v>17556</v>
      </c>
      <c r="L477" s="38">
        <f t="shared" si="695"/>
        <v>16093.000000000002</v>
      </c>
      <c r="M477" s="39">
        <f t="shared" si="696"/>
        <v>27065.500000000004</v>
      </c>
      <c r="N477" s="40">
        <f t="shared" si="697"/>
        <v>18580.100000000002</v>
      </c>
      <c r="O477" s="40">
        <f t="shared" si="698"/>
        <v>19165.300000000003</v>
      </c>
      <c r="P477" s="40">
        <f t="shared" si="699"/>
        <v>32478.600000000002</v>
      </c>
      <c r="Q477" s="40">
        <f t="shared" si="700"/>
        <v>20189.400000000001</v>
      </c>
      <c r="R477" s="40">
        <f t="shared" si="701"/>
        <v>34526.800000000003</v>
      </c>
      <c r="S477" s="40">
        <f t="shared" si="702"/>
        <v>26480.300000000003</v>
      </c>
      <c r="T477" s="40">
        <f t="shared" si="703"/>
        <v>19750.5</v>
      </c>
      <c r="U477" s="40">
        <f t="shared" si="704"/>
        <v>26919.200000000001</v>
      </c>
      <c r="V477" s="40">
        <f t="shared" si="705"/>
        <v>16678.2</v>
      </c>
      <c r="W477" s="40">
        <f t="shared" si="706"/>
        <v>24871.000000000004</v>
      </c>
      <c r="X477" s="40">
        <f t="shared" si="707"/>
        <v>15507.800000000001</v>
      </c>
      <c r="Y477" s="39">
        <f t="shared" si="708"/>
        <v>9070.6</v>
      </c>
      <c r="Z477" s="40">
        <f t="shared" si="709"/>
        <v>10387.300000000001</v>
      </c>
      <c r="AA477" s="40">
        <f t="shared" si="710"/>
        <v>4681.6000000000004</v>
      </c>
      <c r="AB477" s="40">
        <f t="shared" si="711"/>
        <v>0</v>
      </c>
      <c r="AC477" s="40">
        <f t="shared" si="712"/>
        <v>0</v>
      </c>
      <c r="AD477" s="40">
        <f t="shared" si="713"/>
        <v>146.30000000000001</v>
      </c>
      <c r="AE477" s="40">
        <f t="shared" si="714"/>
        <v>292.60000000000002</v>
      </c>
      <c r="AF477" s="40">
        <f t="shared" si="715"/>
        <v>0</v>
      </c>
      <c r="AG477" s="40">
        <f t="shared" si="716"/>
        <v>292.60000000000002</v>
      </c>
      <c r="AH477" s="40">
        <f t="shared" si="687"/>
        <v>0</v>
      </c>
      <c r="AI477" s="40">
        <f t="shared" si="688"/>
        <v>0</v>
      </c>
      <c r="AJ477" s="40">
        <f t="shared" si="689"/>
        <v>0</v>
      </c>
      <c r="AK477" s="39">
        <f t="shared" si="690"/>
        <v>0</v>
      </c>
      <c r="AL477" s="38">
        <v>55</v>
      </c>
      <c r="AM477" s="38">
        <v>166</v>
      </c>
      <c r="AN477" s="38">
        <v>74</v>
      </c>
      <c r="AO477" s="38">
        <v>92</v>
      </c>
      <c r="AP477" s="38">
        <v>96</v>
      </c>
      <c r="AQ477" s="39">
        <v>121</v>
      </c>
      <c r="AR477" s="40">
        <v>92</v>
      </c>
      <c r="AS477" s="40">
        <v>100</v>
      </c>
      <c r="AT477" s="40">
        <v>145</v>
      </c>
      <c r="AU477" s="40">
        <v>109</v>
      </c>
      <c r="AV477" s="40">
        <v>119</v>
      </c>
      <c r="AW477" s="40">
        <v>164</v>
      </c>
      <c r="AX477" s="40">
        <v>106</v>
      </c>
      <c r="AY477" s="40">
        <v>118</v>
      </c>
      <c r="AZ477" s="40">
        <v>96</v>
      </c>
      <c r="BA477" s="40">
        <v>118</v>
      </c>
      <c r="BB477" s="40">
        <v>106</v>
      </c>
      <c r="BC477" s="39">
        <v>62</v>
      </c>
      <c r="BD477" s="40">
        <v>71</v>
      </c>
      <c r="BE477" s="40">
        <v>32</v>
      </c>
      <c r="BF477" s="40">
        <v>0</v>
      </c>
      <c r="BG477" s="40">
        <v>0</v>
      </c>
      <c r="BH477" s="40">
        <v>1</v>
      </c>
      <c r="BI477" s="40">
        <v>2</v>
      </c>
      <c r="BJ477" s="40">
        <v>0</v>
      </c>
      <c r="BK477" s="40">
        <v>2</v>
      </c>
      <c r="BL477" s="40">
        <v>0</v>
      </c>
      <c r="BM477" s="40">
        <v>0</v>
      </c>
      <c r="BN477" s="40"/>
      <c r="BO477" s="39"/>
      <c r="BP477" s="21">
        <v>11</v>
      </c>
      <c r="BQ477" s="21">
        <v>30</v>
      </c>
      <c r="BR477" s="21">
        <v>44</v>
      </c>
      <c r="BS477" s="21">
        <v>28</v>
      </c>
      <c r="BT477" s="21">
        <v>14</v>
      </c>
      <c r="BU477" s="42">
        <v>64</v>
      </c>
      <c r="BV477" s="21">
        <v>35</v>
      </c>
      <c r="BW477" s="21">
        <v>31</v>
      </c>
      <c r="BX477" s="21">
        <v>77</v>
      </c>
      <c r="BY477" s="21">
        <v>29</v>
      </c>
      <c r="BZ477" s="21">
        <v>117</v>
      </c>
      <c r="CA477" s="21">
        <v>17</v>
      </c>
      <c r="CB477" s="21">
        <v>29</v>
      </c>
      <c r="CC477" s="21">
        <v>66</v>
      </c>
      <c r="CD477" s="21">
        <v>18</v>
      </c>
      <c r="CE477" s="21">
        <v>52</v>
      </c>
      <c r="CF477" s="21">
        <v>0</v>
      </c>
      <c r="CG477" s="42">
        <v>0</v>
      </c>
      <c r="CH477" s="21">
        <v>0</v>
      </c>
      <c r="CI477" s="21">
        <v>0</v>
      </c>
      <c r="CJ477" s="21">
        <v>0</v>
      </c>
      <c r="CK477" s="21">
        <v>0</v>
      </c>
      <c r="CL477" s="21">
        <v>0</v>
      </c>
      <c r="CM477" s="21">
        <v>0</v>
      </c>
      <c r="CN477" s="21">
        <v>0</v>
      </c>
      <c r="CO477" s="21">
        <v>0</v>
      </c>
      <c r="CP477" s="21">
        <f t="shared" si="717"/>
        <v>0</v>
      </c>
      <c r="CQ477" s="343">
        <f t="shared" si="718"/>
        <v>0</v>
      </c>
      <c r="CR477" s="40"/>
      <c r="CS477" s="39"/>
      <c r="CT477" s="38">
        <f t="shared" si="657"/>
        <v>66</v>
      </c>
      <c r="CU477" s="38">
        <f t="shared" si="658"/>
        <v>196</v>
      </c>
      <c r="CV477" s="38">
        <f t="shared" si="659"/>
        <v>118</v>
      </c>
      <c r="CW477" s="38">
        <f t="shared" si="660"/>
        <v>120</v>
      </c>
      <c r="CX477" s="38">
        <f t="shared" si="661"/>
        <v>110</v>
      </c>
      <c r="CY477" s="39">
        <f t="shared" si="662"/>
        <v>185</v>
      </c>
      <c r="CZ477" s="40">
        <f t="shared" si="663"/>
        <v>127</v>
      </c>
      <c r="DA477" s="40">
        <f t="shared" si="664"/>
        <v>131</v>
      </c>
      <c r="DB477" s="40">
        <f t="shared" si="665"/>
        <v>222</v>
      </c>
      <c r="DC477" s="40">
        <f t="shared" si="666"/>
        <v>138</v>
      </c>
      <c r="DD477" s="40">
        <f t="shared" si="667"/>
        <v>236</v>
      </c>
      <c r="DE477" s="40">
        <f t="shared" si="668"/>
        <v>181</v>
      </c>
      <c r="DF477" s="40">
        <f t="shared" si="669"/>
        <v>135</v>
      </c>
      <c r="DG477" s="40">
        <f t="shared" si="670"/>
        <v>184</v>
      </c>
      <c r="DH477" s="40">
        <f t="shared" si="671"/>
        <v>114</v>
      </c>
      <c r="DI477" s="40">
        <f t="shared" si="672"/>
        <v>170</v>
      </c>
      <c r="DJ477" s="40">
        <f t="shared" si="673"/>
        <v>106</v>
      </c>
      <c r="DK477" s="39">
        <f t="shared" si="674"/>
        <v>62</v>
      </c>
      <c r="DL477" s="40">
        <f t="shared" si="675"/>
        <v>71</v>
      </c>
      <c r="DM477" s="40">
        <f t="shared" si="676"/>
        <v>32</v>
      </c>
      <c r="DN477" s="40">
        <f t="shared" si="677"/>
        <v>0</v>
      </c>
      <c r="DO477" s="40">
        <f t="shared" si="678"/>
        <v>0</v>
      </c>
      <c r="DP477" s="40">
        <f t="shared" si="679"/>
        <v>1</v>
      </c>
      <c r="DQ477" s="40">
        <f t="shared" si="680"/>
        <v>2</v>
      </c>
      <c r="DR477" s="40">
        <f t="shared" si="685"/>
        <v>0</v>
      </c>
      <c r="DS477" s="40">
        <f t="shared" si="686"/>
        <v>2</v>
      </c>
      <c r="DT477" s="40">
        <f t="shared" si="681"/>
        <v>0</v>
      </c>
      <c r="DU477" s="40">
        <f t="shared" si="682"/>
        <v>0</v>
      </c>
      <c r="DV477" s="40">
        <f t="shared" si="683"/>
        <v>0</v>
      </c>
      <c r="DW477" s="40">
        <f t="shared" si="684"/>
        <v>0</v>
      </c>
    </row>
    <row r="478" spans="1:127">
      <c r="A478" s="22" t="s">
        <v>33</v>
      </c>
      <c r="B478" s="26">
        <v>4987176148841</v>
      </c>
      <c r="C478" s="22" t="s">
        <v>38</v>
      </c>
      <c r="D478" s="22" t="s">
        <v>38</v>
      </c>
      <c r="E478" s="22">
        <v>168154</v>
      </c>
      <c r="F478" s="80" t="s">
        <v>566</v>
      </c>
      <c r="G478" s="25">
        <v>205</v>
      </c>
      <c r="H478" s="38">
        <f t="shared" si="691"/>
        <v>37310</v>
      </c>
      <c r="I478" s="38">
        <f t="shared" si="692"/>
        <v>15990</v>
      </c>
      <c r="J478" s="38">
        <f t="shared" si="693"/>
        <v>14350</v>
      </c>
      <c r="K478" s="38">
        <f t="shared" si="694"/>
        <v>26240</v>
      </c>
      <c r="L478" s="38">
        <f t="shared" si="695"/>
        <v>33210</v>
      </c>
      <c r="M478" s="39">
        <f t="shared" si="696"/>
        <v>18655</v>
      </c>
      <c r="N478" s="40">
        <f t="shared" si="697"/>
        <v>34440</v>
      </c>
      <c r="O478" s="40">
        <f t="shared" si="698"/>
        <v>79130</v>
      </c>
      <c r="P478" s="40">
        <f t="shared" si="699"/>
        <v>28905</v>
      </c>
      <c r="Q478" s="40">
        <f t="shared" si="700"/>
        <v>32390</v>
      </c>
      <c r="R478" s="40">
        <f t="shared" si="701"/>
        <v>53710</v>
      </c>
      <c r="S478" s="40">
        <f t="shared" si="702"/>
        <v>19885</v>
      </c>
      <c r="T478" s="40">
        <f t="shared" si="703"/>
        <v>39565</v>
      </c>
      <c r="U478" s="40">
        <f t="shared" si="704"/>
        <v>26240</v>
      </c>
      <c r="V478" s="40">
        <f t="shared" si="705"/>
        <v>14145</v>
      </c>
      <c r="W478" s="40">
        <f t="shared" si="706"/>
        <v>39155</v>
      </c>
      <c r="X478" s="40">
        <f t="shared" si="707"/>
        <v>51250</v>
      </c>
      <c r="Y478" s="39">
        <f t="shared" si="708"/>
        <v>27470</v>
      </c>
      <c r="Z478" s="40">
        <f t="shared" si="709"/>
        <v>26240</v>
      </c>
      <c r="AA478" s="40">
        <f t="shared" si="710"/>
        <v>11275</v>
      </c>
      <c r="AB478" s="40">
        <f t="shared" si="711"/>
        <v>0</v>
      </c>
      <c r="AC478" s="40">
        <f t="shared" si="712"/>
        <v>0</v>
      </c>
      <c r="AD478" s="40">
        <f t="shared" si="713"/>
        <v>0</v>
      </c>
      <c r="AE478" s="40">
        <f t="shared" si="714"/>
        <v>205</v>
      </c>
      <c r="AF478" s="40">
        <f t="shared" si="715"/>
        <v>0</v>
      </c>
      <c r="AG478" s="40">
        <f t="shared" si="716"/>
        <v>205</v>
      </c>
      <c r="AH478" s="40">
        <f t="shared" si="687"/>
        <v>205</v>
      </c>
      <c r="AI478" s="40">
        <f t="shared" si="688"/>
        <v>0</v>
      </c>
      <c r="AJ478" s="40">
        <f t="shared" si="689"/>
        <v>0</v>
      </c>
      <c r="AK478" s="39">
        <f t="shared" si="690"/>
        <v>0</v>
      </c>
      <c r="AL478" s="38">
        <v>145</v>
      </c>
      <c r="AM478" s="38">
        <v>72</v>
      </c>
      <c r="AN478" s="38">
        <v>60</v>
      </c>
      <c r="AO478" s="38">
        <v>106</v>
      </c>
      <c r="AP478" s="38">
        <v>139</v>
      </c>
      <c r="AQ478" s="39">
        <v>78</v>
      </c>
      <c r="AR478" s="40">
        <v>154</v>
      </c>
      <c r="AS478" s="40">
        <v>319</v>
      </c>
      <c r="AT478" s="40">
        <v>128</v>
      </c>
      <c r="AU478" s="40">
        <v>143</v>
      </c>
      <c r="AV478" s="40">
        <v>221</v>
      </c>
      <c r="AW478" s="40">
        <v>90</v>
      </c>
      <c r="AX478" s="40">
        <v>164</v>
      </c>
      <c r="AY478" s="40">
        <v>116</v>
      </c>
      <c r="AZ478" s="40">
        <v>63</v>
      </c>
      <c r="BA478" s="40">
        <v>127</v>
      </c>
      <c r="BB478" s="40">
        <v>219</v>
      </c>
      <c r="BC478" s="39">
        <v>134</v>
      </c>
      <c r="BD478" s="40">
        <v>128</v>
      </c>
      <c r="BE478" s="40">
        <v>55</v>
      </c>
      <c r="BF478" s="40">
        <v>0</v>
      </c>
      <c r="BG478" s="40">
        <v>0</v>
      </c>
      <c r="BH478" s="40">
        <v>0</v>
      </c>
      <c r="BI478" s="40">
        <v>1</v>
      </c>
      <c r="BJ478" s="40">
        <v>0</v>
      </c>
      <c r="BK478" s="40">
        <v>1</v>
      </c>
      <c r="BL478" s="40">
        <v>1</v>
      </c>
      <c r="BM478" s="40">
        <v>0</v>
      </c>
      <c r="BN478" s="40"/>
      <c r="BO478" s="39"/>
      <c r="BP478" s="21">
        <v>37</v>
      </c>
      <c r="BQ478" s="21">
        <v>6</v>
      </c>
      <c r="BR478" s="21">
        <v>10</v>
      </c>
      <c r="BS478" s="21">
        <v>22</v>
      </c>
      <c r="BT478" s="21">
        <v>23</v>
      </c>
      <c r="BU478" s="42">
        <v>13</v>
      </c>
      <c r="BV478" s="21">
        <v>14</v>
      </c>
      <c r="BW478" s="21">
        <v>67</v>
      </c>
      <c r="BX478" s="21">
        <v>13</v>
      </c>
      <c r="BY478" s="21">
        <v>15</v>
      </c>
      <c r="BZ478" s="21">
        <v>41</v>
      </c>
      <c r="CA478" s="21">
        <v>7</v>
      </c>
      <c r="CB478" s="21">
        <v>29</v>
      </c>
      <c r="CC478" s="21">
        <v>12</v>
      </c>
      <c r="CD478" s="21">
        <v>6</v>
      </c>
      <c r="CE478" s="21">
        <v>64</v>
      </c>
      <c r="CF478" s="21">
        <v>31</v>
      </c>
      <c r="CG478" s="42">
        <v>0</v>
      </c>
      <c r="CH478" s="21">
        <v>0</v>
      </c>
      <c r="CI478" s="21">
        <v>0</v>
      </c>
      <c r="CJ478" s="21">
        <v>0</v>
      </c>
      <c r="CK478" s="21">
        <v>0</v>
      </c>
      <c r="CL478" s="21">
        <v>0</v>
      </c>
      <c r="CM478" s="21">
        <v>0</v>
      </c>
      <c r="CN478" s="21">
        <v>0</v>
      </c>
      <c r="CO478" s="21">
        <v>0</v>
      </c>
      <c r="CP478" s="21">
        <f t="shared" si="717"/>
        <v>0</v>
      </c>
      <c r="CQ478" s="343">
        <f t="shared" si="718"/>
        <v>0</v>
      </c>
      <c r="CR478" s="40"/>
      <c r="CS478" s="39"/>
      <c r="CT478" s="38">
        <f t="shared" si="657"/>
        <v>182</v>
      </c>
      <c r="CU478" s="38">
        <f t="shared" si="658"/>
        <v>78</v>
      </c>
      <c r="CV478" s="38">
        <f t="shared" si="659"/>
        <v>70</v>
      </c>
      <c r="CW478" s="38">
        <f t="shared" si="660"/>
        <v>128</v>
      </c>
      <c r="CX478" s="38">
        <f t="shared" si="661"/>
        <v>162</v>
      </c>
      <c r="CY478" s="39">
        <f t="shared" si="662"/>
        <v>91</v>
      </c>
      <c r="CZ478" s="40">
        <f t="shared" si="663"/>
        <v>168</v>
      </c>
      <c r="DA478" s="40">
        <f t="shared" si="664"/>
        <v>386</v>
      </c>
      <c r="DB478" s="40">
        <f t="shared" si="665"/>
        <v>141</v>
      </c>
      <c r="DC478" s="40">
        <f t="shared" si="666"/>
        <v>158</v>
      </c>
      <c r="DD478" s="40">
        <f t="shared" si="667"/>
        <v>262</v>
      </c>
      <c r="DE478" s="40">
        <f t="shared" si="668"/>
        <v>97</v>
      </c>
      <c r="DF478" s="40">
        <f t="shared" si="669"/>
        <v>193</v>
      </c>
      <c r="DG478" s="40">
        <f t="shared" si="670"/>
        <v>128</v>
      </c>
      <c r="DH478" s="40">
        <f t="shared" si="671"/>
        <v>69</v>
      </c>
      <c r="DI478" s="40">
        <f t="shared" si="672"/>
        <v>191</v>
      </c>
      <c r="DJ478" s="40">
        <f t="shared" si="673"/>
        <v>250</v>
      </c>
      <c r="DK478" s="39">
        <f t="shared" si="674"/>
        <v>134</v>
      </c>
      <c r="DL478" s="40">
        <f t="shared" si="675"/>
        <v>128</v>
      </c>
      <c r="DM478" s="40">
        <f t="shared" si="676"/>
        <v>55</v>
      </c>
      <c r="DN478" s="40">
        <f t="shared" si="677"/>
        <v>0</v>
      </c>
      <c r="DO478" s="40">
        <f t="shared" si="678"/>
        <v>0</v>
      </c>
      <c r="DP478" s="40">
        <f t="shared" si="679"/>
        <v>0</v>
      </c>
      <c r="DQ478" s="40">
        <f t="shared" si="680"/>
        <v>1</v>
      </c>
      <c r="DR478" s="40">
        <f t="shared" si="685"/>
        <v>0</v>
      </c>
      <c r="DS478" s="40">
        <f t="shared" si="686"/>
        <v>1</v>
      </c>
      <c r="DT478" s="40">
        <f t="shared" si="681"/>
        <v>1</v>
      </c>
      <c r="DU478" s="40">
        <f t="shared" si="682"/>
        <v>0</v>
      </c>
      <c r="DV478" s="40">
        <f t="shared" si="683"/>
        <v>0</v>
      </c>
      <c r="DW478" s="40">
        <f t="shared" si="684"/>
        <v>0</v>
      </c>
    </row>
    <row r="479" spans="1:127">
      <c r="A479" s="22" t="s">
        <v>33</v>
      </c>
      <c r="B479" s="26">
        <v>4987176148834</v>
      </c>
      <c r="C479" s="22" t="s">
        <v>38</v>
      </c>
      <c r="D479" s="22" t="s">
        <v>38</v>
      </c>
      <c r="E479" s="22">
        <v>168199</v>
      </c>
      <c r="F479" s="80" t="s">
        <v>567</v>
      </c>
      <c r="G479" s="25">
        <v>205</v>
      </c>
      <c r="H479" s="38">
        <f t="shared" si="691"/>
        <v>85895</v>
      </c>
      <c r="I479" s="38">
        <f t="shared" si="692"/>
        <v>42845</v>
      </c>
      <c r="J479" s="38">
        <f t="shared" si="693"/>
        <v>30750</v>
      </c>
      <c r="K479" s="38">
        <f t="shared" si="694"/>
        <v>150470</v>
      </c>
      <c r="L479" s="38">
        <f t="shared" si="695"/>
        <v>112955</v>
      </c>
      <c r="M479" s="39">
        <f t="shared" si="696"/>
        <v>43460</v>
      </c>
      <c r="N479" s="40">
        <f t="shared" si="697"/>
        <v>251945</v>
      </c>
      <c r="O479" s="40">
        <f t="shared" si="698"/>
        <v>204180</v>
      </c>
      <c r="P479" s="40">
        <f t="shared" si="699"/>
        <v>58835</v>
      </c>
      <c r="Q479" s="40">
        <f t="shared" si="700"/>
        <v>58220</v>
      </c>
      <c r="R479" s="40">
        <f t="shared" si="701"/>
        <v>105370</v>
      </c>
      <c r="S479" s="40">
        <f t="shared" si="702"/>
        <v>117055</v>
      </c>
      <c r="T479" s="40">
        <f t="shared" si="703"/>
        <v>277775</v>
      </c>
      <c r="U479" s="40">
        <f t="shared" si="704"/>
        <v>115415</v>
      </c>
      <c r="V479" s="40">
        <f t="shared" si="705"/>
        <v>69905</v>
      </c>
      <c r="W479" s="40">
        <f t="shared" si="706"/>
        <v>102295</v>
      </c>
      <c r="X479" s="40">
        <f t="shared" si="707"/>
        <v>134275</v>
      </c>
      <c r="Y479" s="39">
        <f t="shared" si="708"/>
        <v>67445</v>
      </c>
      <c r="Z479" s="40">
        <f t="shared" si="709"/>
        <v>82615</v>
      </c>
      <c r="AA479" s="40">
        <f t="shared" si="710"/>
        <v>31775</v>
      </c>
      <c r="AB479" s="40">
        <f t="shared" si="711"/>
        <v>615</v>
      </c>
      <c r="AC479" s="40">
        <f t="shared" si="712"/>
        <v>0</v>
      </c>
      <c r="AD479" s="40">
        <f t="shared" si="713"/>
        <v>0</v>
      </c>
      <c r="AE479" s="40">
        <f t="shared" si="714"/>
        <v>205</v>
      </c>
      <c r="AF479" s="40">
        <f t="shared" si="715"/>
        <v>0</v>
      </c>
      <c r="AG479" s="40">
        <f t="shared" si="716"/>
        <v>205</v>
      </c>
      <c r="AH479" s="40">
        <f t="shared" si="687"/>
        <v>0</v>
      </c>
      <c r="AI479" s="40">
        <f t="shared" si="688"/>
        <v>0</v>
      </c>
      <c r="AJ479" s="40">
        <f t="shared" si="689"/>
        <v>0</v>
      </c>
      <c r="AK479" s="39">
        <f t="shared" si="690"/>
        <v>0</v>
      </c>
      <c r="AL479" s="38">
        <v>357</v>
      </c>
      <c r="AM479" s="38">
        <v>200</v>
      </c>
      <c r="AN479" s="38">
        <v>131</v>
      </c>
      <c r="AO479" s="38">
        <v>703</v>
      </c>
      <c r="AP479" s="38">
        <v>491</v>
      </c>
      <c r="AQ479" s="39">
        <v>192</v>
      </c>
      <c r="AR479" s="40">
        <v>1197</v>
      </c>
      <c r="AS479" s="40">
        <v>884</v>
      </c>
      <c r="AT479" s="40">
        <v>269</v>
      </c>
      <c r="AU479" s="40">
        <v>245</v>
      </c>
      <c r="AV479" s="40">
        <v>416</v>
      </c>
      <c r="AW479" s="40">
        <v>512</v>
      </c>
      <c r="AX479" s="40">
        <v>1322</v>
      </c>
      <c r="AY479" s="40">
        <v>546</v>
      </c>
      <c r="AZ479" s="40">
        <v>333</v>
      </c>
      <c r="BA479" s="40">
        <v>353</v>
      </c>
      <c r="BB479" s="40">
        <v>535</v>
      </c>
      <c r="BC479" s="39">
        <v>329</v>
      </c>
      <c r="BD479" s="40">
        <v>403</v>
      </c>
      <c r="BE479" s="40">
        <v>155</v>
      </c>
      <c r="BF479" s="40">
        <v>3</v>
      </c>
      <c r="BG479" s="40">
        <v>0</v>
      </c>
      <c r="BH479" s="40">
        <v>0</v>
      </c>
      <c r="BI479" s="40">
        <v>1</v>
      </c>
      <c r="BJ479" s="40">
        <v>0</v>
      </c>
      <c r="BK479" s="40">
        <v>1</v>
      </c>
      <c r="BL479" s="40">
        <v>0</v>
      </c>
      <c r="BM479" s="40">
        <v>0</v>
      </c>
      <c r="BN479" s="40"/>
      <c r="BO479" s="39"/>
      <c r="BP479" s="21">
        <v>62</v>
      </c>
      <c r="BQ479" s="21">
        <v>9</v>
      </c>
      <c r="BR479" s="21">
        <v>19</v>
      </c>
      <c r="BS479" s="21">
        <v>31</v>
      </c>
      <c r="BT479" s="21">
        <v>60</v>
      </c>
      <c r="BU479" s="42">
        <v>20</v>
      </c>
      <c r="BV479" s="21">
        <v>32</v>
      </c>
      <c r="BW479" s="21">
        <v>112</v>
      </c>
      <c r="BX479" s="21">
        <v>18</v>
      </c>
      <c r="BY479" s="21">
        <v>39</v>
      </c>
      <c r="BZ479" s="21">
        <v>98</v>
      </c>
      <c r="CA479" s="21">
        <v>59</v>
      </c>
      <c r="CB479" s="21">
        <v>33</v>
      </c>
      <c r="CC479" s="21">
        <v>17</v>
      </c>
      <c r="CD479" s="21">
        <v>8</v>
      </c>
      <c r="CE479" s="21">
        <v>146</v>
      </c>
      <c r="CF479" s="21">
        <v>120</v>
      </c>
      <c r="CG479" s="42">
        <v>0</v>
      </c>
      <c r="CH479" s="21">
        <v>0</v>
      </c>
      <c r="CI479" s="21">
        <v>0</v>
      </c>
      <c r="CJ479" s="21">
        <v>0</v>
      </c>
      <c r="CK479" s="21">
        <v>0</v>
      </c>
      <c r="CL479" s="21">
        <v>0</v>
      </c>
      <c r="CM479" s="21">
        <v>0</v>
      </c>
      <c r="CN479" s="21">
        <v>0</v>
      </c>
      <c r="CO479" s="21">
        <v>0</v>
      </c>
      <c r="CP479" s="21">
        <f t="shared" si="717"/>
        <v>0</v>
      </c>
      <c r="CQ479" s="343">
        <f t="shared" si="718"/>
        <v>0</v>
      </c>
      <c r="CR479" s="40"/>
      <c r="CS479" s="39"/>
      <c r="CT479" s="38">
        <f t="shared" ref="CT479:CT542" si="719">AL479+BP479</f>
        <v>419</v>
      </c>
      <c r="CU479" s="38">
        <f t="shared" ref="CU479:CU542" si="720">AM479+BQ479</f>
        <v>209</v>
      </c>
      <c r="CV479" s="38">
        <f t="shared" ref="CV479:CV542" si="721">AN479+BR479</f>
        <v>150</v>
      </c>
      <c r="CW479" s="38">
        <f t="shared" ref="CW479:CW542" si="722">AO479+BS479</f>
        <v>734</v>
      </c>
      <c r="CX479" s="38">
        <f t="shared" ref="CX479:CX542" si="723">AP479+BT479</f>
        <v>551</v>
      </c>
      <c r="CY479" s="39">
        <f t="shared" ref="CY479:CY542" si="724">AQ479+BU479</f>
        <v>212</v>
      </c>
      <c r="CZ479" s="40">
        <f t="shared" ref="CZ479:CZ542" si="725">AR479+BV479</f>
        <v>1229</v>
      </c>
      <c r="DA479" s="40">
        <f t="shared" ref="DA479:DA542" si="726">AS479+BW479</f>
        <v>996</v>
      </c>
      <c r="DB479" s="40">
        <f t="shared" ref="DB479:DB542" si="727">AT479+BX479</f>
        <v>287</v>
      </c>
      <c r="DC479" s="40">
        <f t="shared" ref="DC479:DC542" si="728">AU479+BY479</f>
        <v>284</v>
      </c>
      <c r="DD479" s="40">
        <f t="shared" ref="DD479:DD542" si="729">AV479+BZ479</f>
        <v>514</v>
      </c>
      <c r="DE479" s="40">
        <f t="shared" ref="DE479:DE542" si="730">AW479+CA479</f>
        <v>571</v>
      </c>
      <c r="DF479" s="40">
        <f t="shared" ref="DF479:DF542" si="731">AX479+CB479</f>
        <v>1355</v>
      </c>
      <c r="DG479" s="40">
        <f t="shared" ref="DG479:DG542" si="732">AY479+CC479</f>
        <v>563</v>
      </c>
      <c r="DH479" s="40">
        <f t="shared" ref="DH479:DH542" si="733">AZ479+CD479</f>
        <v>341</v>
      </c>
      <c r="DI479" s="40">
        <f t="shared" ref="DI479:DI542" si="734">BA479+CE479</f>
        <v>499</v>
      </c>
      <c r="DJ479" s="40">
        <f t="shared" ref="DJ479:DJ542" si="735">BB479+CF479</f>
        <v>655</v>
      </c>
      <c r="DK479" s="39">
        <f t="shared" ref="DK479:DK542" si="736">BC479+CG479</f>
        <v>329</v>
      </c>
      <c r="DL479" s="40">
        <f t="shared" ref="DL479:DL542" si="737">BD479+CH479</f>
        <v>403</v>
      </c>
      <c r="DM479" s="40">
        <f t="shared" ref="DM479:DM542" si="738">BE479+CI479</f>
        <v>155</v>
      </c>
      <c r="DN479" s="40">
        <f t="shared" ref="DN479:DN542" si="739">BF479+CJ479</f>
        <v>3</v>
      </c>
      <c r="DO479" s="40">
        <f t="shared" ref="DO479:DO542" si="740">BG479+CK479</f>
        <v>0</v>
      </c>
      <c r="DP479" s="40">
        <f t="shared" ref="DP479:DP542" si="741">BH479+CL479</f>
        <v>0</v>
      </c>
      <c r="DQ479" s="40">
        <f t="shared" ref="DQ479:DQ542" si="742">BI479+CM479</f>
        <v>1</v>
      </c>
      <c r="DR479" s="40">
        <f t="shared" si="685"/>
        <v>0</v>
      </c>
      <c r="DS479" s="40">
        <f t="shared" si="686"/>
        <v>1</v>
      </c>
      <c r="DT479" s="40">
        <f t="shared" ref="DT479:DT542" si="743">BL479+CP479</f>
        <v>0</v>
      </c>
      <c r="DU479" s="40">
        <f t="shared" ref="DU479:DU542" si="744">BM479+CQ479</f>
        <v>0</v>
      </c>
      <c r="DV479" s="40">
        <f t="shared" ref="DV479:DV542" si="745">BN479+CR479</f>
        <v>0</v>
      </c>
      <c r="DW479" s="40">
        <f t="shared" ref="DW479:DW542" si="746">BO479+CS479</f>
        <v>0</v>
      </c>
    </row>
    <row r="480" spans="1:127">
      <c r="A480" s="22" t="s">
        <v>33</v>
      </c>
      <c r="B480" s="26">
        <v>4987176148858</v>
      </c>
      <c r="C480" s="22" t="s">
        <v>38</v>
      </c>
      <c r="D480" s="22" t="s">
        <v>38</v>
      </c>
      <c r="E480" s="22">
        <v>168178</v>
      </c>
      <c r="F480" s="80" t="s">
        <v>568</v>
      </c>
      <c r="G480" s="25">
        <v>146.30000000000001</v>
      </c>
      <c r="H480" s="38">
        <f t="shared" si="691"/>
        <v>17263.400000000001</v>
      </c>
      <c r="I480" s="38">
        <f t="shared" si="692"/>
        <v>46230.8</v>
      </c>
      <c r="J480" s="38">
        <f t="shared" si="693"/>
        <v>29260.000000000004</v>
      </c>
      <c r="K480" s="38">
        <f t="shared" si="694"/>
        <v>27504.400000000001</v>
      </c>
      <c r="L480" s="38">
        <f t="shared" si="695"/>
        <v>33795.300000000003</v>
      </c>
      <c r="M480" s="39">
        <f t="shared" si="696"/>
        <v>43158.5</v>
      </c>
      <c r="N480" s="40">
        <f t="shared" si="697"/>
        <v>35843.5</v>
      </c>
      <c r="O480" s="40">
        <f t="shared" si="698"/>
        <v>35550.9</v>
      </c>
      <c r="P480" s="40">
        <f t="shared" si="699"/>
        <v>53984.700000000004</v>
      </c>
      <c r="Q480" s="40">
        <f t="shared" si="700"/>
        <v>37745.4</v>
      </c>
      <c r="R480" s="40">
        <f t="shared" si="701"/>
        <v>57934.8</v>
      </c>
      <c r="S480" s="40">
        <f t="shared" si="702"/>
        <v>41549.200000000004</v>
      </c>
      <c r="T480" s="40">
        <f t="shared" si="703"/>
        <v>33795.300000000003</v>
      </c>
      <c r="U480" s="40">
        <f t="shared" si="704"/>
        <v>96558.000000000015</v>
      </c>
      <c r="V480" s="40">
        <f t="shared" si="705"/>
        <v>57057.000000000007</v>
      </c>
      <c r="W480" s="40">
        <f t="shared" si="706"/>
        <v>63201.600000000006</v>
      </c>
      <c r="X480" s="40">
        <f t="shared" si="707"/>
        <v>46377.100000000006</v>
      </c>
      <c r="Y480" s="39">
        <f t="shared" si="708"/>
        <v>17702.300000000003</v>
      </c>
      <c r="Z480" s="40">
        <f t="shared" si="709"/>
        <v>16385.600000000002</v>
      </c>
      <c r="AA480" s="40">
        <f t="shared" si="710"/>
        <v>9802.1</v>
      </c>
      <c r="AB480" s="40">
        <f t="shared" si="711"/>
        <v>292.60000000000002</v>
      </c>
      <c r="AC480" s="40">
        <f t="shared" si="712"/>
        <v>0</v>
      </c>
      <c r="AD480" s="40">
        <f t="shared" si="713"/>
        <v>0</v>
      </c>
      <c r="AE480" s="40">
        <f t="shared" si="714"/>
        <v>0</v>
      </c>
      <c r="AF480" s="40">
        <f t="shared" si="715"/>
        <v>0</v>
      </c>
      <c r="AG480" s="40">
        <f t="shared" si="716"/>
        <v>146.30000000000001</v>
      </c>
      <c r="AH480" s="40">
        <f t="shared" si="687"/>
        <v>0</v>
      </c>
      <c r="AI480" s="40">
        <f t="shared" si="688"/>
        <v>0</v>
      </c>
      <c r="AJ480" s="40">
        <f t="shared" si="689"/>
        <v>0</v>
      </c>
      <c r="AK480" s="39">
        <f t="shared" si="690"/>
        <v>0</v>
      </c>
      <c r="AL480" s="38">
        <v>93</v>
      </c>
      <c r="AM480" s="38">
        <v>259</v>
      </c>
      <c r="AN480" s="38">
        <v>128</v>
      </c>
      <c r="AO480" s="38">
        <v>138</v>
      </c>
      <c r="AP480" s="38">
        <v>176</v>
      </c>
      <c r="AQ480" s="39">
        <v>191</v>
      </c>
      <c r="AR480" s="40">
        <v>176</v>
      </c>
      <c r="AS480" s="40">
        <v>182</v>
      </c>
      <c r="AT480" s="40">
        <v>254</v>
      </c>
      <c r="AU480" s="40">
        <v>177</v>
      </c>
      <c r="AV480" s="40">
        <v>206</v>
      </c>
      <c r="AW480" s="40">
        <v>260</v>
      </c>
      <c r="AX480" s="40">
        <v>188</v>
      </c>
      <c r="AY480" s="40">
        <v>514</v>
      </c>
      <c r="AZ480" s="40">
        <v>330</v>
      </c>
      <c r="BA480" s="40">
        <v>306</v>
      </c>
      <c r="BB480" s="40">
        <v>316</v>
      </c>
      <c r="BC480" s="39">
        <v>121</v>
      </c>
      <c r="BD480" s="40">
        <v>112</v>
      </c>
      <c r="BE480" s="40">
        <v>67</v>
      </c>
      <c r="BF480" s="40">
        <v>2</v>
      </c>
      <c r="BG480" s="40">
        <v>0</v>
      </c>
      <c r="BH480" s="40">
        <v>0</v>
      </c>
      <c r="BI480" s="40">
        <v>0</v>
      </c>
      <c r="BJ480" s="40">
        <v>0</v>
      </c>
      <c r="BK480" s="40">
        <v>1</v>
      </c>
      <c r="BL480" s="40">
        <v>0</v>
      </c>
      <c r="BM480" s="40">
        <v>0</v>
      </c>
      <c r="BN480" s="40"/>
      <c r="BO480" s="39"/>
      <c r="BP480" s="21">
        <v>25</v>
      </c>
      <c r="BQ480" s="21">
        <v>57</v>
      </c>
      <c r="BR480" s="21">
        <v>72</v>
      </c>
      <c r="BS480" s="21">
        <v>50</v>
      </c>
      <c r="BT480" s="21">
        <v>55</v>
      </c>
      <c r="BU480" s="42">
        <v>104</v>
      </c>
      <c r="BV480" s="21">
        <v>69</v>
      </c>
      <c r="BW480" s="21">
        <v>61</v>
      </c>
      <c r="BX480" s="21">
        <v>115</v>
      </c>
      <c r="BY480" s="21">
        <v>81</v>
      </c>
      <c r="BZ480" s="21">
        <v>190</v>
      </c>
      <c r="CA480" s="21">
        <v>24</v>
      </c>
      <c r="CB480" s="21">
        <v>43</v>
      </c>
      <c r="CC480" s="21">
        <v>146</v>
      </c>
      <c r="CD480" s="21">
        <v>60</v>
      </c>
      <c r="CE480" s="21">
        <v>126</v>
      </c>
      <c r="CF480" s="21">
        <v>1</v>
      </c>
      <c r="CG480" s="42">
        <v>0</v>
      </c>
      <c r="CH480" s="21">
        <v>0</v>
      </c>
      <c r="CI480" s="21">
        <v>0</v>
      </c>
      <c r="CJ480" s="21">
        <v>0</v>
      </c>
      <c r="CK480" s="21">
        <v>0</v>
      </c>
      <c r="CL480" s="21">
        <v>0</v>
      </c>
      <c r="CM480" s="21">
        <v>0</v>
      </c>
      <c r="CN480" s="21">
        <v>0</v>
      </c>
      <c r="CO480" s="21">
        <v>0</v>
      </c>
      <c r="CP480" s="21">
        <f t="shared" si="717"/>
        <v>0</v>
      </c>
      <c r="CQ480" s="343">
        <f t="shared" si="718"/>
        <v>0</v>
      </c>
      <c r="CR480" s="40"/>
      <c r="CS480" s="39"/>
      <c r="CT480" s="38">
        <f t="shared" si="719"/>
        <v>118</v>
      </c>
      <c r="CU480" s="38">
        <f t="shared" si="720"/>
        <v>316</v>
      </c>
      <c r="CV480" s="38">
        <f t="shared" si="721"/>
        <v>200</v>
      </c>
      <c r="CW480" s="38">
        <f t="shared" si="722"/>
        <v>188</v>
      </c>
      <c r="CX480" s="38">
        <f t="shared" si="723"/>
        <v>231</v>
      </c>
      <c r="CY480" s="39">
        <f t="shared" si="724"/>
        <v>295</v>
      </c>
      <c r="CZ480" s="40">
        <f t="shared" si="725"/>
        <v>245</v>
      </c>
      <c r="DA480" s="40">
        <f t="shared" si="726"/>
        <v>243</v>
      </c>
      <c r="DB480" s="40">
        <f t="shared" si="727"/>
        <v>369</v>
      </c>
      <c r="DC480" s="40">
        <f t="shared" si="728"/>
        <v>258</v>
      </c>
      <c r="DD480" s="40">
        <f t="shared" si="729"/>
        <v>396</v>
      </c>
      <c r="DE480" s="40">
        <f t="shared" si="730"/>
        <v>284</v>
      </c>
      <c r="DF480" s="40">
        <f t="shared" si="731"/>
        <v>231</v>
      </c>
      <c r="DG480" s="40">
        <f t="shared" si="732"/>
        <v>660</v>
      </c>
      <c r="DH480" s="40">
        <f t="shared" si="733"/>
        <v>390</v>
      </c>
      <c r="DI480" s="40">
        <f t="shared" si="734"/>
        <v>432</v>
      </c>
      <c r="DJ480" s="40">
        <f t="shared" si="735"/>
        <v>317</v>
      </c>
      <c r="DK480" s="39">
        <f t="shared" si="736"/>
        <v>121</v>
      </c>
      <c r="DL480" s="40">
        <f t="shared" si="737"/>
        <v>112</v>
      </c>
      <c r="DM480" s="40">
        <f t="shared" si="738"/>
        <v>67</v>
      </c>
      <c r="DN480" s="40">
        <f t="shared" si="739"/>
        <v>2</v>
      </c>
      <c r="DO480" s="40">
        <f t="shared" si="740"/>
        <v>0</v>
      </c>
      <c r="DP480" s="40">
        <f t="shared" si="741"/>
        <v>0</v>
      </c>
      <c r="DQ480" s="40">
        <f t="shared" si="742"/>
        <v>0</v>
      </c>
      <c r="DR480" s="40">
        <f t="shared" si="685"/>
        <v>0</v>
      </c>
      <c r="DS480" s="40">
        <f t="shared" si="686"/>
        <v>1</v>
      </c>
      <c r="DT480" s="40">
        <f t="shared" si="743"/>
        <v>0</v>
      </c>
      <c r="DU480" s="40">
        <f t="shared" si="744"/>
        <v>0</v>
      </c>
      <c r="DV480" s="40">
        <f t="shared" si="745"/>
        <v>0</v>
      </c>
      <c r="DW480" s="40">
        <f t="shared" si="746"/>
        <v>0</v>
      </c>
    </row>
    <row r="481" spans="1:127">
      <c r="A481" s="22" t="s">
        <v>33</v>
      </c>
      <c r="B481" s="26">
        <v>4987176314284</v>
      </c>
      <c r="C481" s="22" t="s">
        <v>38</v>
      </c>
      <c r="D481" s="22" t="s">
        <v>38</v>
      </c>
      <c r="E481" s="22">
        <v>264507</v>
      </c>
      <c r="F481" s="80" t="s">
        <v>569</v>
      </c>
      <c r="G481" s="25">
        <v>195.71</v>
      </c>
      <c r="H481" s="38">
        <f t="shared" si="691"/>
        <v>0</v>
      </c>
      <c r="I481" s="38">
        <f t="shared" si="692"/>
        <v>0</v>
      </c>
      <c r="J481" s="38">
        <f t="shared" si="693"/>
        <v>0</v>
      </c>
      <c r="K481" s="38">
        <f t="shared" si="694"/>
        <v>0</v>
      </c>
      <c r="L481" s="38">
        <f t="shared" si="695"/>
        <v>0</v>
      </c>
      <c r="M481" s="39">
        <f t="shared" si="696"/>
        <v>0</v>
      </c>
      <c r="N481" s="40">
        <f t="shared" si="697"/>
        <v>0</v>
      </c>
      <c r="O481" s="40">
        <f t="shared" si="698"/>
        <v>0</v>
      </c>
      <c r="P481" s="40">
        <f t="shared" si="699"/>
        <v>0</v>
      </c>
      <c r="Q481" s="40">
        <f t="shared" si="700"/>
        <v>0</v>
      </c>
      <c r="R481" s="40">
        <f t="shared" si="701"/>
        <v>0</v>
      </c>
      <c r="S481" s="40">
        <f t="shared" si="702"/>
        <v>0</v>
      </c>
      <c r="T481" s="40">
        <f t="shared" si="703"/>
        <v>0</v>
      </c>
      <c r="U481" s="40">
        <f t="shared" si="704"/>
        <v>0</v>
      </c>
      <c r="V481" s="40">
        <f t="shared" si="705"/>
        <v>0</v>
      </c>
      <c r="W481" s="40">
        <f t="shared" si="706"/>
        <v>0</v>
      </c>
      <c r="X481" s="40">
        <f t="shared" si="707"/>
        <v>36989.19</v>
      </c>
      <c r="Y481" s="39">
        <f t="shared" si="708"/>
        <v>33662.120000000003</v>
      </c>
      <c r="Z481" s="40">
        <f t="shared" si="709"/>
        <v>45209.01</v>
      </c>
      <c r="AA481" s="40">
        <f t="shared" si="710"/>
        <v>42077.65</v>
      </c>
      <c r="AB481" s="40">
        <f t="shared" si="711"/>
        <v>37576.32</v>
      </c>
      <c r="AC481" s="40">
        <f t="shared" si="712"/>
        <v>236417.68000000002</v>
      </c>
      <c r="AD481" s="40">
        <f t="shared" si="713"/>
        <v>323900.05</v>
      </c>
      <c r="AE481" s="40">
        <f t="shared" si="714"/>
        <v>48536.08</v>
      </c>
      <c r="AF481" s="40">
        <f t="shared" si="715"/>
        <v>292390.74</v>
      </c>
      <c r="AG481" s="40">
        <f t="shared" si="716"/>
        <v>228002.15000000002</v>
      </c>
      <c r="AH481" s="40">
        <f t="shared" si="687"/>
        <v>45013.3</v>
      </c>
      <c r="AI481" s="40">
        <f t="shared" si="688"/>
        <v>63279.566666666666</v>
      </c>
      <c r="AJ481" s="40">
        <f t="shared" si="689"/>
        <v>0</v>
      </c>
      <c r="AK481" s="39">
        <f t="shared" si="690"/>
        <v>0</v>
      </c>
      <c r="AL481" s="38">
        <v>0</v>
      </c>
      <c r="AM481" s="38">
        <v>0</v>
      </c>
      <c r="AN481" s="38">
        <v>0</v>
      </c>
      <c r="AO481" s="38">
        <v>0</v>
      </c>
      <c r="AP481" s="38">
        <v>0</v>
      </c>
      <c r="AQ481" s="39">
        <v>0</v>
      </c>
      <c r="AR481" s="40">
        <v>0</v>
      </c>
      <c r="AS481" s="40">
        <v>0</v>
      </c>
      <c r="AT481" s="40">
        <v>0</v>
      </c>
      <c r="AU481" s="40">
        <v>0</v>
      </c>
      <c r="AV481" s="40">
        <v>0</v>
      </c>
      <c r="AW481" s="40">
        <v>0</v>
      </c>
      <c r="AX481" s="40">
        <v>0</v>
      </c>
      <c r="AY481" s="40">
        <v>0</v>
      </c>
      <c r="AZ481" s="40">
        <v>0</v>
      </c>
      <c r="BA481" s="40">
        <v>0</v>
      </c>
      <c r="BB481" s="40">
        <v>122</v>
      </c>
      <c r="BC481" s="39">
        <v>162</v>
      </c>
      <c r="BD481" s="40">
        <v>175</v>
      </c>
      <c r="BE481" s="40">
        <v>196</v>
      </c>
      <c r="BF481" s="40">
        <v>177</v>
      </c>
      <c r="BG481" s="40">
        <v>1097</v>
      </c>
      <c r="BH481" s="40">
        <v>1640</v>
      </c>
      <c r="BI481" s="40">
        <v>241</v>
      </c>
      <c r="BJ481" s="40">
        <v>1405</v>
      </c>
      <c r="BK481" s="40">
        <v>1153</v>
      </c>
      <c r="BL481" s="40">
        <v>218</v>
      </c>
      <c r="BM481" s="40">
        <v>286</v>
      </c>
      <c r="BN481" s="40"/>
      <c r="BO481" s="39"/>
      <c r="BP481" s="21">
        <v>0</v>
      </c>
      <c r="BQ481" s="21">
        <v>0</v>
      </c>
      <c r="BR481" s="21">
        <v>0</v>
      </c>
      <c r="BS481" s="21">
        <v>0</v>
      </c>
      <c r="BT481" s="21">
        <v>0</v>
      </c>
      <c r="BU481" s="42">
        <v>0</v>
      </c>
      <c r="BV481" s="21">
        <v>0</v>
      </c>
      <c r="BW481" s="21">
        <v>0</v>
      </c>
      <c r="BX481" s="21">
        <v>0</v>
      </c>
      <c r="BY481" s="21">
        <v>0</v>
      </c>
      <c r="BZ481" s="21">
        <v>0</v>
      </c>
      <c r="CA481" s="21">
        <v>0</v>
      </c>
      <c r="CB481" s="21">
        <v>0</v>
      </c>
      <c r="CC481" s="21">
        <v>0</v>
      </c>
      <c r="CD481" s="21">
        <v>0</v>
      </c>
      <c r="CE481" s="21">
        <v>0</v>
      </c>
      <c r="CF481" s="21">
        <v>67</v>
      </c>
      <c r="CG481" s="42">
        <v>10</v>
      </c>
      <c r="CH481" s="21">
        <v>56</v>
      </c>
      <c r="CI481" s="21">
        <v>19</v>
      </c>
      <c r="CJ481" s="21">
        <v>15</v>
      </c>
      <c r="CK481" s="21">
        <v>111</v>
      </c>
      <c r="CL481" s="21">
        <v>15</v>
      </c>
      <c r="CM481" s="21">
        <v>7</v>
      </c>
      <c r="CN481" s="21">
        <v>89</v>
      </c>
      <c r="CO481" s="21">
        <v>12</v>
      </c>
      <c r="CP481" s="21">
        <f t="shared" si="717"/>
        <v>12</v>
      </c>
      <c r="CQ481" s="343">
        <f t="shared" si="718"/>
        <v>37.333333333333336</v>
      </c>
      <c r="CR481" s="40"/>
      <c r="CS481" s="39"/>
      <c r="CT481" s="38">
        <f t="shared" si="719"/>
        <v>0</v>
      </c>
      <c r="CU481" s="38">
        <f t="shared" si="720"/>
        <v>0</v>
      </c>
      <c r="CV481" s="38">
        <f t="shared" si="721"/>
        <v>0</v>
      </c>
      <c r="CW481" s="38">
        <f t="shared" si="722"/>
        <v>0</v>
      </c>
      <c r="CX481" s="38">
        <f t="shared" si="723"/>
        <v>0</v>
      </c>
      <c r="CY481" s="39">
        <f t="shared" si="724"/>
        <v>0</v>
      </c>
      <c r="CZ481" s="40">
        <f t="shared" si="725"/>
        <v>0</v>
      </c>
      <c r="DA481" s="40">
        <f t="shared" si="726"/>
        <v>0</v>
      </c>
      <c r="DB481" s="40">
        <f t="shared" si="727"/>
        <v>0</v>
      </c>
      <c r="DC481" s="40">
        <f t="shared" si="728"/>
        <v>0</v>
      </c>
      <c r="DD481" s="40">
        <f t="shared" si="729"/>
        <v>0</v>
      </c>
      <c r="DE481" s="40">
        <f t="shared" si="730"/>
        <v>0</v>
      </c>
      <c r="DF481" s="40">
        <f t="shared" si="731"/>
        <v>0</v>
      </c>
      <c r="DG481" s="40">
        <f t="shared" si="732"/>
        <v>0</v>
      </c>
      <c r="DH481" s="40">
        <f t="shared" si="733"/>
        <v>0</v>
      </c>
      <c r="DI481" s="40">
        <f t="shared" si="734"/>
        <v>0</v>
      </c>
      <c r="DJ481" s="40">
        <f t="shared" si="735"/>
        <v>189</v>
      </c>
      <c r="DK481" s="39">
        <f t="shared" si="736"/>
        <v>172</v>
      </c>
      <c r="DL481" s="40">
        <f t="shared" si="737"/>
        <v>231</v>
      </c>
      <c r="DM481" s="40">
        <f t="shared" si="738"/>
        <v>215</v>
      </c>
      <c r="DN481" s="40">
        <f t="shared" si="739"/>
        <v>192</v>
      </c>
      <c r="DO481" s="40">
        <f t="shared" si="740"/>
        <v>1208</v>
      </c>
      <c r="DP481" s="40">
        <f t="shared" si="741"/>
        <v>1655</v>
      </c>
      <c r="DQ481" s="40">
        <f t="shared" si="742"/>
        <v>248</v>
      </c>
      <c r="DR481" s="40">
        <f t="shared" si="685"/>
        <v>1494</v>
      </c>
      <c r="DS481" s="40">
        <f t="shared" si="686"/>
        <v>1165</v>
      </c>
      <c r="DT481" s="40">
        <f t="shared" si="743"/>
        <v>230</v>
      </c>
      <c r="DU481" s="40">
        <f t="shared" si="744"/>
        <v>323.33333333333331</v>
      </c>
      <c r="DV481" s="40">
        <f t="shared" si="745"/>
        <v>0</v>
      </c>
      <c r="DW481" s="40">
        <f t="shared" si="746"/>
        <v>0</v>
      </c>
    </row>
    <row r="482" spans="1:127">
      <c r="A482" s="22" t="s">
        <v>33</v>
      </c>
      <c r="B482" s="26">
        <v>4987176116079</v>
      </c>
      <c r="C482" s="22" t="s">
        <v>38</v>
      </c>
      <c r="D482" s="22" t="s">
        <v>38</v>
      </c>
      <c r="E482" s="22">
        <v>359403</v>
      </c>
      <c r="F482" s="80" t="s">
        <v>550</v>
      </c>
      <c r="G482" s="25">
        <v>136.5</v>
      </c>
      <c r="H482" s="38">
        <f t="shared" si="691"/>
        <v>5869.5</v>
      </c>
      <c r="I482" s="38">
        <f t="shared" si="692"/>
        <v>20065.5</v>
      </c>
      <c r="J482" s="38">
        <f t="shared" si="693"/>
        <v>11739</v>
      </c>
      <c r="K482" s="38">
        <f t="shared" si="694"/>
        <v>10374</v>
      </c>
      <c r="L482" s="38">
        <f t="shared" si="695"/>
        <v>16107</v>
      </c>
      <c r="M482" s="39">
        <f t="shared" si="696"/>
        <v>15561</v>
      </c>
      <c r="N482" s="40">
        <f t="shared" si="697"/>
        <v>0</v>
      </c>
      <c r="O482" s="40">
        <f t="shared" si="698"/>
        <v>0</v>
      </c>
      <c r="P482" s="40">
        <f t="shared" si="699"/>
        <v>0</v>
      </c>
      <c r="Q482" s="40">
        <f t="shared" si="700"/>
        <v>0</v>
      </c>
      <c r="R482" s="40">
        <f t="shared" si="701"/>
        <v>0</v>
      </c>
      <c r="S482" s="40">
        <f t="shared" si="702"/>
        <v>1501.5</v>
      </c>
      <c r="T482" s="40">
        <f t="shared" si="703"/>
        <v>3412.5</v>
      </c>
      <c r="U482" s="40">
        <f t="shared" si="704"/>
        <v>9009</v>
      </c>
      <c r="V482" s="40">
        <f t="shared" si="705"/>
        <v>2320.5</v>
      </c>
      <c r="W482" s="40">
        <f t="shared" si="706"/>
        <v>10647</v>
      </c>
      <c r="X482" s="40">
        <f t="shared" si="707"/>
        <v>0</v>
      </c>
      <c r="Y482" s="39">
        <f t="shared" si="708"/>
        <v>0</v>
      </c>
      <c r="Z482" s="40">
        <f t="shared" si="709"/>
        <v>0</v>
      </c>
      <c r="AA482" s="40">
        <f t="shared" si="710"/>
        <v>0</v>
      </c>
      <c r="AB482" s="40">
        <f t="shared" si="711"/>
        <v>0</v>
      </c>
      <c r="AC482" s="40">
        <f t="shared" si="712"/>
        <v>0</v>
      </c>
      <c r="AD482" s="40">
        <f t="shared" si="713"/>
        <v>0</v>
      </c>
      <c r="AE482" s="40">
        <f t="shared" si="714"/>
        <v>0</v>
      </c>
      <c r="AF482" s="40">
        <f t="shared" si="715"/>
        <v>0</v>
      </c>
      <c r="AG482" s="40">
        <f t="shared" si="716"/>
        <v>409.5</v>
      </c>
      <c r="AH482" s="40">
        <f t="shared" si="687"/>
        <v>0</v>
      </c>
      <c r="AI482" s="40">
        <f t="shared" si="688"/>
        <v>0</v>
      </c>
      <c r="AJ482" s="40">
        <f t="shared" si="689"/>
        <v>0</v>
      </c>
      <c r="AK482" s="39">
        <f t="shared" si="690"/>
        <v>0</v>
      </c>
      <c r="AL482" s="38">
        <v>43</v>
      </c>
      <c r="AM482" s="38">
        <v>147</v>
      </c>
      <c r="AN482" s="38">
        <v>86</v>
      </c>
      <c r="AO482" s="38">
        <v>76</v>
      </c>
      <c r="AP482" s="38">
        <v>118</v>
      </c>
      <c r="AQ482" s="39">
        <v>114</v>
      </c>
      <c r="AR482" s="40">
        <v>0</v>
      </c>
      <c r="AS482" s="40">
        <v>0</v>
      </c>
      <c r="AT482" s="40">
        <v>0</v>
      </c>
      <c r="AU482" s="40">
        <v>0</v>
      </c>
      <c r="AV482" s="40">
        <v>0</v>
      </c>
      <c r="AW482" s="40">
        <v>0</v>
      </c>
      <c r="AX482" s="40">
        <v>0</v>
      </c>
      <c r="AY482" s="40">
        <v>0</v>
      </c>
      <c r="AZ482" s="40">
        <v>0</v>
      </c>
      <c r="BA482" s="40">
        <v>0</v>
      </c>
      <c r="BB482" s="40">
        <v>0</v>
      </c>
      <c r="BC482" s="39">
        <v>0</v>
      </c>
      <c r="BD482" s="40">
        <v>0</v>
      </c>
      <c r="BE482" s="40">
        <v>0</v>
      </c>
      <c r="BF482" s="40">
        <v>0</v>
      </c>
      <c r="BG482" s="40">
        <v>0</v>
      </c>
      <c r="BH482" s="40">
        <v>0</v>
      </c>
      <c r="BI482" s="40">
        <v>0</v>
      </c>
      <c r="BJ482" s="40">
        <v>0</v>
      </c>
      <c r="BK482" s="40">
        <v>3</v>
      </c>
      <c r="BL482" s="40">
        <v>0</v>
      </c>
      <c r="BM482" s="40">
        <v>0</v>
      </c>
      <c r="BN482" s="40"/>
      <c r="BO482" s="39"/>
      <c r="BP482" s="21">
        <v>0</v>
      </c>
      <c r="BQ482" s="21">
        <v>0</v>
      </c>
      <c r="BR482" s="21">
        <v>0</v>
      </c>
      <c r="BS482" s="21">
        <v>0</v>
      </c>
      <c r="BT482" s="21">
        <v>0</v>
      </c>
      <c r="BU482" s="42">
        <v>0</v>
      </c>
      <c r="BV482" s="21">
        <v>0</v>
      </c>
      <c r="BW482" s="21">
        <v>0</v>
      </c>
      <c r="BX482" s="21">
        <v>0</v>
      </c>
      <c r="BY482" s="21">
        <v>0</v>
      </c>
      <c r="BZ482" s="21">
        <v>0</v>
      </c>
      <c r="CA482" s="21">
        <v>11</v>
      </c>
      <c r="CB482" s="21">
        <v>25</v>
      </c>
      <c r="CC482" s="21">
        <v>66</v>
      </c>
      <c r="CD482" s="21">
        <v>17</v>
      </c>
      <c r="CE482" s="21">
        <v>78</v>
      </c>
      <c r="CF482" s="21">
        <v>0</v>
      </c>
      <c r="CG482" s="42">
        <v>0</v>
      </c>
      <c r="CH482" s="21">
        <v>0</v>
      </c>
      <c r="CI482" s="21">
        <v>0</v>
      </c>
      <c r="CJ482" s="21">
        <v>0</v>
      </c>
      <c r="CK482" s="21">
        <v>0</v>
      </c>
      <c r="CL482" s="21">
        <v>0</v>
      </c>
      <c r="CM482" s="21">
        <v>0</v>
      </c>
      <c r="CN482" s="21">
        <v>0</v>
      </c>
      <c r="CO482" s="21">
        <v>0</v>
      </c>
      <c r="CP482" s="21">
        <f t="shared" si="717"/>
        <v>0</v>
      </c>
      <c r="CQ482" s="343">
        <f t="shared" si="718"/>
        <v>0</v>
      </c>
      <c r="CR482" s="40"/>
      <c r="CS482" s="39"/>
      <c r="CT482" s="38">
        <f t="shared" si="719"/>
        <v>43</v>
      </c>
      <c r="CU482" s="38">
        <f t="shared" si="720"/>
        <v>147</v>
      </c>
      <c r="CV482" s="38">
        <f t="shared" si="721"/>
        <v>86</v>
      </c>
      <c r="CW482" s="38">
        <f t="shared" si="722"/>
        <v>76</v>
      </c>
      <c r="CX482" s="38">
        <f t="shared" si="723"/>
        <v>118</v>
      </c>
      <c r="CY482" s="39">
        <f t="shared" si="724"/>
        <v>114</v>
      </c>
      <c r="CZ482" s="40">
        <f t="shared" si="725"/>
        <v>0</v>
      </c>
      <c r="DA482" s="40">
        <f t="shared" si="726"/>
        <v>0</v>
      </c>
      <c r="DB482" s="40">
        <f t="shared" si="727"/>
        <v>0</v>
      </c>
      <c r="DC482" s="40">
        <f t="shared" si="728"/>
        <v>0</v>
      </c>
      <c r="DD482" s="40">
        <f t="shared" si="729"/>
        <v>0</v>
      </c>
      <c r="DE482" s="40">
        <f t="shared" si="730"/>
        <v>11</v>
      </c>
      <c r="DF482" s="40">
        <f t="shared" si="731"/>
        <v>25</v>
      </c>
      <c r="DG482" s="40">
        <f t="shared" si="732"/>
        <v>66</v>
      </c>
      <c r="DH482" s="40">
        <f t="shared" si="733"/>
        <v>17</v>
      </c>
      <c r="DI482" s="40">
        <f t="shared" si="734"/>
        <v>78</v>
      </c>
      <c r="DJ482" s="40">
        <f t="shared" si="735"/>
        <v>0</v>
      </c>
      <c r="DK482" s="39">
        <f t="shared" si="736"/>
        <v>0</v>
      </c>
      <c r="DL482" s="40">
        <f t="shared" si="737"/>
        <v>0</v>
      </c>
      <c r="DM482" s="40">
        <f t="shared" si="738"/>
        <v>0</v>
      </c>
      <c r="DN482" s="40">
        <f t="shared" si="739"/>
        <v>0</v>
      </c>
      <c r="DO482" s="40">
        <f t="shared" si="740"/>
        <v>0</v>
      </c>
      <c r="DP482" s="40">
        <f t="shared" si="741"/>
        <v>0</v>
      </c>
      <c r="DQ482" s="40">
        <f t="shared" si="742"/>
        <v>0</v>
      </c>
      <c r="DR482" s="40">
        <f t="shared" si="685"/>
        <v>0</v>
      </c>
      <c r="DS482" s="40">
        <f t="shared" si="686"/>
        <v>3</v>
      </c>
      <c r="DT482" s="40">
        <f t="shared" si="743"/>
        <v>0</v>
      </c>
      <c r="DU482" s="40">
        <f t="shared" si="744"/>
        <v>0</v>
      </c>
      <c r="DV482" s="40">
        <f t="shared" si="745"/>
        <v>0</v>
      </c>
      <c r="DW482" s="40">
        <f t="shared" si="746"/>
        <v>0</v>
      </c>
    </row>
    <row r="483" spans="1:127">
      <c r="A483" s="22" t="s">
        <v>33</v>
      </c>
      <c r="B483" s="26">
        <v>4987176314802</v>
      </c>
      <c r="C483" s="22" t="s">
        <v>38</v>
      </c>
      <c r="D483" s="22" t="s">
        <v>38</v>
      </c>
      <c r="E483" s="22">
        <v>264515</v>
      </c>
      <c r="F483" s="80" t="s">
        <v>570</v>
      </c>
      <c r="G483" s="25">
        <v>156.63</v>
      </c>
      <c r="H483" s="38">
        <f t="shared" si="691"/>
        <v>0</v>
      </c>
      <c r="I483" s="38">
        <f t="shared" si="692"/>
        <v>0</v>
      </c>
      <c r="J483" s="38">
        <f t="shared" si="693"/>
        <v>0</v>
      </c>
      <c r="K483" s="38">
        <f t="shared" si="694"/>
        <v>0</v>
      </c>
      <c r="L483" s="38">
        <f t="shared" si="695"/>
        <v>0</v>
      </c>
      <c r="M483" s="39">
        <f t="shared" si="696"/>
        <v>0</v>
      </c>
      <c r="N483" s="40">
        <f t="shared" si="697"/>
        <v>0</v>
      </c>
      <c r="O483" s="40">
        <f t="shared" si="698"/>
        <v>0</v>
      </c>
      <c r="P483" s="40">
        <f t="shared" si="699"/>
        <v>0</v>
      </c>
      <c r="Q483" s="40">
        <f t="shared" si="700"/>
        <v>0</v>
      </c>
      <c r="R483" s="40">
        <f t="shared" si="701"/>
        <v>0</v>
      </c>
      <c r="S483" s="40">
        <f t="shared" si="702"/>
        <v>0</v>
      </c>
      <c r="T483" s="40">
        <f t="shared" si="703"/>
        <v>0</v>
      </c>
      <c r="U483" s="40">
        <f t="shared" si="704"/>
        <v>0</v>
      </c>
      <c r="V483" s="40">
        <f t="shared" si="705"/>
        <v>0</v>
      </c>
      <c r="W483" s="40">
        <f t="shared" si="706"/>
        <v>313.26</v>
      </c>
      <c r="X483" s="40">
        <f t="shared" si="707"/>
        <v>6735.09</v>
      </c>
      <c r="Y483" s="39">
        <f t="shared" si="708"/>
        <v>12687.029999999999</v>
      </c>
      <c r="Z483" s="40">
        <f t="shared" si="709"/>
        <v>18952.23</v>
      </c>
      <c r="AA483" s="40">
        <f t="shared" si="710"/>
        <v>23651.13</v>
      </c>
      <c r="AB483" s="40">
        <f t="shared" si="711"/>
        <v>28663.29</v>
      </c>
      <c r="AC483" s="40">
        <f t="shared" si="712"/>
        <v>32422.41</v>
      </c>
      <c r="AD483" s="40">
        <f t="shared" si="713"/>
        <v>40567.17</v>
      </c>
      <c r="AE483" s="40">
        <f t="shared" si="714"/>
        <v>44326.29</v>
      </c>
      <c r="AF483" s="40">
        <f t="shared" si="715"/>
        <v>22398.09</v>
      </c>
      <c r="AG483" s="40">
        <f t="shared" si="716"/>
        <v>34458.6</v>
      </c>
      <c r="AH483" s="40">
        <f t="shared" si="687"/>
        <v>37591.199999999997</v>
      </c>
      <c r="AI483" s="40">
        <f t="shared" si="688"/>
        <v>69456.703333333338</v>
      </c>
      <c r="AJ483" s="40">
        <f t="shared" si="689"/>
        <v>0</v>
      </c>
      <c r="AK483" s="39">
        <f t="shared" si="690"/>
        <v>0</v>
      </c>
      <c r="AL483" s="38">
        <v>0</v>
      </c>
      <c r="AM483" s="38">
        <v>0</v>
      </c>
      <c r="AN483" s="38">
        <v>0</v>
      </c>
      <c r="AO483" s="38">
        <v>0</v>
      </c>
      <c r="AP483" s="38">
        <v>0</v>
      </c>
      <c r="AQ483" s="39">
        <v>0</v>
      </c>
      <c r="AR483" s="40">
        <v>0</v>
      </c>
      <c r="AS483" s="40">
        <v>0</v>
      </c>
      <c r="AT483" s="40">
        <v>0</v>
      </c>
      <c r="AU483" s="40">
        <v>0</v>
      </c>
      <c r="AV483" s="40">
        <v>0</v>
      </c>
      <c r="AW483" s="40">
        <v>0</v>
      </c>
      <c r="AX483" s="40">
        <v>0</v>
      </c>
      <c r="AY483" s="40">
        <v>0</v>
      </c>
      <c r="AZ483" s="40">
        <v>0</v>
      </c>
      <c r="BA483" s="40">
        <v>0</v>
      </c>
      <c r="BB483" s="40">
        <v>2</v>
      </c>
      <c r="BC483" s="39">
        <v>50</v>
      </c>
      <c r="BD483" s="40">
        <v>114</v>
      </c>
      <c r="BE483" s="40">
        <v>121</v>
      </c>
      <c r="BF483" s="40">
        <v>154</v>
      </c>
      <c r="BG483" s="40">
        <v>159</v>
      </c>
      <c r="BH483" s="40">
        <v>178</v>
      </c>
      <c r="BI483" s="40">
        <v>264</v>
      </c>
      <c r="BJ483" s="40">
        <v>119</v>
      </c>
      <c r="BK483" s="40">
        <v>193</v>
      </c>
      <c r="BL483" s="40">
        <v>213</v>
      </c>
      <c r="BM483" s="40">
        <v>411</v>
      </c>
      <c r="BN483" s="40"/>
      <c r="BO483" s="39"/>
      <c r="BP483" s="21">
        <v>0</v>
      </c>
      <c r="BQ483" s="21">
        <v>0</v>
      </c>
      <c r="BR483" s="21">
        <v>0</v>
      </c>
      <c r="BS483" s="21">
        <v>0</v>
      </c>
      <c r="BT483" s="21">
        <v>0</v>
      </c>
      <c r="BU483" s="42">
        <v>0</v>
      </c>
      <c r="BV483" s="21">
        <v>0</v>
      </c>
      <c r="BW483" s="21">
        <v>0</v>
      </c>
      <c r="BX483" s="21">
        <v>0</v>
      </c>
      <c r="BY483" s="21">
        <v>0</v>
      </c>
      <c r="BZ483" s="21">
        <v>0</v>
      </c>
      <c r="CA483" s="21">
        <v>0</v>
      </c>
      <c r="CB483" s="21">
        <v>0</v>
      </c>
      <c r="CC483" s="21">
        <v>0</v>
      </c>
      <c r="CD483" s="21">
        <v>0</v>
      </c>
      <c r="CE483" s="21">
        <v>2</v>
      </c>
      <c r="CF483" s="21">
        <v>41</v>
      </c>
      <c r="CG483" s="42">
        <v>31</v>
      </c>
      <c r="CH483" s="21">
        <v>7</v>
      </c>
      <c r="CI483" s="21">
        <v>30</v>
      </c>
      <c r="CJ483" s="21">
        <v>29</v>
      </c>
      <c r="CK483" s="21">
        <v>48</v>
      </c>
      <c r="CL483" s="21">
        <v>81</v>
      </c>
      <c r="CM483" s="21">
        <v>19</v>
      </c>
      <c r="CN483" s="21">
        <v>24</v>
      </c>
      <c r="CO483" s="21">
        <v>27</v>
      </c>
      <c r="CP483" s="21">
        <f t="shared" si="717"/>
        <v>27</v>
      </c>
      <c r="CQ483" s="343">
        <f t="shared" si="718"/>
        <v>32.444444444444443</v>
      </c>
      <c r="CR483" s="40"/>
      <c r="CS483" s="39"/>
      <c r="CT483" s="38">
        <f t="shared" si="719"/>
        <v>0</v>
      </c>
      <c r="CU483" s="38">
        <f t="shared" si="720"/>
        <v>0</v>
      </c>
      <c r="CV483" s="38">
        <f t="shared" si="721"/>
        <v>0</v>
      </c>
      <c r="CW483" s="38">
        <f t="shared" si="722"/>
        <v>0</v>
      </c>
      <c r="CX483" s="38">
        <f t="shared" si="723"/>
        <v>0</v>
      </c>
      <c r="CY483" s="39">
        <f t="shared" si="724"/>
        <v>0</v>
      </c>
      <c r="CZ483" s="40">
        <f t="shared" si="725"/>
        <v>0</v>
      </c>
      <c r="DA483" s="40">
        <f t="shared" si="726"/>
        <v>0</v>
      </c>
      <c r="DB483" s="40">
        <f t="shared" si="727"/>
        <v>0</v>
      </c>
      <c r="DC483" s="40">
        <f t="shared" si="728"/>
        <v>0</v>
      </c>
      <c r="DD483" s="40">
        <f t="shared" si="729"/>
        <v>0</v>
      </c>
      <c r="DE483" s="40">
        <f t="shared" si="730"/>
        <v>0</v>
      </c>
      <c r="DF483" s="40">
        <f t="shared" si="731"/>
        <v>0</v>
      </c>
      <c r="DG483" s="40">
        <f t="shared" si="732"/>
        <v>0</v>
      </c>
      <c r="DH483" s="40">
        <f t="shared" si="733"/>
        <v>0</v>
      </c>
      <c r="DI483" s="40">
        <f t="shared" si="734"/>
        <v>2</v>
      </c>
      <c r="DJ483" s="40">
        <f t="shared" si="735"/>
        <v>43</v>
      </c>
      <c r="DK483" s="39">
        <f t="shared" si="736"/>
        <v>81</v>
      </c>
      <c r="DL483" s="40">
        <f t="shared" si="737"/>
        <v>121</v>
      </c>
      <c r="DM483" s="40">
        <f t="shared" si="738"/>
        <v>151</v>
      </c>
      <c r="DN483" s="40">
        <f t="shared" si="739"/>
        <v>183</v>
      </c>
      <c r="DO483" s="40">
        <f t="shared" si="740"/>
        <v>207</v>
      </c>
      <c r="DP483" s="40">
        <f t="shared" si="741"/>
        <v>259</v>
      </c>
      <c r="DQ483" s="40">
        <f t="shared" si="742"/>
        <v>283</v>
      </c>
      <c r="DR483" s="40">
        <f t="shared" si="685"/>
        <v>143</v>
      </c>
      <c r="DS483" s="40">
        <f t="shared" si="686"/>
        <v>220</v>
      </c>
      <c r="DT483" s="40">
        <f t="shared" si="743"/>
        <v>240</v>
      </c>
      <c r="DU483" s="40">
        <f t="shared" si="744"/>
        <v>443.44444444444446</v>
      </c>
      <c r="DV483" s="40">
        <f t="shared" si="745"/>
        <v>0</v>
      </c>
      <c r="DW483" s="40">
        <f t="shared" si="746"/>
        <v>0</v>
      </c>
    </row>
    <row r="484" spans="1:127">
      <c r="A484" s="22" t="s">
        <v>33</v>
      </c>
      <c r="B484" s="26">
        <v>4987176314772</v>
      </c>
      <c r="C484" s="22" t="s">
        <v>38</v>
      </c>
      <c r="D484" s="22" t="s">
        <v>38</v>
      </c>
      <c r="E484" s="22">
        <v>264563</v>
      </c>
      <c r="F484" s="80" t="s">
        <v>571</v>
      </c>
      <c r="G484" s="25">
        <v>156.63</v>
      </c>
      <c r="H484" s="38">
        <f t="shared" si="691"/>
        <v>0</v>
      </c>
      <c r="I484" s="38">
        <f t="shared" si="692"/>
        <v>0</v>
      </c>
      <c r="J484" s="38">
        <f t="shared" si="693"/>
        <v>0</v>
      </c>
      <c r="K484" s="38">
        <f t="shared" si="694"/>
        <v>0</v>
      </c>
      <c r="L484" s="38">
        <f t="shared" si="695"/>
        <v>0</v>
      </c>
      <c r="M484" s="39">
        <f t="shared" si="696"/>
        <v>0</v>
      </c>
      <c r="N484" s="40">
        <f t="shared" si="697"/>
        <v>0</v>
      </c>
      <c r="O484" s="40">
        <f t="shared" si="698"/>
        <v>0</v>
      </c>
      <c r="P484" s="40">
        <f t="shared" si="699"/>
        <v>0</v>
      </c>
      <c r="Q484" s="40">
        <f t="shared" si="700"/>
        <v>0</v>
      </c>
      <c r="R484" s="40">
        <f t="shared" si="701"/>
        <v>0</v>
      </c>
      <c r="S484" s="40">
        <f t="shared" si="702"/>
        <v>0</v>
      </c>
      <c r="T484" s="40">
        <f t="shared" si="703"/>
        <v>0</v>
      </c>
      <c r="U484" s="40">
        <f t="shared" si="704"/>
        <v>0</v>
      </c>
      <c r="V484" s="40">
        <f t="shared" si="705"/>
        <v>0</v>
      </c>
      <c r="W484" s="40">
        <f t="shared" si="706"/>
        <v>313.26</v>
      </c>
      <c r="X484" s="40">
        <f t="shared" si="707"/>
        <v>11903.88</v>
      </c>
      <c r="Y484" s="39">
        <f t="shared" si="708"/>
        <v>36494.79</v>
      </c>
      <c r="Z484" s="40">
        <f t="shared" si="709"/>
        <v>48868.56</v>
      </c>
      <c r="AA484" s="40">
        <f t="shared" si="710"/>
        <v>46832.369999999995</v>
      </c>
      <c r="AB484" s="40">
        <f t="shared" si="711"/>
        <v>66411.12</v>
      </c>
      <c r="AC484" s="40">
        <f t="shared" si="712"/>
        <v>70796.759999999995</v>
      </c>
      <c r="AD484" s="40">
        <f t="shared" si="713"/>
        <v>62495.369999999995</v>
      </c>
      <c r="AE484" s="40">
        <f t="shared" si="714"/>
        <v>94761.15</v>
      </c>
      <c r="AF484" s="40">
        <f t="shared" si="715"/>
        <v>74399.25</v>
      </c>
      <c r="AG484" s="40">
        <f t="shared" si="716"/>
        <v>94917.78</v>
      </c>
      <c r="AH484" s="40">
        <f t="shared" si="687"/>
        <v>96953.97</v>
      </c>
      <c r="AI484" s="40">
        <f t="shared" si="688"/>
        <v>147963.13999999998</v>
      </c>
      <c r="AJ484" s="40">
        <f t="shared" si="689"/>
        <v>0</v>
      </c>
      <c r="AK484" s="39">
        <f t="shared" si="690"/>
        <v>0</v>
      </c>
      <c r="AL484" s="38">
        <v>0</v>
      </c>
      <c r="AM484" s="38">
        <v>0</v>
      </c>
      <c r="AN484" s="38">
        <v>0</v>
      </c>
      <c r="AO484" s="38">
        <v>0</v>
      </c>
      <c r="AP484" s="38">
        <v>0</v>
      </c>
      <c r="AQ484" s="39">
        <v>0</v>
      </c>
      <c r="AR484" s="40">
        <v>0</v>
      </c>
      <c r="AS484" s="40">
        <v>0</v>
      </c>
      <c r="AT484" s="40">
        <v>0</v>
      </c>
      <c r="AU484" s="40">
        <v>0</v>
      </c>
      <c r="AV484" s="40">
        <v>0</v>
      </c>
      <c r="AW484" s="40">
        <v>0</v>
      </c>
      <c r="AX484" s="40">
        <v>0</v>
      </c>
      <c r="AY484" s="40">
        <v>0</v>
      </c>
      <c r="AZ484" s="40">
        <v>0</v>
      </c>
      <c r="BA484" s="40">
        <v>0</v>
      </c>
      <c r="BB484" s="40">
        <v>18</v>
      </c>
      <c r="BC484" s="39">
        <v>145</v>
      </c>
      <c r="BD484" s="40">
        <v>296</v>
      </c>
      <c r="BE484" s="40">
        <v>255</v>
      </c>
      <c r="BF484" s="40">
        <v>380</v>
      </c>
      <c r="BG484" s="40">
        <v>390</v>
      </c>
      <c r="BH484" s="40">
        <v>303</v>
      </c>
      <c r="BI484" s="40">
        <v>574</v>
      </c>
      <c r="BJ484" s="40">
        <v>443</v>
      </c>
      <c r="BK484" s="40">
        <v>563</v>
      </c>
      <c r="BL484" s="40">
        <v>576</v>
      </c>
      <c r="BM484" s="40">
        <v>899</v>
      </c>
      <c r="BN484" s="40"/>
      <c r="BO484" s="39"/>
      <c r="BP484" s="21">
        <v>0</v>
      </c>
      <c r="BQ484" s="21">
        <v>0</v>
      </c>
      <c r="BR484" s="21">
        <v>0</v>
      </c>
      <c r="BS484" s="21">
        <v>0</v>
      </c>
      <c r="BT484" s="21">
        <v>0</v>
      </c>
      <c r="BU484" s="42">
        <v>0</v>
      </c>
      <c r="BV484" s="21">
        <v>0</v>
      </c>
      <c r="BW484" s="21">
        <v>0</v>
      </c>
      <c r="BX484" s="21">
        <v>0</v>
      </c>
      <c r="BY484" s="21">
        <v>0</v>
      </c>
      <c r="BZ484" s="21">
        <v>0</v>
      </c>
      <c r="CA484" s="21">
        <v>0</v>
      </c>
      <c r="CB484" s="21">
        <v>0</v>
      </c>
      <c r="CC484" s="21">
        <v>0</v>
      </c>
      <c r="CD484" s="21">
        <v>0</v>
      </c>
      <c r="CE484" s="21">
        <v>2</v>
      </c>
      <c r="CF484" s="21">
        <v>58</v>
      </c>
      <c r="CG484" s="42">
        <v>88</v>
      </c>
      <c r="CH484" s="21">
        <v>16</v>
      </c>
      <c r="CI484" s="21">
        <v>44</v>
      </c>
      <c r="CJ484" s="21">
        <v>44</v>
      </c>
      <c r="CK484" s="21">
        <v>62</v>
      </c>
      <c r="CL484" s="21">
        <v>96</v>
      </c>
      <c r="CM484" s="21">
        <v>31</v>
      </c>
      <c r="CN484" s="21">
        <v>32</v>
      </c>
      <c r="CO484" s="21">
        <v>43</v>
      </c>
      <c r="CP484" s="21">
        <f t="shared" si="717"/>
        <v>43</v>
      </c>
      <c r="CQ484" s="343">
        <f t="shared" si="718"/>
        <v>45.666666666666664</v>
      </c>
      <c r="CR484" s="40"/>
      <c r="CS484" s="39"/>
      <c r="CT484" s="38">
        <f t="shared" si="719"/>
        <v>0</v>
      </c>
      <c r="CU484" s="38">
        <f t="shared" si="720"/>
        <v>0</v>
      </c>
      <c r="CV484" s="38">
        <f t="shared" si="721"/>
        <v>0</v>
      </c>
      <c r="CW484" s="38">
        <f t="shared" si="722"/>
        <v>0</v>
      </c>
      <c r="CX484" s="38">
        <f t="shared" si="723"/>
        <v>0</v>
      </c>
      <c r="CY484" s="39">
        <f t="shared" si="724"/>
        <v>0</v>
      </c>
      <c r="CZ484" s="40">
        <f t="shared" si="725"/>
        <v>0</v>
      </c>
      <c r="DA484" s="40">
        <f t="shared" si="726"/>
        <v>0</v>
      </c>
      <c r="DB484" s="40">
        <f t="shared" si="727"/>
        <v>0</v>
      </c>
      <c r="DC484" s="40">
        <f t="shared" si="728"/>
        <v>0</v>
      </c>
      <c r="DD484" s="40">
        <f t="shared" si="729"/>
        <v>0</v>
      </c>
      <c r="DE484" s="40">
        <f t="shared" si="730"/>
        <v>0</v>
      </c>
      <c r="DF484" s="40">
        <f t="shared" si="731"/>
        <v>0</v>
      </c>
      <c r="DG484" s="40">
        <f t="shared" si="732"/>
        <v>0</v>
      </c>
      <c r="DH484" s="40">
        <f t="shared" si="733"/>
        <v>0</v>
      </c>
      <c r="DI484" s="40">
        <f t="shared" si="734"/>
        <v>2</v>
      </c>
      <c r="DJ484" s="40">
        <f t="shared" si="735"/>
        <v>76</v>
      </c>
      <c r="DK484" s="39">
        <f t="shared" si="736"/>
        <v>233</v>
      </c>
      <c r="DL484" s="40">
        <f t="shared" si="737"/>
        <v>312</v>
      </c>
      <c r="DM484" s="40">
        <f t="shared" si="738"/>
        <v>299</v>
      </c>
      <c r="DN484" s="40">
        <f t="shared" si="739"/>
        <v>424</v>
      </c>
      <c r="DO484" s="40">
        <f t="shared" si="740"/>
        <v>452</v>
      </c>
      <c r="DP484" s="40">
        <f t="shared" si="741"/>
        <v>399</v>
      </c>
      <c r="DQ484" s="40">
        <f t="shared" si="742"/>
        <v>605</v>
      </c>
      <c r="DR484" s="40">
        <f t="shared" si="685"/>
        <v>475</v>
      </c>
      <c r="DS484" s="40">
        <f t="shared" si="686"/>
        <v>606</v>
      </c>
      <c r="DT484" s="40">
        <f t="shared" si="743"/>
        <v>619</v>
      </c>
      <c r="DU484" s="40">
        <f t="shared" si="744"/>
        <v>944.66666666666663</v>
      </c>
      <c r="DV484" s="40">
        <f t="shared" si="745"/>
        <v>0</v>
      </c>
      <c r="DW484" s="40">
        <f t="shared" si="746"/>
        <v>0</v>
      </c>
    </row>
    <row r="485" spans="1:127">
      <c r="A485" s="22" t="s">
        <v>33</v>
      </c>
      <c r="B485" s="26">
        <v>4987176314222</v>
      </c>
      <c r="C485" s="22" t="s">
        <v>38</v>
      </c>
      <c r="D485" s="22" t="s">
        <v>38</v>
      </c>
      <c r="E485" s="22">
        <v>264577</v>
      </c>
      <c r="F485" s="80" t="s">
        <v>572</v>
      </c>
      <c r="G485" s="25">
        <v>195.71</v>
      </c>
      <c r="H485" s="38">
        <f t="shared" si="691"/>
        <v>0</v>
      </c>
      <c r="I485" s="38">
        <f t="shared" si="692"/>
        <v>0</v>
      </c>
      <c r="J485" s="38">
        <f t="shared" si="693"/>
        <v>0</v>
      </c>
      <c r="K485" s="38">
        <f t="shared" si="694"/>
        <v>0</v>
      </c>
      <c r="L485" s="38">
        <f t="shared" si="695"/>
        <v>0</v>
      </c>
      <c r="M485" s="39">
        <f t="shared" si="696"/>
        <v>0</v>
      </c>
      <c r="N485" s="40">
        <f t="shared" si="697"/>
        <v>0</v>
      </c>
      <c r="O485" s="40">
        <f t="shared" si="698"/>
        <v>0</v>
      </c>
      <c r="P485" s="40">
        <f t="shared" si="699"/>
        <v>0</v>
      </c>
      <c r="Q485" s="40">
        <f t="shared" si="700"/>
        <v>0</v>
      </c>
      <c r="R485" s="40">
        <f t="shared" si="701"/>
        <v>0</v>
      </c>
      <c r="S485" s="40">
        <f t="shared" si="702"/>
        <v>0</v>
      </c>
      <c r="T485" s="40">
        <f t="shared" si="703"/>
        <v>0</v>
      </c>
      <c r="U485" s="40">
        <f t="shared" si="704"/>
        <v>0</v>
      </c>
      <c r="V485" s="40">
        <f t="shared" si="705"/>
        <v>0</v>
      </c>
      <c r="W485" s="40">
        <f t="shared" si="706"/>
        <v>195.71</v>
      </c>
      <c r="X485" s="40">
        <f t="shared" si="707"/>
        <v>101769.2</v>
      </c>
      <c r="Y485" s="39">
        <f t="shared" si="708"/>
        <v>68889.919999999998</v>
      </c>
      <c r="Z485" s="40">
        <f t="shared" si="709"/>
        <v>87873.790000000008</v>
      </c>
      <c r="AA485" s="40">
        <f t="shared" si="710"/>
        <v>79066.84</v>
      </c>
      <c r="AB485" s="40">
        <f t="shared" si="711"/>
        <v>145021.11000000002</v>
      </c>
      <c r="AC485" s="40">
        <f t="shared" si="712"/>
        <v>355996.49</v>
      </c>
      <c r="AD485" s="40">
        <f t="shared" si="713"/>
        <v>448958.74</v>
      </c>
      <c r="AE485" s="40">
        <f t="shared" si="714"/>
        <v>82002.490000000005</v>
      </c>
      <c r="AF485" s="40">
        <f t="shared" si="715"/>
        <v>493580.62</v>
      </c>
      <c r="AG485" s="40">
        <f t="shared" si="716"/>
        <v>336034.07</v>
      </c>
      <c r="AH485" s="40">
        <f t="shared" si="687"/>
        <v>77892.58</v>
      </c>
      <c r="AI485" s="40">
        <f t="shared" si="688"/>
        <v>87156.186666666661</v>
      </c>
      <c r="AJ485" s="40">
        <f t="shared" si="689"/>
        <v>0</v>
      </c>
      <c r="AK485" s="39">
        <f t="shared" si="690"/>
        <v>0</v>
      </c>
      <c r="AL485" s="38">
        <v>0</v>
      </c>
      <c r="AM485" s="38">
        <v>0</v>
      </c>
      <c r="AN485" s="38">
        <v>0</v>
      </c>
      <c r="AO485" s="38">
        <v>0</v>
      </c>
      <c r="AP485" s="38">
        <v>0</v>
      </c>
      <c r="AQ485" s="39">
        <v>0</v>
      </c>
      <c r="AR485" s="40">
        <v>0</v>
      </c>
      <c r="AS485" s="40">
        <v>0</v>
      </c>
      <c r="AT485" s="40">
        <v>0</v>
      </c>
      <c r="AU485" s="40">
        <v>0</v>
      </c>
      <c r="AV485" s="40">
        <v>0</v>
      </c>
      <c r="AW485" s="40">
        <v>0</v>
      </c>
      <c r="AX485" s="40">
        <v>0</v>
      </c>
      <c r="AY485" s="40">
        <v>0</v>
      </c>
      <c r="AZ485" s="40">
        <v>0</v>
      </c>
      <c r="BA485" s="40">
        <v>0</v>
      </c>
      <c r="BB485" s="40">
        <v>343</v>
      </c>
      <c r="BC485" s="39">
        <v>333</v>
      </c>
      <c r="BD485" s="40">
        <v>365</v>
      </c>
      <c r="BE485" s="40">
        <v>384</v>
      </c>
      <c r="BF485" s="40">
        <v>724</v>
      </c>
      <c r="BG485" s="40">
        <v>1630</v>
      </c>
      <c r="BH485" s="40">
        <v>2274</v>
      </c>
      <c r="BI485" s="40">
        <v>408</v>
      </c>
      <c r="BJ485" s="40">
        <v>2345</v>
      </c>
      <c r="BK485" s="40">
        <v>1700</v>
      </c>
      <c r="BL485" s="40">
        <v>381</v>
      </c>
      <c r="BM485" s="40">
        <v>384</v>
      </c>
      <c r="BN485" s="40"/>
      <c r="BO485" s="39"/>
      <c r="BP485" s="21">
        <v>0</v>
      </c>
      <c r="BQ485" s="21">
        <v>0</v>
      </c>
      <c r="BR485" s="21">
        <v>0</v>
      </c>
      <c r="BS485" s="21">
        <v>0</v>
      </c>
      <c r="BT485" s="21">
        <v>0</v>
      </c>
      <c r="BU485" s="42">
        <v>0</v>
      </c>
      <c r="BV485" s="21">
        <v>0</v>
      </c>
      <c r="BW485" s="21">
        <v>0</v>
      </c>
      <c r="BX485" s="21">
        <v>0</v>
      </c>
      <c r="BY485" s="21">
        <v>0</v>
      </c>
      <c r="BZ485" s="21">
        <v>0</v>
      </c>
      <c r="CA485" s="21">
        <v>0</v>
      </c>
      <c r="CB485" s="21">
        <v>0</v>
      </c>
      <c r="CC485" s="21">
        <v>0</v>
      </c>
      <c r="CD485" s="21">
        <v>0</v>
      </c>
      <c r="CE485" s="21">
        <v>1</v>
      </c>
      <c r="CF485" s="21">
        <v>177</v>
      </c>
      <c r="CG485" s="42">
        <v>19</v>
      </c>
      <c r="CH485" s="21">
        <v>84</v>
      </c>
      <c r="CI485" s="21">
        <v>20</v>
      </c>
      <c r="CJ485" s="21">
        <v>17</v>
      </c>
      <c r="CK485" s="21">
        <v>189</v>
      </c>
      <c r="CL485" s="21">
        <v>20</v>
      </c>
      <c r="CM485" s="21">
        <v>11</v>
      </c>
      <c r="CN485" s="21">
        <v>177</v>
      </c>
      <c r="CO485" s="21">
        <v>17</v>
      </c>
      <c r="CP485" s="21">
        <f t="shared" si="717"/>
        <v>17</v>
      </c>
      <c r="CQ485" s="343">
        <f t="shared" si="718"/>
        <v>61.333333333333336</v>
      </c>
      <c r="CR485" s="40"/>
      <c r="CS485" s="39"/>
      <c r="CT485" s="38">
        <f t="shared" si="719"/>
        <v>0</v>
      </c>
      <c r="CU485" s="38">
        <f t="shared" si="720"/>
        <v>0</v>
      </c>
      <c r="CV485" s="38">
        <f t="shared" si="721"/>
        <v>0</v>
      </c>
      <c r="CW485" s="38">
        <f t="shared" si="722"/>
        <v>0</v>
      </c>
      <c r="CX485" s="38">
        <f t="shared" si="723"/>
        <v>0</v>
      </c>
      <c r="CY485" s="39">
        <f t="shared" si="724"/>
        <v>0</v>
      </c>
      <c r="CZ485" s="40">
        <f t="shared" si="725"/>
        <v>0</v>
      </c>
      <c r="DA485" s="40">
        <f t="shared" si="726"/>
        <v>0</v>
      </c>
      <c r="DB485" s="40">
        <f t="shared" si="727"/>
        <v>0</v>
      </c>
      <c r="DC485" s="40">
        <f t="shared" si="728"/>
        <v>0</v>
      </c>
      <c r="DD485" s="40">
        <f t="shared" si="729"/>
        <v>0</v>
      </c>
      <c r="DE485" s="40">
        <f t="shared" si="730"/>
        <v>0</v>
      </c>
      <c r="DF485" s="40">
        <f t="shared" si="731"/>
        <v>0</v>
      </c>
      <c r="DG485" s="40">
        <f t="shared" si="732"/>
        <v>0</v>
      </c>
      <c r="DH485" s="40">
        <f t="shared" si="733"/>
        <v>0</v>
      </c>
      <c r="DI485" s="40">
        <f t="shared" si="734"/>
        <v>1</v>
      </c>
      <c r="DJ485" s="40">
        <f t="shared" si="735"/>
        <v>520</v>
      </c>
      <c r="DK485" s="39">
        <f t="shared" si="736"/>
        <v>352</v>
      </c>
      <c r="DL485" s="40">
        <f t="shared" si="737"/>
        <v>449</v>
      </c>
      <c r="DM485" s="40">
        <f t="shared" si="738"/>
        <v>404</v>
      </c>
      <c r="DN485" s="40">
        <f t="shared" si="739"/>
        <v>741</v>
      </c>
      <c r="DO485" s="40">
        <f t="shared" si="740"/>
        <v>1819</v>
      </c>
      <c r="DP485" s="40">
        <f t="shared" si="741"/>
        <v>2294</v>
      </c>
      <c r="DQ485" s="40">
        <f t="shared" si="742"/>
        <v>419</v>
      </c>
      <c r="DR485" s="40">
        <f t="shared" si="685"/>
        <v>2522</v>
      </c>
      <c r="DS485" s="40">
        <f t="shared" si="686"/>
        <v>1717</v>
      </c>
      <c r="DT485" s="40">
        <f t="shared" si="743"/>
        <v>398</v>
      </c>
      <c r="DU485" s="40">
        <f t="shared" si="744"/>
        <v>445.33333333333331</v>
      </c>
      <c r="DV485" s="40">
        <f t="shared" si="745"/>
        <v>0</v>
      </c>
      <c r="DW485" s="40">
        <f t="shared" si="746"/>
        <v>0</v>
      </c>
    </row>
    <row r="486" spans="1:127">
      <c r="A486" s="22" t="s">
        <v>33</v>
      </c>
      <c r="B486" s="26">
        <v>4987176314277</v>
      </c>
      <c r="C486" s="22" t="s">
        <v>38</v>
      </c>
      <c r="D486" s="22" t="s">
        <v>38</v>
      </c>
      <c r="E486" s="22">
        <v>264612</v>
      </c>
      <c r="F486" s="80" t="s">
        <v>573</v>
      </c>
      <c r="G486" s="25">
        <v>195.71</v>
      </c>
      <c r="H486" s="38">
        <f t="shared" si="691"/>
        <v>0</v>
      </c>
      <c r="I486" s="38">
        <f t="shared" si="692"/>
        <v>0</v>
      </c>
      <c r="J486" s="38">
        <f t="shared" si="693"/>
        <v>0</v>
      </c>
      <c r="K486" s="38">
        <f t="shared" si="694"/>
        <v>0</v>
      </c>
      <c r="L486" s="38">
        <f t="shared" si="695"/>
        <v>0</v>
      </c>
      <c r="M486" s="39">
        <f t="shared" si="696"/>
        <v>0</v>
      </c>
      <c r="N486" s="40">
        <f t="shared" si="697"/>
        <v>0</v>
      </c>
      <c r="O486" s="40">
        <f t="shared" si="698"/>
        <v>0</v>
      </c>
      <c r="P486" s="40">
        <f t="shared" si="699"/>
        <v>0</v>
      </c>
      <c r="Q486" s="40">
        <f t="shared" si="700"/>
        <v>0</v>
      </c>
      <c r="R486" s="40">
        <f t="shared" si="701"/>
        <v>0</v>
      </c>
      <c r="S486" s="40">
        <f t="shared" si="702"/>
        <v>0</v>
      </c>
      <c r="T486" s="40">
        <f t="shared" si="703"/>
        <v>0</v>
      </c>
      <c r="U486" s="40">
        <f t="shared" si="704"/>
        <v>0</v>
      </c>
      <c r="V486" s="40">
        <f t="shared" si="705"/>
        <v>0</v>
      </c>
      <c r="W486" s="40">
        <f t="shared" si="706"/>
        <v>0</v>
      </c>
      <c r="X486" s="40">
        <f t="shared" si="707"/>
        <v>33857.83</v>
      </c>
      <c r="Y486" s="39">
        <f t="shared" si="708"/>
        <v>21919.52</v>
      </c>
      <c r="Z486" s="40">
        <f t="shared" si="709"/>
        <v>36597.770000000004</v>
      </c>
      <c r="AA486" s="40">
        <f t="shared" si="710"/>
        <v>31705.02</v>
      </c>
      <c r="AB486" s="40">
        <f t="shared" si="711"/>
        <v>106270.53</v>
      </c>
      <c r="AC486" s="40">
        <f t="shared" si="712"/>
        <v>45013.3</v>
      </c>
      <c r="AD486" s="40">
        <f t="shared" si="713"/>
        <v>35619.22</v>
      </c>
      <c r="AE486" s="40">
        <f t="shared" si="714"/>
        <v>42860.490000000005</v>
      </c>
      <c r="AF486" s="40">
        <f t="shared" si="715"/>
        <v>18983.87</v>
      </c>
      <c r="AG486" s="40">
        <f t="shared" si="716"/>
        <v>47166.11</v>
      </c>
      <c r="AH486" s="40">
        <f t="shared" si="687"/>
        <v>28182.240000000002</v>
      </c>
      <c r="AI486" s="40">
        <f t="shared" si="688"/>
        <v>43752.05777777778</v>
      </c>
      <c r="AJ486" s="40">
        <f t="shared" si="689"/>
        <v>0</v>
      </c>
      <c r="AK486" s="39">
        <f t="shared" si="690"/>
        <v>0</v>
      </c>
      <c r="AL486" s="38">
        <v>0</v>
      </c>
      <c r="AM486" s="38">
        <v>0</v>
      </c>
      <c r="AN486" s="38">
        <v>0</v>
      </c>
      <c r="AO486" s="38">
        <v>0</v>
      </c>
      <c r="AP486" s="38">
        <v>0</v>
      </c>
      <c r="AQ486" s="39">
        <v>0</v>
      </c>
      <c r="AR486" s="40">
        <v>0</v>
      </c>
      <c r="AS486" s="40">
        <v>0</v>
      </c>
      <c r="AT486" s="40">
        <v>0</v>
      </c>
      <c r="AU486" s="40">
        <v>0</v>
      </c>
      <c r="AV486" s="40">
        <v>0</v>
      </c>
      <c r="AW486" s="40">
        <v>0</v>
      </c>
      <c r="AX486" s="40">
        <v>0</v>
      </c>
      <c r="AY486" s="40">
        <v>0</v>
      </c>
      <c r="AZ486" s="40">
        <v>0</v>
      </c>
      <c r="BA486" s="40">
        <v>0</v>
      </c>
      <c r="BB486" s="40">
        <v>92</v>
      </c>
      <c r="BC486" s="39">
        <v>103</v>
      </c>
      <c r="BD486" s="40">
        <v>144</v>
      </c>
      <c r="BE486" s="40">
        <v>146</v>
      </c>
      <c r="BF486" s="40">
        <v>527</v>
      </c>
      <c r="BG486" s="40">
        <v>204</v>
      </c>
      <c r="BH486" s="40">
        <v>167</v>
      </c>
      <c r="BI486" s="40">
        <v>212</v>
      </c>
      <c r="BJ486" s="40">
        <v>87</v>
      </c>
      <c r="BK486" s="40">
        <v>233</v>
      </c>
      <c r="BL486" s="40">
        <v>136</v>
      </c>
      <c r="BM486" s="40">
        <v>207</v>
      </c>
      <c r="BN486" s="40"/>
      <c r="BO486" s="39"/>
      <c r="BP486" s="21">
        <v>0</v>
      </c>
      <c r="BQ486" s="21">
        <v>0</v>
      </c>
      <c r="BR486" s="21">
        <v>0</v>
      </c>
      <c r="BS486" s="21">
        <v>0</v>
      </c>
      <c r="BT486" s="21">
        <v>0</v>
      </c>
      <c r="BU486" s="42">
        <v>0</v>
      </c>
      <c r="BV486" s="21">
        <v>0</v>
      </c>
      <c r="BW486" s="21">
        <v>0</v>
      </c>
      <c r="BX486" s="21">
        <v>0</v>
      </c>
      <c r="BY486" s="21">
        <v>0</v>
      </c>
      <c r="BZ486" s="21">
        <v>0</v>
      </c>
      <c r="CA486" s="21">
        <v>0</v>
      </c>
      <c r="CB486" s="21">
        <v>0</v>
      </c>
      <c r="CC486" s="21">
        <v>0</v>
      </c>
      <c r="CD486" s="21">
        <v>0</v>
      </c>
      <c r="CE486" s="21">
        <v>0</v>
      </c>
      <c r="CF486" s="21">
        <v>81</v>
      </c>
      <c r="CG486" s="42">
        <v>9</v>
      </c>
      <c r="CH486" s="21">
        <v>43</v>
      </c>
      <c r="CI486" s="21">
        <v>16</v>
      </c>
      <c r="CJ486" s="21">
        <v>16</v>
      </c>
      <c r="CK486" s="21">
        <v>26</v>
      </c>
      <c r="CL486" s="21">
        <v>15</v>
      </c>
      <c r="CM486" s="21">
        <v>7</v>
      </c>
      <c r="CN486" s="21">
        <v>10</v>
      </c>
      <c r="CO486" s="21">
        <v>8</v>
      </c>
      <c r="CP486" s="21">
        <f t="shared" si="717"/>
        <v>8</v>
      </c>
      <c r="CQ486" s="343">
        <f t="shared" si="718"/>
        <v>16.555555555555557</v>
      </c>
      <c r="CR486" s="40"/>
      <c r="CS486" s="39"/>
      <c r="CT486" s="38">
        <f t="shared" si="719"/>
        <v>0</v>
      </c>
      <c r="CU486" s="38">
        <f t="shared" si="720"/>
        <v>0</v>
      </c>
      <c r="CV486" s="38">
        <f t="shared" si="721"/>
        <v>0</v>
      </c>
      <c r="CW486" s="38">
        <f t="shared" si="722"/>
        <v>0</v>
      </c>
      <c r="CX486" s="38">
        <f t="shared" si="723"/>
        <v>0</v>
      </c>
      <c r="CY486" s="39">
        <f t="shared" si="724"/>
        <v>0</v>
      </c>
      <c r="CZ486" s="40">
        <f t="shared" si="725"/>
        <v>0</v>
      </c>
      <c r="DA486" s="40">
        <f t="shared" si="726"/>
        <v>0</v>
      </c>
      <c r="DB486" s="40">
        <f t="shared" si="727"/>
        <v>0</v>
      </c>
      <c r="DC486" s="40">
        <f t="shared" si="728"/>
        <v>0</v>
      </c>
      <c r="DD486" s="40">
        <f t="shared" si="729"/>
        <v>0</v>
      </c>
      <c r="DE486" s="40">
        <f t="shared" si="730"/>
        <v>0</v>
      </c>
      <c r="DF486" s="40">
        <f t="shared" si="731"/>
        <v>0</v>
      </c>
      <c r="DG486" s="40">
        <f t="shared" si="732"/>
        <v>0</v>
      </c>
      <c r="DH486" s="40">
        <f t="shared" si="733"/>
        <v>0</v>
      </c>
      <c r="DI486" s="40">
        <f t="shared" si="734"/>
        <v>0</v>
      </c>
      <c r="DJ486" s="40">
        <f t="shared" si="735"/>
        <v>173</v>
      </c>
      <c r="DK486" s="39">
        <f t="shared" si="736"/>
        <v>112</v>
      </c>
      <c r="DL486" s="40">
        <f t="shared" si="737"/>
        <v>187</v>
      </c>
      <c r="DM486" s="40">
        <f t="shared" si="738"/>
        <v>162</v>
      </c>
      <c r="DN486" s="40">
        <f t="shared" si="739"/>
        <v>543</v>
      </c>
      <c r="DO486" s="40">
        <f t="shared" si="740"/>
        <v>230</v>
      </c>
      <c r="DP486" s="40">
        <f t="shared" si="741"/>
        <v>182</v>
      </c>
      <c r="DQ486" s="40">
        <f t="shared" si="742"/>
        <v>219</v>
      </c>
      <c r="DR486" s="40">
        <f t="shared" si="685"/>
        <v>97</v>
      </c>
      <c r="DS486" s="40">
        <f t="shared" si="686"/>
        <v>241</v>
      </c>
      <c r="DT486" s="40">
        <f t="shared" si="743"/>
        <v>144</v>
      </c>
      <c r="DU486" s="40">
        <f t="shared" si="744"/>
        <v>223.55555555555554</v>
      </c>
      <c r="DV486" s="40">
        <f t="shared" si="745"/>
        <v>0</v>
      </c>
      <c r="DW486" s="40">
        <f t="shared" si="746"/>
        <v>0</v>
      </c>
    </row>
    <row r="487" spans="1:127">
      <c r="A487" s="22" t="s">
        <v>33</v>
      </c>
      <c r="B487" s="26">
        <v>4987176316158</v>
      </c>
      <c r="C487" s="22" t="s">
        <v>38</v>
      </c>
      <c r="D487" s="22" t="s">
        <v>38</v>
      </c>
      <c r="E487" s="22">
        <v>264640</v>
      </c>
      <c r="F487" s="80" t="s">
        <v>574</v>
      </c>
      <c r="G487" s="25">
        <v>116.72</v>
      </c>
      <c r="H487" s="38">
        <f t="shared" si="691"/>
        <v>0</v>
      </c>
      <c r="I487" s="38">
        <f t="shared" si="692"/>
        <v>0</v>
      </c>
      <c r="J487" s="38">
        <f t="shared" si="693"/>
        <v>0</v>
      </c>
      <c r="K487" s="38">
        <f t="shared" si="694"/>
        <v>0</v>
      </c>
      <c r="L487" s="38">
        <f t="shared" si="695"/>
        <v>0</v>
      </c>
      <c r="M487" s="39">
        <f t="shared" si="696"/>
        <v>0</v>
      </c>
      <c r="N487" s="40">
        <f t="shared" si="697"/>
        <v>0</v>
      </c>
      <c r="O487" s="40">
        <f t="shared" si="698"/>
        <v>0</v>
      </c>
      <c r="P487" s="40">
        <f t="shared" si="699"/>
        <v>0</v>
      </c>
      <c r="Q487" s="40">
        <f t="shared" si="700"/>
        <v>0</v>
      </c>
      <c r="R487" s="40">
        <f t="shared" si="701"/>
        <v>0</v>
      </c>
      <c r="S487" s="40">
        <f t="shared" si="702"/>
        <v>0</v>
      </c>
      <c r="T487" s="40">
        <f t="shared" si="703"/>
        <v>0</v>
      </c>
      <c r="U487" s="40">
        <f t="shared" si="704"/>
        <v>0</v>
      </c>
      <c r="V487" s="40">
        <f t="shared" si="705"/>
        <v>0</v>
      </c>
      <c r="W487" s="40">
        <f t="shared" si="706"/>
        <v>0</v>
      </c>
      <c r="X487" s="40">
        <f t="shared" si="707"/>
        <v>583.6</v>
      </c>
      <c r="Y487" s="39">
        <f t="shared" si="708"/>
        <v>3851.7599999999998</v>
      </c>
      <c r="Z487" s="40">
        <f t="shared" si="709"/>
        <v>3735.04</v>
      </c>
      <c r="AA487" s="40">
        <f t="shared" si="710"/>
        <v>3034.72</v>
      </c>
      <c r="AB487" s="40">
        <f t="shared" si="711"/>
        <v>4435.3599999999997</v>
      </c>
      <c r="AC487" s="40">
        <f t="shared" si="712"/>
        <v>3968.48</v>
      </c>
      <c r="AD487" s="40">
        <f t="shared" si="713"/>
        <v>2684.56</v>
      </c>
      <c r="AE487" s="40">
        <f t="shared" si="714"/>
        <v>3735.04</v>
      </c>
      <c r="AF487" s="40">
        <f t="shared" si="715"/>
        <v>2451.12</v>
      </c>
      <c r="AG487" s="40">
        <f t="shared" si="716"/>
        <v>4552.08</v>
      </c>
      <c r="AH487" s="40">
        <f t="shared" si="687"/>
        <v>3618.32</v>
      </c>
      <c r="AI487" s="40">
        <f t="shared" si="688"/>
        <v>4707.7066666666669</v>
      </c>
      <c r="AJ487" s="40">
        <f t="shared" si="689"/>
        <v>0</v>
      </c>
      <c r="AK487" s="39">
        <f t="shared" si="690"/>
        <v>0</v>
      </c>
      <c r="AL487" s="38">
        <v>0</v>
      </c>
      <c r="AM487" s="38">
        <v>0</v>
      </c>
      <c r="AN487" s="38">
        <v>0</v>
      </c>
      <c r="AO487" s="38">
        <v>0</v>
      </c>
      <c r="AP487" s="38">
        <v>0</v>
      </c>
      <c r="AQ487" s="39">
        <v>0</v>
      </c>
      <c r="AR487" s="40">
        <v>0</v>
      </c>
      <c r="AS487" s="40">
        <v>0</v>
      </c>
      <c r="AT487" s="40">
        <v>0</v>
      </c>
      <c r="AU487" s="40">
        <v>0</v>
      </c>
      <c r="AV487" s="40">
        <v>0</v>
      </c>
      <c r="AW487" s="40">
        <v>0</v>
      </c>
      <c r="AX487" s="40">
        <v>0</v>
      </c>
      <c r="AY487" s="40">
        <v>0</v>
      </c>
      <c r="AZ487" s="40">
        <v>0</v>
      </c>
      <c r="BA487" s="40">
        <v>0</v>
      </c>
      <c r="BB487" s="40">
        <v>4</v>
      </c>
      <c r="BC487" s="39">
        <v>33</v>
      </c>
      <c r="BD487" s="40">
        <v>31</v>
      </c>
      <c r="BE487" s="40">
        <v>23</v>
      </c>
      <c r="BF487" s="40">
        <v>36</v>
      </c>
      <c r="BG487" s="40">
        <v>32</v>
      </c>
      <c r="BH487" s="40">
        <v>20</v>
      </c>
      <c r="BI487" s="40">
        <v>31</v>
      </c>
      <c r="BJ487" s="40">
        <v>20</v>
      </c>
      <c r="BK487" s="40">
        <v>35</v>
      </c>
      <c r="BL487" s="40">
        <v>27</v>
      </c>
      <c r="BM487" s="40">
        <v>38</v>
      </c>
      <c r="BN487" s="40"/>
      <c r="BO487" s="39"/>
      <c r="BP487" s="21">
        <v>0</v>
      </c>
      <c r="BQ487" s="21">
        <v>0</v>
      </c>
      <c r="BR487" s="21">
        <v>0</v>
      </c>
      <c r="BS487" s="21">
        <v>0</v>
      </c>
      <c r="BT487" s="21">
        <v>0</v>
      </c>
      <c r="BU487" s="42">
        <v>0</v>
      </c>
      <c r="BV487" s="21">
        <v>0</v>
      </c>
      <c r="BW487" s="21">
        <v>0</v>
      </c>
      <c r="BX487" s="21">
        <v>0</v>
      </c>
      <c r="BY487" s="21">
        <v>0</v>
      </c>
      <c r="BZ487" s="21">
        <v>0</v>
      </c>
      <c r="CA487" s="21">
        <v>0</v>
      </c>
      <c r="CB487" s="21">
        <v>0</v>
      </c>
      <c r="CC487" s="21">
        <v>0</v>
      </c>
      <c r="CD487" s="21">
        <v>0</v>
      </c>
      <c r="CE487" s="21">
        <v>0</v>
      </c>
      <c r="CF487" s="21">
        <v>1</v>
      </c>
      <c r="CG487" s="42">
        <v>0</v>
      </c>
      <c r="CH487" s="21">
        <v>1</v>
      </c>
      <c r="CI487" s="21">
        <v>3</v>
      </c>
      <c r="CJ487" s="21">
        <v>2</v>
      </c>
      <c r="CK487" s="21">
        <v>2</v>
      </c>
      <c r="CL487" s="21">
        <v>3</v>
      </c>
      <c r="CM487" s="21">
        <v>1</v>
      </c>
      <c r="CN487" s="21">
        <v>1</v>
      </c>
      <c r="CO487" s="21">
        <v>4</v>
      </c>
      <c r="CP487" s="21">
        <f t="shared" si="717"/>
        <v>4</v>
      </c>
      <c r="CQ487" s="343">
        <f t="shared" si="718"/>
        <v>2.3333333333333335</v>
      </c>
      <c r="CR487" s="40"/>
      <c r="CS487" s="39"/>
      <c r="CT487" s="38">
        <f t="shared" si="719"/>
        <v>0</v>
      </c>
      <c r="CU487" s="38">
        <f t="shared" si="720"/>
        <v>0</v>
      </c>
      <c r="CV487" s="38">
        <f t="shared" si="721"/>
        <v>0</v>
      </c>
      <c r="CW487" s="38">
        <f t="shared" si="722"/>
        <v>0</v>
      </c>
      <c r="CX487" s="38">
        <f t="shared" si="723"/>
        <v>0</v>
      </c>
      <c r="CY487" s="39">
        <f t="shared" si="724"/>
        <v>0</v>
      </c>
      <c r="CZ487" s="40">
        <f t="shared" si="725"/>
        <v>0</v>
      </c>
      <c r="DA487" s="40">
        <f t="shared" si="726"/>
        <v>0</v>
      </c>
      <c r="DB487" s="40">
        <f t="shared" si="727"/>
        <v>0</v>
      </c>
      <c r="DC487" s="40">
        <f t="shared" si="728"/>
        <v>0</v>
      </c>
      <c r="DD487" s="40">
        <f t="shared" si="729"/>
        <v>0</v>
      </c>
      <c r="DE487" s="40">
        <f t="shared" si="730"/>
        <v>0</v>
      </c>
      <c r="DF487" s="40">
        <f t="shared" si="731"/>
        <v>0</v>
      </c>
      <c r="DG487" s="40">
        <f t="shared" si="732"/>
        <v>0</v>
      </c>
      <c r="DH487" s="40">
        <f t="shared" si="733"/>
        <v>0</v>
      </c>
      <c r="DI487" s="40">
        <f t="shared" si="734"/>
        <v>0</v>
      </c>
      <c r="DJ487" s="40">
        <f t="shared" si="735"/>
        <v>5</v>
      </c>
      <c r="DK487" s="39">
        <f t="shared" si="736"/>
        <v>33</v>
      </c>
      <c r="DL487" s="40">
        <f t="shared" si="737"/>
        <v>32</v>
      </c>
      <c r="DM487" s="40">
        <f t="shared" si="738"/>
        <v>26</v>
      </c>
      <c r="DN487" s="40">
        <f t="shared" si="739"/>
        <v>38</v>
      </c>
      <c r="DO487" s="40">
        <f t="shared" si="740"/>
        <v>34</v>
      </c>
      <c r="DP487" s="40">
        <f t="shared" si="741"/>
        <v>23</v>
      </c>
      <c r="DQ487" s="40">
        <f t="shared" si="742"/>
        <v>32</v>
      </c>
      <c r="DR487" s="40">
        <f t="shared" ref="DR487:DR550" si="747">BJ487+CN487</f>
        <v>21</v>
      </c>
      <c r="DS487" s="40">
        <f t="shared" si="686"/>
        <v>39</v>
      </c>
      <c r="DT487" s="40">
        <f t="shared" si="743"/>
        <v>31</v>
      </c>
      <c r="DU487" s="40">
        <f t="shared" si="744"/>
        <v>40.333333333333336</v>
      </c>
      <c r="DV487" s="40">
        <f t="shared" si="745"/>
        <v>0</v>
      </c>
      <c r="DW487" s="40">
        <f t="shared" si="746"/>
        <v>0</v>
      </c>
    </row>
    <row r="488" spans="1:127">
      <c r="A488" s="22" t="s">
        <v>33</v>
      </c>
      <c r="B488" s="26">
        <v>4987176314765</v>
      </c>
      <c r="C488" s="22" t="s">
        <v>38</v>
      </c>
      <c r="D488" s="22" t="s">
        <v>38</v>
      </c>
      <c r="E488" s="22">
        <v>264641</v>
      </c>
      <c r="F488" s="80" t="s">
        <v>575</v>
      </c>
      <c r="G488" s="25">
        <v>156.63</v>
      </c>
      <c r="H488" s="38">
        <f t="shared" si="691"/>
        <v>0</v>
      </c>
      <c r="I488" s="38">
        <f t="shared" si="692"/>
        <v>0</v>
      </c>
      <c r="J488" s="38">
        <f t="shared" si="693"/>
        <v>0</v>
      </c>
      <c r="K488" s="38">
        <f t="shared" si="694"/>
        <v>0</v>
      </c>
      <c r="L488" s="38">
        <f t="shared" si="695"/>
        <v>0</v>
      </c>
      <c r="M488" s="39">
        <f t="shared" si="696"/>
        <v>0</v>
      </c>
      <c r="N488" s="40">
        <f t="shared" si="697"/>
        <v>0</v>
      </c>
      <c r="O488" s="40">
        <f t="shared" si="698"/>
        <v>0</v>
      </c>
      <c r="P488" s="40">
        <f t="shared" si="699"/>
        <v>0</v>
      </c>
      <c r="Q488" s="40">
        <f t="shared" si="700"/>
        <v>0</v>
      </c>
      <c r="R488" s="40">
        <f t="shared" si="701"/>
        <v>0</v>
      </c>
      <c r="S488" s="40">
        <f t="shared" si="702"/>
        <v>0</v>
      </c>
      <c r="T488" s="40">
        <f t="shared" si="703"/>
        <v>0</v>
      </c>
      <c r="U488" s="40">
        <f t="shared" si="704"/>
        <v>0</v>
      </c>
      <c r="V488" s="40">
        <f t="shared" si="705"/>
        <v>0</v>
      </c>
      <c r="W488" s="40">
        <f t="shared" si="706"/>
        <v>156.63</v>
      </c>
      <c r="X488" s="40">
        <f t="shared" si="707"/>
        <v>4385.6399999999994</v>
      </c>
      <c r="Y488" s="39">
        <f t="shared" si="708"/>
        <v>13000.289999999999</v>
      </c>
      <c r="Z488" s="40">
        <f t="shared" si="709"/>
        <v>14566.59</v>
      </c>
      <c r="AA488" s="40">
        <f t="shared" si="710"/>
        <v>15036.48</v>
      </c>
      <c r="AB488" s="40">
        <f t="shared" si="711"/>
        <v>23964.39</v>
      </c>
      <c r="AC488" s="40">
        <f t="shared" si="712"/>
        <v>31012.739999999998</v>
      </c>
      <c r="AD488" s="40">
        <f t="shared" si="713"/>
        <v>28193.399999999998</v>
      </c>
      <c r="AE488" s="40">
        <f t="shared" si="714"/>
        <v>35711.64</v>
      </c>
      <c r="AF488" s="40">
        <f t="shared" si="715"/>
        <v>18325.71</v>
      </c>
      <c r="AG488" s="40">
        <f t="shared" si="716"/>
        <v>31639.26</v>
      </c>
      <c r="AH488" s="40">
        <f t="shared" si="687"/>
        <v>62965.259999999995</v>
      </c>
      <c r="AI488" s="40">
        <f t="shared" si="688"/>
        <v>75373.83666666667</v>
      </c>
      <c r="AJ488" s="40">
        <f t="shared" si="689"/>
        <v>0</v>
      </c>
      <c r="AK488" s="39">
        <f t="shared" si="690"/>
        <v>0</v>
      </c>
      <c r="AL488" s="38">
        <v>0</v>
      </c>
      <c r="AM488" s="38">
        <v>0</v>
      </c>
      <c r="AN488" s="38">
        <v>0</v>
      </c>
      <c r="AO488" s="38">
        <v>0</v>
      </c>
      <c r="AP488" s="38">
        <v>0</v>
      </c>
      <c r="AQ488" s="39">
        <v>0</v>
      </c>
      <c r="AR488" s="40">
        <v>0</v>
      </c>
      <c r="AS488" s="40">
        <v>0</v>
      </c>
      <c r="AT488" s="40">
        <v>0</v>
      </c>
      <c r="AU488" s="40">
        <v>0</v>
      </c>
      <c r="AV488" s="40">
        <v>0</v>
      </c>
      <c r="AW488" s="40">
        <v>0</v>
      </c>
      <c r="AX488" s="40">
        <v>0</v>
      </c>
      <c r="AY488" s="40">
        <v>0</v>
      </c>
      <c r="AZ488" s="40">
        <v>0</v>
      </c>
      <c r="BA488" s="40">
        <v>0</v>
      </c>
      <c r="BB488" s="40">
        <v>7</v>
      </c>
      <c r="BC488" s="39">
        <v>49</v>
      </c>
      <c r="BD488" s="40">
        <v>81</v>
      </c>
      <c r="BE488" s="40">
        <v>89</v>
      </c>
      <c r="BF488" s="40">
        <v>137</v>
      </c>
      <c r="BG488" s="40">
        <v>152</v>
      </c>
      <c r="BH488" s="40">
        <v>129</v>
      </c>
      <c r="BI488" s="40">
        <v>216</v>
      </c>
      <c r="BJ488" s="40">
        <v>102</v>
      </c>
      <c r="BK488" s="40">
        <v>186</v>
      </c>
      <c r="BL488" s="40">
        <v>386</v>
      </c>
      <c r="BM488" s="40">
        <v>460</v>
      </c>
      <c r="BN488" s="40"/>
      <c r="BO488" s="39"/>
      <c r="BP488" s="21">
        <v>0</v>
      </c>
      <c r="BQ488" s="21">
        <v>0</v>
      </c>
      <c r="BR488" s="21">
        <v>0</v>
      </c>
      <c r="BS488" s="21">
        <v>0</v>
      </c>
      <c r="BT488" s="21">
        <v>0</v>
      </c>
      <c r="BU488" s="42">
        <v>0</v>
      </c>
      <c r="BV488" s="21">
        <v>0</v>
      </c>
      <c r="BW488" s="21">
        <v>0</v>
      </c>
      <c r="BX488" s="21">
        <v>0</v>
      </c>
      <c r="BY488" s="21">
        <v>0</v>
      </c>
      <c r="BZ488" s="21">
        <v>0</v>
      </c>
      <c r="CA488" s="21">
        <v>0</v>
      </c>
      <c r="CB488" s="21">
        <v>0</v>
      </c>
      <c r="CC488" s="21">
        <v>0</v>
      </c>
      <c r="CD488" s="21">
        <v>0</v>
      </c>
      <c r="CE488" s="21">
        <v>1</v>
      </c>
      <c r="CF488" s="21">
        <v>21</v>
      </c>
      <c r="CG488" s="42">
        <v>34</v>
      </c>
      <c r="CH488" s="21">
        <v>12</v>
      </c>
      <c r="CI488" s="21">
        <v>7</v>
      </c>
      <c r="CJ488" s="21">
        <v>16</v>
      </c>
      <c r="CK488" s="21">
        <v>46</v>
      </c>
      <c r="CL488" s="21">
        <v>51</v>
      </c>
      <c r="CM488" s="21">
        <v>12</v>
      </c>
      <c r="CN488" s="21">
        <v>15</v>
      </c>
      <c r="CO488" s="21">
        <v>16</v>
      </c>
      <c r="CP488" s="21">
        <f t="shared" si="717"/>
        <v>16</v>
      </c>
      <c r="CQ488" s="343">
        <f t="shared" si="718"/>
        <v>21.222222222222221</v>
      </c>
      <c r="CR488" s="40"/>
      <c r="CS488" s="39"/>
      <c r="CT488" s="38">
        <f t="shared" si="719"/>
        <v>0</v>
      </c>
      <c r="CU488" s="38">
        <f t="shared" si="720"/>
        <v>0</v>
      </c>
      <c r="CV488" s="38">
        <f t="shared" si="721"/>
        <v>0</v>
      </c>
      <c r="CW488" s="38">
        <f t="shared" si="722"/>
        <v>0</v>
      </c>
      <c r="CX488" s="38">
        <f t="shared" si="723"/>
        <v>0</v>
      </c>
      <c r="CY488" s="39">
        <f t="shared" si="724"/>
        <v>0</v>
      </c>
      <c r="CZ488" s="40">
        <f t="shared" si="725"/>
        <v>0</v>
      </c>
      <c r="DA488" s="40">
        <f t="shared" si="726"/>
        <v>0</v>
      </c>
      <c r="DB488" s="40">
        <f t="shared" si="727"/>
        <v>0</v>
      </c>
      <c r="DC488" s="40">
        <f t="shared" si="728"/>
        <v>0</v>
      </c>
      <c r="DD488" s="40">
        <f t="shared" si="729"/>
        <v>0</v>
      </c>
      <c r="DE488" s="40">
        <f t="shared" si="730"/>
        <v>0</v>
      </c>
      <c r="DF488" s="40">
        <f t="shared" si="731"/>
        <v>0</v>
      </c>
      <c r="DG488" s="40">
        <f t="shared" si="732"/>
        <v>0</v>
      </c>
      <c r="DH488" s="40">
        <f t="shared" si="733"/>
        <v>0</v>
      </c>
      <c r="DI488" s="40">
        <f t="shared" si="734"/>
        <v>1</v>
      </c>
      <c r="DJ488" s="40">
        <f t="shared" si="735"/>
        <v>28</v>
      </c>
      <c r="DK488" s="39">
        <f t="shared" si="736"/>
        <v>83</v>
      </c>
      <c r="DL488" s="40">
        <f t="shared" si="737"/>
        <v>93</v>
      </c>
      <c r="DM488" s="40">
        <f t="shared" si="738"/>
        <v>96</v>
      </c>
      <c r="DN488" s="40">
        <f t="shared" si="739"/>
        <v>153</v>
      </c>
      <c r="DO488" s="40">
        <f t="shared" si="740"/>
        <v>198</v>
      </c>
      <c r="DP488" s="40">
        <f t="shared" si="741"/>
        <v>180</v>
      </c>
      <c r="DQ488" s="40">
        <f t="shared" si="742"/>
        <v>228</v>
      </c>
      <c r="DR488" s="40">
        <f t="shared" si="747"/>
        <v>117</v>
      </c>
      <c r="DS488" s="40">
        <f t="shared" si="686"/>
        <v>202</v>
      </c>
      <c r="DT488" s="40">
        <f t="shared" si="743"/>
        <v>402</v>
      </c>
      <c r="DU488" s="40">
        <f t="shared" si="744"/>
        <v>481.22222222222223</v>
      </c>
      <c r="DV488" s="40">
        <f t="shared" si="745"/>
        <v>0</v>
      </c>
      <c r="DW488" s="40">
        <f t="shared" si="746"/>
        <v>0</v>
      </c>
    </row>
    <row r="489" spans="1:127">
      <c r="A489" s="22" t="s">
        <v>33</v>
      </c>
      <c r="B489" s="26">
        <v>4987176314253</v>
      </c>
      <c r="C489" s="22" t="s">
        <v>38</v>
      </c>
      <c r="D489" s="22" t="s">
        <v>38</v>
      </c>
      <c r="E489" s="22">
        <v>264650</v>
      </c>
      <c r="F489" s="80" t="s">
        <v>576</v>
      </c>
      <c r="G489" s="25">
        <v>195.71</v>
      </c>
      <c r="H489" s="38">
        <f t="shared" si="691"/>
        <v>0</v>
      </c>
      <c r="I489" s="38">
        <f t="shared" si="692"/>
        <v>0</v>
      </c>
      <c r="J489" s="38">
        <f t="shared" si="693"/>
        <v>0</v>
      </c>
      <c r="K489" s="38">
        <f t="shared" si="694"/>
        <v>0</v>
      </c>
      <c r="L489" s="38">
        <f t="shared" si="695"/>
        <v>0</v>
      </c>
      <c r="M489" s="39">
        <f t="shared" si="696"/>
        <v>0</v>
      </c>
      <c r="N489" s="40">
        <f t="shared" si="697"/>
        <v>0</v>
      </c>
      <c r="O489" s="40">
        <f t="shared" si="698"/>
        <v>0</v>
      </c>
      <c r="P489" s="40">
        <f t="shared" si="699"/>
        <v>0</v>
      </c>
      <c r="Q489" s="40">
        <f t="shared" si="700"/>
        <v>0</v>
      </c>
      <c r="R489" s="40">
        <f t="shared" si="701"/>
        <v>0</v>
      </c>
      <c r="S489" s="40">
        <f t="shared" si="702"/>
        <v>0</v>
      </c>
      <c r="T489" s="40">
        <f t="shared" si="703"/>
        <v>0</v>
      </c>
      <c r="U489" s="40">
        <f t="shared" si="704"/>
        <v>0</v>
      </c>
      <c r="V489" s="40">
        <f t="shared" si="705"/>
        <v>0</v>
      </c>
      <c r="W489" s="40">
        <f t="shared" si="706"/>
        <v>195.71</v>
      </c>
      <c r="X489" s="40">
        <f t="shared" si="707"/>
        <v>24855.170000000002</v>
      </c>
      <c r="Y489" s="39">
        <f t="shared" si="708"/>
        <v>26812.27</v>
      </c>
      <c r="Z489" s="40">
        <f t="shared" si="709"/>
        <v>36010.639999999999</v>
      </c>
      <c r="AA489" s="40">
        <f t="shared" si="710"/>
        <v>27986.530000000002</v>
      </c>
      <c r="AB489" s="40">
        <f t="shared" si="711"/>
        <v>27399.4</v>
      </c>
      <c r="AC489" s="40">
        <f t="shared" si="712"/>
        <v>29160.79</v>
      </c>
      <c r="AD489" s="40">
        <f t="shared" si="713"/>
        <v>16831.060000000001</v>
      </c>
      <c r="AE489" s="40">
        <f t="shared" si="714"/>
        <v>17613.900000000001</v>
      </c>
      <c r="AF489" s="40">
        <f t="shared" si="715"/>
        <v>13308.28</v>
      </c>
      <c r="AG489" s="40">
        <f t="shared" si="716"/>
        <v>14482.54</v>
      </c>
      <c r="AH489" s="40">
        <f t="shared" si="687"/>
        <v>13308.28</v>
      </c>
      <c r="AI489" s="40">
        <f t="shared" si="688"/>
        <v>22550.141111111112</v>
      </c>
      <c r="AJ489" s="40">
        <f t="shared" si="689"/>
        <v>0</v>
      </c>
      <c r="AK489" s="39">
        <f t="shared" si="690"/>
        <v>0</v>
      </c>
      <c r="AL489" s="38">
        <v>0</v>
      </c>
      <c r="AM489" s="38">
        <v>0</v>
      </c>
      <c r="AN489" s="38">
        <v>0</v>
      </c>
      <c r="AO489" s="38">
        <v>0</v>
      </c>
      <c r="AP489" s="38">
        <v>0</v>
      </c>
      <c r="AQ489" s="39">
        <v>0</v>
      </c>
      <c r="AR489" s="40">
        <v>0</v>
      </c>
      <c r="AS489" s="40">
        <v>0</v>
      </c>
      <c r="AT489" s="40">
        <v>0</v>
      </c>
      <c r="AU489" s="40">
        <v>0</v>
      </c>
      <c r="AV489" s="40">
        <v>0</v>
      </c>
      <c r="AW489" s="40">
        <v>0</v>
      </c>
      <c r="AX489" s="40">
        <v>0</v>
      </c>
      <c r="AY489" s="40">
        <v>0</v>
      </c>
      <c r="AZ489" s="40">
        <v>0</v>
      </c>
      <c r="BA489" s="40">
        <v>0</v>
      </c>
      <c r="BB489" s="40">
        <v>73</v>
      </c>
      <c r="BC489" s="39">
        <v>115</v>
      </c>
      <c r="BD489" s="40">
        <v>140</v>
      </c>
      <c r="BE489" s="40">
        <v>123</v>
      </c>
      <c r="BF489" s="40">
        <v>121</v>
      </c>
      <c r="BG489" s="40">
        <v>116</v>
      </c>
      <c r="BH489" s="40">
        <v>60</v>
      </c>
      <c r="BI489" s="40">
        <v>90</v>
      </c>
      <c r="BJ489" s="40">
        <v>56</v>
      </c>
      <c r="BK489" s="40">
        <v>69</v>
      </c>
      <c r="BL489" s="40">
        <v>63</v>
      </c>
      <c r="BM489" s="40">
        <v>97</v>
      </c>
      <c r="BN489" s="40"/>
      <c r="BO489" s="39"/>
      <c r="BP489" s="21">
        <v>0</v>
      </c>
      <c r="BQ489" s="21">
        <v>0</v>
      </c>
      <c r="BR489" s="21">
        <v>0</v>
      </c>
      <c r="BS489" s="21">
        <v>0</v>
      </c>
      <c r="BT489" s="21">
        <v>0</v>
      </c>
      <c r="BU489" s="42">
        <v>0</v>
      </c>
      <c r="BV489" s="21">
        <v>0</v>
      </c>
      <c r="BW489" s="21">
        <v>0</v>
      </c>
      <c r="BX489" s="21">
        <v>0</v>
      </c>
      <c r="BY489" s="21">
        <v>0</v>
      </c>
      <c r="BZ489" s="21">
        <v>0</v>
      </c>
      <c r="CA489" s="21">
        <v>0</v>
      </c>
      <c r="CB489" s="21">
        <v>0</v>
      </c>
      <c r="CC489" s="21">
        <v>0</v>
      </c>
      <c r="CD489" s="21">
        <v>0</v>
      </c>
      <c r="CE489" s="21">
        <v>1</v>
      </c>
      <c r="CF489" s="21">
        <v>54</v>
      </c>
      <c r="CG489" s="42">
        <v>22</v>
      </c>
      <c r="CH489" s="21">
        <v>44</v>
      </c>
      <c r="CI489" s="21">
        <v>20</v>
      </c>
      <c r="CJ489" s="21">
        <v>19</v>
      </c>
      <c r="CK489" s="21">
        <v>33</v>
      </c>
      <c r="CL489" s="21">
        <v>26</v>
      </c>
      <c r="CM489" s="21">
        <v>0</v>
      </c>
      <c r="CN489" s="21">
        <v>12</v>
      </c>
      <c r="CO489" s="21">
        <v>5</v>
      </c>
      <c r="CP489" s="21">
        <f t="shared" si="717"/>
        <v>5</v>
      </c>
      <c r="CQ489" s="343">
        <f t="shared" si="718"/>
        <v>18.222222222222221</v>
      </c>
      <c r="CR489" s="40"/>
      <c r="CS489" s="39"/>
      <c r="CT489" s="38">
        <f t="shared" si="719"/>
        <v>0</v>
      </c>
      <c r="CU489" s="38">
        <f t="shared" si="720"/>
        <v>0</v>
      </c>
      <c r="CV489" s="38">
        <f t="shared" si="721"/>
        <v>0</v>
      </c>
      <c r="CW489" s="38">
        <f t="shared" si="722"/>
        <v>0</v>
      </c>
      <c r="CX489" s="38">
        <f t="shared" si="723"/>
        <v>0</v>
      </c>
      <c r="CY489" s="39">
        <f t="shared" si="724"/>
        <v>0</v>
      </c>
      <c r="CZ489" s="40">
        <f t="shared" si="725"/>
        <v>0</v>
      </c>
      <c r="DA489" s="40">
        <f t="shared" si="726"/>
        <v>0</v>
      </c>
      <c r="DB489" s="40">
        <f t="shared" si="727"/>
        <v>0</v>
      </c>
      <c r="DC489" s="40">
        <f t="shared" si="728"/>
        <v>0</v>
      </c>
      <c r="DD489" s="40">
        <f t="shared" si="729"/>
        <v>0</v>
      </c>
      <c r="DE489" s="40">
        <f t="shared" si="730"/>
        <v>0</v>
      </c>
      <c r="DF489" s="40">
        <f t="shared" si="731"/>
        <v>0</v>
      </c>
      <c r="DG489" s="40">
        <f t="shared" si="732"/>
        <v>0</v>
      </c>
      <c r="DH489" s="40">
        <f t="shared" si="733"/>
        <v>0</v>
      </c>
      <c r="DI489" s="40">
        <f t="shared" si="734"/>
        <v>1</v>
      </c>
      <c r="DJ489" s="40">
        <f t="shared" si="735"/>
        <v>127</v>
      </c>
      <c r="DK489" s="39">
        <f t="shared" si="736"/>
        <v>137</v>
      </c>
      <c r="DL489" s="40">
        <f t="shared" si="737"/>
        <v>184</v>
      </c>
      <c r="DM489" s="40">
        <f t="shared" si="738"/>
        <v>143</v>
      </c>
      <c r="DN489" s="40">
        <f t="shared" si="739"/>
        <v>140</v>
      </c>
      <c r="DO489" s="40">
        <f t="shared" si="740"/>
        <v>149</v>
      </c>
      <c r="DP489" s="40">
        <f t="shared" si="741"/>
        <v>86</v>
      </c>
      <c r="DQ489" s="40">
        <f t="shared" si="742"/>
        <v>90</v>
      </c>
      <c r="DR489" s="40">
        <f t="shared" si="747"/>
        <v>68</v>
      </c>
      <c r="DS489" s="40">
        <f t="shared" si="686"/>
        <v>74</v>
      </c>
      <c r="DT489" s="40">
        <f t="shared" si="743"/>
        <v>68</v>
      </c>
      <c r="DU489" s="40">
        <f t="shared" si="744"/>
        <v>115.22222222222223</v>
      </c>
      <c r="DV489" s="40">
        <f t="shared" si="745"/>
        <v>0</v>
      </c>
      <c r="DW489" s="40">
        <f t="shared" si="746"/>
        <v>0</v>
      </c>
    </row>
    <row r="490" spans="1:127">
      <c r="A490" s="22" t="s">
        <v>33</v>
      </c>
      <c r="B490" s="26">
        <v>4987176314338</v>
      </c>
      <c r="C490" s="22" t="s">
        <v>38</v>
      </c>
      <c r="D490" s="22" t="s">
        <v>38</v>
      </c>
      <c r="E490" s="22">
        <v>264667</v>
      </c>
      <c r="F490" s="80" t="s">
        <v>577</v>
      </c>
      <c r="G490" s="25">
        <v>195.71</v>
      </c>
      <c r="H490" s="38">
        <f t="shared" si="691"/>
        <v>0</v>
      </c>
      <c r="I490" s="38">
        <f t="shared" si="692"/>
        <v>0</v>
      </c>
      <c r="J490" s="38">
        <f t="shared" si="693"/>
        <v>0</v>
      </c>
      <c r="K490" s="38">
        <f t="shared" si="694"/>
        <v>0</v>
      </c>
      <c r="L490" s="38">
        <f t="shared" si="695"/>
        <v>0</v>
      </c>
      <c r="M490" s="39">
        <f t="shared" si="696"/>
        <v>0</v>
      </c>
      <c r="N490" s="40">
        <f t="shared" si="697"/>
        <v>0</v>
      </c>
      <c r="O490" s="40">
        <f t="shared" si="698"/>
        <v>0</v>
      </c>
      <c r="P490" s="40">
        <f t="shared" si="699"/>
        <v>0</v>
      </c>
      <c r="Q490" s="40">
        <f t="shared" si="700"/>
        <v>0</v>
      </c>
      <c r="R490" s="40">
        <f t="shared" si="701"/>
        <v>0</v>
      </c>
      <c r="S490" s="40">
        <f t="shared" si="702"/>
        <v>0</v>
      </c>
      <c r="T490" s="40">
        <f t="shared" si="703"/>
        <v>0</v>
      </c>
      <c r="U490" s="40">
        <f t="shared" si="704"/>
        <v>0</v>
      </c>
      <c r="V490" s="40">
        <f t="shared" si="705"/>
        <v>0</v>
      </c>
      <c r="W490" s="40">
        <f t="shared" si="706"/>
        <v>195.71</v>
      </c>
      <c r="X490" s="40">
        <f t="shared" si="707"/>
        <v>47166.11</v>
      </c>
      <c r="Y490" s="39">
        <f t="shared" si="708"/>
        <v>38163.450000000004</v>
      </c>
      <c r="Z490" s="40">
        <f t="shared" si="709"/>
        <v>25050.880000000001</v>
      </c>
      <c r="AA490" s="40">
        <f t="shared" si="710"/>
        <v>37184.9</v>
      </c>
      <c r="AB490" s="40">
        <f t="shared" si="711"/>
        <v>64584.3</v>
      </c>
      <c r="AC490" s="40">
        <f t="shared" si="712"/>
        <v>16243.93</v>
      </c>
      <c r="AD490" s="40">
        <f t="shared" si="713"/>
        <v>16048.220000000001</v>
      </c>
      <c r="AE490" s="40">
        <f t="shared" si="714"/>
        <v>17809.61</v>
      </c>
      <c r="AF490" s="40">
        <f t="shared" si="715"/>
        <v>10568.34</v>
      </c>
      <c r="AG490" s="40">
        <f t="shared" si="716"/>
        <v>12134.02</v>
      </c>
      <c r="AH490" s="40">
        <f t="shared" si="687"/>
        <v>10764.050000000001</v>
      </c>
      <c r="AI490" s="40">
        <f t="shared" si="688"/>
        <v>16417.894444444446</v>
      </c>
      <c r="AJ490" s="40">
        <f t="shared" si="689"/>
        <v>0</v>
      </c>
      <c r="AK490" s="39">
        <f t="shared" si="690"/>
        <v>0</v>
      </c>
      <c r="AL490" s="38">
        <v>0</v>
      </c>
      <c r="AM490" s="38">
        <v>0</v>
      </c>
      <c r="AN490" s="38">
        <v>0</v>
      </c>
      <c r="AO490" s="38">
        <v>0</v>
      </c>
      <c r="AP490" s="38">
        <v>0</v>
      </c>
      <c r="AQ490" s="39">
        <v>0</v>
      </c>
      <c r="AR490" s="40">
        <v>0</v>
      </c>
      <c r="AS490" s="40">
        <v>0</v>
      </c>
      <c r="AT490" s="40">
        <v>0</v>
      </c>
      <c r="AU490" s="40">
        <v>0</v>
      </c>
      <c r="AV490" s="40">
        <v>0</v>
      </c>
      <c r="AW490" s="40">
        <v>0</v>
      </c>
      <c r="AX490" s="40">
        <v>0</v>
      </c>
      <c r="AY490" s="40">
        <v>0</v>
      </c>
      <c r="AZ490" s="40">
        <v>0</v>
      </c>
      <c r="BA490" s="40">
        <v>0</v>
      </c>
      <c r="BB490" s="40">
        <v>134</v>
      </c>
      <c r="BC490" s="39">
        <v>178</v>
      </c>
      <c r="BD490" s="40">
        <v>91</v>
      </c>
      <c r="BE490" s="40">
        <v>167</v>
      </c>
      <c r="BF490" s="40">
        <v>316</v>
      </c>
      <c r="BG490" s="40">
        <v>73</v>
      </c>
      <c r="BH490" s="40">
        <v>67</v>
      </c>
      <c r="BI490" s="40">
        <v>84</v>
      </c>
      <c r="BJ490" s="40">
        <v>43</v>
      </c>
      <c r="BK490" s="40">
        <v>58</v>
      </c>
      <c r="BL490" s="40">
        <v>51</v>
      </c>
      <c r="BM490" s="40">
        <v>70</v>
      </c>
      <c r="BN490" s="40"/>
      <c r="BO490" s="39"/>
      <c r="BP490" s="21">
        <v>0</v>
      </c>
      <c r="BQ490" s="21">
        <v>0</v>
      </c>
      <c r="BR490" s="21">
        <v>0</v>
      </c>
      <c r="BS490" s="21">
        <v>0</v>
      </c>
      <c r="BT490" s="21">
        <v>0</v>
      </c>
      <c r="BU490" s="42">
        <v>0</v>
      </c>
      <c r="BV490" s="21">
        <v>0</v>
      </c>
      <c r="BW490" s="21">
        <v>0</v>
      </c>
      <c r="BX490" s="21">
        <v>0</v>
      </c>
      <c r="BY490" s="21">
        <v>0</v>
      </c>
      <c r="BZ490" s="21">
        <v>0</v>
      </c>
      <c r="CA490" s="21">
        <v>0</v>
      </c>
      <c r="CB490" s="21">
        <v>0</v>
      </c>
      <c r="CC490" s="21">
        <v>0</v>
      </c>
      <c r="CD490" s="21">
        <v>0</v>
      </c>
      <c r="CE490" s="21">
        <v>1</v>
      </c>
      <c r="CF490" s="21">
        <v>107</v>
      </c>
      <c r="CG490" s="42">
        <v>17</v>
      </c>
      <c r="CH490" s="21">
        <v>37</v>
      </c>
      <c r="CI490" s="21">
        <v>23</v>
      </c>
      <c r="CJ490" s="21">
        <v>14</v>
      </c>
      <c r="CK490" s="21">
        <v>10</v>
      </c>
      <c r="CL490" s="21">
        <v>15</v>
      </c>
      <c r="CM490" s="21">
        <v>7</v>
      </c>
      <c r="CN490" s="21">
        <v>11</v>
      </c>
      <c r="CO490" s="21">
        <v>4</v>
      </c>
      <c r="CP490" s="21">
        <f t="shared" si="717"/>
        <v>4</v>
      </c>
      <c r="CQ490" s="343">
        <f t="shared" si="718"/>
        <v>13.888888888888889</v>
      </c>
      <c r="CR490" s="40"/>
      <c r="CS490" s="39"/>
      <c r="CT490" s="38">
        <f t="shared" si="719"/>
        <v>0</v>
      </c>
      <c r="CU490" s="38">
        <f t="shared" si="720"/>
        <v>0</v>
      </c>
      <c r="CV490" s="38">
        <f t="shared" si="721"/>
        <v>0</v>
      </c>
      <c r="CW490" s="38">
        <f t="shared" si="722"/>
        <v>0</v>
      </c>
      <c r="CX490" s="38">
        <f t="shared" si="723"/>
        <v>0</v>
      </c>
      <c r="CY490" s="39">
        <f t="shared" si="724"/>
        <v>0</v>
      </c>
      <c r="CZ490" s="40">
        <f t="shared" si="725"/>
        <v>0</v>
      </c>
      <c r="DA490" s="40">
        <f t="shared" si="726"/>
        <v>0</v>
      </c>
      <c r="DB490" s="40">
        <f t="shared" si="727"/>
        <v>0</v>
      </c>
      <c r="DC490" s="40">
        <f t="shared" si="728"/>
        <v>0</v>
      </c>
      <c r="DD490" s="40">
        <f t="shared" si="729"/>
        <v>0</v>
      </c>
      <c r="DE490" s="40">
        <f t="shared" si="730"/>
        <v>0</v>
      </c>
      <c r="DF490" s="40">
        <f t="shared" si="731"/>
        <v>0</v>
      </c>
      <c r="DG490" s="40">
        <f t="shared" si="732"/>
        <v>0</v>
      </c>
      <c r="DH490" s="40">
        <f t="shared" si="733"/>
        <v>0</v>
      </c>
      <c r="DI490" s="40">
        <f t="shared" si="734"/>
        <v>1</v>
      </c>
      <c r="DJ490" s="40">
        <f t="shared" si="735"/>
        <v>241</v>
      </c>
      <c r="DK490" s="39">
        <f t="shared" si="736"/>
        <v>195</v>
      </c>
      <c r="DL490" s="40">
        <f t="shared" si="737"/>
        <v>128</v>
      </c>
      <c r="DM490" s="40">
        <f t="shared" si="738"/>
        <v>190</v>
      </c>
      <c r="DN490" s="40">
        <f t="shared" si="739"/>
        <v>330</v>
      </c>
      <c r="DO490" s="40">
        <f t="shared" si="740"/>
        <v>83</v>
      </c>
      <c r="DP490" s="40">
        <f t="shared" si="741"/>
        <v>82</v>
      </c>
      <c r="DQ490" s="40">
        <f t="shared" si="742"/>
        <v>91</v>
      </c>
      <c r="DR490" s="40">
        <f t="shared" si="747"/>
        <v>54</v>
      </c>
      <c r="DS490" s="40">
        <f t="shared" si="686"/>
        <v>62</v>
      </c>
      <c r="DT490" s="40">
        <f t="shared" si="743"/>
        <v>55</v>
      </c>
      <c r="DU490" s="40">
        <f t="shared" si="744"/>
        <v>83.888888888888886</v>
      </c>
      <c r="DV490" s="40">
        <f t="shared" si="745"/>
        <v>0</v>
      </c>
      <c r="DW490" s="40">
        <f t="shared" si="746"/>
        <v>0</v>
      </c>
    </row>
    <row r="491" spans="1:127">
      <c r="A491" s="22" t="s">
        <v>33</v>
      </c>
      <c r="B491" s="26">
        <v>4987176314291</v>
      </c>
      <c r="C491" s="22" t="s">
        <v>38</v>
      </c>
      <c r="D491" s="22" t="s">
        <v>38</v>
      </c>
      <c r="E491" s="22">
        <v>264669</v>
      </c>
      <c r="F491" s="80" t="s">
        <v>578</v>
      </c>
      <c r="G491" s="25">
        <v>156.63</v>
      </c>
      <c r="H491" s="38">
        <f t="shared" si="691"/>
        <v>0</v>
      </c>
      <c r="I491" s="38">
        <f t="shared" si="692"/>
        <v>0</v>
      </c>
      <c r="J491" s="38">
        <f t="shared" si="693"/>
        <v>0</v>
      </c>
      <c r="K491" s="38">
        <f t="shared" si="694"/>
        <v>0</v>
      </c>
      <c r="L491" s="38">
        <f t="shared" si="695"/>
        <v>0</v>
      </c>
      <c r="M491" s="39">
        <f t="shared" si="696"/>
        <v>0</v>
      </c>
      <c r="N491" s="40">
        <f t="shared" si="697"/>
        <v>0</v>
      </c>
      <c r="O491" s="40">
        <f t="shared" si="698"/>
        <v>0</v>
      </c>
      <c r="P491" s="40">
        <f t="shared" si="699"/>
        <v>0</v>
      </c>
      <c r="Q491" s="40">
        <f t="shared" si="700"/>
        <v>0</v>
      </c>
      <c r="R491" s="40">
        <f t="shared" si="701"/>
        <v>0</v>
      </c>
      <c r="S491" s="40">
        <f t="shared" si="702"/>
        <v>0</v>
      </c>
      <c r="T491" s="40">
        <f t="shared" si="703"/>
        <v>0</v>
      </c>
      <c r="U491" s="40">
        <f t="shared" si="704"/>
        <v>0</v>
      </c>
      <c r="V491" s="40">
        <f t="shared" si="705"/>
        <v>0</v>
      </c>
      <c r="W491" s="40">
        <f t="shared" si="706"/>
        <v>0</v>
      </c>
      <c r="X491" s="40">
        <f t="shared" si="707"/>
        <v>4385.6399999999994</v>
      </c>
      <c r="Y491" s="39">
        <f t="shared" si="708"/>
        <v>11747.25</v>
      </c>
      <c r="Z491" s="40">
        <f t="shared" si="709"/>
        <v>19735.38</v>
      </c>
      <c r="AA491" s="40">
        <f t="shared" si="710"/>
        <v>21301.68</v>
      </c>
      <c r="AB491" s="40">
        <f t="shared" si="711"/>
        <v>28976.55</v>
      </c>
      <c r="AC491" s="40">
        <f t="shared" si="712"/>
        <v>31326</v>
      </c>
      <c r="AD491" s="40">
        <f t="shared" si="713"/>
        <v>36964.68</v>
      </c>
      <c r="AE491" s="40">
        <f t="shared" si="714"/>
        <v>37591.199999999997</v>
      </c>
      <c r="AF491" s="40">
        <f t="shared" si="715"/>
        <v>22398.09</v>
      </c>
      <c r="AG491" s="40">
        <f t="shared" si="716"/>
        <v>32735.67</v>
      </c>
      <c r="AH491" s="40">
        <f t="shared" si="687"/>
        <v>28506.66</v>
      </c>
      <c r="AI491" s="40">
        <f t="shared" si="688"/>
        <v>46745.353333333333</v>
      </c>
      <c r="AJ491" s="40">
        <f t="shared" si="689"/>
        <v>0</v>
      </c>
      <c r="AK491" s="39">
        <f t="shared" si="690"/>
        <v>0</v>
      </c>
      <c r="AL491" s="38">
        <v>0</v>
      </c>
      <c r="AM491" s="38">
        <v>0</v>
      </c>
      <c r="AN491" s="38">
        <v>0</v>
      </c>
      <c r="AO491" s="38">
        <v>0</v>
      </c>
      <c r="AP491" s="38">
        <v>0</v>
      </c>
      <c r="AQ491" s="39">
        <v>0</v>
      </c>
      <c r="AR491" s="40">
        <v>0</v>
      </c>
      <c r="AS491" s="40">
        <v>0</v>
      </c>
      <c r="AT491" s="40">
        <v>0</v>
      </c>
      <c r="AU491" s="40">
        <v>0</v>
      </c>
      <c r="AV491" s="40">
        <v>0</v>
      </c>
      <c r="AW491" s="40">
        <v>0</v>
      </c>
      <c r="AX491" s="40">
        <v>0</v>
      </c>
      <c r="AY491" s="40">
        <v>0</v>
      </c>
      <c r="AZ491" s="40">
        <v>0</v>
      </c>
      <c r="BA491" s="40">
        <v>0</v>
      </c>
      <c r="BB491" s="40">
        <v>6</v>
      </c>
      <c r="BC491" s="39">
        <v>47</v>
      </c>
      <c r="BD491" s="40">
        <v>111</v>
      </c>
      <c r="BE491" s="40">
        <v>110</v>
      </c>
      <c r="BF491" s="40">
        <v>160</v>
      </c>
      <c r="BG491" s="40">
        <v>132</v>
      </c>
      <c r="BH491" s="40">
        <v>138</v>
      </c>
      <c r="BI491" s="40">
        <v>219</v>
      </c>
      <c r="BJ491" s="40">
        <v>119</v>
      </c>
      <c r="BK491" s="40">
        <v>188</v>
      </c>
      <c r="BL491" s="40">
        <v>161</v>
      </c>
      <c r="BM491" s="40">
        <v>263</v>
      </c>
      <c r="BN491" s="40"/>
      <c r="BO491" s="39"/>
      <c r="BP491" s="21">
        <v>0</v>
      </c>
      <c r="BQ491" s="21">
        <v>0</v>
      </c>
      <c r="BR491" s="21">
        <v>0</v>
      </c>
      <c r="BS491" s="21">
        <v>0</v>
      </c>
      <c r="BT491" s="21">
        <v>0</v>
      </c>
      <c r="BU491" s="42">
        <v>0</v>
      </c>
      <c r="BV491" s="21">
        <v>0</v>
      </c>
      <c r="BW491" s="21">
        <v>0</v>
      </c>
      <c r="BX491" s="21">
        <v>0</v>
      </c>
      <c r="BY491" s="21">
        <v>0</v>
      </c>
      <c r="BZ491" s="21">
        <v>0</v>
      </c>
      <c r="CA491" s="21">
        <v>0</v>
      </c>
      <c r="CB491" s="21">
        <v>0</v>
      </c>
      <c r="CC491" s="21">
        <v>0</v>
      </c>
      <c r="CD491" s="21">
        <v>0</v>
      </c>
      <c r="CE491" s="21">
        <v>0</v>
      </c>
      <c r="CF491" s="21">
        <v>22</v>
      </c>
      <c r="CG491" s="42">
        <v>28</v>
      </c>
      <c r="CH491" s="21">
        <v>15</v>
      </c>
      <c r="CI491" s="21">
        <v>26</v>
      </c>
      <c r="CJ491" s="21">
        <v>25</v>
      </c>
      <c r="CK491" s="21">
        <v>68</v>
      </c>
      <c r="CL491" s="21">
        <v>98</v>
      </c>
      <c r="CM491" s="21">
        <v>21</v>
      </c>
      <c r="CN491" s="21">
        <v>24</v>
      </c>
      <c r="CO491" s="21">
        <v>21</v>
      </c>
      <c r="CP491" s="21">
        <f t="shared" si="717"/>
        <v>21</v>
      </c>
      <c r="CQ491" s="343">
        <f t="shared" si="718"/>
        <v>35.444444444444443</v>
      </c>
      <c r="CR491" s="40"/>
      <c r="CS491" s="39"/>
      <c r="CT491" s="38">
        <f t="shared" si="719"/>
        <v>0</v>
      </c>
      <c r="CU491" s="38">
        <f t="shared" si="720"/>
        <v>0</v>
      </c>
      <c r="CV491" s="38">
        <f t="shared" si="721"/>
        <v>0</v>
      </c>
      <c r="CW491" s="38">
        <f t="shared" si="722"/>
        <v>0</v>
      </c>
      <c r="CX491" s="38">
        <f t="shared" si="723"/>
        <v>0</v>
      </c>
      <c r="CY491" s="39">
        <f t="shared" si="724"/>
        <v>0</v>
      </c>
      <c r="CZ491" s="40">
        <f t="shared" si="725"/>
        <v>0</v>
      </c>
      <c r="DA491" s="40">
        <f t="shared" si="726"/>
        <v>0</v>
      </c>
      <c r="DB491" s="40">
        <f t="shared" si="727"/>
        <v>0</v>
      </c>
      <c r="DC491" s="40">
        <f t="shared" si="728"/>
        <v>0</v>
      </c>
      <c r="DD491" s="40">
        <f t="shared" si="729"/>
        <v>0</v>
      </c>
      <c r="DE491" s="40">
        <f t="shared" si="730"/>
        <v>0</v>
      </c>
      <c r="DF491" s="40">
        <f t="shared" si="731"/>
        <v>0</v>
      </c>
      <c r="DG491" s="40">
        <f t="shared" si="732"/>
        <v>0</v>
      </c>
      <c r="DH491" s="40">
        <f t="shared" si="733"/>
        <v>0</v>
      </c>
      <c r="DI491" s="40">
        <f t="shared" si="734"/>
        <v>0</v>
      </c>
      <c r="DJ491" s="40">
        <f t="shared" si="735"/>
        <v>28</v>
      </c>
      <c r="DK491" s="39">
        <f t="shared" si="736"/>
        <v>75</v>
      </c>
      <c r="DL491" s="40">
        <f t="shared" si="737"/>
        <v>126</v>
      </c>
      <c r="DM491" s="40">
        <f t="shared" si="738"/>
        <v>136</v>
      </c>
      <c r="DN491" s="40">
        <f t="shared" si="739"/>
        <v>185</v>
      </c>
      <c r="DO491" s="40">
        <f t="shared" si="740"/>
        <v>200</v>
      </c>
      <c r="DP491" s="40">
        <f t="shared" si="741"/>
        <v>236</v>
      </c>
      <c r="DQ491" s="40">
        <f t="shared" si="742"/>
        <v>240</v>
      </c>
      <c r="DR491" s="40">
        <f t="shared" si="747"/>
        <v>143</v>
      </c>
      <c r="DS491" s="40">
        <f t="shared" ref="DS491:DS554" si="748">BK491+CO491</f>
        <v>209</v>
      </c>
      <c r="DT491" s="40">
        <f t="shared" si="743"/>
        <v>182</v>
      </c>
      <c r="DU491" s="40">
        <f t="shared" si="744"/>
        <v>298.44444444444446</v>
      </c>
      <c r="DV491" s="40">
        <f t="shared" si="745"/>
        <v>0</v>
      </c>
      <c r="DW491" s="40">
        <f t="shared" si="746"/>
        <v>0</v>
      </c>
    </row>
    <row r="492" spans="1:127">
      <c r="A492" s="22" t="s">
        <v>33</v>
      </c>
      <c r="B492" s="26">
        <v>4987176314406</v>
      </c>
      <c r="C492" s="22" t="s">
        <v>38</v>
      </c>
      <c r="D492" s="22" t="s">
        <v>38</v>
      </c>
      <c r="E492" s="22">
        <v>264674</v>
      </c>
      <c r="F492" s="80" t="s">
        <v>579</v>
      </c>
      <c r="G492" s="25">
        <v>195.71</v>
      </c>
      <c r="H492" s="38">
        <f t="shared" si="691"/>
        <v>0</v>
      </c>
      <c r="I492" s="38">
        <f t="shared" si="692"/>
        <v>0</v>
      </c>
      <c r="J492" s="38">
        <f t="shared" si="693"/>
        <v>0</v>
      </c>
      <c r="K492" s="38">
        <f t="shared" si="694"/>
        <v>0</v>
      </c>
      <c r="L492" s="38">
        <f t="shared" si="695"/>
        <v>0</v>
      </c>
      <c r="M492" s="39">
        <f t="shared" si="696"/>
        <v>0</v>
      </c>
      <c r="N492" s="40">
        <f t="shared" si="697"/>
        <v>0</v>
      </c>
      <c r="O492" s="40">
        <f t="shared" si="698"/>
        <v>0</v>
      </c>
      <c r="P492" s="40">
        <f t="shared" si="699"/>
        <v>0</v>
      </c>
      <c r="Q492" s="40">
        <f t="shared" si="700"/>
        <v>0</v>
      </c>
      <c r="R492" s="40">
        <f t="shared" si="701"/>
        <v>0</v>
      </c>
      <c r="S492" s="40">
        <f t="shared" si="702"/>
        <v>0</v>
      </c>
      <c r="T492" s="40">
        <f t="shared" si="703"/>
        <v>0</v>
      </c>
      <c r="U492" s="40">
        <f t="shared" si="704"/>
        <v>0</v>
      </c>
      <c r="V492" s="40">
        <f t="shared" si="705"/>
        <v>0</v>
      </c>
      <c r="W492" s="40">
        <f t="shared" si="706"/>
        <v>195.71</v>
      </c>
      <c r="X492" s="40">
        <f t="shared" si="707"/>
        <v>31509.31</v>
      </c>
      <c r="Y492" s="39">
        <f t="shared" si="708"/>
        <v>36402.060000000005</v>
      </c>
      <c r="Z492" s="40">
        <f t="shared" si="709"/>
        <v>40707.68</v>
      </c>
      <c r="AA492" s="40">
        <f t="shared" si="710"/>
        <v>37967.74</v>
      </c>
      <c r="AB492" s="40">
        <f t="shared" si="711"/>
        <v>25246.59</v>
      </c>
      <c r="AC492" s="40">
        <f t="shared" si="712"/>
        <v>29747.920000000002</v>
      </c>
      <c r="AD492" s="40">
        <f t="shared" si="713"/>
        <v>20745.260000000002</v>
      </c>
      <c r="AE492" s="40">
        <f t="shared" si="714"/>
        <v>27790.82</v>
      </c>
      <c r="AF492" s="40">
        <f t="shared" si="715"/>
        <v>18201.030000000002</v>
      </c>
      <c r="AG492" s="40">
        <f t="shared" si="716"/>
        <v>19962.420000000002</v>
      </c>
      <c r="AH492" s="40">
        <f t="shared" si="687"/>
        <v>19571</v>
      </c>
      <c r="AI492" s="40">
        <f t="shared" si="688"/>
        <v>33292.445555555554</v>
      </c>
      <c r="AJ492" s="40">
        <f t="shared" si="689"/>
        <v>0</v>
      </c>
      <c r="AK492" s="39">
        <f t="shared" si="690"/>
        <v>0</v>
      </c>
      <c r="AL492" s="38">
        <v>0</v>
      </c>
      <c r="AM492" s="38">
        <v>0</v>
      </c>
      <c r="AN492" s="38">
        <v>0</v>
      </c>
      <c r="AO492" s="38">
        <v>0</v>
      </c>
      <c r="AP492" s="38">
        <v>0</v>
      </c>
      <c r="AQ492" s="39">
        <v>0</v>
      </c>
      <c r="AR492" s="40">
        <v>0</v>
      </c>
      <c r="AS492" s="40">
        <v>0</v>
      </c>
      <c r="AT492" s="40">
        <v>0</v>
      </c>
      <c r="AU492" s="40">
        <v>0</v>
      </c>
      <c r="AV492" s="40">
        <v>0</v>
      </c>
      <c r="AW492" s="40">
        <v>0</v>
      </c>
      <c r="AX492" s="40">
        <v>0</v>
      </c>
      <c r="AY492" s="40">
        <v>0</v>
      </c>
      <c r="AZ492" s="40">
        <v>0</v>
      </c>
      <c r="BA492" s="40">
        <v>0</v>
      </c>
      <c r="BB492" s="40">
        <v>114</v>
      </c>
      <c r="BC492" s="39">
        <v>176</v>
      </c>
      <c r="BD492" s="40">
        <v>169</v>
      </c>
      <c r="BE492" s="40">
        <v>179</v>
      </c>
      <c r="BF492" s="40">
        <v>119</v>
      </c>
      <c r="BG492" s="40">
        <v>140</v>
      </c>
      <c r="BH492" s="40">
        <v>88</v>
      </c>
      <c r="BI492" s="40">
        <v>135</v>
      </c>
      <c r="BJ492" s="40">
        <v>84</v>
      </c>
      <c r="BK492" s="40">
        <v>98</v>
      </c>
      <c r="BL492" s="40">
        <v>96</v>
      </c>
      <c r="BM492" s="40">
        <v>157</v>
      </c>
      <c r="BN492" s="40"/>
      <c r="BO492" s="39"/>
      <c r="BP492" s="21">
        <v>0</v>
      </c>
      <c r="BQ492" s="21">
        <v>0</v>
      </c>
      <c r="BR492" s="21">
        <v>0</v>
      </c>
      <c r="BS492" s="21">
        <v>0</v>
      </c>
      <c r="BT492" s="21">
        <v>0</v>
      </c>
      <c r="BU492" s="42">
        <v>0</v>
      </c>
      <c r="BV492" s="21">
        <v>0</v>
      </c>
      <c r="BW492" s="21">
        <v>0</v>
      </c>
      <c r="BX492" s="21">
        <v>0</v>
      </c>
      <c r="BY492" s="21">
        <v>0</v>
      </c>
      <c r="BZ492" s="21">
        <v>0</v>
      </c>
      <c r="CA492" s="21">
        <v>0</v>
      </c>
      <c r="CB492" s="21">
        <v>0</v>
      </c>
      <c r="CC492" s="21">
        <v>0</v>
      </c>
      <c r="CD492" s="21">
        <v>0</v>
      </c>
      <c r="CE492" s="21">
        <v>1</v>
      </c>
      <c r="CF492" s="21">
        <v>47</v>
      </c>
      <c r="CG492" s="42">
        <v>10</v>
      </c>
      <c r="CH492" s="21">
        <v>39</v>
      </c>
      <c r="CI492" s="21">
        <v>15</v>
      </c>
      <c r="CJ492" s="21">
        <v>10</v>
      </c>
      <c r="CK492" s="21">
        <v>12</v>
      </c>
      <c r="CL492" s="21">
        <v>18</v>
      </c>
      <c r="CM492" s="21">
        <v>7</v>
      </c>
      <c r="CN492" s="21">
        <v>9</v>
      </c>
      <c r="CO492" s="21">
        <v>4</v>
      </c>
      <c r="CP492" s="21">
        <f t="shared" si="717"/>
        <v>4</v>
      </c>
      <c r="CQ492" s="343">
        <f t="shared" si="718"/>
        <v>13.111111111111111</v>
      </c>
      <c r="CR492" s="40"/>
      <c r="CS492" s="39"/>
      <c r="CT492" s="38">
        <f t="shared" si="719"/>
        <v>0</v>
      </c>
      <c r="CU492" s="38">
        <f t="shared" si="720"/>
        <v>0</v>
      </c>
      <c r="CV492" s="38">
        <f t="shared" si="721"/>
        <v>0</v>
      </c>
      <c r="CW492" s="38">
        <f t="shared" si="722"/>
        <v>0</v>
      </c>
      <c r="CX492" s="38">
        <f t="shared" si="723"/>
        <v>0</v>
      </c>
      <c r="CY492" s="39">
        <f t="shared" si="724"/>
        <v>0</v>
      </c>
      <c r="CZ492" s="40">
        <f t="shared" si="725"/>
        <v>0</v>
      </c>
      <c r="DA492" s="40">
        <f t="shared" si="726"/>
        <v>0</v>
      </c>
      <c r="DB492" s="40">
        <f t="shared" si="727"/>
        <v>0</v>
      </c>
      <c r="DC492" s="40">
        <f t="shared" si="728"/>
        <v>0</v>
      </c>
      <c r="DD492" s="40">
        <f t="shared" si="729"/>
        <v>0</v>
      </c>
      <c r="DE492" s="40">
        <f t="shared" si="730"/>
        <v>0</v>
      </c>
      <c r="DF492" s="40">
        <f t="shared" si="731"/>
        <v>0</v>
      </c>
      <c r="DG492" s="40">
        <f t="shared" si="732"/>
        <v>0</v>
      </c>
      <c r="DH492" s="40">
        <f t="shared" si="733"/>
        <v>0</v>
      </c>
      <c r="DI492" s="40">
        <f t="shared" si="734"/>
        <v>1</v>
      </c>
      <c r="DJ492" s="40">
        <f t="shared" si="735"/>
        <v>161</v>
      </c>
      <c r="DK492" s="39">
        <f t="shared" si="736"/>
        <v>186</v>
      </c>
      <c r="DL492" s="40">
        <f t="shared" si="737"/>
        <v>208</v>
      </c>
      <c r="DM492" s="40">
        <f t="shared" si="738"/>
        <v>194</v>
      </c>
      <c r="DN492" s="40">
        <f t="shared" si="739"/>
        <v>129</v>
      </c>
      <c r="DO492" s="40">
        <f t="shared" si="740"/>
        <v>152</v>
      </c>
      <c r="DP492" s="40">
        <f t="shared" si="741"/>
        <v>106</v>
      </c>
      <c r="DQ492" s="40">
        <f t="shared" si="742"/>
        <v>142</v>
      </c>
      <c r="DR492" s="40">
        <f t="shared" si="747"/>
        <v>93</v>
      </c>
      <c r="DS492" s="40">
        <f t="shared" si="748"/>
        <v>102</v>
      </c>
      <c r="DT492" s="40">
        <f t="shared" si="743"/>
        <v>100</v>
      </c>
      <c r="DU492" s="40">
        <f t="shared" si="744"/>
        <v>170.11111111111111</v>
      </c>
      <c r="DV492" s="40">
        <f t="shared" si="745"/>
        <v>0</v>
      </c>
      <c r="DW492" s="40">
        <f t="shared" si="746"/>
        <v>0</v>
      </c>
    </row>
    <row r="493" spans="1:127">
      <c r="A493" s="22" t="s">
        <v>33</v>
      </c>
      <c r="B493" s="26">
        <v>4987176314413</v>
      </c>
      <c r="C493" s="22" t="s">
        <v>38</v>
      </c>
      <c r="D493" s="22" t="s">
        <v>38</v>
      </c>
      <c r="E493" s="22">
        <v>264543</v>
      </c>
      <c r="F493" s="80" t="s">
        <v>580</v>
      </c>
      <c r="G493" s="25">
        <v>195.71</v>
      </c>
      <c r="H493" s="38">
        <f t="shared" si="691"/>
        <v>0</v>
      </c>
      <c r="I493" s="38">
        <f t="shared" si="692"/>
        <v>0</v>
      </c>
      <c r="J493" s="38">
        <f t="shared" si="693"/>
        <v>0</v>
      </c>
      <c r="K493" s="38">
        <f t="shared" si="694"/>
        <v>0</v>
      </c>
      <c r="L493" s="38">
        <f t="shared" si="695"/>
        <v>0</v>
      </c>
      <c r="M493" s="39">
        <f t="shared" si="696"/>
        <v>0</v>
      </c>
      <c r="N493" s="40">
        <f t="shared" si="697"/>
        <v>0</v>
      </c>
      <c r="O493" s="40">
        <f t="shared" si="698"/>
        <v>0</v>
      </c>
      <c r="P493" s="40">
        <f t="shared" si="699"/>
        <v>0</v>
      </c>
      <c r="Q493" s="40">
        <f t="shared" si="700"/>
        <v>0</v>
      </c>
      <c r="R493" s="40">
        <f t="shared" si="701"/>
        <v>0</v>
      </c>
      <c r="S493" s="40">
        <f t="shared" si="702"/>
        <v>0</v>
      </c>
      <c r="T493" s="40">
        <f t="shared" si="703"/>
        <v>0</v>
      </c>
      <c r="U493" s="40">
        <f t="shared" si="704"/>
        <v>0</v>
      </c>
      <c r="V493" s="40">
        <f t="shared" si="705"/>
        <v>0</v>
      </c>
      <c r="W493" s="40">
        <f t="shared" si="706"/>
        <v>0</v>
      </c>
      <c r="X493" s="40">
        <f t="shared" si="707"/>
        <v>11155.470000000001</v>
      </c>
      <c r="Y493" s="39">
        <f t="shared" si="708"/>
        <v>20940.97</v>
      </c>
      <c r="Z493" s="40">
        <f t="shared" si="709"/>
        <v>23485.200000000001</v>
      </c>
      <c r="AA493" s="40">
        <f t="shared" si="710"/>
        <v>22702.36</v>
      </c>
      <c r="AB493" s="40">
        <f t="shared" si="711"/>
        <v>18005.32</v>
      </c>
      <c r="AC493" s="40">
        <f t="shared" si="712"/>
        <v>21723.81</v>
      </c>
      <c r="AD493" s="40">
        <f t="shared" si="713"/>
        <v>15656.800000000001</v>
      </c>
      <c r="AE493" s="40">
        <f t="shared" si="714"/>
        <v>19766.71</v>
      </c>
      <c r="AF493" s="40">
        <f t="shared" si="715"/>
        <v>12134.02</v>
      </c>
      <c r="AG493" s="40">
        <f t="shared" si="716"/>
        <v>19766.71</v>
      </c>
      <c r="AH493" s="40">
        <f t="shared" si="687"/>
        <v>13308.28</v>
      </c>
      <c r="AI493" s="40">
        <f t="shared" si="688"/>
        <v>24311.531111111115</v>
      </c>
      <c r="AJ493" s="40">
        <f t="shared" si="689"/>
        <v>0</v>
      </c>
      <c r="AK493" s="39">
        <f t="shared" si="690"/>
        <v>0</v>
      </c>
      <c r="AL493" s="38">
        <v>0</v>
      </c>
      <c r="AM493" s="38">
        <v>0</v>
      </c>
      <c r="AN493" s="38">
        <v>0</v>
      </c>
      <c r="AO493" s="38">
        <v>0</v>
      </c>
      <c r="AP493" s="38">
        <v>0</v>
      </c>
      <c r="AQ493" s="39">
        <v>0</v>
      </c>
      <c r="AR493" s="40">
        <v>0</v>
      </c>
      <c r="AS493" s="40">
        <v>0</v>
      </c>
      <c r="AT493" s="40">
        <v>0</v>
      </c>
      <c r="AU493" s="40">
        <v>0</v>
      </c>
      <c r="AV493" s="40">
        <v>0</v>
      </c>
      <c r="AW493" s="40">
        <v>0</v>
      </c>
      <c r="AX493" s="40">
        <v>0</v>
      </c>
      <c r="AY493" s="40">
        <v>0</v>
      </c>
      <c r="AZ493" s="40">
        <v>0</v>
      </c>
      <c r="BA493" s="40">
        <v>0</v>
      </c>
      <c r="BB493" s="40">
        <v>15</v>
      </c>
      <c r="BC493" s="39">
        <v>100</v>
      </c>
      <c r="BD493" s="40">
        <v>103</v>
      </c>
      <c r="BE493" s="40">
        <v>112</v>
      </c>
      <c r="BF493" s="40">
        <v>87</v>
      </c>
      <c r="BG493" s="40">
        <v>104</v>
      </c>
      <c r="BH493" s="40">
        <v>64</v>
      </c>
      <c r="BI493" s="40">
        <v>100</v>
      </c>
      <c r="BJ493" s="40">
        <v>60</v>
      </c>
      <c r="BK493" s="40">
        <v>99</v>
      </c>
      <c r="BL493" s="40">
        <v>66</v>
      </c>
      <c r="BM493" s="40">
        <v>118</v>
      </c>
      <c r="BN493" s="40"/>
      <c r="BO493" s="39"/>
      <c r="BP493" s="21">
        <v>0</v>
      </c>
      <c r="BQ493" s="21">
        <v>0</v>
      </c>
      <c r="BR493" s="21">
        <v>0</v>
      </c>
      <c r="BS493" s="21">
        <v>0</v>
      </c>
      <c r="BT493" s="21">
        <v>0</v>
      </c>
      <c r="BU493" s="42">
        <v>0</v>
      </c>
      <c r="BV493" s="21">
        <v>0</v>
      </c>
      <c r="BW493" s="21">
        <v>0</v>
      </c>
      <c r="BX493" s="21">
        <v>0</v>
      </c>
      <c r="BY493" s="21">
        <v>0</v>
      </c>
      <c r="BZ493" s="21">
        <v>0</v>
      </c>
      <c r="CA493" s="21">
        <v>0</v>
      </c>
      <c r="CB493" s="21">
        <v>0</v>
      </c>
      <c r="CC493" s="21">
        <v>0</v>
      </c>
      <c r="CD493" s="21">
        <v>0</v>
      </c>
      <c r="CE493" s="21">
        <v>0</v>
      </c>
      <c r="CF493" s="21">
        <v>42</v>
      </c>
      <c r="CG493" s="42">
        <v>7</v>
      </c>
      <c r="CH493" s="21">
        <v>17</v>
      </c>
      <c r="CI493" s="21">
        <v>4</v>
      </c>
      <c r="CJ493" s="21">
        <v>5</v>
      </c>
      <c r="CK493" s="21">
        <v>7</v>
      </c>
      <c r="CL493" s="21">
        <v>16</v>
      </c>
      <c r="CM493" s="21">
        <v>1</v>
      </c>
      <c r="CN493" s="21">
        <v>2</v>
      </c>
      <c r="CO493" s="21">
        <v>2</v>
      </c>
      <c r="CP493" s="21">
        <f t="shared" si="717"/>
        <v>2</v>
      </c>
      <c r="CQ493" s="343">
        <f t="shared" si="718"/>
        <v>6.2222222222222223</v>
      </c>
      <c r="CR493" s="40"/>
      <c r="CS493" s="39"/>
      <c r="CT493" s="38">
        <f t="shared" si="719"/>
        <v>0</v>
      </c>
      <c r="CU493" s="38">
        <f t="shared" si="720"/>
        <v>0</v>
      </c>
      <c r="CV493" s="38">
        <f t="shared" si="721"/>
        <v>0</v>
      </c>
      <c r="CW493" s="38">
        <f t="shared" si="722"/>
        <v>0</v>
      </c>
      <c r="CX493" s="38">
        <f t="shared" si="723"/>
        <v>0</v>
      </c>
      <c r="CY493" s="39">
        <f t="shared" si="724"/>
        <v>0</v>
      </c>
      <c r="CZ493" s="40">
        <f t="shared" si="725"/>
        <v>0</v>
      </c>
      <c r="DA493" s="40">
        <f t="shared" si="726"/>
        <v>0</v>
      </c>
      <c r="DB493" s="40">
        <f t="shared" si="727"/>
        <v>0</v>
      </c>
      <c r="DC493" s="40">
        <f t="shared" si="728"/>
        <v>0</v>
      </c>
      <c r="DD493" s="40">
        <f t="shared" si="729"/>
        <v>0</v>
      </c>
      <c r="DE493" s="40">
        <f t="shared" si="730"/>
        <v>0</v>
      </c>
      <c r="DF493" s="40">
        <f t="shared" si="731"/>
        <v>0</v>
      </c>
      <c r="DG493" s="40">
        <f t="shared" si="732"/>
        <v>0</v>
      </c>
      <c r="DH493" s="40">
        <f t="shared" si="733"/>
        <v>0</v>
      </c>
      <c r="DI493" s="40">
        <f t="shared" si="734"/>
        <v>0</v>
      </c>
      <c r="DJ493" s="40">
        <f t="shared" si="735"/>
        <v>57</v>
      </c>
      <c r="DK493" s="39">
        <f t="shared" si="736"/>
        <v>107</v>
      </c>
      <c r="DL493" s="40">
        <f t="shared" si="737"/>
        <v>120</v>
      </c>
      <c r="DM493" s="40">
        <f t="shared" si="738"/>
        <v>116</v>
      </c>
      <c r="DN493" s="40">
        <f t="shared" si="739"/>
        <v>92</v>
      </c>
      <c r="DO493" s="40">
        <f t="shared" si="740"/>
        <v>111</v>
      </c>
      <c r="DP493" s="40">
        <f t="shared" si="741"/>
        <v>80</v>
      </c>
      <c r="DQ493" s="40">
        <f t="shared" si="742"/>
        <v>101</v>
      </c>
      <c r="DR493" s="40">
        <f t="shared" si="747"/>
        <v>62</v>
      </c>
      <c r="DS493" s="40">
        <f t="shared" si="748"/>
        <v>101</v>
      </c>
      <c r="DT493" s="40">
        <f t="shared" si="743"/>
        <v>68</v>
      </c>
      <c r="DU493" s="40">
        <f t="shared" si="744"/>
        <v>124.22222222222223</v>
      </c>
      <c r="DV493" s="40">
        <f t="shared" si="745"/>
        <v>0</v>
      </c>
      <c r="DW493" s="40">
        <f t="shared" si="746"/>
        <v>0</v>
      </c>
    </row>
    <row r="494" spans="1:127">
      <c r="A494" s="22" t="s">
        <v>33</v>
      </c>
      <c r="B494" s="26">
        <v>4987176314796</v>
      </c>
      <c r="C494" s="22" t="s">
        <v>38</v>
      </c>
      <c r="D494" s="22" t="s">
        <v>38</v>
      </c>
      <c r="E494" s="22">
        <v>264578</v>
      </c>
      <c r="F494" s="80" t="s">
        <v>581</v>
      </c>
      <c r="G494" s="25">
        <v>156.63</v>
      </c>
      <c r="H494" s="38">
        <f t="shared" si="691"/>
        <v>0</v>
      </c>
      <c r="I494" s="38">
        <f t="shared" si="692"/>
        <v>0</v>
      </c>
      <c r="J494" s="38">
        <f t="shared" si="693"/>
        <v>0</v>
      </c>
      <c r="K494" s="38">
        <f t="shared" si="694"/>
        <v>0</v>
      </c>
      <c r="L494" s="38">
        <f t="shared" si="695"/>
        <v>0</v>
      </c>
      <c r="M494" s="39">
        <f t="shared" si="696"/>
        <v>0</v>
      </c>
      <c r="N494" s="40">
        <f t="shared" si="697"/>
        <v>0</v>
      </c>
      <c r="O494" s="40">
        <f t="shared" si="698"/>
        <v>0</v>
      </c>
      <c r="P494" s="40">
        <f t="shared" si="699"/>
        <v>0</v>
      </c>
      <c r="Q494" s="40">
        <f t="shared" si="700"/>
        <v>0</v>
      </c>
      <c r="R494" s="40">
        <f t="shared" si="701"/>
        <v>0</v>
      </c>
      <c r="S494" s="40">
        <f t="shared" si="702"/>
        <v>0</v>
      </c>
      <c r="T494" s="40">
        <f t="shared" si="703"/>
        <v>0</v>
      </c>
      <c r="U494" s="40">
        <f t="shared" si="704"/>
        <v>0</v>
      </c>
      <c r="V494" s="40">
        <f t="shared" si="705"/>
        <v>0</v>
      </c>
      <c r="W494" s="40">
        <f t="shared" si="706"/>
        <v>0</v>
      </c>
      <c r="X494" s="40">
        <f t="shared" si="707"/>
        <v>6578.46</v>
      </c>
      <c r="Y494" s="39">
        <f t="shared" si="708"/>
        <v>22084.829999999998</v>
      </c>
      <c r="Z494" s="40">
        <f t="shared" si="709"/>
        <v>28819.919999999998</v>
      </c>
      <c r="AA494" s="40">
        <f t="shared" si="710"/>
        <v>29289.809999999998</v>
      </c>
      <c r="AB494" s="40">
        <f t="shared" si="711"/>
        <v>49808.34</v>
      </c>
      <c r="AC494" s="40">
        <f t="shared" si="712"/>
        <v>52157.79</v>
      </c>
      <c r="AD494" s="40">
        <f t="shared" si="713"/>
        <v>47145.63</v>
      </c>
      <c r="AE494" s="40">
        <f t="shared" si="714"/>
        <v>59676.03</v>
      </c>
      <c r="AF494" s="40">
        <f t="shared" si="715"/>
        <v>36964.68</v>
      </c>
      <c r="AG494" s="40">
        <f t="shared" si="716"/>
        <v>53410.83</v>
      </c>
      <c r="AH494" s="40">
        <f t="shared" si="687"/>
        <v>91315.29</v>
      </c>
      <c r="AI494" s="40">
        <f t="shared" si="688"/>
        <v>101531.04666666666</v>
      </c>
      <c r="AJ494" s="40">
        <f t="shared" si="689"/>
        <v>0</v>
      </c>
      <c r="AK494" s="39">
        <f t="shared" si="690"/>
        <v>0</v>
      </c>
      <c r="AL494" s="38">
        <v>0</v>
      </c>
      <c r="AM494" s="38">
        <v>0</v>
      </c>
      <c r="AN494" s="38">
        <v>0</v>
      </c>
      <c r="AO494" s="38">
        <v>0</v>
      </c>
      <c r="AP494" s="38">
        <v>0</v>
      </c>
      <c r="AQ494" s="39">
        <v>0</v>
      </c>
      <c r="AR494" s="40">
        <v>0</v>
      </c>
      <c r="AS494" s="40">
        <v>0</v>
      </c>
      <c r="AT494" s="40">
        <v>0</v>
      </c>
      <c r="AU494" s="40">
        <v>0</v>
      </c>
      <c r="AV494" s="40">
        <v>0</v>
      </c>
      <c r="AW494" s="40">
        <v>0</v>
      </c>
      <c r="AX494" s="40">
        <v>0</v>
      </c>
      <c r="AY494" s="40">
        <v>0</v>
      </c>
      <c r="AZ494" s="40">
        <v>0</v>
      </c>
      <c r="BA494" s="40">
        <v>0</v>
      </c>
      <c r="BB494" s="40">
        <v>4</v>
      </c>
      <c r="BC494" s="39">
        <v>90</v>
      </c>
      <c r="BD494" s="40">
        <v>170</v>
      </c>
      <c r="BE494" s="40">
        <v>150</v>
      </c>
      <c r="BF494" s="40">
        <v>269</v>
      </c>
      <c r="BG494" s="40">
        <v>270</v>
      </c>
      <c r="BH494" s="40">
        <v>227</v>
      </c>
      <c r="BI494" s="40">
        <v>364</v>
      </c>
      <c r="BJ494" s="40">
        <v>209</v>
      </c>
      <c r="BK494" s="40">
        <v>305</v>
      </c>
      <c r="BL494" s="40">
        <v>547</v>
      </c>
      <c r="BM494" s="40">
        <v>609</v>
      </c>
      <c r="BN494" s="40"/>
      <c r="BO494" s="39"/>
      <c r="BP494" s="21">
        <v>0</v>
      </c>
      <c r="BQ494" s="21">
        <v>0</v>
      </c>
      <c r="BR494" s="21">
        <v>0</v>
      </c>
      <c r="BS494" s="21">
        <v>0</v>
      </c>
      <c r="BT494" s="21">
        <v>0</v>
      </c>
      <c r="BU494" s="42">
        <v>0</v>
      </c>
      <c r="BV494" s="21">
        <v>0</v>
      </c>
      <c r="BW494" s="21">
        <v>0</v>
      </c>
      <c r="BX494" s="21">
        <v>0</v>
      </c>
      <c r="BY494" s="21">
        <v>0</v>
      </c>
      <c r="BZ494" s="21">
        <v>0</v>
      </c>
      <c r="CA494" s="21">
        <v>0</v>
      </c>
      <c r="CB494" s="21">
        <v>0</v>
      </c>
      <c r="CC494" s="21">
        <v>0</v>
      </c>
      <c r="CD494" s="21">
        <v>0</v>
      </c>
      <c r="CE494" s="21">
        <v>0</v>
      </c>
      <c r="CF494" s="21">
        <v>38</v>
      </c>
      <c r="CG494" s="42">
        <v>51</v>
      </c>
      <c r="CH494" s="21">
        <v>14</v>
      </c>
      <c r="CI494" s="21">
        <v>37</v>
      </c>
      <c r="CJ494" s="21">
        <v>49</v>
      </c>
      <c r="CK494" s="21">
        <v>63</v>
      </c>
      <c r="CL494" s="21">
        <v>74</v>
      </c>
      <c r="CM494" s="21">
        <v>17</v>
      </c>
      <c r="CN494" s="21">
        <v>27</v>
      </c>
      <c r="CO494" s="21">
        <v>36</v>
      </c>
      <c r="CP494" s="21">
        <f t="shared" si="717"/>
        <v>36</v>
      </c>
      <c r="CQ494" s="343">
        <f t="shared" si="718"/>
        <v>39.222222222222221</v>
      </c>
      <c r="CR494" s="40"/>
      <c r="CS494" s="39"/>
      <c r="CT494" s="38">
        <f t="shared" si="719"/>
        <v>0</v>
      </c>
      <c r="CU494" s="38">
        <f t="shared" si="720"/>
        <v>0</v>
      </c>
      <c r="CV494" s="38">
        <f t="shared" si="721"/>
        <v>0</v>
      </c>
      <c r="CW494" s="38">
        <f t="shared" si="722"/>
        <v>0</v>
      </c>
      <c r="CX494" s="38">
        <f t="shared" si="723"/>
        <v>0</v>
      </c>
      <c r="CY494" s="39">
        <f t="shared" si="724"/>
        <v>0</v>
      </c>
      <c r="CZ494" s="40">
        <f t="shared" si="725"/>
        <v>0</v>
      </c>
      <c r="DA494" s="40">
        <f t="shared" si="726"/>
        <v>0</v>
      </c>
      <c r="DB494" s="40">
        <f t="shared" si="727"/>
        <v>0</v>
      </c>
      <c r="DC494" s="40">
        <f t="shared" si="728"/>
        <v>0</v>
      </c>
      <c r="DD494" s="40">
        <f t="shared" si="729"/>
        <v>0</v>
      </c>
      <c r="DE494" s="40">
        <f t="shared" si="730"/>
        <v>0</v>
      </c>
      <c r="DF494" s="40">
        <f t="shared" si="731"/>
        <v>0</v>
      </c>
      <c r="DG494" s="40">
        <f t="shared" si="732"/>
        <v>0</v>
      </c>
      <c r="DH494" s="40">
        <f t="shared" si="733"/>
        <v>0</v>
      </c>
      <c r="DI494" s="40">
        <f t="shared" si="734"/>
        <v>0</v>
      </c>
      <c r="DJ494" s="40">
        <f t="shared" si="735"/>
        <v>42</v>
      </c>
      <c r="DK494" s="39">
        <f t="shared" si="736"/>
        <v>141</v>
      </c>
      <c r="DL494" s="40">
        <f t="shared" si="737"/>
        <v>184</v>
      </c>
      <c r="DM494" s="40">
        <f t="shared" si="738"/>
        <v>187</v>
      </c>
      <c r="DN494" s="40">
        <f t="shared" si="739"/>
        <v>318</v>
      </c>
      <c r="DO494" s="40">
        <f t="shared" si="740"/>
        <v>333</v>
      </c>
      <c r="DP494" s="40">
        <f t="shared" si="741"/>
        <v>301</v>
      </c>
      <c r="DQ494" s="40">
        <f t="shared" si="742"/>
        <v>381</v>
      </c>
      <c r="DR494" s="40">
        <f t="shared" si="747"/>
        <v>236</v>
      </c>
      <c r="DS494" s="40">
        <f t="shared" si="748"/>
        <v>341</v>
      </c>
      <c r="DT494" s="40">
        <f t="shared" si="743"/>
        <v>583</v>
      </c>
      <c r="DU494" s="40">
        <f t="shared" si="744"/>
        <v>648.22222222222217</v>
      </c>
      <c r="DV494" s="40">
        <f t="shared" si="745"/>
        <v>0</v>
      </c>
      <c r="DW494" s="40">
        <f t="shared" si="746"/>
        <v>0</v>
      </c>
    </row>
    <row r="495" spans="1:127">
      <c r="A495" s="22" t="s">
        <v>33</v>
      </c>
      <c r="B495" s="26">
        <v>4987176314383</v>
      </c>
      <c r="C495" s="22" t="s">
        <v>38</v>
      </c>
      <c r="D495" s="22" t="s">
        <v>38</v>
      </c>
      <c r="E495" s="22">
        <v>264607</v>
      </c>
      <c r="F495" s="80" t="s">
        <v>582</v>
      </c>
      <c r="G495" s="25">
        <v>116.72</v>
      </c>
      <c r="H495" s="38">
        <f t="shared" si="691"/>
        <v>0</v>
      </c>
      <c r="I495" s="38">
        <f t="shared" si="692"/>
        <v>0</v>
      </c>
      <c r="J495" s="38">
        <f t="shared" si="693"/>
        <v>0</v>
      </c>
      <c r="K495" s="38">
        <f t="shared" si="694"/>
        <v>0</v>
      </c>
      <c r="L495" s="38">
        <f t="shared" si="695"/>
        <v>0</v>
      </c>
      <c r="M495" s="39">
        <f t="shared" si="696"/>
        <v>0</v>
      </c>
      <c r="N495" s="40">
        <f t="shared" si="697"/>
        <v>0</v>
      </c>
      <c r="O495" s="40">
        <f t="shared" si="698"/>
        <v>0</v>
      </c>
      <c r="P495" s="40">
        <f t="shared" si="699"/>
        <v>0</v>
      </c>
      <c r="Q495" s="40">
        <f t="shared" si="700"/>
        <v>0</v>
      </c>
      <c r="R495" s="40">
        <f t="shared" si="701"/>
        <v>0</v>
      </c>
      <c r="S495" s="40">
        <f t="shared" si="702"/>
        <v>0</v>
      </c>
      <c r="T495" s="40">
        <f t="shared" si="703"/>
        <v>0</v>
      </c>
      <c r="U495" s="40">
        <f t="shared" si="704"/>
        <v>0</v>
      </c>
      <c r="V495" s="40">
        <f t="shared" si="705"/>
        <v>0</v>
      </c>
      <c r="W495" s="40">
        <f t="shared" si="706"/>
        <v>116.72</v>
      </c>
      <c r="X495" s="40">
        <f t="shared" si="707"/>
        <v>2801.2799999999997</v>
      </c>
      <c r="Y495" s="39">
        <f t="shared" si="708"/>
        <v>7119.92</v>
      </c>
      <c r="Z495" s="40">
        <f t="shared" si="709"/>
        <v>6653.04</v>
      </c>
      <c r="AA495" s="40">
        <f t="shared" si="710"/>
        <v>7353.36</v>
      </c>
      <c r="AB495" s="40">
        <f t="shared" si="711"/>
        <v>7820.24</v>
      </c>
      <c r="AC495" s="40">
        <f t="shared" si="712"/>
        <v>7236.64</v>
      </c>
      <c r="AD495" s="40">
        <f t="shared" si="713"/>
        <v>5836</v>
      </c>
      <c r="AE495" s="40">
        <f t="shared" si="714"/>
        <v>6069.44</v>
      </c>
      <c r="AF495" s="40">
        <f t="shared" si="715"/>
        <v>3034.72</v>
      </c>
      <c r="AG495" s="40">
        <f t="shared" si="716"/>
        <v>6302.88</v>
      </c>
      <c r="AH495" s="40">
        <f t="shared" si="687"/>
        <v>5018.96</v>
      </c>
      <c r="AI495" s="40">
        <f t="shared" si="688"/>
        <v>4526.1422222222227</v>
      </c>
      <c r="AJ495" s="40">
        <f t="shared" si="689"/>
        <v>0</v>
      </c>
      <c r="AK495" s="39">
        <f t="shared" si="690"/>
        <v>0</v>
      </c>
      <c r="AL495" s="38">
        <v>0</v>
      </c>
      <c r="AM495" s="38">
        <v>0</v>
      </c>
      <c r="AN495" s="38">
        <v>0</v>
      </c>
      <c r="AO495" s="38">
        <v>0</v>
      </c>
      <c r="AP495" s="38">
        <v>0</v>
      </c>
      <c r="AQ495" s="39">
        <v>0</v>
      </c>
      <c r="AR495" s="40">
        <v>0</v>
      </c>
      <c r="AS495" s="40">
        <v>0</v>
      </c>
      <c r="AT495" s="40">
        <v>0</v>
      </c>
      <c r="AU495" s="40">
        <v>0</v>
      </c>
      <c r="AV495" s="40">
        <v>0</v>
      </c>
      <c r="AW495" s="40">
        <v>0</v>
      </c>
      <c r="AX495" s="40">
        <v>0</v>
      </c>
      <c r="AY495" s="40">
        <v>0</v>
      </c>
      <c r="AZ495" s="40">
        <v>0</v>
      </c>
      <c r="BA495" s="40">
        <v>0</v>
      </c>
      <c r="BB495" s="40">
        <v>7</v>
      </c>
      <c r="BC495" s="39">
        <v>54</v>
      </c>
      <c r="BD495" s="40">
        <v>50</v>
      </c>
      <c r="BE495" s="40">
        <v>49</v>
      </c>
      <c r="BF495" s="40">
        <v>63</v>
      </c>
      <c r="BG495" s="40">
        <v>54</v>
      </c>
      <c r="BH495" s="40">
        <v>44</v>
      </c>
      <c r="BI495" s="40">
        <v>50</v>
      </c>
      <c r="BJ495" s="40">
        <v>21</v>
      </c>
      <c r="BK495" s="40">
        <v>51</v>
      </c>
      <c r="BL495" s="40">
        <v>40</v>
      </c>
      <c r="BM495" s="40">
        <v>33</v>
      </c>
      <c r="BN495" s="40"/>
      <c r="BO495" s="39"/>
      <c r="BP495" s="21">
        <v>0</v>
      </c>
      <c r="BQ495" s="21">
        <v>0</v>
      </c>
      <c r="BR495" s="21">
        <v>0</v>
      </c>
      <c r="BS495" s="21">
        <v>0</v>
      </c>
      <c r="BT495" s="21">
        <v>0</v>
      </c>
      <c r="BU495" s="42">
        <v>0</v>
      </c>
      <c r="BV495" s="21">
        <v>0</v>
      </c>
      <c r="BW495" s="21">
        <v>0</v>
      </c>
      <c r="BX495" s="21">
        <v>0</v>
      </c>
      <c r="BY495" s="21">
        <v>0</v>
      </c>
      <c r="BZ495" s="21">
        <v>0</v>
      </c>
      <c r="CA495" s="21">
        <v>0</v>
      </c>
      <c r="CB495" s="21">
        <v>0</v>
      </c>
      <c r="CC495" s="21">
        <v>0</v>
      </c>
      <c r="CD495" s="21">
        <v>0</v>
      </c>
      <c r="CE495" s="21">
        <v>1</v>
      </c>
      <c r="CF495" s="21">
        <v>17</v>
      </c>
      <c r="CG495" s="42">
        <v>7</v>
      </c>
      <c r="CH495" s="21">
        <v>7</v>
      </c>
      <c r="CI495" s="21">
        <v>14</v>
      </c>
      <c r="CJ495" s="21">
        <v>4</v>
      </c>
      <c r="CK495" s="21">
        <v>8</v>
      </c>
      <c r="CL495" s="21">
        <v>6</v>
      </c>
      <c r="CM495" s="21">
        <v>2</v>
      </c>
      <c r="CN495" s="21">
        <v>5</v>
      </c>
      <c r="CO495" s="21">
        <v>3</v>
      </c>
      <c r="CP495" s="21">
        <f t="shared" si="717"/>
        <v>3</v>
      </c>
      <c r="CQ495" s="343">
        <f t="shared" si="718"/>
        <v>5.7777777777777777</v>
      </c>
      <c r="CR495" s="40"/>
      <c r="CS495" s="39"/>
      <c r="CT495" s="38">
        <f t="shared" si="719"/>
        <v>0</v>
      </c>
      <c r="CU495" s="38">
        <f t="shared" si="720"/>
        <v>0</v>
      </c>
      <c r="CV495" s="38">
        <f t="shared" si="721"/>
        <v>0</v>
      </c>
      <c r="CW495" s="38">
        <f t="shared" si="722"/>
        <v>0</v>
      </c>
      <c r="CX495" s="38">
        <f t="shared" si="723"/>
        <v>0</v>
      </c>
      <c r="CY495" s="39">
        <f t="shared" si="724"/>
        <v>0</v>
      </c>
      <c r="CZ495" s="40">
        <f t="shared" si="725"/>
        <v>0</v>
      </c>
      <c r="DA495" s="40">
        <f t="shared" si="726"/>
        <v>0</v>
      </c>
      <c r="DB495" s="40">
        <f t="shared" si="727"/>
        <v>0</v>
      </c>
      <c r="DC495" s="40">
        <f t="shared" si="728"/>
        <v>0</v>
      </c>
      <c r="DD495" s="40">
        <f t="shared" si="729"/>
        <v>0</v>
      </c>
      <c r="DE495" s="40">
        <f t="shared" si="730"/>
        <v>0</v>
      </c>
      <c r="DF495" s="40">
        <f t="shared" si="731"/>
        <v>0</v>
      </c>
      <c r="DG495" s="40">
        <f t="shared" si="732"/>
        <v>0</v>
      </c>
      <c r="DH495" s="40">
        <f t="shared" si="733"/>
        <v>0</v>
      </c>
      <c r="DI495" s="40">
        <f t="shared" si="734"/>
        <v>1</v>
      </c>
      <c r="DJ495" s="40">
        <f t="shared" si="735"/>
        <v>24</v>
      </c>
      <c r="DK495" s="39">
        <f t="shared" si="736"/>
        <v>61</v>
      </c>
      <c r="DL495" s="40">
        <f t="shared" si="737"/>
        <v>57</v>
      </c>
      <c r="DM495" s="40">
        <f t="shared" si="738"/>
        <v>63</v>
      </c>
      <c r="DN495" s="40">
        <f t="shared" si="739"/>
        <v>67</v>
      </c>
      <c r="DO495" s="40">
        <f t="shared" si="740"/>
        <v>62</v>
      </c>
      <c r="DP495" s="40">
        <f t="shared" si="741"/>
        <v>50</v>
      </c>
      <c r="DQ495" s="40">
        <f t="shared" si="742"/>
        <v>52</v>
      </c>
      <c r="DR495" s="40">
        <f t="shared" si="747"/>
        <v>26</v>
      </c>
      <c r="DS495" s="40">
        <f t="shared" si="748"/>
        <v>54</v>
      </c>
      <c r="DT495" s="40">
        <f t="shared" si="743"/>
        <v>43</v>
      </c>
      <c r="DU495" s="40">
        <f t="shared" si="744"/>
        <v>38.777777777777779</v>
      </c>
      <c r="DV495" s="40">
        <f t="shared" si="745"/>
        <v>0</v>
      </c>
      <c r="DW495" s="40">
        <f t="shared" si="746"/>
        <v>0</v>
      </c>
    </row>
    <row r="496" spans="1:127">
      <c r="A496" s="22" t="s">
        <v>33</v>
      </c>
      <c r="B496" s="26">
        <v>4987176314369</v>
      </c>
      <c r="C496" s="22" t="s">
        <v>38</v>
      </c>
      <c r="D496" s="22" t="s">
        <v>38</v>
      </c>
      <c r="E496" s="22">
        <v>264642</v>
      </c>
      <c r="F496" s="80" t="s">
        <v>583</v>
      </c>
      <c r="G496" s="25">
        <v>156.63</v>
      </c>
      <c r="H496" s="38">
        <f t="shared" si="691"/>
        <v>0</v>
      </c>
      <c r="I496" s="38">
        <f t="shared" si="692"/>
        <v>0</v>
      </c>
      <c r="J496" s="38">
        <f t="shared" si="693"/>
        <v>0</v>
      </c>
      <c r="K496" s="38">
        <f t="shared" si="694"/>
        <v>0</v>
      </c>
      <c r="L496" s="38">
        <f t="shared" si="695"/>
        <v>0</v>
      </c>
      <c r="M496" s="39">
        <f t="shared" si="696"/>
        <v>0</v>
      </c>
      <c r="N496" s="40">
        <f t="shared" si="697"/>
        <v>0</v>
      </c>
      <c r="O496" s="40">
        <f t="shared" si="698"/>
        <v>0</v>
      </c>
      <c r="P496" s="40">
        <f t="shared" si="699"/>
        <v>0</v>
      </c>
      <c r="Q496" s="40">
        <f t="shared" si="700"/>
        <v>0</v>
      </c>
      <c r="R496" s="40">
        <f t="shared" si="701"/>
        <v>0</v>
      </c>
      <c r="S496" s="40">
        <f t="shared" si="702"/>
        <v>0</v>
      </c>
      <c r="T496" s="40">
        <f t="shared" si="703"/>
        <v>0</v>
      </c>
      <c r="U496" s="40">
        <f t="shared" si="704"/>
        <v>0</v>
      </c>
      <c r="V496" s="40">
        <f t="shared" si="705"/>
        <v>0</v>
      </c>
      <c r="W496" s="40">
        <f t="shared" si="706"/>
        <v>0</v>
      </c>
      <c r="X496" s="40">
        <f t="shared" si="707"/>
        <v>9554.43</v>
      </c>
      <c r="Y496" s="39">
        <f t="shared" si="708"/>
        <v>32892.299999999996</v>
      </c>
      <c r="Z496" s="40">
        <f t="shared" si="709"/>
        <v>38217.72</v>
      </c>
      <c r="AA496" s="40">
        <f t="shared" si="710"/>
        <v>36181.53</v>
      </c>
      <c r="AB496" s="40">
        <f t="shared" si="711"/>
        <v>56543.43</v>
      </c>
      <c r="AC496" s="40">
        <f t="shared" si="712"/>
        <v>54977.13</v>
      </c>
      <c r="AD496" s="40">
        <f t="shared" si="713"/>
        <v>45579.33</v>
      </c>
      <c r="AE496" s="40">
        <f t="shared" si="714"/>
        <v>72519.69</v>
      </c>
      <c r="AF496" s="40">
        <f t="shared" si="715"/>
        <v>49808.34</v>
      </c>
      <c r="AG496" s="40">
        <f t="shared" si="716"/>
        <v>57326.58</v>
      </c>
      <c r="AH496" s="40">
        <f t="shared" si="687"/>
        <v>98050.37999999999</v>
      </c>
      <c r="AI496" s="40">
        <f t="shared" si="688"/>
        <v>120692.11666666665</v>
      </c>
      <c r="AJ496" s="40">
        <f t="shared" si="689"/>
        <v>0</v>
      </c>
      <c r="AK496" s="39">
        <f t="shared" si="690"/>
        <v>0</v>
      </c>
      <c r="AL496" s="38">
        <v>0</v>
      </c>
      <c r="AM496" s="38">
        <v>0</v>
      </c>
      <c r="AN496" s="38">
        <v>0</v>
      </c>
      <c r="AO496" s="38">
        <v>0</v>
      </c>
      <c r="AP496" s="38">
        <v>0</v>
      </c>
      <c r="AQ496" s="39">
        <v>0</v>
      </c>
      <c r="AR496" s="40">
        <v>0</v>
      </c>
      <c r="AS496" s="40">
        <v>0</v>
      </c>
      <c r="AT496" s="40">
        <v>0</v>
      </c>
      <c r="AU496" s="40">
        <v>0</v>
      </c>
      <c r="AV496" s="40">
        <v>0</v>
      </c>
      <c r="AW496" s="40">
        <v>0</v>
      </c>
      <c r="AX496" s="40">
        <v>0</v>
      </c>
      <c r="AY496" s="40">
        <v>0</v>
      </c>
      <c r="AZ496" s="40">
        <v>0</v>
      </c>
      <c r="BA496" s="40">
        <v>0</v>
      </c>
      <c r="BB496" s="40">
        <v>13</v>
      </c>
      <c r="BC496" s="39">
        <v>143</v>
      </c>
      <c r="BD496" s="40">
        <v>211</v>
      </c>
      <c r="BE496" s="40">
        <v>192</v>
      </c>
      <c r="BF496" s="40">
        <v>304</v>
      </c>
      <c r="BG496" s="40">
        <v>271</v>
      </c>
      <c r="BH496" s="40">
        <v>214</v>
      </c>
      <c r="BI496" s="40">
        <v>438</v>
      </c>
      <c r="BJ496" s="40">
        <v>290</v>
      </c>
      <c r="BK496" s="40">
        <v>344</v>
      </c>
      <c r="BL496" s="40">
        <v>604</v>
      </c>
      <c r="BM496" s="40">
        <v>728</v>
      </c>
      <c r="BN496" s="40"/>
      <c r="BO496" s="39"/>
      <c r="BP496" s="21">
        <v>0</v>
      </c>
      <c r="BQ496" s="21">
        <v>0</v>
      </c>
      <c r="BR496" s="21">
        <v>0</v>
      </c>
      <c r="BS496" s="21">
        <v>0</v>
      </c>
      <c r="BT496" s="21">
        <v>0</v>
      </c>
      <c r="BU496" s="42">
        <v>0</v>
      </c>
      <c r="BV496" s="21">
        <v>0</v>
      </c>
      <c r="BW496" s="21">
        <v>0</v>
      </c>
      <c r="BX496" s="21">
        <v>0</v>
      </c>
      <c r="BY496" s="21">
        <v>0</v>
      </c>
      <c r="BZ496" s="21">
        <v>0</v>
      </c>
      <c r="CA496" s="21">
        <v>0</v>
      </c>
      <c r="CB496" s="21">
        <v>0</v>
      </c>
      <c r="CC496" s="21">
        <v>0</v>
      </c>
      <c r="CD496" s="21">
        <v>0</v>
      </c>
      <c r="CE496" s="21">
        <v>0</v>
      </c>
      <c r="CF496" s="21">
        <v>48</v>
      </c>
      <c r="CG496" s="42">
        <v>67</v>
      </c>
      <c r="CH496" s="21">
        <v>33</v>
      </c>
      <c r="CI496" s="21">
        <v>39</v>
      </c>
      <c r="CJ496" s="21">
        <v>57</v>
      </c>
      <c r="CK496" s="21">
        <v>80</v>
      </c>
      <c r="CL496" s="21">
        <v>77</v>
      </c>
      <c r="CM496" s="21">
        <v>25</v>
      </c>
      <c r="CN496" s="21">
        <v>28</v>
      </c>
      <c r="CO496" s="21">
        <v>22</v>
      </c>
      <c r="CP496" s="21">
        <f t="shared" si="717"/>
        <v>22</v>
      </c>
      <c r="CQ496" s="343">
        <f t="shared" si="718"/>
        <v>42.555555555555557</v>
      </c>
      <c r="CR496" s="40"/>
      <c r="CS496" s="39"/>
      <c r="CT496" s="38">
        <f t="shared" si="719"/>
        <v>0</v>
      </c>
      <c r="CU496" s="38">
        <f t="shared" si="720"/>
        <v>0</v>
      </c>
      <c r="CV496" s="38">
        <f t="shared" si="721"/>
        <v>0</v>
      </c>
      <c r="CW496" s="38">
        <f t="shared" si="722"/>
        <v>0</v>
      </c>
      <c r="CX496" s="38">
        <f t="shared" si="723"/>
        <v>0</v>
      </c>
      <c r="CY496" s="39">
        <f t="shared" si="724"/>
        <v>0</v>
      </c>
      <c r="CZ496" s="40">
        <f t="shared" si="725"/>
        <v>0</v>
      </c>
      <c r="DA496" s="40">
        <f t="shared" si="726"/>
        <v>0</v>
      </c>
      <c r="DB496" s="40">
        <f t="shared" si="727"/>
        <v>0</v>
      </c>
      <c r="DC496" s="40">
        <f t="shared" si="728"/>
        <v>0</v>
      </c>
      <c r="DD496" s="40">
        <f t="shared" si="729"/>
        <v>0</v>
      </c>
      <c r="DE496" s="40">
        <f t="shared" si="730"/>
        <v>0</v>
      </c>
      <c r="DF496" s="40">
        <f t="shared" si="731"/>
        <v>0</v>
      </c>
      <c r="DG496" s="40">
        <f t="shared" si="732"/>
        <v>0</v>
      </c>
      <c r="DH496" s="40">
        <f t="shared" si="733"/>
        <v>0</v>
      </c>
      <c r="DI496" s="40">
        <f t="shared" si="734"/>
        <v>0</v>
      </c>
      <c r="DJ496" s="40">
        <f t="shared" si="735"/>
        <v>61</v>
      </c>
      <c r="DK496" s="39">
        <f t="shared" si="736"/>
        <v>210</v>
      </c>
      <c r="DL496" s="40">
        <f t="shared" si="737"/>
        <v>244</v>
      </c>
      <c r="DM496" s="40">
        <f t="shared" si="738"/>
        <v>231</v>
      </c>
      <c r="DN496" s="40">
        <f t="shared" si="739"/>
        <v>361</v>
      </c>
      <c r="DO496" s="40">
        <f t="shared" si="740"/>
        <v>351</v>
      </c>
      <c r="DP496" s="40">
        <f t="shared" si="741"/>
        <v>291</v>
      </c>
      <c r="DQ496" s="40">
        <f t="shared" si="742"/>
        <v>463</v>
      </c>
      <c r="DR496" s="40">
        <f t="shared" si="747"/>
        <v>318</v>
      </c>
      <c r="DS496" s="40">
        <f t="shared" si="748"/>
        <v>366</v>
      </c>
      <c r="DT496" s="40">
        <f t="shared" si="743"/>
        <v>626</v>
      </c>
      <c r="DU496" s="40">
        <f t="shared" si="744"/>
        <v>770.55555555555554</v>
      </c>
      <c r="DV496" s="40">
        <f t="shared" si="745"/>
        <v>0</v>
      </c>
      <c r="DW496" s="40">
        <f t="shared" si="746"/>
        <v>0</v>
      </c>
    </row>
    <row r="497" spans="1:127">
      <c r="A497" s="22" t="s">
        <v>33</v>
      </c>
      <c r="B497" s="26">
        <v>4987176314789</v>
      </c>
      <c r="C497" s="22" t="s">
        <v>38</v>
      </c>
      <c r="D497" s="22" t="s">
        <v>38</v>
      </c>
      <c r="E497" s="22">
        <v>264676</v>
      </c>
      <c r="F497" s="80" t="s">
        <v>584</v>
      </c>
      <c r="G497" s="25">
        <v>156.63</v>
      </c>
      <c r="H497" s="38">
        <f t="shared" si="691"/>
        <v>0</v>
      </c>
      <c r="I497" s="38">
        <f t="shared" si="692"/>
        <v>0</v>
      </c>
      <c r="J497" s="38">
        <f t="shared" si="693"/>
        <v>0</v>
      </c>
      <c r="K497" s="38">
        <f t="shared" si="694"/>
        <v>0</v>
      </c>
      <c r="L497" s="38">
        <f t="shared" si="695"/>
        <v>0</v>
      </c>
      <c r="M497" s="39">
        <f t="shared" si="696"/>
        <v>0</v>
      </c>
      <c r="N497" s="40">
        <f t="shared" si="697"/>
        <v>0</v>
      </c>
      <c r="O497" s="40">
        <f t="shared" si="698"/>
        <v>0</v>
      </c>
      <c r="P497" s="40">
        <f t="shared" si="699"/>
        <v>0</v>
      </c>
      <c r="Q497" s="40">
        <f t="shared" si="700"/>
        <v>0</v>
      </c>
      <c r="R497" s="40">
        <f t="shared" si="701"/>
        <v>0</v>
      </c>
      <c r="S497" s="40">
        <f t="shared" si="702"/>
        <v>0</v>
      </c>
      <c r="T497" s="40">
        <f t="shared" si="703"/>
        <v>0</v>
      </c>
      <c r="U497" s="40">
        <f t="shared" si="704"/>
        <v>0</v>
      </c>
      <c r="V497" s="40">
        <f t="shared" si="705"/>
        <v>0</v>
      </c>
      <c r="W497" s="40">
        <f t="shared" si="706"/>
        <v>313.26</v>
      </c>
      <c r="X497" s="40">
        <f t="shared" si="707"/>
        <v>12530.4</v>
      </c>
      <c r="Y497" s="39">
        <f t="shared" si="708"/>
        <v>18952.23</v>
      </c>
      <c r="Z497" s="40">
        <f t="shared" si="709"/>
        <v>20048.64</v>
      </c>
      <c r="AA497" s="40">
        <f t="shared" si="710"/>
        <v>20518.53</v>
      </c>
      <c r="AB497" s="40">
        <f t="shared" si="711"/>
        <v>32422.41</v>
      </c>
      <c r="AC497" s="40">
        <f t="shared" si="712"/>
        <v>42446.729999999996</v>
      </c>
      <c r="AD497" s="40">
        <f t="shared" si="713"/>
        <v>39000.869999999995</v>
      </c>
      <c r="AE497" s="40">
        <f t="shared" si="714"/>
        <v>53410.83</v>
      </c>
      <c r="AF497" s="40">
        <f t="shared" si="715"/>
        <v>32579.040000000001</v>
      </c>
      <c r="AG497" s="40">
        <f t="shared" si="716"/>
        <v>37434.57</v>
      </c>
      <c r="AH497" s="40">
        <f t="shared" si="687"/>
        <v>37434.57</v>
      </c>
      <c r="AI497" s="40">
        <f t="shared" si="688"/>
        <v>80037.929999999993</v>
      </c>
      <c r="AJ497" s="40">
        <f t="shared" si="689"/>
        <v>0</v>
      </c>
      <c r="AK497" s="39">
        <f t="shared" si="690"/>
        <v>0</v>
      </c>
      <c r="AL497" s="38">
        <v>0</v>
      </c>
      <c r="AM497" s="38">
        <v>0</v>
      </c>
      <c r="AN497" s="38">
        <v>0</v>
      </c>
      <c r="AO497" s="38">
        <v>0</v>
      </c>
      <c r="AP497" s="38">
        <v>0</v>
      </c>
      <c r="AQ497" s="39">
        <v>0</v>
      </c>
      <c r="AR497" s="40">
        <v>0</v>
      </c>
      <c r="AS497" s="40">
        <v>0</v>
      </c>
      <c r="AT497" s="40">
        <v>0</v>
      </c>
      <c r="AU497" s="40">
        <v>0</v>
      </c>
      <c r="AV497" s="40">
        <v>0</v>
      </c>
      <c r="AW497" s="40">
        <v>0</v>
      </c>
      <c r="AX497" s="40">
        <v>0</v>
      </c>
      <c r="AY497" s="40">
        <v>0</v>
      </c>
      <c r="AZ497" s="40">
        <v>0</v>
      </c>
      <c r="BA497" s="40">
        <v>0</v>
      </c>
      <c r="BB497" s="40">
        <v>5</v>
      </c>
      <c r="BC497" s="39">
        <v>71</v>
      </c>
      <c r="BD497" s="40">
        <v>105</v>
      </c>
      <c r="BE497" s="40">
        <v>106</v>
      </c>
      <c r="BF497" s="40">
        <v>154</v>
      </c>
      <c r="BG497" s="40">
        <v>186</v>
      </c>
      <c r="BH497" s="40">
        <v>177</v>
      </c>
      <c r="BI497" s="40">
        <v>305</v>
      </c>
      <c r="BJ497" s="40">
        <v>154</v>
      </c>
      <c r="BK497" s="40">
        <v>215</v>
      </c>
      <c r="BL497" s="40">
        <v>215</v>
      </c>
      <c r="BM497" s="40">
        <v>467</v>
      </c>
      <c r="BN497" s="40"/>
      <c r="BO497" s="39"/>
      <c r="BP497" s="21">
        <v>0</v>
      </c>
      <c r="BQ497" s="21">
        <v>0</v>
      </c>
      <c r="BR497" s="21">
        <v>0</v>
      </c>
      <c r="BS497" s="21">
        <v>0</v>
      </c>
      <c r="BT497" s="21">
        <v>0</v>
      </c>
      <c r="BU497" s="42">
        <v>0</v>
      </c>
      <c r="BV497" s="21">
        <v>0</v>
      </c>
      <c r="BW497" s="21">
        <v>0</v>
      </c>
      <c r="BX497" s="21">
        <v>0</v>
      </c>
      <c r="BY497" s="21">
        <v>0</v>
      </c>
      <c r="BZ497" s="21">
        <v>0</v>
      </c>
      <c r="CA497" s="21">
        <v>0</v>
      </c>
      <c r="CB497" s="21">
        <v>0</v>
      </c>
      <c r="CC497" s="21">
        <v>0</v>
      </c>
      <c r="CD497" s="21">
        <v>0</v>
      </c>
      <c r="CE497" s="21">
        <v>2</v>
      </c>
      <c r="CF497" s="21">
        <v>75</v>
      </c>
      <c r="CG497" s="42">
        <v>50</v>
      </c>
      <c r="CH497" s="21">
        <v>23</v>
      </c>
      <c r="CI497" s="21">
        <v>25</v>
      </c>
      <c r="CJ497" s="21">
        <v>53</v>
      </c>
      <c r="CK497" s="21">
        <v>85</v>
      </c>
      <c r="CL497" s="21">
        <v>72</v>
      </c>
      <c r="CM497" s="21">
        <v>36</v>
      </c>
      <c r="CN497" s="21">
        <v>54</v>
      </c>
      <c r="CO497" s="21">
        <v>24</v>
      </c>
      <c r="CP497" s="21">
        <f t="shared" si="717"/>
        <v>24</v>
      </c>
      <c r="CQ497" s="343">
        <f t="shared" si="718"/>
        <v>44</v>
      </c>
      <c r="CR497" s="40"/>
      <c r="CS497" s="39"/>
      <c r="CT497" s="38">
        <f t="shared" si="719"/>
        <v>0</v>
      </c>
      <c r="CU497" s="38">
        <f t="shared" si="720"/>
        <v>0</v>
      </c>
      <c r="CV497" s="38">
        <f t="shared" si="721"/>
        <v>0</v>
      </c>
      <c r="CW497" s="38">
        <f t="shared" si="722"/>
        <v>0</v>
      </c>
      <c r="CX497" s="38">
        <f t="shared" si="723"/>
        <v>0</v>
      </c>
      <c r="CY497" s="39">
        <f t="shared" si="724"/>
        <v>0</v>
      </c>
      <c r="CZ497" s="40">
        <f t="shared" si="725"/>
        <v>0</v>
      </c>
      <c r="DA497" s="40">
        <f t="shared" si="726"/>
        <v>0</v>
      </c>
      <c r="DB497" s="40">
        <f t="shared" si="727"/>
        <v>0</v>
      </c>
      <c r="DC497" s="40">
        <f t="shared" si="728"/>
        <v>0</v>
      </c>
      <c r="DD497" s="40">
        <f t="shared" si="729"/>
        <v>0</v>
      </c>
      <c r="DE497" s="40">
        <f t="shared" si="730"/>
        <v>0</v>
      </c>
      <c r="DF497" s="40">
        <f t="shared" si="731"/>
        <v>0</v>
      </c>
      <c r="DG497" s="40">
        <f t="shared" si="732"/>
        <v>0</v>
      </c>
      <c r="DH497" s="40">
        <f t="shared" si="733"/>
        <v>0</v>
      </c>
      <c r="DI497" s="40">
        <f t="shared" si="734"/>
        <v>2</v>
      </c>
      <c r="DJ497" s="40">
        <f t="shared" si="735"/>
        <v>80</v>
      </c>
      <c r="DK497" s="39">
        <f t="shared" si="736"/>
        <v>121</v>
      </c>
      <c r="DL497" s="40">
        <f t="shared" si="737"/>
        <v>128</v>
      </c>
      <c r="DM497" s="40">
        <f t="shared" si="738"/>
        <v>131</v>
      </c>
      <c r="DN497" s="40">
        <f t="shared" si="739"/>
        <v>207</v>
      </c>
      <c r="DO497" s="40">
        <f t="shared" si="740"/>
        <v>271</v>
      </c>
      <c r="DP497" s="40">
        <f t="shared" si="741"/>
        <v>249</v>
      </c>
      <c r="DQ497" s="40">
        <f t="shared" si="742"/>
        <v>341</v>
      </c>
      <c r="DR497" s="40">
        <f t="shared" si="747"/>
        <v>208</v>
      </c>
      <c r="DS497" s="40">
        <f t="shared" si="748"/>
        <v>239</v>
      </c>
      <c r="DT497" s="40">
        <f t="shared" si="743"/>
        <v>239</v>
      </c>
      <c r="DU497" s="40">
        <f t="shared" si="744"/>
        <v>511</v>
      </c>
      <c r="DV497" s="40">
        <f t="shared" si="745"/>
        <v>0</v>
      </c>
      <c r="DW497" s="40">
        <f t="shared" si="746"/>
        <v>0</v>
      </c>
    </row>
    <row r="498" spans="1:127">
      <c r="A498" s="22" t="s">
        <v>39</v>
      </c>
      <c r="B498" s="26">
        <v>4902430113205</v>
      </c>
      <c r="C498" s="22" t="s">
        <v>40</v>
      </c>
      <c r="D498" s="22" t="s">
        <v>41</v>
      </c>
      <c r="E498" s="22">
        <v>320010</v>
      </c>
      <c r="F498" s="80" t="s">
        <v>585</v>
      </c>
      <c r="G498" s="25">
        <v>94.600000000000009</v>
      </c>
      <c r="H498" s="38">
        <f t="shared" si="691"/>
        <v>19109.2</v>
      </c>
      <c r="I498" s="38">
        <f t="shared" si="692"/>
        <v>45124.200000000004</v>
      </c>
      <c r="J498" s="38">
        <f t="shared" si="693"/>
        <v>38691.4</v>
      </c>
      <c r="K498" s="38">
        <f t="shared" si="694"/>
        <v>45502.600000000006</v>
      </c>
      <c r="L498" s="38">
        <f t="shared" si="695"/>
        <v>48056.800000000003</v>
      </c>
      <c r="M498" s="39">
        <f t="shared" si="696"/>
        <v>34245.200000000004</v>
      </c>
      <c r="N498" s="40">
        <f t="shared" si="697"/>
        <v>12771.000000000002</v>
      </c>
      <c r="O498" s="40">
        <f t="shared" si="698"/>
        <v>30366.600000000002</v>
      </c>
      <c r="P498" s="40">
        <f t="shared" si="699"/>
        <v>37083.200000000004</v>
      </c>
      <c r="Q498" s="40">
        <f t="shared" si="700"/>
        <v>15514.400000000001</v>
      </c>
      <c r="R498" s="40">
        <f t="shared" si="701"/>
        <v>43516.000000000007</v>
      </c>
      <c r="S498" s="40">
        <f t="shared" si="702"/>
        <v>34339.800000000003</v>
      </c>
      <c r="T498" s="40">
        <f t="shared" si="703"/>
        <v>28758.400000000001</v>
      </c>
      <c r="U498" s="40">
        <f t="shared" si="704"/>
        <v>43232.200000000004</v>
      </c>
      <c r="V498" s="40">
        <f t="shared" si="705"/>
        <v>27434.000000000004</v>
      </c>
      <c r="W498" s="40">
        <f t="shared" si="706"/>
        <v>35380.400000000001</v>
      </c>
      <c r="X498" s="40">
        <f t="shared" si="707"/>
        <v>27339.4</v>
      </c>
      <c r="Y498" s="39">
        <f t="shared" si="708"/>
        <v>66503.8</v>
      </c>
      <c r="Z498" s="40">
        <f t="shared" si="709"/>
        <v>53259.8</v>
      </c>
      <c r="AA498" s="40">
        <f t="shared" si="710"/>
        <v>21001.200000000001</v>
      </c>
      <c r="AB498" s="40">
        <f t="shared" si="711"/>
        <v>21663.4</v>
      </c>
      <c r="AC498" s="40">
        <f t="shared" si="712"/>
        <v>16082.000000000002</v>
      </c>
      <c r="AD498" s="40">
        <f t="shared" si="713"/>
        <v>32447.800000000003</v>
      </c>
      <c r="AE498" s="40">
        <f t="shared" si="714"/>
        <v>28853.000000000004</v>
      </c>
      <c r="AF498" s="40">
        <f t="shared" si="715"/>
        <v>28190.800000000003</v>
      </c>
      <c r="AG498" s="40">
        <f t="shared" si="716"/>
        <v>30082.800000000003</v>
      </c>
      <c r="AH498" s="40">
        <f t="shared" si="687"/>
        <v>26204.2</v>
      </c>
      <c r="AI498" s="40">
        <f t="shared" si="688"/>
        <v>38743.955555555556</v>
      </c>
      <c r="AJ498" s="40">
        <f t="shared" si="689"/>
        <v>0</v>
      </c>
      <c r="AK498" s="39">
        <f t="shared" si="690"/>
        <v>0</v>
      </c>
      <c r="AL498" s="38">
        <v>140</v>
      </c>
      <c r="AM498" s="38">
        <v>366</v>
      </c>
      <c r="AN498" s="38">
        <v>249</v>
      </c>
      <c r="AO498" s="38">
        <v>345</v>
      </c>
      <c r="AP498" s="38">
        <v>395</v>
      </c>
      <c r="AQ498" s="39">
        <v>238</v>
      </c>
      <c r="AR498" s="40">
        <v>100</v>
      </c>
      <c r="AS498" s="40">
        <v>269</v>
      </c>
      <c r="AT498" s="40">
        <v>283</v>
      </c>
      <c r="AU498" s="40">
        <v>132</v>
      </c>
      <c r="AV498" s="40">
        <v>330</v>
      </c>
      <c r="AW498" s="40">
        <v>333</v>
      </c>
      <c r="AX498" s="40">
        <v>239</v>
      </c>
      <c r="AY498" s="40">
        <v>260</v>
      </c>
      <c r="AZ498" s="40">
        <v>243</v>
      </c>
      <c r="BA498" s="40">
        <v>278</v>
      </c>
      <c r="BB498" s="40">
        <v>242</v>
      </c>
      <c r="BC498" s="39">
        <v>299</v>
      </c>
      <c r="BD498" s="40">
        <v>538</v>
      </c>
      <c r="BE498" s="40">
        <v>138</v>
      </c>
      <c r="BF498" s="40">
        <v>197</v>
      </c>
      <c r="BG498" s="40">
        <v>133</v>
      </c>
      <c r="BH498" s="40">
        <v>258</v>
      </c>
      <c r="BI498" s="40">
        <v>292</v>
      </c>
      <c r="BJ498" s="40">
        <v>227</v>
      </c>
      <c r="BK498" s="40">
        <v>282</v>
      </c>
      <c r="BL498" s="40">
        <v>241</v>
      </c>
      <c r="BM498" s="40">
        <v>363</v>
      </c>
      <c r="BN498" s="40"/>
      <c r="BO498" s="39"/>
      <c r="BP498" s="21">
        <v>62</v>
      </c>
      <c r="BQ498" s="21">
        <v>111</v>
      </c>
      <c r="BR498" s="21">
        <v>160</v>
      </c>
      <c r="BS498" s="21">
        <v>136</v>
      </c>
      <c r="BT498" s="21">
        <v>113</v>
      </c>
      <c r="BU498" s="42">
        <v>124</v>
      </c>
      <c r="BV498" s="21">
        <v>35</v>
      </c>
      <c r="BW498" s="21">
        <v>52</v>
      </c>
      <c r="BX498" s="21">
        <v>109</v>
      </c>
      <c r="BY498" s="21">
        <v>32</v>
      </c>
      <c r="BZ498" s="21">
        <v>130</v>
      </c>
      <c r="CA498" s="21">
        <v>30</v>
      </c>
      <c r="CB498" s="21">
        <v>65</v>
      </c>
      <c r="CC498" s="21">
        <v>197</v>
      </c>
      <c r="CD498" s="21">
        <v>47</v>
      </c>
      <c r="CE498" s="21">
        <v>96</v>
      </c>
      <c r="CF498" s="21">
        <v>47</v>
      </c>
      <c r="CG498" s="42">
        <v>404</v>
      </c>
      <c r="CH498" s="21">
        <v>25</v>
      </c>
      <c r="CI498" s="21">
        <v>84</v>
      </c>
      <c r="CJ498" s="21">
        <v>32</v>
      </c>
      <c r="CK498" s="21">
        <v>37</v>
      </c>
      <c r="CL498" s="21">
        <v>85</v>
      </c>
      <c r="CM498" s="21">
        <v>13</v>
      </c>
      <c r="CN498" s="21">
        <v>71</v>
      </c>
      <c r="CO498" s="21">
        <v>36</v>
      </c>
      <c r="CP498" s="21">
        <f t="shared" si="717"/>
        <v>36</v>
      </c>
      <c r="CQ498" s="343">
        <f t="shared" si="718"/>
        <v>46.555555555555557</v>
      </c>
      <c r="CR498" s="40"/>
      <c r="CS498" s="39"/>
      <c r="CT498" s="38">
        <f t="shared" si="719"/>
        <v>202</v>
      </c>
      <c r="CU498" s="38">
        <f t="shared" si="720"/>
        <v>477</v>
      </c>
      <c r="CV498" s="38">
        <f t="shared" si="721"/>
        <v>409</v>
      </c>
      <c r="CW498" s="38">
        <f t="shared" si="722"/>
        <v>481</v>
      </c>
      <c r="CX498" s="38">
        <f t="shared" si="723"/>
        <v>508</v>
      </c>
      <c r="CY498" s="39">
        <f t="shared" si="724"/>
        <v>362</v>
      </c>
      <c r="CZ498" s="40">
        <f t="shared" si="725"/>
        <v>135</v>
      </c>
      <c r="DA498" s="40">
        <f t="shared" si="726"/>
        <v>321</v>
      </c>
      <c r="DB498" s="40">
        <f t="shared" si="727"/>
        <v>392</v>
      </c>
      <c r="DC498" s="40">
        <f t="shared" si="728"/>
        <v>164</v>
      </c>
      <c r="DD498" s="40">
        <f t="shared" si="729"/>
        <v>460</v>
      </c>
      <c r="DE498" s="40">
        <f t="shared" si="730"/>
        <v>363</v>
      </c>
      <c r="DF498" s="40">
        <f t="shared" si="731"/>
        <v>304</v>
      </c>
      <c r="DG498" s="40">
        <f t="shared" si="732"/>
        <v>457</v>
      </c>
      <c r="DH498" s="40">
        <f t="shared" si="733"/>
        <v>290</v>
      </c>
      <c r="DI498" s="40">
        <f t="shared" si="734"/>
        <v>374</v>
      </c>
      <c r="DJ498" s="40">
        <f t="shared" si="735"/>
        <v>289</v>
      </c>
      <c r="DK498" s="39">
        <f t="shared" si="736"/>
        <v>703</v>
      </c>
      <c r="DL498" s="40">
        <f t="shared" si="737"/>
        <v>563</v>
      </c>
      <c r="DM498" s="40">
        <f t="shared" si="738"/>
        <v>222</v>
      </c>
      <c r="DN498" s="40">
        <f t="shared" si="739"/>
        <v>229</v>
      </c>
      <c r="DO498" s="40">
        <f t="shared" si="740"/>
        <v>170</v>
      </c>
      <c r="DP498" s="40">
        <f t="shared" si="741"/>
        <v>343</v>
      </c>
      <c r="DQ498" s="40">
        <f t="shared" si="742"/>
        <v>305</v>
      </c>
      <c r="DR498" s="40">
        <f t="shared" si="747"/>
        <v>298</v>
      </c>
      <c r="DS498" s="40">
        <f t="shared" si="748"/>
        <v>318</v>
      </c>
      <c r="DT498" s="40">
        <f t="shared" si="743"/>
        <v>277</v>
      </c>
      <c r="DU498" s="40">
        <f t="shared" si="744"/>
        <v>409.55555555555554</v>
      </c>
      <c r="DV498" s="40">
        <f t="shared" si="745"/>
        <v>0</v>
      </c>
      <c r="DW498" s="40">
        <f t="shared" si="746"/>
        <v>0</v>
      </c>
    </row>
    <row r="499" spans="1:127">
      <c r="A499" s="22" t="s">
        <v>39</v>
      </c>
      <c r="B499" s="26">
        <v>4902430955102</v>
      </c>
      <c r="C499" s="22" t="s">
        <v>40</v>
      </c>
      <c r="D499" s="22" t="s">
        <v>41</v>
      </c>
      <c r="E499" s="22">
        <v>320023</v>
      </c>
      <c r="F499" s="80" t="s">
        <v>586</v>
      </c>
      <c r="G499" s="25">
        <v>94.600000000000009</v>
      </c>
      <c r="H499" s="38">
        <f t="shared" si="691"/>
        <v>13811.6</v>
      </c>
      <c r="I499" s="38">
        <f t="shared" si="692"/>
        <v>38786</v>
      </c>
      <c r="J499" s="38">
        <f t="shared" si="693"/>
        <v>28380.000000000004</v>
      </c>
      <c r="K499" s="38">
        <f t="shared" si="694"/>
        <v>37934.600000000006</v>
      </c>
      <c r="L499" s="38">
        <f t="shared" si="695"/>
        <v>43137.600000000006</v>
      </c>
      <c r="M499" s="39">
        <f t="shared" si="696"/>
        <v>27055.600000000002</v>
      </c>
      <c r="N499" s="40">
        <f t="shared" si="697"/>
        <v>13338.6</v>
      </c>
      <c r="O499" s="40">
        <f t="shared" si="698"/>
        <v>29042.200000000004</v>
      </c>
      <c r="P499" s="40">
        <f t="shared" si="699"/>
        <v>33299.200000000004</v>
      </c>
      <c r="Q499" s="40">
        <f t="shared" si="700"/>
        <v>14663.000000000002</v>
      </c>
      <c r="R499" s="40">
        <f t="shared" si="701"/>
        <v>37934.600000000006</v>
      </c>
      <c r="S499" s="40">
        <f t="shared" si="702"/>
        <v>27812.400000000001</v>
      </c>
      <c r="T499" s="40">
        <f t="shared" si="703"/>
        <v>27339.4</v>
      </c>
      <c r="U499" s="40">
        <f t="shared" si="704"/>
        <v>35475</v>
      </c>
      <c r="V499" s="40">
        <f t="shared" si="705"/>
        <v>24028.400000000001</v>
      </c>
      <c r="W499" s="40">
        <f t="shared" si="706"/>
        <v>27434.000000000004</v>
      </c>
      <c r="X499" s="40">
        <f t="shared" si="707"/>
        <v>23839.200000000001</v>
      </c>
      <c r="Y499" s="39">
        <f t="shared" si="708"/>
        <v>49665.000000000007</v>
      </c>
      <c r="Z499" s="40">
        <f t="shared" si="709"/>
        <v>52597.600000000006</v>
      </c>
      <c r="AA499" s="40">
        <f t="shared" si="710"/>
        <v>14946.800000000001</v>
      </c>
      <c r="AB499" s="40">
        <f t="shared" si="711"/>
        <v>19676.800000000003</v>
      </c>
      <c r="AC499" s="40">
        <f t="shared" si="712"/>
        <v>15325.2</v>
      </c>
      <c r="AD499" s="40">
        <f t="shared" si="713"/>
        <v>25258.2</v>
      </c>
      <c r="AE499" s="40">
        <f t="shared" si="714"/>
        <v>26109.600000000002</v>
      </c>
      <c r="AF499" s="40">
        <f t="shared" si="715"/>
        <v>22893.200000000001</v>
      </c>
      <c r="AG499" s="40">
        <f t="shared" si="716"/>
        <v>23650.000000000004</v>
      </c>
      <c r="AH499" s="40">
        <f t="shared" si="687"/>
        <v>21663.4</v>
      </c>
      <c r="AI499" s="40">
        <f t="shared" si="688"/>
        <v>25857.333333333332</v>
      </c>
      <c r="AJ499" s="40">
        <f t="shared" si="689"/>
        <v>0</v>
      </c>
      <c r="AK499" s="39">
        <f t="shared" si="690"/>
        <v>0</v>
      </c>
      <c r="AL499" s="38">
        <v>120</v>
      </c>
      <c r="AM499" s="38">
        <v>356</v>
      </c>
      <c r="AN499" s="38">
        <v>209</v>
      </c>
      <c r="AO499" s="38">
        <v>319</v>
      </c>
      <c r="AP499" s="38">
        <v>357</v>
      </c>
      <c r="AQ499" s="39">
        <v>204</v>
      </c>
      <c r="AR499" s="40">
        <v>120</v>
      </c>
      <c r="AS499" s="40">
        <v>274</v>
      </c>
      <c r="AT499" s="40">
        <v>261</v>
      </c>
      <c r="AU499" s="40">
        <v>125</v>
      </c>
      <c r="AV499" s="40">
        <v>321</v>
      </c>
      <c r="AW499" s="40">
        <v>279</v>
      </c>
      <c r="AX499" s="40">
        <v>242</v>
      </c>
      <c r="AY499" s="40">
        <v>234</v>
      </c>
      <c r="AZ499" s="40">
        <v>213</v>
      </c>
      <c r="BA499" s="40">
        <v>245</v>
      </c>
      <c r="BB499" s="40">
        <v>215</v>
      </c>
      <c r="BC499" s="39">
        <v>277</v>
      </c>
      <c r="BD499" s="40">
        <v>543</v>
      </c>
      <c r="BE499" s="40">
        <v>116</v>
      </c>
      <c r="BF499" s="40">
        <v>190</v>
      </c>
      <c r="BG499" s="40">
        <v>140</v>
      </c>
      <c r="BH499" s="40">
        <v>219</v>
      </c>
      <c r="BI499" s="40">
        <v>263</v>
      </c>
      <c r="BJ499" s="40">
        <v>196</v>
      </c>
      <c r="BK499" s="40">
        <v>237</v>
      </c>
      <c r="BL499" s="40">
        <v>216</v>
      </c>
      <c r="BM499" s="40">
        <v>248</v>
      </c>
      <c r="BN499" s="40"/>
      <c r="BO499" s="39"/>
      <c r="BP499" s="21">
        <v>26</v>
      </c>
      <c r="BQ499" s="21">
        <v>54</v>
      </c>
      <c r="BR499" s="21">
        <v>91</v>
      </c>
      <c r="BS499" s="21">
        <v>82</v>
      </c>
      <c r="BT499" s="21">
        <v>99</v>
      </c>
      <c r="BU499" s="42">
        <v>82</v>
      </c>
      <c r="BV499" s="21">
        <v>21</v>
      </c>
      <c r="BW499" s="21">
        <v>33</v>
      </c>
      <c r="BX499" s="21">
        <v>91</v>
      </c>
      <c r="BY499" s="21">
        <v>30</v>
      </c>
      <c r="BZ499" s="21">
        <v>80</v>
      </c>
      <c r="CA499" s="21">
        <v>15</v>
      </c>
      <c r="CB499" s="21">
        <v>47</v>
      </c>
      <c r="CC499" s="21">
        <v>141</v>
      </c>
      <c r="CD499" s="21">
        <v>41</v>
      </c>
      <c r="CE499" s="21">
        <v>45</v>
      </c>
      <c r="CF499" s="21">
        <v>37</v>
      </c>
      <c r="CG499" s="42">
        <v>248</v>
      </c>
      <c r="CH499" s="21">
        <v>13</v>
      </c>
      <c r="CI499" s="21">
        <v>42</v>
      </c>
      <c r="CJ499" s="21">
        <v>18</v>
      </c>
      <c r="CK499" s="21">
        <v>22</v>
      </c>
      <c r="CL499" s="21">
        <v>48</v>
      </c>
      <c r="CM499" s="21">
        <v>13</v>
      </c>
      <c r="CN499" s="21">
        <v>46</v>
      </c>
      <c r="CO499" s="21">
        <v>13</v>
      </c>
      <c r="CP499" s="21">
        <f t="shared" si="717"/>
        <v>13</v>
      </c>
      <c r="CQ499" s="343">
        <f t="shared" si="718"/>
        <v>25.333333333333332</v>
      </c>
      <c r="CR499" s="40"/>
      <c r="CS499" s="39"/>
      <c r="CT499" s="38">
        <f t="shared" si="719"/>
        <v>146</v>
      </c>
      <c r="CU499" s="38">
        <f t="shared" si="720"/>
        <v>410</v>
      </c>
      <c r="CV499" s="38">
        <f t="shared" si="721"/>
        <v>300</v>
      </c>
      <c r="CW499" s="38">
        <f t="shared" si="722"/>
        <v>401</v>
      </c>
      <c r="CX499" s="38">
        <f t="shared" si="723"/>
        <v>456</v>
      </c>
      <c r="CY499" s="39">
        <f t="shared" si="724"/>
        <v>286</v>
      </c>
      <c r="CZ499" s="40">
        <f t="shared" si="725"/>
        <v>141</v>
      </c>
      <c r="DA499" s="40">
        <f t="shared" si="726"/>
        <v>307</v>
      </c>
      <c r="DB499" s="40">
        <f t="shared" si="727"/>
        <v>352</v>
      </c>
      <c r="DC499" s="40">
        <f t="shared" si="728"/>
        <v>155</v>
      </c>
      <c r="DD499" s="40">
        <f t="shared" si="729"/>
        <v>401</v>
      </c>
      <c r="DE499" s="40">
        <f t="shared" si="730"/>
        <v>294</v>
      </c>
      <c r="DF499" s="40">
        <f t="shared" si="731"/>
        <v>289</v>
      </c>
      <c r="DG499" s="40">
        <f t="shared" si="732"/>
        <v>375</v>
      </c>
      <c r="DH499" s="40">
        <f t="shared" si="733"/>
        <v>254</v>
      </c>
      <c r="DI499" s="40">
        <f t="shared" si="734"/>
        <v>290</v>
      </c>
      <c r="DJ499" s="40">
        <f t="shared" si="735"/>
        <v>252</v>
      </c>
      <c r="DK499" s="39">
        <f t="shared" si="736"/>
        <v>525</v>
      </c>
      <c r="DL499" s="40">
        <f t="shared" si="737"/>
        <v>556</v>
      </c>
      <c r="DM499" s="40">
        <f t="shared" si="738"/>
        <v>158</v>
      </c>
      <c r="DN499" s="40">
        <f t="shared" si="739"/>
        <v>208</v>
      </c>
      <c r="DO499" s="40">
        <f t="shared" si="740"/>
        <v>162</v>
      </c>
      <c r="DP499" s="40">
        <f t="shared" si="741"/>
        <v>267</v>
      </c>
      <c r="DQ499" s="40">
        <f t="shared" si="742"/>
        <v>276</v>
      </c>
      <c r="DR499" s="40">
        <f t="shared" si="747"/>
        <v>242</v>
      </c>
      <c r="DS499" s="40">
        <f t="shared" si="748"/>
        <v>250</v>
      </c>
      <c r="DT499" s="40">
        <f t="shared" si="743"/>
        <v>229</v>
      </c>
      <c r="DU499" s="40">
        <f t="shared" si="744"/>
        <v>273.33333333333331</v>
      </c>
      <c r="DV499" s="40">
        <f t="shared" si="745"/>
        <v>0</v>
      </c>
      <c r="DW499" s="40">
        <f t="shared" si="746"/>
        <v>0</v>
      </c>
    </row>
    <row r="500" spans="1:127">
      <c r="A500" s="22" t="s">
        <v>39</v>
      </c>
      <c r="B500" s="26">
        <v>4902430520300</v>
      </c>
      <c r="C500" s="22" t="s">
        <v>40</v>
      </c>
      <c r="D500" s="22" t="s">
        <v>41</v>
      </c>
      <c r="E500" s="22">
        <v>320036</v>
      </c>
      <c r="F500" s="80" t="s">
        <v>587</v>
      </c>
      <c r="G500" s="25">
        <v>94.600000000000009</v>
      </c>
      <c r="H500" s="38">
        <f t="shared" si="691"/>
        <v>3027.2000000000003</v>
      </c>
      <c r="I500" s="38">
        <f t="shared" si="692"/>
        <v>10595.2</v>
      </c>
      <c r="J500" s="38">
        <f t="shared" si="693"/>
        <v>7568.0000000000009</v>
      </c>
      <c r="K500" s="38">
        <f t="shared" si="694"/>
        <v>7568.0000000000009</v>
      </c>
      <c r="L500" s="38">
        <f t="shared" si="695"/>
        <v>9081.6</v>
      </c>
      <c r="M500" s="39">
        <f t="shared" si="696"/>
        <v>6338.2000000000007</v>
      </c>
      <c r="N500" s="40">
        <f t="shared" si="697"/>
        <v>2365</v>
      </c>
      <c r="O500" s="40">
        <f t="shared" si="698"/>
        <v>5581.4000000000005</v>
      </c>
      <c r="P500" s="40">
        <f t="shared" si="699"/>
        <v>6243.6</v>
      </c>
      <c r="Q500" s="40">
        <f t="shared" si="700"/>
        <v>4446.2000000000007</v>
      </c>
      <c r="R500" s="40">
        <f t="shared" si="701"/>
        <v>8703.2000000000007</v>
      </c>
      <c r="S500" s="40">
        <f t="shared" si="702"/>
        <v>6716.6</v>
      </c>
      <c r="T500" s="40">
        <f t="shared" si="703"/>
        <v>5770.6</v>
      </c>
      <c r="U500" s="40">
        <f t="shared" si="704"/>
        <v>10406.000000000002</v>
      </c>
      <c r="V500" s="40">
        <f t="shared" si="705"/>
        <v>2932.6000000000004</v>
      </c>
      <c r="W500" s="40">
        <f t="shared" si="706"/>
        <v>5203.0000000000009</v>
      </c>
      <c r="X500" s="40">
        <f t="shared" si="707"/>
        <v>5203.0000000000009</v>
      </c>
      <c r="Y500" s="39">
        <f t="shared" si="708"/>
        <v>14757.600000000002</v>
      </c>
      <c r="Z500" s="40">
        <f t="shared" si="709"/>
        <v>11352.000000000002</v>
      </c>
      <c r="AA500" s="40">
        <f t="shared" si="710"/>
        <v>3121.8</v>
      </c>
      <c r="AB500" s="40">
        <f t="shared" si="711"/>
        <v>3784.0000000000005</v>
      </c>
      <c r="AC500" s="40">
        <f t="shared" si="712"/>
        <v>5581.4000000000005</v>
      </c>
      <c r="AD500" s="40">
        <f t="shared" si="713"/>
        <v>4351.6000000000004</v>
      </c>
      <c r="AE500" s="40">
        <f t="shared" si="714"/>
        <v>1419.0000000000002</v>
      </c>
      <c r="AF500" s="40">
        <f t="shared" si="715"/>
        <v>94.600000000000009</v>
      </c>
      <c r="AG500" s="40">
        <f t="shared" si="716"/>
        <v>283.8</v>
      </c>
      <c r="AH500" s="40">
        <f t="shared" si="687"/>
        <v>0</v>
      </c>
      <c r="AI500" s="40">
        <f t="shared" si="688"/>
        <v>304.82222222222225</v>
      </c>
      <c r="AJ500" s="40">
        <f t="shared" si="689"/>
        <v>0</v>
      </c>
      <c r="AK500" s="39">
        <f t="shared" si="690"/>
        <v>0</v>
      </c>
      <c r="AL500" s="38">
        <v>17</v>
      </c>
      <c r="AM500" s="38">
        <v>77</v>
      </c>
      <c r="AN500" s="38">
        <v>49</v>
      </c>
      <c r="AO500" s="38">
        <v>61</v>
      </c>
      <c r="AP500" s="38">
        <v>70</v>
      </c>
      <c r="AQ500" s="39">
        <v>37</v>
      </c>
      <c r="AR500" s="40">
        <v>14</v>
      </c>
      <c r="AS500" s="40">
        <v>44</v>
      </c>
      <c r="AT500" s="40">
        <v>39</v>
      </c>
      <c r="AU500" s="40">
        <v>31</v>
      </c>
      <c r="AV500" s="40">
        <v>59</v>
      </c>
      <c r="AW500" s="40">
        <v>59</v>
      </c>
      <c r="AX500" s="40">
        <v>35</v>
      </c>
      <c r="AY500" s="40">
        <v>43</v>
      </c>
      <c r="AZ500" s="40">
        <v>23</v>
      </c>
      <c r="BA500" s="40">
        <v>33</v>
      </c>
      <c r="BB500" s="40">
        <v>43</v>
      </c>
      <c r="BC500" s="39">
        <v>55</v>
      </c>
      <c r="BD500" s="40">
        <v>107</v>
      </c>
      <c r="BE500" s="40">
        <v>23</v>
      </c>
      <c r="BF500" s="40">
        <v>34</v>
      </c>
      <c r="BG500" s="40">
        <v>59</v>
      </c>
      <c r="BH500" s="40">
        <v>46</v>
      </c>
      <c r="BI500" s="40">
        <v>15</v>
      </c>
      <c r="BJ500" s="40">
        <v>1</v>
      </c>
      <c r="BK500" s="40">
        <v>3</v>
      </c>
      <c r="BL500" s="40">
        <v>0</v>
      </c>
      <c r="BM500" s="40">
        <v>0</v>
      </c>
      <c r="BN500" s="40"/>
      <c r="BO500" s="39"/>
      <c r="BP500" s="21">
        <v>15</v>
      </c>
      <c r="BQ500" s="21">
        <v>35</v>
      </c>
      <c r="BR500" s="21">
        <v>31</v>
      </c>
      <c r="BS500" s="21">
        <v>19</v>
      </c>
      <c r="BT500" s="21">
        <v>26</v>
      </c>
      <c r="BU500" s="42">
        <v>30</v>
      </c>
      <c r="BV500" s="21">
        <v>11</v>
      </c>
      <c r="BW500" s="21">
        <v>15</v>
      </c>
      <c r="BX500" s="21">
        <v>27</v>
      </c>
      <c r="BY500" s="21">
        <v>16</v>
      </c>
      <c r="BZ500" s="21">
        <v>33</v>
      </c>
      <c r="CA500" s="21">
        <v>12</v>
      </c>
      <c r="CB500" s="21">
        <v>26</v>
      </c>
      <c r="CC500" s="21">
        <v>67</v>
      </c>
      <c r="CD500" s="21">
        <v>8</v>
      </c>
      <c r="CE500" s="21">
        <v>22</v>
      </c>
      <c r="CF500" s="21">
        <v>12</v>
      </c>
      <c r="CG500" s="42">
        <v>101</v>
      </c>
      <c r="CH500" s="21">
        <v>13</v>
      </c>
      <c r="CI500" s="21">
        <v>10</v>
      </c>
      <c r="CJ500" s="21">
        <v>6</v>
      </c>
      <c r="CK500" s="21">
        <v>0</v>
      </c>
      <c r="CL500" s="21">
        <v>0</v>
      </c>
      <c r="CM500" s="21">
        <v>0</v>
      </c>
      <c r="CN500" s="21">
        <v>0</v>
      </c>
      <c r="CO500" s="21">
        <v>0</v>
      </c>
      <c r="CP500" s="21">
        <f t="shared" si="717"/>
        <v>0</v>
      </c>
      <c r="CQ500" s="343">
        <f t="shared" si="718"/>
        <v>3.2222222222222223</v>
      </c>
      <c r="CR500" s="40"/>
      <c r="CS500" s="39"/>
      <c r="CT500" s="38">
        <f t="shared" si="719"/>
        <v>32</v>
      </c>
      <c r="CU500" s="38">
        <f t="shared" si="720"/>
        <v>112</v>
      </c>
      <c r="CV500" s="38">
        <f t="shared" si="721"/>
        <v>80</v>
      </c>
      <c r="CW500" s="38">
        <f t="shared" si="722"/>
        <v>80</v>
      </c>
      <c r="CX500" s="38">
        <f t="shared" si="723"/>
        <v>96</v>
      </c>
      <c r="CY500" s="39">
        <f t="shared" si="724"/>
        <v>67</v>
      </c>
      <c r="CZ500" s="40">
        <f t="shared" si="725"/>
        <v>25</v>
      </c>
      <c r="DA500" s="40">
        <f t="shared" si="726"/>
        <v>59</v>
      </c>
      <c r="DB500" s="40">
        <f t="shared" si="727"/>
        <v>66</v>
      </c>
      <c r="DC500" s="40">
        <f t="shared" si="728"/>
        <v>47</v>
      </c>
      <c r="DD500" s="40">
        <f t="shared" si="729"/>
        <v>92</v>
      </c>
      <c r="DE500" s="40">
        <f t="shared" si="730"/>
        <v>71</v>
      </c>
      <c r="DF500" s="40">
        <f t="shared" si="731"/>
        <v>61</v>
      </c>
      <c r="DG500" s="40">
        <f t="shared" si="732"/>
        <v>110</v>
      </c>
      <c r="DH500" s="40">
        <f t="shared" si="733"/>
        <v>31</v>
      </c>
      <c r="DI500" s="40">
        <f t="shared" si="734"/>
        <v>55</v>
      </c>
      <c r="DJ500" s="40">
        <f t="shared" si="735"/>
        <v>55</v>
      </c>
      <c r="DK500" s="39">
        <f t="shared" si="736"/>
        <v>156</v>
      </c>
      <c r="DL500" s="40">
        <f t="shared" si="737"/>
        <v>120</v>
      </c>
      <c r="DM500" s="40">
        <f t="shared" si="738"/>
        <v>33</v>
      </c>
      <c r="DN500" s="40">
        <f t="shared" si="739"/>
        <v>40</v>
      </c>
      <c r="DO500" s="40">
        <f t="shared" si="740"/>
        <v>59</v>
      </c>
      <c r="DP500" s="40">
        <f t="shared" si="741"/>
        <v>46</v>
      </c>
      <c r="DQ500" s="40">
        <f t="shared" si="742"/>
        <v>15</v>
      </c>
      <c r="DR500" s="40">
        <f t="shared" si="747"/>
        <v>1</v>
      </c>
      <c r="DS500" s="40">
        <f t="shared" si="748"/>
        <v>3</v>
      </c>
      <c r="DT500" s="40">
        <f t="shared" si="743"/>
        <v>0</v>
      </c>
      <c r="DU500" s="40">
        <f t="shared" si="744"/>
        <v>3.2222222222222223</v>
      </c>
      <c r="DV500" s="40">
        <f t="shared" si="745"/>
        <v>0</v>
      </c>
      <c r="DW500" s="40">
        <f t="shared" si="746"/>
        <v>0</v>
      </c>
    </row>
    <row r="501" spans="1:127">
      <c r="A501" s="22" t="s">
        <v>39</v>
      </c>
      <c r="B501" s="26">
        <v>4902430910279</v>
      </c>
      <c r="C501" s="22" t="s">
        <v>40</v>
      </c>
      <c r="D501" s="22" t="s">
        <v>41</v>
      </c>
      <c r="E501" s="22">
        <v>359377</v>
      </c>
      <c r="F501" s="80" t="s">
        <v>588</v>
      </c>
      <c r="G501" s="25">
        <v>94.600000000000009</v>
      </c>
      <c r="H501" s="38">
        <f t="shared" si="691"/>
        <v>3784.0000000000005</v>
      </c>
      <c r="I501" s="38">
        <f t="shared" si="692"/>
        <v>10027.6</v>
      </c>
      <c r="J501" s="38">
        <f t="shared" si="693"/>
        <v>7473.4000000000005</v>
      </c>
      <c r="K501" s="38">
        <f t="shared" si="694"/>
        <v>9081.6</v>
      </c>
      <c r="L501" s="38">
        <f t="shared" si="695"/>
        <v>10406.000000000002</v>
      </c>
      <c r="M501" s="39">
        <f t="shared" si="696"/>
        <v>7095.0000000000009</v>
      </c>
      <c r="N501" s="40">
        <f t="shared" si="697"/>
        <v>2838.0000000000005</v>
      </c>
      <c r="O501" s="40">
        <f t="shared" si="698"/>
        <v>7189.6</v>
      </c>
      <c r="P501" s="40">
        <f t="shared" si="699"/>
        <v>7757.2000000000007</v>
      </c>
      <c r="Q501" s="40">
        <f t="shared" si="700"/>
        <v>1986.6000000000001</v>
      </c>
      <c r="R501" s="40">
        <f t="shared" si="701"/>
        <v>10500.6</v>
      </c>
      <c r="S501" s="40">
        <f t="shared" si="702"/>
        <v>8135.6</v>
      </c>
      <c r="T501" s="40">
        <f t="shared" si="703"/>
        <v>8324.8000000000011</v>
      </c>
      <c r="U501" s="40">
        <f t="shared" si="704"/>
        <v>12014.2</v>
      </c>
      <c r="V501" s="40">
        <f t="shared" si="705"/>
        <v>4446.2000000000007</v>
      </c>
      <c r="W501" s="40">
        <f t="shared" si="706"/>
        <v>6811.2000000000007</v>
      </c>
      <c r="X501" s="40">
        <f t="shared" si="707"/>
        <v>8703.2000000000007</v>
      </c>
      <c r="Y501" s="39">
        <f t="shared" si="708"/>
        <v>15703.600000000002</v>
      </c>
      <c r="Z501" s="40">
        <f t="shared" si="709"/>
        <v>14757.600000000002</v>
      </c>
      <c r="AA501" s="40">
        <f t="shared" si="710"/>
        <v>5392.2000000000007</v>
      </c>
      <c r="AB501" s="40">
        <f t="shared" si="711"/>
        <v>6432.8</v>
      </c>
      <c r="AC501" s="40">
        <f t="shared" si="712"/>
        <v>5486.8</v>
      </c>
      <c r="AD501" s="40">
        <f t="shared" si="713"/>
        <v>5297.6</v>
      </c>
      <c r="AE501" s="40">
        <f t="shared" si="714"/>
        <v>1986.6000000000001</v>
      </c>
      <c r="AF501" s="40">
        <f t="shared" si="715"/>
        <v>283.8</v>
      </c>
      <c r="AG501" s="40">
        <f t="shared" si="716"/>
        <v>189.20000000000002</v>
      </c>
      <c r="AH501" s="40">
        <f t="shared" si="687"/>
        <v>0</v>
      </c>
      <c r="AI501" s="40">
        <f t="shared" si="688"/>
        <v>672.71111111111111</v>
      </c>
      <c r="AJ501" s="40">
        <f t="shared" si="689"/>
        <v>0</v>
      </c>
      <c r="AK501" s="39">
        <f t="shared" si="690"/>
        <v>0</v>
      </c>
      <c r="AL501" s="38">
        <v>21</v>
      </c>
      <c r="AM501" s="38">
        <v>78</v>
      </c>
      <c r="AN501" s="38">
        <v>29</v>
      </c>
      <c r="AO501" s="38">
        <v>76</v>
      </c>
      <c r="AP501" s="38">
        <v>82</v>
      </c>
      <c r="AQ501" s="39">
        <v>50</v>
      </c>
      <c r="AR501" s="40">
        <v>18</v>
      </c>
      <c r="AS501" s="40">
        <v>53</v>
      </c>
      <c r="AT501" s="40">
        <v>63</v>
      </c>
      <c r="AU501" s="40">
        <v>14</v>
      </c>
      <c r="AV501" s="40">
        <v>81</v>
      </c>
      <c r="AW501" s="40">
        <v>77</v>
      </c>
      <c r="AX501" s="40">
        <v>64</v>
      </c>
      <c r="AY501" s="40">
        <v>76</v>
      </c>
      <c r="AZ501" s="40">
        <v>43</v>
      </c>
      <c r="BA501" s="40">
        <v>42</v>
      </c>
      <c r="BB501" s="40">
        <v>68</v>
      </c>
      <c r="BC501" s="39">
        <v>73</v>
      </c>
      <c r="BD501" s="40">
        <v>140</v>
      </c>
      <c r="BE501" s="40">
        <v>36</v>
      </c>
      <c r="BF501" s="40">
        <v>45</v>
      </c>
      <c r="BG501" s="40">
        <v>54</v>
      </c>
      <c r="BH501" s="40">
        <v>56</v>
      </c>
      <c r="BI501" s="40">
        <v>21</v>
      </c>
      <c r="BJ501" s="40">
        <v>3</v>
      </c>
      <c r="BK501" s="40">
        <v>2</v>
      </c>
      <c r="BL501" s="40">
        <v>0</v>
      </c>
      <c r="BM501" s="40">
        <v>0</v>
      </c>
      <c r="BN501" s="40"/>
      <c r="BO501" s="39"/>
      <c r="BP501" s="21">
        <v>19</v>
      </c>
      <c r="BQ501" s="21">
        <v>28</v>
      </c>
      <c r="BR501" s="21">
        <v>50</v>
      </c>
      <c r="BS501" s="21">
        <v>20</v>
      </c>
      <c r="BT501" s="21">
        <v>28</v>
      </c>
      <c r="BU501" s="42">
        <v>25</v>
      </c>
      <c r="BV501" s="21">
        <v>12</v>
      </c>
      <c r="BW501" s="21">
        <v>23</v>
      </c>
      <c r="BX501" s="21">
        <v>19</v>
      </c>
      <c r="BY501" s="21">
        <v>7</v>
      </c>
      <c r="BZ501" s="21">
        <v>30</v>
      </c>
      <c r="CA501" s="21">
        <v>9</v>
      </c>
      <c r="CB501" s="21">
        <v>24</v>
      </c>
      <c r="CC501" s="21">
        <v>51</v>
      </c>
      <c r="CD501" s="21">
        <v>4</v>
      </c>
      <c r="CE501" s="21">
        <v>30</v>
      </c>
      <c r="CF501" s="21">
        <v>24</v>
      </c>
      <c r="CG501" s="42">
        <v>93</v>
      </c>
      <c r="CH501" s="21">
        <v>16</v>
      </c>
      <c r="CI501" s="21">
        <v>21</v>
      </c>
      <c r="CJ501" s="21">
        <v>23</v>
      </c>
      <c r="CK501" s="21">
        <v>4</v>
      </c>
      <c r="CL501" s="21">
        <v>0</v>
      </c>
      <c r="CM501" s="21">
        <v>0</v>
      </c>
      <c r="CN501" s="21">
        <v>0</v>
      </c>
      <c r="CO501" s="21">
        <v>0</v>
      </c>
      <c r="CP501" s="21">
        <f t="shared" si="717"/>
        <v>0</v>
      </c>
      <c r="CQ501" s="343">
        <f t="shared" si="718"/>
        <v>7.1111111111111107</v>
      </c>
      <c r="CR501" s="40"/>
      <c r="CS501" s="39"/>
      <c r="CT501" s="38">
        <f t="shared" si="719"/>
        <v>40</v>
      </c>
      <c r="CU501" s="38">
        <f t="shared" si="720"/>
        <v>106</v>
      </c>
      <c r="CV501" s="38">
        <f t="shared" si="721"/>
        <v>79</v>
      </c>
      <c r="CW501" s="38">
        <f t="shared" si="722"/>
        <v>96</v>
      </c>
      <c r="CX501" s="38">
        <f t="shared" si="723"/>
        <v>110</v>
      </c>
      <c r="CY501" s="39">
        <f t="shared" si="724"/>
        <v>75</v>
      </c>
      <c r="CZ501" s="40">
        <f t="shared" si="725"/>
        <v>30</v>
      </c>
      <c r="DA501" s="40">
        <f t="shared" si="726"/>
        <v>76</v>
      </c>
      <c r="DB501" s="40">
        <f t="shared" si="727"/>
        <v>82</v>
      </c>
      <c r="DC501" s="40">
        <f t="shared" si="728"/>
        <v>21</v>
      </c>
      <c r="DD501" s="40">
        <f t="shared" si="729"/>
        <v>111</v>
      </c>
      <c r="DE501" s="40">
        <f t="shared" si="730"/>
        <v>86</v>
      </c>
      <c r="DF501" s="40">
        <f t="shared" si="731"/>
        <v>88</v>
      </c>
      <c r="DG501" s="40">
        <f t="shared" si="732"/>
        <v>127</v>
      </c>
      <c r="DH501" s="40">
        <f t="shared" si="733"/>
        <v>47</v>
      </c>
      <c r="DI501" s="40">
        <f t="shared" si="734"/>
        <v>72</v>
      </c>
      <c r="DJ501" s="40">
        <f t="shared" si="735"/>
        <v>92</v>
      </c>
      <c r="DK501" s="39">
        <f t="shared" si="736"/>
        <v>166</v>
      </c>
      <c r="DL501" s="40">
        <f t="shared" si="737"/>
        <v>156</v>
      </c>
      <c r="DM501" s="40">
        <f t="shared" si="738"/>
        <v>57</v>
      </c>
      <c r="DN501" s="40">
        <f t="shared" si="739"/>
        <v>68</v>
      </c>
      <c r="DO501" s="40">
        <f t="shared" si="740"/>
        <v>58</v>
      </c>
      <c r="DP501" s="40">
        <f t="shared" si="741"/>
        <v>56</v>
      </c>
      <c r="DQ501" s="40">
        <f t="shared" si="742"/>
        <v>21</v>
      </c>
      <c r="DR501" s="40">
        <f t="shared" si="747"/>
        <v>3</v>
      </c>
      <c r="DS501" s="40">
        <f t="shared" si="748"/>
        <v>2</v>
      </c>
      <c r="DT501" s="40">
        <f t="shared" si="743"/>
        <v>0</v>
      </c>
      <c r="DU501" s="40">
        <f t="shared" si="744"/>
        <v>7.1111111111111107</v>
      </c>
      <c r="DV501" s="40">
        <f t="shared" si="745"/>
        <v>0</v>
      </c>
      <c r="DW501" s="40">
        <f t="shared" si="746"/>
        <v>0</v>
      </c>
    </row>
    <row r="502" spans="1:127">
      <c r="A502" s="22" t="s">
        <v>39</v>
      </c>
      <c r="B502" s="26">
        <v>4902430363921</v>
      </c>
      <c r="C502" s="22" t="s">
        <v>40</v>
      </c>
      <c r="D502" s="22" t="s">
        <v>41</v>
      </c>
      <c r="E502" s="22">
        <v>302605</v>
      </c>
      <c r="F502" s="80" t="s">
        <v>589</v>
      </c>
      <c r="G502" s="25">
        <v>123.89999999999999</v>
      </c>
      <c r="H502" s="38">
        <f t="shared" si="691"/>
        <v>874857.89999999991</v>
      </c>
      <c r="I502" s="38">
        <f t="shared" si="692"/>
        <v>117581.09999999999</v>
      </c>
      <c r="J502" s="38">
        <f t="shared" si="693"/>
        <v>84747.599999999991</v>
      </c>
      <c r="K502" s="38">
        <f t="shared" si="694"/>
        <v>75455.099999999991</v>
      </c>
      <c r="L502" s="38">
        <f t="shared" si="695"/>
        <v>97757.099999999991</v>
      </c>
      <c r="M502" s="39">
        <f t="shared" si="696"/>
        <v>406763.69999999995</v>
      </c>
      <c r="N502" s="40">
        <f t="shared" si="697"/>
        <v>640934.69999999995</v>
      </c>
      <c r="O502" s="40">
        <f t="shared" si="698"/>
        <v>255357.9</v>
      </c>
      <c r="P502" s="40">
        <f t="shared" si="699"/>
        <v>409117.8</v>
      </c>
      <c r="Q502" s="40">
        <f t="shared" si="700"/>
        <v>670299</v>
      </c>
      <c r="R502" s="40">
        <f t="shared" si="701"/>
        <v>126997.49999999999</v>
      </c>
      <c r="S502" s="40">
        <f t="shared" si="702"/>
        <v>266880.59999999998</v>
      </c>
      <c r="T502" s="40">
        <f t="shared" si="703"/>
        <v>524840.39999999991</v>
      </c>
      <c r="U502" s="40">
        <f t="shared" si="704"/>
        <v>115722.59999999999</v>
      </c>
      <c r="V502" s="40">
        <f t="shared" si="705"/>
        <v>83384.7</v>
      </c>
      <c r="W502" s="40">
        <f t="shared" si="706"/>
        <v>81774</v>
      </c>
      <c r="X502" s="40">
        <f t="shared" si="707"/>
        <v>758639.7</v>
      </c>
      <c r="Y502" s="39">
        <f t="shared" si="708"/>
        <v>491387.39999999997</v>
      </c>
      <c r="Z502" s="40">
        <f t="shared" si="709"/>
        <v>487670.39999999997</v>
      </c>
      <c r="AA502" s="40">
        <f t="shared" si="710"/>
        <v>531778.79999999993</v>
      </c>
      <c r="AB502" s="40">
        <f t="shared" si="711"/>
        <v>280757.39999999997</v>
      </c>
      <c r="AC502" s="40">
        <f t="shared" si="712"/>
        <v>715770.29999999993</v>
      </c>
      <c r="AD502" s="40">
        <f t="shared" si="713"/>
        <v>120182.99999999999</v>
      </c>
      <c r="AE502" s="40">
        <f t="shared" si="714"/>
        <v>621854.1</v>
      </c>
      <c r="AF502" s="40">
        <f t="shared" si="715"/>
        <v>437490.89999999997</v>
      </c>
      <c r="AG502" s="40">
        <f t="shared" si="716"/>
        <v>134307.59999999998</v>
      </c>
      <c r="AH502" s="40">
        <f t="shared" si="687"/>
        <v>158839.79999999999</v>
      </c>
      <c r="AI502" s="40">
        <f t="shared" si="688"/>
        <v>183482.13333333333</v>
      </c>
      <c r="AJ502" s="40">
        <f t="shared" si="689"/>
        <v>0</v>
      </c>
      <c r="AK502" s="39">
        <f t="shared" si="690"/>
        <v>0</v>
      </c>
      <c r="AL502" s="38">
        <v>6424</v>
      </c>
      <c r="AM502" s="38">
        <v>875</v>
      </c>
      <c r="AN502" s="38">
        <v>584</v>
      </c>
      <c r="AO502" s="38">
        <v>572</v>
      </c>
      <c r="AP502" s="38">
        <v>737</v>
      </c>
      <c r="AQ502" s="39">
        <v>3074</v>
      </c>
      <c r="AR502" s="40">
        <v>4652</v>
      </c>
      <c r="AS502" s="40">
        <v>2017</v>
      </c>
      <c r="AT502" s="40">
        <v>3213</v>
      </c>
      <c r="AU502" s="40">
        <v>5025</v>
      </c>
      <c r="AV502" s="40">
        <v>912</v>
      </c>
      <c r="AW502" s="40">
        <v>1765</v>
      </c>
      <c r="AX502" s="40">
        <v>4173</v>
      </c>
      <c r="AY502" s="40">
        <v>821</v>
      </c>
      <c r="AZ502" s="40">
        <v>650</v>
      </c>
      <c r="BA502" s="40">
        <v>635</v>
      </c>
      <c r="BB502" s="40">
        <v>5570</v>
      </c>
      <c r="BC502" s="39">
        <v>3902</v>
      </c>
      <c r="BD502" s="40">
        <v>3588</v>
      </c>
      <c r="BE502" s="40">
        <v>4241</v>
      </c>
      <c r="BF502" s="40">
        <v>1981</v>
      </c>
      <c r="BG502" s="40">
        <v>5732</v>
      </c>
      <c r="BH502" s="40">
        <v>912</v>
      </c>
      <c r="BI502" s="40">
        <v>4654</v>
      </c>
      <c r="BJ502" s="40">
        <v>3451</v>
      </c>
      <c r="BK502" s="40">
        <v>1048</v>
      </c>
      <c r="BL502" s="40">
        <v>1246</v>
      </c>
      <c r="BM502" s="40">
        <v>1336</v>
      </c>
      <c r="BN502" s="40"/>
      <c r="BO502" s="39"/>
      <c r="BP502" s="21">
        <v>637</v>
      </c>
      <c r="BQ502" s="21">
        <v>74</v>
      </c>
      <c r="BR502" s="21">
        <v>100</v>
      </c>
      <c r="BS502" s="21">
        <v>37</v>
      </c>
      <c r="BT502" s="21">
        <v>52</v>
      </c>
      <c r="BU502" s="42">
        <v>209</v>
      </c>
      <c r="BV502" s="21">
        <v>521</v>
      </c>
      <c r="BW502" s="21">
        <v>44</v>
      </c>
      <c r="BX502" s="21">
        <v>89</v>
      </c>
      <c r="BY502" s="21">
        <v>385</v>
      </c>
      <c r="BZ502" s="21">
        <v>113</v>
      </c>
      <c r="CA502" s="21">
        <v>389</v>
      </c>
      <c r="CB502" s="21">
        <v>63</v>
      </c>
      <c r="CC502" s="21">
        <v>113</v>
      </c>
      <c r="CD502" s="21">
        <v>23</v>
      </c>
      <c r="CE502" s="21">
        <v>25</v>
      </c>
      <c r="CF502" s="21">
        <v>553</v>
      </c>
      <c r="CG502" s="42">
        <v>64</v>
      </c>
      <c r="CH502" s="21">
        <v>348</v>
      </c>
      <c r="CI502" s="21">
        <v>51</v>
      </c>
      <c r="CJ502" s="21">
        <v>285</v>
      </c>
      <c r="CK502" s="21">
        <v>45</v>
      </c>
      <c r="CL502" s="21">
        <v>58</v>
      </c>
      <c r="CM502" s="21">
        <v>365</v>
      </c>
      <c r="CN502" s="21">
        <v>80</v>
      </c>
      <c r="CO502" s="21">
        <v>36</v>
      </c>
      <c r="CP502" s="21">
        <f t="shared" si="717"/>
        <v>36</v>
      </c>
      <c r="CQ502" s="343">
        <f t="shared" si="718"/>
        <v>144.88888888888889</v>
      </c>
      <c r="CR502" s="40"/>
      <c r="CS502" s="39"/>
      <c r="CT502" s="38">
        <f t="shared" si="719"/>
        <v>7061</v>
      </c>
      <c r="CU502" s="38">
        <f t="shared" si="720"/>
        <v>949</v>
      </c>
      <c r="CV502" s="38">
        <f t="shared" si="721"/>
        <v>684</v>
      </c>
      <c r="CW502" s="38">
        <f t="shared" si="722"/>
        <v>609</v>
      </c>
      <c r="CX502" s="38">
        <f t="shared" si="723"/>
        <v>789</v>
      </c>
      <c r="CY502" s="39">
        <f t="shared" si="724"/>
        <v>3283</v>
      </c>
      <c r="CZ502" s="40">
        <f t="shared" si="725"/>
        <v>5173</v>
      </c>
      <c r="DA502" s="40">
        <f t="shared" si="726"/>
        <v>2061</v>
      </c>
      <c r="DB502" s="40">
        <f t="shared" si="727"/>
        <v>3302</v>
      </c>
      <c r="DC502" s="40">
        <f t="shared" si="728"/>
        <v>5410</v>
      </c>
      <c r="DD502" s="40">
        <f t="shared" si="729"/>
        <v>1025</v>
      </c>
      <c r="DE502" s="40">
        <f t="shared" si="730"/>
        <v>2154</v>
      </c>
      <c r="DF502" s="40">
        <f t="shared" si="731"/>
        <v>4236</v>
      </c>
      <c r="DG502" s="40">
        <f t="shared" si="732"/>
        <v>934</v>
      </c>
      <c r="DH502" s="40">
        <f t="shared" si="733"/>
        <v>673</v>
      </c>
      <c r="DI502" s="40">
        <f t="shared" si="734"/>
        <v>660</v>
      </c>
      <c r="DJ502" s="40">
        <f t="shared" si="735"/>
        <v>6123</v>
      </c>
      <c r="DK502" s="39">
        <f t="shared" si="736"/>
        <v>3966</v>
      </c>
      <c r="DL502" s="40">
        <f t="shared" si="737"/>
        <v>3936</v>
      </c>
      <c r="DM502" s="40">
        <f t="shared" si="738"/>
        <v>4292</v>
      </c>
      <c r="DN502" s="40">
        <f t="shared" si="739"/>
        <v>2266</v>
      </c>
      <c r="DO502" s="40">
        <f t="shared" si="740"/>
        <v>5777</v>
      </c>
      <c r="DP502" s="40">
        <f t="shared" si="741"/>
        <v>970</v>
      </c>
      <c r="DQ502" s="40">
        <f t="shared" si="742"/>
        <v>5019</v>
      </c>
      <c r="DR502" s="40">
        <f t="shared" si="747"/>
        <v>3531</v>
      </c>
      <c r="DS502" s="40">
        <f t="shared" si="748"/>
        <v>1084</v>
      </c>
      <c r="DT502" s="40">
        <f t="shared" si="743"/>
        <v>1282</v>
      </c>
      <c r="DU502" s="40">
        <f t="shared" si="744"/>
        <v>1480.8888888888889</v>
      </c>
      <c r="DV502" s="40">
        <f t="shared" si="745"/>
        <v>0</v>
      </c>
      <c r="DW502" s="40">
        <f t="shared" si="746"/>
        <v>0</v>
      </c>
    </row>
    <row r="503" spans="1:127">
      <c r="A503" s="22" t="s">
        <v>39</v>
      </c>
      <c r="B503" s="26">
        <v>4902430363938</v>
      </c>
      <c r="C503" s="22" t="s">
        <v>40</v>
      </c>
      <c r="D503" s="22" t="s">
        <v>41</v>
      </c>
      <c r="E503" s="22">
        <v>302618</v>
      </c>
      <c r="F503" s="80" t="s">
        <v>590</v>
      </c>
      <c r="G503" s="25">
        <v>123.89999999999999</v>
      </c>
      <c r="H503" s="38">
        <f t="shared" si="691"/>
        <v>974969.1</v>
      </c>
      <c r="I503" s="38">
        <f t="shared" si="692"/>
        <v>117085.49999999999</v>
      </c>
      <c r="J503" s="38">
        <f t="shared" si="693"/>
        <v>82145.7</v>
      </c>
      <c r="K503" s="38">
        <f t="shared" si="694"/>
        <v>78180.899999999994</v>
      </c>
      <c r="L503" s="38">
        <f t="shared" si="695"/>
        <v>93420.599999999991</v>
      </c>
      <c r="M503" s="39">
        <f t="shared" si="696"/>
        <v>480360.3</v>
      </c>
      <c r="N503" s="40">
        <f t="shared" si="697"/>
        <v>735718.2</v>
      </c>
      <c r="O503" s="40">
        <f t="shared" si="698"/>
        <v>271836.59999999998</v>
      </c>
      <c r="P503" s="40">
        <f t="shared" si="699"/>
        <v>444181.49999999994</v>
      </c>
      <c r="Q503" s="40">
        <f t="shared" si="700"/>
        <v>774870.6</v>
      </c>
      <c r="R503" s="40">
        <f t="shared" si="701"/>
        <v>122289.29999999999</v>
      </c>
      <c r="S503" s="40">
        <f t="shared" si="702"/>
        <v>250030.19999999998</v>
      </c>
      <c r="T503" s="40">
        <f t="shared" si="703"/>
        <v>516167.39999999997</v>
      </c>
      <c r="U503" s="40">
        <f t="shared" si="704"/>
        <v>93544.5</v>
      </c>
      <c r="V503" s="40">
        <f t="shared" si="705"/>
        <v>79667.7</v>
      </c>
      <c r="W503" s="40">
        <f t="shared" si="706"/>
        <v>79172.099999999991</v>
      </c>
      <c r="X503" s="40">
        <f t="shared" si="707"/>
        <v>727788.6</v>
      </c>
      <c r="Y503" s="39">
        <f t="shared" si="708"/>
        <v>490024.49999999994</v>
      </c>
      <c r="Z503" s="40">
        <f t="shared" si="709"/>
        <v>459173.39999999997</v>
      </c>
      <c r="AA503" s="40">
        <f t="shared" si="710"/>
        <v>522486.3</v>
      </c>
      <c r="AB503" s="40">
        <f t="shared" si="711"/>
        <v>252384.3</v>
      </c>
      <c r="AC503" s="40">
        <f t="shared" si="712"/>
        <v>684299.7</v>
      </c>
      <c r="AD503" s="40">
        <f t="shared" si="713"/>
        <v>100359</v>
      </c>
      <c r="AE503" s="40">
        <f t="shared" si="714"/>
        <v>546894.6</v>
      </c>
      <c r="AF503" s="40">
        <f t="shared" si="715"/>
        <v>401436</v>
      </c>
      <c r="AG503" s="40">
        <f t="shared" si="716"/>
        <v>106306.2</v>
      </c>
      <c r="AH503" s="40">
        <f t="shared" si="687"/>
        <v>134183.69999999998</v>
      </c>
      <c r="AI503" s="40">
        <f t="shared" si="688"/>
        <v>151749.96666666667</v>
      </c>
      <c r="AJ503" s="40">
        <f t="shared" si="689"/>
        <v>0</v>
      </c>
      <c r="AK503" s="39">
        <f t="shared" si="690"/>
        <v>0</v>
      </c>
      <c r="AL503" s="38">
        <v>7491</v>
      </c>
      <c r="AM503" s="38">
        <v>904</v>
      </c>
      <c r="AN503" s="38">
        <v>606</v>
      </c>
      <c r="AO503" s="38">
        <v>608</v>
      </c>
      <c r="AP503" s="38">
        <v>727</v>
      </c>
      <c r="AQ503" s="39">
        <v>3692</v>
      </c>
      <c r="AR503" s="40">
        <v>5606</v>
      </c>
      <c r="AS503" s="40">
        <v>2166</v>
      </c>
      <c r="AT503" s="40">
        <v>3528</v>
      </c>
      <c r="AU503" s="40">
        <v>6054</v>
      </c>
      <c r="AV503" s="40">
        <v>949</v>
      </c>
      <c r="AW503" s="40">
        <v>1799</v>
      </c>
      <c r="AX503" s="40">
        <v>4148</v>
      </c>
      <c r="AY503" s="40">
        <v>689</v>
      </c>
      <c r="AZ503" s="40">
        <v>622</v>
      </c>
      <c r="BA503" s="40">
        <v>625</v>
      </c>
      <c r="BB503" s="40">
        <v>5423</v>
      </c>
      <c r="BC503" s="39">
        <v>3933</v>
      </c>
      <c r="BD503" s="40">
        <v>3453</v>
      </c>
      <c r="BE503" s="40">
        <v>4193</v>
      </c>
      <c r="BF503" s="40">
        <v>1867</v>
      </c>
      <c r="BG503" s="40">
        <v>5494</v>
      </c>
      <c r="BH503" s="40">
        <v>786</v>
      </c>
      <c r="BI503" s="40">
        <v>4196</v>
      </c>
      <c r="BJ503" s="40">
        <v>3215</v>
      </c>
      <c r="BK503" s="40">
        <v>848</v>
      </c>
      <c r="BL503" s="40">
        <v>1073</v>
      </c>
      <c r="BM503" s="40">
        <v>1140</v>
      </c>
      <c r="BN503" s="40"/>
      <c r="BO503" s="39"/>
      <c r="BP503" s="21">
        <v>378</v>
      </c>
      <c r="BQ503" s="21">
        <v>41</v>
      </c>
      <c r="BR503" s="21">
        <v>57</v>
      </c>
      <c r="BS503" s="21">
        <v>23</v>
      </c>
      <c r="BT503" s="21">
        <v>27</v>
      </c>
      <c r="BU503" s="42">
        <v>185</v>
      </c>
      <c r="BV503" s="21">
        <v>332</v>
      </c>
      <c r="BW503" s="21">
        <v>28</v>
      </c>
      <c r="BX503" s="21">
        <v>57</v>
      </c>
      <c r="BY503" s="21">
        <v>200</v>
      </c>
      <c r="BZ503" s="21">
        <v>38</v>
      </c>
      <c r="CA503" s="21">
        <v>219</v>
      </c>
      <c r="CB503" s="21">
        <v>18</v>
      </c>
      <c r="CC503" s="21">
        <v>66</v>
      </c>
      <c r="CD503" s="21">
        <v>21</v>
      </c>
      <c r="CE503" s="21">
        <v>14</v>
      </c>
      <c r="CF503" s="21">
        <v>451</v>
      </c>
      <c r="CG503" s="42">
        <v>22</v>
      </c>
      <c r="CH503" s="21">
        <v>253</v>
      </c>
      <c r="CI503" s="21">
        <v>24</v>
      </c>
      <c r="CJ503" s="21">
        <v>170</v>
      </c>
      <c r="CK503" s="21">
        <v>29</v>
      </c>
      <c r="CL503" s="21">
        <v>24</v>
      </c>
      <c r="CM503" s="21">
        <v>218</v>
      </c>
      <c r="CN503" s="21">
        <v>25</v>
      </c>
      <c r="CO503" s="21">
        <v>10</v>
      </c>
      <c r="CP503" s="21">
        <f t="shared" si="717"/>
        <v>10</v>
      </c>
      <c r="CQ503" s="343">
        <f t="shared" si="718"/>
        <v>84.777777777777771</v>
      </c>
      <c r="CR503" s="40"/>
      <c r="CS503" s="39"/>
      <c r="CT503" s="38">
        <f t="shared" si="719"/>
        <v>7869</v>
      </c>
      <c r="CU503" s="38">
        <f t="shared" si="720"/>
        <v>945</v>
      </c>
      <c r="CV503" s="38">
        <f t="shared" si="721"/>
        <v>663</v>
      </c>
      <c r="CW503" s="38">
        <f t="shared" si="722"/>
        <v>631</v>
      </c>
      <c r="CX503" s="38">
        <f t="shared" si="723"/>
        <v>754</v>
      </c>
      <c r="CY503" s="39">
        <f t="shared" si="724"/>
        <v>3877</v>
      </c>
      <c r="CZ503" s="40">
        <f t="shared" si="725"/>
        <v>5938</v>
      </c>
      <c r="DA503" s="40">
        <f t="shared" si="726"/>
        <v>2194</v>
      </c>
      <c r="DB503" s="40">
        <f t="shared" si="727"/>
        <v>3585</v>
      </c>
      <c r="DC503" s="40">
        <f t="shared" si="728"/>
        <v>6254</v>
      </c>
      <c r="DD503" s="40">
        <f t="shared" si="729"/>
        <v>987</v>
      </c>
      <c r="DE503" s="40">
        <f t="shared" si="730"/>
        <v>2018</v>
      </c>
      <c r="DF503" s="40">
        <f t="shared" si="731"/>
        <v>4166</v>
      </c>
      <c r="DG503" s="40">
        <f t="shared" si="732"/>
        <v>755</v>
      </c>
      <c r="DH503" s="40">
        <f t="shared" si="733"/>
        <v>643</v>
      </c>
      <c r="DI503" s="40">
        <f t="shared" si="734"/>
        <v>639</v>
      </c>
      <c r="DJ503" s="40">
        <f t="shared" si="735"/>
        <v>5874</v>
      </c>
      <c r="DK503" s="39">
        <f t="shared" si="736"/>
        <v>3955</v>
      </c>
      <c r="DL503" s="40">
        <f t="shared" si="737"/>
        <v>3706</v>
      </c>
      <c r="DM503" s="40">
        <f t="shared" si="738"/>
        <v>4217</v>
      </c>
      <c r="DN503" s="40">
        <f t="shared" si="739"/>
        <v>2037</v>
      </c>
      <c r="DO503" s="40">
        <f t="shared" si="740"/>
        <v>5523</v>
      </c>
      <c r="DP503" s="40">
        <f t="shared" si="741"/>
        <v>810</v>
      </c>
      <c r="DQ503" s="40">
        <f t="shared" si="742"/>
        <v>4414</v>
      </c>
      <c r="DR503" s="40">
        <f t="shared" si="747"/>
        <v>3240</v>
      </c>
      <c r="DS503" s="40">
        <f t="shared" si="748"/>
        <v>858</v>
      </c>
      <c r="DT503" s="40">
        <f t="shared" si="743"/>
        <v>1083</v>
      </c>
      <c r="DU503" s="40">
        <f t="shared" si="744"/>
        <v>1224.7777777777778</v>
      </c>
      <c r="DV503" s="40">
        <f t="shared" si="745"/>
        <v>0</v>
      </c>
      <c r="DW503" s="40">
        <f t="shared" si="746"/>
        <v>0</v>
      </c>
    </row>
    <row r="504" spans="1:127">
      <c r="A504" s="22" t="s">
        <v>39</v>
      </c>
      <c r="B504" s="26">
        <v>4902430520294</v>
      </c>
      <c r="C504" s="22" t="s">
        <v>40</v>
      </c>
      <c r="D504" s="22" t="s">
        <v>41</v>
      </c>
      <c r="E504" s="22">
        <v>302621</v>
      </c>
      <c r="F504" s="80" t="s">
        <v>591</v>
      </c>
      <c r="G504" s="25">
        <v>123.89999999999999</v>
      </c>
      <c r="H504" s="38">
        <f t="shared" si="691"/>
        <v>420268.79999999999</v>
      </c>
      <c r="I504" s="38">
        <f t="shared" si="692"/>
        <v>52285.799999999996</v>
      </c>
      <c r="J504" s="38">
        <f t="shared" si="693"/>
        <v>32461.8</v>
      </c>
      <c r="K504" s="38">
        <f t="shared" si="694"/>
        <v>35311.5</v>
      </c>
      <c r="L504" s="38">
        <f t="shared" si="695"/>
        <v>36922.199999999997</v>
      </c>
      <c r="M504" s="39">
        <f t="shared" si="696"/>
        <v>195142.5</v>
      </c>
      <c r="N504" s="40">
        <f t="shared" si="697"/>
        <v>335521.19999999995</v>
      </c>
      <c r="O504" s="40">
        <f t="shared" si="698"/>
        <v>121669.79999999999</v>
      </c>
      <c r="P504" s="40">
        <f t="shared" si="699"/>
        <v>185973.9</v>
      </c>
      <c r="Q504" s="40">
        <f t="shared" si="700"/>
        <v>330069.59999999998</v>
      </c>
      <c r="R504" s="40">
        <f t="shared" si="701"/>
        <v>52038</v>
      </c>
      <c r="S504" s="40">
        <f t="shared" si="702"/>
        <v>120926.39999999999</v>
      </c>
      <c r="T504" s="40">
        <f t="shared" si="703"/>
        <v>267747.89999999997</v>
      </c>
      <c r="U504" s="40">
        <f t="shared" si="704"/>
        <v>47329.799999999996</v>
      </c>
      <c r="V504" s="40">
        <f t="shared" si="705"/>
        <v>39524.1</v>
      </c>
      <c r="W504" s="40">
        <f t="shared" si="706"/>
        <v>35807.1</v>
      </c>
      <c r="X504" s="40">
        <f t="shared" si="707"/>
        <v>110766.59999999999</v>
      </c>
      <c r="Y504" s="39">
        <f t="shared" si="708"/>
        <v>61949.999999999993</v>
      </c>
      <c r="Z504" s="40">
        <f t="shared" si="709"/>
        <v>33824.699999999997</v>
      </c>
      <c r="AA504" s="40">
        <f t="shared" si="710"/>
        <v>18708.899999999998</v>
      </c>
      <c r="AB504" s="40">
        <f t="shared" si="711"/>
        <v>15363.599999999999</v>
      </c>
      <c r="AC504" s="40">
        <f t="shared" si="712"/>
        <v>18337.199999999997</v>
      </c>
      <c r="AD504" s="40">
        <f t="shared" si="713"/>
        <v>10159.799999999999</v>
      </c>
      <c r="AE504" s="40">
        <f t="shared" si="714"/>
        <v>1858.4999999999998</v>
      </c>
      <c r="AF504" s="40">
        <f t="shared" si="715"/>
        <v>0</v>
      </c>
      <c r="AG504" s="40">
        <f t="shared" si="716"/>
        <v>123.89999999999999</v>
      </c>
      <c r="AH504" s="40">
        <f t="shared" si="687"/>
        <v>0</v>
      </c>
      <c r="AI504" s="40">
        <f t="shared" si="688"/>
        <v>578.19999999999993</v>
      </c>
      <c r="AJ504" s="40">
        <f t="shared" si="689"/>
        <v>0</v>
      </c>
      <c r="AK504" s="39">
        <f t="shared" si="690"/>
        <v>0</v>
      </c>
      <c r="AL504" s="38">
        <v>3146</v>
      </c>
      <c r="AM504" s="38">
        <v>391</v>
      </c>
      <c r="AN504" s="38">
        <v>235</v>
      </c>
      <c r="AO504" s="38">
        <v>266</v>
      </c>
      <c r="AP504" s="38">
        <v>273</v>
      </c>
      <c r="AQ504" s="39">
        <v>1507</v>
      </c>
      <c r="AR504" s="40">
        <v>2538</v>
      </c>
      <c r="AS504" s="40">
        <v>962</v>
      </c>
      <c r="AT504" s="40">
        <v>1478</v>
      </c>
      <c r="AU504" s="40">
        <v>2522</v>
      </c>
      <c r="AV504" s="40">
        <v>395</v>
      </c>
      <c r="AW504" s="40">
        <v>853</v>
      </c>
      <c r="AX504" s="40">
        <v>2136</v>
      </c>
      <c r="AY504" s="40">
        <v>350</v>
      </c>
      <c r="AZ504" s="40">
        <v>296</v>
      </c>
      <c r="BA504" s="40">
        <v>274</v>
      </c>
      <c r="BB504" s="40">
        <v>673</v>
      </c>
      <c r="BC504" s="39">
        <v>477</v>
      </c>
      <c r="BD504" s="40">
        <v>256</v>
      </c>
      <c r="BE504" s="40">
        <v>136</v>
      </c>
      <c r="BF504" s="40">
        <v>123</v>
      </c>
      <c r="BG504" s="40">
        <v>148</v>
      </c>
      <c r="BH504" s="40">
        <v>82</v>
      </c>
      <c r="BI504" s="40">
        <v>15</v>
      </c>
      <c r="BJ504" s="40">
        <v>0</v>
      </c>
      <c r="BK504" s="40">
        <v>1</v>
      </c>
      <c r="BL504" s="40">
        <v>0</v>
      </c>
      <c r="BM504" s="40">
        <v>1</v>
      </c>
      <c r="BN504" s="40"/>
      <c r="BO504" s="39"/>
      <c r="BP504" s="21">
        <v>246</v>
      </c>
      <c r="BQ504" s="21">
        <v>31</v>
      </c>
      <c r="BR504" s="21">
        <v>27</v>
      </c>
      <c r="BS504" s="21">
        <v>19</v>
      </c>
      <c r="BT504" s="21">
        <v>25</v>
      </c>
      <c r="BU504" s="42">
        <v>68</v>
      </c>
      <c r="BV504" s="21">
        <v>170</v>
      </c>
      <c r="BW504" s="21">
        <v>20</v>
      </c>
      <c r="BX504" s="21">
        <v>23</v>
      </c>
      <c r="BY504" s="21">
        <v>142</v>
      </c>
      <c r="BZ504" s="21">
        <v>25</v>
      </c>
      <c r="CA504" s="21">
        <v>123</v>
      </c>
      <c r="CB504" s="21">
        <v>25</v>
      </c>
      <c r="CC504" s="21">
        <v>32</v>
      </c>
      <c r="CD504" s="21">
        <v>23</v>
      </c>
      <c r="CE504" s="21">
        <v>15</v>
      </c>
      <c r="CF504" s="21">
        <v>221</v>
      </c>
      <c r="CG504" s="42">
        <v>23</v>
      </c>
      <c r="CH504" s="21">
        <v>17</v>
      </c>
      <c r="CI504" s="21">
        <v>15</v>
      </c>
      <c r="CJ504" s="21">
        <v>1</v>
      </c>
      <c r="CK504" s="21">
        <v>0</v>
      </c>
      <c r="CL504" s="21">
        <v>0</v>
      </c>
      <c r="CM504" s="21">
        <v>0</v>
      </c>
      <c r="CN504" s="21">
        <v>0</v>
      </c>
      <c r="CO504" s="21">
        <v>0</v>
      </c>
      <c r="CP504" s="21">
        <f t="shared" si="717"/>
        <v>0</v>
      </c>
      <c r="CQ504" s="343">
        <f t="shared" si="718"/>
        <v>3.6666666666666665</v>
      </c>
      <c r="CR504" s="40"/>
      <c r="CS504" s="39"/>
      <c r="CT504" s="38">
        <f t="shared" si="719"/>
        <v>3392</v>
      </c>
      <c r="CU504" s="38">
        <f t="shared" si="720"/>
        <v>422</v>
      </c>
      <c r="CV504" s="38">
        <f t="shared" si="721"/>
        <v>262</v>
      </c>
      <c r="CW504" s="38">
        <f t="shared" si="722"/>
        <v>285</v>
      </c>
      <c r="CX504" s="38">
        <f t="shared" si="723"/>
        <v>298</v>
      </c>
      <c r="CY504" s="39">
        <f t="shared" si="724"/>
        <v>1575</v>
      </c>
      <c r="CZ504" s="40">
        <f t="shared" si="725"/>
        <v>2708</v>
      </c>
      <c r="DA504" s="40">
        <f t="shared" si="726"/>
        <v>982</v>
      </c>
      <c r="DB504" s="40">
        <f t="shared" si="727"/>
        <v>1501</v>
      </c>
      <c r="DC504" s="40">
        <f t="shared" si="728"/>
        <v>2664</v>
      </c>
      <c r="DD504" s="40">
        <f t="shared" si="729"/>
        <v>420</v>
      </c>
      <c r="DE504" s="40">
        <f t="shared" si="730"/>
        <v>976</v>
      </c>
      <c r="DF504" s="40">
        <f t="shared" si="731"/>
        <v>2161</v>
      </c>
      <c r="DG504" s="40">
        <f t="shared" si="732"/>
        <v>382</v>
      </c>
      <c r="DH504" s="40">
        <f t="shared" si="733"/>
        <v>319</v>
      </c>
      <c r="DI504" s="40">
        <f t="shared" si="734"/>
        <v>289</v>
      </c>
      <c r="DJ504" s="40">
        <f t="shared" si="735"/>
        <v>894</v>
      </c>
      <c r="DK504" s="39">
        <f t="shared" si="736"/>
        <v>500</v>
      </c>
      <c r="DL504" s="40">
        <f t="shared" si="737"/>
        <v>273</v>
      </c>
      <c r="DM504" s="40">
        <f t="shared" si="738"/>
        <v>151</v>
      </c>
      <c r="DN504" s="40">
        <f t="shared" si="739"/>
        <v>124</v>
      </c>
      <c r="DO504" s="40">
        <f t="shared" si="740"/>
        <v>148</v>
      </c>
      <c r="DP504" s="40">
        <f t="shared" si="741"/>
        <v>82</v>
      </c>
      <c r="DQ504" s="40">
        <f t="shared" si="742"/>
        <v>15</v>
      </c>
      <c r="DR504" s="40">
        <f t="shared" si="747"/>
        <v>0</v>
      </c>
      <c r="DS504" s="40">
        <f t="shared" si="748"/>
        <v>1</v>
      </c>
      <c r="DT504" s="40">
        <f t="shared" si="743"/>
        <v>0</v>
      </c>
      <c r="DU504" s="40">
        <f t="shared" si="744"/>
        <v>4.6666666666666661</v>
      </c>
      <c r="DV504" s="40">
        <f t="shared" si="745"/>
        <v>0</v>
      </c>
      <c r="DW504" s="40">
        <f t="shared" si="746"/>
        <v>0</v>
      </c>
    </row>
    <row r="505" spans="1:127">
      <c r="A505" s="22" t="s">
        <v>39</v>
      </c>
      <c r="B505" s="26">
        <v>4902430910255</v>
      </c>
      <c r="C505" s="22" t="s">
        <v>40</v>
      </c>
      <c r="D505" s="22" t="s">
        <v>41</v>
      </c>
      <c r="E505" s="22">
        <v>359380</v>
      </c>
      <c r="F505" s="80" t="s">
        <v>592</v>
      </c>
      <c r="G505" s="25">
        <v>123.89999999999999</v>
      </c>
      <c r="H505" s="38">
        <f t="shared" si="691"/>
        <v>322635.59999999998</v>
      </c>
      <c r="I505" s="38">
        <f t="shared" si="692"/>
        <v>48940.5</v>
      </c>
      <c r="J505" s="38">
        <f t="shared" si="693"/>
        <v>33576.899999999994</v>
      </c>
      <c r="K505" s="38">
        <f t="shared" si="694"/>
        <v>30355.499999999996</v>
      </c>
      <c r="L505" s="38">
        <f t="shared" si="695"/>
        <v>31222.799999999999</v>
      </c>
      <c r="M505" s="39">
        <f t="shared" si="696"/>
        <v>143724</v>
      </c>
      <c r="N505" s="40">
        <f t="shared" si="697"/>
        <v>286085.09999999998</v>
      </c>
      <c r="O505" s="40">
        <f t="shared" si="698"/>
        <v>91066.5</v>
      </c>
      <c r="P505" s="40">
        <f t="shared" si="699"/>
        <v>176805.3</v>
      </c>
      <c r="Q505" s="40">
        <f t="shared" si="700"/>
        <v>332671.5</v>
      </c>
      <c r="R505" s="40">
        <f t="shared" si="701"/>
        <v>61949.999999999993</v>
      </c>
      <c r="S505" s="40">
        <f t="shared" si="702"/>
        <v>131705.69999999998</v>
      </c>
      <c r="T505" s="40">
        <f t="shared" si="703"/>
        <v>236772.9</v>
      </c>
      <c r="U505" s="40">
        <f t="shared" si="704"/>
        <v>62693.399999999994</v>
      </c>
      <c r="V505" s="40">
        <f t="shared" si="705"/>
        <v>43365</v>
      </c>
      <c r="W505" s="40">
        <f t="shared" si="706"/>
        <v>38285.1</v>
      </c>
      <c r="X505" s="40">
        <f t="shared" si="707"/>
        <v>92429.4</v>
      </c>
      <c r="Y505" s="39">
        <f t="shared" si="708"/>
        <v>52657.5</v>
      </c>
      <c r="Z505" s="40">
        <f t="shared" si="709"/>
        <v>28125.3</v>
      </c>
      <c r="AA505" s="40">
        <f t="shared" si="710"/>
        <v>21930.3</v>
      </c>
      <c r="AB505" s="40">
        <f t="shared" si="711"/>
        <v>27381.899999999998</v>
      </c>
      <c r="AC505" s="40">
        <f t="shared" si="712"/>
        <v>29612.1</v>
      </c>
      <c r="AD505" s="40">
        <f t="shared" si="713"/>
        <v>32957.399999999994</v>
      </c>
      <c r="AE505" s="40">
        <f t="shared" si="714"/>
        <v>43488.899999999994</v>
      </c>
      <c r="AF505" s="40">
        <f t="shared" si="715"/>
        <v>34444.199999999997</v>
      </c>
      <c r="AG505" s="40">
        <f t="shared" si="716"/>
        <v>43241.1</v>
      </c>
      <c r="AH505" s="40">
        <f t="shared" si="687"/>
        <v>46338.6</v>
      </c>
      <c r="AI505" s="40">
        <f t="shared" si="688"/>
        <v>34650.699999999997</v>
      </c>
      <c r="AJ505" s="40">
        <f t="shared" si="689"/>
        <v>0</v>
      </c>
      <c r="AK505" s="39">
        <f t="shared" si="690"/>
        <v>0</v>
      </c>
      <c r="AL505" s="38">
        <v>2431</v>
      </c>
      <c r="AM505" s="38">
        <v>374</v>
      </c>
      <c r="AN505" s="38">
        <v>253</v>
      </c>
      <c r="AO505" s="38">
        <v>230</v>
      </c>
      <c r="AP505" s="38">
        <v>239</v>
      </c>
      <c r="AQ505" s="39">
        <v>1058</v>
      </c>
      <c r="AR505" s="40">
        <v>2078</v>
      </c>
      <c r="AS505" s="40">
        <v>721</v>
      </c>
      <c r="AT505" s="40">
        <v>1367</v>
      </c>
      <c r="AU505" s="40">
        <v>2504</v>
      </c>
      <c r="AV505" s="40">
        <v>467</v>
      </c>
      <c r="AW505" s="40">
        <v>928</v>
      </c>
      <c r="AX505" s="40">
        <v>1882</v>
      </c>
      <c r="AY505" s="40">
        <v>475</v>
      </c>
      <c r="AZ505" s="40">
        <v>334</v>
      </c>
      <c r="BA505" s="40">
        <v>294</v>
      </c>
      <c r="BB505" s="40">
        <v>574</v>
      </c>
      <c r="BC505" s="39">
        <v>403</v>
      </c>
      <c r="BD505" s="40">
        <v>218</v>
      </c>
      <c r="BE505" s="40">
        <v>170</v>
      </c>
      <c r="BF505" s="40">
        <v>203</v>
      </c>
      <c r="BG505" s="40">
        <v>223</v>
      </c>
      <c r="BH505" s="40">
        <v>240</v>
      </c>
      <c r="BI505" s="40">
        <v>323</v>
      </c>
      <c r="BJ505" s="40">
        <v>247</v>
      </c>
      <c r="BK505" s="40">
        <v>328</v>
      </c>
      <c r="BL505" s="40">
        <v>353</v>
      </c>
      <c r="BM505" s="40">
        <v>260</v>
      </c>
      <c r="BN505" s="40"/>
      <c r="BO505" s="39"/>
      <c r="BP505" s="21">
        <v>173</v>
      </c>
      <c r="BQ505" s="21">
        <v>21</v>
      </c>
      <c r="BR505" s="21">
        <v>18</v>
      </c>
      <c r="BS505" s="21">
        <v>15</v>
      </c>
      <c r="BT505" s="21">
        <v>13</v>
      </c>
      <c r="BU505" s="42">
        <v>102</v>
      </c>
      <c r="BV505" s="21">
        <v>231</v>
      </c>
      <c r="BW505" s="21">
        <v>14</v>
      </c>
      <c r="BX505" s="21">
        <v>60</v>
      </c>
      <c r="BY505" s="21">
        <v>181</v>
      </c>
      <c r="BZ505" s="21">
        <v>33</v>
      </c>
      <c r="CA505" s="21">
        <v>135</v>
      </c>
      <c r="CB505" s="21">
        <v>29</v>
      </c>
      <c r="CC505" s="21">
        <v>31</v>
      </c>
      <c r="CD505" s="21">
        <v>16</v>
      </c>
      <c r="CE505" s="21">
        <v>15</v>
      </c>
      <c r="CF505" s="21">
        <v>172</v>
      </c>
      <c r="CG505" s="42">
        <v>22</v>
      </c>
      <c r="CH505" s="21">
        <v>9</v>
      </c>
      <c r="CI505" s="21">
        <v>7</v>
      </c>
      <c r="CJ505" s="21">
        <v>18</v>
      </c>
      <c r="CK505" s="21">
        <v>16</v>
      </c>
      <c r="CL505" s="21">
        <v>26</v>
      </c>
      <c r="CM505" s="21">
        <v>28</v>
      </c>
      <c r="CN505" s="21">
        <v>31</v>
      </c>
      <c r="CO505" s="21">
        <v>21</v>
      </c>
      <c r="CP505" s="21">
        <f t="shared" si="717"/>
        <v>21</v>
      </c>
      <c r="CQ505" s="343">
        <f t="shared" si="718"/>
        <v>19.666666666666668</v>
      </c>
      <c r="CR505" s="40"/>
      <c r="CS505" s="39"/>
      <c r="CT505" s="38">
        <f t="shared" si="719"/>
        <v>2604</v>
      </c>
      <c r="CU505" s="38">
        <f t="shared" si="720"/>
        <v>395</v>
      </c>
      <c r="CV505" s="38">
        <f t="shared" si="721"/>
        <v>271</v>
      </c>
      <c r="CW505" s="38">
        <f t="shared" si="722"/>
        <v>245</v>
      </c>
      <c r="CX505" s="38">
        <f t="shared" si="723"/>
        <v>252</v>
      </c>
      <c r="CY505" s="39">
        <f t="shared" si="724"/>
        <v>1160</v>
      </c>
      <c r="CZ505" s="40">
        <f t="shared" si="725"/>
        <v>2309</v>
      </c>
      <c r="DA505" s="40">
        <f t="shared" si="726"/>
        <v>735</v>
      </c>
      <c r="DB505" s="40">
        <f t="shared" si="727"/>
        <v>1427</v>
      </c>
      <c r="DC505" s="40">
        <f t="shared" si="728"/>
        <v>2685</v>
      </c>
      <c r="DD505" s="40">
        <f t="shared" si="729"/>
        <v>500</v>
      </c>
      <c r="DE505" s="40">
        <f t="shared" si="730"/>
        <v>1063</v>
      </c>
      <c r="DF505" s="40">
        <f t="shared" si="731"/>
        <v>1911</v>
      </c>
      <c r="DG505" s="40">
        <f t="shared" si="732"/>
        <v>506</v>
      </c>
      <c r="DH505" s="40">
        <f t="shared" si="733"/>
        <v>350</v>
      </c>
      <c r="DI505" s="40">
        <f t="shared" si="734"/>
        <v>309</v>
      </c>
      <c r="DJ505" s="40">
        <f t="shared" si="735"/>
        <v>746</v>
      </c>
      <c r="DK505" s="39">
        <f t="shared" si="736"/>
        <v>425</v>
      </c>
      <c r="DL505" s="40">
        <f t="shared" si="737"/>
        <v>227</v>
      </c>
      <c r="DM505" s="40">
        <f t="shared" si="738"/>
        <v>177</v>
      </c>
      <c r="DN505" s="40">
        <f t="shared" si="739"/>
        <v>221</v>
      </c>
      <c r="DO505" s="40">
        <f t="shared" si="740"/>
        <v>239</v>
      </c>
      <c r="DP505" s="40">
        <f t="shared" si="741"/>
        <v>266</v>
      </c>
      <c r="DQ505" s="40">
        <f t="shared" si="742"/>
        <v>351</v>
      </c>
      <c r="DR505" s="40">
        <f t="shared" si="747"/>
        <v>278</v>
      </c>
      <c r="DS505" s="40">
        <f t="shared" si="748"/>
        <v>349</v>
      </c>
      <c r="DT505" s="40">
        <f t="shared" si="743"/>
        <v>374</v>
      </c>
      <c r="DU505" s="40">
        <f t="shared" si="744"/>
        <v>279.66666666666669</v>
      </c>
      <c r="DV505" s="40">
        <f t="shared" si="745"/>
        <v>0</v>
      </c>
      <c r="DW505" s="40">
        <f t="shared" si="746"/>
        <v>0</v>
      </c>
    </row>
    <row r="506" spans="1:127">
      <c r="A506" s="22" t="s">
        <v>39</v>
      </c>
      <c r="B506" s="26">
        <v>4987176047939</v>
      </c>
      <c r="C506" s="22" t="s">
        <v>40</v>
      </c>
      <c r="D506" s="22" t="s">
        <v>41</v>
      </c>
      <c r="E506" s="22">
        <v>372538</v>
      </c>
      <c r="F506" s="80" t="s">
        <v>593</v>
      </c>
      <c r="G506" s="25">
        <v>167.9</v>
      </c>
      <c r="H506" s="38">
        <f t="shared" si="691"/>
        <v>0</v>
      </c>
      <c r="I506" s="38">
        <f t="shared" si="692"/>
        <v>0</v>
      </c>
      <c r="J506" s="38">
        <f t="shared" si="693"/>
        <v>0</v>
      </c>
      <c r="K506" s="38">
        <f t="shared" si="694"/>
        <v>0</v>
      </c>
      <c r="L506" s="38">
        <f t="shared" si="695"/>
        <v>0</v>
      </c>
      <c r="M506" s="39">
        <f t="shared" si="696"/>
        <v>0</v>
      </c>
      <c r="N506" s="40">
        <f t="shared" si="697"/>
        <v>0</v>
      </c>
      <c r="O506" s="40">
        <f t="shared" si="698"/>
        <v>0</v>
      </c>
      <c r="P506" s="40">
        <f t="shared" si="699"/>
        <v>0</v>
      </c>
      <c r="Q506" s="40">
        <f t="shared" si="700"/>
        <v>0</v>
      </c>
      <c r="R506" s="40">
        <f t="shared" si="701"/>
        <v>0</v>
      </c>
      <c r="S506" s="40">
        <f t="shared" si="702"/>
        <v>0</v>
      </c>
      <c r="T506" s="40">
        <f t="shared" si="703"/>
        <v>0</v>
      </c>
      <c r="U506" s="40">
        <f t="shared" si="704"/>
        <v>0</v>
      </c>
      <c r="V506" s="40">
        <f t="shared" si="705"/>
        <v>0</v>
      </c>
      <c r="W506" s="40">
        <f t="shared" si="706"/>
        <v>0</v>
      </c>
      <c r="X506" s="40">
        <f t="shared" si="707"/>
        <v>0</v>
      </c>
      <c r="Y506" s="39">
        <f t="shared" si="708"/>
        <v>0</v>
      </c>
      <c r="Z506" s="40">
        <f t="shared" si="709"/>
        <v>0</v>
      </c>
      <c r="AA506" s="40">
        <f t="shared" si="710"/>
        <v>0</v>
      </c>
      <c r="AB506" s="40">
        <f t="shared" si="711"/>
        <v>0</v>
      </c>
      <c r="AC506" s="40">
        <f t="shared" si="712"/>
        <v>0</v>
      </c>
      <c r="AD506" s="40">
        <f t="shared" si="713"/>
        <v>0</v>
      </c>
      <c r="AE506" s="40">
        <f t="shared" si="714"/>
        <v>0</v>
      </c>
      <c r="AF506" s="40">
        <f t="shared" si="715"/>
        <v>0</v>
      </c>
      <c r="AG506" s="40">
        <f t="shared" si="716"/>
        <v>0</v>
      </c>
      <c r="AH506" s="40">
        <f t="shared" si="687"/>
        <v>0</v>
      </c>
      <c r="AI506" s="40">
        <f t="shared" si="688"/>
        <v>0</v>
      </c>
      <c r="AJ506" s="40">
        <f t="shared" si="689"/>
        <v>0</v>
      </c>
      <c r="AK506" s="39">
        <f t="shared" si="690"/>
        <v>0</v>
      </c>
      <c r="AL506" s="38">
        <v>0</v>
      </c>
      <c r="AM506" s="38">
        <v>0</v>
      </c>
      <c r="AN506" s="38">
        <v>0</v>
      </c>
      <c r="AO506" s="38">
        <v>0</v>
      </c>
      <c r="AP506" s="38">
        <v>0</v>
      </c>
      <c r="AQ506" s="39">
        <v>0</v>
      </c>
      <c r="AR506" s="40">
        <v>0</v>
      </c>
      <c r="AS506" s="40">
        <v>0</v>
      </c>
      <c r="AT506" s="40">
        <v>0</v>
      </c>
      <c r="AU506" s="40">
        <v>0</v>
      </c>
      <c r="AV506" s="40">
        <v>0</v>
      </c>
      <c r="AW506" s="40">
        <v>0</v>
      </c>
      <c r="AX506" s="40">
        <v>0</v>
      </c>
      <c r="AY506" s="40">
        <v>0</v>
      </c>
      <c r="AZ506" s="40">
        <v>0</v>
      </c>
      <c r="BA506" s="40">
        <v>0</v>
      </c>
      <c r="BB506" s="40">
        <v>0</v>
      </c>
      <c r="BC506" s="39">
        <v>0</v>
      </c>
      <c r="BD506" s="40">
        <v>0</v>
      </c>
      <c r="BE506" s="40">
        <v>0</v>
      </c>
      <c r="BF506" s="40">
        <v>0</v>
      </c>
      <c r="BG506" s="40">
        <v>0</v>
      </c>
      <c r="BH506" s="40">
        <v>0</v>
      </c>
      <c r="BI506" s="40">
        <v>0</v>
      </c>
      <c r="BJ506" s="40">
        <v>0</v>
      </c>
      <c r="BK506" s="40">
        <v>0</v>
      </c>
      <c r="BL506" s="40">
        <v>0</v>
      </c>
      <c r="BM506" s="40" t="s">
        <v>768</v>
      </c>
      <c r="BN506" s="40"/>
      <c r="BO506" s="39"/>
      <c r="BP506" s="21">
        <v>0</v>
      </c>
      <c r="BQ506" s="21">
        <v>0</v>
      </c>
      <c r="BR506" s="21">
        <v>0</v>
      </c>
      <c r="BS506" s="21">
        <v>0</v>
      </c>
      <c r="BT506" s="21">
        <v>0</v>
      </c>
      <c r="BU506" s="42">
        <v>0</v>
      </c>
      <c r="BV506" s="21">
        <v>0</v>
      </c>
      <c r="BW506" s="21">
        <v>0</v>
      </c>
      <c r="BX506" s="21">
        <v>0</v>
      </c>
      <c r="BY506" s="21">
        <v>0</v>
      </c>
      <c r="BZ506" s="21">
        <v>0</v>
      </c>
      <c r="CA506" s="21">
        <v>0</v>
      </c>
      <c r="CB506" s="21">
        <v>0</v>
      </c>
      <c r="CC506" s="21">
        <v>0</v>
      </c>
      <c r="CD506" s="21">
        <v>0</v>
      </c>
      <c r="CE506" s="21">
        <v>0</v>
      </c>
      <c r="CF506" s="21">
        <v>0</v>
      </c>
      <c r="CG506" s="42">
        <v>0</v>
      </c>
      <c r="CH506" s="21">
        <v>0</v>
      </c>
      <c r="CI506" s="21">
        <v>0</v>
      </c>
      <c r="CJ506" s="21">
        <v>0</v>
      </c>
      <c r="CK506" s="21">
        <v>0</v>
      </c>
      <c r="CL506" s="21">
        <v>0</v>
      </c>
      <c r="CM506" s="21">
        <v>0</v>
      </c>
      <c r="CN506" s="21">
        <v>0</v>
      </c>
      <c r="CO506" s="21">
        <v>0</v>
      </c>
      <c r="CP506" s="21">
        <f t="shared" si="717"/>
        <v>0</v>
      </c>
      <c r="CQ506" s="343">
        <f t="shared" si="718"/>
        <v>0</v>
      </c>
      <c r="CR506" s="40"/>
      <c r="CS506" s="39"/>
      <c r="CT506" s="38">
        <f t="shared" si="719"/>
        <v>0</v>
      </c>
      <c r="CU506" s="38">
        <f t="shared" si="720"/>
        <v>0</v>
      </c>
      <c r="CV506" s="38">
        <f t="shared" si="721"/>
        <v>0</v>
      </c>
      <c r="CW506" s="38">
        <f t="shared" si="722"/>
        <v>0</v>
      </c>
      <c r="CX506" s="38">
        <f t="shared" si="723"/>
        <v>0</v>
      </c>
      <c r="CY506" s="39">
        <f t="shared" si="724"/>
        <v>0</v>
      </c>
      <c r="CZ506" s="40">
        <f t="shared" si="725"/>
        <v>0</v>
      </c>
      <c r="DA506" s="40">
        <f t="shared" si="726"/>
        <v>0</v>
      </c>
      <c r="DB506" s="40">
        <f t="shared" si="727"/>
        <v>0</v>
      </c>
      <c r="DC506" s="40">
        <f t="shared" si="728"/>
        <v>0</v>
      </c>
      <c r="DD506" s="40">
        <f t="shared" si="729"/>
        <v>0</v>
      </c>
      <c r="DE506" s="40">
        <f t="shared" si="730"/>
        <v>0</v>
      </c>
      <c r="DF506" s="40">
        <f t="shared" si="731"/>
        <v>0</v>
      </c>
      <c r="DG506" s="40">
        <f t="shared" si="732"/>
        <v>0</v>
      </c>
      <c r="DH506" s="40">
        <f t="shared" si="733"/>
        <v>0</v>
      </c>
      <c r="DI506" s="40">
        <f t="shared" si="734"/>
        <v>0</v>
      </c>
      <c r="DJ506" s="40">
        <f t="shared" si="735"/>
        <v>0</v>
      </c>
      <c r="DK506" s="39">
        <f t="shared" si="736"/>
        <v>0</v>
      </c>
      <c r="DL506" s="40">
        <f t="shared" si="737"/>
        <v>0</v>
      </c>
      <c r="DM506" s="40">
        <f t="shared" si="738"/>
        <v>0</v>
      </c>
      <c r="DN506" s="40">
        <f t="shared" si="739"/>
        <v>0</v>
      </c>
      <c r="DO506" s="40">
        <f t="shared" si="740"/>
        <v>0</v>
      </c>
      <c r="DP506" s="40">
        <f t="shared" si="741"/>
        <v>0</v>
      </c>
      <c r="DQ506" s="40">
        <f t="shared" si="742"/>
        <v>0</v>
      </c>
      <c r="DR506" s="40">
        <f t="shared" si="747"/>
        <v>0</v>
      </c>
      <c r="DS506" s="40">
        <f t="shared" si="748"/>
        <v>0</v>
      </c>
      <c r="DT506" s="40">
        <f t="shared" si="743"/>
        <v>0</v>
      </c>
      <c r="DU506" s="40">
        <f t="shared" si="744"/>
        <v>0</v>
      </c>
      <c r="DV506" s="40">
        <f t="shared" si="745"/>
        <v>0</v>
      </c>
      <c r="DW506" s="40">
        <f t="shared" si="746"/>
        <v>0</v>
      </c>
    </row>
    <row r="507" spans="1:127">
      <c r="A507" s="22" t="s">
        <v>39</v>
      </c>
      <c r="B507" s="26">
        <v>4987176030382</v>
      </c>
      <c r="C507" s="22" t="s">
        <v>40</v>
      </c>
      <c r="D507" s="46" t="s">
        <v>111</v>
      </c>
      <c r="E507" s="22">
        <v>359322</v>
      </c>
      <c r="F507" s="80" t="s">
        <v>594</v>
      </c>
      <c r="G507" s="25">
        <v>120.7</v>
      </c>
      <c r="H507" s="38">
        <f t="shared" si="691"/>
        <v>69040.400000000009</v>
      </c>
      <c r="I507" s="38">
        <f t="shared" si="692"/>
        <v>410862.8</v>
      </c>
      <c r="J507" s="38">
        <f t="shared" si="693"/>
        <v>189740.4</v>
      </c>
      <c r="K507" s="38">
        <f t="shared" si="694"/>
        <v>143995.1</v>
      </c>
      <c r="L507" s="38">
        <f t="shared" si="695"/>
        <v>16294.5</v>
      </c>
      <c r="M507" s="39">
        <f t="shared" si="696"/>
        <v>14604.7</v>
      </c>
      <c r="N507" s="40">
        <f t="shared" si="697"/>
        <v>10983.7</v>
      </c>
      <c r="O507" s="40">
        <f t="shared" si="698"/>
        <v>152323.4</v>
      </c>
      <c r="P507" s="40">
        <f t="shared" si="699"/>
        <v>290162.8</v>
      </c>
      <c r="Q507" s="40">
        <f t="shared" si="700"/>
        <v>17139.400000000001</v>
      </c>
      <c r="R507" s="40">
        <f t="shared" si="701"/>
        <v>117803.2</v>
      </c>
      <c r="S507" s="40">
        <f t="shared" si="702"/>
        <v>99215.400000000009</v>
      </c>
      <c r="T507" s="40">
        <f t="shared" si="703"/>
        <v>61677.700000000004</v>
      </c>
      <c r="U507" s="40">
        <f t="shared" si="704"/>
        <v>400120.5</v>
      </c>
      <c r="V507" s="40">
        <f t="shared" si="705"/>
        <v>137960.1</v>
      </c>
      <c r="W507" s="40">
        <f t="shared" si="706"/>
        <v>18587.8</v>
      </c>
      <c r="X507" s="40">
        <f t="shared" si="707"/>
        <v>21484.600000000002</v>
      </c>
      <c r="Y507" s="39">
        <f t="shared" si="708"/>
        <v>81472.5</v>
      </c>
      <c r="Z507" s="40">
        <f t="shared" si="709"/>
        <v>70730.2</v>
      </c>
      <c r="AA507" s="40">
        <f t="shared" si="710"/>
        <v>16294.5</v>
      </c>
      <c r="AB507" s="40">
        <f t="shared" si="711"/>
        <v>10621.6</v>
      </c>
      <c r="AC507" s="40">
        <f t="shared" si="712"/>
        <v>12552.800000000001</v>
      </c>
      <c r="AD507" s="40">
        <f t="shared" si="713"/>
        <v>8086.9000000000005</v>
      </c>
      <c r="AE507" s="40">
        <f t="shared" si="714"/>
        <v>11587.2</v>
      </c>
      <c r="AF507" s="40">
        <f t="shared" si="715"/>
        <v>7724.8</v>
      </c>
      <c r="AG507" s="40">
        <f t="shared" si="716"/>
        <v>10863</v>
      </c>
      <c r="AH507" s="40">
        <f t="shared" si="687"/>
        <v>7121.3</v>
      </c>
      <c r="AI507" s="40">
        <f t="shared" si="688"/>
        <v>8676.9888888888891</v>
      </c>
      <c r="AJ507" s="40">
        <f t="shared" si="689"/>
        <v>0</v>
      </c>
      <c r="AK507" s="39">
        <f t="shared" si="690"/>
        <v>0</v>
      </c>
      <c r="AL507" s="38">
        <v>532</v>
      </c>
      <c r="AM507" s="38">
        <v>3223</v>
      </c>
      <c r="AN507" s="38">
        <v>1381</v>
      </c>
      <c r="AO507" s="38">
        <v>1023</v>
      </c>
      <c r="AP507" s="38">
        <v>128</v>
      </c>
      <c r="AQ507" s="39">
        <v>110</v>
      </c>
      <c r="AR507" s="40">
        <v>87</v>
      </c>
      <c r="AS507" s="40">
        <v>1212</v>
      </c>
      <c r="AT507" s="40">
        <v>2191</v>
      </c>
      <c r="AU507" s="40">
        <v>138</v>
      </c>
      <c r="AV507" s="40">
        <v>909</v>
      </c>
      <c r="AW507" s="40">
        <v>814</v>
      </c>
      <c r="AX507" s="40">
        <v>505</v>
      </c>
      <c r="AY507" s="40">
        <v>3023</v>
      </c>
      <c r="AZ507" s="40">
        <v>1134</v>
      </c>
      <c r="BA507" s="40">
        <v>149</v>
      </c>
      <c r="BB507" s="40">
        <v>166</v>
      </c>
      <c r="BC507" s="39">
        <v>317</v>
      </c>
      <c r="BD507" s="40">
        <v>576</v>
      </c>
      <c r="BE507" s="40">
        <v>128</v>
      </c>
      <c r="BF507" s="40">
        <v>84</v>
      </c>
      <c r="BG507" s="40">
        <v>103</v>
      </c>
      <c r="BH507" s="40">
        <v>60</v>
      </c>
      <c r="BI507" s="40">
        <v>94</v>
      </c>
      <c r="BJ507" s="40">
        <v>60</v>
      </c>
      <c r="BK507" s="40">
        <v>90</v>
      </c>
      <c r="BL507" s="40">
        <v>59</v>
      </c>
      <c r="BM507" s="40">
        <v>68</v>
      </c>
      <c r="BN507" s="40"/>
      <c r="BO507" s="39"/>
      <c r="BP507" s="21">
        <v>40</v>
      </c>
      <c r="BQ507" s="21">
        <v>181</v>
      </c>
      <c r="BR507" s="21">
        <v>191</v>
      </c>
      <c r="BS507" s="21">
        <v>170</v>
      </c>
      <c r="BT507" s="21">
        <v>7</v>
      </c>
      <c r="BU507" s="42">
        <v>11</v>
      </c>
      <c r="BV507" s="21">
        <v>4</v>
      </c>
      <c r="BW507" s="21">
        <v>50</v>
      </c>
      <c r="BX507" s="21">
        <v>213</v>
      </c>
      <c r="BY507" s="21">
        <v>4</v>
      </c>
      <c r="BZ507" s="21">
        <v>67</v>
      </c>
      <c r="CA507" s="21">
        <v>8</v>
      </c>
      <c r="CB507" s="21">
        <v>6</v>
      </c>
      <c r="CC507" s="21">
        <v>292</v>
      </c>
      <c r="CD507" s="21">
        <v>9</v>
      </c>
      <c r="CE507" s="21">
        <v>5</v>
      </c>
      <c r="CF507" s="21">
        <v>12</v>
      </c>
      <c r="CG507" s="42">
        <v>358</v>
      </c>
      <c r="CH507" s="21">
        <v>10</v>
      </c>
      <c r="CI507" s="21">
        <v>7</v>
      </c>
      <c r="CJ507" s="21">
        <v>4</v>
      </c>
      <c r="CK507" s="21">
        <v>1</v>
      </c>
      <c r="CL507" s="21">
        <v>7</v>
      </c>
      <c r="CM507" s="21">
        <v>2</v>
      </c>
      <c r="CN507" s="21">
        <v>4</v>
      </c>
      <c r="CO507" s="21">
        <v>0</v>
      </c>
      <c r="CP507" s="21">
        <f t="shared" si="717"/>
        <v>0</v>
      </c>
      <c r="CQ507" s="343">
        <f t="shared" si="718"/>
        <v>3.8888888888888888</v>
      </c>
      <c r="CR507" s="40"/>
      <c r="CS507" s="39"/>
      <c r="CT507" s="38">
        <f t="shared" si="719"/>
        <v>572</v>
      </c>
      <c r="CU507" s="38">
        <f t="shared" si="720"/>
        <v>3404</v>
      </c>
      <c r="CV507" s="38">
        <f t="shared" si="721"/>
        <v>1572</v>
      </c>
      <c r="CW507" s="38">
        <f t="shared" si="722"/>
        <v>1193</v>
      </c>
      <c r="CX507" s="38">
        <f t="shared" si="723"/>
        <v>135</v>
      </c>
      <c r="CY507" s="39">
        <f t="shared" si="724"/>
        <v>121</v>
      </c>
      <c r="CZ507" s="40">
        <f t="shared" si="725"/>
        <v>91</v>
      </c>
      <c r="DA507" s="40">
        <f t="shared" si="726"/>
        <v>1262</v>
      </c>
      <c r="DB507" s="40">
        <f t="shared" si="727"/>
        <v>2404</v>
      </c>
      <c r="DC507" s="40">
        <f t="shared" si="728"/>
        <v>142</v>
      </c>
      <c r="DD507" s="40">
        <f t="shared" si="729"/>
        <v>976</v>
      </c>
      <c r="DE507" s="40">
        <f t="shared" si="730"/>
        <v>822</v>
      </c>
      <c r="DF507" s="40">
        <f t="shared" si="731"/>
        <v>511</v>
      </c>
      <c r="DG507" s="40">
        <f t="shared" si="732"/>
        <v>3315</v>
      </c>
      <c r="DH507" s="40">
        <f t="shared" si="733"/>
        <v>1143</v>
      </c>
      <c r="DI507" s="40">
        <f t="shared" si="734"/>
        <v>154</v>
      </c>
      <c r="DJ507" s="40">
        <f t="shared" si="735"/>
        <v>178</v>
      </c>
      <c r="DK507" s="39">
        <f t="shared" si="736"/>
        <v>675</v>
      </c>
      <c r="DL507" s="40">
        <f t="shared" si="737"/>
        <v>586</v>
      </c>
      <c r="DM507" s="40">
        <f t="shared" si="738"/>
        <v>135</v>
      </c>
      <c r="DN507" s="40">
        <f t="shared" si="739"/>
        <v>88</v>
      </c>
      <c r="DO507" s="40">
        <f t="shared" si="740"/>
        <v>104</v>
      </c>
      <c r="DP507" s="40">
        <f t="shared" si="741"/>
        <v>67</v>
      </c>
      <c r="DQ507" s="40">
        <f t="shared" si="742"/>
        <v>96</v>
      </c>
      <c r="DR507" s="40">
        <f t="shared" si="747"/>
        <v>64</v>
      </c>
      <c r="DS507" s="40">
        <f t="shared" si="748"/>
        <v>90</v>
      </c>
      <c r="DT507" s="40">
        <f t="shared" si="743"/>
        <v>59</v>
      </c>
      <c r="DU507" s="40">
        <f t="shared" si="744"/>
        <v>71.888888888888886</v>
      </c>
      <c r="DV507" s="40">
        <f t="shared" si="745"/>
        <v>0</v>
      </c>
      <c r="DW507" s="40">
        <f t="shared" si="746"/>
        <v>0</v>
      </c>
    </row>
    <row r="508" spans="1:127">
      <c r="A508" s="22" t="s">
        <v>39</v>
      </c>
      <c r="B508" s="26">
        <v>4987176030368</v>
      </c>
      <c r="C508" s="22" t="s">
        <v>40</v>
      </c>
      <c r="D508" s="46" t="s">
        <v>111</v>
      </c>
      <c r="E508" s="22">
        <v>359335</v>
      </c>
      <c r="F508" s="80" t="s">
        <v>595</v>
      </c>
      <c r="G508" s="25">
        <v>120.7</v>
      </c>
      <c r="H508" s="38">
        <f t="shared" si="691"/>
        <v>88955.900000000009</v>
      </c>
      <c r="I508" s="38">
        <f t="shared" si="692"/>
        <v>518165.10000000003</v>
      </c>
      <c r="J508" s="38">
        <f t="shared" si="693"/>
        <v>270126.60000000003</v>
      </c>
      <c r="K508" s="38">
        <f t="shared" si="694"/>
        <v>206397</v>
      </c>
      <c r="L508" s="38">
        <f t="shared" si="695"/>
        <v>23415.8</v>
      </c>
      <c r="M508" s="39">
        <f t="shared" si="696"/>
        <v>22812.3</v>
      </c>
      <c r="N508" s="40">
        <f t="shared" si="697"/>
        <v>19312</v>
      </c>
      <c r="O508" s="40">
        <f t="shared" si="698"/>
        <v>217018.6</v>
      </c>
      <c r="P508" s="40">
        <f t="shared" si="699"/>
        <v>394689</v>
      </c>
      <c r="Q508" s="40">
        <f t="shared" si="700"/>
        <v>24502.100000000002</v>
      </c>
      <c r="R508" s="40">
        <f t="shared" si="701"/>
        <v>137598</v>
      </c>
      <c r="S508" s="40">
        <f t="shared" si="702"/>
        <v>116716.90000000001</v>
      </c>
      <c r="T508" s="40">
        <f t="shared" si="703"/>
        <v>64815.9</v>
      </c>
      <c r="U508" s="40">
        <f t="shared" si="704"/>
        <v>471695.60000000003</v>
      </c>
      <c r="V508" s="40">
        <f t="shared" si="705"/>
        <v>167531.6</v>
      </c>
      <c r="W508" s="40">
        <f t="shared" si="706"/>
        <v>17139.400000000001</v>
      </c>
      <c r="X508" s="40">
        <f t="shared" si="707"/>
        <v>23415.8</v>
      </c>
      <c r="Y508" s="39">
        <f t="shared" si="708"/>
        <v>93904.6</v>
      </c>
      <c r="Z508" s="40">
        <f t="shared" si="709"/>
        <v>104888.3</v>
      </c>
      <c r="AA508" s="40">
        <f t="shared" si="710"/>
        <v>356909.9</v>
      </c>
      <c r="AB508" s="40">
        <f t="shared" si="711"/>
        <v>524079.4</v>
      </c>
      <c r="AC508" s="40">
        <f t="shared" si="712"/>
        <v>123596.8</v>
      </c>
      <c r="AD508" s="40">
        <f t="shared" si="713"/>
        <v>133735.6</v>
      </c>
      <c r="AE508" s="40">
        <f t="shared" si="714"/>
        <v>83886.5</v>
      </c>
      <c r="AF508" s="40">
        <f t="shared" si="715"/>
        <v>27036.799999999999</v>
      </c>
      <c r="AG508" s="40">
        <f t="shared" si="716"/>
        <v>31985.5</v>
      </c>
      <c r="AH508" s="40">
        <f t="shared" si="687"/>
        <v>61798.400000000001</v>
      </c>
      <c r="AI508" s="40">
        <f t="shared" si="688"/>
        <v>46617.022222222222</v>
      </c>
      <c r="AJ508" s="40">
        <f t="shared" si="689"/>
        <v>0</v>
      </c>
      <c r="AK508" s="39">
        <f t="shared" si="690"/>
        <v>0</v>
      </c>
      <c r="AL508" s="38">
        <v>695</v>
      </c>
      <c r="AM508" s="38">
        <v>4142</v>
      </c>
      <c r="AN508" s="38">
        <v>2061</v>
      </c>
      <c r="AO508" s="38">
        <v>1540</v>
      </c>
      <c r="AP508" s="38">
        <v>193</v>
      </c>
      <c r="AQ508" s="39">
        <v>177</v>
      </c>
      <c r="AR508" s="40">
        <v>152</v>
      </c>
      <c r="AS508" s="40">
        <v>1765</v>
      </c>
      <c r="AT508" s="40">
        <v>3060</v>
      </c>
      <c r="AU508" s="40">
        <v>196</v>
      </c>
      <c r="AV508" s="40">
        <v>1079</v>
      </c>
      <c r="AW508" s="40">
        <v>966</v>
      </c>
      <c r="AX508" s="40">
        <v>533</v>
      </c>
      <c r="AY508" s="40">
        <v>3707</v>
      </c>
      <c r="AZ508" s="40">
        <v>1376</v>
      </c>
      <c r="BA508" s="40">
        <v>138</v>
      </c>
      <c r="BB508" s="40">
        <v>186</v>
      </c>
      <c r="BC508" s="39">
        <v>482</v>
      </c>
      <c r="BD508" s="40">
        <v>856</v>
      </c>
      <c r="BE508" s="40">
        <v>2419</v>
      </c>
      <c r="BF508" s="40">
        <v>4338</v>
      </c>
      <c r="BG508" s="40">
        <v>801</v>
      </c>
      <c r="BH508" s="40">
        <v>1098</v>
      </c>
      <c r="BI508" s="40">
        <v>694</v>
      </c>
      <c r="BJ508" s="40">
        <v>221</v>
      </c>
      <c r="BK508" s="40">
        <v>264</v>
      </c>
      <c r="BL508" s="40">
        <v>511</v>
      </c>
      <c r="BM508" s="40">
        <v>298</v>
      </c>
      <c r="BN508" s="40"/>
      <c r="BO508" s="39"/>
      <c r="BP508" s="21">
        <v>42</v>
      </c>
      <c r="BQ508" s="21">
        <v>151</v>
      </c>
      <c r="BR508" s="21">
        <v>177</v>
      </c>
      <c r="BS508" s="21">
        <v>170</v>
      </c>
      <c r="BT508" s="21">
        <v>1</v>
      </c>
      <c r="BU508" s="42">
        <v>12</v>
      </c>
      <c r="BV508" s="21">
        <v>8</v>
      </c>
      <c r="BW508" s="21">
        <v>33</v>
      </c>
      <c r="BX508" s="21">
        <v>210</v>
      </c>
      <c r="BY508" s="21">
        <v>7</v>
      </c>
      <c r="BZ508" s="21">
        <v>61</v>
      </c>
      <c r="CA508" s="21">
        <v>1</v>
      </c>
      <c r="CB508" s="21">
        <v>4</v>
      </c>
      <c r="CC508" s="21">
        <v>201</v>
      </c>
      <c r="CD508" s="21">
        <v>12</v>
      </c>
      <c r="CE508" s="21">
        <v>4</v>
      </c>
      <c r="CF508" s="21">
        <v>8</v>
      </c>
      <c r="CG508" s="42">
        <v>296</v>
      </c>
      <c r="CH508" s="21">
        <v>13</v>
      </c>
      <c r="CI508" s="21">
        <v>538</v>
      </c>
      <c r="CJ508" s="21">
        <v>4</v>
      </c>
      <c r="CK508" s="21">
        <v>223</v>
      </c>
      <c r="CL508" s="21">
        <v>10</v>
      </c>
      <c r="CM508" s="21">
        <v>1</v>
      </c>
      <c r="CN508" s="21">
        <v>3</v>
      </c>
      <c r="CO508" s="21">
        <v>1</v>
      </c>
      <c r="CP508" s="21">
        <f t="shared" si="717"/>
        <v>1</v>
      </c>
      <c r="CQ508" s="343">
        <f t="shared" si="718"/>
        <v>88.222222222222229</v>
      </c>
      <c r="CR508" s="40"/>
      <c r="CS508" s="39"/>
      <c r="CT508" s="38">
        <f t="shared" si="719"/>
        <v>737</v>
      </c>
      <c r="CU508" s="38">
        <f t="shared" si="720"/>
        <v>4293</v>
      </c>
      <c r="CV508" s="38">
        <f t="shared" si="721"/>
        <v>2238</v>
      </c>
      <c r="CW508" s="38">
        <f t="shared" si="722"/>
        <v>1710</v>
      </c>
      <c r="CX508" s="38">
        <f t="shared" si="723"/>
        <v>194</v>
      </c>
      <c r="CY508" s="39">
        <f t="shared" si="724"/>
        <v>189</v>
      </c>
      <c r="CZ508" s="40">
        <f t="shared" si="725"/>
        <v>160</v>
      </c>
      <c r="DA508" s="40">
        <f t="shared" si="726"/>
        <v>1798</v>
      </c>
      <c r="DB508" s="40">
        <f t="shared" si="727"/>
        <v>3270</v>
      </c>
      <c r="DC508" s="40">
        <f t="shared" si="728"/>
        <v>203</v>
      </c>
      <c r="DD508" s="40">
        <f t="shared" si="729"/>
        <v>1140</v>
      </c>
      <c r="DE508" s="40">
        <f t="shared" si="730"/>
        <v>967</v>
      </c>
      <c r="DF508" s="40">
        <f t="shared" si="731"/>
        <v>537</v>
      </c>
      <c r="DG508" s="40">
        <f t="shared" si="732"/>
        <v>3908</v>
      </c>
      <c r="DH508" s="40">
        <f t="shared" si="733"/>
        <v>1388</v>
      </c>
      <c r="DI508" s="40">
        <f t="shared" si="734"/>
        <v>142</v>
      </c>
      <c r="DJ508" s="40">
        <f t="shared" si="735"/>
        <v>194</v>
      </c>
      <c r="DK508" s="39">
        <f t="shared" si="736"/>
        <v>778</v>
      </c>
      <c r="DL508" s="40">
        <f t="shared" si="737"/>
        <v>869</v>
      </c>
      <c r="DM508" s="40">
        <f t="shared" si="738"/>
        <v>2957</v>
      </c>
      <c r="DN508" s="40">
        <f t="shared" si="739"/>
        <v>4342</v>
      </c>
      <c r="DO508" s="40">
        <f t="shared" si="740"/>
        <v>1024</v>
      </c>
      <c r="DP508" s="40">
        <f t="shared" si="741"/>
        <v>1108</v>
      </c>
      <c r="DQ508" s="40">
        <f t="shared" si="742"/>
        <v>695</v>
      </c>
      <c r="DR508" s="40">
        <f t="shared" si="747"/>
        <v>224</v>
      </c>
      <c r="DS508" s="40">
        <f t="shared" si="748"/>
        <v>265</v>
      </c>
      <c r="DT508" s="40">
        <f t="shared" si="743"/>
        <v>512</v>
      </c>
      <c r="DU508" s="40">
        <f t="shared" si="744"/>
        <v>386.22222222222223</v>
      </c>
      <c r="DV508" s="40">
        <f t="shared" si="745"/>
        <v>0</v>
      </c>
      <c r="DW508" s="40">
        <f t="shared" si="746"/>
        <v>0</v>
      </c>
    </row>
    <row r="509" spans="1:127">
      <c r="A509" s="22" t="s">
        <v>39</v>
      </c>
      <c r="B509" s="26">
        <v>4987176030344</v>
      </c>
      <c r="C509" s="22" t="s">
        <v>40</v>
      </c>
      <c r="D509" s="46" t="s">
        <v>111</v>
      </c>
      <c r="E509" s="22">
        <v>359348</v>
      </c>
      <c r="F509" s="80" t="s">
        <v>596</v>
      </c>
      <c r="G509" s="25">
        <v>120.7</v>
      </c>
      <c r="H509" s="38">
        <f t="shared" si="691"/>
        <v>115992.7</v>
      </c>
      <c r="I509" s="38">
        <f t="shared" si="692"/>
        <v>605310.5</v>
      </c>
      <c r="J509" s="38">
        <f t="shared" si="693"/>
        <v>346771.10000000003</v>
      </c>
      <c r="K509" s="38">
        <f t="shared" si="694"/>
        <v>256849.6</v>
      </c>
      <c r="L509" s="38">
        <f t="shared" si="695"/>
        <v>24260.7</v>
      </c>
      <c r="M509" s="39">
        <f t="shared" si="696"/>
        <v>27157.5</v>
      </c>
      <c r="N509" s="40">
        <f t="shared" si="697"/>
        <v>20519</v>
      </c>
      <c r="O509" s="40">
        <f t="shared" si="698"/>
        <v>250573.2</v>
      </c>
      <c r="P509" s="40">
        <f t="shared" si="699"/>
        <v>430778.3</v>
      </c>
      <c r="Q509" s="40">
        <f t="shared" si="700"/>
        <v>21605.3</v>
      </c>
      <c r="R509" s="40">
        <f t="shared" si="701"/>
        <v>179722.30000000002</v>
      </c>
      <c r="S509" s="40">
        <f t="shared" si="702"/>
        <v>125648.7</v>
      </c>
      <c r="T509" s="40">
        <f t="shared" si="703"/>
        <v>82196.7</v>
      </c>
      <c r="U509" s="40">
        <f t="shared" si="704"/>
        <v>627277.9</v>
      </c>
      <c r="V509" s="40">
        <f t="shared" si="705"/>
        <v>201086.2</v>
      </c>
      <c r="W509" s="40">
        <f t="shared" si="706"/>
        <v>17742.900000000001</v>
      </c>
      <c r="X509" s="40">
        <f t="shared" si="707"/>
        <v>36813.5</v>
      </c>
      <c r="Y509" s="39">
        <f t="shared" si="708"/>
        <v>120941.40000000001</v>
      </c>
      <c r="Z509" s="40">
        <f t="shared" si="709"/>
        <v>119251.6</v>
      </c>
      <c r="AA509" s="40">
        <f t="shared" si="710"/>
        <v>497284</v>
      </c>
      <c r="AB509" s="40">
        <f t="shared" si="711"/>
        <v>624501.80000000005</v>
      </c>
      <c r="AC509" s="40">
        <f t="shared" si="712"/>
        <v>174652.9</v>
      </c>
      <c r="AD509" s="40">
        <f t="shared" si="713"/>
        <v>149547.30000000002</v>
      </c>
      <c r="AE509" s="40">
        <f t="shared" si="714"/>
        <v>103560.6</v>
      </c>
      <c r="AF509" s="40">
        <f t="shared" si="715"/>
        <v>37658.400000000001</v>
      </c>
      <c r="AG509" s="40">
        <f t="shared" si="716"/>
        <v>32347.600000000002</v>
      </c>
      <c r="AH509" s="40">
        <f t="shared" si="687"/>
        <v>80627.600000000006</v>
      </c>
      <c r="AI509" s="40">
        <f t="shared" si="688"/>
        <v>57131.333333333336</v>
      </c>
      <c r="AJ509" s="40">
        <f t="shared" si="689"/>
        <v>0</v>
      </c>
      <c r="AK509" s="39">
        <f t="shared" si="690"/>
        <v>0</v>
      </c>
      <c r="AL509" s="38">
        <v>898</v>
      </c>
      <c r="AM509" s="38">
        <v>4736</v>
      </c>
      <c r="AN509" s="38">
        <v>2573</v>
      </c>
      <c r="AO509" s="38">
        <v>1805</v>
      </c>
      <c r="AP509" s="38">
        <v>196</v>
      </c>
      <c r="AQ509" s="39">
        <v>200</v>
      </c>
      <c r="AR509" s="40">
        <v>160</v>
      </c>
      <c r="AS509" s="40">
        <v>2025</v>
      </c>
      <c r="AT509" s="40">
        <v>3238</v>
      </c>
      <c r="AU509" s="40">
        <v>170</v>
      </c>
      <c r="AV509" s="40">
        <v>1393</v>
      </c>
      <c r="AW509" s="40">
        <v>1022</v>
      </c>
      <c r="AX509" s="40">
        <v>666</v>
      </c>
      <c r="AY509" s="40">
        <v>4724</v>
      </c>
      <c r="AZ509" s="40">
        <v>1655</v>
      </c>
      <c r="BA509" s="40">
        <v>130</v>
      </c>
      <c r="BB509" s="40">
        <v>215</v>
      </c>
      <c r="BC509" s="39">
        <v>542</v>
      </c>
      <c r="BD509" s="40">
        <v>958</v>
      </c>
      <c r="BE509" s="40">
        <v>3269</v>
      </c>
      <c r="BF509" s="40">
        <v>5144</v>
      </c>
      <c r="BG509" s="40">
        <v>1045</v>
      </c>
      <c r="BH509" s="40">
        <v>1232</v>
      </c>
      <c r="BI509" s="40">
        <v>850</v>
      </c>
      <c r="BJ509" s="40">
        <v>289</v>
      </c>
      <c r="BK509" s="40">
        <v>267</v>
      </c>
      <c r="BL509" s="40">
        <v>667</v>
      </c>
      <c r="BM509" s="40">
        <v>323</v>
      </c>
      <c r="BN509" s="40"/>
      <c r="BO509" s="39"/>
      <c r="BP509" s="21">
        <v>63</v>
      </c>
      <c r="BQ509" s="21">
        <v>279</v>
      </c>
      <c r="BR509" s="21">
        <v>300</v>
      </c>
      <c r="BS509" s="21">
        <v>323</v>
      </c>
      <c r="BT509" s="21">
        <v>5</v>
      </c>
      <c r="BU509" s="42">
        <v>25</v>
      </c>
      <c r="BV509" s="21">
        <v>10</v>
      </c>
      <c r="BW509" s="21">
        <v>51</v>
      </c>
      <c r="BX509" s="21">
        <v>331</v>
      </c>
      <c r="BY509" s="21">
        <v>9</v>
      </c>
      <c r="BZ509" s="21">
        <v>96</v>
      </c>
      <c r="CA509" s="21">
        <v>19</v>
      </c>
      <c r="CB509" s="21">
        <v>15</v>
      </c>
      <c r="CC509" s="21">
        <v>473</v>
      </c>
      <c r="CD509" s="21">
        <v>11</v>
      </c>
      <c r="CE509" s="21">
        <v>17</v>
      </c>
      <c r="CF509" s="21">
        <v>90</v>
      </c>
      <c r="CG509" s="42">
        <v>460</v>
      </c>
      <c r="CH509" s="21">
        <v>30</v>
      </c>
      <c r="CI509" s="21">
        <v>851</v>
      </c>
      <c r="CJ509" s="21">
        <v>30</v>
      </c>
      <c r="CK509" s="21">
        <v>402</v>
      </c>
      <c r="CL509" s="21">
        <v>7</v>
      </c>
      <c r="CM509" s="21">
        <v>8</v>
      </c>
      <c r="CN509" s="21">
        <v>23</v>
      </c>
      <c r="CO509" s="21">
        <v>1</v>
      </c>
      <c r="CP509" s="21">
        <f t="shared" si="717"/>
        <v>1</v>
      </c>
      <c r="CQ509" s="343">
        <f t="shared" si="718"/>
        <v>150.33333333333334</v>
      </c>
      <c r="CR509" s="40"/>
      <c r="CS509" s="39"/>
      <c r="CT509" s="38">
        <f t="shared" si="719"/>
        <v>961</v>
      </c>
      <c r="CU509" s="38">
        <f t="shared" si="720"/>
        <v>5015</v>
      </c>
      <c r="CV509" s="38">
        <f t="shared" si="721"/>
        <v>2873</v>
      </c>
      <c r="CW509" s="38">
        <f t="shared" si="722"/>
        <v>2128</v>
      </c>
      <c r="CX509" s="38">
        <f t="shared" si="723"/>
        <v>201</v>
      </c>
      <c r="CY509" s="39">
        <f t="shared" si="724"/>
        <v>225</v>
      </c>
      <c r="CZ509" s="40">
        <f t="shared" si="725"/>
        <v>170</v>
      </c>
      <c r="DA509" s="40">
        <f t="shared" si="726"/>
        <v>2076</v>
      </c>
      <c r="DB509" s="40">
        <f t="shared" si="727"/>
        <v>3569</v>
      </c>
      <c r="DC509" s="40">
        <f t="shared" si="728"/>
        <v>179</v>
      </c>
      <c r="DD509" s="40">
        <f t="shared" si="729"/>
        <v>1489</v>
      </c>
      <c r="DE509" s="40">
        <f t="shared" si="730"/>
        <v>1041</v>
      </c>
      <c r="DF509" s="40">
        <f t="shared" si="731"/>
        <v>681</v>
      </c>
      <c r="DG509" s="40">
        <f t="shared" si="732"/>
        <v>5197</v>
      </c>
      <c r="DH509" s="40">
        <f t="shared" si="733"/>
        <v>1666</v>
      </c>
      <c r="DI509" s="40">
        <f t="shared" si="734"/>
        <v>147</v>
      </c>
      <c r="DJ509" s="40">
        <f t="shared" si="735"/>
        <v>305</v>
      </c>
      <c r="DK509" s="39">
        <f t="shared" si="736"/>
        <v>1002</v>
      </c>
      <c r="DL509" s="40">
        <f t="shared" si="737"/>
        <v>988</v>
      </c>
      <c r="DM509" s="40">
        <f t="shared" si="738"/>
        <v>4120</v>
      </c>
      <c r="DN509" s="40">
        <f t="shared" si="739"/>
        <v>5174</v>
      </c>
      <c r="DO509" s="40">
        <f t="shared" si="740"/>
        <v>1447</v>
      </c>
      <c r="DP509" s="40">
        <f t="shared" si="741"/>
        <v>1239</v>
      </c>
      <c r="DQ509" s="40">
        <f t="shared" si="742"/>
        <v>858</v>
      </c>
      <c r="DR509" s="40">
        <f t="shared" si="747"/>
        <v>312</v>
      </c>
      <c r="DS509" s="40">
        <f t="shared" si="748"/>
        <v>268</v>
      </c>
      <c r="DT509" s="40">
        <f t="shared" si="743"/>
        <v>668</v>
      </c>
      <c r="DU509" s="40">
        <f t="shared" si="744"/>
        <v>473.33333333333337</v>
      </c>
      <c r="DV509" s="40">
        <f t="shared" si="745"/>
        <v>0</v>
      </c>
      <c r="DW509" s="40">
        <f t="shared" si="746"/>
        <v>0</v>
      </c>
    </row>
    <row r="510" spans="1:127">
      <c r="A510" s="22" t="s">
        <v>39</v>
      </c>
      <c r="B510" s="26">
        <v>4987176030375</v>
      </c>
      <c r="C510" s="22" t="s">
        <v>40</v>
      </c>
      <c r="D510" s="46" t="s">
        <v>111</v>
      </c>
      <c r="E510" s="22">
        <v>359296</v>
      </c>
      <c r="F510" s="80" t="s">
        <v>597</v>
      </c>
      <c r="G510" s="25">
        <v>227.9</v>
      </c>
      <c r="H510" s="38">
        <f t="shared" si="691"/>
        <v>13218.2</v>
      </c>
      <c r="I510" s="38">
        <f t="shared" si="692"/>
        <v>19827.3</v>
      </c>
      <c r="J510" s="38">
        <f t="shared" si="693"/>
        <v>15041.4</v>
      </c>
      <c r="K510" s="38">
        <f t="shared" si="694"/>
        <v>37603.5</v>
      </c>
      <c r="L510" s="38">
        <f t="shared" si="695"/>
        <v>62216.700000000004</v>
      </c>
      <c r="M510" s="39">
        <f t="shared" si="696"/>
        <v>23245.8</v>
      </c>
      <c r="N510" s="40">
        <f t="shared" si="697"/>
        <v>26664.3</v>
      </c>
      <c r="O510" s="40">
        <f t="shared" si="698"/>
        <v>22562.100000000002</v>
      </c>
      <c r="P510" s="40">
        <f t="shared" si="699"/>
        <v>12078.7</v>
      </c>
      <c r="Q510" s="40">
        <f t="shared" si="700"/>
        <v>24613.200000000001</v>
      </c>
      <c r="R510" s="40">
        <f t="shared" si="701"/>
        <v>93439</v>
      </c>
      <c r="S510" s="40">
        <f t="shared" si="702"/>
        <v>9799.7000000000007</v>
      </c>
      <c r="T510" s="40">
        <f t="shared" si="703"/>
        <v>16180.9</v>
      </c>
      <c r="U510" s="40">
        <f t="shared" si="704"/>
        <v>14585.6</v>
      </c>
      <c r="V510" s="40">
        <f t="shared" si="705"/>
        <v>55835.5</v>
      </c>
      <c r="W510" s="40">
        <f t="shared" si="706"/>
        <v>28031.7</v>
      </c>
      <c r="X510" s="40">
        <f t="shared" si="707"/>
        <v>27348</v>
      </c>
      <c r="Y510" s="39">
        <f t="shared" si="708"/>
        <v>14357.7</v>
      </c>
      <c r="Z510" s="40">
        <f t="shared" si="709"/>
        <v>21422.600000000002</v>
      </c>
      <c r="AA510" s="40">
        <f t="shared" si="710"/>
        <v>23245.8</v>
      </c>
      <c r="AB510" s="40">
        <f t="shared" si="711"/>
        <v>17548.3</v>
      </c>
      <c r="AC510" s="40">
        <f t="shared" si="712"/>
        <v>24613.200000000001</v>
      </c>
      <c r="AD510" s="40">
        <f t="shared" si="713"/>
        <v>31906</v>
      </c>
      <c r="AE510" s="40">
        <f t="shared" si="714"/>
        <v>49910.1</v>
      </c>
      <c r="AF510" s="40">
        <f t="shared" si="715"/>
        <v>18915.7</v>
      </c>
      <c r="AG510" s="40">
        <f t="shared" si="716"/>
        <v>14813.5</v>
      </c>
      <c r="AH510" s="40">
        <f t="shared" si="687"/>
        <v>22334.2</v>
      </c>
      <c r="AI510" s="40">
        <f t="shared" si="688"/>
        <v>27423.966666666667</v>
      </c>
      <c r="AJ510" s="40">
        <f t="shared" si="689"/>
        <v>0</v>
      </c>
      <c r="AK510" s="39">
        <f t="shared" si="690"/>
        <v>0</v>
      </c>
      <c r="AL510" s="38">
        <v>52</v>
      </c>
      <c r="AM510" s="38">
        <v>74</v>
      </c>
      <c r="AN510" s="38">
        <v>43</v>
      </c>
      <c r="AO510" s="38">
        <v>132</v>
      </c>
      <c r="AP510" s="38">
        <v>185</v>
      </c>
      <c r="AQ510" s="39">
        <v>84</v>
      </c>
      <c r="AR510" s="40">
        <v>109</v>
      </c>
      <c r="AS510" s="40">
        <v>74</v>
      </c>
      <c r="AT510" s="40">
        <v>45</v>
      </c>
      <c r="AU510" s="40">
        <v>99</v>
      </c>
      <c r="AV510" s="40">
        <v>173</v>
      </c>
      <c r="AW510" s="40">
        <v>41</v>
      </c>
      <c r="AX510" s="40">
        <v>64</v>
      </c>
      <c r="AY510" s="40">
        <v>37</v>
      </c>
      <c r="AZ510" s="40">
        <v>103</v>
      </c>
      <c r="BA510" s="40">
        <v>112</v>
      </c>
      <c r="BB510" s="40">
        <v>80</v>
      </c>
      <c r="BC510" s="39">
        <v>58</v>
      </c>
      <c r="BD510" s="40">
        <v>81</v>
      </c>
      <c r="BE510" s="40">
        <v>87</v>
      </c>
      <c r="BF510" s="40">
        <v>58</v>
      </c>
      <c r="BG510" s="40">
        <v>92</v>
      </c>
      <c r="BH510" s="40">
        <v>91</v>
      </c>
      <c r="BI510" s="40">
        <v>203</v>
      </c>
      <c r="BJ510" s="40">
        <v>82</v>
      </c>
      <c r="BK510" s="40">
        <v>65</v>
      </c>
      <c r="BL510" s="40">
        <v>98</v>
      </c>
      <c r="BM510" s="40">
        <v>106</v>
      </c>
      <c r="BN510" s="40"/>
      <c r="BO510" s="39"/>
      <c r="BP510" s="21">
        <v>6</v>
      </c>
      <c r="BQ510" s="21">
        <v>13</v>
      </c>
      <c r="BR510" s="21">
        <v>23</v>
      </c>
      <c r="BS510" s="21">
        <v>33</v>
      </c>
      <c r="BT510" s="21">
        <v>88</v>
      </c>
      <c r="BU510" s="42">
        <v>18</v>
      </c>
      <c r="BV510" s="21">
        <v>8</v>
      </c>
      <c r="BW510" s="21">
        <v>25</v>
      </c>
      <c r="BX510" s="21">
        <v>8</v>
      </c>
      <c r="BY510" s="21">
        <v>9</v>
      </c>
      <c r="BZ510" s="21">
        <v>237</v>
      </c>
      <c r="CA510" s="21">
        <v>2</v>
      </c>
      <c r="CB510" s="21">
        <v>7</v>
      </c>
      <c r="CC510" s="21">
        <v>27</v>
      </c>
      <c r="CD510" s="21">
        <v>142</v>
      </c>
      <c r="CE510" s="21">
        <v>11</v>
      </c>
      <c r="CF510" s="21">
        <v>40</v>
      </c>
      <c r="CG510" s="42">
        <v>5</v>
      </c>
      <c r="CH510" s="21">
        <v>13</v>
      </c>
      <c r="CI510" s="21">
        <v>15</v>
      </c>
      <c r="CJ510" s="21">
        <v>19</v>
      </c>
      <c r="CK510" s="21">
        <v>16</v>
      </c>
      <c r="CL510" s="21">
        <v>49</v>
      </c>
      <c r="CM510" s="21">
        <v>16</v>
      </c>
      <c r="CN510" s="21">
        <v>1</v>
      </c>
      <c r="CO510" s="21">
        <v>0</v>
      </c>
      <c r="CP510" s="21">
        <f t="shared" si="717"/>
        <v>0</v>
      </c>
      <c r="CQ510" s="343">
        <f t="shared" si="718"/>
        <v>14.333333333333334</v>
      </c>
      <c r="CR510" s="40"/>
      <c r="CS510" s="39"/>
      <c r="CT510" s="38">
        <f t="shared" si="719"/>
        <v>58</v>
      </c>
      <c r="CU510" s="38">
        <f t="shared" si="720"/>
        <v>87</v>
      </c>
      <c r="CV510" s="38">
        <f t="shared" si="721"/>
        <v>66</v>
      </c>
      <c r="CW510" s="38">
        <f t="shared" si="722"/>
        <v>165</v>
      </c>
      <c r="CX510" s="38">
        <f t="shared" si="723"/>
        <v>273</v>
      </c>
      <c r="CY510" s="39">
        <f t="shared" si="724"/>
        <v>102</v>
      </c>
      <c r="CZ510" s="40">
        <f t="shared" si="725"/>
        <v>117</v>
      </c>
      <c r="DA510" s="40">
        <f t="shared" si="726"/>
        <v>99</v>
      </c>
      <c r="DB510" s="40">
        <f t="shared" si="727"/>
        <v>53</v>
      </c>
      <c r="DC510" s="40">
        <f t="shared" si="728"/>
        <v>108</v>
      </c>
      <c r="DD510" s="40">
        <f t="shared" si="729"/>
        <v>410</v>
      </c>
      <c r="DE510" s="40">
        <f t="shared" si="730"/>
        <v>43</v>
      </c>
      <c r="DF510" s="40">
        <f t="shared" si="731"/>
        <v>71</v>
      </c>
      <c r="DG510" s="40">
        <f t="shared" si="732"/>
        <v>64</v>
      </c>
      <c r="DH510" s="40">
        <f t="shared" si="733"/>
        <v>245</v>
      </c>
      <c r="DI510" s="40">
        <f t="shared" si="734"/>
        <v>123</v>
      </c>
      <c r="DJ510" s="40">
        <f t="shared" si="735"/>
        <v>120</v>
      </c>
      <c r="DK510" s="39">
        <f t="shared" si="736"/>
        <v>63</v>
      </c>
      <c r="DL510" s="40">
        <f t="shared" si="737"/>
        <v>94</v>
      </c>
      <c r="DM510" s="40">
        <f t="shared" si="738"/>
        <v>102</v>
      </c>
      <c r="DN510" s="40">
        <f t="shared" si="739"/>
        <v>77</v>
      </c>
      <c r="DO510" s="40">
        <f t="shared" si="740"/>
        <v>108</v>
      </c>
      <c r="DP510" s="40">
        <f t="shared" si="741"/>
        <v>140</v>
      </c>
      <c r="DQ510" s="40">
        <f t="shared" si="742"/>
        <v>219</v>
      </c>
      <c r="DR510" s="40">
        <f t="shared" si="747"/>
        <v>83</v>
      </c>
      <c r="DS510" s="40">
        <f t="shared" si="748"/>
        <v>65</v>
      </c>
      <c r="DT510" s="40">
        <f t="shared" si="743"/>
        <v>98</v>
      </c>
      <c r="DU510" s="40">
        <f t="shared" si="744"/>
        <v>120.33333333333333</v>
      </c>
      <c r="DV510" s="40">
        <f t="shared" si="745"/>
        <v>0</v>
      </c>
      <c r="DW510" s="40">
        <f t="shared" si="746"/>
        <v>0</v>
      </c>
    </row>
    <row r="511" spans="1:127">
      <c r="A511" s="22" t="s">
        <v>39</v>
      </c>
      <c r="B511" s="26">
        <v>4987176030351</v>
      </c>
      <c r="C511" s="22" t="s">
        <v>40</v>
      </c>
      <c r="D511" s="46" t="s">
        <v>111</v>
      </c>
      <c r="E511" s="22">
        <v>359306</v>
      </c>
      <c r="F511" s="80" t="s">
        <v>598</v>
      </c>
      <c r="G511" s="25">
        <v>227.9</v>
      </c>
      <c r="H511" s="38">
        <f t="shared" si="691"/>
        <v>27803.8</v>
      </c>
      <c r="I511" s="38">
        <f t="shared" si="692"/>
        <v>26436.400000000001</v>
      </c>
      <c r="J511" s="38">
        <f t="shared" si="693"/>
        <v>30310.7</v>
      </c>
      <c r="K511" s="38">
        <f t="shared" si="694"/>
        <v>50821.700000000004</v>
      </c>
      <c r="L511" s="38">
        <f t="shared" si="695"/>
        <v>120559.1</v>
      </c>
      <c r="M511" s="39">
        <f t="shared" si="696"/>
        <v>48998.5</v>
      </c>
      <c r="N511" s="40">
        <f t="shared" si="697"/>
        <v>38059.300000000003</v>
      </c>
      <c r="O511" s="40">
        <f t="shared" si="698"/>
        <v>36464</v>
      </c>
      <c r="P511" s="40">
        <f t="shared" si="699"/>
        <v>13674</v>
      </c>
      <c r="Q511" s="40">
        <f t="shared" si="700"/>
        <v>39654.6</v>
      </c>
      <c r="R511" s="40">
        <f t="shared" si="701"/>
        <v>163176.4</v>
      </c>
      <c r="S511" s="40">
        <f t="shared" si="702"/>
        <v>16180.9</v>
      </c>
      <c r="T511" s="40">
        <f t="shared" si="703"/>
        <v>30082.799999999999</v>
      </c>
      <c r="U511" s="40">
        <f t="shared" si="704"/>
        <v>23245.8</v>
      </c>
      <c r="V511" s="40">
        <f t="shared" si="705"/>
        <v>95718</v>
      </c>
      <c r="W511" s="40">
        <f t="shared" si="706"/>
        <v>53328.6</v>
      </c>
      <c r="X511" s="40">
        <f t="shared" si="707"/>
        <v>34185</v>
      </c>
      <c r="Y511" s="39">
        <f t="shared" si="708"/>
        <v>28715.4</v>
      </c>
      <c r="Z511" s="40">
        <f t="shared" si="709"/>
        <v>29627</v>
      </c>
      <c r="AA511" s="40">
        <f t="shared" si="710"/>
        <v>27803.8</v>
      </c>
      <c r="AB511" s="40">
        <f t="shared" si="711"/>
        <v>24613.200000000001</v>
      </c>
      <c r="AC511" s="40">
        <f t="shared" si="712"/>
        <v>48998.5</v>
      </c>
      <c r="AD511" s="40">
        <f t="shared" si="713"/>
        <v>77258.100000000006</v>
      </c>
      <c r="AE511" s="40">
        <f t="shared" si="714"/>
        <v>89108.900000000009</v>
      </c>
      <c r="AF511" s="40">
        <f t="shared" si="715"/>
        <v>37375.599999999999</v>
      </c>
      <c r="AG511" s="40">
        <f t="shared" si="716"/>
        <v>39426.700000000004</v>
      </c>
      <c r="AH511" s="40">
        <f t="shared" si="687"/>
        <v>46719.5</v>
      </c>
      <c r="AI511" s="40">
        <f t="shared" si="688"/>
        <v>50619.122222222228</v>
      </c>
      <c r="AJ511" s="40">
        <f t="shared" si="689"/>
        <v>0</v>
      </c>
      <c r="AK511" s="39">
        <f t="shared" si="690"/>
        <v>0</v>
      </c>
      <c r="AL511" s="38">
        <v>77</v>
      </c>
      <c r="AM511" s="38">
        <v>97</v>
      </c>
      <c r="AN511" s="38">
        <v>78</v>
      </c>
      <c r="AO511" s="38">
        <v>170</v>
      </c>
      <c r="AP511" s="38">
        <v>282</v>
      </c>
      <c r="AQ511" s="39">
        <v>162</v>
      </c>
      <c r="AR511" s="40">
        <v>141</v>
      </c>
      <c r="AS511" s="40">
        <v>118</v>
      </c>
      <c r="AT511" s="40">
        <v>52</v>
      </c>
      <c r="AU511" s="40">
        <v>125</v>
      </c>
      <c r="AV511" s="40">
        <v>230</v>
      </c>
      <c r="AW511" s="40">
        <v>58</v>
      </c>
      <c r="AX511" s="40">
        <v>109</v>
      </c>
      <c r="AY511" s="40">
        <v>52</v>
      </c>
      <c r="AZ511" s="40">
        <v>172</v>
      </c>
      <c r="BA511" s="40">
        <v>209</v>
      </c>
      <c r="BB511" s="40">
        <v>97</v>
      </c>
      <c r="BC511" s="39">
        <v>117</v>
      </c>
      <c r="BD511" s="40">
        <v>110</v>
      </c>
      <c r="BE511" s="40">
        <v>107</v>
      </c>
      <c r="BF511" s="40">
        <v>78</v>
      </c>
      <c r="BG511" s="40">
        <v>190</v>
      </c>
      <c r="BH511" s="40">
        <v>187</v>
      </c>
      <c r="BI511" s="40">
        <v>360</v>
      </c>
      <c r="BJ511" s="40">
        <v>147</v>
      </c>
      <c r="BK511" s="40">
        <v>169</v>
      </c>
      <c r="BL511" s="40">
        <v>201</v>
      </c>
      <c r="BM511" s="40">
        <v>189</v>
      </c>
      <c r="BN511" s="40"/>
      <c r="BO511" s="39"/>
      <c r="BP511" s="21">
        <v>45</v>
      </c>
      <c r="BQ511" s="21">
        <v>19</v>
      </c>
      <c r="BR511" s="21">
        <v>55</v>
      </c>
      <c r="BS511" s="21">
        <v>53</v>
      </c>
      <c r="BT511" s="21">
        <v>247</v>
      </c>
      <c r="BU511" s="42">
        <v>53</v>
      </c>
      <c r="BV511" s="21">
        <v>26</v>
      </c>
      <c r="BW511" s="21">
        <v>42</v>
      </c>
      <c r="BX511" s="21">
        <v>8</v>
      </c>
      <c r="BY511" s="21">
        <v>49</v>
      </c>
      <c r="BZ511" s="21">
        <v>486</v>
      </c>
      <c r="CA511" s="21">
        <v>13</v>
      </c>
      <c r="CB511" s="21">
        <v>23</v>
      </c>
      <c r="CC511" s="21">
        <v>50</v>
      </c>
      <c r="CD511" s="21">
        <v>248</v>
      </c>
      <c r="CE511" s="21">
        <v>25</v>
      </c>
      <c r="CF511" s="21">
        <v>53</v>
      </c>
      <c r="CG511" s="42">
        <v>9</v>
      </c>
      <c r="CH511" s="21">
        <v>20</v>
      </c>
      <c r="CI511" s="21">
        <v>15</v>
      </c>
      <c r="CJ511" s="21">
        <v>30</v>
      </c>
      <c r="CK511" s="21">
        <v>25</v>
      </c>
      <c r="CL511" s="21">
        <v>152</v>
      </c>
      <c r="CM511" s="21">
        <v>31</v>
      </c>
      <c r="CN511" s="21">
        <v>17</v>
      </c>
      <c r="CO511" s="21">
        <v>4</v>
      </c>
      <c r="CP511" s="21">
        <f t="shared" si="717"/>
        <v>4</v>
      </c>
      <c r="CQ511" s="343">
        <f t="shared" si="718"/>
        <v>33.111111111111114</v>
      </c>
      <c r="CR511" s="40"/>
      <c r="CS511" s="39"/>
      <c r="CT511" s="38">
        <f t="shared" si="719"/>
        <v>122</v>
      </c>
      <c r="CU511" s="38">
        <f t="shared" si="720"/>
        <v>116</v>
      </c>
      <c r="CV511" s="38">
        <f t="shared" si="721"/>
        <v>133</v>
      </c>
      <c r="CW511" s="38">
        <f t="shared" si="722"/>
        <v>223</v>
      </c>
      <c r="CX511" s="38">
        <f t="shared" si="723"/>
        <v>529</v>
      </c>
      <c r="CY511" s="39">
        <f t="shared" si="724"/>
        <v>215</v>
      </c>
      <c r="CZ511" s="40">
        <f t="shared" si="725"/>
        <v>167</v>
      </c>
      <c r="DA511" s="40">
        <f t="shared" si="726"/>
        <v>160</v>
      </c>
      <c r="DB511" s="40">
        <f t="shared" si="727"/>
        <v>60</v>
      </c>
      <c r="DC511" s="40">
        <f t="shared" si="728"/>
        <v>174</v>
      </c>
      <c r="DD511" s="40">
        <f t="shared" si="729"/>
        <v>716</v>
      </c>
      <c r="DE511" s="40">
        <f t="shared" si="730"/>
        <v>71</v>
      </c>
      <c r="DF511" s="40">
        <f t="shared" si="731"/>
        <v>132</v>
      </c>
      <c r="DG511" s="40">
        <f t="shared" si="732"/>
        <v>102</v>
      </c>
      <c r="DH511" s="40">
        <f t="shared" si="733"/>
        <v>420</v>
      </c>
      <c r="DI511" s="40">
        <f t="shared" si="734"/>
        <v>234</v>
      </c>
      <c r="DJ511" s="40">
        <f t="shared" si="735"/>
        <v>150</v>
      </c>
      <c r="DK511" s="39">
        <f t="shared" si="736"/>
        <v>126</v>
      </c>
      <c r="DL511" s="40">
        <f t="shared" si="737"/>
        <v>130</v>
      </c>
      <c r="DM511" s="40">
        <f t="shared" si="738"/>
        <v>122</v>
      </c>
      <c r="DN511" s="40">
        <f t="shared" si="739"/>
        <v>108</v>
      </c>
      <c r="DO511" s="40">
        <f t="shared" si="740"/>
        <v>215</v>
      </c>
      <c r="DP511" s="40">
        <f t="shared" si="741"/>
        <v>339</v>
      </c>
      <c r="DQ511" s="40">
        <f t="shared" si="742"/>
        <v>391</v>
      </c>
      <c r="DR511" s="40">
        <f t="shared" si="747"/>
        <v>164</v>
      </c>
      <c r="DS511" s="40">
        <f t="shared" si="748"/>
        <v>173</v>
      </c>
      <c r="DT511" s="40">
        <f t="shared" si="743"/>
        <v>205</v>
      </c>
      <c r="DU511" s="40">
        <f t="shared" si="744"/>
        <v>222.11111111111111</v>
      </c>
      <c r="DV511" s="40">
        <f t="shared" si="745"/>
        <v>0</v>
      </c>
      <c r="DW511" s="40">
        <f t="shared" si="746"/>
        <v>0</v>
      </c>
    </row>
    <row r="512" spans="1:127">
      <c r="A512" s="22" t="s">
        <v>39</v>
      </c>
      <c r="B512" s="26">
        <v>4987176030399</v>
      </c>
      <c r="C512" s="22" t="s">
        <v>40</v>
      </c>
      <c r="D512" s="46" t="s">
        <v>111</v>
      </c>
      <c r="E512" s="22">
        <v>359319</v>
      </c>
      <c r="F512" s="80" t="s">
        <v>599</v>
      </c>
      <c r="G512" s="25">
        <v>227.9</v>
      </c>
      <c r="H512" s="38">
        <f t="shared" si="691"/>
        <v>13674</v>
      </c>
      <c r="I512" s="38">
        <f t="shared" si="692"/>
        <v>13901.9</v>
      </c>
      <c r="J512" s="38">
        <f t="shared" si="693"/>
        <v>12762.4</v>
      </c>
      <c r="K512" s="38">
        <f t="shared" si="694"/>
        <v>28943.3</v>
      </c>
      <c r="L512" s="38">
        <f t="shared" si="695"/>
        <v>54012.3</v>
      </c>
      <c r="M512" s="39">
        <f t="shared" si="696"/>
        <v>20511</v>
      </c>
      <c r="N512" s="40">
        <f t="shared" si="697"/>
        <v>16864.600000000002</v>
      </c>
      <c r="O512" s="40">
        <f t="shared" si="698"/>
        <v>15725.1</v>
      </c>
      <c r="P512" s="40">
        <f t="shared" si="699"/>
        <v>7292.8</v>
      </c>
      <c r="Q512" s="40">
        <f t="shared" si="700"/>
        <v>18459.900000000001</v>
      </c>
      <c r="R512" s="40">
        <f t="shared" si="701"/>
        <v>59709.8</v>
      </c>
      <c r="S512" s="40">
        <f t="shared" si="702"/>
        <v>10711.300000000001</v>
      </c>
      <c r="T512" s="40">
        <f t="shared" si="703"/>
        <v>14357.7</v>
      </c>
      <c r="U512" s="40">
        <f t="shared" si="704"/>
        <v>11395</v>
      </c>
      <c r="V512" s="40">
        <f t="shared" si="705"/>
        <v>36691.9</v>
      </c>
      <c r="W512" s="40">
        <f t="shared" si="706"/>
        <v>19827.3</v>
      </c>
      <c r="X512" s="40">
        <f t="shared" si="707"/>
        <v>14585.6</v>
      </c>
      <c r="Y512" s="39">
        <f t="shared" si="708"/>
        <v>10711.300000000001</v>
      </c>
      <c r="Z512" s="40">
        <f t="shared" si="709"/>
        <v>15269.300000000001</v>
      </c>
      <c r="AA512" s="40">
        <f t="shared" si="710"/>
        <v>12078.7</v>
      </c>
      <c r="AB512" s="40">
        <f t="shared" si="711"/>
        <v>11395</v>
      </c>
      <c r="AC512" s="40">
        <f t="shared" si="712"/>
        <v>13674</v>
      </c>
      <c r="AD512" s="40">
        <f t="shared" si="713"/>
        <v>25296.9</v>
      </c>
      <c r="AE512" s="40">
        <f t="shared" si="714"/>
        <v>23017.9</v>
      </c>
      <c r="AF512" s="40">
        <f t="shared" si="715"/>
        <v>5697.5</v>
      </c>
      <c r="AG512" s="40">
        <f t="shared" si="716"/>
        <v>8888.1</v>
      </c>
      <c r="AH512" s="40">
        <f t="shared" ref="AH512:AH575" si="749">DT512*$G512</f>
        <v>7064.9000000000005</v>
      </c>
      <c r="AI512" s="40">
        <f t="shared" ref="AI512:AI575" si="750">DU512*$G512</f>
        <v>10635.333333333334</v>
      </c>
      <c r="AJ512" s="40">
        <f t="shared" ref="AJ512:AJ575" si="751">DV512*$G512</f>
        <v>0</v>
      </c>
      <c r="AK512" s="39">
        <f t="shared" ref="AK512:AK575" si="752">DW512*$G512</f>
        <v>0</v>
      </c>
      <c r="AL512" s="38">
        <v>39</v>
      </c>
      <c r="AM512" s="38">
        <v>49</v>
      </c>
      <c r="AN512" s="38">
        <v>36</v>
      </c>
      <c r="AO512" s="38">
        <v>87</v>
      </c>
      <c r="AP512" s="38">
        <v>141</v>
      </c>
      <c r="AQ512" s="39">
        <v>64</v>
      </c>
      <c r="AR512" s="40">
        <v>58</v>
      </c>
      <c r="AS512" s="40">
        <v>46</v>
      </c>
      <c r="AT512" s="40">
        <v>25</v>
      </c>
      <c r="AU512" s="40">
        <v>56</v>
      </c>
      <c r="AV512" s="40">
        <v>72</v>
      </c>
      <c r="AW512" s="40">
        <v>36</v>
      </c>
      <c r="AX512" s="40">
        <v>44</v>
      </c>
      <c r="AY512" s="40">
        <v>20</v>
      </c>
      <c r="AZ512" s="40">
        <v>66</v>
      </c>
      <c r="BA512" s="40">
        <v>76</v>
      </c>
      <c r="BB512" s="40">
        <v>38</v>
      </c>
      <c r="BC512" s="39">
        <v>44</v>
      </c>
      <c r="BD512" s="40">
        <v>57</v>
      </c>
      <c r="BE512" s="40">
        <v>43</v>
      </c>
      <c r="BF512" s="40">
        <v>33</v>
      </c>
      <c r="BG512" s="40">
        <v>45</v>
      </c>
      <c r="BH512" s="40">
        <v>41</v>
      </c>
      <c r="BI512" s="40">
        <v>76</v>
      </c>
      <c r="BJ512" s="40">
        <v>19</v>
      </c>
      <c r="BK512" s="40">
        <v>36</v>
      </c>
      <c r="BL512" s="40">
        <v>28</v>
      </c>
      <c r="BM512" s="40">
        <v>29</v>
      </c>
      <c r="BN512" s="40"/>
      <c r="BO512" s="39"/>
      <c r="BP512" s="21">
        <v>21</v>
      </c>
      <c r="BQ512" s="21">
        <v>12</v>
      </c>
      <c r="BR512" s="21">
        <v>20</v>
      </c>
      <c r="BS512" s="21">
        <v>40</v>
      </c>
      <c r="BT512" s="21">
        <v>96</v>
      </c>
      <c r="BU512" s="42">
        <v>26</v>
      </c>
      <c r="BV512" s="21">
        <v>16</v>
      </c>
      <c r="BW512" s="21">
        <v>23</v>
      </c>
      <c r="BX512" s="21">
        <v>7</v>
      </c>
      <c r="BY512" s="21">
        <v>25</v>
      </c>
      <c r="BZ512" s="21">
        <v>190</v>
      </c>
      <c r="CA512" s="21">
        <v>11</v>
      </c>
      <c r="CB512" s="21">
        <v>19</v>
      </c>
      <c r="CC512" s="21">
        <v>30</v>
      </c>
      <c r="CD512" s="21">
        <v>95</v>
      </c>
      <c r="CE512" s="21">
        <v>11</v>
      </c>
      <c r="CF512" s="21">
        <v>26</v>
      </c>
      <c r="CG512" s="42">
        <v>3</v>
      </c>
      <c r="CH512" s="21">
        <v>10</v>
      </c>
      <c r="CI512" s="21">
        <v>10</v>
      </c>
      <c r="CJ512" s="21">
        <v>17</v>
      </c>
      <c r="CK512" s="21">
        <v>15</v>
      </c>
      <c r="CL512" s="21">
        <v>70</v>
      </c>
      <c r="CM512" s="21">
        <v>25</v>
      </c>
      <c r="CN512" s="21">
        <v>6</v>
      </c>
      <c r="CO512" s="21">
        <v>3</v>
      </c>
      <c r="CP512" s="21">
        <f t="shared" si="717"/>
        <v>3</v>
      </c>
      <c r="CQ512" s="343">
        <f t="shared" si="718"/>
        <v>17.666666666666668</v>
      </c>
      <c r="CR512" s="40"/>
      <c r="CS512" s="39"/>
      <c r="CT512" s="38">
        <f t="shared" si="719"/>
        <v>60</v>
      </c>
      <c r="CU512" s="38">
        <f t="shared" si="720"/>
        <v>61</v>
      </c>
      <c r="CV512" s="38">
        <f t="shared" si="721"/>
        <v>56</v>
      </c>
      <c r="CW512" s="38">
        <f t="shared" si="722"/>
        <v>127</v>
      </c>
      <c r="CX512" s="38">
        <f t="shared" si="723"/>
        <v>237</v>
      </c>
      <c r="CY512" s="39">
        <f t="shared" si="724"/>
        <v>90</v>
      </c>
      <c r="CZ512" s="40">
        <f t="shared" si="725"/>
        <v>74</v>
      </c>
      <c r="DA512" s="40">
        <f t="shared" si="726"/>
        <v>69</v>
      </c>
      <c r="DB512" s="40">
        <f t="shared" si="727"/>
        <v>32</v>
      </c>
      <c r="DC512" s="40">
        <f t="shared" si="728"/>
        <v>81</v>
      </c>
      <c r="DD512" s="40">
        <f t="shared" si="729"/>
        <v>262</v>
      </c>
      <c r="DE512" s="40">
        <f t="shared" si="730"/>
        <v>47</v>
      </c>
      <c r="DF512" s="40">
        <f t="shared" si="731"/>
        <v>63</v>
      </c>
      <c r="DG512" s="40">
        <f t="shared" si="732"/>
        <v>50</v>
      </c>
      <c r="DH512" s="40">
        <f t="shared" si="733"/>
        <v>161</v>
      </c>
      <c r="DI512" s="40">
        <f t="shared" si="734"/>
        <v>87</v>
      </c>
      <c r="DJ512" s="40">
        <f t="shared" si="735"/>
        <v>64</v>
      </c>
      <c r="DK512" s="39">
        <f t="shared" si="736"/>
        <v>47</v>
      </c>
      <c r="DL512" s="40">
        <f t="shared" si="737"/>
        <v>67</v>
      </c>
      <c r="DM512" s="40">
        <f t="shared" si="738"/>
        <v>53</v>
      </c>
      <c r="DN512" s="40">
        <f t="shared" si="739"/>
        <v>50</v>
      </c>
      <c r="DO512" s="40">
        <f t="shared" si="740"/>
        <v>60</v>
      </c>
      <c r="DP512" s="40">
        <f t="shared" si="741"/>
        <v>111</v>
      </c>
      <c r="DQ512" s="40">
        <f t="shared" si="742"/>
        <v>101</v>
      </c>
      <c r="DR512" s="40">
        <f t="shared" si="747"/>
        <v>25</v>
      </c>
      <c r="DS512" s="40">
        <f t="shared" si="748"/>
        <v>39</v>
      </c>
      <c r="DT512" s="40">
        <f t="shared" si="743"/>
        <v>31</v>
      </c>
      <c r="DU512" s="40">
        <f t="shared" si="744"/>
        <v>46.666666666666671</v>
      </c>
      <c r="DV512" s="40">
        <f t="shared" si="745"/>
        <v>0</v>
      </c>
      <c r="DW512" s="40">
        <f t="shared" si="746"/>
        <v>0</v>
      </c>
    </row>
    <row r="513" spans="1:127">
      <c r="A513" s="22" t="s">
        <v>39</v>
      </c>
      <c r="B513" s="26">
        <v>4987176156594</v>
      </c>
      <c r="C513" s="22" t="s">
        <v>40</v>
      </c>
      <c r="D513" s="22" t="s">
        <v>42</v>
      </c>
      <c r="E513" s="22">
        <v>180366</v>
      </c>
      <c r="F513" s="80" t="s">
        <v>600</v>
      </c>
      <c r="G513" s="25">
        <v>260.57</v>
      </c>
      <c r="H513" s="38">
        <f t="shared" si="691"/>
        <v>33092.39</v>
      </c>
      <c r="I513" s="38">
        <f t="shared" si="692"/>
        <v>81558.41</v>
      </c>
      <c r="J513" s="38">
        <f t="shared" si="693"/>
        <v>89114.94</v>
      </c>
      <c r="K513" s="38">
        <f t="shared" si="694"/>
        <v>41430.629999999997</v>
      </c>
      <c r="L513" s="38">
        <f t="shared" si="695"/>
        <v>55501.409999999996</v>
      </c>
      <c r="M513" s="39">
        <f t="shared" si="696"/>
        <v>98756.03</v>
      </c>
      <c r="N513" s="40">
        <f t="shared" si="697"/>
        <v>51071.72</v>
      </c>
      <c r="O513" s="40">
        <f t="shared" si="698"/>
        <v>61233.95</v>
      </c>
      <c r="P513" s="40">
        <f t="shared" si="699"/>
        <v>168588.79</v>
      </c>
      <c r="Q513" s="40">
        <f t="shared" si="700"/>
        <v>50290.01</v>
      </c>
      <c r="R513" s="40">
        <f t="shared" si="701"/>
        <v>57325.4</v>
      </c>
      <c r="S513" s="40">
        <f t="shared" si="702"/>
        <v>58367.68</v>
      </c>
      <c r="T513" s="40">
        <f t="shared" si="703"/>
        <v>67227.06</v>
      </c>
      <c r="U513" s="40">
        <f t="shared" si="704"/>
        <v>41170.06</v>
      </c>
      <c r="V513" s="40">
        <f t="shared" si="705"/>
        <v>35176.949999999997</v>
      </c>
      <c r="W513" s="40">
        <f t="shared" si="706"/>
        <v>30747.26</v>
      </c>
      <c r="X513" s="40">
        <f t="shared" si="707"/>
        <v>59409.96</v>
      </c>
      <c r="Y513" s="39">
        <f t="shared" si="708"/>
        <v>105791.42</v>
      </c>
      <c r="Z513" s="40">
        <f t="shared" si="709"/>
        <v>112045.09999999999</v>
      </c>
      <c r="AA513" s="40">
        <f t="shared" si="710"/>
        <v>94847.48</v>
      </c>
      <c r="AB513" s="40">
        <f t="shared" si="711"/>
        <v>63579.08</v>
      </c>
      <c r="AC513" s="40">
        <f t="shared" si="712"/>
        <v>136538.68</v>
      </c>
      <c r="AD513" s="40">
        <f t="shared" si="713"/>
        <v>49768.869999999995</v>
      </c>
      <c r="AE513" s="40">
        <f t="shared" si="714"/>
        <v>30747.26</v>
      </c>
      <c r="AF513" s="40">
        <f t="shared" si="715"/>
        <v>23711.87</v>
      </c>
      <c r="AG513" s="40">
        <f t="shared" si="716"/>
        <v>33352.959999999999</v>
      </c>
      <c r="AH513" s="40">
        <f t="shared" si="749"/>
        <v>36219.229999999996</v>
      </c>
      <c r="AI513" s="40">
        <f t="shared" si="750"/>
        <v>48639.733333333337</v>
      </c>
      <c r="AJ513" s="40">
        <f t="shared" si="751"/>
        <v>0</v>
      </c>
      <c r="AK513" s="39">
        <f t="shared" si="752"/>
        <v>0</v>
      </c>
      <c r="AL513" s="38">
        <v>92</v>
      </c>
      <c r="AM513" s="38">
        <v>239</v>
      </c>
      <c r="AN513" s="38">
        <v>153</v>
      </c>
      <c r="AO513" s="38">
        <v>124</v>
      </c>
      <c r="AP513" s="38">
        <v>162</v>
      </c>
      <c r="AQ513" s="39">
        <v>250</v>
      </c>
      <c r="AR513" s="40">
        <v>166</v>
      </c>
      <c r="AS513" s="40">
        <v>191</v>
      </c>
      <c r="AT513" s="40">
        <v>267</v>
      </c>
      <c r="AU513" s="40">
        <v>139</v>
      </c>
      <c r="AV513" s="40">
        <v>128</v>
      </c>
      <c r="AW513" s="40">
        <v>135</v>
      </c>
      <c r="AX513" s="40">
        <v>221</v>
      </c>
      <c r="AY513" s="40">
        <v>118</v>
      </c>
      <c r="AZ513" s="40">
        <v>99</v>
      </c>
      <c r="BA513" s="40">
        <v>100</v>
      </c>
      <c r="BB513" s="40">
        <v>166</v>
      </c>
      <c r="BC513" s="39">
        <v>232</v>
      </c>
      <c r="BD513" s="40">
        <v>379</v>
      </c>
      <c r="BE513" s="40">
        <v>191</v>
      </c>
      <c r="BF513" s="40">
        <v>215</v>
      </c>
      <c r="BG513" s="40">
        <v>161</v>
      </c>
      <c r="BH513" s="40">
        <v>152</v>
      </c>
      <c r="BI513" s="40">
        <v>102</v>
      </c>
      <c r="BJ513" s="40">
        <v>78</v>
      </c>
      <c r="BK513" s="40">
        <v>116</v>
      </c>
      <c r="BL513" s="40">
        <v>127</v>
      </c>
      <c r="BM513" s="40">
        <v>108</v>
      </c>
      <c r="BN513" s="40"/>
      <c r="BO513" s="39"/>
      <c r="BP513" s="21">
        <v>35</v>
      </c>
      <c r="BQ513" s="21">
        <v>74</v>
      </c>
      <c r="BR513" s="21">
        <v>189</v>
      </c>
      <c r="BS513" s="21">
        <v>35</v>
      </c>
      <c r="BT513" s="21">
        <v>51</v>
      </c>
      <c r="BU513" s="42">
        <v>129</v>
      </c>
      <c r="BV513" s="21">
        <v>30</v>
      </c>
      <c r="BW513" s="21">
        <v>44</v>
      </c>
      <c r="BX513" s="21">
        <v>380</v>
      </c>
      <c r="BY513" s="21">
        <v>54</v>
      </c>
      <c r="BZ513" s="21">
        <v>92</v>
      </c>
      <c r="CA513" s="21">
        <v>89</v>
      </c>
      <c r="CB513" s="21">
        <v>37</v>
      </c>
      <c r="CC513" s="21">
        <v>40</v>
      </c>
      <c r="CD513" s="21">
        <v>36</v>
      </c>
      <c r="CE513" s="21">
        <v>18</v>
      </c>
      <c r="CF513" s="21">
        <v>62</v>
      </c>
      <c r="CG513" s="42">
        <v>174</v>
      </c>
      <c r="CH513" s="21">
        <v>51</v>
      </c>
      <c r="CI513" s="21">
        <v>173</v>
      </c>
      <c r="CJ513" s="21">
        <v>29</v>
      </c>
      <c r="CK513" s="21">
        <v>363</v>
      </c>
      <c r="CL513" s="21">
        <v>39</v>
      </c>
      <c r="CM513" s="21">
        <v>16</v>
      </c>
      <c r="CN513" s="21">
        <v>13</v>
      </c>
      <c r="CO513" s="21">
        <v>12</v>
      </c>
      <c r="CP513" s="21">
        <f t="shared" si="717"/>
        <v>12</v>
      </c>
      <c r="CQ513" s="343">
        <f t="shared" si="718"/>
        <v>78.666666666666671</v>
      </c>
      <c r="CR513" s="40"/>
      <c r="CS513" s="39"/>
      <c r="CT513" s="38">
        <f t="shared" si="719"/>
        <v>127</v>
      </c>
      <c r="CU513" s="38">
        <f t="shared" si="720"/>
        <v>313</v>
      </c>
      <c r="CV513" s="38">
        <f t="shared" si="721"/>
        <v>342</v>
      </c>
      <c r="CW513" s="38">
        <f t="shared" si="722"/>
        <v>159</v>
      </c>
      <c r="CX513" s="38">
        <f t="shared" si="723"/>
        <v>213</v>
      </c>
      <c r="CY513" s="39">
        <f t="shared" si="724"/>
        <v>379</v>
      </c>
      <c r="CZ513" s="40">
        <f t="shared" si="725"/>
        <v>196</v>
      </c>
      <c r="DA513" s="40">
        <f t="shared" si="726"/>
        <v>235</v>
      </c>
      <c r="DB513" s="40">
        <f t="shared" si="727"/>
        <v>647</v>
      </c>
      <c r="DC513" s="40">
        <f t="shared" si="728"/>
        <v>193</v>
      </c>
      <c r="DD513" s="40">
        <f t="shared" si="729"/>
        <v>220</v>
      </c>
      <c r="DE513" s="40">
        <f t="shared" si="730"/>
        <v>224</v>
      </c>
      <c r="DF513" s="40">
        <f t="shared" si="731"/>
        <v>258</v>
      </c>
      <c r="DG513" s="40">
        <f t="shared" si="732"/>
        <v>158</v>
      </c>
      <c r="DH513" s="40">
        <f t="shared" si="733"/>
        <v>135</v>
      </c>
      <c r="DI513" s="40">
        <f t="shared" si="734"/>
        <v>118</v>
      </c>
      <c r="DJ513" s="40">
        <f t="shared" si="735"/>
        <v>228</v>
      </c>
      <c r="DK513" s="39">
        <f t="shared" si="736"/>
        <v>406</v>
      </c>
      <c r="DL513" s="40">
        <f t="shared" si="737"/>
        <v>430</v>
      </c>
      <c r="DM513" s="40">
        <f t="shared" si="738"/>
        <v>364</v>
      </c>
      <c r="DN513" s="40">
        <f t="shared" si="739"/>
        <v>244</v>
      </c>
      <c r="DO513" s="40">
        <f t="shared" si="740"/>
        <v>524</v>
      </c>
      <c r="DP513" s="40">
        <f t="shared" si="741"/>
        <v>191</v>
      </c>
      <c r="DQ513" s="40">
        <f t="shared" si="742"/>
        <v>118</v>
      </c>
      <c r="DR513" s="40">
        <f t="shared" si="747"/>
        <v>91</v>
      </c>
      <c r="DS513" s="40">
        <f t="shared" si="748"/>
        <v>128</v>
      </c>
      <c r="DT513" s="40">
        <f t="shared" si="743"/>
        <v>139</v>
      </c>
      <c r="DU513" s="40">
        <f t="shared" si="744"/>
        <v>186.66666666666669</v>
      </c>
      <c r="DV513" s="40">
        <f t="shared" si="745"/>
        <v>0</v>
      </c>
      <c r="DW513" s="40">
        <f t="shared" si="746"/>
        <v>0</v>
      </c>
    </row>
    <row r="514" spans="1:127">
      <c r="A514" s="22" t="s">
        <v>39</v>
      </c>
      <c r="B514" s="26">
        <v>4987176156587</v>
      </c>
      <c r="C514" s="22" t="s">
        <v>40</v>
      </c>
      <c r="D514" s="22" t="s">
        <v>42</v>
      </c>
      <c r="E514" s="22">
        <v>180369</v>
      </c>
      <c r="F514" s="80" t="s">
        <v>601</v>
      </c>
      <c r="G514" s="25">
        <v>260.57</v>
      </c>
      <c r="H514" s="38">
        <f t="shared" si="691"/>
        <v>26578.14</v>
      </c>
      <c r="I514" s="38">
        <f t="shared" si="692"/>
        <v>78431.569999999992</v>
      </c>
      <c r="J514" s="38">
        <f t="shared" si="693"/>
        <v>72959.599999999991</v>
      </c>
      <c r="K514" s="38">
        <f t="shared" si="694"/>
        <v>31789.54</v>
      </c>
      <c r="L514" s="38">
        <f t="shared" si="695"/>
        <v>46381.46</v>
      </c>
      <c r="M514" s="39">
        <f t="shared" si="696"/>
        <v>86769.81</v>
      </c>
      <c r="N514" s="40">
        <f t="shared" si="697"/>
        <v>45078.61</v>
      </c>
      <c r="O514" s="40">
        <f t="shared" si="698"/>
        <v>58367.68</v>
      </c>
      <c r="P514" s="40">
        <f t="shared" si="699"/>
        <v>134193.54999999999</v>
      </c>
      <c r="Q514" s="40">
        <f t="shared" si="700"/>
        <v>51853.43</v>
      </c>
      <c r="R514" s="40">
        <f t="shared" si="701"/>
        <v>48466.02</v>
      </c>
      <c r="S514" s="40">
        <f t="shared" si="702"/>
        <v>54459.13</v>
      </c>
      <c r="T514" s="40">
        <f t="shared" si="703"/>
        <v>63318.509999999995</v>
      </c>
      <c r="U514" s="40">
        <f t="shared" si="704"/>
        <v>38824.93</v>
      </c>
      <c r="V514" s="40">
        <f t="shared" si="705"/>
        <v>37000.94</v>
      </c>
      <c r="W514" s="40">
        <f t="shared" si="706"/>
        <v>28662.7</v>
      </c>
      <c r="X514" s="40">
        <f t="shared" si="707"/>
        <v>50811.15</v>
      </c>
      <c r="Y514" s="39">
        <f t="shared" si="708"/>
        <v>87812.09</v>
      </c>
      <c r="Z514" s="40">
        <f t="shared" si="709"/>
        <v>90417.79</v>
      </c>
      <c r="AA514" s="40">
        <f t="shared" si="710"/>
        <v>111002.81999999999</v>
      </c>
      <c r="AB514" s="40">
        <f t="shared" si="711"/>
        <v>62276.229999999996</v>
      </c>
      <c r="AC514" s="40">
        <f t="shared" si="712"/>
        <v>109439.4</v>
      </c>
      <c r="AD514" s="40">
        <f t="shared" si="713"/>
        <v>50029.440000000002</v>
      </c>
      <c r="AE514" s="40">
        <f t="shared" si="714"/>
        <v>32831.82</v>
      </c>
      <c r="AF514" s="40">
        <f t="shared" si="715"/>
        <v>25014.720000000001</v>
      </c>
      <c r="AG514" s="40">
        <f t="shared" si="716"/>
        <v>37261.51</v>
      </c>
      <c r="AH514" s="40">
        <f t="shared" si="749"/>
        <v>35437.519999999997</v>
      </c>
      <c r="AI514" s="40">
        <f t="shared" si="750"/>
        <v>45541.845555555556</v>
      </c>
      <c r="AJ514" s="40">
        <f t="shared" si="751"/>
        <v>0</v>
      </c>
      <c r="AK514" s="39">
        <f t="shared" si="752"/>
        <v>0</v>
      </c>
      <c r="AL514" s="38">
        <v>81</v>
      </c>
      <c r="AM514" s="38">
        <v>232</v>
      </c>
      <c r="AN514" s="38">
        <v>123</v>
      </c>
      <c r="AO514" s="38">
        <v>104</v>
      </c>
      <c r="AP514" s="38">
        <v>149</v>
      </c>
      <c r="AQ514" s="39">
        <v>223</v>
      </c>
      <c r="AR514" s="40">
        <v>149</v>
      </c>
      <c r="AS514" s="40">
        <v>189</v>
      </c>
      <c r="AT514" s="40">
        <v>239</v>
      </c>
      <c r="AU514" s="40">
        <v>147</v>
      </c>
      <c r="AV514" s="40">
        <v>123</v>
      </c>
      <c r="AW514" s="40">
        <v>147</v>
      </c>
      <c r="AX514" s="40">
        <v>224</v>
      </c>
      <c r="AY514" s="40">
        <v>119</v>
      </c>
      <c r="AZ514" s="40">
        <v>106</v>
      </c>
      <c r="BA514" s="40">
        <v>96</v>
      </c>
      <c r="BB514" s="40">
        <v>162</v>
      </c>
      <c r="BC514" s="39">
        <v>214</v>
      </c>
      <c r="BD514" s="40">
        <v>322</v>
      </c>
      <c r="BE514" s="40">
        <v>179</v>
      </c>
      <c r="BF514" s="40">
        <v>217</v>
      </c>
      <c r="BG514" s="40">
        <v>132</v>
      </c>
      <c r="BH514" s="40">
        <v>172</v>
      </c>
      <c r="BI514" s="40">
        <v>112</v>
      </c>
      <c r="BJ514" s="40">
        <v>87</v>
      </c>
      <c r="BK514" s="40">
        <v>128</v>
      </c>
      <c r="BL514" s="40">
        <v>121</v>
      </c>
      <c r="BM514" s="40">
        <v>102</v>
      </c>
      <c r="BN514" s="40"/>
      <c r="BO514" s="39"/>
      <c r="BP514" s="21">
        <v>21</v>
      </c>
      <c r="BQ514" s="21">
        <v>69</v>
      </c>
      <c r="BR514" s="21">
        <v>157</v>
      </c>
      <c r="BS514" s="21">
        <v>18</v>
      </c>
      <c r="BT514" s="21">
        <v>29</v>
      </c>
      <c r="BU514" s="42">
        <v>110</v>
      </c>
      <c r="BV514" s="21">
        <v>24</v>
      </c>
      <c r="BW514" s="21">
        <v>35</v>
      </c>
      <c r="BX514" s="21">
        <v>276</v>
      </c>
      <c r="BY514" s="21">
        <v>52</v>
      </c>
      <c r="BZ514" s="21">
        <v>63</v>
      </c>
      <c r="CA514" s="21">
        <v>62</v>
      </c>
      <c r="CB514" s="21">
        <v>19</v>
      </c>
      <c r="CC514" s="21">
        <v>30</v>
      </c>
      <c r="CD514" s="21">
        <v>36</v>
      </c>
      <c r="CE514" s="21">
        <v>14</v>
      </c>
      <c r="CF514" s="21">
        <v>33</v>
      </c>
      <c r="CG514" s="42">
        <v>123</v>
      </c>
      <c r="CH514" s="21">
        <v>25</v>
      </c>
      <c r="CI514" s="21">
        <v>247</v>
      </c>
      <c r="CJ514" s="21">
        <v>22</v>
      </c>
      <c r="CK514" s="21">
        <v>288</v>
      </c>
      <c r="CL514" s="21">
        <v>20</v>
      </c>
      <c r="CM514" s="21">
        <v>14</v>
      </c>
      <c r="CN514" s="21">
        <v>9</v>
      </c>
      <c r="CO514" s="21">
        <v>15</v>
      </c>
      <c r="CP514" s="21">
        <f t="shared" si="717"/>
        <v>15</v>
      </c>
      <c r="CQ514" s="343">
        <f t="shared" si="718"/>
        <v>72.777777777777771</v>
      </c>
      <c r="CR514" s="40"/>
      <c r="CS514" s="39"/>
      <c r="CT514" s="38">
        <f t="shared" si="719"/>
        <v>102</v>
      </c>
      <c r="CU514" s="38">
        <f t="shared" si="720"/>
        <v>301</v>
      </c>
      <c r="CV514" s="38">
        <f t="shared" si="721"/>
        <v>280</v>
      </c>
      <c r="CW514" s="38">
        <f t="shared" si="722"/>
        <v>122</v>
      </c>
      <c r="CX514" s="38">
        <f t="shared" si="723"/>
        <v>178</v>
      </c>
      <c r="CY514" s="39">
        <f t="shared" si="724"/>
        <v>333</v>
      </c>
      <c r="CZ514" s="40">
        <f t="shared" si="725"/>
        <v>173</v>
      </c>
      <c r="DA514" s="40">
        <f t="shared" si="726"/>
        <v>224</v>
      </c>
      <c r="DB514" s="40">
        <f t="shared" si="727"/>
        <v>515</v>
      </c>
      <c r="DC514" s="40">
        <f t="shared" si="728"/>
        <v>199</v>
      </c>
      <c r="DD514" s="40">
        <f t="shared" si="729"/>
        <v>186</v>
      </c>
      <c r="DE514" s="40">
        <f t="shared" si="730"/>
        <v>209</v>
      </c>
      <c r="DF514" s="40">
        <f t="shared" si="731"/>
        <v>243</v>
      </c>
      <c r="DG514" s="40">
        <f t="shared" si="732"/>
        <v>149</v>
      </c>
      <c r="DH514" s="40">
        <f t="shared" si="733"/>
        <v>142</v>
      </c>
      <c r="DI514" s="40">
        <f t="shared" si="734"/>
        <v>110</v>
      </c>
      <c r="DJ514" s="40">
        <f t="shared" si="735"/>
        <v>195</v>
      </c>
      <c r="DK514" s="39">
        <f t="shared" si="736"/>
        <v>337</v>
      </c>
      <c r="DL514" s="40">
        <f t="shared" si="737"/>
        <v>347</v>
      </c>
      <c r="DM514" s="40">
        <f t="shared" si="738"/>
        <v>426</v>
      </c>
      <c r="DN514" s="40">
        <f t="shared" si="739"/>
        <v>239</v>
      </c>
      <c r="DO514" s="40">
        <f t="shared" si="740"/>
        <v>420</v>
      </c>
      <c r="DP514" s="40">
        <f t="shared" si="741"/>
        <v>192</v>
      </c>
      <c r="DQ514" s="40">
        <f t="shared" si="742"/>
        <v>126</v>
      </c>
      <c r="DR514" s="40">
        <f t="shared" si="747"/>
        <v>96</v>
      </c>
      <c r="DS514" s="40">
        <f t="shared" si="748"/>
        <v>143</v>
      </c>
      <c r="DT514" s="40">
        <f t="shared" si="743"/>
        <v>136</v>
      </c>
      <c r="DU514" s="40">
        <f t="shared" si="744"/>
        <v>174.77777777777777</v>
      </c>
      <c r="DV514" s="40">
        <f t="shared" si="745"/>
        <v>0</v>
      </c>
      <c r="DW514" s="40">
        <f t="shared" si="746"/>
        <v>0</v>
      </c>
    </row>
    <row r="515" spans="1:127">
      <c r="A515" s="22" t="s">
        <v>39</v>
      </c>
      <c r="B515" s="26">
        <v>4987176156563</v>
      </c>
      <c r="C515" s="22" t="s">
        <v>40</v>
      </c>
      <c r="D515" s="22" t="s">
        <v>42</v>
      </c>
      <c r="E515" s="22">
        <v>180375</v>
      </c>
      <c r="F515" s="80" t="s">
        <v>602</v>
      </c>
      <c r="G515" s="25">
        <v>136.9</v>
      </c>
      <c r="H515" s="38">
        <f t="shared" ref="H515:H582" si="753">CT515*$G515</f>
        <v>502696.80000000005</v>
      </c>
      <c r="I515" s="38">
        <f t="shared" ref="I515:I582" si="754">CU515*$G515</f>
        <v>38879.599999999999</v>
      </c>
      <c r="J515" s="38">
        <f t="shared" ref="J515:J582" si="755">CV515*$G515</f>
        <v>44492.5</v>
      </c>
      <c r="K515" s="38">
        <f t="shared" ref="K515:K582" si="756">CW515*$G515</f>
        <v>141007</v>
      </c>
      <c r="L515" s="38">
        <f t="shared" ref="L515:L582" si="757">CX515*$G515</f>
        <v>145935.4</v>
      </c>
      <c r="M515" s="39">
        <f t="shared" ref="M515:M582" si="758">CY515*$G515</f>
        <v>49420.9</v>
      </c>
      <c r="N515" s="40">
        <f t="shared" ref="N515:N582" si="759">CZ515*$G515</f>
        <v>34498.800000000003</v>
      </c>
      <c r="O515" s="40">
        <f t="shared" ref="O515:O582" si="760">DA515*$G515</f>
        <v>123757.6</v>
      </c>
      <c r="P515" s="40">
        <f t="shared" ref="P515:P582" si="761">DB515*$G515</f>
        <v>89806.400000000009</v>
      </c>
      <c r="Q515" s="40">
        <f t="shared" ref="Q515:Q582" si="762">DC515*$G515</f>
        <v>41754.5</v>
      </c>
      <c r="R515" s="40">
        <f t="shared" ref="R515:R582" si="763">DD515*$G515</f>
        <v>294471.90000000002</v>
      </c>
      <c r="S515" s="40">
        <f t="shared" ref="S515:S582" si="764">DE515*$G515</f>
        <v>409057.2</v>
      </c>
      <c r="T515" s="40">
        <f t="shared" ref="T515:T582" si="765">DF515*$G515</f>
        <v>50242.3</v>
      </c>
      <c r="U515" s="40">
        <f t="shared" ref="U515:U582" si="766">DG515*$G515</f>
        <v>28749</v>
      </c>
      <c r="V515" s="40">
        <f t="shared" ref="V515:V582" si="767">DH515*$G515</f>
        <v>24505.100000000002</v>
      </c>
      <c r="W515" s="40">
        <f t="shared" ref="W515:W582" si="768">DI515*$G515</f>
        <v>247652.1</v>
      </c>
      <c r="X515" s="40">
        <f t="shared" ref="X515:X582" si="769">DJ515*$G515</f>
        <v>265312.2</v>
      </c>
      <c r="Y515" s="39">
        <f t="shared" ref="Y515:Y582" si="770">DK515*$G515</f>
        <v>38605.800000000003</v>
      </c>
      <c r="Z515" s="40">
        <f t="shared" ref="Z515:Z582" si="771">DL515*$G515</f>
        <v>38332</v>
      </c>
      <c r="AA515" s="40">
        <f t="shared" ref="AA515:AA582" si="772">DM515*$G515</f>
        <v>35046.400000000001</v>
      </c>
      <c r="AB515" s="40">
        <f t="shared" ref="AB515:AB582" si="773">DN515*$G515</f>
        <v>68450</v>
      </c>
      <c r="AC515" s="40">
        <f t="shared" ref="AC515:AC582" si="774">DO515*$G515</f>
        <v>130055</v>
      </c>
      <c r="AD515" s="40">
        <f t="shared" ref="AD515:AD582" si="775">DP515*$G515</f>
        <v>236426.30000000002</v>
      </c>
      <c r="AE515" s="40">
        <f t="shared" ref="AE515:AE582" si="776">DQ515*$G515</f>
        <v>369493.10000000003</v>
      </c>
      <c r="AF515" s="40">
        <f t="shared" ref="AF515:AF582" si="777">DR515*$G515</f>
        <v>67081</v>
      </c>
      <c r="AG515" s="40">
        <f t="shared" ref="AG515:AG582" si="778">DS515*$G515</f>
        <v>57087.3</v>
      </c>
      <c r="AH515" s="40">
        <f t="shared" si="749"/>
        <v>21630.2</v>
      </c>
      <c r="AI515" s="40">
        <f t="shared" si="750"/>
        <v>373691.36666666664</v>
      </c>
      <c r="AJ515" s="40">
        <f t="shared" si="751"/>
        <v>0</v>
      </c>
      <c r="AK515" s="39">
        <f t="shared" si="752"/>
        <v>0</v>
      </c>
      <c r="AL515" s="38">
        <v>3376</v>
      </c>
      <c r="AM515" s="38">
        <v>262</v>
      </c>
      <c r="AN515" s="38">
        <v>284</v>
      </c>
      <c r="AO515" s="38">
        <v>932</v>
      </c>
      <c r="AP515" s="38">
        <v>951</v>
      </c>
      <c r="AQ515" s="39">
        <v>341</v>
      </c>
      <c r="AR515" s="40">
        <v>236</v>
      </c>
      <c r="AS515" s="40">
        <v>837</v>
      </c>
      <c r="AT515" s="40">
        <v>521</v>
      </c>
      <c r="AU515" s="40">
        <v>274</v>
      </c>
      <c r="AV515" s="40">
        <v>1937</v>
      </c>
      <c r="AW515" s="40">
        <v>2986</v>
      </c>
      <c r="AX515" s="40">
        <v>350</v>
      </c>
      <c r="AY515" s="40">
        <v>193</v>
      </c>
      <c r="AZ515" s="40">
        <v>171</v>
      </c>
      <c r="BA515" s="40">
        <v>1701</v>
      </c>
      <c r="BB515" s="40">
        <v>1920</v>
      </c>
      <c r="BC515" s="39">
        <v>278</v>
      </c>
      <c r="BD515" s="40">
        <v>270</v>
      </c>
      <c r="BE515" s="40">
        <v>246</v>
      </c>
      <c r="BF515" s="40">
        <v>356</v>
      </c>
      <c r="BG515" s="40">
        <v>944</v>
      </c>
      <c r="BH515" s="40">
        <v>1541</v>
      </c>
      <c r="BI515" s="40">
        <v>2678</v>
      </c>
      <c r="BJ515" s="40">
        <v>378</v>
      </c>
      <c r="BK515" s="40">
        <v>411</v>
      </c>
      <c r="BL515" s="40">
        <v>152</v>
      </c>
      <c r="BM515" s="40">
        <v>2674</v>
      </c>
      <c r="BN515" s="40"/>
      <c r="BO515" s="39"/>
      <c r="BP515" s="21">
        <v>296</v>
      </c>
      <c r="BQ515" s="21">
        <v>22</v>
      </c>
      <c r="BR515" s="21">
        <v>41</v>
      </c>
      <c r="BS515" s="21">
        <v>98</v>
      </c>
      <c r="BT515" s="21">
        <v>115</v>
      </c>
      <c r="BU515" s="42">
        <v>20</v>
      </c>
      <c r="BV515" s="21">
        <v>16</v>
      </c>
      <c r="BW515" s="21">
        <v>67</v>
      </c>
      <c r="BX515" s="21">
        <v>135</v>
      </c>
      <c r="BY515" s="21">
        <v>31</v>
      </c>
      <c r="BZ515" s="21">
        <v>214</v>
      </c>
      <c r="CA515" s="21">
        <v>2</v>
      </c>
      <c r="CB515" s="21">
        <v>17</v>
      </c>
      <c r="CC515" s="21">
        <v>17</v>
      </c>
      <c r="CD515" s="21">
        <v>8</v>
      </c>
      <c r="CE515" s="21">
        <v>108</v>
      </c>
      <c r="CF515" s="21">
        <v>18</v>
      </c>
      <c r="CG515" s="42">
        <v>4</v>
      </c>
      <c r="CH515" s="21">
        <v>10</v>
      </c>
      <c r="CI515" s="21">
        <v>10</v>
      </c>
      <c r="CJ515" s="21">
        <v>144</v>
      </c>
      <c r="CK515" s="21">
        <v>6</v>
      </c>
      <c r="CL515" s="21">
        <v>186</v>
      </c>
      <c r="CM515" s="21">
        <v>21</v>
      </c>
      <c r="CN515" s="21">
        <v>112</v>
      </c>
      <c r="CO515" s="21">
        <v>6</v>
      </c>
      <c r="CP515" s="21">
        <f t="shared" si="717"/>
        <v>6</v>
      </c>
      <c r="CQ515" s="343">
        <f t="shared" si="718"/>
        <v>55.666666666666664</v>
      </c>
      <c r="CR515" s="40"/>
      <c r="CS515" s="39"/>
      <c r="CT515" s="38">
        <f t="shared" si="719"/>
        <v>3672</v>
      </c>
      <c r="CU515" s="38">
        <f t="shared" si="720"/>
        <v>284</v>
      </c>
      <c r="CV515" s="38">
        <f t="shared" si="721"/>
        <v>325</v>
      </c>
      <c r="CW515" s="38">
        <f t="shared" si="722"/>
        <v>1030</v>
      </c>
      <c r="CX515" s="38">
        <f t="shared" si="723"/>
        <v>1066</v>
      </c>
      <c r="CY515" s="39">
        <f t="shared" si="724"/>
        <v>361</v>
      </c>
      <c r="CZ515" s="40">
        <f t="shared" si="725"/>
        <v>252</v>
      </c>
      <c r="DA515" s="40">
        <f t="shared" si="726"/>
        <v>904</v>
      </c>
      <c r="DB515" s="40">
        <f t="shared" si="727"/>
        <v>656</v>
      </c>
      <c r="DC515" s="40">
        <f t="shared" si="728"/>
        <v>305</v>
      </c>
      <c r="DD515" s="40">
        <f t="shared" si="729"/>
        <v>2151</v>
      </c>
      <c r="DE515" s="40">
        <f t="shared" si="730"/>
        <v>2988</v>
      </c>
      <c r="DF515" s="40">
        <f t="shared" si="731"/>
        <v>367</v>
      </c>
      <c r="DG515" s="40">
        <f t="shared" si="732"/>
        <v>210</v>
      </c>
      <c r="DH515" s="40">
        <f t="shared" si="733"/>
        <v>179</v>
      </c>
      <c r="DI515" s="40">
        <f t="shared" si="734"/>
        <v>1809</v>
      </c>
      <c r="DJ515" s="40">
        <f t="shared" si="735"/>
        <v>1938</v>
      </c>
      <c r="DK515" s="39">
        <f t="shared" si="736"/>
        <v>282</v>
      </c>
      <c r="DL515" s="40">
        <f t="shared" si="737"/>
        <v>280</v>
      </c>
      <c r="DM515" s="40">
        <f t="shared" si="738"/>
        <v>256</v>
      </c>
      <c r="DN515" s="40">
        <f t="shared" si="739"/>
        <v>500</v>
      </c>
      <c r="DO515" s="40">
        <f t="shared" si="740"/>
        <v>950</v>
      </c>
      <c r="DP515" s="40">
        <f t="shared" si="741"/>
        <v>1727</v>
      </c>
      <c r="DQ515" s="40">
        <f t="shared" si="742"/>
        <v>2699</v>
      </c>
      <c r="DR515" s="40">
        <f t="shared" si="747"/>
        <v>490</v>
      </c>
      <c r="DS515" s="40">
        <f t="shared" si="748"/>
        <v>417</v>
      </c>
      <c r="DT515" s="40">
        <f t="shared" si="743"/>
        <v>158</v>
      </c>
      <c r="DU515" s="40">
        <f t="shared" si="744"/>
        <v>2729.6666666666665</v>
      </c>
      <c r="DV515" s="40">
        <f t="shared" si="745"/>
        <v>0</v>
      </c>
      <c r="DW515" s="40">
        <f t="shared" si="746"/>
        <v>0</v>
      </c>
    </row>
    <row r="516" spans="1:127">
      <c r="A516" s="22" t="s">
        <v>39</v>
      </c>
      <c r="B516" s="26">
        <v>4987176156570</v>
      </c>
      <c r="C516" s="22" t="s">
        <v>40</v>
      </c>
      <c r="D516" s="22" t="s">
        <v>42</v>
      </c>
      <c r="E516" s="22">
        <v>180387</v>
      </c>
      <c r="F516" s="80" t="s">
        <v>603</v>
      </c>
      <c r="G516" s="25">
        <v>136.9</v>
      </c>
      <c r="H516" s="38">
        <f t="shared" si="753"/>
        <v>516660.60000000003</v>
      </c>
      <c r="I516" s="38">
        <f t="shared" si="754"/>
        <v>45861.5</v>
      </c>
      <c r="J516" s="38">
        <f t="shared" si="755"/>
        <v>45724.6</v>
      </c>
      <c r="K516" s="38">
        <f t="shared" si="756"/>
        <v>164827.6</v>
      </c>
      <c r="L516" s="38">
        <f t="shared" si="757"/>
        <v>163732.4</v>
      </c>
      <c r="M516" s="39">
        <f t="shared" si="758"/>
        <v>51611.3</v>
      </c>
      <c r="N516" s="40">
        <f t="shared" si="759"/>
        <v>36552.300000000003</v>
      </c>
      <c r="O516" s="40">
        <f t="shared" si="760"/>
        <v>136078.6</v>
      </c>
      <c r="P516" s="40">
        <f t="shared" si="761"/>
        <v>92133.7</v>
      </c>
      <c r="Q516" s="40">
        <f t="shared" si="762"/>
        <v>53527.9</v>
      </c>
      <c r="R516" s="40">
        <f t="shared" si="763"/>
        <v>313364.10000000003</v>
      </c>
      <c r="S516" s="40">
        <f t="shared" si="764"/>
        <v>370177.60000000003</v>
      </c>
      <c r="T516" s="40">
        <f t="shared" si="765"/>
        <v>50789.9</v>
      </c>
      <c r="U516" s="40">
        <f t="shared" si="766"/>
        <v>31350.100000000002</v>
      </c>
      <c r="V516" s="40">
        <f t="shared" si="767"/>
        <v>22725.4</v>
      </c>
      <c r="W516" s="40">
        <f t="shared" si="768"/>
        <v>263806.3</v>
      </c>
      <c r="X516" s="40">
        <f t="shared" si="769"/>
        <v>272020.3</v>
      </c>
      <c r="Y516" s="39">
        <f t="shared" si="770"/>
        <v>39837.9</v>
      </c>
      <c r="Z516" s="40">
        <f t="shared" si="771"/>
        <v>48873.3</v>
      </c>
      <c r="AA516" s="40">
        <f t="shared" si="772"/>
        <v>38742.700000000004</v>
      </c>
      <c r="AB516" s="40">
        <f t="shared" si="773"/>
        <v>69134.5</v>
      </c>
      <c r="AC516" s="40">
        <f t="shared" si="774"/>
        <v>114448.40000000001</v>
      </c>
      <c r="AD516" s="40">
        <f t="shared" si="775"/>
        <v>220545.90000000002</v>
      </c>
      <c r="AE516" s="40">
        <f t="shared" si="776"/>
        <v>344851.10000000003</v>
      </c>
      <c r="AF516" s="40">
        <f t="shared" si="777"/>
        <v>82961.400000000009</v>
      </c>
      <c r="AG516" s="40">
        <f t="shared" si="778"/>
        <v>56402.8</v>
      </c>
      <c r="AH516" s="40">
        <f t="shared" si="749"/>
        <v>22314.7</v>
      </c>
      <c r="AI516" s="40">
        <f t="shared" si="750"/>
        <v>346661.22222222225</v>
      </c>
      <c r="AJ516" s="40">
        <f t="shared" si="751"/>
        <v>0</v>
      </c>
      <c r="AK516" s="39">
        <f t="shared" si="752"/>
        <v>0</v>
      </c>
      <c r="AL516" s="38">
        <v>3385</v>
      </c>
      <c r="AM516" s="38">
        <v>304</v>
      </c>
      <c r="AN516" s="38">
        <v>270</v>
      </c>
      <c r="AO516" s="38">
        <v>1056</v>
      </c>
      <c r="AP516" s="38">
        <v>988</v>
      </c>
      <c r="AQ516" s="39">
        <v>331</v>
      </c>
      <c r="AR516" s="40">
        <v>242</v>
      </c>
      <c r="AS516" s="40">
        <v>921</v>
      </c>
      <c r="AT516" s="40">
        <v>519</v>
      </c>
      <c r="AU516" s="40">
        <v>332</v>
      </c>
      <c r="AV516" s="40">
        <v>1931</v>
      </c>
      <c r="AW516" s="40">
        <v>2682</v>
      </c>
      <c r="AX516" s="40">
        <v>352</v>
      </c>
      <c r="AY516" s="40">
        <v>209</v>
      </c>
      <c r="AZ516" s="40">
        <v>152</v>
      </c>
      <c r="BA516" s="40">
        <v>1736</v>
      </c>
      <c r="BB516" s="40">
        <v>1954</v>
      </c>
      <c r="BC516" s="39">
        <v>270</v>
      </c>
      <c r="BD516" s="40">
        <v>350</v>
      </c>
      <c r="BE516" s="40">
        <v>273</v>
      </c>
      <c r="BF516" s="40">
        <v>329</v>
      </c>
      <c r="BG516" s="40">
        <v>826</v>
      </c>
      <c r="BH516" s="40">
        <v>1359</v>
      </c>
      <c r="BI516" s="40">
        <v>2495</v>
      </c>
      <c r="BJ516" s="40">
        <v>474</v>
      </c>
      <c r="BK516" s="40">
        <v>406</v>
      </c>
      <c r="BL516" s="40">
        <v>157</v>
      </c>
      <c r="BM516" s="40">
        <v>2463</v>
      </c>
      <c r="BN516" s="40"/>
      <c r="BO516" s="39"/>
      <c r="BP516" s="21">
        <v>389</v>
      </c>
      <c r="BQ516" s="21">
        <v>31</v>
      </c>
      <c r="BR516" s="21">
        <v>64</v>
      </c>
      <c r="BS516" s="21">
        <v>148</v>
      </c>
      <c r="BT516" s="21">
        <v>208</v>
      </c>
      <c r="BU516" s="42">
        <v>46</v>
      </c>
      <c r="BV516" s="21">
        <v>25</v>
      </c>
      <c r="BW516" s="21">
        <v>73</v>
      </c>
      <c r="BX516" s="21">
        <v>154</v>
      </c>
      <c r="BY516" s="21">
        <v>59</v>
      </c>
      <c r="BZ516" s="21">
        <v>358</v>
      </c>
      <c r="CA516" s="21">
        <v>22</v>
      </c>
      <c r="CB516" s="21">
        <v>19</v>
      </c>
      <c r="CC516" s="21">
        <v>20</v>
      </c>
      <c r="CD516" s="21">
        <v>14</v>
      </c>
      <c r="CE516" s="21">
        <v>191</v>
      </c>
      <c r="CF516" s="21">
        <v>33</v>
      </c>
      <c r="CG516" s="42">
        <v>21</v>
      </c>
      <c r="CH516" s="21">
        <v>7</v>
      </c>
      <c r="CI516" s="21">
        <v>10</v>
      </c>
      <c r="CJ516" s="21">
        <v>176</v>
      </c>
      <c r="CK516" s="21">
        <v>10</v>
      </c>
      <c r="CL516" s="21">
        <v>252</v>
      </c>
      <c r="CM516" s="21">
        <v>24</v>
      </c>
      <c r="CN516" s="21">
        <v>132</v>
      </c>
      <c r="CO516" s="21">
        <v>6</v>
      </c>
      <c r="CP516" s="21">
        <f t="shared" si="717"/>
        <v>6</v>
      </c>
      <c r="CQ516" s="343">
        <f t="shared" si="718"/>
        <v>69.222222222222229</v>
      </c>
      <c r="CR516" s="40"/>
      <c r="CS516" s="39"/>
      <c r="CT516" s="38">
        <f t="shared" si="719"/>
        <v>3774</v>
      </c>
      <c r="CU516" s="38">
        <f t="shared" si="720"/>
        <v>335</v>
      </c>
      <c r="CV516" s="38">
        <f t="shared" si="721"/>
        <v>334</v>
      </c>
      <c r="CW516" s="38">
        <f t="shared" si="722"/>
        <v>1204</v>
      </c>
      <c r="CX516" s="38">
        <f t="shared" si="723"/>
        <v>1196</v>
      </c>
      <c r="CY516" s="39">
        <f t="shared" si="724"/>
        <v>377</v>
      </c>
      <c r="CZ516" s="40">
        <f t="shared" si="725"/>
        <v>267</v>
      </c>
      <c r="DA516" s="40">
        <f t="shared" si="726"/>
        <v>994</v>
      </c>
      <c r="DB516" s="40">
        <f t="shared" si="727"/>
        <v>673</v>
      </c>
      <c r="DC516" s="40">
        <f t="shared" si="728"/>
        <v>391</v>
      </c>
      <c r="DD516" s="40">
        <f t="shared" si="729"/>
        <v>2289</v>
      </c>
      <c r="DE516" s="40">
        <f t="shared" si="730"/>
        <v>2704</v>
      </c>
      <c r="DF516" s="40">
        <f t="shared" si="731"/>
        <v>371</v>
      </c>
      <c r="DG516" s="40">
        <f t="shared" si="732"/>
        <v>229</v>
      </c>
      <c r="DH516" s="40">
        <f t="shared" si="733"/>
        <v>166</v>
      </c>
      <c r="DI516" s="40">
        <f t="shared" si="734"/>
        <v>1927</v>
      </c>
      <c r="DJ516" s="40">
        <f t="shared" si="735"/>
        <v>1987</v>
      </c>
      <c r="DK516" s="39">
        <f t="shared" si="736"/>
        <v>291</v>
      </c>
      <c r="DL516" s="40">
        <f t="shared" si="737"/>
        <v>357</v>
      </c>
      <c r="DM516" s="40">
        <f t="shared" si="738"/>
        <v>283</v>
      </c>
      <c r="DN516" s="40">
        <f t="shared" si="739"/>
        <v>505</v>
      </c>
      <c r="DO516" s="40">
        <f t="shared" si="740"/>
        <v>836</v>
      </c>
      <c r="DP516" s="40">
        <f t="shared" si="741"/>
        <v>1611</v>
      </c>
      <c r="DQ516" s="40">
        <f t="shared" si="742"/>
        <v>2519</v>
      </c>
      <c r="DR516" s="40">
        <f t="shared" si="747"/>
        <v>606</v>
      </c>
      <c r="DS516" s="40">
        <f t="shared" si="748"/>
        <v>412</v>
      </c>
      <c r="DT516" s="40">
        <f t="shared" si="743"/>
        <v>163</v>
      </c>
      <c r="DU516" s="40">
        <f t="shared" si="744"/>
        <v>2532.2222222222222</v>
      </c>
      <c r="DV516" s="40">
        <f t="shared" si="745"/>
        <v>0</v>
      </c>
      <c r="DW516" s="40">
        <f t="shared" si="746"/>
        <v>0</v>
      </c>
    </row>
    <row r="517" spans="1:127">
      <c r="A517" s="22" t="s">
        <v>39</v>
      </c>
      <c r="B517" s="26">
        <v>4902430341479</v>
      </c>
      <c r="C517" s="22" t="s">
        <v>40</v>
      </c>
      <c r="D517" s="22" t="s">
        <v>41</v>
      </c>
      <c r="E517" s="22">
        <v>429278</v>
      </c>
      <c r="F517" s="80" t="s">
        <v>604</v>
      </c>
      <c r="G517" s="25">
        <v>157.02500000000001</v>
      </c>
      <c r="H517" s="38">
        <f t="shared" si="753"/>
        <v>10991.75</v>
      </c>
      <c r="I517" s="38">
        <f t="shared" si="754"/>
        <v>17900.850000000002</v>
      </c>
      <c r="J517" s="38">
        <f t="shared" si="755"/>
        <v>28892.600000000002</v>
      </c>
      <c r="K517" s="38">
        <f t="shared" si="756"/>
        <v>23867.8</v>
      </c>
      <c r="L517" s="38">
        <f t="shared" si="757"/>
        <v>33603.35</v>
      </c>
      <c r="M517" s="39">
        <f t="shared" si="758"/>
        <v>39570.300000000003</v>
      </c>
      <c r="N517" s="40">
        <f t="shared" si="759"/>
        <v>8479.35</v>
      </c>
      <c r="O517" s="40">
        <f t="shared" si="760"/>
        <v>12404.975</v>
      </c>
      <c r="P517" s="40">
        <f t="shared" si="761"/>
        <v>12562</v>
      </c>
      <c r="Q517" s="40">
        <f t="shared" si="762"/>
        <v>23396.725000000002</v>
      </c>
      <c r="R517" s="40">
        <f t="shared" si="763"/>
        <v>34702.525000000001</v>
      </c>
      <c r="S517" s="40">
        <f t="shared" si="764"/>
        <v>31090.95</v>
      </c>
      <c r="T517" s="40">
        <f t="shared" si="765"/>
        <v>22454.575000000001</v>
      </c>
      <c r="U517" s="40">
        <f t="shared" si="766"/>
        <v>27322.350000000002</v>
      </c>
      <c r="V517" s="40">
        <f t="shared" si="767"/>
        <v>21512.424999999999</v>
      </c>
      <c r="W517" s="40">
        <f t="shared" si="768"/>
        <v>12876.050000000001</v>
      </c>
      <c r="X517" s="40">
        <f t="shared" si="769"/>
        <v>14446.300000000001</v>
      </c>
      <c r="Y517" s="39">
        <f t="shared" si="770"/>
        <v>11462.825000000001</v>
      </c>
      <c r="Z517" s="40">
        <f t="shared" si="771"/>
        <v>14917.375</v>
      </c>
      <c r="AA517" s="40">
        <f t="shared" si="772"/>
        <v>10834.725</v>
      </c>
      <c r="AB517" s="40">
        <f t="shared" si="773"/>
        <v>6438.0250000000005</v>
      </c>
      <c r="AC517" s="40">
        <f t="shared" si="774"/>
        <v>3297.5250000000001</v>
      </c>
      <c r="AD517" s="40">
        <f t="shared" si="775"/>
        <v>1727.2750000000001</v>
      </c>
      <c r="AE517" s="40">
        <f t="shared" si="776"/>
        <v>157.02500000000001</v>
      </c>
      <c r="AF517" s="40">
        <f t="shared" si="777"/>
        <v>0</v>
      </c>
      <c r="AG517" s="40">
        <f t="shared" si="778"/>
        <v>0</v>
      </c>
      <c r="AH517" s="40">
        <f t="shared" si="749"/>
        <v>0</v>
      </c>
      <c r="AI517" s="40">
        <f t="shared" si="750"/>
        <v>1343.4361111111111</v>
      </c>
      <c r="AJ517" s="40">
        <f t="shared" si="751"/>
        <v>0</v>
      </c>
      <c r="AK517" s="39">
        <f t="shared" si="752"/>
        <v>0</v>
      </c>
      <c r="AL517" s="38">
        <v>55</v>
      </c>
      <c r="AM517" s="38">
        <v>90</v>
      </c>
      <c r="AN517" s="38">
        <v>135</v>
      </c>
      <c r="AO517" s="38">
        <v>125</v>
      </c>
      <c r="AP517" s="38">
        <v>170</v>
      </c>
      <c r="AQ517" s="39">
        <v>180</v>
      </c>
      <c r="AR517" s="40">
        <v>38</v>
      </c>
      <c r="AS517" s="40">
        <v>64</v>
      </c>
      <c r="AT517" s="40">
        <v>64</v>
      </c>
      <c r="AU517" s="40">
        <v>125</v>
      </c>
      <c r="AV517" s="40">
        <v>185</v>
      </c>
      <c r="AW517" s="40">
        <v>187</v>
      </c>
      <c r="AX517" s="40">
        <v>125</v>
      </c>
      <c r="AY517" s="40">
        <v>144</v>
      </c>
      <c r="AZ517" s="40">
        <v>106</v>
      </c>
      <c r="BA517" s="40">
        <v>72</v>
      </c>
      <c r="BB517" s="40">
        <v>64</v>
      </c>
      <c r="BC517" s="39">
        <v>42</v>
      </c>
      <c r="BD517" s="40">
        <v>77</v>
      </c>
      <c r="BE517" s="40">
        <v>29</v>
      </c>
      <c r="BF517" s="40">
        <v>31</v>
      </c>
      <c r="BG517" s="40">
        <v>21</v>
      </c>
      <c r="BH517" s="40">
        <v>11</v>
      </c>
      <c r="BI517" s="40">
        <v>1</v>
      </c>
      <c r="BJ517" s="40">
        <v>0</v>
      </c>
      <c r="BK517" s="40">
        <v>0</v>
      </c>
      <c r="BL517" s="40">
        <v>0</v>
      </c>
      <c r="BM517" s="40">
        <v>1</v>
      </c>
      <c r="BN517" s="40"/>
      <c r="BO517" s="39"/>
      <c r="BP517" s="21">
        <v>15</v>
      </c>
      <c r="BQ517" s="21">
        <v>24</v>
      </c>
      <c r="BR517" s="21">
        <v>49</v>
      </c>
      <c r="BS517" s="21">
        <v>27</v>
      </c>
      <c r="BT517" s="21">
        <v>44</v>
      </c>
      <c r="BU517" s="42">
        <v>72</v>
      </c>
      <c r="BV517" s="21">
        <v>16</v>
      </c>
      <c r="BW517" s="21">
        <v>15</v>
      </c>
      <c r="BX517" s="21">
        <v>16</v>
      </c>
      <c r="BY517" s="21">
        <v>24</v>
      </c>
      <c r="BZ517" s="21">
        <v>36</v>
      </c>
      <c r="CA517" s="21">
        <v>11</v>
      </c>
      <c r="CB517" s="21">
        <v>18</v>
      </c>
      <c r="CC517" s="21">
        <v>30</v>
      </c>
      <c r="CD517" s="21">
        <v>31</v>
      </c>
      <c r="CE517" s="21">
        <v>10</v>
      </c>
      <c r="CF517" s="21">
        <v>28</v>
      </c>
      <c r="CG517" s="42">
        <v>31</v>
      </c>
      <c r="CH517" s="21">
        <v>18</v>
      </c>
      <c r="CI517" s="21">
        <v>40</v>
      </c>
      <c r="CJ517" s="21">
        <v>10</v>
      </c>
      <c r="CK517" s="21">
        <v>0</v>
      </c>
      <c r="CL517" s="21">
        <v>0</v>
      </c>
      <c r="CM517" s="21">
        <v>0</v>
      </c>
      <c r="CN517" s="21">
        <v>0</v>
      </c>
      <c r="CO517" s="21">
        <v>0</v>
      </c>
      <c r="CP517" s="21">
        <f t="shared" ref="CP517:CP580" si="779">CO517</f>
        <v>0</v>
      </c>
      <c r="CQ517" s="343">
        <f t="shared" ref="CQ517:CQ580" si="780">AVERAGE(CH517:CP517)</f>
        <v>7.5555555555555554</v>
      </c>
      <c r="CR517" s="40"/>
      <c r="CS517" s="39"/>
      <c r="CT517" s="38">
        <f t="shared" si="719"/>
        <v>70</v>
      </c>
      <c r="CU517" s="38">
        <f t="shared" si="720"/>
        <v>114</v>
      </c>
      <c r="CV517" s="38">
        <f t="shared" si="721"/>
        <v>184</v>
      </c>
      <c r="CW517" s="38">
        <f t="shared" si="722"/>
        <v>152</v>
      </c>
      <c r="CX517" s="38">
        <f t="shared" si="723"/>
        <v>214</v>
      </c>
      <c r="CY517" s="39">
        <f t="shared" si="724"/>
        <v>252</v>
      </c>
      <c r="CZ517" s="40">
        <f t="shared" si="725"/>
        <v>54</v>
      </c>
      <c r="DA517" s="40">
        <f t="shared" si="726"/>
        <v>79</v>
      </c>
      <c r="DB517" s="40">
        <f t="shared" si="727"/>
        <v>80</v>
      </c>
      <c r="DC517" s="40">
        <f t="shared" si="728"/>
        <v>149</v>
      </c>
      <c r="DD517" s="40">
        <f t="shared" si="729"/>
        <v>221</v>
      </c>
      <c r="DE517" s="40">
        <f t="shared" si="730"/>
        <v>198</v>
      </c>
      <c r="DF517" s="40">
        <f t="shared" si="731"/>
        <v>143</v>
      </c>
      <c r="DG517" s="40">
        <f t="shared" si="732"/>
        <v>174</v>
      </c>
      <c r="DH517" s="40">
        <f t="shared" si="733"/>
        <v>137</v>
      </c>
      <c r="DI517" s="40">
        <f t="shared" si="734"/>
        <v>82</v>
      </c>
      <c r="DJ517" s="40">
        <f t="shared" si="735"/>
        <v>92</v>
      </c>
      <c r="DK517" s="39">
        <f t="shared" si="736"/>
        <v>73</v>
      </c>
      <c r="DL517" s="40">
        <f t="shared" si="737"/>
        <v>95</v>
      </c>
      <c r="DM517" s="40">
        <f t="shared" si="738"/>
        <v>69</v>
      </c>
      <c r="DN517" s="40">
        <f t="shared" si="739"/>
        <v>41</v>
      </c>
      <c r="DO517" s="40">
        <f t="shared" si="740"/>
        <v>21</v>
      </c>
      <c r="DP517" s="40">
        <f t="shared" si="741"/>
        <v>11</v>
      </c>
      <c r="DQ517" s="40">
        <f t="shared" si="742"/>
        <v>1</v>
      </c>
      <c r="DR517" s="40">
        <f t="shared" si="747"/>
        <v>0</v>
      </c>
      <c r="DS517" s="40">
        <f t="shared" si="748"/>
        <v>0</v>
      </c>
      <c r="DT517" s="40">
        <f t="shared" si="743"/>
        <v>0</v>
      </c>
      <c r="DU517" s="40">
        <f t="shared" si="744"/>
        <v>8.5555555555555554</v>
      </c>
      <c r="DV517" s="40">
        <f t="shared" si="745"/>
        <v>0</v>
      </c>
      <c r="DW517" s="40">
        <f t="shared" si="746"/>
        <v>0</v>
      </c>
    </row>
    <row r="518" spans="1:127">
      <c r="A518" s="22" t="s">
        <v>39</v>
      </c>
      <c r="B518" s="26">
        <v>4902430877701</v>
      </c>
      <c r="C518" s="22" t="s">
        <v>40</v>
      </c>
      <c r="D518" s="22" t="s">
        <v>41</v>
      </c>
      <c r="E518" s="22">
        <v>429281</v>
      </c>
      <c r="F518" s="80" t="s">
        <v>605</v>
      </c>
      <c r="G518" s="25">
        <v>157.02500000000001</v>
      </c>
      <c r="H518" s="38">
        <f t="shared" si="753"/>
        <v>7380.1750000000002</v>
      </c>
      <c r="I518" s="38">
        <f t="shared" si="754"/>
        <v>16173.575000000001</v>
      </c>
      <c r="J518" s="38">
        <f t="shared" si="755"/>
        <v>25909.125</v>
      </c>
      <c r="K518" s="38">
        <f t="shared" si="756"/>
        <v>21826.475000000002</v>
      </c>
      <c r="L518" s="38">
        <f t="shared" si="757"/>
        <v>37371.950000000004</v>
      </c>
      <c r="M518" s="39">
        <f t="shared" si="758"/>
        <v>35487.65</v>
      </c>
      <c r="N518" s="40">
        <f t="shared" si="759"/>
        <v>10049.6</v>
      </c>
      <c r="O518" s="40">
        <f t="shared" si="760"/>
        <v>19000.025000000001</v>
      </c>
      <c r="P518" s="40">
        <f t="shared" si="761"/>
        <v>10363.65</v>
      </c>
      <c r="Q518" s="40">
        <f t="shared" si="762"/>
        <v>18843</v>
      </c>
      <c r="R518" s="40">
        <f t="shared" si="763"/>
        <v>36115.75</v>
      </c>
      <c r="S518" s="40">
        <f t="shared" si="764"/>
        <v>43809.974999999999</v>
      </c>
      <c r="T518" s="40">
        <f t="shared" si="765"/>
        <v>28264.5</v>
      </c>
      <c r="U518" s="40">
        <f t="shared" si="766"/>
        <v>29049.625</v>
      </c>
      <c r="V518" s="40">
        <f t="shared" si="767"/>
        <v>22140.525000000001</v>
      </c>
      <c r="W518" s="40">
        <f t="shared" si="768"/>
        <v>20413.25</v>
      </c>
      <c r="X518" s="40">
        <f t="shared" si="769"/>
        <v>21198.375</v>
      </c>
      <c r="Y518" s="39">
        <f t="shared" si="770"/>
        <v>25752.100000000002</v>
      </c>
      <c r="Z518" s="40">
        <f t="shared" si="771"/>
        <v>40669.474999999999</v>
      </c>
      <c r="AA518" s="40">
        <f t="shared" si="772"/>
        <v>23867.8</v>
      </c>
      <c r="AB518" s="40">
        <f t="shared" si="773"/>
        <v>25124</v>
      </c>
      <c r="AC518" s="40">
        <f t="shared" si="774"/>
        <v>16330.6</v>
      </c>
      <c r="AD518" s="40">
        <f t="shared" si="775"/>
        <v>9107.4500000000007</v>
      </c>
      <c r="AE518" s="40">
        <f t="shared" si="776"/>
        <v>2826.4500000000003</v>
      </c>
      <c r="AF518" s="40">
        <f t="shared" si="777"/>
        <v>471.07500000000005</v>
      </c>
      <c r="AG518" s="40">
        <f t="shared" si="778"/>
        <v>0</v>
      </c>
      <c r="AH518" s="40">
        <f t="shared" si="749"/>
        <v>0</v>
      </c>
      <c r="AI518" s="40">
        <f t="shared" si="750"/>
        <v>785.125</v>
      </c>
      <c r="AJ518" s="40">
        <f t="shared" si="751"/>
        <v>0</v>
      </c>
      <c r="AK518" s="39">
        <f t="shared" si="752"/>
        <v>0</v>
      </c>
      <c r="AL518" s="38">
        <v>42</v>
      </c>
      <c r="AM518" s="38">
        <v>88</v>
      </c>
      <c r="AN518" s="38">
        <v>137</v>
      </c>
      <c r="AO518" s="38">
        <v>124</v>
      </c>
      <c r="AP518" s="38">
        <v>216</v>
      </c>
      <c r="AQ518" s="39">
        <v>165</v>
      </c>
      <c r="AR518" s="40">
        <v>60</v>
      </c>
      <c r="AS518" s="40">
        <v>111</v>
      </c>
      <c r="AT518" s="40">
        <v>60</v>
      </c>
      <c r="AU518" s="40">
        <v>104</v>
      </c>
      <c r="AV518" s="40">
        <v>204</v>
      </c>
      <c r="AW518" s="40">
        <v>267</v>
      </c>
      <c r="AX518" s="40">
        <v>164</v>
      </c>
      <c r="AY518" s="40">
        <v>151</v>
      </c>
      <c r="AZ518" s="40">
        <v>127</v>
      </c>
      <c r="BA518" s="40">
        <v>115</v>
      </c>
      <c r="BB518" s="40">
        <v>113</v>
      </c>
      <c r="BC518" s="39">
        <v>132</v>
      </c>
      <c r="BD518" s="40">
        <v>247</v>
      </c>
      <c r="BE518" s="40">
        <v>128</v>
      </c>
      <c r="BF518" s="40">
        <v>160</v>
      </c>
      <c r="BG518" s="40">
        <v>104</v>
      </c>
      <c r="BH518" s="40">
        <v>58</v>
      </c>
      <c r="BI518" s="40">
        <v>18</v>
      </c>
      <c r="BJ518" s="40">
        <v>3</v>
      </c>
      <c r="BK518" s="40">
        <v>0</v>
      </c>
      <c r="BL518" s="40">
        <v>0</v>
      </c>
      <c r="BM518" s="40">
        <v>1</v>
      </c>
      <c r="BN518" s="40"/>
      <c r="BO518" s="39"/>
      <c r="BP518" s="21">
        <v>5</v>
      </c>
      <c r="BQ518" s="21">
        <v>15</v>
      </c>
      <c r="BR518" s="21">
        <v>28</v>
      </c>
      <c r="BS518" s="21">
        <v>15</v>
      </c>
      <c r="BT518" s="21">
        <v>22</v>
      </c>
      <c r="BU518" s="42">
        <v>61</v>
      </c>
      <c r="BV518" s="21">
        <v>4</v>
      </c>
      <c r="BW518" s="21">
        <v>10</v>
      </c>
      <c r="BX518" s="21">
        <v>6</v>
      </c>
      <c r="BY518" s="21">
        <v>16</v>
      </c>
      <c r="BZ518" s="21">
        <v>26</v>
      </c>
      <c r="CA518" s="21">
        <v>12</v>
      </c>
      <c r="CB518" s="21">
        <v>16</v>
      </c>
      <c r="CC518" s="21">
        <v>34</v>
      </c>
      <c r="CD518" s="21">
        <v>14</v>
      </c>
      <c r="CE518" s="21">
        <v>15</v>
      </c>
      <c r="CF518" s="21">
        <v>22</v>
      </c>
      <c r="CG518" s="42">
        <v>32</v>
      </c>
      <c r="CH518" s="21">
        <v>12</v>
      </c>
      <c r="CI518" s="21">
        <v>24</v>
      </c>
      <c r="CJ518" s="21">
        <v>0</v>
      </c>
      <c r="CK518" s="21">
        <v>0</v>
      </c>
      <c r="CL518" s="21">
        <v>0</v>
      </c>
      <c r="CM518" s="21">
        <v>0</v>
      </c>
      <c r="CN518" s="21">
        <v>0</v>
      </c>
      <c r="CO518" s="21">
        <v>0</v>
      </c>
      <c r="CP518" s="21">
        <f t="shared" si="779"/>
        <v>0</v>
      </c>
      <c r="CQ518" s="343">
        <f t="shared" si="780"/>
        <v>4</v>
      </c>
      <c r="CR518" s="40"/>
      <c r="CS518" s="39"/>
      <c r="CT518" s="38">
        <f t="shared" si="719"/>
        <v>47</v>
      </c>
      <c r="CU518" s="38">
        <f t="shared" si="720"/>
        <v>103</v>
      </c>
      <c r="CV518" s="38">
        <f t="shared" si="721"/>
        <v>165</v>
      </c>
      <c r="CW518" s="38">
        <f t="shared" si="722"/>
        <v>139</v>
      </c>
      <c r="CX518" s="38">
        <f t="shared" si="723"/>
        <v>238</v>
      </c>
      <c r="CY518" s="39">
        <f t="shared" si="724"/>
        <v>226</v>
      </c>
      <c r="CZ518" s="40">
        <f t="shared" si="725"/>
        <v>64</v>
      </c>
      <c r="DA518" s="40">
        <f t="shared" si="726"/>
        <v>121</v>
      </c>
      <c r="DB518" s="40">
        <f t="shared" si="727"/>
        <v>66</v>
      </c>
      <c r="DC518" s="40">
        <f t="shared" si="728"/>
        <v>120</v>
      </c>
      <c r="DD518" s="40">
        <f t="shared" si="729"/>
        <v>230</v>
      </c>
      <c r="DE518" s="40">
        <f t="shared" si="730"/>
        <v>279</v>
      </c>
      <c r="DF518" s="40">
        <f t="shared" si="731"/>
        <v>180</v>
      </c>
      <c r="DG518" s="40">
        <f t="shared" si="732"/>
        <v>185</v>
      </c>
      <c r="DH518" s="40">
        <f t="shared" si="733"/>
        <v>141</v>
      </c>
      <c r="DI518" s="40">
        <f t="shared" si="734"/>
        <v>130</v>
      </c>
      <c r="DJ518" s="40">
        <f t="shared" si="735"/>
        <v>135</v>
      </c>
      <c r="DK518" s="39">
        <f t="shared" si="736"/>
        <v>164</v>
      </c>
      <c r="DL518" s="40">
        <f t="shared" si="737"/>
        <v>259</v>
      </c>
      <c r="DM518" s="40">
        <f t="shared" si="738"/>
        <v>152</v>
      </c>
      <c r="DN518" s="40">
        <f t="shared" si="739"/>
        <v>160</v>
      </c>
      <c r="DO518" s="40">
        <f t="shared" si="740"/>
        <v>104</v>
      </c>
      <c r="DP518" s="40">
        <f t="shared" si="741"/>
        <v>58</v>
      </c>
      <c r="DQ518" s="40">
        <f t="shared" si="742"/>
        <v>18</v>
      </c>
      <c r="DR518" s="40">
        <f t="shared" si="747"/>
        <v>3</v>
      </c>
      <c r="DS518" s="40">
        <f t="shared" si="748"/>
        <v>0</v>
      </c>
      <c r="DT518" s="40">
        <f t="shared" si="743"/>
        <v>0</v>
      </c>
      <c r="DU518" s="40">
        <f t="shared" si="744"/>
        <v>5</v>
      </c>
      <c r="DV518" s="40">
        <f t="shared" si="745"/>
        <v>0</v>
      </c>
      <c r="DW518" s="40">
        <f t="shared" si="746"/>
        <v>0</v>
      </c>
    </row>
    <row r="519" spans="1:127">
      <c r="A519" s="22" t="s">
        <v>39</v>
      </c>
      <c r="B519" s="26">
        <v>4902430858229</v>
      </c>
      <c r="C519" s="22" t="s">
        <v>40</v>
      </c>
      <c r="D519" s="22" t="s">
        <v>41</v>
      </c>
      <c r="E519" s="22">
        <v>429294</v>
      </c>
      <c r="F519" s="80" t="s">
        <v>606</v>
      </c>
      <c r="G519" s="25">
        <v>157.02500000000001</v>
      </c>
      <c r="H519" s="38">
        <f t="shared" si="753"/>
        <v>7380.1750000000002</v>
      </c>
      <c r="I519" s="38">
        <f t="shared" si="754"/>
        <v>17429.775000000001</v>
      </c>
      <c r="J519" s="38">
        <f t="shared" si="755"/>
        <v>22454.575000000001</v>
      </c>
      <c r="K519" s="38">
        <f t="shared" si="756"/>
        <v>16644.650000000001</v>
      </c>
      <c r="L519" s="38">
        <f t="shared" si="757"/>
        <v>30462.850000000002</v>
      </c>
      <c r="M519" s="39">
        <f t="shared" si="758"/>
        <v>26851.275000000001</v>
      </c>
      <c r="N519" s="40">
        <f t="shared" si="759"/>
        <v>5652.9000000000005</v>
      </c>
      <c r="O519" s="40">
        <f t="shared" si="760"/>
        <v>6752.0749999999998</v>
      </c>
      <c r="P519" s="40">
        <f t="shared" si="761"/>
        <v>6281</v>
      </c>
      <c r="Q519" s="40">
        <f t="shared" si="762"/>
        <v>7380.1750000000002</v>
      </c>
      <c r="R519" s="40">
        <f t="shared" si="763"/>
        <v>7694.2250000000004</v>
      </c>
      <c r="S519" s="40">
        <f t="shared" si="764"/>
        <v>7851.25</v>
      </c>
      <c r="T519" s="40">
        <f t="shared" si="765"/>
        <v>2041.325</v>
      </c>
      <c r="U519" s="40">
        <f t="shared" si="766"/>
        <v>942.15000000000009</v>
      </c>
      <c r="V519" s="40">
        <f t="shared" si="767"/>
        <v>314.05</v>
      </c>
      <c r="W519" s="40">
        <f t="shared" si="768"/>
        <v>0</v>
      </c>
      <c r="X519" s="40">
        <f t="shared" si="769"/>
        <v>0</v>
      </c>
      <c r="Y519" s="39">
        <f t="shared" si="770"/>
        <v>0</v>
      </c>
      <c r="Z519" s="40">
        <f t="shared" si="771"/>
        <v>0</v>
      </c>
      <c r="AA519" s="40">
        <f t="shared" si="772"/>
        <v>0</v>
      </c>
      <c r="AB519" s="40">
        <f t="shared" si="773"/>
        <v>0</v>
      </c>
      <c r="AC519" s="40">
        <f t="shared" si="774"/>
        <v>0</v>
      </c>
      <c r="AD519" s="40">
        <f t="shared" si="775"/>
        <v>0</v>
      </c>
      <c r="AE519" s="40">
        <f t="shared" si="776"/>
        <v>0</v>
      </c>
      <c r="AF519" s="40">
        <f t="shared" si="777"/>
        <v>0</v>
      </c>
      <c r="AG519" s="40">
        <f t="shared" si="778"/>
        <v>0</v>
      </c>
      <c r="AH519" s="40">
        <f t="shared" si="749"/>
        <v>0</v>
      </c>
      <c r="AI519" s="40">
        <f t="shared" si="750"/>
        <v>0</v>
      </c>
      <c r="AJ519" s="40">
        <f t="shared" si="751"/>
        <v>0</v>
      </c>
      <c r="AK519" s="39">
        <f t="shared" si="752"/>
        <v>0</v>
      </c>
      <c r="AL519" s="38">
        <v>38</v>
      </c>
      <c r="AM519" s="38">
        <v>98</v>
      </c>
      <c r="AN519" s="38">
        <v>120</v>
      </c>
      <c r="AO519" s="38">
        <v>95</v>
      </c>
      <c r="AP519" s="38">
        <v>174</v>
      </c>
      <c r="AQ519" s="39">
        <v>152</v>
      </c>
      <c r="AR519" s="40">
        <v>35</v>
      </c>
      <c r="AS519" s="40">
        <v>43</v>
      </c>
      <c r="AT519" s="40">
        <v>40</v>
      </c>
      <c r="AU519" s="40">
        <v>47</v>
      </c>
      <c r="AV519" s="40">
        <v>49</v>
      </c>
      <c r="AW519" s="40">
        <v>50</v>
      </c>
      <c r="AX519" s="40">
        <v>13</v>
      </c>
      <c r="AY519" s="40">
        <v>6</v>
      </c>
      <c r="AZ519" s="40">
        <v>2</v>
      </c>
      <c r="BA519" s="40">
        <v>0</v>
      </c>
      <c r="BB519" s="40">
        <v>0</v>
      </c>
      <c r="BC519" s="39">
        <v>0</v>
      </c>
      <c r="BD519" s="40">
        <v>0</v>
      </c>
      <c r="BE519" s="40">
        <v>0</v>
      </c>
      <c r="BF519" s="40">
        <v>0</v>
      </c>
      <c r="BG519" s="40">
        <v>0</v>
      </c>
      <c r="BH519" s="40">
        <v>0</v>
      </c>
      <c r="BI519" s="40">
        <v>0</v>
      </c>
      <c r="BJ519" s="40">
        <v>0</v>
      </c>
      <c r="BK519" s="40">
        <v>0</v>
      </c>
      <c r="BL519" s="40">
        <v>0</v>
      </c>
      <c r="BM519" s="40">
        <v>0</v>
      </c>
      <c r="BN519" s="40"/>
      <c r="BO519" s="39"/>
      <c r="BP519" s="21">
        <v>9</v>
      </c>
      <c r="BQ519" s="21">
        <v>13</v>
      </c>
      <c r="BR519" s="21">
        <v>23</v>
      </c>
      <c r="BS519" s="21">
        <v>11</v>
      </c>
      <c r="BT519" s="21">
        <v>20</v>
      </c>
      <c r="BU519" s="42">
        <v>19</v>
      </c>
      <c r="BV519" s="21">
        <v>1</v>
      </c>
      <c r="BW519" s="21">
        <v>0</v>
      </c>
      <c r="BX519" s="21">
        <v>0</v>
      </c>
      <c r="BY519" s="21">
        <v>0</v>
      </c>
      <c r="BZ519" s="21">
        <v>0</v>
      </c>
      <c r="CA519" s="21">
        <v>0</v>
      </c>
      <c r="CB519" s="21">
        <v>0</v>
      </c>
      <c r="CC519" s="21">
        <v>0</v>
      </c>
      <c r="CD519" s="21">
        <v>0</v>
      </c>
      <c r="CE519" s="21">
        <v>0</v>
      </c>
      <c r="CF519" s="21">
        <v>0</v>
      </c>
      <c r="CG519" s="42">
        <v>0</v>
      </c>
      <c r="CH519" s="21">
        <v>0</v>
      </c>
      <c r="CI519" s="21">
        <v>0</v>
      </c>
      <c r="CJ519" s="21">
        <v>0</v>
      </c>
      <c r="CK519" s="21">
        <v>0</v>
      </c>
      <c r="CL519" s="21">
        <v>0</v>
      </c>
      <c r="CM519" s="21">
        <v>0</v>
      </c>
      <c r="CN519" s="21">
        <v>0</v>
      </c>
      <c r="CO519" s="21">
        <v>0</v>
      </c>
      <c r="CP519" s="21">
        <f t="shared" si="779"/>
        <v>0</v>
      </c>
      <c r="CQ519" s="343">
        <f t="shared" si="780"/>
        <v>0</v>
      </c>
      <c r="CR519" s="40"/>
      <c r="CS519" s="39"/>
      <c r="CT519" s="38">
        <f t="shared" si="719"/>
        <v>47</v>
      </c>
      <c r="CU519" s="38">
        <f t="shared" si="720"/>
        <v>111</v>
      </c>
      <c r="CV519" s="38">
        <f t="shared" si="721"/>
        <v>143</v>
      </c>
      <c r="CW519" s="38">
        <f t="shared" si="722"/>
        <v>106</v>
      </c>
      <c r="CX519" s="38">
        <f t="shared" si="723"/>
        <v>194</v>
      </c>
      <c r="CY519" s="39">
        <f t="shared" si="724"/>
        <v>171</v>
      </c>
      <c r="CZ519" s="40">
        <f t="shared" si="725"/>
        <v>36</v>
      </c>
      <c r="DA519" s="40">
        <f t="shared" si="726"/>
        <v>43</v>
      </c>
      <c r="DB519" s="40">
        <f t="shared" si="727"/>
        <v>40</v>
      </c>
      <c r="DC519" s="40">
        <f t="shared" si="728"/>
        <v>47</v>
      </c>
      <c r="DD519" s="40">
        <f t="shared" si="729"/>
        <v>49</v>
      </c>
      <c r="DE519" s="40">
        <f t="shared" si="730"/>
        <v>50</v>
      </c>
      <c r="DF519" s="40">
        <f t="shared" si="731"/>
        <v>13</v>
      </c>
      <c r="DG519" s="40">
        <f t="shared" si="732"/>
        <v>6</v>
      </c>
      <c r="DH519" s="40">
        <f t="shared" si="733"/>
        <v>2</v>
      </c>
      <c r="DI519" s="40">
        <f t="shared" si="734"/>
        <v>0</v>
      </c>
      <c r="DJ519" s="40">
        <f t="shared" si="735"/>
        <v>0</v>
      </c>
      <c r="DK519" s="39">
        <f t="shared" si="736"/>
        <v>0</v>
      </c>
      <c r="DL519" s="40">
        <f t="shared" si="737"/>
        <v>0</v>
      </c>
      <c r="DM519" s="40">
        <f t="shared" si="738"/>
        <v>0</v>
      </c>
      <c r="DN519" s="40">
        <f t="shared" si="739"/>
        <v>0</v>
      </c>
      <c r="DO519" s="40">
        <f t="shared" si="740"/>
        <v>0</v>
      </c>
      <c r="DP519" s="40">
        <f t="shared" si="741"/>
        <v>0</v>
      </c>
      <c r="DQ519" s="40">
        <f t="shared" si="742"/>
        <v>0</v>
      </c>
      <c r="DR519" s="40">
        <f t="shared" si="747"/>
        <v>0</v>
      </c>
      <c r="DS519" s="40">
        <f t="shared" si="748"/>
        <v>0</v>
      </c>
      <c r="DT519" s="40">
        <f t="shared" si="743"/>
        <v>0</v>
      </c>
      <c r="DU519" s="40">
        <f t="shared" si="744"/>
        <v>0</v>
      </c>
      <c r="DV519" s="40">
        <f t="shared" si="745"/>
        <v>0</v>
      </c>
      <c r="DW519" s="40">
        <f t="shared" si="746"/>
        <v>0</v>
      </c>
    </row>
    <row r="520" spans="1:127">
      <c r="A520" s="22" t="s">
        <v>39</v>
      </c>
      <c r="B520" s="26">
        <v>4987176291905</v>
      </c>
      <c r="C520" s="22" t="s">
        <v>40</v>
      </c>
      <c r="D520" s="22" t="s">
        <v>43</v>
      </c>
      <c r="E520" s="22">
        <v>256152</v>
      </c>
      <c r="F520" s="80" t="s">
        <v>607</v>
      </c>
      <c r="G520" s="25">
        <v>390.09</v>
      </c>
      <c r="H520" s="38">
        <f t="shared" si="753"/>
        <v>0</v>
      </c>
      <c r="I520" s="38">
        <f t="shared" si="754"/>
        <v>0</v>
      </c>
      <c r="J520" s="38">
        <f t="shared" si="755"/>
        <v>0</v>
      </c>
      <c r="K520" s="38">
        <f t="shared" si="756"/>
        <v>0</v>
      </c>
      <c r="L520" s="38">
        <f t="shared" si="757"/>
        <v>0</v>
      </c>
      <c r="M520" s="39">
        <f t="shared" si="758"/>
        <v>0</v>
      </c>
      <c r="N520" s="40">
        <f t="shared" si="759"/>
        <v>0</v>
      </c>
      <c r="O520" s="40">
        <f t="shared" si="760"/>
        <v>0</v>
      </c>
      <c r="P520" s="40">
        <f t="shared" si="761"/>
        <v>0</v>
      </c>
      <c r="Q520" s="40">
        <f t="shared" si="762"/>
        <v>0</v>
      </c>
      <c r="R520" s="40">
        <f t="shared" si="763"/>
        <v>0</v>
      </c>
      <c r="S520" s="40">
        <f t="shared" si="764"/>
        <v>35498.189999999995</v>
      </c>
      <c r="T520" s="40">
        <f t="shared" si="765"/>
        <v>53442.329999999994</v>
      </c>
      <c r="U520" s="40">
        <f t="shared" si="766"/>
        <v>26136.03</v>
      </c>
      <c r="V520" s="40">
        <f t="shared" si="767"/>
        <v>15993.689999999999</v>
      </c>
      <c r="W520" s="40">
        <f t="shared" si="768"/>
        <v>15603.599999999999</v>
      </c>
      <c r="X520" s="40">
        <f t="shared" si="769"/>
        <v>60854.039999999994</v>
      </c>
      <c r="Y520" s="39">
        <f t="shared" si="770"/>
        <v>33157.65</v>
      </c>
      <c r="Z520" s="40">
        <f t="shared" si="771"/>
        <v>31597.289999999997</v>
      </c>
      <c r="AA520" s="40">
        <f t="shared" si="772"/>
        <v>20674.77</v>
      </c>
      <c r="AB520" s="40">
        <f t="shared" si="773"/>
        <v>28866.66</v>
      </c>
      <c r="AC520" s="40">
        <f t="shared" si="774"/>
        <v>43299.99</v>
      </c>
      <c r="AD520" s="40">
        <f t="shared" si="775"/>
        <v>23015.309999999998</v>
      </c>
      <c r="AE520" s="40">
        <f t="shared" si="776"/>
        <v>23405.399999999998</v>
      </c>
      <c r="AF520" s="40">
        <f t="shared" si="777"/>
        <v>11702.699999999999</v>
      </c>
      <c r="AG520" s="40">
        <f t="shared" si="778"/>
        <v>8581.98</v>
      </c>
      <c r="AH520" s="40">
        <f t="shared" si="749"/>
        <v>7411.7099999999991</v>
      </c>
      <c r="AI520" s="40">
        <f t="shared" si="750"/>
        <v>25182.476666666666</v>
      </c>
      <c r="AJ520" s="40">
        <f t="shared" si="751"/>
        <v>0</v>
      </c>
      <c r="AK520" s="39">
        <f t="shared" si="752"/>
        <v>0</v>
      </c>
      <c r="AL520" s="38">
        <v>0</v>
      </c>
      <c r="AM520" s="38">
        <v>0</v>
      </c>
      <c r="AN520" s="38">
        <v>0</v>
      </c>
      <c r="AO520" s="38">
        <v>0</v>
      </c>
      <c r="AP520" s="38">
        <v>0</v>
      </c>
      <c r="AQ520" s="39">
        <v>0</v>
      </c>
      <c r="AR520" s="40">
        <v>0</v>
      </c>
      <c r="AS520" s="40">
        <v>0</v>
      </c>
      <c r="AT520" s="40">
        <v>0</v>
      </c>
      <c r="AU520" s="40">
        <v>0</v>
      </c>
      <c r="AV520" s="40">
        <v>0</v>
      </c>
      <c r="AW520" s="40">
        <v>27</v>
      </c>
      <c r="AX520" s="40">
        <v>120</v>
      </c>
      <c r="AY520" s="40">
        <v>36</v>
      </c>
      <c r="AZ520" s="40">
        <v>30</v>
      </c>
      <c r="BA520" s="40">
        <v>33</v>
      </c>
      <c r="BB520" s="40">
        <v>63</v>
      </c>
      <c r="BC520" s="39">
        <v>73</v>
      </c>
      <c r="BD520" s="40">
        <v>73</v>
      </c>
      <c r="BE520" s="40">
        <v>46</v>
      </c>
      <c r="BF520" s="40">
        <v>38</v>
      </c>
      <c r="BG520" s="40">
        <v>109</v>
      </c>
      <c r="BH520" s="40">
        <v>41</v>
      </c>
      <c r="BI520" s="40">
        <v>54</v>
      </c>
      <c r="BJ520" s="40">
        <v>27</v>
      </c>
      <c r="BK520" s="40">
        <v>19</v>
      </c>
      <c r="BL520" s="40">
        <v>16</v>
      </c>
      <c r="BM520" s="40">
        <v>55</v>
      </c>
      <c r="BN520" s="40"/>
      <c r="BO520" s="39"/>
      <c r="BP520" s="21">
        <v>0</v>
      </c>
      <c r="BQ520" s="21">
        <v>0</v>
      </c>
      <c r="BR520" s="21">
        <v>0</v>
      </c>
      <c r="BS520" s="21">
        <v>0</v>
      </c>
      <c r="BT520" s="21">
        <v>0</v>
      </c>
      <c r="BU520" s="42">
        <v>0</v>
      </c>
      <c r="BV520" s="21">
        <v>0</v>
      </c>
      <c r="BW520" s="21">
        <v>0</v>
      </c>
      <c r="BX520" s="21">
        <v>0</v>
      </c>
      <c r="BY520" s="21">
        <v>0</v>
      </c>
      <c r="BZ520" s="21">
        <v>0</v>
      </c>
      <c r="CA520" s="21">
        <v>64</v>
      </c>
      <c r="CB520" s="21">
        <v>17</v>
      </c>
      <c r="CC520" s="21">
        <v>31</v>
      </c>
      <c r="CD520" s="21">
        <v>11</v>
      </c>
      <c r="CE520" s="21">
        <v>7</v>
      </c>
      <c r="CF520" s="21">
        <v>93</v>
      </c>
      <c r="CG520" s="42">
        <v>12</v>
      </c>
      <c r="CH520" s="21">
        <v>8</v>
      </c>
      <c r="CI520" s="21">
        <v>7</v>
      </c>
      <c r="CJ520" s="21">
        <v>36</v>
      </c>
      <c r="CK520" s="21">
        <v>2</v>
      </c>
      <c r="CL520" s="21">
        <v>18</v>
      </c>
      <c r="CM520" s="21">
        <v>6</v>
      </c>
      <c r="CN520" s="21">
        <v>3</v>
      </c>
      <c r="CO520" s="21">
        <v>3</v>
      </c>
      <c r="CP520" s="21">
        <f t="shared" si="779"/>
        <v>3</v>
      </c>
      <c r="CQ520" s="343">
        <f t="shared" si="780"/>
        <v>9.5555555555555554</v>
      </c>
      <c r="CR520" s="40"/>
      <c r="CS520" s="39"/>
      <c r="CT520" s="38">
        <f t="shared" si="719"/>
        <v>0</v>
      </c>
      <c r="CU520" s="38">
        <f t="shared" si="720"/>
        <v>0</v>
      </c>
      <c r="CV520" s="38">
        <f t="shared" si="721"/>
        <v>0</v>
      </c>
      <c r="CW520" s="38">
        <f t="shared" si="722"/>
        <v>0</v>
      </c>
      <c r="CX520" s="38">
        <f t="shared" si="723"/>
        <v>0</v>
      </c>
      <c r="CY520" s="39">
        <f t="shared" si="724"/>
        <v>0</v>
      </c>
      <c r="CZ520" s="40">
        <f t="shared" si="725"/>
        <v>0</v>
      </c>
      <c r="DA520" s="40">
        <f t="shared" si="726"/>
        <v>0</v>
      </c>
      <c r="DB520" s="40">
        <f t="shared" si="727"/>
        <v>0</v>
      </c>
      <c r="DC520" s="40">
        <f t="shared" si="728"/>
        <v>0</v>
      </c>
      <c r="DD520" s="40">
        <f t="shared" si="729"/>
        <v>0</v>
      </c>
      <c r="DE520" s="40">
        <f t="shared" si="730"/>
        <v>91</v>
      </c>
      <c r="DF520" s="40">
        <f t="shared" si="731"/>
        <v>137</v>
      </c>
      <c r="DG520" s="40">
        <f t="shared" si="732"/>
        <v>67</v>
      </c>
      <c r="DH520" s="40">
        <f t="shared" si="733"/>
        <v>41</v>
      </c>
      <c r="DI520" s="40">
        <f t="shared" si="734"/>
        <v>40</v>
      </c>
      <c r="DJ520" s="40">
        <f t="shared" si="735"/>
        <v>156</v>
      </c>
      <c r="DK520" s="39">
        <f t="shared" si="736"/>
        <v>85</v>
      </c>
      <c r="DL520" s="40">
        <f t="shared" si="737"/>
        <v>81</v>
      </c>
      <c r="DM520" s="40">
        <f t="shared" si="738"/>
        <v>53</v>
      </c>
      <c r="DN520" s="40">
        <f t="shared" si="739"/>
        <v>74</v>
      </c>
      <c r="DO520" s="40">
        <f t="shared" si="740"/>
        <v>111</v>
      </c>
      <c r="DP520" s="40">
        <f t="shared" si="741"/>
        <v>59</v>
      </c>
      <c r="DQ520" s="40">
        <f t="shared" si="742"/>
        <v>60</v>
      </c>
      <c r="DR520" s="40">
        <f t="shared" si="747"/>
        <v>30</v>
      </c>
      <c r="DS520" s="40">
        <f t="shared" si="748"/>
        <v>22</v>
      </c>
      <c r="DT520" s="40">
        <f t="shared" si="743"/>
        <v>19</v>
      </c>
      <c r="DU520" s="40">
        <f t="shared" si="744"/>
        <v>64.555555555555557</v>
      </c>
      <c r="DV520" s="40">
        <f t="shared" si="745"/>
        <v>0</v>
      </c>
      <c r="DW520" s="40">
        <f t="shared" si="746"/>
        <v>0</v>
      </c>
    </row>
    <row r="521" spans="1:127">
      <c r="A521" s="22" t="s">
        <v>39</v>
      </c>
      <c r="B521" s="26">
        <v>4987176291936</v>
      </c>
      <c r="C521" s="22" t="s">
        <v>40</v>
      </c>
      <c r="D521" s="22" t="s">
        <v>43</v>
      </c>
      <c r="E521" s="22">
        <v>256206</v>
      </c>
      <c r="F521" s="80" t="s">
        <v>608</v>
      </c>
      <c r="G521" s="25">
        <v>149.22999999999999</v>
      </c>
      <c r="H521" s="38">
        <f t="shared" si="753"/>
        <v>0</v>
      </c>
      <c r="I521" s="38">
        <f t="shared" si="754"/>
        <v>0</v>
      </c>
      <c r="J521" s="38">
        <f t="shared" si="755"/>
        <v>0</v>
      </c>
      <c r="K521" s="38">
        <f t="shared" si="756"/>
        <v>0</v>
      </c>
      <c r="L521" s="38">
        <f t="shared" si="757"/>
        <v>0</v>
      </c>
      <c r="M521" s="39">
        <f t="shared" si="758"/>
        <v>0</v>
      </c>
      <c r="N521" s="40">
        <f t="shared" si="759"/>
        <v>0</v>
      </c>
      <c r="O521" s="40">
        <f t="shared" si="760"/>
        <v>0</v>
      </c>
      <c r="P521" s="40">
        <f t="shared" si="761"/>
        <v>0</v>
      </c>
      <c r="Q521" s="40">
        <f t="shared" si="762"/>
        <v>0</v>
      </c>
      <c r="R521" s="40">
        <f t="shared" si="763"/>
        <v>0</v>
      </c>
      <c r="S521" s="40">
        <f t="shared" si="764"/>
        <v>895.37999999999988</v>
      </c>
      <c r="T521" s="40">
        <f t="shared" si="765"/>
        <v>112220.95999999999</v>
      </c>
      <c r="U521" s="40">
        <f t="shared" si="766"/>
        <v>42530.549999999996</v>
      </c>
      <c r="V521" s="40">
        <f t="shared" si="767"/>
        <v>24772.179999999997</v>
      </c>
      <c r="W521" s="40">
        <f t="shared" si="768"/>
        <v>92671.829999999987</v>
      </c>
      <c r="X521" s="40">
        <f t="shared" si="769"/>
        <v>87896.47</v>
      </c>
      <c r="Y521" s="39">
        <f t="shared" si="770"/>
        <v>24772.179999999997</v>
      </c>
      <c r="Z521" s="40">
        <f t="shared" si="771"/>
        <v>28652.159999999996</v>
      </c>
      <c r="AA521" s="40">
        <f t="shared" si="772"/>
        <v>19250.669999999998</v>
      </c>
      <c r="AB521" s="40">
        <f t="shared" si="773"/>
        <v>20295.28</v>
      </c>
      <c r="AC521" s="40">
        <f t="shared" si="774"/>
        <v>30293.69</v>
      </c>
      <c r="AD521" s="40">
        <f t="shared" si="775"/>
        <v>26264.48</v>
      </c>
      <c r="AE521" s="40">
        <f t="shared" si="776"/>
        <v>20295.28</v>
      </c>
      <c r="AF521" s="40">
        <f t="shared" si="777"/>
        <v>12983.009999999998</v>
      </c>
      <c r="AG521" s="40">
        <f t="shared" si="778"/>
        <v>19847.59</v>
      </c>
      <c r="AH521" s="40">
        <f t="shared" si="749"/>
        <v>16116.839999999998</v>
      </c>
      <c r="AI521" s="40">
        <f t="shared" si="750"/>
        <v>17841.275555555556</v>
      </c>
      <c r="AJ521" s="40">
        <f t="shared" si="751"/>
        <v>0</v>
      </c>
      <c r="AK521" s="39">
        <f t="shared" si="752"/>
        <v>0</v>
      </c>
      <c r="AL521" s="38">
        <v>0</v>
      </c>
      <c r="AM521" s="38">
        <v>0</v>
      </c>
      <c r="AN521" s="38">
        <v>0</v>
      </c>
      <c r="AO521" s="38">
        <v>0</v>
      </c>
      <c r="AP521" s="38">
        <v>0</v>
      </c>
      <c r="AQ521" s="39">
        <v>0</v>
      </c>
      <c r="AR521" s="40">
        <v>0</v>
      </c>
      <c r="AS521" s="40">
        <v>0</v>
      </c>
      <c r="AT521" s="40">
        <v>0</v>
      </c>
      <c r="AU521" s="40">
        <v>0</v>
      </c>
      <c r="AV521" s="40">
        <v>0</v>
      </c>
      <c r="AW521" s="40">
        <v>1</v>
      </c>
      <c r="AX521" s="40">
        <v>467</v>
      </c>
      <c r="AY521" s="40">
        <v>254</v>
      </c>
      <c r="AZ521" s="40">
        <v>149</v>
      </c>
      <c r="BA521" s="40">
        <v>442</v>
      </c>
      <c r="BB521" s="40">
        <v>574</v>
      </c>
      <c r="BC521" s="39">
        <v>161</v>
      </c>
      <c r="BD521" s="40">
        <v>181</v>
      </c>
      <c r="BE521" s="40">
        <v>124</v>
      </c>
      <c r="BF521" s="40">
        <v>133</v>
      </c>
      <c r="BG521" s="40">
        <v>175</v>
      </c>
      <c r="BH521" s="40">
        <v>171</v>
      </c>
      <c r="BI521" s="40">
        <v>129</v>
      </c>
      <c r="BJ521" s="40">
        <v>84</v>
      </c>
      <c r="BK521" s="40">
        <v>130</v>
      </c>
      <c r="BL521" s="40">
        <v>105</v>
      </c>
      <c r="BM521" s="40">
        <v>112</v>
      </c>
      <c r="BN521" s="40"/>
      <c r="BO521" s="39"/>
      <c r="BP521" s="21">
        <v>0</v>
      </c>
      <c r="BQ521" s="21">
        <v>0</v>
      </c>
      <c r="BR521" s="21">
        <v>0</v>
      </c>
      <c r="BS521" s="21">
        <v>0</v>
      </c>
      <c r="BT521" s="21">
        <v>0</v>
      </c>
      <c r="BU521" s="42">
        <v>0</v>
      </c>
      <c r="BV521" s="21">
        <v>0</v>
      </c>
      <c r="BW521" s="21">
        <v>0</v>
      </c>
      <c r="BX521" s="21">
        <v>0</v>
      </c>
      <c r="BY521" s="21">
        <v>0</v>
      </c>
      <c r="BZ521" s="21">
        <v>0</v>
      </c>
      <c r="CA521" s="21">
        <v>5</v>
      </c>
      <c r="CB521" s="21">
        <v>285</v>
      </c>
      <c r="CC521" s="21">
        <v>31</v>
      </c>
      <c r="CD521" s="21">
        <v>17</v>
      </c>
      <c r="CE521" s="21">
        <v>179</v>
      </c>
      <c r="CF521" s="21">
        <v>15</v>
      </c>
      <c r="CG521" s="42">
        <v>5</v>
      </c>
      <c r="CH521" s="21">
        <v>11</v>
      </c>
      <c r="CI521" s="21">
        <v>5</v>
      </c>
      <c r="CJ521" s="21">
        <v>3</v>
      </c>
      <c r="CK521" s="21">
        <v>28</v>
      </c>
      <c r="CL521" s="21">
        <v>5</v>
      </c>
      <c r="CM521" s="21">
        <v>7</v>
      </c>
      <c r="CN521" s="21">
        <v>3</v>
      </c>
      <c r="CO521" s="21">
        <v>3</v>
      </c>
      <c r="CP521" s="21">
        <f t="shared" si="779"/>
        <v>3</v>
      </c>
      <c r="CQ521" s="343">
        <f t="shared" si="780"/>
        <v>7.5555555555555554</v>
      </c>
      <c r="CR521" s="40"/>
      <c r="CS521" s="39"/>
      <c r="CT521" s="38">
        <f t="shared" si="719"/>
        <v>0</v>
      </c>
      <c r="CU521" s="38">
        <f t="shared" si="720"/>
        <v>0</v>
      </c>
      <c r="CV521" s="38">
        <f t="shared" si="721"/>
        <v>0</v>
      </c>
      <c r="CW521" s="38">
        <f t="shared" si="722"/>
        <v>0</v>
      </c>
      <c r="CX521" s="38">
        <f t="shared" si="723"/>
        <v>0</v>
      </c>
      <c r="CY521" s="39">
        <f t="shared" si="724"/>
        <v>0</v>
      </c>
      <c r="CZ521" s="40">
        <f t="shared" si="725"/>
        <v>0</v>
      </c>
      <c r="DA521" s="40">
        <f t="shared" si="726"/>
        <v>0</v>
      </c>
      <c r="DB521" s="40">
        <f t="shared" si="727"/>
        <v>0</v>
      </c>
      <c r="DC521" s="40">
        <f t="shared" si="728"/>
        <v>0</v>
      </c>
      <c r="DD521" s="40">
        <f t="shared" si="729"/>
        <v>0</v>
      </c>
      <c r="DE521" s="40">
        <f t="shared" si="730"/>
        <v>6</v>
      </c>
      <c r="DF521" s="40">
        <f t="shared" si="731"/>
        <v>752</v>
      </c>
      <c r="DG521" s="40">
        <f t="shared" si="732"/>
        <v>285</v>
      </c>
      <c r="DH521" s="40">
        <f t="shared" si="733"/>
        <v>166</v>
      </c>
      <c r="DI521" s="40">
        <f t="shared" si="734"/>
        <v>621</v>
      </c>
      <c r="DJ521" s="40">
        <f t="shared" si="735"/>
        <v>589</v>
      </c>
      <c r="DK521" s="39">
        <f t="shared" si="736"/>
        <v>166</v>
      </c>
      <c r="DL521" s="40">
        <f t="shared" si="737"/>
        <v>192</v>
      </c>
      <c r="DM521" s="40">
        <f t="shared" si="738"/>
        <v>129</v>
      </c>
      <c r="DN521" s="40">
        <f t="shared" si="739"/>
        <v>136</v>
      </c>
      <c r="DO521" s="40">
        <f t="shared" si="740"/>
        <v>203</v>
      </c>
      <c r="DP521" s="40">
        <f t="shared" si="741"/>
        <v>176</v>
      </c>
      <c r="DQ521" s="40">
        <f t="shared" si="742"/>
        <v>136</v>
      </c>
      <c r="DR521" s="40">
        <f t="shared" si="747"/>
        <v>87</v>
      </c>
      <c r="DS521" s="40">
        <f t="shared" si="748"/>
        <v>133</v>
      </c>
      <c r="DT521" s="40">
        <f t="shared" si="743"/>
        <v>108</v>
      </c>
      <c r="DU521" s="40">
        <f t="shared" si="744"/>
        <v>119.55555555555556</v>
      </c>
      <c r="DV521" s="40">
        <f t="shared" si="745"/>
        <v>0</v>
      </c>
      <c r="DW521" s="40">
        <f t="shared" si="746"/>
        <v>0</v>
      </c>
    </row>
    <row r="522" spans="1:127">
      <c r="A522" s="22" t="s">
        <v>39</v>
      </c>
      <c r="B522" s="26">
        <v>4987176291943</v>
      </c>
      <c r="C522" s="22" t="s">
        <v>40</v>
      </c>
      <c r="D522" s="22" t="s">
        <v>43</v>
      </c>
      <c r="E522" s="22">
        <v>256211</v>
      </c>
      <c r="F522" s="80" t="s">
        <v>609</v>
      </c>
      <c r="G522" s="25">
        <v>390.09</v>
      </c>
      <c r="H522" s="38">
        <f t="shared" si="753"/>
        <v>0</v>
      </c>
      <c r="I522" s="38">
        <f t="shared" si="754"/>
        <v>0</v>
      </c>
      <c r="J522" s="38">
        <f t="shared" si="755"/>
        <v>0</v>
      </c>
      <c r="K522" s="38">
        <f t="shared" si="756"/>
        <v>0</v>
      </c>
      <c r="L522" s="38">
        <f t="shared" si="757"/>
        <v>0</v>
      </c>
      <c r="M522" s="39">
        <f t="shared" si="758"/>
        <v>0</v>
      </c>
      <c r="N522" s="40">
        <f t="shared" si="759"/>
        <v>0</v>
      </c>
      <c r="O522" s="40">
        <f t="shared" si="760"/>
        <v>0</v>
      </c>
      <c r="P522" s="40">
        <f t="shared" si="761"/>
        <v>0</v>
      </c>
      <c r="Q522" s="40">
        <f t="shared" si="762"/>
        <v>0</v>
      </c>
      <c r="R522" s="40">
        <f t="shared" si="763"/>
        <v>0</v>
      </c>
      <c r="S522" s="40">
        <f t="shared" si="764"/>
        <v>26526.12</v>
      </c>
      <c r="T522" s="40">
        <f t="shared" si="765"/>
        <v>46420.71</v>
      </c>
      <c r="U522" s="40">
        <f t="shared" si="766"/>
        <v>19894.59</v>
      </c>
      <c r="V522" s="40">
        <f t="shared" si="767"/>
        <v>17944.14</v>
      </c>
      <c r="W522" s="40">
        <f t="shared" si="768"/>
        <v>15603.599999999999</v>
      </c>
      <c r="X522" s="40">
        <f t="shared" si="769"/>
        <v>51881.969999999994</v>
      </c>
      <c r="Y522" s="39">
        <f t="shared" si="770"/>
        <v>40959.449999999997</v>
      </c>
      <c r="Z522" s="40">
        <f t="shared" si="771"/>
        <v>27696.39</v>
      </c>
      <c r="AA522" s="40">
        <f t="shared" si="772"/>
        <v>15993.689999999999</v>
      </c>
      <c r="AB522" s="40">
        <f t="shared" si="773"/>
        <v>22235.129999999997</v>
      </c>
      <c r="AC522" s="40">
        <f t="shared" si="774"/>
        <v>41349.54</v>
      </c>
      <c r="AD522" s="40">
        <f t="shared" si="775"/>
        <v>17163.96</v>
      </c>
      <c r="AE522" s="40">
        <f t="shared" si="776"/>
        <v>17944.14</v>
      </c>
      <c r="AF522" s="40">
        <f t="shared" si="777"/>
        <v>9362.16</v>
      </c>
      <c r="AG522" s="40">
        <f t="shared" si="778"/>
        <v>7801.7999999999993</v>
      </c>
      <c r="AH522" s="40">
        <f t="shared" si="749"/>
        <v>4681.08</v>
      </c>
      <c r="AI522" s="40">
        <f t="shared" si="750"/>
        <v>13566.463333333333</v>
      </c>
      <c r="AJ522" s="40">
        <f t="shared" si="751"/>
        <v>0</v>
      </c>
      <c r="AK522" s="39">
        <f t="shared" si="752"/>
        <v>0</v>
      </c>
      <c r="AL522" s="38">
        <v>0</v>
      </c>
      <c r="AM522" s="38">
        <v>0</v>
      </c>
      <c r="AN522" s="38">
        <v>0</v>
      </c>
      <c r="AO522" s="38">
        <v>0</v>
      </c>
      <c r="AP522" s="38">
        <v>0</v>
      </c>
      <c r="AQ522" s="39">
        <v>0</v>
      </c>
      <c r="AR522" s="40">
        <v>0</v>
      </c>
      <c r="AS522" s="40">
        <v>0</v>
      </c>
      <c r="AT522" s="40">
        <v>0</v>
      </c>
      <c r="AU522" s="40">
        <v>0</v>
      </c>
      <c r="AV522" s="40">
        <v>0</v>
      </c>
      <c r="AW522" s="40">
        <v>25</v>
      </c>
      <c r="AX522" s="40">
        <v>102</v>
      </c>
      <c r="AY522" s="40">
        <v>34</v>
      </c>
      <c r="AZ522" s="40">
        <v>40</v>
      </c>
      <c r="BA522" s="40">
        <v>28</v>
      </c>
      <c r="BB522" s="40">
        <v>64</v>
      </c>
      <c r="BC522" s="39">
        <v>81</v>
      </c>
      <c r="BD522" s="40">
        <v>67</v>
      </c>
      <c r="BE522" s="40">
        <v>33</v>
      </c>
      <c r="BF522" s="40">
        <v>38</v>
      </c>
      <c r="BG522" s="40">
        <v>103</v>
      </c>
      <c r="BH522" s="40">
        <v>40</v>
      </c>
      <c r="BI522" s="40">
        <v>42</v>
      </c>
      <c r="BJ522" s="40">
        <v>24</v>
      </c>
      <c r="BK522" s="40">
        <v>15</v>
      </c>
      <c r="BL522" s="40">
        <v>7</v>
      </c>
      <c r="BM522" s="40">
        <v>29</v>
      </c>
      <c r="BN522" s="40"/>
      <c r="BO522" s="39"/>
      <c r="BP522" s="21">
        <v>0</v>
      </c>
      <c r="BQ522" s="21">
        <v>0</v>
      </c>
      <c r="BR522" s="21">
        <v>0</v>
      </c>
      <c r="BS522" s="21">
        <v>0</v>
      </c>
      <c r="BT522" s="21">
        <v>0</v>
      </c>
      <c r="BU522" s="42">
        <v>0</v>
      </c>
      <c r="BV522" s="21">
        <v>0</v>
      </c>
      <c r="BW522" s="21">
        <v>0</v>
      </c>
      <c r="BX522" s="21">
        <v>0</v>
      </c>
      <c r="BY522" s="21">
        <v>0</v>
      </c>
      <c r="BZ522" s="21">
        <v>0</v>
      </c>
      <c r="CA522" s="21">
        <v>43</v>
      </c>
      <c r="CB522" s="21">
        <v>17</v>
      </c>
      <c r="CC522" s="21">
        <v>17</v>
      </c>
      <c r="CD522" s="21">
        <v>6</v>
      </c>
      <c r="CE522" s="21">
        <v>12</v>
      </c>
      <c r="CF522" s="21">
        <v>69</v>
      </c>
      <c r="CG522" s="42">
        <v>24</v>
      </c>
      <c r="CH522" s="21">
        <v>4</v>
      </c>
      <c r="CI522" s="21">
        <v>8</v>
      </c>
      <c r="CJ522" s="21">
        <v>19</v>
      </c>
      <c r="CK522" s="21">
        <v>3</v>
      </c>
      <c r="CL522" s="21">
        <v>4</v>
      </c>
      <c r="CM522" s="21">
        <v>4</v>
      </c>
      <c r="CN522" s="21">
        <v>0</v>
      </c>
      <c r="CO522" s="21">
        <v>5</v>
      </c>
      <c r="CP522" s="21">
        <f t="shared" si="779"/>
        <v>5</v>
      </c>
      <c r="CQ522" s="343">
        <f t="shared" si="780"/>
        <v>5.7777777777777777</v>
      </c>
      <c r="CR522" s="40"/>
      <c r="CS522" s="39"/>
      <c r="CT522" s="38">
        <f t="shared" si="719"/>
        <v>0</v>
      </c>
      <c r="CU522" s="38">
        <f t="shared" si="720"/>
        <v>0</v>
      </c>
      <c r="CV522" s="38">
        <f t="shared" si="721"/>
        <v>0</v>
      </c>
      <c r="CW522" s="38">
        <f t="shared" si="722"/>
        <v>0</v>
      </c>
      <c r="CX522" s="38">
        <f t="shared" si="723"/>
        <v>0</v>
      </c>
      <c r="CY522" s="39">
        <f t="shared" si="724"/>
        <v>0</v>
      </c>
      <c r="CZ522" s="40">
        <f t="shared" si="725"/>
        <v>0</v>
      </c>
      <c r="DA522" s="40">
        <f t="shared" si="726"/>
        <v>0</v>
      </c>
      <c r="DB522" s="40">
        <f t="shared" si="727"/>
        <v>0</v>
      </c>
      <c r="DC522" s="40">
        <f t="shared" si="728"/>
        <v>0</v>
      </c>
      <c r="DD522" s="40">
        <f t="shared" si="729"/>
        <v>0</v>
      </c>
      <c r="DE522" s="40">
        <f t="shared" si="730"/>
        <v>68</v>
      </c>
      <c r="DF522" s="40">
        <f t="shared" si="731"/>
        <v>119</v>
      </c>
      <c r="DG522" s="40">
        <f t="shared" si="732"/>
        <v>51</v>
      </c>
      <c r="DH522" s="40">
        <f t="shared" si="733"/>
        <v>46</v>
      </c>
      <c r="DI522" s="40">
        <f t="shared" si="734"/>
        <v>40</v>
      </c>
      <c r="DJ522" s="40">
        <f t="shared" si="735"/>
        <v>133</v>
      </c>
      <c r="DK522" s="39">
        <f t="shared" si="736"/>
        <v>105</v>
      </c>
      <c r="DL522" s="40">
        <f t="shared" si="737"/>
        <v>71</v>
      </c>
      <c r="DM522" s="40">
        <f t="shared" si="738"/>
        <v>41</v>
      </c>
      <c r="DN522" s="40">
        <f t="shared" si="739"/>
        <v>57</v>
      </c>
      <c r="DO522" s="40">
        <f t="shared" si="740"/>
        <v>106</v>
      </c>
      <c r="DP522" s="40">
        <f t="shared" si="741"/>
        <v>44</v>
      </c>
      <c r="DQ522" s="40">
        <f t="shared" si="742"/>
        <v>46</v>
      </c>
      <c r="DR522" s="40">
        <f t="shared" si="747"/>
        <v>24</v>
      </c>
      <c r="DS522" s="40">
        <f t="shared" si="748"/>
        <v>20</v>
      </c>
      <c r="DT522" s="40">
        <f t="shared" si="743"/>
        <v>12</v>
      </c>
      <c r="DU522" s="40">
        <f t="shared" si="744"/>
        <v>34.777777777777779</v>
      </c>
      <c r="DV522" s="40">
        <f t="shared" si="745"/>
        <v>0</v>
      </c>
      <c r="DW522" s="40">
        <f t="shared" si="746"/>
        <v>0</v>
      </c>
    </row>
    <row r="523" spans="1:127">
      <c r="A523" s="22" t="s">
        <v>39</v>
      </c>
      <c r="B523" s="26">
        <v>4987176291929</v>
      </c>
      <c r="C523" s="22" t="s">
        <v>40</v>
      </c>
      <c r="D523" s="22" t="s">
        <v>43</v>
      </c>
      <c r="E523" s="22">
        <v>256016</v>
      </c>
      <c r="F523" s="80" t="s">
        <v>610</v>
      </c>
      <c r="G523" s="25">
        <v>149.22999999999999</v>
      </c>
      <c r="H523" s="38">
        <f t="shared" si="753"/>
        <v>0</v>
      </c>
      <c r="I523" s="38">
        <f t="shared" si="754"/>
        <v>0</v>
      </c>
      <c r="J523" s="38">
        <f t="shared" si="755"/>
        <v>0</v>
      </c>
      <c r="K523" s="38">
        <f t="shared" si="756"/>
        <v>0</v>
      </c>
      <c r="L523" s="38">
        <f t="shared" si="757"/>
        <v>0</v>
      </c>
      <c r="M523" s="39">
        <f t="shared" si="758"/>
        <v>0</v>
      </c>
      <c r="N523" s="40">
        <f t="shared" si="759"/>
        <v>0</v>
      </c>
      <c r="O523" s="40">
        <f t="shared" si="760"/>
        <v>0</v>
      </c>
      <c r="P523" s="40">
        <f t="shared" si="761"/>
        <v>0</v>
      </c>
      <c r="Q523" s="40">
        <f t="shared" si="762"/>
        <v>0</v>
      </c>
      <c r="R523" s="40">
        <f t="shared" si="763"/>
        <v>0</v>
      </c>
      <c r="S523" s="40">
        <f t="shared" si="764"/>
        <v>298.45999999999998</v>
      </c>
      <c r="T523" s="40">
        <f t="shared" si="765"/>
        <v>32830.6</v>
      </c>
      <c r="U523" s="40">
        <f t="shared" si="766"/>
        <v>13579.929999999998</v>
      </c>
      <c r="V523" s="40">
        <f t="shared" si="767"/>
        <v>9401.49</v>
      </c>
      <c r="W523" s="40">
        <f t="shared" si="768"/>
        <v>77599.599999999991</v>
      </c>
      <c r="X523" s="40">
        <f t="shared" si="769"/>
        <v>70287.33</v>
      </c>
      <c r="Y523" s="39">
        <f t="shared" si="770"/>
        <v>17459.91</v>
      </c>
      <c r="Z523" s="40">
        <f t="shared" si="771"/>
        <v>18355.289999999997</v>
      </c>
      <c r="AA523" s="40">
        <f t="shared" si="772"/>
        <v>15669.15</v>
      </c>
      <c r="AB523" s="40">
        <f t="shared" si="773"/>
        <v>19250.669999999998</v>
      </c>
      <c r="AC523" s="40">
        <f t="shared" si="774"/>
        <v>25369.1</v>
      </c>
      <c r="AD523" s="40">
        <f t="shared" si="775"/>
        <v>22384.5</v>
      </c>
      <c r="AE523" s="40">
        <f t="shared" si="776"/>
        <v>12983.009999999998</v>
      </c>
      <c r="AF523" s="40">
        <f t="shared" si="777"/>
        <v>11789.17</v>
      </c>
      <c r="AG523" s="40">
        <f t="shared" si="778"/>
        <v>14027.619999999999</v>
      </c>
      <c r="AH523" s="40">
        <f t="shared" si="749"/>
        <v>13132.24</v>
      </c>
      <c r="AI523" s="40">
        <f t="shared" si="750"/>
        <v>13447.281111111111</v>
      </c>
      <c r="AJ523" s="40">
        <f t="shared" si="751"/>
        <v>0</v>
      </c>
      <c r="AK523" s="39">
        <f t="shared" si="752"/>
        <v>0</v>
      </c>
      <c r="AL523" s="38">
        <v>0</v>
      </c>
      <c r="AM523" s="38">
        <v>0</v>
      </c>
      <c r="AN523" s="38">
        <v>0</v>
      </c>
      <c r="AO523" s="38">
        <v>0</v>
      </c>
      <c r="AP523" s="38">
        <v>0</v>
      </c>
      <c r="AQ523" s="39">
        <v>0</v>
      </c>
      <c r="AR523" s="40">
        <v>0</v>
      </c>
      <c r="AS523" s="40">
        <v>0</v>
      </c>
      <c r="AT523" s="40">
        <v>0</v>
      </c>
      <c r="AU523" s="40">
        <v>0</v>
      </c>
      <c r="AV523" s="40">
        <v>0</v>
      </c>
      <c r="AW523" s="40">
        <v>0</v>
      </c>
      <c r="AX523" s="40">
        <v>202</v>
      </c>
      <c r="AY523" s="40">
        <v>82</v>
      </c>
      <c r="AZ523" s="40">
        <v>57</v>
      </c>
      <c r="BA523" s="40">
        <v>365</v>
      </c>
      <c r="BB523" s="40">
        <v>453</v>
      </c>
      <c r="BC523" s="39">
        <v>111</v>
      </c>
      <c r="BD523" s="40">
        <v>116</v>
      </c>
      <c r="BE523" s="40">
        <v>102</v>
      </c>
      <c r="BF523" s="40">
        <v>124</v>
      </c>
      <c r="BG523" s="40">
        <v>145</v>
      </c>
      <c r="BH523" s="40">
        <v>150</v>
      </c>
      <c r="BI523" s="40">
        <v>86</v>
      </c>
      <c r="BJ523" s="40">
        <v>74</v>
      </c>
      <c r="BK523" s="40">
        <v>94</v>
      </c>
      <c r="BL523" s="40">
        <v>88</v>
      </c>
      <c r="BM523" s="40">
        <v>85</v>
      </c>
      <c r="BN523" s="40"/>
      <c r="BO523" s="39"/>
      <c r="BP523" s="21">
        <v>0</v>
      </c>
      <c r="BQ523" s="21">
        <v>0</v>
      </c>
      <c r="BR523" s="21">
        <v>0</v>
      </c>
      <c r="BS523" s="21">
        <v>0</v>
      </c>
      <c r="BT523" s="21">
        <v>0</v>
      </c>
      <c r="BU523" s="42">
        <v>0</v>
      </c>
      <c r="BV523" s="21">
        <v>0</v>
      </c>
      <c r="BW523" s="21">
        <v>0</v>
      </c>
      <c r="BX523" s="21">
        <v>0</v>
      </c>
      <c r="BY523" s="21">
        <v>0</v>
      </c>
      <c r="BZ523" s="21">
        <v>0</v>
      </c>
      <c r="CA523" s="21">
        <v>2</v>
      </c>
      <c r="CB523" s="21">
        <v>18</v>
      </c>
      <c r="CC523" s="21">
        <v>9</v>
      </c>
      <c r="CD523" s="21">
        <v>6</v>
      </c>
      <c r="CE523" s="21">
        <v>155</v>
      </c>
      <c r="CF523" s="21">
        <v>18</v>
      </c>
      <c r="CG523" s="42">
        <v>6</v>
      </c>
      <c r="CH523" s="21">
        <v>7</v>
      </c>
      <c r="CI523" s="21">
        <v>3</v>
      </c>
      <c r="CJ523" s="21">
        <v>5</v>
      </c>
      <c r="CK523" s="21">
        <v>25</v>
      </c>
      <c r="CL523" s="21">
        <v>0</v>
      </c>
      <c r="CM523" s="21">
        <v>1</v>
      </c>
      <c r="CN523" s="21">
        <v>5</v>
      </c>
      <c r="CO523" s="21">
        <v>0</v>
      </c>
      <c r="CP523" s="21">
        <f t="shared" si="779"/>
        <v>0</v>
      </c>
      <c r="CQ523" s="343">
        <f t="shared" si="780"/>
        <v>5.1111111111111107</v>
      </c>
      <c r="CR523" s="40"/>
      <c r="CS523" s="39"/>
      <c r="CT523" s="38">
        <f t="shared" si="719"/>
        <v>0</v>
      </c>
      <c r="CU523" s="38">
        <f t="shared" si="720"/>
        <v>0</v>
      </c>
      <c r="CV523" s="38">
        <f t="shared" si="721"/>
        <v>0</v>
      </c>
      <c r="CW523" s="38">
        <f t="shared" si="722"/>
        <v>0</v>
      </c>
      <c r="CX523" s="38">
        <f t="shared" si="723"/>
        <v>0</v>
      </c>
      <c r="CY523" s="39">
        <f t="shared" si="724"/>
        <v>0</v>
      </c>
      <c r="CZ523" s="40">
        <f t="shared" si="725"/>
        <v>0</v>
      </c>
      <c r="DA523" s="40">
        <f t="shared" si="726"/>
        <v>0</v>
      </c>
      <c r="DB523" s="40">
        <f t="shared" si="727"/>
        <v>0</v>
      </c>
      <c r="DC523" s="40">
        <f t="shared" si="728"/>
        <v>0</v>
      </c>
      <c r="DD523" s="40">
        <f t="shared" si="729"/>
        <v>0</v>
      </c>
      <c r="DE523" s="40">
        <f t="shared" si="730"/>
        <v>2</v>
      </c>
      <c r="DF523" s="40">
        <f t="shared" si="731"/>
        <v>220</v>
      </c>
      <c r="DG523" s="40">
        <f t="shared" si="732"/>
        <v>91</v>
      </c>
      <c r="DH523" s="40">
        <f t="shared" si="733"/>
        <v>63</v>
      </c>
      <c r="DI523" s="40">
        <f t="shared" si="734"/>
        <v>520</v>
      </c>
      <c r="DJ523" s="40">
        <f t="shared" si="735"/>
        <v>471</v>
      </c>
      <c r="DK523" s="39">
        <f t="shared" si="736"/>
        <v>117</v>
      </c>
      <c r="DL523" s="40">
        <f t="shared" si="737"/>
        <v>123</v>
      </c>
      <c r="DM523" s="40">
        <f t="shared" si="738"/>
        <v>105</v>
      </c>
      <c r="DN523" s="40">
        <f t="shared" si="739"/>
        <v>129</v>
      </c>
      <c r="DO523" s="40">
        <f t="shared" si="740"/>
        <v>170</v>
      </c>
      <c r="DP523" s="40">
        <f t="shared" si="741"/>
        <v>150</v>
      </c>
      <c r="DQ523" s="40">
        <f t="shared" si="742"/>
        <v>87</v>
      </c>
      <c r="DR523" s="40">
        <f t="shared" si="747"/>
        <v>79</v>
      </c>
      <c r="DS523" s="40">
        <f t="shared" si="748"/>
        <v>94</v>
      </c>
      <c r="DT523" s="40">
        <f t="shared" si="743"/>
        <v>88</v>
      </c>
      <c r="DU523" s="40">
        <f t="shared" si="744"/>
        <v>90.111111111111114</v>
      </c>
      <c r="DV523" s="40">
        <f t="shared" si="745"/>
        <v>0</v>
      </c>
      <c r="DW523" s="40">
        <f t="shared" si="746"/>
        <v>0</v>
      </c>
    </row>
    <row r="524" spans="1:127">
      <c r="A524" s="22" t="s">
        <v>44</v>
      </c>
      <c r="B524" s="26">
        <v>4902430745970</v>
      </c>
      <c r="C524" s="22" t="s">
        <v>44</v>
      </c>
      <c r="D524" s="22" t="s">
        <v>45</v>
      </c>
      <c r="E524" s="22">
        <v>729172</v>
      </c>
      <c r="F524" s="80" t="s">
        <v>611</v>
      </c>
      <c r="G524" s="25">
        <v>184.51625000000001</v>
      </c>
      <c r="H524" s="38">
        <f t="shared" si="753"/>
        <v>10886.458750000002</v>
      </c>
      <c r="I524" s="38">
        <f t="shared" si="754"/>
        <v>2214.1950000000002</v>
      </c>
      <c r="J524" s="38">
        <f t="shared" si="755"/>
        <v>2029.67875</v>
      </c>
      <c r="K524" s="38">
        <f t="shared" si="756"/>
        <v>369.03250000000003</v>
      </c>
      <c r="L524" s="38">
        <f t="shared" si="757"/>
        <v>1107.0975000000001</v>
      </c>
      <c r="M524" s="39">
        <f t="shared" si="758"/>
        <v>553.54875000000004</v>
      </c>
      <c r="N524" s="40">
        <f t="shared" si="759"/>
        <v>0</v>
      </c>
      <c r="O524" s="40">
        <f t="shared" si="760"/>
        <v>0</v>
      </c>
      <c r="P524" s="40">
        <f t="shared" si="761"/>
        <v>0</v>
      </c>
      <c r="Q524" s="40">
        <f t="shared" si="762"/>
        <v>0</v>
      </c>
      <c r="R524" s="40">
        <f t="shared" si="763"/>
        <v>0</v>
      </c>
      <c r="S524" s="40">
        <f t="shared" si="764"/>
        <v>0</v>
      </c>
      <c r="T524" s="40">
        <f t="shared" si="765"/>
        <v>0</v>
      </c>
      <c r="U524" s="40">
        <f t="shared" si="766"/>
        <v>0</v>
      </c>
      <c r="V524" s="40">
        <f t="shared" si="767"/>
        <v>0</v>
      </c>
      <c r="W524" s="40">
        <f t="shared" si="768"/>
        <v>0</v>
      </c>
      <c r="X524" s="40">
        <f t="shared" si="769"/>
        <v>0</v>
      </c>
      <c r="Y524" s="39">
        <f t="shared" si="770"/>
        <v>0</v>
      </c>
      <c r="Z524" s="40">
        <f t="shared" si="771"/>
        <v>0</v>
      </c>
      <c r="AA524" s="40">
        <f t="shared" si="772"/>
        <v>0</v>
      </c>
      <c r="AB524" s="40">
        <f t="shared" si="773"/>
        <v>0</v>
      </c>
      <c r="AC524" s="40">
        <f t="shared" si="774"/>
        <v>0</v>
      </c>
      <c r="AD524" s="40">
        <f t="shared" si="775"/>
        <v>0</v>
      </c>
      <c r="AE524" s="40">
        <f t="shared" si="776"/>
        <v>0</v>
      </c>
      <c r="AF524" s="40">
        <f t="shared" si="777"/>
        <v>0</v>
      </c>
      <c r="AG524" s="40">
        <f t="shared" si="778"/>
        <v>0</v>
      </c>
      <c r="AH524" s="40">
        <f t="shared" si="749"/>
        <v>0</v>
      </c>
      <c r="AI524" s="40">
        <f t="shared" si="750"/>
        <v>0</v>
      </c>
      <c r="AJ524" s="40">
        <f t="shared" si="751"/>
        <v>0</v>
      </c>
      <c r="AK524" s="39">
        <f t="shared" si="752"/>
        <v>0</v>
      </c>
      <c r="AL524" s="38">
        <v>35</v>
      </c>
      <c r="AM524" s="38">
        <v>12</v>
      </c>
      <c r="AN524" s="38">
        <v>11</v>
      </c>
      <c r="AO524" s="38">
        <v>2</v>
      </c>
      <c r="AP524" s="38">
        <v>6</v>
      </c>
      <c r="AQ524" s="39">
        <v>3</v>
      </c>
      <c r="AR524" s="40">
        <v>0</v>
      </c>
      <c r="AS524" s="40">
        <v>0</v>
      </c>
      <c r="AT524" s="40">
        <v>0</v>
      </c>
      <c r="AU524" s="40">
        <v>0</v>
      </c>
      <c r="AV524" s="40">
        <v>0</v>
      </c>
      <c r="AW524" s="40">
        <v>0</v>
      </c>
      <c r="AX524" s="40">
        <v>0</v>
      </c>
      <c r="AY524" s="40">
        <v>0</v>
      </c>
      <c r="AZ524" s="40">
        <v>0</v>
      </c>
      <c r="BA524" s="40">
        <v>0</v>
      </c>
      <c r="BB524" s="40">
        <v>0</v>
      </c>
      <c r="BC524" s="39">
        <v>0</v>
      </c>
      <c r="BD524" s="40">
        <v>0</v>
      </c>
      <c r="BE524" s="40">
        <v>0</v>
      </c>
      <c r="BF524" s="40">
        <v>0</v>
      </c>
      <c r="BG524" s="40">
        <v>0</v>
      </c>
      <c r="BH524" s="40">
        <v>0</v>
      </c>
      <c r="BI524" s="40">
        <v>0</v>
      </c>
      <c r="BJ524" s="40">
        <v>0</v>
      </c>
      <c r="BK524" s="40">
        <v>0</v>
      </c>
      <c r="BL524" s="40">
        <v>0</v>
      </c>
      <c r="BM524" s="40" t="s">
        <v>768</v>
      </c>
      <c r="BN524" s="40"/>
      <c r="BO524" s="39"/>
      <c r="BP524" s="21">
        <v>24</v>
      </c>
      <c r="BQ524" s="21">
        <v>0</v>
      </c>
      <c r="BR524" s="21">
        <v>0</v>
      </c>
      <c r="BS524" s="21">
        <v>0</v>
      </c>
      <c r="BT524" s="21">
        <v>0</v>
      </c>
      <c r="BU524" s="42">
        <v>0</v>
      </c>
      <c r="BV524" s="21">
        <v>0</v>
      </c>
      <c r="BW524" s="21">
        <v>0</v>
      </c>
      <c r="BX524" s="21">
        <v>0</v>
      </c>
      <c r="BY524" s="21">
        <v>0</v>
      </c>
      <c r="BZ524" s="21">
        <v>0</v>
      </c>
      <c r="CA524" s="21">
        <v>0</v>
      </c>
      <c r="CB524" s="21">
        <v>0</v>
      </c>
      <c r="CC524" s="21">
        <v>0</v>
      </c>
      <c r="CD524" s="21">
        <v>0</v>
      </c>
      <c r="CE524" s="21">
        <v>0</v>
      </c>
      <c r="CF524" s="21">
        <v>0</v>
      </c>
      <c r="CG524" s="42">
        <v>0</v>
      </c>
      <c r="CH524" s="21">
        <v>0</v>
      </c>
      <c r="CI524" s="21">
        <v>0</v>
      </c>
      <c r="CJ524" s="21">
        <v>0</v>
      </c>
      <c r="CK524" s="21">
        <v>0</v>
      </c>
      <c r="CL524" s="21">
        <v>0</v>
      </c>
      <c r="CM524" s="21">
        <v>0</v>
      </c>
      <c r="CN524" s="21">
        <v>0</v>
      </c>
      <c r="CO524" s="21">
        <v>0</v>
      </c>
      <c r="CP524" s="21">
        <f t="shared" si="779"/>
        <v>0</v>
      </c>
      <c r="CQ524" s="343">
        <f t="shared" si="780"/>
        <v>0</v>
      </c>
      <c r="CR524" s="40"/>
      <c r="CS524" s="39"/>
      <c r="CT524" s="38">
        <f t="shared" si="719"/>
        <v>59</v>
      </c>
      <c r="CU524" s="38">
        <f t="shared" si="720"/>
        <v>12</v>
      </c>
      <c r="CV524" s="38">
        <f t="shared" si="721"/>
        <v>11</v>
      </c>
      <c r="CW524" s="38">
        <f t="shared" si="722"/>
        <v>2</v>
      </c>
      <c r="CX524" s="38">
        <f t="shared" si="723"/>
        <v>6</v>
      </c>
      <c r="CY524" s="39">
        <f t="shared" si="724"/>
        <v>3</v>
      </c>
      <c r="CZ524" s="40">
        <f t="shared" si="725"/>
        <v>0</v>
      </c>
      <c r="DA524" s="40">
        <f t="shared" si="726"/>
        <v>0</v>
      </c>
      <c r="DB524" s="40">
        <f t="shared" si="727"/>
        <v>0</v>
      </c>
      <c r="DC524" s="40">
        <f t="shared" si="728"/>
        <v>0</v>
      </c>
      <c r="DD524" s="40">
        <f t="shared" si="729"/>
        <v>0</v>
      </c>
      <c r="DE524" s="40">
        <f t="shared" si="730"/>
        <v>0</v>
      </c>
      <c r="DF524" s="40">
        <f t="shared" si="731"/>
        <v>0</v>
      </c>
      <c r="DG524" s="40">
        <f t="shared" si="732"/>
        <v>0</v>
      </c>
      <c r="DH524" s="40">
        <f t="shared" si="733"/>
        <v>0</v>
      </c>
      <c r="DI524" s="40">
        <f t="shared" si="734"/>
        <v>0</v>
      </c>
      <c r="DJ524" s="40">
        <f t="shared" si="735"/>
        <v>0</v>
      </c>
      <c r="DK524" s="39">
        <f t="shared" si="736"/>
        <v>0</v>
      </c>
      <c r="DL524" s="40">
        <f t="shared" si="737"/>
        <v>0</v>
      </c>
      <c r="DM524" s="40">
        <f t="shared" si="738"/>
        <v>0</v>
      </c>
      <c r="DN524" s="40">
        <f t="shared" si="739"/>
        <v>0</v>
      </c>
      <c r="DO524" s="40">
        <f t="shared" si="740"/>
        <v>0</v>
      </c>
      <c r="DP524" s="40">
        <f t="shared" si="741"/>
        <v>0</v>
      </c>
      <c r="DQ524" s="40">
        <f t="shared" si="742"/>
        <v>0</v>
      </c>
      <c r="DR524" s="40">
        <f t="shared" si="747"/>
        <v>0</v>
      </c>
      <c r="DS524" s="40">
        <f t="shared" si="748"/>
        <v>0</v>
      </c>
      <c r="DT524" s="40">
        <f t="shared" si="743"/>
        <v>0</v>
      </c>
      <c r="DU524" s="40">
        <f t="shared" si="744"/>
        <v>0</v>
      </c>
      <c r="DV524" s="40">
        <f t="shared" si="745"/>
        <v>0</v>
      </c>
      <c r="DW524" s="40">
        <f t="shared" si="746"/>
        <v>0</v>
      </c>
    </row>
    <row r="525" spans="1:127">
      <c r="A525" s="22" t="s">
        <v>44</v>
      </c>
      <c r="B525" s="26">
        <v>4902430746007</v>
      </c>
      <c r="C525" s="22" t="s">
        <v>44</v>
      </c>
      <c r="D525" s="22" t="s">
        <v>45</v>
      </c>
      <c r="E525" s="22">
        <v>729198</v>
      </c>
      <c r="F525" s="80" t="s">
        <v>612</v>
      </c>
      <c r="G525" s="25">
        <v>447.40249999999997</v>
      </c>
      <c r="H525" s="38">
        <f t="shared" si="753"/>
        <v>42503.237499999996</v>
      </c>
      <c r="I525" s="38">
        <f t="shared" si="754"/>
        <v>44292.847499999996</v>
      </c>
      <c r="J525" s="38">
        <f t="shared" si="755"/>
        <v>35792.199999999997</v>
      </c>
      <c r="K525" s="38">
        <f t="shared" si="756"/>
        <v>29081.162499999999</v>
      </c>
      <c r="L525" s="38">
        <f t="shared" si="757"/>
        <v>42503.237499999996</v>
      </c>
      <c r="M525" s="39">
        <f t="shared" si="758"/>
        <v>29528.564999999999</v>
      </c>
      <c r="N525" s="40">
        <f t="shared" si="759"/>
        <v>17448.697499999998</v>
      </c>
      <c r="O525" s="40">
        <f t="shared" si="760"/>
        <v>27291.552499999998</v>
      </c>
      <c r="P525" s="40">
        <f t="shared" si="761"/>
        <v>14764.282499999999</v>
      </c>
      <c r="Q525" s="40">
        <f t="shared" si="762"/>
        <v>1789.61</v>
      </c>
      <c r="R525" s="40">
        <f t="shared" si="763"/>
        <v>10737.66</v>
      </c>
      <c r="S525" s="40">
        <f t="shared" si="764"/>
        <v>3579.22</v>
      </c>
      <c r="T525" s="40">
        <f t="shared" si="765"/>
        <v>447.40249999999997</v>
      </c>
      <c r="U525" s="40">
        <f t="shared" si="766"/>
        <v>0</v>
      </c>
      <c r="V525" s="40">
        <f t="shared" si="767"/>
        <v>1789.61</v>
      </c>
      <c r="W525" s="40">
        <f t="shared" si="768"/>
        <v>447.40249999999997</v>
      </c>
      <c r="X525" s="40">
        <f t="shared" si="769"/>
        <v>447.40249999999997</v>
      </c>
      <c r="Y525" s="39">
        <f t="shared" si="770"/>
        <v>3131.8174999999997</v>
      </c>
      <c r="Z525" s="40">
        <f t="shared" si="771"/>
        <v>0</v>
      </c>
      <c r="AA525" s="40">
        <f t="shared" si="772"/>
        <v>894.80499999999995</v>
      </c>
      <c r="AB525" s="40">
        <f t="shared" si="773"/>
        <v>0</v>
      </c>
      <c r="AC525" s="40">
        <f t="shared" si="774"/>
        <v>0</v>
      </c>
      <c r="AD525" s="40">
        <f t="shared" si="775"/>
        <v>0</v>
      </c>
      <c r="AE525" s="40">
        <f t="shared" si="776"/>
        <v>0</v>
      </c>
      <c r="AF525" s="40">
        <f t="shared" si="777"/>
        <v>0</v>
      </c>
      <c r="AG525" s="40">
        <f t="shared" si="778"/>
        <v>0</v>
      </c>
      <c r="AH525" s="40">
        <f t="shared" si="749"/>
        <v>0</v>
      </c>
      <c r="AI525" s="40">
        <f t="shared" si="750"/>
        <v>0</v>
      </c>
      <c r="AJ525" s="40">
        <f t="shared" si="751"/>
        <v>0</v>
      </c>
      <c r="AK525" s="39">
        <f t="shared" si="752"/>
        <v>0</v>
      </c>
      <c r="AL525" s="38">
        <v>81</v>
      </c>
      <c r="AM525" s="38">
        <v>94</v>
      </c>
      <c r="AN525" s="38">
        <v>70</v>
      </c>
      <c r="AO525" s="38">
        <v>57</v>
      </c>
      <c r="AP525" s="38">
        <v>77</v>
      </c>
      <c r="AQ525" s="39">
        <v>55</v>
      </c>
      <c r="AR525" s="40">
        <v>36</v>
      </c>
      <c r="AS525" s="40">
        <v>60</v>
      </c>
      <c r="AT525" s="40">
        <v>29</v>
      </c>
      <c r="AU525" s="40">
        <v>4</v>
      </c>
      <c r="AV525" s="40">
        <v>9</v>
      </c>
      <c r="AW525" s="40">
        <v>8</v>
      </c>
      <c r="AX525" s="40">
        <v>1</v>
      </c>
      <c r="AY525" s="40">
        <v>0</v>
      </c>
      <c r="AZ525" s="40">
        <v>4</v>
      </c>
      <c r="BA525" s="40">
        <v>1</v>
      </c>
      <c r="BB525" s="40">
        <v>1</v>
      </c>
      <c r="BC525" s="39">
        <v>7</v>
      </c>
      <c r="BD525" s="40">
        <v>0</v>
      </c>
      <c r="BE525" s="40">
        <v>2</v>
      </c>
      <c r="BF525" s="40">
        <v>0</v>
      </c>
      <c r="BG525" s="40">
        <v>0</v>
      </c>
      <c r="BH525" s="40">
        <v>0</v>
      </c>
      <c r="BI525" s="40">
        <v>0</v>
      </c>
      <c r="BJ525" s="40">
        <v>0</v>
      </c>
      <c r="BK525" s="40">
        <v>0</v>
      </c>
      <c r="BL525" s="40">
        <v>0</v>
      </c>
      <c r="BM525" s="40">
        <v>0</v>
      </c>
      <c r="BN525" s="40"/>
      <c r="BO525" s="39"/>
      <c r="BP525" s="21">
        <v>14</v>
      </c>
      <c r="BQ525" s="21">
        <v>5</v>
      </c>
      <c r="BR525" s="21">
        <v>10</v>
      </c>
      <c r="BS525" s="21">
        <v>8</v>
      </c>
      <c r="BT525" s="21">
        <v>18</v>
      </c>
      <c r="BU525" s="42">
        <v>11</v>
      </c>
      <c r="BV525" s="21">
        <v>3</v>
      </c>
      <c r="BW525" s="21">
        <v>1</v>
      </c>
      <c r="BX525" s="21">
        <v>4</v>
      </c>
      <c r="BY525" s="21">
        <v>0</v>
      </c>
      <c r="BZ525" s="21">
        <v>15</v>
      </c>
      <c r="CA525" s="21">
        <v>0</v>
      </c>
      <c r="CB525" s="21">
        <v>0</v>
      </c>
      <c r="CC525" s="21">
        <v>0</v>
      </c>
      <c r="CD525" s="21">
        <v>0</v>
      </c>
      <c r="CE525" s="21">
        <v>0</v>
      </c>
      <c r="CF525" s="21">
        <v>0</v>
      </c>
      <c r="CG525" s="42">
        <v>0</v>
      </c>
      <c r="CH525" s="21">
        <v>0</v>
      </c>
      <c r="CI525" s="21">
        <v>0</v>
      </c>
      <c r="CJ525" s="21">
        <v>0</v>
      </c>
      <c r="CK525" s="21">
        <v>0</v>
      </c>
      <c r="CL525" s="21">
        <v>0</v>
      </c>
      <c r="CM525" s="21">
        <v>0</v>
      </c>
      <c r="CN525" s="21">
        <v>0</v>
      </c>
      <c r="CO525" s="21">
        <v>0</v>
      </c>
      <c r="CP525" s="21">
        <f t="shared" si="779"/>
        <v>0</v>
      </c>
      <c r="CQ525" s="343">
        <f t="shared" si="780"/>
        <v>0</v>
      </c>
      <c r="CR525" s="40"/>
      <c r="CS525" s="39"/>
      <c r="CT525" s="38">
        <f t="shared" si="719"/>
        <v>95</v>
      </c>
      <c r="CU525" s="38">
        <f t="shared" si="720"/>
        <v>99</v>
      </c>
      <c r="CV525" s="38">
        <f t="shared" si="721"/>
        <v>80</v>
      </c>
      <c r="CW525" s="38">
        <f t="shared" si="722"/>
        <v>65</v>
      </c>
      <c r="CX525" s="38">
        <f t="shared" si="723"/>
        <v>95</v>
      </c>
      <c r="CY525" s="39">
        <f t="shared" si="724"/>
        <v>66</v>
      </c>
      <c r="CZ525" s="40">
        <f t="shared" si="725"/>
        <v>39</v>
      </c>
      <c r="DA525" s="40">
        <f t="shared" si="726"/>
        <v>61</v>
      </c>
      <c r="DB525" s="40">
        <f t="shared" si="727"/>
        <v>33</v>
      </c>
      <c r="DC525" s="40">
        <f t="shared" si="728"/>
        <v>4</v>
      </c>
      <c r="DD525" s="40">
        <f t="shared" si="729"/>
        <v>24</v>
      </c>
      <c r="DE525" s="40">
        <f t="shared" si="730"/>
        <v>8</v>
      </c>
      <c r="DF525" s="40">
        <f t="shared" si="731"/>
        <v>1</v>
      </c>
      <c r="DG525" s="40">
        <f t="shared" si="732"/>
        <v>0</v>
      </c>
      <c r="DH525" s="40">
        <f t="shared" si="733"/>
        <v>4</v>
      </c>
      <c r="DI525" s="40">
        <f t="shared" si="734"/>
        <v>1</v>
      </c>
      <c r="DJ525" s="40">
        <f t="shared" si="735"/>
        <v>1</v>
      </c>
      <c r="DK525" s="39">
        <f t="shared" si="736"/>
        <v>7</v>
      </c>
      <c r="DL525" s="40">
        <f t="shared" si="737"/>
        <v>0</v>
      </c>
      <c r="DM525" s="40">
        <f t="shared" si="738"/>
        <v>2</v>
      </c>
      <c r="DN525" s="40">
        <f t="shared" si="739"/>
        <v>0</v>
      </c>
      <c r="DO525" s="40">
        <f t="shared" si="740"/>
        <v>0</v>
      </c>
      <c r="DP525" s="40">
        <f t="shared" si="741"/>
        <v>0</v>
      </c>
      <c r="DQ525" s="40">
        <f t="shared" si="742"/>
        <v>0</v>
      </c>
      <c r="DR525" s="40">
        <f t="shared" si="747"/>
        <v>0</v>
      </c>
      <c r="DS525" s="40">
        <f t="shared" si="748"/>
        <v>0</v>
      </c>
      <c r="DT525" s="40">
        <f t="shared" si="743"/>
        <v>0</v>
      </c>
      <c r="DU525" s="40">
        <f t="shared" si="744"/>
        <v>0</v>
      </c>
      <c r="DV525" s="40">
        <f t="shared" si="745"/>
        <v>0</v>
      </c>
      <c r="DW525" s="40">
        <f t="shared" si="746"/>
        <v>0</v>
      </c>
    </row>
    <row r="526" spans="1:127">
      <c r="A526" s="22" t="s">
        <v>44</v>
      </c>
      <c r="B526" s="26">
        <v>4902430693219</v>
      </c>
      <c r="C526" s="22" t="s">
        <v>44</v>
      </c>
      <c r="D526" s="22" t="s">
        <v>45</v>
      </c>
      <c r="E526" s="22">
        <v>729185</v>
      </c>
      <c r="F526" s="80" t="s">
        <v>613</v>
      </c>
      <c r="G526" s="25">
        <v>395.14499999999998</v>
      </c>
      <c r="H526" s="38">
        <f t="shared" si="753"/>
        <v>24103.844999999998</v>
      </c>
      <c r="I526" s="38">
        <f t="shared" si="754"/>
        <v>37143.629999999997</v>
      </c>
      <c r="J526" s="38">
        <f t="shared" si="755"/>
        <v>22523.264999999999</v>
      </c>
      <c r="K526" s="38">
        <f t="shared" si="756"/>
        <v>32006.744999999999</v>
      </c>
      <c r="L526" s="38">
        <f t="shared" si="757"/>
        <v>43465.95</v>
      </c>
      <c r="M526" s="39">
        <f t="shared" si="758"/>
        <v>21337.829999999998</v>
      </c>
      <c r="N526" s="40">
        <f t="shared" si="759"/>
        <v>26079.57</v>
      </c>
      <c r="O526" s="40">
        <f t="shared" si="760"/>
        <v>23708.699999999997</v>
      </c>
      <c r="P526" s="40">
        <f t="shared" si="761"/>
        <v>30031.019999999997</v>
      </c>
      <c r="Q526" s="40">
        <f t="shared" si="762"/>
        <v>12644.64</v>
      </c>
      <c r="R526" s="40">
        <f t="shared" si="763"/>
        <v>5136.8850000000002</v>
      </c>
      <c r="S526" s="40">
        <f t="shared" si="764"/>
        <v>3161.16</v>
      </c>
      <c r="T526" s="40">
        <f t="shared" si="765"/>
        <v>2370.87</v>
      </c>
      <c r="U526" s="40">
        <f t="shared" si="766"/>
        <v>1580.58</v>
      </c>
      <c r="V526" s="40">
        <f t="shared" si="767"/>
        <v>0</v>
      </c>
      <c r="W526" s="40">
        <f t="shared" si="768"/>
        <v>790.29</v>
      </c>
      <c r="X526" s="40">
        <f t="shared" si="769"/>
        <v>2370.87</v>
      </c>
      <c r="Y526" s="39">
        <f t="shared" si="770"/>
        <v>790.29</v>
      </c>
      <c r="Z526" s="40">
        <f t="shared" si="771"/>
        <v>2370.87</v>
      </c>
      <c r="AA526" s="40">
        <f t="shared" si="772"/>
        <v>3161.16</v>
      </c>
      <c r="AB526" s="40">
        <f t="shared" si="773"/>
        <v>0</v>
      </c>
      <c r="AC526" s="40">
        <f t="shared" si="774"/>
        <v>0</v>
      </c>
      <c r="AD526" s="40">
        <f t="shared" si="775"/>
        <v>0</v>
      </c>
      <c r="AE526" s="40">
        <f t="shared" si="776"/>
        <v>0</v>
      </c>
      <c r="AF526" s="40">
        <f t="shared" si="777"/>
        <v>0</v>
      </c>
      <c r="AG526" s="40">
        <f t="shared" si="778"/>
        <v>0</v>
      </c>
      <c r="AH526" s="40">
        <f t="shared" si="749"/>
        <v>0</v>
      </c>
      <c r="AI526" s="40">
        <f t="shared" si="750"/>
        <v>0</v>
      </c>
      <c r="AJ526" s="40">
        <f t="shared" si="751"/>
        <v>0</v>
      </c>
      <c r="AK526" s="39">
        <f t="shared" si="752"/>
        <v>0</v>
      </c>
      <c r="AL526" s="38">
        <v>35</v>
      </c>
      <c r="AM526" s="38">
        <v>36</v>
      </c>
      <c r="AN526" s="38">
        <v>20</v>
      </c>
      <c r="AO526" s="38">
        <v>30</v>
      </c>
      <c r="AP526" s="38">
        <v>36</v>
      </c>
      <c r="AQ526" s="39">
        <v>10</v>
      </c>
      <c r="AR526" s="40">
        <v>12</v>
      </c>
      <c r="AS526" s="40">
        <v>25</v>
      </c>
      <c r="AT526" s="40">
        <v>27</v>
      </c>
      <c r="AU526" s="40">
        <v>16</v>
      </c>
      <c r="AV526" s="40">
        <v>13</v>
      </c>
      <c r="AW526" s="40">
        <v>8</v>
      </c>
      <c r="AX526" s="40">
        <v>6</v>
      </c>
      <c r="AY526" s="40">
        <v>4</v>
      </c>
      <c r="AZ526" s="40">
        <v>0</v>
      </c>
      <c r="BA526" s="40">
        <v>2</v>
      </c>
      <c r="BB526" s="40">
        <v>6</v>
      </c>
      <c r="BC526" s="39">
        <v>2</v>
      </c>
      <c r="BD526" s="40">
        <v>6</v>
      </c>
      <c r="BE526" s="40">
        <v>8</v>
      </c>
      <c r="BF526" s="40">
        <v>0</v>
      </c>
      <c r="BG526" s="40">
        <v>0</v>
      </c>
      <c r="BH526" s="40">
        <v>0</v>
      </c>
      <c r="BI526" s="40">
        <v>0</v>
      </c>
      <c r="BJ526" s="40">
        <v>0</v>
      </c>
      <c r="BK526" s="40">
        <v>0</v>
      </c>
      <c r="BL526" s="40">
        <v>0</v>
      </c>
      <c r="BM526" s="40">
        <v>0</v>
      </c>
      <c r="BN526" s="40"/>
      <c r="BO526" s="39"/>
      <c r="BP526" s="21">
        <v>26</v>
      </c>
      <c r="BQ526" s="21">
        <v>58</v>
      </c>
      <c r="BR526" s="21">
        <v>37</v>
      </c>
      <c r="BS526" s="21">
        <v>51</v>
      </c>
      <c r="BT526" s="21">
        <v>74</v>
      </c>
      <c r="BU526" s="42">
        <v>44</v>
      </c>
      <c r="BV526" s="21">
        <v>54</v>
      </c>
      <c r="BW526" s="21">
        <v>35</v>
      </c>
      <c r="BX526" s="21">
        <v>49</v>
      </c>
      <c r="BY526" s="21">
        <v>16</v>
      </c>
      <c r="BZ526" s="21">
        <v>0</v>
      </c>
      <c r="CA526" s="21">
        <v>0</v>
      </c>
      <c r="CB526" s="21">
        <v>0</v>
      </c>
      <c r="CC526" s="21">
        <v>0</v>
      </c>
      <c r="CD526" s="21">
        <v>0</v>
      </c>
      <c r="CE526" s="21">
        <v>0</v>
      </c>
      <c r="CF526" s="21">
        <v>0</v>
      </c>
      <c r="CG526" s="42">
        <v>0</v>
      </c>
      <c r="CH526" s="21">
        <v>0</v>
      </c>
      <c r="CI526" s="21">
        <v>0</v>
      </c>
      <c r="CJ526" s="21">
        <v>0</v>
      </c>
      <c r="CK526" s="21">
        <v>0</v>
      </c>
      <c r="CL526" s="21">
        <v>0</v>
      </c>
      <c r="CM526" s="21">
        <v>0</v>
      </c>
      <c r="CN526" s="21">
        <v>0</v>
      </c>
      <c r="CO526" s="21">
        <v>0</v>
      </c>
      <c r="CP526" s="21">
        <f t="shared" si="779"/>
        <v>0</v>
      </c>
      <c r="CQ526" s="343">
        <f t="shared" si="780"/>
        <v>0</v>
      </c>
      <c r="CR526" s="40"/>
      <c r="CS526" s="39"/>
      <c r="CT526" s="38">
        <f t="shared" si="719"/>
        <v>61</v>
      </c>
      <c r="CU526" s="38">
        <f t="shared" si="720"/>
        <v>94</v>
      </c>
      <c r="CV526" s="38">
        <f t="shared" si="721"/>
        <v>57</v>
      </c>
      <c r="CW526" s="38">
        <f t="shared" si="722"/>
        <v>81</v>
      </c>
      <c r="CX526" s="38">
        <f t="shared" si="723"/>
        <v>110</v>
      </c>
      <c r="CY526" s="39">
        <f t="shared" si="724"/>
        <v>54</v>
      </c>
      <c r="CZ526" s="40">
        <f t="shared" si="725"/>
        <v>66</v>
      </c>
      <c r="DA526" s="40">
        <f t="shared" si="726"/>
        <v>60</v>
      </c>
      <c r="DB526" s="40">
        <f t="shared" si="727"/>
        <v>76</v>
      </c>
      <c r="DC526" s="40">
        <f t="shared" si="728"/>
        <v>32</v>
      </c>
      <c r="DD526" s="40">
        <f t="shared" si="729"/>
        <v>13</v>
      </c>
      <c r="DE526" s="40">
        <f t="shared" si="730"/>
        <v>8</v>
      </c>
      <c r="DF526" s="40">
        <f t="shared" si="731"/>
        <v>6</v>
      </c>
      <c r="DG526" s="40">
        <f t="shared" si="732"/>
        <v>4</v>
      </c>
      <c r="DH526" s="40">
        <f t="shared" si="733"/>
        <v>0</v>
      </c>
      <c r="DI526" s="40">
        <f t="shared" si="734"/>
        <v>2</v>
      </c>
      <c r="DJ526" s="40">
        <f t="shared" si="735"/>
        <v>6</v>
      </c>
      <c r="DK526" s="39">
        <f t="shared" si="736"/>
        <v>2</v>
      </c>
      <c r="DL526" s="40">
        <f t="shared" si="737"/>
        <v>6</v>
      </c>
      <c r="DM526" s="40">
        <f t="shared" si="738"/>
        <v>8</v>
      </c>
      <c r="DN526" s="40">
        <f t="shared" si="739"/>
        <v>0</v>
      </c>
      <c r="DO526" s="40">
        <f t="shared" si="740"/>
        <v>0</v>
      </c>
      <c r="DP526" s="40">
        <f t="shared" si="741"/>
        <v>0</v>
      </c>
      <c r="DQ526" s="40">
        <f t="shared" si="742"/>
        <v>0</v>
      </c>
      <c r="DR526" s="40">
        <f t="shared" si="747"/>
        <v>0</v>
      </c>
      <c r="DS526" s="40">
        <f t="shared" si="748"/>
        <v>0</v>
      </c>
      <c r="DT526" s="40">
        <f t="shared" si="743"/>
        <v>0</v>
      </c>
      <c r="DU526" s="40">
        <f t="shared" si="744"/>
        <v>0</v>
      </c>
      <c r="DV526" s="40">
        <f t="shared" si="745"/>
        <v>0</v>
      </c>
      <c r="DW526" s="40">
        <f t="shared" si="746"/>
        <v>0</v>
      </c>
    </row>
    <row r="527" spans="1:127">
      <c r="A527" s="22" t="s">
        <v>44</v>
      </c>
      <c r="B527" s="26">
        <v>4902430745987</v>
      </c>
      <c r="C527" s="22" t="s">
        <v>44</v>
      </c>
      <c r="D527" s="22" t="s">
        <v>45</v>
      </c>
      <c r="E527" s="22">
        <v>729169</v>
      </c>
      <c r="F527" s="80" t="s">
        <v>614</v>
      </c>
      <c r="G527" s="25">
        <v>447.40249999999997</v>
      </c>
      <c r="H527" s="38">
        <f t="shared" si="753"/>
        <v>20133.112499999999</v>
      </c>
      <c r="I527" s="38">
        <f t="shared" si="754"/>
        <v>22817.5275</v>
      </c>
      <c r="J527" s="38">
        <f t="shared" si="755"/>
        <v>24607.137499999997</v>
      </c>
      <c r="K527" s="38">
        <f t="shared" si="756"/>
        <v>35792.199999999997</v>
      </c>
      <c r="L527" s="38">
        <f t="shared" si="757"/>
        <v>42950.64</v>
      </c>
      <c r="M527" s="39">
        <f t="shared" si="758"/>
        <v>38029.212500000001</v>
      </c>
      <c r="N527" s="40">
        <f t="shared" si="759"/>
        <v>22817.5275</v>
      </c>
      <c r="O527" s="40">
        <f t="shared" si="760"/>
        <v>25501.942499999997</v>
      </c>
      <c r="P527" s="40">
        <f t="shared" si="761"/>
        <v>28633.759999999998</v>
      </c>
      <c r="Q527" s="40">
        <f t="shared" si="762"/>
        <v>7158.44</v>
      </c>
      <c r="R527" s="40">
        <f t="shared" si="763"/>
        <v>4921.4274999999998</v>
      </c>
      <c r="S527" s="40">
        <f t="shared" si="764"/>
        <v>1789.61</v>
      </c>
      <c r="T527" s="40">
        <f t="shared" si="765"/>
        <v>1342.2075</v>
      </c>
      <c r="U527" s="40">
        <f t="shared" si="766"/>
        <v>894.80499999999995</v>
      </c>
      <c r="V527" s="40">
        <f t="shared" si="767"/>
        <v>1789.61</v>
      </c>
      <c r="W527" s="40">
        <f t="shared" si="768"/>
        <v>447.40249999999997</v>
      </c>
      <c r="X527" s="40">
        <f t="shared" si="769"/>
        <v>447.40249999999997</v>
      </c>
      <c r="Y527" s="39">
        <f t="shared" si="770"/>
        <v>894.80499999999995</v>
      </c>
      <c r="Z527" s="40">
        <f t="shared" si="771"/>
        <v>0</v>
      </c>
      <c r="AA527" s="40">
        <f t="shared" si="772"/>
        <v>1789.61</v>
      </c>
      <c r="AB527" s="40">
        <f t="shared" si="773"/>
        <v>0</v>
      </c>
      <c r="AC527" s="40">
        <f t="shared" si="774"/>
        <v>0</v>
      </c>
      <c r="AD527" s="40">
        <f t="shared" si="775"/>
        <v>0</v>
      </c>
      <c r="AE527" s="40">
        <f t="shared" si="776"/>
        <v>0</v>
      </c>
      <c r="AF527" s="40">
        <f t="shared" si="777"/>
        <v>0</v>
      </c>
      <c r="AG527" s="40">
        <f t="shared" si="778"/>
        <v>0</v>
      </c>
      <c r="AH527" s="40">
        <f t="shared" si="749"/>
        <v>0</v>
      </c>
      <c r="AI527" s="40">
        <f t="shared" si="750"/>
        <v>0</v>
      </c>
      <c r="AJ527" s="40">
        <f t="shared" si="751"/>
        <v>0</v>
      </c>
      <c r="AK527" s="39">
        <f t="shared" si="752"/>
        <v>0</v>
      </c>
      <c r="AL527" s="38">
        <v>40</v>
      </c>
      <c r="AM527" s="38">
        <v>48</v>
      </c>
      <c r="AN527" s="38">
        <v>36</v>
      </c>
      <c r="AO527" s="38">
        <v>59</v>
      </c>
      <c r="AP527" s="38">
        <v>79</v>
      </c>
      <c r="AQ527" s="39">
        <v>67</v>
      </c>
      <c r="AR527" s="40">
        <v>35</v>
      </c>
      <c r="AS527" s="40">
        <v>50</v>
      </c>
      <c r="AT527" s="40">
        <v>37</v>
      </c>
      <c r="AU527" s="40">
        <v>12</v>
      </c>
      <c r="AV527" s="40">
        <v>11</v>
      </c>
      <c r="AW527" s="40">
        <v>4</v>
      </c>
      <c r="AX527" s="40">
        <v>3</v>
      </c>
      <c r="AY527" s="40">
        <v>2</v>
      </c>
      <c r="AZ527" s="40">
        <v>4</v>
      </c>
      <c r="BA527" s="40">
        <v>1</v>
      </c>
      <c r="BB527" s="40">
        <v>1</v>
      </c>
      <c r="BC527" s="39">
        <v>2</v>
      </c>
      <c r="BD527" s="40">
        <v>0</v>
      </c>
      <c r="BE527" s="40">
        <v>4</v>
      </c>
      <c r="BF527" s="40">
        <v>0</v>
      </c>
      <c r="BG527" s="40">
        <v>0</v>
      </c>
      <c r="BH527" s="40">
        <v>0</v>
      </c>
      <c r="BI527" s="40">
        <v>0</v>
      </c>
      <c r="BJ527" s="40">
        <v>0</v>
      </c>
      <c r="BK527" s="40">
        <v>0</v>
      </c>
      <c r="BL527" s="40">
        <v>0</v>
      </c>
      <c r="BM527" s="40">
        <v>0</v>
      </c>
      <c r="BN527" s="40"/>
      <c r="BO527" s="39"/>
      <c r="BP527" s="21">
        <v>5</v>
      </c>
      <c r="BQ527" s="21">
        <v>3</v>
      </c>
      <c r="BR527" s="21">
        <v>19</v>
      </c>
      <c r="BS527" s="21">
        <v>21</v>
      </c>
      <c r="BT527" s="21">
        <v>17</v>
      </c>
      <c r="BU527" s="42">
        <v>18</v>
      </c>
      <c r="BV527" s="21">
        <v>16</v>
      </c>
      <c r="BW527" s="21">
        <v>7</v>
      </c>
      <c r="BX527" s="21">
        <v>27</v>
      </c>
      <c r="BY527" s="21">
        <v>4</v>
      </c>
      <c r="BZ527" s="21">
        <v>0</v>
      </c>
      <c r="CA527" s="21">
        <v>0</v>
      </c>
      <c r="CB527" s="21">
        <v>0</v>
      </c>
      <c r="CC527" s="21">
        <v>0</v>
      </c>
      <c r="CD527" s="21">
        <v>0</v>
      </c>
      <c r="CE527" s="21">
        <v>0</v>
      </c>
      <c r="CF527" s="21">
        <v>0</v>
      </c>
      <c r="CG527" s="42">
        <v>0</v>
      </c>
      <c r="CH527" s="21">
        <v>0</v>
      </c>
      <c r="CI527" s="21">
        <v>0</v>
      </c>
      <c r="CJ527" s="21">
        <v>0</v>
      </c>
      <c r="CK527" s="21">
        <v>0</v>
      </c>
      <c r="CL527" s="21">
        <v>0</v>
      </c>
      <c r="CM527" s="21">
        <v>0</v>
      </c>
      <c r="CN527" s="21">
        <v>0</v>
      </c>
      <c r="CO527" s="21">
        <v>0</v>
      </c>
      <c r="CP527" s="21">
        <f t="shared" si="779"/>
        <v>0</v>
      </c>
      <c r="CQ527" s="343">
        <f t="shared" si="780"/>
        <v>0</v>
      </c>
      <c r="CR527" s="40"/>
      <c r="CS527" s="39"/>
      <c r="CT527" s="38">
        <f t="shared" si="719"/>
        <v>45</v>
      </c>
      <c r="CU527" s="38">
        <f t="shared" si="720"/>
        <v>51</v>
      </c>
      <c r="CV527" s="38">
        <f t="shared" si="721"/>
        <v>55</v>
      </c>
      <c r="CW527" s="38">
        <f t="shared" si="722"/>
        <v>80</v>
      </c>
      <c r="CX527" s="38">
        <f t="shared" si="723"/>
        <v>96</v>
      </c>
      <c r="CY527" s="39">
        <f t="shared" si="724"/>
        <v>85</v>
      </c>
      <c r="CZ527" s="40">
        <f t="shared" si="725"/>
        <v>51</v>
      </c>
      <c r="DA527" s="40">
        <f t="shared" si="726"/>
        <v>57</v>
      </c>
      <c r="DB527" s="40">
        <f t="shared" si="727"/>
        <v>64</v>
      </c>
      <c r="DC527" s="40">
        <f t="shared" si="728"/>
        <v>16</v>
      </c>
      <c r="DD527" s="40">
        <f t="shared" si="729"/>
        <v>11</v>
      </c>
      <c r="DE527" s="40">
        <f t="shared" si="730"/>
        <v>4</v>
      </c>
      <c r="DF527" s="40">
        <f t="shared" si="731"/>
        <v>3</v>
      </c>
      <c r="DG527" s="40">
        <f t="shared" si="732"/>
        <v>2</v>
      </c>
      <c r="DH527" s="40">
        <f t="shared" si="733"/>
        <v>4</v>
      </c>
      <c r="DI527" s="40">
        <f t="shared" si="734"/>
        <v>1</v>
      </c>
      <c r="DJ527" s="40">
        <f t="shared" si="735"/>
        <v>1</v>
      </c>
      <c r="DK527" s="39">
        <f t="shared" si="736"/>
        <v>2</v>
      </c>
      <c r="DL527" s="40">
        <f t="shared" si="737"/>
        <v>0</v>
      </c>
      <c r="DM527" s="40">
        <f t="shared" si="738"/>
        <v>4</v>
      </c>
      <c r="DN527" s="40">
        <f t="shared" si="739"/>
        <v>0</v>
      </c>
      <c r="DO527" s="40">
        <f t="shared" si="740"/>
        <v>0</v>
      </c>
      <c r="DP527" s="40">
        <f t="shared" si="741"/>
        <v>0</v>
      </c>
      <c r="DQ527" s="40">
        <f t="shared" si="742"/>
        <v>0</v>
      </c>
      <c r="DR527" s="40">
        <f t="shared" si="747"/>
        <v>0</v>
      </c>
      <c r="DS527" s="40">
        <f t="shared" si="748"/>
        <v>0</v>
      </c>
      <c r="DT527" s="40">
        <f t="shared" si="743"/>
        <v>0</v>
      </c>
      <c r="DU527" s="40">
        <f t="shared" si="744"/>
        <v>0</v>
      </c>
      <c r="DV527" s="40">
        <f t="shared" si="745"/>
        <v>0</v>
      </c>
      <c r="DW527" s="40">
        <f t="shared" si="746"/>
        <v>0</v>
      </c>
    </row>
    <row r="528" spans="1:127">
      <c r="A528" s="22" t="s">
        <v>44</v>
      </c>
      <c r="B528" s="26">
        <v>4902430746021</v>
      </c>
      <c r="C528" s="22" t="s">
        <v>44</v>
      </c>
      <c r="D528" s="22" t="s">
        <v>45</v>
      </c>
      <c r="E528" s="22">
        <v>729156</v>
      </c>
      <c r="F528" s="80" t="s">
        <v>615</v>
      </c>
      <c r="G528" s="25">
        <v>447.40166666666664</v>
      </c>
      <c r="H528" s="38">
        <f t="shared" si="753"/>
        <v>22370.083333333332</v>
      </c>
      <c r="I528" s="38">
        <f t="shared" si="754"/>
        <v>20580.476666666666</v>
      </c>
      <c r="J528" s="38">
        <f t="shared" si="755"/>
        <v>20133.074999999997</v>
      </c>
      <c r="K528" s="38">
        <f t="shared" si="756"/>
        <v>12974.648333333333</v>
      </c>
      <c r="L528" s="38">
        <f t="shared" si="757"/>
        <v>22370.083333333332</v>
      </c>
      <c r="M528" s="39">
        <f t="shared" si="758"/>
        <v>15659.058333333332</v>
      </c>
      <c r="N528" s="40">
        <f t="shared" si="759"/>
        <v>15211.656666666666</v>
      </c>
      <c r="O528" s="40">
        <f t="shared" si="760"/>
        <v>19238.271666666667</v>
      </c>
      <c r="P528" s="40">
        <f t="shared" si="761"/>
        <v>17001.263333333332</v>
      </c>
      <c r="Q528" s="40">
        <f t="shared" si="762"/>
        <v>7605.8283333333329</v>
      </c>
      <c r="R528" s="40">
        <f t="shared" si="763"/>
        <v>25501.894999999997</v>
      </c>
      <c r="S528" s="40">
        <f t="shared" si="764"/>
        <v>3131.8116666666665</v>
      </c>
      <c r="T528" s="40">
        <f t="shared" si="765"/>
        <v>2237.0083333333332</v>
      </c>
      <c r="U528" s="40">
        <f t="shared" si="766"/>
        <v>1789.6066666666666</v>
      </c>
      <c r="V528" s="40">
        <f t="shared" si="767"/>
        <v>1789.6066666666666</v>
      </c>
      <c r="W528" s="40">
        <f t="shared" si="768"/>
        <v>1789.6066666666666</v>
      </c>
      <c r="X528" s="40">
        <f t="shared" si="769"/>
        <v>447.40166666666664</v>
      </c>
      <c r="Y528" s="39">
        <f t="shared" si="770"/>
        <v>0</v>
      </c>
      <c r="Z528" s="40">
        <f t="shared" si="771"/>
        <v>1789.6066666666666</v>
      </c>
      <c r="AA528" s="40">
        <f t="shared" si="772"/>
        <v>1342.2049999999999</v>
      </c>
      <c r="AB528" s="40">
        <f t="shared" si="773"/>
        <v>0</v>
      </c>
      <c r="AC528" s="40">
        <f t="shared" si="774"/>
        <v>0</v>
      </c>
      <c r="AD528" s="40">
        <f t="shared" si="775"/>
        <v>0</v>
      </c>
      <c r="AE528" s="40">
        <f t="shared" si="776"/>
        <v>0</v>
      </c>
      <c r="AF528" s="40">
        <f t="shared" si="777"/>
        <v>0</v>
      </c>
      <c r="AG528" s="40">
        <f t="shared" si="778"/>
        <v>0</v>
      </c>
      <c r="AH528" s="40">
        <f t="shared" si="749"/>
        <v>0</v>
      </c>
      <c r="AI528" s="40">
        <f t="shared" si="750"/>
        <v>0</v>
      </c>
      <c r="AJ528" s="40">
        <f t="shared" si="751"/>
        <v>0</v>
      </c>
      <c r="AK528" s="39">
        <f t="shared" si="752"/>
        <v>0</v>
      </c>
      <c r="AL528" s="38">
        <v>47</v>
      </c>
      <c r="AM528" s="38">
        <v>46</v>
      </c>
      <c r="AN528" s="38">
        <v>40</v>
      </c>
      <c r="AO528" s="38">
        <v>27</v>
      </c>
      <c r="AP528" s="38">
        <v>50</v>
      </c>
      <c r="AQ528" s="39">
        <v>35</v>
      </c>
      <c r="AR528" s="40">
        <v>34</v>
      </c>
      <c r="AS528" s="40">
        <v>41</v>
      </c>
      <c r="AT528" s="40">
        <v>36</v>
      </c>
      <c r="AU528" s="40">
        <v>16</v>
      </c>
      <c r="AV528" s="40">
        <v>11</v>
      </c>
      <c r="AW528" s="40">
        <v>7</v>
      </c>
      <c r="AX528" s="40">
        <v>5</v>
      </c>
      <c r="AY528" s="40">
        <v>4</v>
      </c>
      <c r="AZ528" s="40">
        <v>4</v>
      </c>
      <c r="BA528" s="40">
        <v>4</v>
      </c>
      <c r="BB528" s="40">
        <v>1</v>
      </c>
      <c r="BC528" s="39">
        <v>0</v>
      </c>
      <c r="BD528" s="40">
        <v>4</v>
      </c>
      <c r="BE528" s="40">
        <v>3</v>
      </c>
      <c r="BF528" s="40">
        <v>0</v>
      </c>
      <c r="BG528" s="40">
        <v>0</v>
      </c>
      <c r="BH528" s="40">
        <v>0</v>
      </c>
      <c r="BI528" s="40">
        <v>0</v>
      </c>
      <c r="BJ528" s="40">
        <v>0</v>
      </c>
      <c r="BK528" s="40">
        <v>0</v>
      </c>
      <c r="BL528" s="40">
        <v>0</v>
      </c>
      <c r="BM528" s="40">
        <v>0</v>
      </c>
      <c r="BN528" s="40"/>
      <c r="BO528" s="39"/>
      <c r="BP528" s="21">
        <v>3</v>
      </c>
      <c r="BQ528" s="21">
        <v>0</v>
      </c>
      <c r="BR528" s="21">
        <v>5</v>
      </c>
      <c r="BS528" s="21">
        <v>2</v>
      </c>
      <c r="BT528" s="21">
        <v>0</v>
      </c>
      <c r="BU528" s="42">
        <v>0</v>
      </c>
      <c r="BV528" s="21">
        <v>0</v>
      </c>
      <c r="BW528" s="21">
        <v>2</v>
      </c>
      <c r="BX528" s="21">
        <v>2</v>
      </c>
      <c r="BY528" s="21">
        <v>1</v>
      </c>
      <c r="BZ528" s="21">
        <v>46</v>
      </c>
      <c r="CA528" s="21">
        <v>0</v>
      </c>
      <c r="CB528" s="21">
        <v>0</v>
      </c>
      <c r="CC528" s="21">
        <v>0</v>
      </c>
      <c r="CD528" s="21">
        <v>0</v>
      </c>
      <c r="CE528" s="21">
        <v>0</v>
      </c>
      <c r="CF528" s="21">
        <v>0</v>
      </c>
      <c r="CG528" s="42">
        <v>0</v>
      </c>
      <c r="CH528" s="21">
        <v>0</v>
      </c>
      <c r="CI528" s="21">
        <v>0</v>
      </c>
      <c r="CJ528" s="21">
        <v>0</v>
      </c>
      <c r="CK528" s="21">
        <v>0</v>
      </c>
      <c r="CL528" s="21">
        <v>0</v>
      </c>
      <c r="CM528" s="21">
        <v>0</v>
      </c>
      <c r="CN528" s="21">
        <v>0</v>
      </c>
      <c r="CO528" s="21">
        <v>0</v>
      </c>
      <c r="CP528" s="21">
        <f t="shared" si="779"/>
        <v>0</v>
      </c>
      <c r="CQ528" s="343">
        <f t="shared" si="780"/>
        <v>0</v>
      </c>
      <c r="CR528" s="40"/>
      <c r="CS528" s="39"/>
      <c r="CT528" s="38">
        <f t="shared" si="719"/>
        <v>50</v>
      </c>
      <c r="CU528" s="38">
        <f t="shared" si="720"/>
        <v>46</v>
      </c>
      <c r="CV528" s="38">
        <f t="shared" si="721"/>
        <v>45</v>
      </c>
      <c r="CW528" s="38">
        <f t="shared" si="722"/>
        <v>29</v>
      </c>
      <c r="CX528" s="38">
        <f t="shared" si="723"/>
        <v>50</v>
      </c>
      <c r="CY528" s="39">
        <f t="shared" si="724"/>
        <v>35</v>
      </c>
      <c r="CZ528" s="40">
        <f t="shared" si="725"/>
        <v>34</v>
      </c>
      <c r="DA528" s="40">
        <f t="shared" si="726"/>
        <v>43</v>
      </c>
      <c r="DB528" s="40">
        <f t="shared" si="727"/>
        <v>38</v>
      </c>
      <c r="DC528" s="40">
        <f t="shared" si="728"/>
        <v>17</v>
      </c>
      <c r="DD528" s="40">
        <f t="shared" si="729"/>
        <v>57</v>
      </c>
      <c r="DE528" s="40">
        <f t="shared" si="730"/>
        <v>7</v>
      </c>
      <c r="DF528" s="40">
        <f t="shared" si="731"/>
        <v>5</v>
      </c>
      <c r="DG528" s="40">
        <f t="shared" si="732"/>
        <v>4</v>
      </c>
      <c r="DH528" s="40">
        <f t="shared" si="733"/>
        <v>4</v>
      </c>
      <c r="DI528" s="40">
        <f t="shared" si="734"/>
        <v>4</v>
      </c>
      <c r="DJ528" s="40">
        <f t="shared" si="735"/>
        <v>1</v>
      </c>
      <c r="DK528" s="39">
        <f t="shared" si="736"/>
        <v>0</v>
      </c>
      <c r="DL528" s="40">
        <f t="shared" si="737"/>
        <v>4</v>
      </c>
      <c r="DM528" s="40">
        <f t="shared" si="738"/>
        <v>3</v>
      </c>
      <c r="DN528" s="40">
        <f t="shared" si="739"/>
        <v>0</v>
      </c>
      <c r="DO528" s="40">
        <f t="shared" si="740"/>
        <v>0</v>
      </c>
      <c r="DP528" s="40">
        <f t="shared" si="741"/>
        <v>0</v>
      </c>
      <c r="DQ528" s="40">
        <f t="shared" si="742"/>
        <v>0</v>
      </c>
      <c r="DR528" s="40">
        <f t="shared" si="747"/>
        <v>0</v>
      </c>
      <c r="DS528" s="40">
        <f t="shared" si="748"/>
        <v>0</v>
      </c>
      <c r="DT528" s="40">
        <f t="shared" si="743"/>
        <v>0</v>
      </c>
      <c r="DU528" s="40">
        <f t="shared" si="744"/>
        <v>0</v>
      </c>
      <c r="DV528" s="40">
        <f t="shared" si="745"/>
        <v>0</v>
      </c>
      <c r="DW528" s="40">
        <f t="shared" si="746"/>
        <v>0</v>
      </c>
    </row>
    <row r="529" spans="1:127">
      <c r="A529" s="22" t="s">
        <v>44</v>
      </c>
      <c r="B529" s="26">
        <v>4902430680349</v>
      </c>
      <c r="C529" s="22" t="s">
        <v>44</v>
      </c>
      <c r="D529" s="22" t="s">
        <v>46</v>
      </c>
      <c r="E529" s="22">
        <v>341651</v>
      </c>
      <c r="F529" s="80" t="s">
        <v>616</v>
      </c>
      <c r="G529" s="25">
        <v>451.80666666666667</v>
      </c>
      <c r="H529" s="38">
        <f t="shared" si="753"/>
        <v>21234.913333333334</v>
      </c>
      <c r="I529" s="38">
        <f t="shared" si="754"/>
        <v>20783.106666666667</v>
      </c>
      <c r="J529" s="38">
        <f t="shared" si="755"/>
        <v>11295.166666666666</v>
      </c>
      <c r="K529" s="38">
        <f t="shared" si="756"/>
        <v>13554.2</v>
      </c>
      <c r="L529" s="38">
        <f t="shared" si="757"/>
        <v>8132.52</v>
      </c>
      <c r="M529" s="39">
        <f t="shared" si="758"/>
        <v>5873.4866666666667</v>
      </c>
      <c r="N529" s="40">
        <f t="shared" si="759"/>
        <v>12650.586666666666</v>
      </c>
      <c r="O529" s="40">
        <f t="shared" si="760"/>
        <v>13102.393333333333</v>
      </c>
      <c r="P529" s="40">
        <f t="shared" si="761"/>
        <v>9939.746666666666</v>
      </c>
      <c r="Q529" s="40">
        <f t="shared" si="762"/>
        <v>5421.68</v>
      </c>
      <c r="R529" s="40">
        <f t="shared" si="763"/>
        <v>46536.08666666667</v>
      </c>
      <c r="S529" s="40">
        <f t="shared" si="764"/>
        <v>2259.0333333333333</v>
      </c>
      <c r="T529" s="40">
        <f t="shared" si="765"/>
        <v>1355.42</v>
      </c>
      <c r="U529" s="40">
        <f t="shared" si="766"/>
        <v>3614.4533333333334</v>
      </c>
      <c r="V529" s="40">
        <f t="shared" si="767"/>
        <v>903.61333333333334</v>
      </c>
      <c r="W529" s="40">
        <f t="shared" si="768"/>
        <v>451.80666666666667</v>
      </c>
      <c r="X529" s="40">
        <f t="shared" si="769"/>
        <v>1355.42</v>
      </c>
      <c r="Y529" s="39">
        <f t="shared" si="770"/>
        <v>0</v>
      </c>
      <c r="Z529" s="40">
        <f t="shared" si="771"/>
        <v>1355.42</v>
      </c>
      <c r="AA529" s="40">
        <f t="shared" si="772"/>
        <v>451.80666666666667</v>
      </c>
      <c r="AB529" s="40">
        <f t="shared" si="773"/>
        <v>0</v>
      </c>
      <c r="AC529" s="40">
        <f t="shared" si="774"/>
        <v>0</v>
      </c>
      <c r="AD529" s="40">
        <f t="shared" si="775"/>
        <v>0</v>
      </c>
      <c r="AE529" s="40">
        <f t="shared" si="776"/>
        <v>0</v>
      </c>
      <c r="AF529" s="40">
        <f t="shared" si="777"/>
        <v>0</v>
      </c>
      <c r="AG529" s="40">
        <f t="shared" si="778"/>
        <v>0</v>
      </c>
      <c r="AH529" s="40">
        <f t="shared" si="749"/>
        <v>0</v>
      </c>
      <c r="AI529" s="40">
        <f t="shared" si="750"/>
        <v>0</v>
      </c>
      <c r="AJ529" s="40">
        <f t="shared" si="751"/>
        <v>0</v>
      </c>
      <c r="AK529" s="39">
        <f t="shared" si="752"/>
        <v>0</v>
      </c>
      <c r="AL529" s="38">
        <v>25</v>
      </c>
      <c r="AM529" s="38">
        <v>41</v>
      </c>
      <c r="AN529" s="38">
        <v>21</v>
      </c>
      <c r="AO529" s="38">
        <v>18</v>
      </c>
      <c r="AP529" s="38">
        <v>18</v>
      </c>
      <c r="AQ529" s="39">
        <v>13</v>
      </c>
      <c r="AR529" s="40">
        <v>21</v>
      </c>
      <c r="AS529" s="40">
        <v>29</v>
      </c>
      <c r="AT529" s="40">
        <v>22</v>
      </c>
      <c r="AU529" s="40">
        <v>12</v>
      </c>
      <c r="AV529" s="40">
        <v>11</v>
      </c>
      <c r="AW529" s="40">
        <v>5</v>
      </c>
      <c r="AX529" s="40">
        <v>3</v>
      </c>
      <c r="AY529" s="40">
        <v>8</v>
      </c>
      <c r="AZ529" s="40">
        <v>2</v>
      </c>
      <c r="BA529" s="40">
        <v>1</v>
      </c>
      <c r="BB529" s="40">
        <v>3</v>
      </c>
      <c r="BC529" s="39">
        <v>0</v>
      </c>
      <c r="BD529" s="40">
        <v>3</v>
      </c>
      <c r="BE529" s="40">
        <v>1</v>
      </c>
      <c r="BF529" s="40">
        <v>0</v>
      </c>
      <c r="BG529" s="40">
        <v>0</v>
      </c>
      <c r="BH529" s="40">
        <v>0</v>
      </c>
      <c r="BI529" s="40">
        <v>0</v>
      </c>
      <c r="BJ529" s="40">
        <v>0</v>
      </c>
      <c r="BK529" s="40">
        <v>0</v>
      </c>
      <c r="BL529" s="40">
        <v>0</v>
      </c>
      <c r="BM529" s="40">
        <v>0</v>
      </c>
      <c r="BN529" s="40"/>
      <c r="BO529" s="39"/>
      <c r="BP529" s="21">
        <v>22</v>
      </c>
      <c r="BQ529" s="21">
        <v>5</v>
      </c>
      <c r="BR529" s="21">
        <v>4</v>
      </c>
      <c r="BS529" s="21">
        <v>12</v>
      </c>
      <c r="BT529" s="21">
        <v>0</v>
      </c>
      <c r="BU529" s="42">
        <v>0</v>
      </c>
      <c r="BV529" s="21">
        <v>7</v>
      </c>
      <c r="BW529" s="21">
        <v>0</v>
      </c>
      <c r="BX529" s="21">
        <v>0</v>
      </c>
      <c r="BY529" s="21">
        <v>0</v>
      </c>
      <c r="BZ529" s="21">
        <v>92</v>
      </c>
      <c r="CA529" s="21">
        <v>0</v>
      </c>
      <c r="CB529" s="21">
        <v>0</v>
      </c>
      <c r="CC529" s="21">
        <v>0</v>
      </c>
      <c r="CD529" s="21">
        <v>0</v>
      </c>
      <c r="CE529" s="21">
        <v>0</v>
      </c>
      <c r="CF529" s="21">
        <v>0</v>
      </c>
      <c r="CG529" s="42">
        <v>0</v>
      </c>
      <c r="CH529" s="21">
        <v>0</v>
      </c>
      <c r="CI529" s="21">
        <v>0</v>
      </c>
      <c r="CJ529" s="21">
        <v>0</v>
      </c>
      <c r="CK529" s="21">
        <v>0</v>
      </c>
      <c r="CL529" s="21">
        <v>0</v>
      </c>
      <c r="CM529" s="21">
        <v>0</v>
      </c>
      <c r="CN529" s="21">
        <v>0</v>
      </c>
      <c r="CO529" s="21">
        <v>0</v>
      </c>
      <c r="CP529" s="21">
        <f t="shared" si="779"/>
        <v>0</v>
      </c>
      <c r="CQ529" s="343">
        <f t="shared" si="780"/>
        <v>0</v>
      </c>
      <c r="CR529" s="40"/>
      <c r="CS529" s="39"/>
      <c r="CT529" s="38">
        <f t="shared" si="719"/>
        <v>47</v>
      </c>
      <c r="CU529" s="38">
        <f t="shared" si="720"/>
        <v>46</v>
      </c>
      <c r="CV529" s="38">
        <f t="shared" si="721"/>
        <v>25</v>
      </c>
      <c r="CW529" s="38">
        <f t="shared" si="722"/>
        <v>30</v>
      </c>
      <c r="CX529" s="38">
        <f t="shared" si="723"/>
        <v>18</v>
      </c>
      <c r="CY529" s="39">
        <f t="shared" si="724"/>
        <v>13</v>
      </c>
      <c r="CZ529" s="40">
        <f t="shared" si="725"/>
        <v>28</v>
      </c>
      <c r="DA529" s="40">
        <f t="shared" si="726"/>
        <v>29</v>
      </c>
      <c r="DB529" s="40">
        <f t="shared" si="727"/>
        <v>22</v>
      </c>
      <c r="DC529" s="40">
        <f t="shared" si="728"/>
        <v>12</v>
      </c>
      <c r="DD529" s="40">
        <f t="shared" si="729"/>
        <v>103</v>
      </c>
      <c r="DE529" s="40">
        <f t="shared" si="730"/>
        <v>5</v>
      </c>
      <c r="DF529" s="40">
        <f t="shared" si="731"/>
        <v>3</v>
      </c>
      <c r="DG529" s="40">
        <f t="shared" si="732"/>
        <v>8</v>
      </c>
      <c r="DH529" s="40">
        <f t="shared" si="733"/>
        <v>2</v>
      </c>
      <c r="DI529" s="40">
        <f t="shared" si="734"/>
        <v>1</v>
      </c>
      <c r="DJ529" s="40">
        <f t="shared" si="735"/>
        <v>3</v>
      </c>
      <c r="DK529" s="39">
        <f t="shared" si="736"/>
        <v>0</v>
      </c>
      <c r="DL529" s="40">
        <f t="shared" si="737"/>
        <v>3</v>
      </c>
      <c r="DM529" s="40">
        <f t="shared" si="738"/>
        <v>1</v>
      </c>
      <c r="DN529" s="40">
        <f t="shared" si="739"/>
        <v>0</v>
      </c>
      <c r="DO529" s="40">
        <f t="shared" si="740"/>
        <v>0</v>
      </c>
      <c r="DP529" s="40">
        <f t="shared" si="741"/>
        <v>0</v>
      </c>
      <c r="DQ529" s="40">
        <f t="shared" si="742"/>
        <v>0</v>
      </c>
      <c r="DR529" s="40">
        <f t="shared" si="747"/>
        <v>0</v>
      </c>
      <c r="DS529" s="40">
        <f t="shared" si="748"/>
        <v>0</v>
      </c>
      <c r="DT529" s="40">
        <f t="shared" si="743"/>
        <v>0</v>
      </c>
      <c r="DU529" s="40">
        <f t="shared" si="744"/>
        <v>0</v>
      </c>
      <c r="DV529" s="40">
        <f t="shared" si="745"/>
        <v>0</v>
      </c>
      <c r="DW529" s="40">
        <f t="shared" si="746"/>
        <v>0</v>
      </c>
    </row>
    <row r="530" spans="1:127">
      <c r="A530" s="22" t="s">
        <v>44</v>
      </c>
      <c r="B530" s="26">
        <v>4902430680387</v>
      </c>
      <c r="C530" s="22" t="s">
        <v>44</v>
      </c>
      <c r="D530" s="22" t="s">
        <v>46</v>
      </c>
      <c r="E530" s="22">
        <v>341693</v>
      </c>
      <c r="F530" s="80" t="s">
        <v>617</v>
      </c>
      <c r="G530" s="25">
        <v>451.80666666666667</v>
      </c>
      <c r="H530" s="38">
        <f t="shared" si="753"/>
        <v>4969.873333333333</v>
      </c>
      <c r="I530" s="38">
        <f t="shared" si="754"/>
        <v>7228.9066666666668</v>
      </c>
      <c r="J530" s="38">
        <f t="shared" si="755"/>
        <v>8132.52</v>
      </c>
      <c r="K530" s="38">
        <f t="shared" si="756"/>
        <v>7680.7133333333331</v>
      </c>
      <c r="L530" s="38">
        <f t="shared" si="757"/>
        <v>11746.973333333333</v>
      </c>
      <c r="M530" s="39">
        <f t="shared" si="758"/>
        <v>7680.7133333333331</v>
      </c>
      <c r="N530" s="40">
        <f t="shared" si="759"/>
        <v>6777.1</v>
      </c>
      <c r="O530" s="40">
        <f t="shared" si="760"/>
        <v>7228.9066666666668</v>
      </c>
      <c r="P530" s="40">
        <f t="shared" si="761"/>
        <v>5421.68</v>
      </c>
      <c r="Q530" s="40">
        <f t="shared" si="762"/>
        <v>8132.52</v>
      </c>
      <c r="R530" s="40">
        <f t="shared" si="763"/>
        <v>35692.726666666669</v>
      </c>
      <c r="S530" s="40">
        <f t="shared" si="764"/>
        <v>3614.4533333333334</v>
      </c>
      <c r="T530" s="40">
        <f t="shared" si="765"/>
        <v>2259.0333333333333</v>
      </c>
      <c r="U530" s="40">
        <f t="shared" si="766"/>
        <v>3162.6466666666665</v>
      </c>
      <c r="V530" s="40">
        <f t="shared" si="767"/>
        <v>4066.26</v>
      </c>
      <c r="W530" s="40">
        <f t="shared" si="768"/>
        <v>1355.42</v>
      </c>
      <c r="X530" s="40">
        <f t="shared" si="769"/>
        <v>451.80666666666667</v>
      </c>
      <c r="Y530" s="39">
        <f t="shared" si="770"/>
        <v>1355.42</v>
      </c>
      <c r="Z530" s="40">
        <f t="shared" si="771"/>
        <v>3162.6466666666665</v>
      </c>
      <c r="AA530" s="40">
        <f t="shared" si="772"/>
        <v>3614.4533333333334</v>
      </c>
      <c r="AB530" s="40">
        <f t="shared" si="773"/>
        <v>0</v>
      </c>
      <c r="AC530" s="40">
        <f t="shared" si="774"/>
        <v>0</v>
      </c>
      <c r="AD530" s="40">
        <f t="shared" si="775"/>
        <v>0</v>
      </c>
      <c r="AE530" s="40">
        <f t="shared" si="776"/>
        <v>0</v>
      </c>
      <c r="AF530" s="40">
        <f t="shared" si="777"/>
        <v>0</v>
      </c>
      <c r="AG530" s="40">
        <f t="shared" si="778"/>
        <v>0</v>
      </c>
      <c r="AH530" s="40">
        <f t="shared" si="749"/>
        <v>0</v>
      </c>
      <c r="AI530" s="40">
        <f t="shared" si="750"/>
        <v>0</v>
      </c>
      <c r="AJ530" s="40">
        <f t="shared" si="751"/>
        <v>0</v>
      </c>
      <c r="AK530" s="39">
        <f t="shared" si="752"/>
        <v>0</v>
      </c>
      <c r="AL530" s="38">
        <v>7</v>
      </c>
      <c r="AM530" s="38">
        <v>16</v>
      </c>
      <c r="AN530" s="38">
        <v>17</v>
      </c>
      <c r="AO530" s="38">
        <v>17</v>
      </c>
      <c r="AP530" s="38">
        <v>26</v>
      </c>
      <c r="AQ530" s="39">
        <v>17</v>
      </c>
      <c r="AR530" s="40">
        <v>14</v>
      </c>
      <c r="AS530" s="40">
        <v>16</v>
      </c>
      <c r="AT530" s="40">
        <v>12</v>
      </c>
      <c r="AU530" s="40">
        <v>18</v>
      </c>
      <c r="AV530" s="40">
        <v>14</v>
      </c>
      <c r="AW530" s="40">
        <v>8</v>
      </c>
      <c r="AX530" s="40">
        <v>5</v>
      </c>
      <c r="AY530" s="40">
        <v>3</v>
      </c>
      <c r="AZ530" s="40">
        <v>6</v>
      </c>
      <c r="BA530" s="40">
        <v>3</v>
      </c>
      <c r="BB530" s="40">
        <v>1</v>
      </c>
      <c r="BC530" s="39">
        <v>3</v>
      </c>
      <c r="BD530" s="40">
        <v>7</v>
      </c>
      <c r="BE530" s="40">
        <v>8</v>
      </c>
      <c r="BF530" s="40">
        <v>0</v>
      </c>
      <c r="BG530" s="40">
        <v>0</v>
      </c>
      <c r="BH530" s="40">
        <v>0</v>
      </c>
      <c r="BI530" s="40">
        <v>0</v>
      </c>
      <c r="BJ530" s="40">
        <v>0</v>
      </c>
      <c r="BK530" s="40">
        <v>0</v>
      </c>
      <c r="BL530" s="40">
        <v>0</v>
      </c>
      <c r="BM530" s="40">
        <v>0</v>
      </c>
      <c r="BN530" s="40"/>
      <c r="BO530" s="39"/>
      <c r="BP530" s="21">
        <v>4</v>
      </c>
      <c r="BQ530" s="21">
        <v>0</v>
      </c>
      <c r="BR530" s="21">
        <v>1</v>
      </c>
      <c r="BS530" s="21">
        <v>0</v>
      </c>
      <c r="BT530" s="21">
        <v>0</v>
      </c>
      <c r="BU530" s="42">
        <v>0</v>
      </c>
      <c r="BV530" s="21">
        <v>1</v>
      </c>
      <c r="BW530" s="21">
        <v>0</v>
      </c>
      <c r="BX530" s="21">
        <v>0</v>
      </c>
      <c r="BY530" s="21">
        <v>0</v>
      </c>
      <c r="BZ530" s="21">
        <v>65</v>
      </c>
      <c r="CA530" s="21">
        <v>0</v>
      </c>
      <c r="CB530" s="21">
        <v>0</v>
      </c>
      <c r="CC530" s="21">
        <v>4</v>
      </c>
      <c r="CD530" s="21">
        <v>3</v>
      </c>
      <c r="CE530" s="21">
        <v>0</v>
      </c>
      <c r="CF530" s="21">
        <v>0</v>
      </c>
      <c r="CG530" s="42">
        <v>0</v>
      </c>
      <c r="CH530" s="21">
        <v>0</v>
      </c>
      <c r="CI530" s="21">
        <v>0</v>
      </c>
      <c r="CJ530" s="21">
        <v>0</v>
      </c>
      <c r="CK530" s="21">
        <v>0</v>
      </c>
      <c r="CL530" s="21">
        <v>0</v>
      </c>
      <c r="CM530" s="21">
        <v>0</v>
      </c>
      <c r="CN530" s="21">
        <v>0</v>
      </c>
      <c r="CO530" s="21">
        <v>0</v>
      </c>
      <c r="CP530" s="21">
        <f t="shared" si="779"/>
        <v>0</v>
      </c>
      <c r="CQ530" s="343">
        <f t="shared" si="780"/>
        <v>0</v>
      </c>
      <c r="CR530" s="40"/>
      <c r="CS530" s="39"/>
      <c r="CT530" s="38">
        <f t="shared" si="719"/>
        <v>11</v>
      </c>
      <c r="CU530" s="38">
        <f t="shared" si="720"/>
        <v>16</v>
      </c>
      <c r="CV530" s="38">
        <f t="shared" si="721"/>
        <v>18</v>
      </c>
      <c r="CW530" s="38">
        <f t="shared" si="722"/>
        <v>17</v>
      </c>
      <c r="CX530" s="38">
        <f t="shared" si="723"/>
        <v>26</v>
      </c>
      <c r="CY530" s="39">
        <f t="shared" si="724"/>
        <v>17</v>
      </c>
      <c r="CZ530" s="40">
        <f t="shared" si="725"/>
        <v>15</v>
      </c>
      <c r="DA530" s="40">
        <f t="shared" si="726"/>
        <v>16</v>
      </c>
      <c r="DB530" s="40">
        <f t="shared" si="727"/>
        <v>12</v>
      </c>
      <c r="DC530" s="40">
        <f t="shared" si="728"/>
        <v>18</v>
      </c>
      <c r="DD530" s="40">
        <f t="shared" si="729"/>
        <v>79</v>
      </c>
      <c r="DE530" s="40">
        <f t="shared" si="730"/>
        <v>8</v>
      </c>
      <c r="DF530" s="40">
        <f t="shared" si="731"/>
        <v>5</v>
      </c>
      <c r="DG530" s="40">
        <f t="shared" si="732"/>
        <v>7</v>
      </c>
      <c r="DH530" s="40">
        <f t="shared" si="733"/>
        <v>9</v>
      </c>
      <c r="DI530" s="40">
        <f t="shared" si="734"/>
        <v>3</v>
      </c>
      <c r="DJ530" s="40">
        <f t="shared" si="735"/>
        <v>1</v>
      </c>
      <c r="DK530" s="39">
        <f t="shared" si="736"/>
        <v>3</v>
      </c>
      <c r="DL530" s="40">
        <f t="shared" si="737"/>
        <v>7</v>
      </c>
      <c r="DM530" s="40">
        <f t="shared" si="738"/>
        <v>8</v>
      </c>
      <c r="DN530" s="40">
        <f t="shared" si="739"/>
        <v>0</v>
      </c>
      <c r="DO530" s="40">
        <f t="shared" si="740"/>
        <v>0</v>
      </c>
      <c r="DP530" s="40">
        <f t="shared" si="741"/>
        <v>0</v>
      </c>
      <c r="DQ530" s="40">
        <f t="shared" si="742"/>
        <v>0</v>
      </c>
      <c r="DR530" s="40">
        <f t="shared" si="747"/>
        <v>0</v>
      </c>
      <c r="DS530" s="40">
        <f t="shared" si="748"/>
        <v>0</v>
      </c>
      <c r="DT530" s="40">
        <f t="shared" si="743"/>
        <v>0</v>
      </c>
      <c r="DU530" s="40">
        <f t="shared" si="744"/>
        <v>0</v>
      </c>
      <c r="DV530" s="40">
        <f t="shared" si="745"/>
        <v>0</v>
      </c>
      <c r="DW530" s="40">
        <f t="shared" si="746"/>
        <v>0</v>
      </c>
    </row>
    <row r="531" spans="1:127">
      <c r="A531" s="22" t="s">
        <v>44</v>
      </c>
      <c r="B531" s="26">
        <v>4902430680431</v>
      </c>
      <c r="C531" s="22" t="s">
        <v>44</v>
      </c>
      <c r="D531" s="22" t="s">
        <v>46</v>
      </c>
      <c r="E531" s="22">
        <v>341680</v>
      </c>
      <c r="F531" s="80" t="s">
        <v>618</v>
      </c>
      <c r="G531" s="25">
        <v>422.76</v>
      </c>
      <c r="H531" s="38">
        <f t="shared" si="753"/>
        <v>32129.759999999998</v>
      </c>
      <c r="I531" s="38">
        <f t="shared" si="754"/>
        <v>32129.759999999998</v>
      </c>
      <c r="J531" s="38">
        <f t="shared" si="755"/>
        <v>23674.559999999998</v>
      </c>
      <c r="K531" s="38">
        <f t="shared" si="756"/>
        <v>15642.119999999999</v>
      </c>
      <c r="L531" s="38">
        <f t="shared" si="757"/>
        <v>34243.56</v>
      </c>
      <c r="M531" s="39">
        <f t="shared" si="758"/>
        <v>16910.400000000001</v>
      </c>
      <c r="N531" s="40">
        <f t="shared" si="759"/>
        <v>16064.88</v>
      </c>
      <c r="O531" s="40">
        <f t="shared" si="760"/>
        <v>24520.079999999998</v>
      </c>
      <c r="P531" s="40">
        <f t="shared" si="761"/>
        <v>8877.9599999999991</v>
      </c>
      <c r="Q531" s="40">
        <f t="shared" si="762"/>
        <v>1268.28</v>
      </c>
      <c r="R531" s="40">
        <f t="shared" si="763"/>
        <v>3804.84</v>
      </c>
      <c r="S531" s="40">
        <f t="shared" si="764"/>
        <v>1691.04</v>
      </c>
      <c r="T531" s="40">
        <f t="shared" si="765"/>
        <v>845.52</v>
      </c>
      <c r="U531" s="40">
        <f t="shared" si="766"/>
        <v>422.76</v>
      </c>
      <c r="V531" s="40">
        <f t="shared" si="767"/>
        <v>0</v>
      </c>
      <c r="W531" s="40">
        <f t="shared" si="768"/>
        <v>0</v>
      </c>
      <c r="X531" s="40">
        <f t="shared" si="769"/>
        <v>422.76</v>
      </c>
      <c r="Y531" s="39">
        <f t="shared" si="770"/>
        <v>3382.08</v>
      </c>
      <c r="Z531" s="40">
        <f t="shared" si="771"/>
        <v>0</v>
      </c>
      <c r="AA531" s="40">
        <f t="shared" si="772"/>
        <v>422.76</v>
      </c>
      <c r="AB531" s="40">
        <f t="shared" si="773"/>
        <v>0</v>
      </c>
      <c r="AC531" s="40">
        <f t="shared" si="774"/>
        <v>0</v>
      </c>
      <c r="AD531" s="40">
        <f t="shared" si="775"/>
        <v>0</v>
      </c>
      <c r="AE531" s="40">
        <f t="shared" si="776"/>
        <v>0</v>
      </c>
      <c r="AF531" s="40">
        <f t="shared" si="777"/>
        <v>0</v>
      </c>
      <c r="AG531" s="40">
        <f t="shared" si="778"/>
        <v>0</v>
      </c>
      <c r="AH531" s="40">
        <f t="shared" si="749"/>
        <v>0</v>
      </c>
      <c r="AI531" s="40">
        <f t="shared" si="750"/>
        <v>0</v>
      </c>
      <c r="AJ531" s="40">
        <f t="shared" si="751"/>
        <v>0</v>
      </c>
      <c r="AK531" s="39">
        <f t="shared" si="752"/>
        <v>0</v>
      </c>
      <c r="AL531" s="38">
        <v>50</v>
      </c>
      <c r="AM531" s="38">
        <v>71</v>
      </c>
      <c r="AN531" s="38">
        <v>42</v>
      </c>
      <c r="AO531" s="38">
        <v>36</v>
      </c>
      <c r="AP531" s="38">
        <v>63</v>
      </c>
      <c r="AQ531" s="39">
        <v>33</v>
      </c>
      <c r="AR531" s="40">
        <v>35</v>
      </c>
      <c r="AS531" s="40">
        <v>53</v>
      </c>
      <c r="AT531" s="40">
        <v>13</v>
      </c>
      <c r="AU531" s="40">
        <v>1</v>
      </c>
      <c r="AV531" s="40">
        <v>9</v>
      </c>
      <c r="AW531" s="40">
        <v>4</v>
      </c>
      <c r="AX531" s="40">
        <v>0</v>
      </c>
      <c r="AY531" s="40">
        <v>1</v>
      </c>
      <c r="AZ531" s="40">
        <v>0</v>
      </c>
      <c r="BA531" s="40">
        <v>0</v>
      </c>
      <c r="BB531" s="40">
        <v>1</v>
      </c>
      <c r="BC531" s="39">
        <v>8</v>
      </c>
      <c r="BD531" s="40">
        <v>0</v>
      </c>
      <c r="BE531" s="40">
        <v>1</v>
      </c>
      <c r="BF531" s="40">
        <v>0</v>
      </c>
      <c r="BG531" s="40">
        <v>0</v>
      </c>
      <c r="BH531" s="40">
        <v>0</v>
      </c>
      <c r="BI531" s="40">
        <v>0</v>
      </c>
      <c r="BJ531" s="40">
        <v>0</v>
      </c>
      <c r="BK531" s="40">
        <v>0</v>
      </c>
      <c r="BL531" s="40">
        <v>0</v>
      </c>
      <c r="BM531" s="40">
        <v>0</v>
      </c>
      <c r="BN531" s="40"/>
      <c r="BO531" s="39"/>
      <c r="BP531" s="21">
        <v>26</v>
      </c>
      <c r="BQ531" s="21">
        <v>5</v>
      </c>
      <c r="BR531" s="21">
        <v>14</v>
      </c>
      <c r="BS531" s="21">
        <v>1</v>
      </c>
      <c r="BT531" s="21">
        <v>18</v>
      </c>
      <c r="BU531" s="42">
        <v>7</v>
      </c>
      <c r="BV531" s="21">
        <v>3</v>
      </c>
      <c r="BW531" s="21">
        <v>5</v>
      </c>
      <c r="BX531" s="21">
        <v>8</v>
      </c>
      <c r="BY531" s="21">
        <v>2</v>
      </c>
      <c r="BZ531" s="21">
        <v>0</v>
      </c>
      <c r="CA531" s="21">
        <v>0</v>
      </c>
      <c r="CB531" s="21">
        <v>2</v>
      </c>
      <c r="CC531" s="21">
        <v>0</v>
      </c>
      <c r="CD531" s="21">
        <v>0</v>
      </c>
      <c r="CE531" s="21">
        <v>0</v>
      </c>
      <c r="CF531" s="21">
        <v>0</v>
      </c>
      <c r="CG531" s="42">
        <v>0</v>
      </c>
      <c r="CH531" s="21">
        <v>0</v>
      </c>
      <c r="CI531" s="21">
        <v>0</v>
      </c>
      <c r="CJ531" s="21">
        <v>0</v>
      </c>
      <c r="CK531" s="21">
        <v>0</v>
      </c>
      <c r="CL531" s="21">
        <v>0</v>
      </c>
      <c r="CM531" s="21">
        <v>0</v>
      </c>
      <c r="CN531" s="21">
        <v>0</v>
      </c>
      <c r="CO531" s="21">
        <v>0</v>
      </c>
      <c r="CP531" s="21">
        <f t="shared" si="779"/>
        <v>0</v>
      </c>
      <c r="CQ531" s="343">
        <f t="shared" si="780"/>
        <v>0</v>
      </c>
      <c r="CR531" s="40"/>
      <c r="CS531" s="39"/>
      <c r="CT531" s="38">
        <f t="shared" si="719"/>
        <v>76</v>
      </c>
      <c r="CU531" s="38">
        <f t="shared" si="720"/>
        <v>76</v>
      </c>
      <c r="CV531" s="38">
        <f t="shared" si="721"/>
        <v>56</v>
      </c>
      <c r="CW531" s="38">
        <f t="shared" si="722"/>
        <v>37</v>
      </c>
      <c r="CX531" s="38">
        <f t="shared" si="723"/>
        <v>81</v>
      </c>
      <c r="CY531" s="39">
        <f t="shared" si="724"/>
        <v>40</v>
      </c>
      <c r="CZ531" s="40">
        <f t="shared" si="725"/>
        <v>38</v>
      </c>
      <c r="DA531" s="40">
        <f t="shared" si="726"/>
        <v>58</v>
      </c>
      <c r="DB531" s="40">
        <f t="shared" si="727"/>
        <v>21</v>
      </c>
      <c r="DC531" s="40">
        <f t="shared" si="728"/>
        <v>3</v>
      </c>
      <c r="DD531" s="40">
        <f t="shared" si="729"/>
        <v>9</v>
      </c>
      <c r="DE531" s="40">
        <f t="shared" si="730"/>
        <v>4</v>
      </c>
      <c r="DF531" s="40">
        <f t="shared" si="731"/>
        <v>2</v>
      </c>
      <c r="DG531" s="40">
        <f t="shared" si="732"/>
        <v>1</v>
      </c>
      <c r="DH531" s="40">
        <f t="shared" si="733"/>
        <v>0</v>
      </c>
      <c r="DI531" s="40">
        <f t="shared" si="734"/>
        <v>0</v>
      </c>
      <c r="DJ531" s="40">
        <f t="shared" si="735"/>
        <v>1</v>
      </c>
      <c r="DK531" s="39">
        <f t="shared" si="736"/>
        <v>8</v>
      </c>
      <c r="DL531" s="40">
        <f t="shared" si="737"/>
        <v>0</v>
      </c>
      <c r="DM531" s="40">
        <f t="shared" si="738"/>
        <v>1</v>
      </c>
      <c r="DN531" s="40">
        <f t="shared" si="739"/>
        <v>0</v>
      </c>
      <c r="DO531" s="40">
        <f t="shared" si="740"/>
        <v>0</v>
      </c>
      <c r="DP531" s="40">
        <f t="shared" si="741"/>
        <v>0</v>
      </c>
      <c r="DQ531" s="40">
        <f t="shared" si="742"/>
        <v>0</v>
      </c>
      <c r="DR531" s="40">
        <f t="shared" si="747"/>
        <v>0</v>
      </c>
      <c r="DS531" s="40">
        <f t="shared" si="748"/>
        <v>0</v>
      </c>
      <c r="DT531" s="40">
        <f t="shared" si="743"/>
        <v>0</v>
      </c>
      <c r="DU531" s="40">
        <f t="shared" si="744"/>
        <v>0</v>
      </c>
      <c r="DV531" s="40">
        <f t="shared" si="745"/>
        <v>0</v>
      </c>
      <c r="DW531" s="40">
        <f t="shared" si="746"/>
        <v>0</v>
      </c>
    </row>
    <row r="532" spans="1:127">
      <c r="A532" s="22" t="s">
        <v>44</v>
      </c>
      <c r="B532" s="26">
        <v>4902430747288</v>
      </c>
      <c r="C532" s="22" t="s">
        <v>44</v>
      </c>
      <c r="D532" s="22" t="s">
        <v>46</v>
      </c>
      <c r="E532" s="22">
        <v>341677</v>
      </c>
      <c r="F532" s="80" t="s">
        <v>619</v>
      </c>
      <c r="G532" s="25">
        <v>444.43333333333334</v>
      </c>
      <c r="H532" s="38">
        <f t="shared" si="753"/>
        <v>13333</v>
      </c>
      <c r="I532" s="38">
        <f t="shared" si="754"/>
        <v>11999.7</v>
      </c>
      <c r="J532" s="38">
        <f t="shared" si="755"/>
        <v>13333</v>
      </c>
      <c r="K532" s="38">
        <f t="shared" si="756"/>
        <v>16444.033333333333</v>
      </c>
      <c r="L532" s="38">
        <f t="shared" si="757"/>
        <v>12888.566666666668</v>
      </c>
      <c r="M532" s="39">
        <f t="shared" si="758"/>
        <v>13777.433333333334</v>
      </c>
      <c r="N532" s="40">
        <f t="shared" si="759"/>
        <v>11999.7</v>
      </c>
      <c r="O532" s="40">
        <f t="shared" si="760"/>
        <v>17332.900000000001</v>
      </c>
      <c r="P532" s="40">
        <f t="shared" si="761"/>
        <v>7555.3666666666668</v>
      </c>
      <c r="Q532" s="40">
        <f t="shared" si="762"/>
        <v>4444.333333333333</v>
      </c>
      <c r="R532" s="40">
        <f t="shared" si="763"/>
        <v>7110.9333333333334</v>
      </c>
      <c r="S532" s="40">
        <f t="shared" si="764"/>
        <v>3999.9</v>
      </c>
      <c r="T532" s="40">
        <f t="shared" si="765"/>
        <v>3111.0333333333333</v>
      </c>
      <c r="U532" s="40">
        <f t="shared" si="766"/>
        <v>2666.6</v>
      </c>
      <c r="V532" s="40">
        <f t="shared" si="767"/>
        <v>1777.7333333333333</v>
      </c>
      <c r="W532" s="40">
        <f t="shared" si="768"/>
        <v>444.43333333333334</v>
      </c>
      <c r="X532" s="40">
        <f t="shared" si="769"/>
        <v>4444.333333333333</v>
      </c>
      <c r="Y532" s="39">
        <f t="shared" si="770"/>
        <v>888.86666666666667</v>
      </c>
      <c r="Z532" s="40">
        <f t="shared" si="771"/>
        <v>1777.7333333333333</v>
      </c>
      <c r="AA532" s="40">
        <f t="shared" si="772"/>
        <v>1777.7333333333333</v>
      </c>
      <c r="AB532" s="40">
        <f t="shared" si="773"/>
        <v>888.86666666666667</v>
      </c>
      <c r="AC532" s="40">
        <f t="shared" si="774"/>
        <v>0</v>
      </c>
      <c r="AD532" s="40">
        <f t="shared" si="775"/>
        <v>0</v>
      </c>
      <c r="AE532" s="40">
        <f t="shared" si="776"/>
        <v>0</v>
      </c>
      <c r="AF532" s="40">
        <f t="shared" si="777"/>
        <v>0</v>
      </c>
      <c r="AG532" s="40">
        <f t="shared" si="778"/>
        <v>0</v>
      </c>
      <c r="AH532" s="40">
        <f t="shared" si="749"/>
        <v>0</v>
      </c>
      <c r="AI532" s="40">
        <f t="shared" si="750"/>
        <v>0</v>
      </c>
      <c r="AJ532" s="40">
        <f t="shared" si="751"/>
        <v>0</v>
      </c>
      <c r="AK532" s="39">
        <f t="shared" si="752"/>
        <v>0</v>
      </c>
      <c r="AL532" s="38">
        <v>7</v>
      </c>
      <c r="AM532" s="38">
        <v>18</v>
      </c>
      <c r="AN532" s="38">
        <v>13</v>
      </c>
      <c r="AO532" s="38">
        <v>12</v>
      </c>
      <c r="AP532" s="38">
        <v>10</v>
      </c>
      <c r="AQ532" s="39">
        <v>8</v>
      </c>
      <c r="AR532" s="40">
        <v>15</v>
      </c>
      <c r="AS532" s="40">
        <v>15</v>
      </c>
      <c r="AT532" s="40">
        <v>15</v>
      </c>
      <c r="AU532" s="40">
        <v>8</v>
      </c>
      <c r="AV532" s="40">
        <v>13</v>
      </c>
      <c r="AW532" s="40">
        <v>9</v>
      </c>
      <c r="AX532" s="40">
        <v>5</v>
      </c>
      <c r="AY532" s="40">
        <v>5</v>
      </c>
      <c r="AZ532" s="40">
        <v>4</v>
      </c>
      <c r="BA532" s="40">
        <v>1</v>
      </c>
      <c r="BB532" s="40">
        <v>10</v>
      </c>
      <c r="BC532" s="39">
        <v>2</v>
      </c>
      <c r="BD532" s="40">
        <v>4</v>
      </c>
      <c r="BE532" s="40">
        <v>4</v>
      </c>
      <c r="BF532" s="40">
        <v>2</v>
      </c>
      <c r="BG532" s="40">
        <v>0</v>
      </c>
      <c r="BH532" s="40">
        <v>0</v>
      </c>
      <c r="BI532" s="40">
        <v>0</v>
      </c>
      <c r="BJ532" s="40">
        <v>0</v>
      </c>
      <c r="BK532" s="40">
        <v>0</v>
      </c>
      <c r="BL532" s="40">
        <v>0</v>
      </c>
      <c r="BM532" s="40">
        <v>0</v>
      </c>
      <c r="BN532" s="40"/>
      <c r="BO532" s="39"/>
      <c r="BP532" s="21">
        <v>23</v>
      </c>
      <c r="BQ532" s="21">
        <v>9</v>
      </c>
      <c r="BR532" s="21">
        <v>17</v>
      </c>
      <c r="BS532" s="21">
        <v>25</v>
      </c>
      <c r="BT532" s="21">
        <v>19</v>
      </c>
      <c r="BU532" s="42">
        <v>23</v>
      </c>
      <c r="BV532" s="21">
        <v>12</v>
      </c>
      <c r="BW532" s="21">
        <v>24</v>
      </c>
      <c r="BX532" s="21">
        <v>2</v>
      </c>
      <c r="BY532" s="21">
        <v>2</v>
      </c>
      <c r="BZ532" s="21">
        <v>3</v>
      </c>
      <c r="CA532" s="21">
        <v>0</v>
      </c>
      <c r="CB532" s="21">
        <v>2</v>
      </c>
      <c r="CC532" s="21">
        <v>1</v>
      </c>
      <c r="CD532" s="21">
        <v>0</v>
      </c>
      <c r="CE532" s="21">
        <v>0</v>
      </c>
      <c r="CF532" s="21">
        <v>0</v>
      </c>
      <c r="CG532" s="42">
        <v>0</v>
      </c>
      <c r="CH532" s="21">
        <v>0</v>
      </c>
      <c r="CI532" s="21">
        <v>0</v>
      </c>
      <c r="CJ532" s="21">
        <v>0</v>
      </c>
      <c r="CK532" s="21">
        <v>0</v>
      </c>
      <c r="CL532" s="21">
        <v>0</v>
      </c>
      <c r="CM532" s="21">
        <v>0</v>
      </c>
      <c r="CN532" s="21">
        <v>0</v>
      </c>
      <c r="CO532" s="21">
        <v>0</v>
      </c>
      <c r="CP532" s="21">
        <f t="shared" si="779"/>
        <v>0</v>
      </c>
      <c r="CQ532" s="343">
        <f t="shared" si="780"/>
        <v>0</v>
      </c>
      <c r="CR532" s="40"/>
      <c r="CS532" s="39"/>
      <c r="CT532" s="38">
        <f t="shared" si="719"/>
        <v>30</v>
      </c>
      <c r="CU532" s="38">
        <f t="shared" si="720"/>
        <v>27</v>
      </c>
      <c r="CV532" s="38">
        <f t="shared" si="721"/>
        <v>30</v>
      </c>
      <c r="CW532" s="38">
        <f t="shared" si="722"/>
        <v>37</v>
      </c>
      <c r="CX532" s="38">
        <f t="shared" si="723"/>
        <v>29</v>
      </c>
      <c r="CY532" s="39">
        <f t="shared" si="724"/>
        <v>31</v>
      </c>
      <c r="CZ532" s="40">
        <f t="shared" si="725"/>
        <v>27</v>
      </c>
      <c r="DA532" s="40">
        <f t="shared" si="726"/>
        <v>39</v>
      </c>
      <c r="DB532" s="40">
        <f t="shared" si="727"/>
        <v>17</v>
      </c>
      <c r="DC532" s="40">
        <f t="shared" si="728"/>
        <v>10</v>
      </c>
      <c r="DD532" s="40">
        <f t="shared" si="729"/>
        <v>16</v>
      </c>
      <c r="DE532" s="40">
        <f t="shared" si="730"/>
        <v>9</v>
      </c>
      <c r="DF532" s="40">
        <f t="shared" si="731"/>
        <v>7</v>
      </c>
      <c r="DG532" s="40">
        <f t="shared" si="732"/>
        <v>6</v>
      </c>
      <c r="DH532" s="40">
        <f t="shared" si="733"/>
        <v>4</v>
      </c>
      <c r="DI532" s="40">
        <f t="shared" si="734"/>
        <v>1</v>
      </c>
      <c r="DJ532" s="40">
        <f t="shared" si="735"/>
        <v>10</v>
      </c>
      <c r="DK532" s="39">
        <f t="shared" si="736"/>
        <v>2</v>
      </c>
      <c r="DL532" s="40">
        <f t="shared" si="737"/>
        <v>4</v>
      </c>
      <c r="DM532" s="40">
        <f t="shared" si="738"/>
        <v>4</v>
      </c>
      <c r="DN532" s="40">
        <f t="shared" si="739"/>
        <v>2</v>
      </c>
      <c r="DO532" s="40">
        <f t="shared" si="740"/>
        <v>0</v>
      </c>
      <c r="DP532" s="40">
        <f t="shared" si="741"/>
        <v>0</v>
      </c>
      <c r="DQ532" s="40">
        <f t="shared" si="742"/>
        <v>0</v>
      </c>
      <c r="DR532" s="40">
        <f t="shared" si="747"/>
        <v>0</v>
      </c>
      <c r="DS532" s="40">
        <f t="shared" si="748"/>
        <v>0</v>
      </c>
      <c r="DT532" s="40">
        <f t="shared" si="743"/>
        <v>0</v>
      </c>
      <c r="DU532" s="40">
        <f t="shared" si="744"/>
        <v>0</v>
      </c>
      <c r="DV532" s="40">
        <f t="shared" si="745"/>
        <v>0</v>
      </c>
      <c r="DW532" s="40">
        <f t="shared" si="746"/>
        <v>0</v>
      </c>
    </row>
    <row r="533" spans="1:127">
      <c r="A533" s="22" t="s">
        <v>44</v>
      </c>
      <c r="B533" s="26">
        <v>4902430679176</v>
      </c>
      <c r="C533" s="22" t="s">
        <v>44</v>
      </c>
      <c r="D533" s="22" t="s">
        <v>46</v>
      </c>
      <c r="E533" s="22">
        <v>229865</v>
      </c>
      <c r="F533" s="80" t="s">
        <v>620</v>
      </c>
      <c r="G533" s="25">
        <v>460.13666666666671</v>
      </c>
      <c r="H533" s="38">
        <f t="shared" si="753"/>
        <v>3220.9566666666669</v>
      </c>
      <c r="I533" s="38">
        <f t="shared" si="754"/>
        <v>920.27333333333343</v>
      </c>
      <c r="J533" s="38">
        <f t="shared" si="755"/>
        <v>9202.7333333333336</v>
      </c>
      <c r="K533" s="38">
        <f t="shared" si="756"/>
        <v>4601.3666666666668</v>
      </c>
      <c r="L533" s="38">
        <f t="shared" si="757"/>
        <v>19325.740000000002</v>
      </c>
      <c r="M533" s="39">
        <f t="shared" si="758"/>
        <v>19325.740000000002</v>
      </c>
      <c r="N533" s="40">
        <f t="shared" si="759"/>
        <v>30829.156666666669</v>
      </c>
      <c r="O533" s="40">
        <f t="shared" si="760"/>
        <v>32669.703333333338</v>
      </c>
      <c r="P533" s="40">
        <f t="shared" si="761"/>
        <v>9202.7333333333336</v>
      </c>
      <c r="Q533" s="40">
        <f t="shared" si="762"/>
        <v>2760.82</v>
      </c>
      <c r="R533" s="40">
        <f t="shared" si="763"/>
        <v>3681.0933333333337</v>
      </c>
      <c r="S533" s="40">
        <f t="shared" si="764"/>
        <v>920.27333333333343</v>
      </c>
      <c r="T533" s="40">
        <f t="shared" si="765"/>
        <v>1840.5466666666669</v>
      </c>
      <c r="U533" s="40">
        <f t="shared" si="766"/>
        <v>2760.82</v>
      </c>
      <c r="V533" s="40">
        <f t="shared" si="767"/>
        <v>0</v>
      </c>
      <c r="W533" s="40">
        <f t="shared" si="768"/>
        <v>920.27333333333343</v>
      </c>
      <c r="X533" s="40">
        <f t="shared" si="769"/>
        <v>460.13666666666671</v>
      </c>
      <c r="Y533" s="39">
        <f t="shared" si="770"/>
        <v>0</v>
      </c>
      <c r="Z533" s="40">
        <f t="shared" si="771"/>
        <v>0</v>
      </c>
      <c r="AA533" s="40">
        <f t="shared" si="772"/>
        <v>2300.6833333333334</v>
      </c>
      <c r="AB533" s="40">
        <f t="shared" si="773"/>
        <v>0</v>
      </c>
      <c r="AC533" s="40">
        <f t="shared" si="774"/>
        <v>0</v>
      </c>
      <c r="AD533" s="40">
        <f t="shared" si="775"/>
        <v>0</v>
      </c>
      <c r="AE533" s="40">
        <f t="shared" si="776"/>
        <v>460.13666666666671</v>
      </c>
      <c r="AF533" s="40">
        <f t="shared" si="777"/>
        <v>0</v>
      </c>
      <c r="AG533" s="40">
        <f t="shared" si="778"/>
        <v>0</v>
      </c>
      <c r="AH533" s="40">
        <f t="shared" si="749"/>
        <v>0</v>
      </c>
      <c r="AI533" s="40">
        <f t="shared" si="750"/>
        <v>0</v>
      </c>
      <c r="AJ533" s="40">
        <f t="shared" si="751"/>
        <v>0</v>
      </c>
      <c r="AK533" s="39">
        <f t="shared" si="752"/>
        <v>0</v>
      </c>
      <c r="AL533" s="38">
        <v>0</v>
      </c>
      <c r="AM533" s="38">
        <v>0</v>
      </c>
      <c r="AN533" s="38">
        <v>0</v>
      </c>
      <c r="AO533" s="38">
        <v>0</v>
      </c>
      <c r="AP533" s="38">
        <v>23</v>
      </c>
      <c r="AQ533" s="39">
        <v>13</v>
      </c>
      <c r="AR533" s="40">
        <v>18</v>
      </c>
      <c r="AS533" s="40">
        <v>26</v>
      </c>
      <c r="AT533" s="40">
        <v>19</v>
      </c>
      <c r="AU533" s="40">
        <v>6</v>
      </c>
      <c r="AV533" s="40">
        <v>8</v>
      </c>
      <c r="AW533" s="40">
        <v>2</v>
      </c>
      <c r="AX533" s="40">
        <v>4</v>
      </c>
      <c r="AY533" s="40">
        <v>6</v>
      </c>
      <c r="AZ533" s="40">
        <v>0</v>
      </c>
      <c r="BA533" s="40">
        <v>2</v>
      </c>
      <c r="BB533" s="40">
        <v>1</v>
      </c>
      <c r="BC533" s="39">
        <v>0</v>
      </c>
      <c r="BD533" s="40">
        <v>0</v>
      </c>
      <c r="BE533" s="40">
        <v>5</v>
      </c>
      <c r="BF533" s="40">
        <v>0</v>
      </c>
      <c r="BG533" s="40">
        <v>0</v>
      </c>
      <c r="BH533" s="40">
        <v>0</v>
      </c>
      <c r="BI533" s="40">
        <v>1</v>
      </c>
      <c r="BJ533" s="40">
        <v>0</v>
      </c>
      <c r="BK533" s="40">
        <v>0</v>
      </c>
      <c r="BL533" s="40">
        <v>0</v>
      </c>
      <c r="BM533" s="40">
        <v>0</v>
      </c>
      <c r="BN533" s="40"/>
      <c r="BO533" s="39"/>
      <c r="BP533" s="21">
        <v>7</v>
      </c>
      <c r="BQ533" s="21">
        <v>2</v>
      </c>
      <c r="BR533" s="21">
        <v>20</v>
      </c>
      <c r="BS533" s="21">
        <v>10</v>
      </c>
      <c r="BT533" s="21">
        <v>19</v>
      </c>
      <c r="BU533" s="42">
        <v>29</v>
      </c>
      <c r="BV533" s="21">
        <v>49</v>
      </c>
      <c r="BW533" s="21">
        <v>45</v>
      </c>
      <c r="BX533" s="21">
        <v>1</v>
      </c>
      <c r="BY533" s="21">
        <v>0</v>
      </c>
      <c r="BZ533" s="21">
        <v>0</v>
      </c>
      <c r="CA533" s="21">
        <v>0</v>
      </c>
      <c r="CB533" s="21">
        <v>0</v>
      </c>
      <c r="CC533" s="21">
        <v>0</v>
      </c>
      <c r="CD533" s="21">
        <v>0</v>
      </c>
      <c r="CE533" s="21">
        <v>0</v>
      </c>
      <c r="CF533" s="21">
        <v>0</v>
      </c>
      <c r="CG533" s="42">
        <v>0</v>
      </c>
      <c r="CH533" s="21">
        <v>0</v>
      </c>
      <c r="CI533" s="21">
        <v>0</v>
      </c>
      <c r="CJ533" s="21">
        <v>0</v>
      </c>
      <c r="CK533" s="21">
        <v>0</v>
      </c>
      <c r="CL533" s="21">
        <v>0</v>
      </c>
      <c r="CM533" s="21">
        <v>0</v>
      </c>
      <c r="CN533" s="21">
        <v>0</v>
      </c>
      <c r="CO533" s="21">
        <v>0</v>
      </c>
      <c r="CP533" s="21">
        <f t="shared" si="779"/>
        <v>0</v>
      </c>
      <c r="CQ533" s="343">
        <f t="shared" si="780"/>
        <v>0</v>
      </c>
      <c r="CR533" s="40"/>
      <c r="CS533" s="39"/>
      <c r="CT533" s="38">
        <f t="shared" si="719"/>
        <v>7</v>
      </c>
      <c r="CU533" s="38">
        <f t="shared" si="720"/>
        <v>2</v>
      </c>
      <c r="CV533" s="38">
        <f t="shared" si="721"/>
        <v>20</v>
      </c>
      <c r="CW533" s="38">
        <f t="shared" si="722"/>
        <v>10</v>
      </c>
      <c r="CX533" s="38">
        <f t="shared" si="723"/>
        <v>42</v>
      </c>
      <c r="CY533" s="39">
        <f t="shared" si="724"/>
        <v>42</v>
      </c>
      <c r="CZ533" s="40">
        <f t="shared" si="725"/>
        <v>67</v>
      </c>
      <c r="DA533" s="40">
        <f t="shared" si="726"/>
        <v>71</v>
      </c>
      <c r="DB533" s="40">
        <f t="shared" si="727"/>
        <v>20</v>
      </c>
      <c r="DC533" s="40">
        <f t="shared" si="728"/>
        <v>6</v>
      </c>
      <c r="DD533" s="40">
        <f t="shared" si="729"/>
        <v>8</v>
      </c>
      <c r="DE533" s="40">
        <f t="shared" si="730"/>
        <v>2</v>
      </c>
      <c r="DF533" s="40">
        <f t="shared" si="731"/>
        <v>4</v>
      </c>
      <c r="DG533" s="40">
        <f t="shared" si="732"/>
        <v>6</v>
      </c>
      <c r="DH533" s="40">
        <f t="shared" si="733"/>
        <v>0</v>
      </c>
      <c r="DI533" s="40">
        <f t="shared" si="734"/>
        <v>2</v>
      </c>
      <c r="DJ533" s="40">
        <f t="shared" si="735"/>
        <v>1</v>
      </c>
      <c r="DK533" s="39">
        <f t="shared" si="736"/>
        <v>0</v>
      </c>
      <c r="DL533" s="40">
        <f t="shared" si="737"/>
        <v>0</v>
      </c>
      <c r="DM533" s="40">
        <f t="shared" si="738"/>
        <v>5</v>
      </c>
      <c r="DN533" s="40">
        <f t="shared" si="739"/>
        <v>0</v>
      </c>
      <c r="DO533" s="40">
        <f t="shared" si="740"/>
        <v>0</v>
      </c>
      <c r="DP533" s="40">
        <f t="shared" si="741"/>
        <v>0</v>
      </c>
      <c r="DQ533" s="40">
        <f t="shared" si="742"/>
        <v>1</v>
      </c>
      <c r="DR533" s="40">
        <f t="shared" si="747"/>
        <v>0</v>
      </c>
      <c r="DS533" s="40">
        <f t="shared" si="748"/>
        <v>0</v>
      </c>
      <c r="DT533" s="40">
        <f t="shared" si="743"/>
        <v>0</v>
      </c>
      <c r="DU533" s="40">
        <f t="shared" si="744"/>
        <v>0</v>
      </c>
      <c r="DV533" s="40">
        <f t="shared" si="745"/>
        <v>0</v>
      </c>
      <c r="DW533" s="40">
        <f t="shared" si="746"/>
        <v>0</v>
      </c>
    </row>
    <row r="534" spans="1:127">
      <c r="A534" s="22" t="s">
        <v>44</v>
      </c>
      <c r="B534" s="26">
        <v>4987176203427</v>
      </c>
      <c r="C534" s="22" t="s">
        <v>44</v>
      </c>
      <c r="D534" s="22" t="s">
        <v>47</v>
      </c>
      <c r="E534" s="22">
        <v>247116</v>
      </c>
      <c r="F534" s="80" t="s">
        <v>621</v>
      </c>
      <c r="G534" s="25">
        <v>370.15</v>
      </c>
      <c r="H534" s="38">
        <f t="shared" si="753"/>
        <v>0</v>
      </c>
      <c r="I534" s="38">
        <f t="shared" si="754"/>
        <v>0</v>
      </c>
      <c r="J534" s="38">
        <f t="shared" si="755"/>
        <v>0</v>
      </c>
      <c r="K534" s="38">
        <f t="shared" si="756"/>
        <v>0</v>
      </c>
      <c r="L534" s="38">
        <f t="shared" si="757"/>
        <v>0</v>
      </c>
      <c r="M534" s="39">
        <f t="shared" si="758"/>
        <v>0</v>
      </c>
      <c r="N534" s="40">
        <f t="shared" si="759"/>
        <v>0</v>
      </c>
      <c r="O534" s="40">
        <f t="shared" si="760"/>
        <v>0</v>
      </c>
      <c r="P534" s="40">
        <f t="shared" si="761"/>
        <v>0</v>
      </c>
      <c r="Q534" s="40">
        <f t="shared" si="762"/>
        <v>0</v>
      </c>
      <c r="R534" s="40">
        <f t="shared" si="763"/>
        <v>6662.7</v>
      </c>
      <c r="S534" s="40">
        <f t="shared" si="764"/>
        <v>5922.4</v>
      </c>
      <c r="T534" s="40">
        <f t="shared" si="765"/>
        <v>7403</v>
      </c>
      <c r="U534" s="40">
        <f t="shared" si="766"/>
        <v>18877.649999999998</v>
      </c>
      <c r="V534" s="40">
        <f t="shared" si="767"/>
        <v>3701.5</v>
      </c>
      <c r="W534" s="40">
        <f t="shared" si="768"/>
        <v>2961.2</v>
      </c>
      <c r="X534" s="40">
        <f t="shared" si="769"/>
        <v>1110.4499999999998</v>
      </c>
      <c r="Y534" s="39">
        <f t="shared" si="770"/>
        <v>1480.6</v>
      </c>
      <c r="Z534" s="40">
        <f t="shared" si="771"/>
        <v>4441.7999999999993</v>
      </c>
      <c r="AA534" s="40">
        <f t="shared" si="772"/>
        <v>8513.4499999999989</v>
      </c>
      <c r="AB534" s="40">
        <f t="shared" si="773"/>
        <v>9994.0499999999993</v>
      </c>
      <c r="AC534" s="40">
        <f t="shared" si="774"/>
        <v>2591.0499999999997</v>
      </c>
      <c r="AD534" s="40">
        <f t="shared" si="775"/>
        <v>740.3</v>
      </c>
      <c r="AE534" s="40">
        <f t="shared" si="776"/>
        <v>1110.4499999999998</v>
      </c>
      <c r="AF534" s="40">
        <f t="shared" si="777"/>
        <v>1850.75</v>
      </c>
      <c r="AG534" s="40">
        <f t="shared" si="778"/>
        <v>1480.6</v>
      </c>
      <c r="AH534" s="40">
        <f t="shared" si="749"/>
        <v>1480.6</v>
      </c>
      <c r="AI534" s="40">
        <f t="shared" si="750"/>
        <v>2303.1555555555556</v>
      </c>
      <c r="AJ534" s="40">
        <f t="shared" si="751"/>
        <v>0</v>
      </c>
      <c r="AK534" s="39">
        <f t="shared" si="752"/>
        <v>0</v>
      </c>
      <c r="AL534" s="38">
        <v>0</v>
      </c>
      <c r="AM534" s="38">
        <v>0</v>
      </c>
      <c r="AN534" s="38">
        <v>0</v>
      </c>
      <c r="AO534" s="38">
        <v>0</v>
      </c>
      <c r="AP534" s="38">
        <v>0</v>
      </c>
      <c r="AQ534" s="39">
        <v>0</v>
      </c>
      <c r="AR534" s="40">
        <v>0</v>
      </c>
      <c r="AS534" s="40">
        <v>0</v>
      </c>
      <c r="AT534" s="40">
        <v>0</v>
      </c>
      <c r="AU534" s="40">
        <v>0</v>
      </c>
      <c r="AV534" s="40">
        <v>13</v>
      </c>
      <c r="AW534" s="40">
        <v>9</v>
      </c>
      <c r="AX534" s="40">
        <v>4</v>
      </c>
      <c r="AY534" s="40">
        <v>9</v>
      </c>
      <c r="AZ534" s="40">
        <v>6</v>
      </c>
      <c r="BA534" s="40">
        <v>8</v>
      </c>
      <c r="BB534" s="40">
        <v>2</v>
      </c>
      <c r="BC534" s="39">
        <v>1</v>
      </c>
      <c r="BD534" s="40">
        <v>8</v>
      </c>
      <c r="BE534" s="40">
        <v>22</v>
      </c>
      <c r="BF534" s="40">
        <v>0</v>
      </c>
      <c r="BG534" s="40">
        <v>0</v>
      </c>
      <c r="BH534" s="40">
        <v>0</v>
      </c>
      <c r="BI534" s="40">
        <v>0</v>
      </c>
      <c r="BJ534" s="40">
        <v>1</v>
      </c>
      <c r="BK534" s="40">
        <v>0</v>
      </c>
      <c r="BL534" s="40">
        <v>0</v>
      </c>
      <c r="BM534" s="40">
        <v>0</v>
      </c>
      <c r="BN534" s="40"/>
      <c r="BO534" s="39"/>
      <c r="BP534" s="21">
        <v>0</v>
      </c>
      <c r="BQ534" s="21">
        <v>0</v>
      </c>
      <c r="BR534" s="21">
        <v>0</v>
      </c>
      <c r="BS534" s="21">
        <v>0</v>
      </c>
      <c r="BT534" s="21">
        <v>0</v>
      </c>
      <c r="BU534" s="42">
        <v>0</v>
      </c>
      <c r="BV534" s="21">
        <v>0</v>
      </c>
      <c r="BW534" s="21">
        <v>0</v>
      </c>
      <c r="BX534" s="21">
        <v>0</v>
      </c>
      <c r="BY534" s="21">
        <v>0</v>
      </c>
      <c r="BZ534" s="21">
        <v>5</v>
      </c>
      <c r="CA534" s="21">
        <v>7</v>
      </c>
      <c r="CB534" s="21">
        <v>16</v>
      </c>
      <c r="CC534" s="21">
        <v>42</v>
      </c>
      <c r="CD534" s="21">
        <v>4</v>
      </c>
      <c r="CE534" s="21">
        <v>0</v>
      </c>
      <c r="CF534" s="21">
        <v>1</v>
      </c>
      <c r="CG534" s="42">
        <v>3</v>
      </c>
      <c r="CH534" s="21">
        <v>4</v>
      </c>
      <c r="CI534" s="21">
        <v>1</v>
      </c>
      <c r="CJ534" s="21">
        <v>27</v>
      </c>
      <c r="CK534" s="21">
        <v>7</v>
      </c>
      <c r="CL534" s="21">
        <v>2</v>
      </c>
      <c r="CM534" s="21">
        <v>3</v>
      </c>
      <c r="CN534" s="21">
        <v>4</v>
      </c>
      <c r="CO534" s="21">
        <v>4</v>
      </c>
      <c r="CP534" s="21">
        <f t="shared" si="779"/>
        <v>4</v>
      </c>
      <c r="CQ534" s="343">
        <f t="shared" si="780"/>
        <v>6.2222222222222223</v>
      </c>
      <c r="CR534" s="40"/>
      <c r="CS534" s="39"/>
      <c r="CT534" s="38">
        <f t="shared" si="719"/>
        <v>0</v>
      </c>
      <c r="CU534" s="38">
        <f t="shared" si="720"/>
        <v>0</v>
      </c>
      <c r="CV534" s="38">
        <f t="shared" si="721"/>
        <v>0</v>
      </c>
      <c r="CW534" s="38">
        <f t="shared" si="722"/>
        <v>0</v>
      </c>
      <c r="CX534" s="38">
        <f t="shared" si="723"/>
        <v>0</v>
      </c>
      <c r="CY534" s="39">
        <f t="shared" si="724"/>
        <v>0</v>
      </c>
      <c r="CZ534" s="40">
        <f t="shared" si="725"/>
        <v>0</v>
      </c>
      <c r="DA534" s="40">
        <f t="shared" si="726"/>
        <v>0</v>
      </c>
      <c r="DB534" s="40">
        <f t="shared" si="727"/>
        <v>0</v>
      </c>
      <c r="DC534" s="40">
        <f t="shared" si="728"/>
        <v>0</v>
      </c>
      <c r="DD534" s="40">
        <f t="shared" si="729"/>
        <v>18</v>
      </c>
      <c r="DE534" s="40">
        <f t="shared" si="730"/>
        <v>16</v>
      </c>
      <c r="DF534" s="40">
        <f t="shared" si="731"/>
        <v>20</v>
      </c>
      <c r="DG534" s="40">
        <f t="shared" si="732"/>
        <v>51</v>
      </c>
      <c r="DH534" s="40">
        <f t="shared" si="733"/>
        <v>10</v>
      </c>
      <c r="DI534" s="40">
        <f t="shared" si="734"/>
        <v>8</v>
      </c>
      <c r="DJ534" s="40">
        <f t="shared" si="735"/>
        <v>3</v>
      </c>
      <c r="DK534" s="39">
        <f t="shared" si="736"/>
        <v>4</v>
      </c>
      <c r="DL534" s="40">
        <f t="shared" si="737"/>
        <v>12</v>
      </c>
      <c r="DM534" s="40">
        <f t="shared" si="738"/>
        <v>23</v>
      </c>
      <c r="DN534" s="40">
        <f t="shared" si="739"/>
        <v>27</v>
      </c>
      <c r="DO534" s="40">
        <f t="shared" si="740"/>
        <v>7</v>
      </c>
      <c r="DP534" s="40">
        <f t="shared" si="741"/>
        <v>2</v>
      </c>
      <c r="DQ534" s="40">
        <f t="shared" si="742"/>
        <v>3</v>
      </c>
      <c r="DR534" s="40">
        <f t="shared" si="747"/>
        <v>5</v>
      </c>
      <c r="DS534" s="40">
        <f t="shared" si="748"/>
        <v>4</v>
      </c>
      <c r="DT534" s="40">
        <f t="shared" si="743"/>
        <v>4</v>
      </c>
      <c r="DU534" s="40">
        <f t="shared" si="744"/>
        <v>6.2222222222222223</v>
      </c>
      <c r="DV534" s="40">
        <f t="shared" si="745"/>
        <v>0</v>
      </c>
      <c r="DW534" s="40">
        <f t="shared" si="746"/>
        <v>0</v>
      </c>
    </row>
    <row r="535" spans="1:127">
      <c r="A535" s="22" t="s">
        <v>44</v>
      </c>
      <c r="B535" s="26">
        <v>4987176232847</v>
      </c>
      <c r="C535" s="22" t="s">
        <v>44</v>
      </c>
      <c r="D535" s="22" t="s">
        <v>48</v>
      </c>
      <c r="E535" s="22">
        <v>246249</v>
      </c>
      <c r="F535" s="80" t="s">
        <v>622</v>
      </c>
      <c r="G535" s="25">
        <v>332.61</v>
      </c>
      <c r="H535" s="38">
        <f t="shared" si="753"/>
        <v>0</v>
      </c>
      <c r="I535" s="38">
        <f t="shared" si="754"/>
        <v>0</v>
      </c>
      <c r="J535" s="38">
        <f t="shared" si="755"/>
        <v>0</v>
      </c>
      <c r="K535" s="38">
        <f t="shared" si="756"/>
        <v>0</v>
      </c>
      <c r="L535" s="38">
        <f t="shared" si="757"/>
        <v>0</v>
      </c>
      <c r="M535" s="39">
        <f t="shared" si="758"/>
        <v>0</v>
      </c>
      <c r="N535" s="40">
        <f t="shared" si="759"/>
        <v>0</v>
      </c>
      <c r="O535" s="40">
        <f t="shared" si="760"/>
        <v>0</v>
      </c>
      <c r="P535" s="40">
        <f t="shared" si="761"/>
        <v>0</v>
      </c>
      <c r="Q535" s="40">
        <f t="shared" si="762"/>
        <v>0</v>
      </c>
      <c r="R535" s="40">
        <f t="shared" si="763"/>
        <v>6984.81</v>
      </c>
      <c r="S535" s="40">
        <f t="shared" si="764"/>
        <v>2328.27</v>
      </c>
      <c r="T535" s="40">
        <f t="shared" si="765"/>
        <v>7650.0300000000007</v>
      </c>
      <c r="U535" s="40">
        <f t="shared" si="766"/>
        <v>9645.69</v>
      </c>
      <c r="V535" s="40">
        <f t="shared" si="767"/>
        <v>4656.54</v>
      </c>
      <c r="W535" s="40">
        <f t="shared" si="768"/>
        <v>15300.060000000001</v>
      </c>
      <c r="X535" s="40">
        <f t="shared" si="769"/>
        <v>9978.3000000000011</v>
      </c>
      <c r="Y535" s="39">
        <f t="shared" si="770"/>
        <v>8315.25</v>
      </c>
      <c r="Z535" s="40">
        <f t="shared" si="771"/>
        <v>17628.330000000002</v>
      </c>
      <c r="AA535" s="40">
        <f t="shared" si="772"/>
        <v>17295.72</v>
      </c>
      <c r="AB535" s="40">
        <f t="shared" si="773"/>
        <v>10643.52</v>
      </c>
      <c r="AC535" s="40">
        <f t="shared" si="774"/>
        <v>8315.25</v>
      </c>
      <c r="AD535" s="40">
        <f t="shared" si="775"/>
        <v>6984.81</v>
      </c>
      <c r="AE535" s="40">
        <f t="shared" si="776"/>
        <v>665.22</v>
      </c>
      <c r="AF535" s="40">
        <f t="shared" si="777"/>
        <v>997.83</v>
      </c>
      <c r="AG535" s="40">
        <f t="shared" si="778"/>
        <v>665.22</v>
      </c>
      <c r="AH535" s="40">
        <f t="shared" si="749"/>
        <v>665.22</v>
      </c>
      <c r="AI535" s="40">
        <f t="shared" si="750"/>
        <v>6023.9366666666665</v>
      </c>
      <c r="AJ535" s="40">
        <f t="shared" si="751"/>
        <v>0</v>
      </c>
      <c r="AK535" s="39">
        <f t="shared" si="752"/>
        <v>0</v>
      </c>
      <c r="AL535" s="38">
        <v>0</v>
      </c>
      <c r="AM535" s="38">
        <v>0</v>
      </c>
      <c r="AN535" s="38">
        <v>0</v>
      </c>
      <c r="AO535" s="38">
        <v>0</v>
      </c>
      <c r="AP535" s="38">
        <v>0</v>
      </c>
      <c r="AQ535" s="39">
        <v>0</v>
      </c>
      <c r="AR535" s="40">
        <v>0</v>
      </c>
      <c r="AS535" s="40">
        <v>0</v>
      </c>
      <c r="AT535" s="40">
        <v>0</v>
      </c>
      <c r="AU535" s="40">
        <v>0</v>
      </c>
      <c r="AV535" s="40">
        <v>19</v>
      </c>
      <c r="AW535" s="40">
        <v>7</v>
      </c>
      <c r="AX535" s="40">
        <v>15</v>
      </c>
      <c r="AY535" s="40">
        <v>5</v>
      </c>
      <c r="AZ535" s="40">
        <v>4</v>
      </c>
      <c r="BA535" s="40">
        <v>23</v>
      </c>
      <c r="BB535" s="40">
        <v>16</v>
      </c>
      <c r="BC535" s="39">
        <v>15</v>
      </c>
      <c r="BD535" s="40">
        <v>13</v>
      </c>
      <c r="BE535" s="40">
        <v>13</v>
      </c>
      <c r="BF535" s="40">
        <v>0</v>
      </c>
      <c r="BG535" s="40">
        <v>1</v>
      </c>
      <c r="BH535" s="40">
        <v>1</v>
      </c>
      <c r="BI535" s="40">
        <v>0</v>
      </c>
      <c r="BJ535" s="40">
        <v>1</v>
      </c>
      <c r="BK535" s="40">
        <v>0</v>
      </c>
      <c r="BL535" s="40">
        <v>0</v>
      </c>
      <c r="BM535" s="40">
        <v>0</v>
      </c>
      <c r="BN535" s="40"/>
      <c r="BO535" s="39"/>
      <c r="BP535" s="21">
        <v>0</v>
      </c>
      <c r="BQ535" s="21">
        <v>0</v>
      </c>
      <c r="BR535" s="21">
        <v>0</v>
      </c>
      <c r="BS535" s="21">
        <v>0</v>
      </c>
      <c r="BT535" s="21">
        <v>0</v>
      </c>
      <c r="BU535" s="42">
        <v>0</v>
      </c>
      <c r="BV535" s="21">
        <v>0</v>
      </c>
      <c r="BW535" s="21">
        <v>0</v>
      </c>
      <c r="BX535" s="21">
        <v>0</v>
      </c>
      <c r="BY535" s="21">
        <v>0</v>
      </c>
      <c r="BZ535" s="21">
        <v>2</v>
      </c>
      <c r="CA535" s="21">
        <v>0</v>
      </c>
      <c r="CB535" s="21">
        <v>8</v>
      </c>
      <c r="CC535" s="21">
        <v>24</v>
      </c>
      <c r="CD535" s="21">
        <v>10</v>
      </c>
      <c r="CE535" s="21">
        <v>23</v>
      </c>
      <c r="CF535" s="21">
        <v>14</v>
      </c>
      <c r="CG535" s="42">
        <v>10</v>
      </c>
      <c r="CH535" s="21">
        <v>40</v>
      </c>
      <c r="CI535" s="21">
        <v>39</v>
      </c>
      <c r="CJ535" s="21">
        <v>32</v>
      </c>
      <c r="CK535" s="21">
        <v>24</v>
      </c>
      <c r="CL535" s="21">
        <v>20</v>
      </c>
      <c r="CM535" s="21">
        <v>2</v>
      </c>
      <c r="CN535" s="21">
        <v>2</v>
      </c>
      <c r="CO535" s="21">
        <v>2</v>
      </c>
      <c r="CP535" s="21">
        <f t="shared" si="779"/>
        <v>2</v>
      </c>
      <c r="CQ535" s="343">
        <f t="shared" si="780"/>
        <v>18.111111111111111</v>
      </c>
      <c r="CR535" s="40"/>
      <c r="CS535" s="39"/>
      <c r="CT535" s="38">
        <f t="shared" si="719"/>
        <v>0</v>
      </c>
      <c r="CU535" s="38">
        <f t="shared" si="720"/>
        <v>0</v>
      </c>
      <c r="CV535" s="38">
        <f t="shared" si="721"/>
        <v>0</v>
      </c>
      <c r="CW535" s="38">
        <f t="shared" si="722"/>
        <v>0</v>
      </c>
      <c r="CX535" s="38">
        <f t="shared" si="723"/>
        <v>0</v>
      </c>
      <c r="CY535" s="39">
        <f t="shared" si="724"/>
        <v>0</v>
      </c>
      <c r="CZ535" s="40">
        <f t="shared" si="725"/>
        <v>0</v>
      </c>
      <c r="DA535" s="40">
        <f t="shared" si="726"/>
        <v>0</v>
      </c>
      <c r="DB535" s="40">
        <f t="shared" si="727"/>
        <v>0</v>
      </c>
      <c r="DC535" s="40">
        <f t="shared" si="728"/>
        <v>0</v>
      </c>
      <c r="DD535" s="40">
        <f t="shared" si="729"/>
        <v>21</v>
      </c>
      <c r="DE535" s="40">
        <f t="shared" si="730"/>
        <v>7</v>
      </c>
      <c r="DF535" s="40">
        <f t="shared" si="731"/>
        <v>23</v>
      </c>
      <c r="DG535" s="40">
        <f t="shared" si="732"/>
        <v>29</v>
      </c>
      <c r="DH535" s="40">
        <f t="shared" si="733"/>
        <v>14</v>
      </c>
      <c r="DI535" s="40">
        <f t="shared" si="734"/>
        <v>46</v>
      </c>
      <c r="DJ535" s="40">
        <f t="shared" si="735"/>
        <v>30</v>
      </c>
      <c r="DK535" s="39">
        <f t="shared" si="736"/>
        <v>25</v>
      </c>
      <c r="DL535" s="40">
        <f t="shared" si="737"/>
        <v>53</v>
      </c>
      <c r="DM535" s="40">
        <f t="shared" si="738"/>
        <v>52</v>
      </c>
      <c r="DN535" s="40">
        <f t="shared" si="739"/>
        <v>32</v>
      </c>
      <c r="DO535" s="40">
        <f t="shared" si="740"/>
        <v>25</v>
      </c>
      <c r="DP535" s="40">
        <f t="shared" si="741"/>
        <v>21</v>
      </c>
      <c r="DQ535" s="40">
        <f t="shared" si="742"/>
        <v>2</v>
      </c>
      <c r="DR535" s="40">
        <f t="shared" si="747"/>
        <v>3</v>
      </c>
      <c r="DS535" s="40">
        <f t="shared" si="748"/>
        <v>2</v>
      </c>
      <c r="DT535" s="40">
        <f t="shared" si="743"/>
        <v>2</v>
      </c>
      <c r="DU535" s="40">
        <f t="shared" si="744"/>
        <v>18.111111111111111</v>
      </c>
      <c r="DV535" s="40">
        <f t="shared" si="745"/>
        <v>0</v>
      </c>
      <c r="DW535" s="40">
        <f t="shared" si="746"/>
        <v>0</v>
      </c>
    </row>
    <row r="536" spans="1:127">
      <c r="A536" s="22" t="s">
        <v>44</v>
      </c>
      <c r="B536" s="26">
        <v>4987176232854</v>
      </c>
      <c r="C536" s="22" t="s">
        <v>44</v>
      </c>
      <c r="D536" s="22" t="s">
        <v>48</v>
      </c>
      <c r="E536" s="22">
        <v>246715</v>
      </c>
      <c r="F536" s="80" t="s">
        <v>623</v>
      </c>
      <c r="G536" s="25">
        <v>351.67</v>
      </c>
      <c r="H536" s="38">
        <f t="shared" si="753"/>
        <v>0</v>
      </c>
      <c r="I536" s="38">
        <f t="shared" si="754"/>
        <v>0</v>
      </c>
      <c r="J536" s="38">
        <f t="shared" si="755"/>
        <v>0</v>
      </c>
      <c r="K536" s="38">
        <f t="shared" si="756"/>
        <v>0</v>
      </c>
      <c r="L536" s="38">
        <f t="shared" si="757"/>
        <v>0</v>
      </c>
      <c r="M536" s="39">
        <f t="shared" si="758"/>
        <v>0</v>
      </c>
      <c r="N536" s="40">
        <f t="shared" si="759"/>
        <v>0</v>
      </c>
      <c r="O536" s="40">
        <f t="shared" si="760"/>
        <v>0</v>
      </c>
      <c r="P536" s="40">
        <f t="shared" si="761"/>
        <v>0</v>
      </c>
      <c r="Q536" s="40">
        <f t="shared" si="762"/>
        <v>0</v>
      </c>
      <c r="R536" s="40">
        <f t="shared" si="763"/>
        <v>6330.06</v>
      </c>
      <c r="S536" s="40">
        <f t="shared" si="764"/>
        <v>6330.06</v>
      </c>
      <c r="T536" s="40">
        <f t="shared" si="765"/>
        <v>5626.72</v>
      </c>
      <c r="U536" s="40">
        <f t="shared" si="766"/>
        <v>2110.02</v>
      </c>
      <c r="V536" s="40">
        <f t="shared" si="767"/>
        <v>3868.3700000000003</v>
      </c>
      <c r="W536" s="40">
        <f t="shared" si="768"/>
        <v>1406.68</v>
      </c>
      <c r="X536" s="40">
        <f t="shared" si="769"/>
        <v>3165.03</v>
      </c>
      <c r="Y536" s="39">
        <f t="shared" si="770"/>
        <v>703.34</v>
      </c>
      <c r="Z536" s="40">
        <f t="shared" si="771"/>
        <v>2813.36</v>
      </c>
      <c r="AA536" s="40">
        <f t="shared" si="772"/>
        <v>4220.04</v>
      </c>
      <c r="AB536" s="40">
        <f t="shared" si="773"/>
        <v>5978.39</v>
      </c>
      <c r="AC536" s="40">
        <f t="shared" si="774"/>
        <v>1406.68</v>
      </c>
      <c r="AD536" s="40">
        <f t="shared" si="775"/>
        <v>0</v>
      </c>
      <c r="AE536" s="40">
        <f t="shared" si="776"/>
        <v>0</v>
      </c>
      <c r="AF536" s="40">
        <f t="shared" si="777"/>
        <v>0</v>
      </c>
      <c r="AG536" s="40">
        <f t="shared" si="778"/>
        <v>0</v>
      </c>
      <c r="AH536" s="40">
        <f t="shared" si="749"/>
        <v>0</v>
      </c>
      <c r="AI536" s="40">
        <f t="shared" si="750"/>
        <v>703.34</v>
      </c>
      <c r="AJ536" s="40">
        <f t="shared" si="751"/>
        <v>0</v>
      </c>
      <c r="AK536" s="39">
        <f t="shared" si="752"/>
        <v>0</v>
      </c>
      <c r="AL536" s="38">
        <v>0</v>
      </c>
      <c r="AM536" s="38">
        <v>0</v>
      </c>
      <c r="AN536" s="38">
        <v>0</v>
      </c>
      <c r="AO536" s="38">
        <v>0</v>
      </c>
      <c r="AP536" s="38">
        <v>0</v>
      </c>
      <c r="AQ536" s="39">
        <v>0</v>
      </c>
      <c r="AR536" s="40">
        <v>0</v>
      </c>
      <c r="AS536" s="40">
        <v>0</v>
      </c>
      <c r="AT536" s="40">
        <v>0</v>
      </c>
      <c r="AU536" s="40">
        <v>0</v>
      </c>
      <c r="AV536" s="40">
        <v>16</v>
      </c>
      <c r="AW536" s="40">
        <v>18</v>
      </c>
      <c r="AX536" s="40">
        <v>14</v>
      </c>
      <c r="AY536" s="40">
        <v>6</v>
      </c>
      <c r="AZ536" s="40">
        <v>7</v>
      </c>
      <c r="BA536" s="40">
        <v>4</v>
      </c>
      <c r="BB536" s="40">
        <v>9</v>
      </c>
      <c r="BC536" s="39">
        <v>2</v>
      </c>
      <c r="BD536" s="40">
        <v>8</v>
      </c>
      <c r="BE536" s="40">
        <v>12</v>
      </c>
      <c r="BF536" s="40">
        <v>3</v>
      </c>
      <c r="BG536" s="40">
        <v>0</v>
      </c>
      <c r="BH536" s="40">
        <v>0</v>
      </c>
      <c r="BI536" s="40">
        <v>0</v>
      </c>
      <c r="BJ536" s="40">
        <v>0</v>
      </c>
      <c r="BK536" s="40">
        <v>0</v>
      </c>
      <c r="BL536" s="40">
        <v>0</v>
      </c>
      <c r="BM536" s="40">
        <v>0</v>
      </c>
      <c r="BN536" s="40"/>
      <c r="BO536" s="39"/>
      <c r="BP536" s="21">
        <v>0</v>
      </c>
      <c r="BQ536" s="21">
        <v>0</v>
      </c>
      <c r="BR536" s="21">
        <v>0</v>
      </c>
      <c r="BS536" s="21">
        <v>0</v>
      </c>
      <c r="BT536" s="21">
        <v>0</v>
      </c>
      <c r="BU536" s="42">
        <v>0</v>
      </c>
      <c r="BV536" s="21">
        <v>0</v>
      </c>
      <c r="BW536" s="21">
        <v>0</v>
      </c>
      <c r="BX536" s="21">
        <v>0</v>
      </c>
      <c r="BY536" s="21">
        <v>0</v>
      </c>
      <c r="BZ536" s="21">
        <v>2</v>
      </c>
      <c r="CA536" s="21">
        <v>0</v>
      </c>
      <c r="CB536" s="21">
        <v>2</v>
      </c>
      <c r="CC536" s="21">
        <v>0</v>
      </c>
      <c r="CD536" s="21">
        <v>4</v>
      </c>
      <c r="CE536" s="21">
        <v>0</v>
      </c>
      <c r="CF536" s="21">
        <v>0</v>
      </c>
      <c r="CG536" s="42">
        <v>0</v>
      </c>
      <c r="CH536" s="21">
        <v>0</v>
      </c>
      <c r="CI536" s="21">
        <v>0</v>
      </c>
      <c r="CJ536" s="21">
        <v>14</v>
      </c>
      <c r="CK536" s="21">
        <v>4</v>
      </c>
      <c r="CL536" s="21">
        <v>0</v>
      </c>
      <c r="CM536" s="21">
        <v>0</v>
      </c>
      <c r="CN536" s="21">
        <v>0</v>
      </c>
      <c r="CO536" s="21">
        <v>0</v>
      </c>
      <c r="CP536" s="21">
        <f t="shared" si="779"/>
        <v>0</v>
      </c>
      <c r="CQ536" s="343">
        <f t="shared" si="780"/>
        <v>2</v>
      </c>
      <c r="CR536" s="40"/>
      <c r="CS536" s="39"/>
      <c r="CT536" s="38">
        <f t="shared" si="719"/>
        <v>0</v>
      </c>
      <c r="CU536" s="38">
        <f t="shared" si="720"/>
        <v>0</v>
      </c>
      <c r="CV536" s="38">
        <f t="shared" si="721"/>
        <v>0</v>
      </c>
      <c r="CW536" s="38">
        <f t="shared" si="722"/>
        <v>0</v>
      </c>
      <c r="CX536" s="38">
        <f t="shared" si="723"/>
        <v>0</v>
      </c>
      <c r="CY536" s="39">
        <f t="shared" si="724"/>
        <v>0</v>
      </c>
      <c r="CZ536" s="40">
        <f t="shared" si="725"/>
        <v>0</v>
      </c>
      <c r="DA536" s="40">
        <f t="shared" si="726"/>
        <v>0</v>
      </c>
      <c r="DB536" s="40">
        <f t="shared" si="727"/>
        <v>0</v>
      </c>
      <c r="DC536" s="40">
        <f t="shared" si="728"/>
        <v>0</v>
      </c>
      <c r="DD536" s="40">
        <f t="shared" si="729"/>
        <v>18</v>
      </c>
      <c r="DE536" s="40">
        <f t="shared" si="730"/>
        <v>18</v>
      </c>
      <c r="DF536" s="40">
        <f t="shared" si="731"/>
        <v>16</v>
      </c>
      <c r="DG536" s="40">
        <f t="shared" si="732"/>
        <v>6</v>
      </c>
      <c r="DH536" s="40">
        <f t="shared" si="733"/>
        <v>11</v>
      </c>
      <c r="DI536" s="40">
        <f t="shared" si="734"/>
        <v>4</v>
      </c>
      <c r="DJ536" s="40">
        <f t="shared" si="735"/>
        <v>9</v>
      </c>
      <c r="DK536" s="39">
        <f t="shared" si="736"/>
        <v>2</v>
      </c>
      <c r="DL536" s="40">
        <f t="shared" si="737"/>
        <v>8</v>
      </c>
      <c r="DM536" s="40">
        <f t="shared" si="738"/>
        <v>12</v>
      </c>
      <c r="DN536" s="40">
        <f t="shared" si="739"/>
        <v>17</v>
      </c>
      <c r="DO536" s="40">
        <f t="shared" si="740"/>
        <v>4</v>
      </c>
      <c r="DP536" s="40">
        <f t="shared" si="741"/>
        <v>0</v>
      </c>
      <c r="DQ536" s="40">
        <f t="shared" si="742"/>
        <v>0</v>
      </c>
      <c r="DR536" s="40">
        <f t="shared" si="747"/>
        <v>0</v>
      </c>
      <c r="DS536" s="40">
        <f t="shared" si="748"/>
        <v>0</v>
      </c>
      <c r="DT536" s="40">
        <f t="shared" si="743"/>
        <v>0</v>
      </c>
      <c r="DU536" s="40">
        <f t="shared" si="744"/>
        <v>2</v>
      </c>
      <c r="DV536" s="40">
        <f t="shared" si="745"/>
        <v>0</v>
      </c>
      <c r="DW536" s="40">
        <f t="shared" si="746"/>
        <v>0</v>
      </c>
    </row>
    <row r="537" spans="1:127">
      <c r="A537" s="22" t="s">
        <v>44</v>
      </c>
      <c r="B537" s="26">
        <v>4987176232861</v>
      </c>
      <c r="C537" s="22" t="s">
        <v>44</v>
      </c>
      <c r="D537" s="22" t="s">
        <v>48</v>
      </c>
      <c r="E537" s="22">
        <v>246720</v>
      </c>
      <c r="F537" s="80" t="s">
        <v>624</v>
      </c>
      <c r="G537" s="25">
        <v>351.67</v>
      </c>
      <c r="H537" s="38">
        <f t="shared" si="753"/>
        <v>0</v>
      </c>
      <c r="I537" s="38">
        <f t="shared" si="754"/>
        <v>0</v>
      </c>
      <c r="J537" s="38">
        <f t="shared" si="755"/>
        <v>0</v>
      </c>
      <c r="K537" s="38">
        <f t="shared" si="756"/>
        <v>0</v>
      </c>
      <c r="L537" s="38">
        <f t="shared" si="757"/>
        <v>0</v>
      </c>
      <c r="M537" s="39">
        <f t="shared" si="758"/>
        <v>0</v>
      </c>
      <c r="N537" s="40">
        <f t="shared" si="759"/>
        <v>0</v>
      </c>
      <c r="O537" s="40">
        <f t="shared" si="760"/>
        <v>0</v>
      </c>
      <c r="P537" s="40">
        <f t="shared" si="761"/>
        <v>0</v>
      </c>
      <c r="Q537" s="40">
        <f t="shared" si="762"/>
        <v>0</v>
      </c>
      <c r="R537" s="40">
        <f t="shared" si="763"/>
        <v>8088.4100000000008</v>
      </c>
      <c r="S537" s="40">
        <f t="shared" si="764"/>
        <v>7033.4000000000005</v>
      </c>
      <c r="T537" s="40">
        <f t="shared" si="765"/>
        <v>4220.04</v>
      </c>
      <c r="U537" s="40">
        <f t="shared" si="766"/>
        <v>7385.0700000000006</v>
      </c>
      <c r="V537" s="40">
        <f t="shared" si="767"/>
        <v>3868.3700000000003</v>
      </c>
      <c r="W537" s="40">
        <f t="shared" si="768"/>
        <v>4571.71</v>
      </c>
      <c r="X537" s="40">
        <f t="shared" si="769"/>
        <v>3165.03</v>
      </c>
      <c r="Y537" s="39">
        <f t="shared" si="770"/>
        <v>1406.68</v>
      </c>
      <c r="Z537" s="40">
        <f t="shared" si="771"/>
        <v>4923.38</v>
      </c>
      <c r="AA537" s="40">
        <f t="shared" si="772"/>
        <v>8088.4100000000008</v>
      </c>
      <c r="AB537" s="40">
        <f t="shared" si="773"/>
        <v>0</v>
      </c>
      <c r="AC537" s="40">
        <f t="shared" si="774"/>
        <v>5978.39</v>
      </c>
      <c r="AD537" s="40">
        <f t="shared" si="775"/>
        <v>4220.04</v>
      </c>
      <c r="AE537" s="40">
        <f t="shared" si="776"/>
        <v>2813.36</v>
      </c>
      <c r="AF537" s="40">
        <f t="shared" si="777"/>
        <v>0</v>
      </c>
      <c r="AG537" s="40">
        <f t="shared" si="778"/>
        <v>0</v>
      </c>
      <c r="AH537" s="40">
        <f t="shared" si="749"/>
        <v>0</v>
      </c>
      <c r="AI537" s="40">
        <f t="shared" si="750"/>
        <v>2031.8711111111111</v>
      </c>
      <c r="AJ537" s="40">
        <f t="shared" si="751"/>
        <v>0</v>
      </c>
      <c r="AK537" s="39">
        <f t="shared" si="752"/>
        <v>0</v>
      </c>
      <c r="AL537" s="38">
        <v>0</v>
      </c>
      <c r="AM537" s="38">
        <v>0</v>
      </c>
      <c r="AN537" s="38">
        <v>0</v>
      </c>
      <c r="AO537" s="38">
        <v>0</v>
      </c>
      <c r="AP537" s="38">
        <v>0</v>
      </c>
      <c r="AQ537" s="39">
        <v>0</v>
      </c>
      <c r="AR537" s="40">
        <v>0</v>
      </c>
      <c r="AS537" s="40">
        <v>0</v>
      </c>
      <c r="AT537" s="40">
        <v>0</v>
      </c>
      <c r="AU537" s="40">
        <v>0</v>
      </c>
      <c r="AV537" s="40">
        <v>23</v>
      </c>
      <c r="AW537" s="40">
        <v>17</v>
      </c>
      <c r="AX537" s="40">
        <v>11</v>
      </c>
      <c r="AY537" s="40">
        <v>10</v>
      </c>
      <c r="AZ537" s="40">
        <v>11</v>
      </c>
      <c r="BA537" s="40">
        <v>13</v>
      </c>
      <c r="BB537" s="40">
        <v>7</v>
      </c>
      <c r="BC537" s="39">
        <v>4</v>
      </c>
      <c r="BD537" s="40">
        <v>10</v>
      </c>
      <c r="BE537" s="40">
        <v>12</v>
      </c>
      <c r="BF537" s="40">
        <v>0</v>
      </c>
      <c r="BG537" s="40">
        <v>0</v>
      </c>
      <c r="BH537" s="40">
        <v>0</v>
      </c>
      <c r="BI537" s="40">
        <v>0</v>
      </c>
      <c r="BJ537" s="40">
        <v>0</v>
      </c>
      <c r="BK537" s="40">
        <v>0</v>
      </c>
      <c r="BL537" s="40">
        <v>0</v>
      </c>
      <c r="BM537" s="40">
        <v>0</v>
      </c>
      <c r="BN537" s="40"/>
      <c r="BO537" s="39"/>
      <c r="BP537" s="21">
        <v>0</v>
      </c>
      <c r="BQ537" s="21">
        <v>0</v>
      </c>
      <c r="BR537" s="21">
        <v>0</v>
      </c>
      <c r="BS537" s="21">
        <v>0</v>
      </c>
      <c r="BT537" s="21">
        <v>0</v>
      </c>
      <c r="BU537" s="42">
        <v>0</v>
      </c>
      <c r="BV537" s="21">
        <v>0</v>
      </c>
      <c r="BW537" s="21">
        <v>0</v>
      </c>
      <c r="BX537" s="21">
        <v>0</v>
      </c>
      <c r="BY537" s="21">
        <v>0</v>
      </c>
      <c r="BZ537" s="21">
        <v>0</v>
      </c>
      <c r="CA537" s="21">
        <v>3</v>
      </c>
      <c r="CB537" s="21">
        <v>1</v>
      </c>
      <c r="CC537" s="21">
        <v>11</v>
      </c>
      <c r="CD537" s="21">
        <v>0</v>
      </c>
      <c r="CE537" s="21">
        <v>0</v>
      </c>
      <c r="CF537" s="21">
        <v>2</v>
      </c>
      <c r="CG537" s="42">
        <v>0</v>
      </c>
      <c r="CH537" s="21">
        <v>4</v>
      </c>
      <c r="CI537" s="21">
        <v>11</v>
      </c>
      <c r="CJ537" s="21">
        <v>0</v>
      </c>
      <c r="CK537" s="21">
        <v>17</v>
      </c>
      <c r="CL537" s="21">
        <v>12</v>
      </c>
      <c r="CM537" s="21">
        <v>8</v>
      </c>
      <c r="CN537" s="21">
        <v>0</v>
      </c>
      <c r="CO537" s="21">
        <v>0</v>
      </c>
      <c r="CP537" s="21">
        <f t="shared" si="779"/>
        <v>0</v>
      </c>
      <c r="CQ537" s="343">
        <f t="shared" si="780"/>
        <v>5.7777777777777777</v>
      </c>
      <c r="CR537" s="40"/>
      <c r="CS537" s="39"/>
      <c r="CT537" s="38">
        <f t="shared" si="719"/>
        <v>0</v>
      </c>
      <c r="CU537" s="38">
        <f t="shared" si="720"/>
        <v>0</v>
      </c>
      <c r="CV537" s="38">
        <f t="shared" si="721"/>
        <v>0</v>
      </c>
      <c r="CW537" s="38">
        <f t="shared" si="722"/>
        <v>0</v>
      </c>
      <c r="CX537" s="38">
        <f t="shared" si="723"/>
        <v>0</v>
      </c>
      <c r="CY537" s="39">
        <f t="shared" si="724"/>
        <v>0</v>
      </c>
      <c r="CZ537" s="40">
        <f t="shared" si="725"/>
        <v>0</v>
      </c>
      <c r="DA537" s="40">
        <f t="shared" si="726"/>
        <v>0</v>
      </c>
      <c r="DB537" s="40">
        <f t="shared" si="727"/>
        <v>0</v>
      </c>
      <c r="DC537" s="40">
        <f t="shared" si="728"/>
        <v>0</v>
      </c>
      <c r="DD537" s="40">
        <f t="shared" si="729"/>
        <v>23</v>
      </c>
      <c r="DE537" s="40">
        <f t="shared" si="730"/>
        <v>20</v>
      </c>
      <c r="DF537" s="40">
        <f t="shared" si="731"/>
        <v>12</v>
      </c>
      <c r="DG537" s="40">
        <f t="shared" si="732"/>
        <v>21</v>
      </c>
      <c r="DH537" s="40">
        <f t="shared" si="733"/>
        <v>11</v>
      </c>
      <c r="DI537" s="40">
        <f t="shared" si="734"/>
        <v>13</v>
      </c>
      <c r="DJ537" s="40">
        <f t="shared" si="735"/>
        <v>9</v>
      </c>
      <c r="DK537" s="39">
        <f t="shared" si="736"/>
        <v>4</v>
      </c>
      <c r="DL537" s="40">
        <f t="shared" si="737"/>
        <v>14</v>
      </c>
      <c r="DM537" s="40">
        <f t="shared" si="738"/>
        <v>23</v>
      </c>
      <c r="DN537" s="40">
        <f t="shared" si="739"/>
        <v>0</v>
      </c>
      <c r="DO537" s="40">
        <f t="shared" si="740"/>
        <v>17</v>
      </c>
      <c r="DP537" s="40">
        <f t="shared" si="741"/>
        <v>12</v>
      </c>
      <c r="DQ537" s="40">
        <f t="shared" si="742"/>
        <v>8</v>
      </c>
      <c r="DR537" s="40">
        <f t="shared" si="747"/>
        <v>0</v>
      </c>
      <c r="DS537" s="40">
        <f t="shared" si="748"/>
        <v>0</v>
      </c>
      <c r="DT537" s="40">
        <f t="shared" si="743"/>
        <v>0</v>
      </c>
      <c r="DU537" s="40">
        <f t="shared" si="744"/>
        <v>5.7777777777777777</v>
      </c>
      <c r="DV537" s="40">
        <f t="shared" si="745"/>
        <v>0</v>
      </c>
      <c r="DW537" s="40">
        <f t="shared" si="746"/>
        <v>0</v>
      </c>
    </row>
    <row r="538" spans="1:127">
      <c r="A538" s="22" t="s">
        <v>44</v>
      </c>
      <c r="B538" s="26">
        <v>4987176232885</v>
      </c>
      <c r="C538" s="22" t="s">
        <v>44</v>
      </c>
      <c r="D538" s="22" t="s">
        <v>48</v>
      </c>
      <c r="E538" s="22">
        <v>246596</v>
      </c>
      <c r="F538" s="80" t="s">
        <v>625</v>
      </c>
      <c r="G538" s="25">
        <v>332.61</v>
      </c>
      <c r="H538" s="38">
        <f t="shared" si="753"/>
        <v>0</v>
      </c>
      <c r="I538" s="38">
        <f t="shared" si="754"/>
        <v>0</v>
      </c>
      <c r="J538" s="38">
        <f t="shared" si="755"/>
        <v>0</v>
      </c>
      <c r="K538" s="38">
        <f t="shared" si="756"/>
        <v>0</v>
      </c>
      <c r="L538" s="38">
        <f t="shared" si="757"/>
        <v>0</v>
      </c>
      <c r="M538" s="39">
        <f t="shared" si="758"/>
        <v>0</v>
      </c>
      <c r="N538" s="40">
        <f t="shared" si="759"/>
        <v>0</v>
      </c>
      <c r="O538" s="40">
        <f t="shared" si="760"/>
        <v>0</v>
      </c>
      <c r="P538" s="40">
        <f t="shared" si="761"/>
        <v>0</v>
      </c>
      <c r="Q538" s="40">
        <f t="shared" si="762"/>
        <v>0</v>
      </c>
      <c r="R538" s="40">
        <f t="shared" si="763"/>
        <v>8315.25</v>
      </c>
      <c r="S538" s="40">
        <f t="shared" si="764"/>
        <v>6652.2000000000007</v>
      </c>
      <c r="T538" s="40">
        <f t="shared" si="765"/>
        <v>3658.71</v>
      </c>
      <c r="U538" s="40">
        <f t="shared" si="766"/>
        <v>3991.32</v>
      </c>
      <c r="V538" s="40">
        <f t="shared" si="767"/>
        <v>2993.4900000000002</v>
      </c>
      <c r="W538" s="40">
        <f t="shared" si="768"/>
        <v>3658.71</v>
      </c>
      <c r="X538" s="40">
        <f t="shared" si="769"/>
        <v>997.83</v>
      </c>
      <c r="Y538" s="39">
        <f t="shared" si="770"/>
        <v>3991.32</v>
      </c>
      <c r="Z538" s="40">
        <f t="shared" si="771"/>
        <v>3658.71</v>
      </c>
      <c r="AA538" s="40">
        <f t="shared" si="772"/>
        <v>7317.42</v>
      </c>
      <c r="AB538" s="40">
        <f t="shared" si="773"/>
        <v>19623.990000000002</v>
      </c>
      <c r="AC538" s="40">
        <f t="shared" si="774"/>
        <v>11973.960000000001</v>
      </c>
      <c r="AD538" s="40">
        <f t="shared" si="775"/>
        <v>5321.76</v>
      </c>
      <c r="AE538" s="40">
        <f t="shared" si="776"/>
        <v>0</v>
      </c>
      <c r="AF538" s="40">
        <f t="shared" si="777"/>
        <v>0</v>
      </c>
      <c r="AG538" s="40">
        <f t="shared" si="778"/>
        <v>0</v>
      </c>
      <c r="AH538" s="40">
        <f t="shared" si="749"/>
        <v>0</v>
      </c>
      <c r="AI538" s="40">
        <f t="shared" si="750"/>
        <v>4434.8</v>
      </c>
      <c r="AJ538" s="40">
        <f t="shared" si="751"/>
        <v>0</v>
      </c>
      <c r="AK538" s="39">
        <f t="shared" si="752"/>
        <v>0</v>
      </c>
      <c r="AL538" s="38">
        <v>0</v>
      </c>
      <c r="AM538" s="38">
        <v>0</v>
      </c>
      <c r="AN538" s="38">
        <v>0</v>
      </c>
      <c r="AO538" s="38">
        <v>0</v>
      </c>
      <c r="AP538" s="38">
        <v>0</v>
      </c>
      <c r="AQ538" s="39">
        <v>0</v>
      </c>
      <c r="AR538" s="40">
        <v>0</v>
      </c>
      <c r="AS538" s="40">
        <v>0</v>
      </c>
      <c r="AT538" s="40">
        <v>0</v>
      </c>
      <c r="AU538" s="40">
        <v>0</v>
      </c>
      <c r="AV538" s="40">
        <v>24</v>
      </c>
      <c r="AW538" s="40">
        <v>11</v>
      </c>
      <c r="AX538" s="40">
        <v>5</v>
      </c>
      <c r="AY538" s="40">
        <v>10</v>
      </c>
      <c r="AZ538" s="40">
        <v>9</v>
      </c>
      <c r="BA538" s="40">
        <v>11</v>
      </c>
      <c r="BB538" s="40">
        <v>3</v>
      </c>
      <c r="BC538" s="39">
        <v>8</v>
      </c>
      <c r="BD538" s="40">
        <v>8</v>
      </c>
      <c r="BE538" s="40">
        <v>16</v>
      </c>
      <c r="BF538" s="40">
        <v>0</v>
      </c>
      <c r="BG538" s="40">
        <v>0</v>
      </c>
      <c r="BH538" s="40">
        <v>0</v>
      </c>
      <c r="BI538" s="40">
        <v>0</v>
      </c>
      <c r="BJ538" s="40">
        <v>0</v>
      </c>
      <c r="BK538" s="40">
        <v>0</v>
      </c>
      <c r="BL538" s="40">
        <v>0</v>
      </c>
      <c r="BM538" s="40">
        <v>0</v>
      </c>
      <c r="BN538" s="40"/>
      <c r="BO538" s="39"/>
      <c r="BP538" s="21">
        <v>0</v>
      </c>
      <c r="BQ538" s="21">
        <v>0</v>
      </c>
      <c r="BR538" s="21">
        <v>0</v>
      </c>
      <c r="BS538" s="21">
        <v>0</v>
      </c>
      <c r="BT538" s="21">
        <v>0</v>
      </c>
      <c r="BU538" s="42">
        <v>0</v>
      </c>
      <c r="BV538" s="21">
        <v>0</v>
      </c>
      <c r="BW538" s="21">
        <v>0</v>
      </c>
      <c r="BX538" s="21">
        <v>0</v>
      </c>
      <c r="BY538" s="21">
        <v>0</v>
      </c>
      <c r="BZ538" s="21">
        <v>1</v>
      </c>
      <c r="CA538" s="21">
        <v>9</v>
      </c>
      <c r="CB538" s="21">
        <v>6</v>
      </c>
      <c r="CC538" s="21">
        <v>2</v>
      </c>
      <c r="CD538" s="21">
        <v>0</v>
      </c>
      <c r="CE538" s="21">
        <v>0</v>
      </c>
      <c r="CF538" s="21">
        <v>0</v>
      </c>
      <c r="CG538" s="42">
        <v>4</v>
      </c>
      <c r="CH538" s="21">
        <v>3</v>
      </c>
      <c r="CI538" s="21">
        <v>6</v>
      </c>
      <c r="CJ538" s="21">
        <v>59</v>
      </c>
      <c r="CK538" s="21">
        <v>36</v>
      </c>
      <c r="CL538" s="21">
        <v>16</v>
      </c>
      <c r="CM538" s="21">
        <v>0</v>
      </c>
      <c r="CN538" s="21">
        <v>0</v>
      </c>
      <c r="CO538" s="21">
        <v>0</v>
      </c>
      <c r="CP538" s="21">
        <f t="shared" si="779"/>
        <v>0</v>
      </c>
      <c r="CQ538" s="343">
        <f t="shared" si="780"/>
        <v>13.333333333333334</v>
      </c>
      <c r="CR538" s="40"/>
      <c r="CS538" s="39"/>
      <c r="CT538" s="38">
        <f t="shared" si="719"/>
        <v>0</v>
      </c>
      <c r="CU538" s="38">
        <f t="shared" si="720"/>
        <v>0</v>
      </c>
      <c r="CV538" s="38">
        <f t="shared" si="721"/>
        <v>0</v>
      </c>
      <c r="CW538" s="38">
        <f t="shared" si="722"/>
        <v>0</v>
      </c>
      <c r="CX538" s="38">
        <f t="shared" si="723"/>
        <v>0</v>
      </c>
      <c r="CY538" s="39">
        <f t="shared" si="724"/>
        <v>0</v>
      </c>
      <c r="CZ538" s="40">
        <f t="shared" si="725"/>
        <v>0</v>
      </c>
      <c r="DA538" s="40">
        <f t="shared" si="726"/>
        <v>0</v>
      </c>
      <c r="DB538" s="40">
        <f t="shared" si="727"/>
        <v>0</v>
      </c>
      <c r="DC538" s="40">
        <f t="shared" si="728"/>
        <v>0</v>
      </c>
      <c r="DD538" s="40">
        <f t="shared" si="729"/>
        <v>25</v>
      </c>
      <c r="DE538" s="40">
        <f t="shared" si="730"/>
        <v>20</v>
      </c>
      <c r="DF538" s="40">
        <f t="shared" si="731"/>
        <v>11</v>
      </c>
      <c r="DG538" s="40">
        <f t="shared" si="732"/>
        <v>12</v>
      </c>
      <c r="DH538" s="40">
        <f t="shared" si="733"/>
        <v>9</v>
      </c>
      <c r="DI538" s="40">
        <f t="shared" si="734"/>
        <v>11</v>
      </c>
      <c r="DJ538" s="40">
        <f t="shared" si="735"/>
        <v>3</v>
      </c>
      <c r="DK538" s="39">
        <f t="shared" si="736"/>
        <v>12</v>
      </c>
      <c r="DL538" s="40">
        <f t="shared" si="737"/>
        <v>11</v>
      </c>
      <c r="DM538" s="40">
        <f t="shared" si="738"/>
        <v>22</v>
      </c>
      <c r="DN538" s="40">
        <f t="shared" si="739"/>
        <v>59</v>
      </c>
      <c r="DO538" s="40">
        <f t="shared" si="740"/>
        <v>36</v>
      </c>
      <c r="DP538" s="40">
        <f t="shared" si="741"/>
        <v>16</v>
      </c>
      <c r="DQ538" s="40">
        <f t="shared" si="742"/>
        <v>0</v>
      </c>
      <c r="DR538" s="40">
        <f t="shared" si="747"/>
        <v>0</v>
      </c>
      <c r="DS538" s="40">
        <f t="shared" si="748"/>
        <v>0</v>
      </c>
      <c r="DT538" s="40">
        <f t="shared" si="743"/>
        <v>0</v>
      </c>
      <c r="DU538" s="40">
        <f t="shared" si="744"/>
        <v>13.333333333333334</v>
      </c>
      <c r="DV538" s="40">
        <f t="shared" si="745"/>
        <v>0</v>
      </c>
      <c r="DW538" s="40">
        <f t="shared" si="746"/>
        <v>0</v>
      </c>
    </row>
    <row r="539" spans="1:127">
      <c r="A539" s="22" t="s">
        <v>44</v>
      </c>
      <c r="B539" s="26">
        <v>4987176232892</v>
      </c>
      <c r="C539" s="22" t="s">
        <v>44</v>
      </c>
      <c r="D539" s="22" t="s">
        <v>48</v>
      </c>
      <c r="E539" s="22">
        <v>246890</v>
      </c>
      <c r="F539" s="80" t="s">
        <v>626</v>
      </c>
      <c r="G539" s="25">
        <v>332.61</v>
      </c>
      <c r="H539" s="38">
        <f t="shared" si="753"/>
        <v>0</v>
      </c>
      <c r="I539" s="38">
        <f t="shared" si="754"/>
        <v>0</v>
      </c>
      <c r="J539" s="38">
        <f t="shared" si="755"/>
        <v>0</v>
      </c>
      <c r="K539" s="38">
        <f t="shared" si="756"/>
        <v>0</v>
      </c>
      <c r="L539" s="38">
        <f t="shared" si="757"/>
        <v>0</v>
      </c>
      <c r="M539" s="39">
        <f t="shared" si="758"/>
        <v>0</v>
      </c>
      <c r="N539" s="40">
        <f t="shared" si="759"/>
        <v>0</v>
      </c>
      <c r="O539" s="40">
        <f t="shared" si="760"/>
        <v>0</v>
      </c>
      <c r="P539" s="40">
        <f t="shared" si="761"/>
        <v>0</v>
      </c>
      <c r="Q539" s="40">
        <f t="shared" si="762"/>
        <v>0</v>
      </c>
      <c r="R539" s="40">
        <f t="shared" si="763"/>
        <v>10976.130000000001</v>
      </c>
      <c r="S539" s="40">
        <f t="shared" si="764"/>
        <v>8315.25</v>
      </c>
      <c r="T539" s="40">
        <f t="shared" si="765"/>
        <v>12306.57</v>
      </c>
      <c r="U539" s="40">
        <f t="shared" si="766"/>
        <v>8315.25</v>
      </c>
      <c r="V539" s="40">
        <f t="shared" si="767"/>
        <v>9645.69</v>
      </c>
      <c r="W539" s="40">
        <f t="shared" si="768"/>
        <v>5321.76</v>
      </c>
      <c r="X539" s="40">
        <f t="shared" si="769"/>
        <v>8647.86</v>
      </c>
      <c r="Y539" s="39">
        <f t="shared" si="770"/>
        <v>4323.93</v>
      </c>
      <c r="Z539" s="40">
        <f t="shared" si="771"/>
        <v>8315.25</v>
      </c>
      <c r="AA539" s="40">
        <f t="shared" si="772"/>
        <v>13969.62</v>
      </c>
      <c r="AB539" s="40">
        <f t="shared" si="773"/>
        <v>57208.920000000006</v>
      </c>
      <c r="AC539" s="40">
        <f t="shared" si="774"/>
        <v>43904.520000000004</v>
      </c>
      <c r="AD539" s="40">
        <f t="shared" si="775"/>
        <v>10643.52</v>
      </c>
      <c r="AE539" s="40">
        <f t="shared" si="776"/>
        <v>0</v>
      </c>
      <c r="AF539" s="40">
        <f t="shared" si="777"/>
        <v>16963.11</v>
      </c>
      <c r="AG539" s="40">
        <f t="shared" si="778"/>
        <v>0</v>
      </c>
      <c r="AH539" s="40">
        <f t="shared" si="749"/>
        <v>0</v>
      </c>
      <c r="AI539" s="40">
        <f t="shared" si="750"/>
        <v>15780.496666666666</v>
      </c>
      <c r="AJ539" s="40">
        <f t="shared" si="751"/>
        <v>0</v>
      </c>
      <c r="AK539" s="39">
        <f t="shared" si="752"/>
        <v>0</v>
      </c>
      <c r="AL539" s="38">
        <v>0</v>
      </c>
      <c r="AM539" s="38">
        <v>0</v>
      </c>
      <c r="AN539" s="38">
        <v>0</v>
      </c>
      <c r="AO539" s="38">
        <v>0</v>
      </c>
      <c r="AP539" s="38">
        <v>0</v>
      </c>
      <c r="AQ539" s="39">
        <v>0</v>
      </c>
      <c r="AR539" s="40">
        <v>0</v>
      </c>
      <c r="AS539" s="40">
        <v>0</v>
      </c>
      <c r="AT539" s="40">
        <v>0</v>
      </c>
      <c r="AU539" s="40">
        <v>0</v>
      </c>
      <c r="AV539" s="40">
        <v>31</v>
      </c>
      <c r="AW539" s="40">
        <v>18</v>
      </c>
      <c r="AX539" s="40">
        <v>22</v>
      </c>
      <c r="AY539" s="40">
        <v>14</v>
      </c>
      <c r="AZ539" s="40">
        <v>18</v>
      </c>
      <c r="BA539" s="40">
        <v>12</v>
      </c>
      <c r="BB539" s="40">
        <v>24</v>
      </c>
      <c r="BC539" s="39">
        <v>9</v>
      </c>
      <c r="BD539" s="40">
        <v>15</v>
      </c>
      <c r="BE539" s="40">
        <v>11</v>
      </c>
      <c r="BF539" s="40">
        <v>0</v>
      </c>
      <c r="BG539" s="40">
        <v>0</v>
      </c>
      <c r="BH539" s="40">
        <v>0</v>
      </c>
      <c r="BI539" s="40">
        <v>0</v>
      </c>
      <c r="BJ539" s="40">
        <v>1</v>
      </c>
      <c r="BK539" s="40">
        <v>0</v>
      </c>
      <c r="BL539" s="40">
        <v>0</v>
      </c>
      <c r="BM539" s="40">
        <v>0</v>
      </c>
      <c r="BN539" s="40"/>
      <c r="BO539" s="39"/>
      <c r="BP539" s="21">
        <v>0</v>
      </c>
      <c r="BQ539" s="21">
        <v>0</v>
      </c>
      <c r="BR539" s="21">
        <v>0</v>
      </c>
      <c r="BS539" s="21">
        <v>0</v>
      </c>
      <c r="BT539" s="21">
        <v>0</v>
      </c>
      <c r="BU539" s="42">
        <v>0</v>
      </c>
      <c r="BV539" s="21">
        <v>0</v>
      </c>
      <c r="BW539" s="21">
        <v>0</v>
      </c>
      <c r="BX539" s="21">
        <v>0</v>
      </c>
      <c r="BY539" s="21">
        <v>0</v>
      </c>
      <c r="BZ539" s="21">
        <v>2</v>
      </c>
      <c r="CA539" s="21">
        <v>7</v>
      </c>
      <c r="CB539" s="21">
        <v>15</v>
      </c>
      <c r="CC539" s="21">
        <v>11</v>
      </c>
      <c r="CD539" s="21">
        <v>11</v>
      </c>
      <c r="CE539" s="21">
        <v>4</v>
      </c>
      <c r="CF539" s="21">
        <v>2</v>
      </c>
      <c r="CG539" s="42">
        <v>4</v>
      </c>
      <c r="CH539" s="21">
        <v>10</v>
      </c>
      <c r="CI539" s="21">
        <v>31</v>
      </c>
      <c r="CJ539" s="21">
        <v>172</v>
      </c>
      <c r="CK539" s="21">
        <v>132</v>
      </c>
      <c r="CL539" s="21">
        <v>32</v>
      </c>
      <c r="CM539" s="21">
        <v>0</v>
      </c>
      <c r="CN539" s="21">
        <v>50</v>
      </c>
      <c r="CO539" s="21">
        <v>0</v>
      </c>
      <c r="CP539" s="21">
        <f t="shared" si="779"/>
        <v>0</v>
      </c>
      <c r="CQ539" s="343">
        <f t="shared" si="780"/>
        <v>47.444444444444443</v>
      </c>
      <c r="CR539" s="40"/>
      <c r="CS539" s="39"/>
      <c r="CT539" s="38">
        <f t="shared" si="719"/>
        <v>0</v>
      </c>
      <c r="CU539" s="38">
        <f t="shared" si="720"/>
        <v>0</v>
      </c>
      <c r="CV539" s="38">
        <f t="shared" si="721"/>
        <v>0</v>
      </c>
      <c r="CW539" s="38">
        <f t="shared" si="722"/>
        <v>0</v>
      </c>
      <c r="CX539" s="38">
        <f t="shared" si="723"/>
        <v>0</v>
      </c>
      <c r="CY539" s="39">
        <f t="shared" si="724"/>
        <v>0</v>
      </c>
      <c r="CZ539" s="40">
        <f t="shared" si="725"/>
        <v>0</v>
      </c>
      <c r="DA539" s="40">
        <f t="shared" si="726"/>
        <v>0</v>
      </c>
      <c r="DB539" s="40">
        <f t="shared" si="727"/>
        <v>0</v>
      </c>
      <c r="DC539" s="40">
        <f t="shared" si="728"/>
        <v>0</v>
      </c>
      <c r="DD539" s="40">
        <f t="shared" si="729"/>
        <v>33</v>
      </c>
      <c r="DE539" s="40">
        <f t="shared" si="730"/>
        <v>25</v>
      </c>
      <c r="DF539" s="40">
        <f t="shared" si="731"/>
        <v>37</v>
      </c>
      <c r="DG539" s="40">
        <f t="shared" si="732"/>
        <v>25</v>
      </c>
      <c r="DH539" s="40">
        <f t="shared" si="733"/>
        <v>29</v>
      </c>
      <c r="DI539" s="40">
        <f t="shared" si="734"/>
        <v>16</v>
      </c>
      <c r="DJ539" s="40">
        <f t="shared" si="735"/>
        <v>26</v>
      </c>
      <c r="DK539" s="39">
        <f t="shared" si="736"/>
        <v>13</v>
      </c>
      <c r="DL539" s="40">
        <f t="shared" si="737"/>
        <v>25</v>
      </c>
      <c r="DM539" s="40">
        <f t="shared" si="738"/>
        <v>42</v>
      </c>
      <c r="DN539" s="40">
        <f t="shared" si="739"/>
        <v>172</v>
      </c>
      <c r="DO539" s="40">
        <f t="shared" si="740"/>
        <v>132</v>
      </c>
      <c r="DP539" s="40">
        <f t="shared" si="741"/>
        <v>32</v>
      </c>
      <c r="DQ539" s="40">
        <f t="shared" si="742"/>
        <v>0</v>
      </c>
      <c r="DR539" s="40">
        <f t="shared" si="747"/>
        <v>51</v>
      </c>
      <c r="DS539" s="40">
        <f t="shared" si="748"/>
        <v>0</v>
      </c>
      <c r="DT539" s="40">
        <f t="shared" si="743"/>
        <v>0</v>
      </c>
      <c r="DU539" s="40">
        <f t="shared" si="744"/>
        <v>47.444444444444443</v>
      </c>
      <c r="DV539" s="40">
        <f t="shared" si="745"/>
        <v>0</v>
      </c>
      <c r="DW539" s="40">
        <f t="shared" si="746"/>
        <v>0</v>
      </c>
    </row>
    <row r="540" spans="1:127">
      <c r="A540" s="22" t="s">
        <v>44</v>
      </c>
      <c r="B540" s="26">
        <v>4987176232878</v>
      </c>
      <c r="C540" s="22" t="s">
        <v>44</v>
      </c>
      <c r="D540" s="22" t="s">
        <v>48</v>
      </c>
      <c r="E540" s="22">
        <v>247079</v>
      </c>
      <c r="F540" s="80" t="s">
        <v>627</v>
      </c>
      <c r="G540" s="25">
        <v>332.61</v>
      </c>
      <c r="H540" s="38">
        <f t="shared" si="753"/>
        <v>0</v>
      </c>
      <c r="I540" s="38">
        <f t="shared" si="754"/>
        <v>0</v>
      </c>
      <c r="J540" s="38">
        <f t="shared" si="755"/>
        <v>0</v>
      </c>
      <c r="K540" s="38">
        <f t="shared" si="756"/>
        <v>0</v>
      </c>
      <c r="L540" s="38">
        <f t="shared" si="757"/>
        <v>0</v>
      </c>
      <c r="M540" s="39">
        <f t="shared" si="758"/>
        <v>0</v>
      </c>
      <c r="N540" s="40">
        <f t="shared" si="759"/>
        <v>0</v>
      </c>
      <c r="O540" s="40">
        <f t="shared" si="760"/>
        <v>0</v>
      </c>
      <c r="P540" s="40">
        <f t="shared" si="761"/>
        <v>0</v>
      </c>
      <c r="Q540" s="40">
        <f t="shared" si="762"/>
        <v>0</v>
      </c>
      <c r="R540" s="40">
        <f t="shared" si="763"/>
        <v>7317.42</v>
      </c>
      <c r="S540" s="40">
        <f t="shared" si="764"/>
        <v>6984.81</v>
      </c>
      <c r="T540" s="40">
        <f t="shared" si="765"/>
        <v>1995.66</v>
      </c>
      <c r="U540" s="40">
        <f t="shared" si="766"/>
        <v>20954.43</v>
      </c>
      <c r="V540" s="40">
        <f t="shared" si="767"/>
        <v>3326.1000000000004</v>
      </c>
      <c r="W540" s="40">
        <f t="shared" si="768"/>
        <v>6319.59</v>
      </c>
      <c r="X540" s="40">
        <f t="shared" si="769"/>
        <v>3326.1000000000004</v>
      </c>
      <c r="Y540" s="39">
        <f t="shared" si="770"/>
        <v>2993.4900000000002</v>
      </c>
      <c r="Z540" s="40">
        <f t="shared" si="771"/>
        <v>9313.08</v>
      </c>
      <c r="AA540" s="40">
        <f t="shared" si="772"/>
        <v>14302.230000000001</v>
      </c>
      <c r="AB540" s="40">
        <f t="shared" si="773"/>
        <v>10310.91</v>
      </c>
      <c r="AC540" s="40">
        <f t="shared" si="774"/>
        <v>2328.27</v>
      </c>
      <c r="AD540" s="40">
        <f t="shared" si="775"/>
        <v>5986.9800000000005</v>
      </c>
      <c r="AE540" s="40">
        <f t="shared" si="776"/>
        <v>0</v>
      </c>
      <c r="AF540" s="40">
        <f t="shared" si="777"/>
        <v>0</v>
      </c>
      <c r="AG540" s="40">
        <f t="shared" si="778"/>
        <v>332.61</v>
      </c>
      <c r="AH540" s="40">
        <f t="shared" si="749"/>
        <v>332.61</v>
      </c>
      <c r="AI540" s="40">
        <f t="shared" si="750"/>
        <v>4028.2766666666666</v>
      </c>
      <c r="AJ540" s="40">
        <f t="shared" si="751"/>
        <v>0</v>
      </c>
      <c r="AK540" s="39">
        <f t="shared" si="752"/>
        <v>0</v>
      </c>
      <c r="AL540" s="38">
        <v>0</v>
      </c>
      <c r="AM540" s="38">
        <v>0</v>
      </c>
      <c r="AN540" s="38">
        <v>0</v>
      </c>
      <c r="AO540" s="38">
        <v>0</v>
      </c>
      <c r="AP540" s="38">
        <v>0</v>
      </c>
      <c r="AQ540" s="39">
        <v>0</v>
      </c>
      <c r="AR540" s="40">
        <v>0</v>
      </c>
      <c r="AS540" s="40">
        <v>0</v>
      </c>
      <c r="AT540" s="40">
        <v>0</v>
      </c>
      <c r="AU540" s="40">
        <v>0</v>
      </c>
      <c r="AV540" s="40">
        <v>13</v>
      </c>
      <c r="AW540" s="40">
        <v>19</v>
      </c>
      <c r="AX540" s="40">
        <v>6</v>
      </c>
      <c r="AY540" s="40">
        <v>15</v>
      </c>
      <c r="AZ540" s="40">
        <v>9</v>
      </c>
      <c r="BA540" s="40">
        <v>11</v>
      </c>
      <c r="BB540" s="40">
        <v>6</v>
      </c>
      <c r="BC540" s="39">
        <v>3</v>
      </c>
      <c r="BD540" s="40">
        <v>12</v>
      </c>
      <c r="BE540" s="40">
        <v>8</v>
      </c>
      <c r="BF540" s="40">
        <v>0</v>
      </c>
      <c r="BG540" s="40">
        <v>0</v>
      </c>
      <c r="BH540" s="40">
        <v>0</v>
      </c>
      <c r="BI540" s="40">
        <v>0</v>
      </c>
      <c r="BJ540" s="40">
        <v>0</v>
      </c>
      <c r="BK540" s="40">
        <v>0</v>
      </c>
      <c r="BL540" s="40">
        <v>0</v>
      </c>
      <c r="BM540" s="40">
        <v>0</v>
      </c>
      <c r="BN540" s="40"/>
      <c r="BO540" s="39"/>
      <c r="BP540" s="21">
        <v>0</v>
      </c>
      <c r="BQ540" s="21">
        <v>0</v>
      </c>
      <c r="BR540" s="21">
        <v>0</v>
      </c>
      <c r="BS540" s="21">
        <v>0</v>
      </c>
      <c r="BT540" s="21">
        <v>0</v>
      </c>
      <c r="BU540" s="42">
        <v>0</v>
      </c>
      <c r="BV540" s="21">
        <v>0</v>
      </c>
      <c r="BW540" s="21">
        <v>0</v>
      </c>
      <c r="BX540" s="21">
        <v>0</v>
      </c>
      <c r="BY540" s="21">
        <v>0</v>
      </c>
      <c r="BZ540" s="21">
        <v>9</v>
      </c>
      <c r="CA540" s="21">
        <v>2</v>
      </c>
      <c r="CB540" s="21">
        <v>0</v>
      </c>
      <c r="CC540" s="21">
        <v>48</v>
      </c>
      <c r="CD540" s="21">
        <v>1</v>
      </c>
      <c r="CE540" s="21">
        <v>8</v>
      </c>
      <c r="CF540" s="21">
        <v>4</v>
      </c>
      <c r="CG540" s="42">
        <v>6</v>
      </c>
      <c r="CH540" s="21">
        <v>16</v>
      </c>
      <c r="CI540" s="21">
        <v>35</v>
      </c>
      <c r="CJ540" s="21">
        <v>31</v>
      </c>
      <c r="CK540" s="21">
        <v>7</v>
      </c>
      <c r="CL540" s="21">
        <v>18</v>
      </c>
      <c r="CM540" s="21">
        <v>0</v>
      </c>
      <c r="CN540" s="21">
        <v>0</v>
      </c>
      <c r="CO540" s="21">
        <v>1</v>
      </c>
      <c r="CP540" s="21">
        <f t="shared" si="779"/>
        <v>1</v>
      </c>
      <c r="CQ540" s="343">
        <f t="shared" si="780"/>
        <v>12.111111111111111</v>
      </c>
      <c r="CR540" s="40"/>
      <c r="CS540" s="39"/>
      <c r="CT540" s="38">
        <f t="shared" si="719"/>
        <v>0</v>
      </c>
      <c r="CU540" s="38">
        <f t="shared" si="720"/>
        <v>0</v>
      </c>
      <c r="CV540" s="38">
        <f t="shared" si="721"/>
        <v>0</v>
      </c>
      <c r="CW540" s="38">
        <f t="shared" si="722"/>
        <v>0</v>
      </c>
      <c r="CX540" s="38">
        <f t="shared" si="723"/>
        <v>0</v>
      </c>
      <c r="CY540" s="39">
        <f t="shared" si="724"/>
        <v>0</v>
      </c>
      <c r="CZ540" s="40">
        <f t="shared" si="725"/>
        <v>0</v>
      </c>
      <c r="DA540" s="40">
        <f t="shared" si="726"/>
        <v>0</v>
      </c>
      <c r="DB540" s="40">
        <f t="shared" si="727"/>
        <v>0</v>
      </c>
      <c r="DC540" s="40">
        <f t="shared" si="728"/>
        <v>0</v>
      </c>
      <c r="DD540" s="40">
        <f t="shared" si="729"/>
        <v>22</v>
      </c>
      <c r="DE540" s="40">
        <f t="shared" si="730"/>
        <v>21</v>
      </c>
      <c r="DF540" s="40">
        <f t="shared" si="731"/>
        <v>6</v>
      </c>
      <c r="DG540" s="40">
        <f t="shared" si="732"/>
        <v>63</v>
      </c>
      <c r="DH540" s="40">
        <f t="shared" si="733"/>
        <v>10</v>
      </c>
      <c r="DI540" s="40">
        <f t="shared" si="734"/>
        <v>19</v>
      </c>
      <c r="DJ540" s="40">
        <f t="shared" si="735"/>
        <v>10</v>
      </c>
      <c r="DK540" s="39">
        <f t="shared" si="736"/>
        <v>9</v>
      </c>
      <c r="DL540" s="40">
        <f t="shared" si="737"/>
        <v>28</v>
      </c>
      <c r="DM540" s="40">
        <f t="shared" si="738"/>
        <v>43</v>
      </c>
      <c r="DN540" s="40">
        <f t="shared" si="739"/>
        <v>31</v>
      </c>
      <c r="DO540" s="40">
        <f t="shared" si="740"/>
        <v>7</v>
      </c>
      <c r="DP540" s="40">
        <f t="shared" si="741"/>
        <v>18</v>
      </c>
      <c r="DQ540" s="40">
        <f t="shared" si="742"/>
        <v>0</v>
      </c>
      <c r="DR540" s="40">
        <f t="shared" si="747"/>
        <v>0</v>
      </c>
      <c r="DS540" s="40">
        <f t="shared" si="748"/>
        <v>1</v>
      </c>
      <c r="DT540" s="40">
        <f t="shared" si="743"/>
        <v>1</v>
      </c>
      <c r="DU540" s="40">
        <f t="shared" si="744"/>
        <v>12.111111111111111</v>
      </c>
      <c r="DV540" s="40">
        <f t="shared" si="745"/>
        <v>0</v>
      </c>
      <c r="DW540" s="40">
        <f t="shared" si="746"/>
        <v>0</v>
      </c>
    </row>
    <row r="541" spans="1:127">
      <c r="A541" s="22" t="s">
        <v>44</v>
      </c>
      <c r="B541" s="26">
        <v>4987176080356</v>
      </c>
      <c r="C541" s="22" t="s">
        <v>44</v>
      </c>
      <c r="D541" s="22" t="s">
        <v>48</v>
      </c>
      <c r="E541" s="22">
        <v>121523</v>
      </c>
      <c r="F541" s="80" t="s">
        <v>628</v>
      </c>
      <c r="G541" s="25">
        <v>346.5</v>
      </c>
      <c r="H541" s="38">
        <f t="shared" si="753"/>
        <v>9355.5</v>
      </c>
      <c r="I541" s="38">
        <f t="shared" si="754"/>
        <v>13860</v>
      </c>
      <c r="J541" s="38">
        <f t="shared" si="755"/>
        <v>5890.5</v>
      </c>
      <c r="K541" s="38">
        <f t="shared" si="756"/>
        <v>15592.5</v>
      </c>
      <c r="L541" s="38">
        <f t="shared" si="757"/>
        <v>17325</v>
      </c>
      <c r="M541" s="39">
        <f t="shared" si="758"/>
        <v>8316</v>
      </c>
      <c r="N541" s="40">
        <f t="shared" si="759"/>
        <v>0</v>
      </c>
      <c r="O541" s="40">
        <f t="shared" si="760"/>
        <v>0</v>
      </c>
      <c r="P541" s="40">
        <f t="shared" si="761"/>
        <v>0</v>
      </c>
      <c r="Q541" s="40">
        <f t="shared" si="762"/>
        <v>0</v>
      </c>
      <c r="R541" s="40">
        <f t="shared" si="763"/>
        <v>0</v>
      </c>
      <c r="S541" s="40">
        <f t="shared" si="764"/>
        <v>0</v>
      </c>
      <c r="T541" s="40">
        <f t="shared" si="765"/>
        <v>0</v>
      </c>
      <c r="U541" s="40">
        <f t="shared" si="766"/>
        <v>0</v>
      </c>
      <c r="V541" s="40">
        <f t="shared" si="767"/>
        <v>0</v>
      </c>
      <c r="W541" s="40">
        <f t="shared" si="768"/>
        <v>0</v>
      </c>
      <c r="X541" s="40">
        <f t="shared" si="769"/>
        <v>0</v>
      </c>
      <c r="Y541" s="39">
        <f t="shared" si="770"/>
        <v>0</v>
      </c>
      <c r="Z541" s="40">
        <f t="shared" si="771"/>
        <v>0</v>
      </c>
      <c r="AA541" s="40">
        <f t="shared" si="772"/>
        <v>0</v>
      </c>
      <c r="AB541" s="40">
        <f t="shared" si="773"/>
        <v>0</v>
      </c>
      <c r="AC541" s="40">
        <f t="shared" si="774"/>
        <v>0</v>
      </c>
      <c r="AD541" s="40">
        <f t="shared" si="775"/>
        <v>0</v>
      </c>
      <c r="AE541" s="40">
        <f t="shared" si="776"/>
        <v>0</v>
      </c>
      <c r="AF541" s="40">
        <f t="shared" si="777"/>
        <v>0</v>
      </c>
      <c r="AG541" s="40">
        <f t="shared" si="778"/>
        <v>0</v>
      </c>
      <c r="AH541" s="40">
        <f t="shared" si="749"/>
        <v>0</v>
      </c>
      <c r="AI541" s="40">
        <f t="shared" si="750"/>
        <v>0</v>
      </c>
      <c r="AJ541" s="40">
        <f t="shared" si="751"/>
        <v>0</v>
      </c>
      <c r="AK541" s="39">
        <f t="shared" si="752"/>
        <v>0</v>
      </c>
      <c r="AL541" s="38">
        <v>23</v>
      </c>
      <c r="AM541" s="38">
        <v>36</v>
      </c>
      <c r="AN541" s="38">
        <v>16</v>
      </c>
      <c r="AO541" s="38">
        <v>29</v>
      </c>
      <c r="AP541" s="38">
        <v>39</v>
      </c>
      <c r="AQ541" s="39">
        <v>24</v>
      </c>
      <c r="AR541" s="40">
        <v>0</v>
      </c>
      <c r="AS541" s="40">
        <v>0</v>
      </c>
      <c r="AT541" s="40">
        <v>0</v>
      </c>
      <c r="AU541" s="40">
        <v>0</v>
      </c>
      <c r="AV541" s="40">
        <v>0</v>
      </c>
      <c r="AW541" s="40">
        <v>0</v>
      </c>
      <c r="AX541" s="40">
        <v>0</v>
      </c>
      <c r="AY541" s="40">
        <v>0</v>
      </c>
      <c r="AZ541" s="40">
        <v>0</v>
      </c>
      <c r="BA541" s="40">
        <v>0</v>
      </c>
      <c r="BB541" s="40">
        <v>0</v>
      </c>
      <c r="BC541" s="39">
        <v>0</v>
      </c>
      <c r="BD541" s="40">
        <v>0</v>
      </c>
      <c r="BE541" s="40">
        <v>0</v>
      </c>
      <c r="BF541" s="40">
        <v>0</v>
      </c>
      <c r="BG541" s="40">
        <v>0</v>
      </c>
      <c r="BH541" s="40">
        <v>0</v>
      </c>
      <c r="BI541" s="40">
        <v>0</v>
      </c>
      <c r="BJ541" s="40">
        <v>0</v>
      </c>
      <c r="BK541" s="40">
        <v>0</v>
      </c>
      <c r="BL541" s="40">
        <v>0</v>
      </c>
      <c r="BM541" s="40">
        <v>0</v>
      </c>
      <c r="BN541" s="40"/>
      <c r="BO541" s="39"/>
      <c r="BP541" s="21">
        <v>4</v>
      </c>
      <c r="BQ541" s="21">
        <v>4</v>
      </c>
      <c r="BR541" s="21">
        <v>1</v>
      </c>
      <c r="BS541" s="21">
        <v>16</v>
      </c>
      <c r="BT541" s="21">
        <v>11</v>
      </c>
      <c r="BU541" s="42">
        <v>0</v>
      </c>
      <c r="BV541" s="21">
        <v>0</v>
      </c>
      <c r="BW541" s="21">
        <v>0</v>
      </c>
      <c r="BX541" s="21">
        <v>0</v>
      </c>
      <c r="BY541" s="21">
        <v>0</v>
      </c>
      <c r="BZ541" s="21">
        <v>0</v>
      </c>
      <c r="CA541" s="21">
        <v>0</v>
      </c>
      <c r="CB541" s="21">
        <v>0</v>
      </c>
      <c r="CC541" s="21">
        <v>0</v>
      </c>
      <c r="CD541" s="21">
        <v>0</v>
      </c>
      <c r="CE541" s="21">
        <v>0</v>
      </c>
      <c r="CF541" s="21">
        <v>0</v>
      </c>
      <c r="CG541" s="42">
        <v>0</v>
      </c>
      <c r="CH541" s="21">
        <v>0</v>
      </c>
      <c r="CI541" s="21">
        <v>0</v>
      </c>
      <c r="CJ541" s="21">
        <v>0</v>
      </c>
      <c r="CK541" s="21">
        <v>0</v>
      </c>
      <c r="CL541" s="21">
        <v>0</v>
      </c>
      <c r="CM541" s="21">
        <v>0</v>
      </c>
      <c r="CN541" s="21">
        <v>0</v>
      </c>
      <c r="CO541" s="21">
        <v>0</v>
      </c>
      <c r="CP541" s="21">
        <f t="shared" si="779"/>
        <v>0</v>
      </c>
      <c r="CQ541" s="343">
        <f t="shared" si="780"/>
        <v>0</v>
      </c>
      <c r="CR541" s="40"/>
      <c r="CS541" s="39"/>
      <c r="CT541" s="38">
        <f t="shared" si="719"/>
        <v>27</v>
      </c>
      <c r="CU541" s="38">
        <f t="shared" si="720"/>
        <v>40</v>
      </c>
      <c r="CV541" s="38">
        <f t="shared" si="721"/>
        <v>17</v>
      </c>
      <c r="CW541" s="38">
        <f t="shared" si="722"/>
        <v>45</v>
      </c>
      <c r="CX541" s="38">
        <f t="shared" si="723"/>
        <v>50</v>
      </c>
      <c r="CY541" s="39">
        <f t="shared" si="724"/>
        <v>24</v>
      </c>
      <c r="CZ541" s="40">
        <f t="shared" si="725"/>
        <v>0</v>
      </c>
      <c r="DA541" s="40">
        <f t="shared" si="726"/>
        <v>0</v>
      </c>
      <c r="DB541" s="40">
        <f t="shared" si="727"/>
        <v>0</v>
      </c>
      <c r="DC541" s="40">
        <f t="shared" si="728"/>
        <v>0</v>
      </c>
      <c r="DD541" s="40">
        <f t="shared" si="729"/>
        <v>0</v>
      </c>
      <c r="DE541" s="40">
        <f t="shared" si="730"/>
        <v>0</v>
      </c>
      <c r="DF541" s="40">
        <f t="shared" si="731"/>
        <v>0</v>
      </c>
      <c r="DG541" s="40">
        <f t="shared" si="732"/>
        <v>0</v>
      </c>
      <c r="DH541" s="40">
        <f t="shared" si="733"/>
        <v>0</v>
      </c>
      <c r="DI541" s="40">
        <f t="shared" si="734"/>
        <v>0</v>
      </c>
      <c r="DJ541" s="40">
        <f t="shared" si="735"/>
        <v>0</v>
      </c>
      <c r="DK541" s="39">
        <f t="shared" si="736"/>
        <v>0</v>
      </c>
      <c r="DL541" s="40">
        <f t="shared" si="737"/>
        <v>0</v>
      </c>
      <c r="DM541" s="40">
        <f t="shared" si="738"/>
        <v>0</v>
      </c>
      <c r="DN541" s="40">
        <f t="shared" si="739"/>
        <v>0</v>
      </c>
      <c r="DO541" s="40">
        <f t="shared" si="740"/>
        <v>0</v>
      </c>
      <c r="DP541" s="40">
        <f t="shared" si="741"/>
        <v>0</v>
      </c>
      <c r="DQ541" s="40">
        <f t="shared" si="742"/>
        <v>0</v>
      </c>
      <c r="DR541" s="40">
        <f t="shared" si="747"/>
        <v>0</v>
      </c>
      <c r="DS541" s="40">
        <f t="shared" si="748"/>
        <v>0</v>
      </c>
      <c r="DT541" s="40">
        <f t="shared" si="743"/>
        <v>0</v>
      </c>
      <c r="DU541" s="40">
        <f t="shared" si="744"/>
        <v>0</v>
      </c>
      <c r="DV541" s="40">
        <f t="shared" si="745"/>
        <v>0</v>
      </c>
      <c r="DW541" s="40">
        <f t="shared" si="746"/>
        <v>0</v>
      </c>
    </row>
    <row r="542" spans="1:127">
      <c r="A542" s="22" t="s">
        <v>44</v>
      </c>
      <c r="B542" s="26">
        <v>4987176080363</v>
      </c>
      <c r="C542" s="22" t="s">
        <v>44</v>
      </c>
      <c r="D542" s="22" t="s">
        <v>48</v>
      </c>
      <c r="E542" s="22">
        <v>121467</v>
      </c>
      <c r="F542" s="80" t="s">
        <v>629</v>
      </c>
      <c r="G542" s="25">
        <v>346.5</v>
      </c>
      <c r="H542" s="38">
        <f t="shared" si="753"/>
        <v>19057.5</v>
      </c>
      <c r="I542" s="38">
        <f t="shared" si="754"/>
        <v>23908.5</v>
      </c>
      <c r="J542" s="38">
        <f t="shared" si="755"/>
        <v>21829.5</v>
      </c>
      <c r="K542" s="38">
        <f t="shared" si="756"/>
        <v>21483</v>
      </c>
      <c r="L542" s="38">
        <f t="shared" si="757"/>
        <v>34303.5</v>
      </c>
      <c r="M542" s="39">
        <f t="shared" si="758"/>
        <v>27720</v>
      </c>
      <c r="N542" s="40">
        <f t="shared" si="759"/>
        <v>1039.5</v>
      </c>
      <c r="O542" s="40">
        <f t="shared" si="760"/>
        <v>0</v>
      </c>
      <c r="P542" s="40">
        <f t="shared" si="761"/>
        <v>0</v>
      </c>
      <c r="Q542" s="40">
        <f t="shared" si="762"/>
        <v>0</v>
      </c>
      <c r="R542" s="40">
        <f t="shared" si="763"/>
        <v>0</v>
      </c>
      <c r="S542" s="40">
        <f t="shared" si="764"/>
        <v>0</v>
      </c>
      <c r="T542" s="40">
        <f t="shared" si="765"/>
        <v>0</v>
      </c>
      <c r="U542" s="40">
        <f t="shared" si="766"/>
        <v>0</v>
      </c>
      <c r="V542" s="40">
        <f t="shared" si="767"/>
        <v>0</v>
      </c>
      <c r="W542" s="40">
        <f t="shared" si="768"/>
        <v>0</v>
      </c>
      <c r="X542" s="40">
        <f t="shared" si="769"/>
        <v>0</v>
      </c>
      <c r="Y542" s="39">
        <f t="shared" si="770"/>
        <v>0</v>
      </c>
      <c r="Z542" s="40">
        <f t="shared" si="771"/>
        <v>0</v>
      </c>
      <c r="AA542" s="40">
        <f t="shared" si="772"/>
        <v>0</v>
      </c>
      <c r="AB542" s="40">
        <f t="shared" si="773"/>
        <v>0</v>
      </c>
      <c r="AC542" s="40">
        <f t="shared" si="774"/>
        <v>0</v>
      </c>
      <c r="AD542" s="40">
        <f t="shared" si="775"/>
        <v>0</v>
      </c>
      <c r="AE542" s="40">
        <f t="shared" si="776"/>
        <v>0</v>
      </c>
      <c r="AF542" s="40">
        <f t="shared" si="777"/>
        <v>0</v>
      </c>
      <c r="AG542" s="40">
        <f t="shared" si="778"/>
        <v>0</v>
      </c>
      <c r="AH542" s="40">
        <f t="shared" si="749"/>
        <v>0</v>
      </c>
      <c r="AI542" s="40">
        <f t="shared" si="750"/>
        <v>0</v>
      </c>
      <c r="AJ542" s="40">
        <f t="shared" si="751"/>
        <v>0</v>
      </c>
      <c r="AK542" s="39">
        <f t="shared" si="752"/>
        <v>0</v>
      </c>
      <c r="AL542" s="38">
        <v>34</v>
      </c>
      <c r="AM542" s="38">
        <v>54</v>
      </c>
      <c r="AN542" s="38">
        <v>49</v>
      </c>
      <c r="AO542" s="38">
        <v>36</v>
      </c>
      <c r="AP542" s="38">
        <v>59</v>
      </c>
      <c r="AQ542" s="39">
        <v>55</v>
      </c>
      <c r="AR542" s="40">
        <v>3</v>
      </c>
      <c r="AS542" s="40">
        <v>0</v>
      </c>
      <c r="AT542" s="40">
        <v>0</v>
      </c>
      <c r="AU542" s="40">
        <v>0</v>
      </c>
      <c r="AV542" s="40">
        <v>0</v>
      </c>
      <c r="AW542" s="40">
        <v>0</v>
      </c>
      <c r="AX542" s="40">
        <v>0</v>
      </c>
      <c r="AY542" s="40">
        <v>0</v>
      </c>
      <c r="AZ542" s="40">
        <v>0</v>
      </c>
      <c r="BA542" s="40">
        <v>0</v>
      </c>
      <c r="BB542" s="40">
        <v>0</v>
      </c>
      <c r="BC542" s="39">
        <v>0</v>
      </c>
      <c r="BD542" s="40">
        <v>0</v>
      </c>
      <c r="BE542" s="40">
        <v>0</v>
      </c>
      <c r="BF542" s="40">
        <v>0</v>
      </c>
      <c r="BG542" s="40">
        <v>0</v>
      </c>
      <c r="BH542" s="40">
        <v>0</v>
      </c>
      <c r="BI542" s="40">
        <v>0</v>
      </c>
      <c r="BJ542" s="40">
        <v>0</v>
      </c>
      <c r="BK542" s="40">
        <v>0</v>
      </c>
      <c r="BL542" s="40">
        <v>0</v>
      </c>
      <c r="BM542" s="40">
        <v>0</v>
      </c>
      <c r="BN542" s="40"/>
      <c r="BO542" s="39"/>
      <c r="BP542" s="21">
        <v>21</v>
      </c>
      <c r="BQ542" s="21">
        <v>15</v>
      </c>
      <c r="BR542" s="21">
        <v>14</v>
      </c>
      <c r="BS542" s="21">
        <v>26</v>
      </c>
      <c r="BT542" s="21">
        <v>40</v>
      </c>
      <c r="BU542" s="42">
        <v>25</v>
      </c>
      <c r="BV542" s="21">
        <v>0</v>
      </c>
      <c r="BW542" s="21">
        <v>0</v>
      </c>
      <c r="BX542" s="21">
        <v>0</v>
      </c>
      <c r="BY542" s="21">
        <v>0</v>
      </c>
      <c r="BZ542" s="21">
        <v>0</v>
      </c>
      <c r="CA542" s="21">
        <v>0</v>
      </c>
      <c r="CB542" s="21">
        <v>0</v>
      </c>
      <c r="CC542" s="21">
        <v>0</v>
      </c>
      <c r="CD542" s="21">
        <v>0</v>
      </c>
      <c r="CE542" s="21">
        <v>0</v>
      </c>
      <c r="CF542" s="21">
        <v>0</v>
      </c>
      <c r="CG542" s="42">
        <v>0</v>
      </c>
      <c r="CH542" s="21">
        <v>0</v>
      </c>
      <c r="CI542" s="21">
        <v>0</v>
      </c>
      <c r="CJ542" s="21">
        <v>0</v>
      </c>
      <c r="CK542" s="21">
        <v>0</v>
      </c>
      <c r="CL542" s="21">
        <v>0</v>
      </c>
      <c r="CM542" s="21">
        <v>0</v>
      </c>
      <c r="CN542" s="21">
        <v>0</v>
      </c>
      <c r="CO542" s="21">
        <v>0</v>
      </c>
      <c r="CP542" s="21">
        <f t="shared" si="779"/>
        <v>0</v>
      </c>
      <c r="CQ542" s="343">
        <f t="shared" si="780"/>
        <v>0</v>
      </c>
      <c r="CR542" s="40"/>
      <c r="CS542" s="39"/>
      <c r="CT542" s="38">
        <f t="shared" si="719"/>
        <v>55</v>
      </c>
      <c r="CU542" s="38">
        <f t="shared" si="720"/>
        <v>69</v>
      </c>
      <c r="CV542" s="38">
        <f t="shared" si="721"/>
        <v>63</v>
      </c>
      <c r="CW542" s="38">
        <f t="shared" si="722"/>
        <v>62</v>
      </c>
      <c r="CX542" s="38">
        <f t="shared" si="723"/>
        <v>99</v>
      </c>
      <c r="CY542" s="39">
        <f t="shared" si="724"/>
        <v>80</v>
      </c>
      <c r="CZ542" s="40">
        <f t="shared" si="725"/>
        <v>3</v>
      </c>
      <c r="DA542" s="40">
        <f t="shared" si="726"/>
        <v>0</v>
      </c>
      <c r="DB542" s="40">
        <f t="shared" si="727"/>
        <v>0</v>
      </c>
      <c r="DC542" s="40">
        <f t="shared" si="728"/>
        <v>0</v>
      </c>
      <c r="DD542" s="40">
        <f t="shared" si="729"/>
        <v>0</v>
      </c>
      <c r="DE542" s="40">
        <f t="shared" si="730"/>
        <v>0</v>
      </c>
      <c r="DF542" s="40">
        <f t="shared" si="731"/>
        <v>0</v>
      </c>
      <c r="DG542" s="40">
        <f t="shared" si="732"/>
        <v>0</v>
      </c>
      <c r="DH542" s="40">
        <f t="shared" si="733"/>
        <v>0</v>
      </c>
      <c r="DI542" s="40">
        <f t="shared" si="734"/>
        <v>0</v>
      </c>
      <c r="DJ542" s="40">
        <f t="shared" si="735"/>
        <v>0</v>
      </c>
      <c r="DK542" s="39">
        <f t="shared" si="736"/>
        <v>0</v>
      </c>
      <c r="DL542" s="40">
        <f t="shared" si="737"/>
        <v>0</v>
      </c>
      <c r="DM542" s="40">
        <f t="shared" si="738"/>
        <v>0</v>
      </c>
      <c r="DN542" s="40">
        <f t="shared" si="739"/>
        <v>0</v>
      </c>
      <c r="DO542" s="40">
        <f t="shared" si="740"/>
        <v>0</v>
      </c>
      <c r="DP542" s="40">
        <f t="shared" si="741"/>
        <v>0</v>
      </c>
      <c r="DQ542" s="40">
        <f t="shared" si="742"/>
        <v>0</v>
      </c>
      <c r="DR542" s="40">
        <f t="shared" si="747"/>
        <v>0</v>
      </c>
      <c r="DS542" s="40">
        <f t="shared" si="748"/>
        <v>0</v>
      </c>
      <c r="DT542" s="40">
        <f t="shared" si="743"/>
        <v>0</v>
      </c>
      <c r="DU542" s="40">
        <f t="shared" si="744"/>
        <v>0</v>
      </c>
      <c r="DV542" s="40">
        <f t="shared" si="745"/>
        <v>0</v>
      </c>
      <c r="DW542" s="40">
        <f t="shared" si="746"/>
        <v>0</v>
      </c>
    </row>
    <row r="543" spans="1:127">
      <c r="A543" s="22" t="s">
        <v>44</v>
      </c>
      <c r="B543" s="26">
        <v>4987176080370</v>
      </c>
      <c r="C543" s="22" t="s">
        <v>44</v>
      </c>
      <c r="D543" s="22" t="s">
        <v>48</v>
      </c>
      <c r="E543" s="22">
        <v>121475</v>
      </c>
      <c r="F543" s="80" t="s">
        <v>630</v>
      </c>
      <c r="G543" s="25">
        <v>346.5</v>
      </c>
      <c r="H543" s="38">
        <f t="shared" si="753"/>
        <v>13513.5</v>
      </c>
      <c r="I543" s="38">
        <f t="shared" si="754"/>
        <v>20790</v>
      </c>
      <c r="J543" s="38">
        <f t="shared" si="755"/>
        <v>14553</v>
      </c>
      <c r="K543" s="38">
        <f t="shared" si="756"/>
        <v>11781</v>
      </c>
      <c r="L543" s="38">
        <f t="shared" si="757"/>
        <v>16285.5</v>
      </c>
      <c r="M543" s="39">
        <f t="shared" si="758"/>
        <v>19404</v>
      </c>
      <c r="N543" s="40">
        <f t="shared" si="759"/>
        <v>0</v>
      </c>
      <c r="O543" s="40">
        <f t="shared" si="760"/>
        <v>0</v>
      </c>
      <c r="P543" s="40">
        <f t="shared" si="761"/>
        <v>0</v>
      </c>
      <c r="Q543" s="40">
        <f t="shared" si="762"/>
        <v>0</v>
      </c>
      <c r="R543" s="40">
        <f t="shared" si="763"/>
        <v>0</v>
      </c>
      <c r="S543" s="40">
        <f t="shared" si="764"/>
        <v>1039.5</v>
      </c>
      <c r="T543" s="40">
        <f t="shared" si="765"/>
        <v>0</v>
      </c>
      <c r="U543" s="40">
        <f t="shared" si="766"/>
        <v>693</v>
      </c>
      <c r="V543" s="40">
        <f t="shared" si="767"/>
        <v>0</v>
      </c>
      <c r="W543" s="40">
        <f t="shared" si="768"/>
        <v>0</v>
      </c>
      <c r="X543" s="40">
        <f t="shared" si="769"/>
        <v>0</v>
      </c>
      <c r="Y543" s="39">
        <f t="shared" si="770"/>
        <v>0</v>
      </c>
      <c r="Z543" s="40">
        <f t="shared" si="771"/>
        <v>0</v>
      </c>
      <c r="AA543" s="40">
        <f t="shared" si="772"/>
        <v>0</v>
      </c>
      <c r="AB543" s="40">
        <f t="shared" si="773"/>
        <v>0</v>
      </c>
      <c r="AC543" s="40">
        <f t="shared" si="774"/>
        <v>0</v>
      </c>
      <c r="AD543" s="40">
        <f t="shared" si="775"/>
        <v>0</v>
      </c>
      <c r="AE543" s="40">
        <f t="shared" si="776"/>
        <v>0</v>
      </c>
      <c r="AF543" s="40">
        <f t="shared" si="777"/>
        <v>0</v>
      </c>
      <c r="AG543" s="40">
        <f t="shared" si="778"/>
        <v>0</v>
      </c>
      <c r="AH543" s="40">
        <f t="shared" si="749"/>
        <v>0</v>
      </c>
      <c r="AI543" s="40">
        <f t="shared" si="750"/>
        <v>0</v>
      </c>
      <c r="AJ543" s="40">
        <f t="shared" si="751"/>
        <v>0</v>
      </c>
      <c r="AK543" s="39">
        <f t="shared" si="752"/>
        <v>0</v>
      </c>
      <c r="AL543" s="38">
        <v>10</v>
      </c>
      <c r="AM543" s="38">
        <v>35</v>
      </c>
      <c r="AN543" s="38">
        <v>18</v>
      </c>
      <c r="AO543" s="38">
        <v>12</v>
      </c>
      <c r="AP543" s="38">
        <v>15</v>
      </c>
      <c r="AQ543" s="39">
        <v>30</v>
      </c>
      <c r="AR543" s="40">
        <v>0</v>
      </c>
      <c r="AS543" s="40">
        <v>0</v>
      </c>
      <c r="AT543" s="40">
        <v>0</v>
      </c>
      <c r="AU543" s="40">
        <v>0</v>
      </c>
      <c r="AV543" s="40">
        <v>0</v>
      </c>
      <c r="AW543" s="40">
        <v>3</v>
      </c>
      <c r="AX543" s="40">
        <v>0</v>
      </c>
      <c r="AY543" s="40">
        <v>2</v>
      </c>
      <c r="AZ543" s="40">
        <v>0</v>
      </c>
      <c r="BA543" s="40">
        <v>0</v>
      </c>
      <c r="BB543" s="40">
        <v>0</v>
      </c>
      <c r="BC543" s="39">
        <v>0</v>
      </c>
      <c r="BD543" s="40">
        <v>0</v>
      </c>
      <c r="BE543" s="40">
        <v>0</v>
      </c>
      <c r="BF543" s="40">
        <v>0</v>
      </c>
      <c r="BG543" s="40">
        <v>0</v>
      </c>
      <c r="BH543" s="40">
        <v>0</v>
      </c>
      <c r="BI543" s="40">
        <v>0</v>
      </c>
      <c r="BJ543" s="40">
        <v>0</v>
      </c>
      <c r="BK543" s="40">
        <v>0</v>
      </c>
      <c r="BL543" s="40">
        <v>0</v>
      </c>
      <c r="BM543" s="40">
        <v>0</v>
      </c>
      <c r="BN543" s="40"/>
      <c r="BO543" s="39"/>
      <c r="BP543" s="21">
        <v>29</v>
      </c>
      <c r="BQ543" s="21">
        <v>25</v>
      </c>
      <c r="BR543" s="21">
        <v>24</v>
      </c>
      <c r="BS543" s="21">
        <v>22</v>
      </c>
      <c r="BT543" s="21">
        <v>32</v>
      </c>
      <c r="BU543" s="42">
        <v>26</v>
      </c>
      <c r="BV543" s="21">
        <v>0</v>
      </c>
      <c r="BW543" s="21">
        <v>0</v>
      </c>
      <c r="BX543" s="21">
        <v>0</v>
      </c>
      <c r="BY543" s="21">
        <v>0</v>
      </c>
      <c r="BZ543" s="21">
        <v>0</v>
      </c>
      <c r="CA543" s="21">
        <v>0</v>
      </c>
      <c r="CB543" s="21">
        <v>0</v>
      </c>
      <c r="CC543" s="21">
        <v>0</v>
      </c>
      <c r="CD543" s="21">
        <v>0</v>
      </c>
      <c r="CE543" s="21">
        <v>0</v>
      </c>
      <c r="CF543" s="21">
        <v>0</v>
      </c>
      <c r="CG543" s="42">
        <v>0</v>
      </c>
      <c r="CH543" s="21">
        <v>0</v>
      </c>
      <c r="CI543" s="21">
        <v>0</v>
      </c>
      <c r="CJ543" s="21">
        <v>0</v>
      </c>
      <c r="CK543" s="21">
        <v>0</v>
      </c>
      <c r="CL543" s="21">
        <v>0</v>
      </c>
      <c r="CM543" s="21">
        <v>0</v>
      </c>
      <c r="CN543" s="21">
        <v>0</v>
      </c>
      <c r="CO543" s="21">
        <v>0</v>
      </c>
      <c r="CP543" s="21">
        <f t="shared" si="779"/>
        <v>0</v>
      </c>
      <c r="CQ543" s="343">
        <f t="shared" si="780"/>
        <v>0</v>
      </c>
      <c r="CR543" s="40"/>
      <c r="CS543" s="39"/>
      <c r="CT543" s="38">
        <f t="shared" ref="CT543:CT582" si="781">AL543+BP543</f>
        <v>39</v>
      </c>
      <c r="CU543" s="38">
        <f t="shared" ref="CU543:CU582" si="782">AM543+BQ543</f>
        <v>60</v>
      </c>
      <c r="CV543" s="38">
        <f t="shared" ref="CV543:CV582" si="783">AN543+BR543</f>
        <v>42</v>
      </c>
      <c r="CW543" s="38">
        <f t="shared" ref="CW543:CW582" si="784">AO543+BS543</f>
        <v>34</v>
      </c>
      <c r="CX543" s="38">
        <f t="shared" ref="CX543:CX582" si="785">AP543+BT543</f>
        <v>47</v>
      </c>
      <c r="CY543" s="39">
        <f t="shared" ref="CY543:CY582" si="786">AQ543+BU543</f>
        <v>56</v>
      </c>
      <c r="CZ543" s="40">
        <f t="shared" ref="CZ543:CZ582" si="787">AR543+BV543</f>
        <v>0</v>
      </c>
      <c r="DA543" s="40">
        <f t="shared" ref="DA543:DA582" si="788">AS543+BW543</f>
        <v>0</v>
      </c>
      <c r="DB543" s="40">
        <f t="shared" ref="DB543:DB582" si="789">AT543+BX543</f>
        <v>0</v>
      </c>
      <c r="DC543" s="40">
        <f t="shared" ref="DC543:DC582" si="790">AU543+BY543</f>
        <v>0</v>
      </c>
      <c r="DD543" s="40">
        <f t="shared" ref="DD543:DD582" si="791">AV543+BZ543</f>
        <v>0</v>
      </c>
      <c r="DE543" s="40">
        <f t="shared" ref="DE543:DE582" si="792">AW543+CA543</f>
        <v>3</v>
      </c>
      <c r="DF543" s="40">
        <f t="shared" ref="DF543:DF582" si="793">AX543+CB543</f>
        <v>0</v>
      </c>
      <c r="DG543" s="40">
        <f t="shared" ref="DG543:DG582" si="794">AY543+CC543</f>
        <v>2</v>
      </c>
      <c r="DH543" s="40">
        <f t="shared" ref="DH543:DH582" si="795">AZ543+CD543</f>
        <v>0</v>
      </c>
      <c r="DI543" s="40">
        <f t="shared" ref="DI543:DI582" si="796">BA543+CE543</f>
        <v>0</v>
      </c>
      <c r="DJ543" s="40">
        <f t="shared" ref="DJ543:DJ582" si="797">BB543+CF543</f>
        <v>0</v>
      </c>
      <c r="DK543" s="39">
        <f t="shared" ref="DK543:DK582" si="798">BC543+CG543</f>
        <v>0</v>
      </c>
      <c r="DL543" s="40">
        <f t="shared" ref="DL543:DL582" si="799">BD543+CH543</f>
        <v>0</v>
      </c>
      <c r="DM543" s="40">
        <f t="shared" ref="DM543:DM582" si="800">BE543+CI543</f>
        <v>0</v>
      </c>
      <c r="DN543" s="40">
        <f t="shared" ref="DN543:DN582" si="801">BF543+CJ543</f>
        <v>0</v>
      </c>
      <c r="DO543" s="40">
        <f t="shared" ref="DO543:DO582" si="802">BG543+CK543</f>
        <v>0</v>
      </c>
      <c r="DP543" s="40">
        <f t="shared" ref="DP543:DP582" si="803">BH543+CL543</f>
        <v>0</v>
      </c>
      <c r="DQ543" s="40">
        <f t="shared" ref="DQ543:DQ582" si="804">BI543+CM543</f>
        <v>0</v>
      </c>
      <c r="DR543" s="40">
        <f t="shared" si="747"/>
        <v>0</v>
      </c>
      <c r="DS543" s="40">
        <f t="shared" si="748"/>
        <v>0</v>
      </c>
      <c r="DT543" s="40">
        <f t="shared" ref="DT543:DT582" si="805">BL543+CP543</f>
        <v>0</v>
      </c>
      <c r="DU543" s="40">
        <f t="shared" ref="DU543:DU582" si="806">BM543+CQ543</f>
        <v>0</v>
      </c>
      <c r="DV543" s="40">
        <f t="shared" ref="DV543:DV582" si="807">BN543+CR543</f>
        <v>0</v>
      </c>
      <c r="DW543" s="40">
        <f t="shared" ref="DW543:DW582" si="808">BO543+CS543</f>
        <v>0</v>
      </c>
    </row>
    <row r="544" spans="1:127">
      <c r="A544" s="22" t="s">
        <v>44</v>
      </c>
      <c r="B544" s="26">
        <v>4987176128867</v>
      </c>
      <c r="C544" s="22" t="s">
        <v>44</v>
      </c>
      <c r="D544" s="22" t="s">
        <v>48</v>
      </c>
      <c r="E544" s="22">
        <v>182043</v>
      </c>
      <c r="F544" s="80" t="s">
        <v>631</v>
      </c>
      <c r="G544" s="25">
        <v>346.5</v>
      </c>
      <c r="H544" s="38">
        <f t="shared" si="753"/>
        <v>13167</v>
      </c>
      <c r="I544" s="38">
        <f t="shared" si="754"/>
        <v>7969.5</v>
      </c>
      <c r="J544" s="38">
        <f t="shared" si="755"/>
        <v>8316</v>
      </c>
      <c r="K544" s="38">
        <f t="shared" si="756"/>
        <v>4504.5</v>
      </c>
      <c r="L544" s="38">
        <f t="shared" si="757"/>
        <v>3118.5</v>
      </c>
      <c r="M544" s="39">
        <f t="shared" si="758"/>
        <v>7276.5</v>
      </c>
      <c r="N544" s="40">
        <f t="shared" si="759"/>
        <v>346.5</v>
      </c>
      <c r="O544" s="40">
        <f t="shared" si="760"/>
        <v>0</v>
      </c>
      <c r="P544" s="40">
        <f t="shared" si="761"/>
        <v>0</v>
      </c>
      <c r="Q544" s="40">
        <f t="shared" si="762"/>
        <v>346.5</v>
      </c>
      <c r="R544" s="40">
        <f t="shared" si="763"/>
        <v>0</v>
      </c>
      <c r="S544" s="40">
        <f t="shared" si="764"/>
        <v>0</v>
      </c>
      <c r="T544" s="40">
        <f t="shared" si="765"/>
        <v>0</v>
      </c>
      <c r="U544" s="40">
        <f t="shared" si="766"/>
        <v>0</v>
      </c>
      <c r="V544" s="40">
        <f t="shared" si="767"/>
        <v>0</v>
      </c>
      <c r="W544" s="40">
        <f t="shared" si="768"/>
        <v>0</v>
      </c>
      <c r="X544" s="40">
        <f t="shared" si="769"/>
        <v>0</v>
      </c>
      <c r="Y544" s="39">
        <f t="shared" si="770"/>
        <v>0</v>
      </c>
      <c r="Z544" s="40">
        <f t="shared" si="771"/>
        <v>0</v>
      </c>
      <c r="AA544" s="40">
        <f t="shared" si="772"/>
        <v>0</v>
      </c>
      <c r="AB544" s="40">
        <f t="shared" si="773"/>
        <v>0</v>
      </c>
      <c r="AC544" s="40">
        <f t="shared" si="774"/>
        <v>0</v>
      </c>
      <c r="AD544" s="40">
        <f t="shared" si="775"/>
        <v>0</v>
      </c>
      <c r="AE544" s="40">
        <f t="shared" si="776"/>
        <v>0</v>
      </c>
      <c r="AF544" s="40">
        <f t="shared" si="777"/>
        <v>0</v>
      </c>
      <c r="AG544" s="40">
        <f t="shared" si="778"/>
        <v>0</v>
      </c>
      <c r="AH544" s="40">
        <f t="shared" si="749"/>
        <v>0</v>
      </c>
      <c r="AI544" s="40">
        <f t="shared" si="750"/>
        <v>0</v>
      </c>
      <c r="AJ544" s="40">
        <f t="shared" si="751"/>
        <v>0</v>
      </c>
      <c r="AK544" s="39">
        <f t="shared" si="752"/>
        <v>0</v>
      </c>
      <c r="AL544" s="38">
        <v>10</v>
      </c>
      <c r="AM544" s="38">
        <v>15</v>
      </c>
      <c r="AN544" s="38">
        <v>11</v>
      </c>
      <c r="AO544" s="38">
        <v>4</v>
      </c>
      <c r="AP544" s="38">
        <v>9</v>
      </c>
      <c r="AQ544" s="39">
        <v>2</v>
      </c>
      <c r="AR544" s="40">
        <v>1</v>
      </c>
      <c r="AS544" s="40">
        <v>0</v>
      </c>
      <c r="AT544" s="40">
        <v>0</v>
      </c>
      <c r="AU544" s="40">
        <v>1</v>
      </c>
      <c r="AV544" s="40">
        <v>0</v>
      </c>
      <c r="AW544" s="40">
        <v>0</v>
      </c>
      <c r="AX544" s="40">
        <v>0</v>
      </c>
      <c r="AY544" s="40">
        <v>0</v>
      </c>
      <c r="AZ544" s="40">
        <v>0</v>
      </c>
      <c r="BA544" s="40">
        <v>0</v>
      </c>
      <c r="BB544" s="40">
        <v>0</v>
      </c>
      <c r="BC544" s="39">
        <v>0</v>
      </c>
      <c r="BD544" s="40">
        <v>0</v>
      </c>
      <c r="BE544" s="40">
        <v>0</v>
      </c>
      <c r="BF544" s="40">
        <v>0</v>
      </c>
      <c r="BG544" s="40">
        <v>0</v>
      </c>
      <c r="BH544" s="40">
        <v>0</v>
      </c>
      <c r="BI544" s="40">
        <v>0</v>
      </c>
      <c r="BJ544" s="40">
        <v>0</v>
      </c>
      <c r="BK544" s="40">
        <v>0</v>
      </c>
      <c r="BL544" s="40">
        <v>0</v>
      </c>
      <c r="BM544" s="40">
        <v>0</v>
      </c>
      <c r="BN544" s="40"/>
      <c r="BO544" s="39"/>
      <c r="BP544" s="21">
        <v>28</v>
      </c>
      <c r="BQ544" s="21">
        <v>8</v>
      </c>
      <c r="BR544" s="21">
        <v>13</v>
      </c>
      <c r="BS544" s="21">
        <v>9</v>
      </c>
      <c r="BT544" s="21">
        <v>0</v>
      </c>
      <c r="BU544" s="42">
        <v>19</v>
      </c>
      <c r="BV544" s="21">
        <v>0</v>
      </c>
      <c r="BW544" s="21">
        <v>0</v>
      </c>
      <c r="BX544" s="21">
        <v>0</v>
      </c>
      <c r="BY544" s="21">
        <v>0</v>
      </c>
      <c r="BZ544" s="21">
        <v>0</v>
      </c>
      <c r="CA544" s="21">
        <v>0</v>
      </c>
      <c r="CB544" s="21">
        <v>0</v>
      </c>
      <c r="CC544" s="21">
        <v>0</v>
      </c>
      <c r="CD544" s="21">
        <v>0</v>
      </c>
      <c r="CE544" s="21">
        <v>0</v>
      </c>
      <c r="CF544" s="21">
        <v>0</v>
      </c>
      <c r="CG544" s="42">
        <v>0</v>
      </c>
      <c r="CH544" s="21">
        <v>0</v>
      </c>
      <c r="CI544" s="21">
        <v>0</v>
      </c>
      <c r="CJ544" s="21">
        <v>0</v>
      </c>
      <c r="CK544" s="21">
        <v>0</v>
      </c>
      <c r="CL544" s="21">
        <v>0</v>
      </c>
      <c r="CM544" s="21">
        <v>0</v>
      </c>
      <c r="CN544" s="21">
        <v>0</v>
      </c>
      <c r="CO544" s="21">
        <v>0</v>
      </c>
      <c r="CP544" s="21">
        <f t="shared" si="779"/>
        <v>0</v>
      </c>
      <c r="CQ544" s="343">
        <f t="shared" si="780"/>
        <v>0</v>
      </c>
      <c r="CR544" s="40"/>
      <c r="CS544" s="39"/>
      <c r="CT544" s="38">
        <f t="shared" si="781"/>
        <v>38</v>
      </c>
      <c r="CU544" s="38">
        <f t="shared" si="782"/>
        <v>23</v>
      </c>
      <c r="CV544" s="38">
        <f t="shared" si="783"/>
        <v>24</v>
      </c>
      <c r="CW544" s="38">
        <f t="shared" si="784"/>
        <v>13</v>
      </c>
      <c r="CX544" s="38">
        <f t="shared" si="785"/>
        <v>9</v>
      </c>
      <c r="CY544" s="39">
        <f t="shared" si="786"/>
        <v>21</v>
      </c>
      <c r="CZ544" s="40">
        <f t="shared" si="787"/>
        <v>1</v>
      </c>
      <c r="DA544" s="40">
        <f t="shared" si="788"/>
        <v>0</v>
      </c>
      <c r="DB544" s="40">
        <f t="shared" si="789"/>
        <v>0</v>
      </c>
      <c r="DC544" s="40">
        <f t="shared" si="790"/>
        <v>1</v>
      </c>
      <c r="DD544" s="40">
        <f t="shared" si="791"/>
        <v>0</v>
      </c>
      <c r="DE544" s="40">
        <f t="shared" si="792"/>
        <v>0</v>
      </c>
      <c r="DF544" s="40">
        <f t="shared" si="793"/>
        <v>0</v>
      </c>
      <c r="DG544" s="40">
        <f t="shared" si="794"/>
        <v>0</v>
      </c>
      <c r="DH544" s="40">
        <f t="shared" si="795"/>
        <v>0</v>
      </c>
      <c r="DI544" s="40">
        <f t="shared" si="796"/>
        <v>0</v>
      </c>
      <c r="DJ544" s="40">
        <f t="shared" si="797"/>
        <v>0</v>
      </c>
      <c r="DK544" s="39">
        <f t="shared" si="798"/>
        <v>0</v>
      </c>
      <c r="DL544" s="40">
        <f t="shared" si="799"/>
        <v>0</v>
      </c>
      <c r="DM544" s="40">
        <f t="shared" si="800"/>
        <v>0</v>
      </c>
      <c r="DN544" s="40">
        <f t="shared" si="801"/>
        <v>0</v>
      </c>
      <c r="DO544" s="40">
        <f t="shared" si="802"/>
        <v>0</v>
      </c>
      <c r="DP544" s="40">
        <f t="shared" si="803"/>
        <v>0</v>
      </c>
      <c r="DQ544" s="40">
        <f t="shared" si="804"/>
        <v>0</v>
      </c>
      <c r="DR544" s="40">
        <f t="shared" si="747"/>
        <v>0</v>
      </c>
      <c r="DS544" s="40">
        <f t="shared" si="748"/>
        <v>0</v>
      </c>
      <c r="DT544" s="40">
        <f t="shared" si="805"/>
        <v>0</v>
      </c>
      <c r="DU544" s="40">
        <f t="shared" si="806"/>
        <v>0</v>
      </c>
      <c r="DV544" s="40">
        <f t="shared" si="807"/>
        <v>0</v>
      </c>
      <c r="DW544" s="40">
        <f t="shared" si="808"/>
        <v>0</v>
      </c>
    </row>
    <row r="545" spans="1:127">
      <c r="A545" s="22" t="s">
        <v>44</v>
      </c>
      <c r="B545" s="26">
        <v>4987176080387</v>
      </c>
      <c r="C545" s="22" t="s">
        <v>44</v>
      </c>
      <c r="D545" s="22" t="s">
        <v>21</v>
      </c>
      <c r="E545" s="22">
        <v>121506</v>
      </c>
      <c r="F545" s="80" t="s">
        <v>632</v>
      </c>
      <c r="G545" s="25">
        <v>342.25</v>
      </c>
      <c r="H545" s="38">
        <f t="shared" si="753"/>
        <v>0</v>
      </c>
      <c r="I545" s="38">
        <f t="shared" si="754"/>
        <v>2395.75</v>
      </c>
      <c r="J545" s="38">
        <f t="shared" si="755"/>
        <v>3764.75</v>
      </c>
      <c r="K545" s="38">
        <f t="shared" si="756"/>
        <v>0</v>
      </c>
      <c r="L545" s="38">
        <f t="shared" si="757"/>
        <v>342.25</v>
      </c>
      <c r="M545" s="39">
        <f t="shared" si="758"/>
        <v>1369</v>
      </c>
      <c r="N545" s="40">
        <f t="shared" si="759"/>
        <v>0</v>
      </c>
      <c r="O545" s="40">
        <f t="shared" si="760"/>
        <v>0</v>
      </c>
      <c r="P545" s="40">
        <f t="shared" si="761"/>
        <v>0</v>
      </c>
      <c r="Q545" s="40">
        <f t="shared" si="762"/>
        <v>0</v>
      </c>
      <c r="R545" s="40">
        <f t="shared" si="763"/>
        <v>0</v>
      </c>
      <c r="S545" s="40">
        <f t="shared" si="764"/>
        <v>0</v>
      </c>
      <c r="T545" s="40">
        <f t="shared" si="765"/>
        <v>0</v>
      </c>
      <c r="U545" s="40">
        <f t="shared" si="766"/>
        <v>0</v>
      </c>
      <c r="V545" s="40">
        <f t="shared" si="767"/>
        <v>0</v>
      </c>
      <c r="W545" s="40">
        <f t="shared" si="768"/>
        <v>0</v>
      </c>
      <c r="X545" s="40">
        <f t="shared" si="769"/>
        <v>0</v>
      </c>
      <c r="Y545" s="39">
        <f t="shared" si="770"/>
        <v>0</v>
      </c>
      <c r="Z545" s="40">
        <f t="shared" si="771"/>
        <v>0</v>
      </c>
      <c r="AA545" s="40">
        <f t="shared" si="772"/>
        <v>0</v>
      </c>
      <c r="AB545" s="40">
        <f t="shared" si="773"/>
        <v>0</v>
      </c>
      <c r="AC545" s="40">
        <f t="shared" si="774"/>
        <v>0</v>
      </c>
      <c r="AD545" s="40">
        <f t="shared" si="775"/>
        <v>0</v>
      </c>
      <c r="AE545" s="40">
        <f t="shared" si="776"/>
        <v>0</v>
      </c>
      <c r="AF545" s="40">
        <f t="shared" si="777"/>
        <v>0</v>
      </c>
      <c r="AG545" s="40">
        <f t="shared" si="778"/>
        <v>0</v>
      </c>
      <c r="AH545" s="40">
        <f t="shared" si="749"/>
        <v>0</v>
      </c>
      <c r="AI545" s="40">
        <f t="shared" si="750"/>
        <v>0</v>
      </c>
      <c r="AJ545" s="40">
        <f t="shared" si="751"/>
        <v>0</v>
      </c>
      <c r="AK545" s="39">
        <f t="shared" si="752"/>
        <v>0</v>
      </c>
      <c r="AL545" s="38">
        <v>0</v>
      </c>
      <c r="AM545" s="38">
        <v>0</v>
      </c>
      <c r="AN545" s="38">
        <v>0</v>
      </c>
      <c r="AO545" s="38">
        <v>0</v>
      </c>
      <c r="AP545" s="38">
        <v>0</v>
      </c>
      <c r="AQ545" s="39">
        <v>0</v>
      </c>
      <c r="AR545" s="40">
        <v>0</v>
      </c>
      <c r="AS545" s="40">
        <v>0</v>
      </c>
      <c r="AT545" s="40">
        <v>0</v>
      </c>
      <c r="AU545" s="40">
        <v>0</v>
      </c>
      <c r="AV545" s="40">
        <v>0</v>
      </c>
      <c r="AW545" s="40">
        <v>0</v>
      </c>
      <c r="AX545" s="40">
        <v>0</v>
      </c>
      <c r="AY545" s="40">
        <v>0</v>
      </c>
      <c r="AZ545" s="40">
        <v>0</v>
      </c>
      <c r="BA545" s="40">
        <v>0</v>
      </c>
      <c r="BB545" s="40">
        <v>0</v>
      </c>
      <c r="BC545" s="39">
        <v>0</v>
      </c>
      <c r="BD545" s="40">
        <v>0</v>
      </c>
      <c r="BE545" s="40">
        <v>0</v>
      </c>
      <c r="BF545" s="40">
        <v>0</v>
      </c>
      <c r="BG545" s="40">
        <v>0</v>
      </c>
      <c r="BH545" s="40">
        <v>0</v>
      </c>
      <c r="BI545" s="40">
        <v>0</v>
      </c>
      <c r="BJ545" s="40">
        <v>0</v>
      </c>
      <c r="BK545" s="40">
        <v>0</v>
      </c>
      <c r="BL545" s="40">
        <v>0</v>
      </c>
      <c r="BM545" s="40" t="s">
        <v>768</v>
      </c>
      <c r="BN545" s="40"/>
      <c r="BO545" s="39"/>
      <c r="BP545" s="21">
        <v>0</v>
      </c>
      <c r="BQ545" s="21">
        <v>7</v>
      </c>
      <c r="BR545" s="21">
        <v>11</v>
      </c>
      <c r="BS545" s="21">
        <v>0</v>
      </c>
      <c r="BT545" s="21">
        <v>1</v>
      </c>
      <c r="BU545" s="42">
        <v>4</v>
      </c>
      <c r="BV545" s="21">
        <v>0</v>
      </c>
      <c r="BW545" s="21">
        <v>0</v>
      </c>
      <c r="BX545" s="21">
        <v>0</v>
      </c>
      <c r="BY545" s="21">
        <v>0</v>
      </c>
      <c r="BZ545" s="21">
        <v>0</v>
      </c>
      <c r="CA545" s="21">
        <v>0</v>
      </c>
      <c r="CB545" s="21">
        <v>0</v>
      </c>
      <c r="CC545" s="21">
        <v>0</v>
      </c>
      <c r="CD545" s="21">
        <v>0</v>
      </c>
      <c r="CE545" s="21">
        <v>0</v>
      </c>
      <c r="CF545" s="21">
        <v>0</v>
      </c>
      <c r="CG545" s="42">
        <v>0</v>
      </c>
      <c r="CH545" s="21">
        <v>0</v>
      </c>
      <c r="CI545" s="21">
        <v>0</v>
      </c>
      <c r="CJ545" s="21">
        <v>0</v>
      </c>
      <c r="CK545" s="21">
        <v>0</v>
      </c>
      <c r="CL545" s="21">
        <v>0</v>
      </c>
      <c r="CM545" s="21">
        <v>0</v>
      </c>
      <c r="CN545" s="21">
        <v>0</v>
      </c>
      <c r="CO545" s="21">
        <v>0</v>
      </c>
      <c r="CP545" s="21">
        <f t="shared" si="779"/>
        <v>0</v>
      </c>
      <c r="CQ545" s="343">
        <f t="shared" si="780"/>
        <v>0</v>
      </c>
      <c r="CR545" s="40"/>
      <c r="CS545" s="39"/>
      <c r="CT545" s="38">
        <f t="shared" si="781"/>
        <v>0</v>
      </c>
      <c r="CU545" s="38">
        <f t="shared" si="782"/>
        <v>7</v>
      </c>
      <c r="CV545" s="38">
        <f t="shared" si="783"/>
        <v>11</v>
      </c>
      <c r="CW545" s="38">
        <f t="shared" si="784"/>
        <v>0</v>
      </c>
      <c r="CX545" s="38">
        <f t="shared" si="785"/>
        <v>1</v>
      </c>
      <c r="CY545" s="39">
        <f t="shared" si="786"/>
        <v>4</v>
      </c>
      <c r="CZ545" s="40">
        <f t="shared" si="787"/>
        <v>0</v>
      </c>
      <c r="DA545" s="40">
        <f t="shared" si="788"/>
        <v>0</v>
      </c>
      <c r="DB545" s="40">
        <f t="shared" si="789"/>
        <v>0</v>
      </c>
      <c r="DC545" s="40">
        <f t="shared" si="790"/>
        <v>0</v>
      </c>
      <c r="DD545" s="40">
        <f t="shared" si="791"/>
        <v>0</v>
      </c>
      <c r="DE545" s="40">
        <f t="shared" si="792"/>
        <v>0</v>
      </c>
      <c r="DF545" s="40">
        <f t="shared" si="793"/>
        <v>0</v>
      </c>
      <c r="DG545" s="40">
        <f t="shared" si="794"/>
        <v>0</v>
      </c>
      <c r="DH545" s="40">
        <f t="shared" si="795"/>
        <v>0</v>
      </c>
      <c r="DI545" s="40">
        <f t="shared" si="796"/>
        <v>0</v>
      </c>
      <c r="DJ545" s="40">
        <f t="shared" si="797"/>
        <v>0</v>
      </c>
      <c r="DK545" s="39">
        <f t="shared" si="798"/>
        <v>0</v>
      </c>
      <c r="DL545" s="40">
        <f t="shared" si="799"/>
        <v>0</v>
      </c>
      <c r="DM545" s="40">
        <f t="shared" si="800"/>
        <v>0</v>
      </c>
      <c r="DN545" s="40">
        <f t="shared" si="801"/>
        <v>0</v>
      </c>
      <c r="DO545" s="40">
        <f t="shared" si="802"/>
        <v>0</v>
      </c>
      <c r="DP545" s="40">
        <f t="shared" si="803"/>
        <v>0</v>
      </c>
      <c r="DQ545" s="40">
        <f t="shared" si="804"/>
        <v>0</v>
      </c>
      <c r="DR545" s="40">
        <f t="shared" si="747"/>
        <v>0</v>
      </c>
      <c r="DS545" s="40">
        <f t="shared" si="748"/>
        <v>0</v>
      </c>
      <c r="DT545" s="40">
        <f t="shared" si="805"/>
        <v>0</v>
      </c>
      <c r="DU545" s="40">
        <f t="shared" si="806"/>
        <v>0</v>
      </c>
      <c r="DV545" s="40">
        <f t="shared" si="807"/>
        <v>0</v>
      </c>
      <c r="DW545" s="40">
        <f t="shared" si="808"/>
        <v>0</v>
      </c>
    </row>
    <row r="546" spans="1:127">
      <c r="A546" s="22" t="s">
        <v>44</v>
      </c>
      <c r="B546" s="26">
        <v>4987176080394</v>
      </c>
      <c r="C546" s="22" t="s">
        <v>44</v>
      </c>
      <c r="D546" s="22" t="s">
        <v>21</v>
      </c>
      <c r="E546" s="22">
        <v>121241</v>
      </c>
      <c r="F546" s="80" t="s">
        <v>633</v>
      </c>
      <c r="G546" s="25">
        <v>339.5</v>
      </c>
      <c r="H546" s="38">
        <f t="shared" si="753"/>
        <v>4074</v>
      </c>
      <c r="I546" s="38">
        <f t="shared" si="754"/>
        <v>1358</v>
      </c>
      <c r="J546" s="38">
        <f t="shared" si="755"/>
        <v>339.5</v>
      </c>
      <c r="K546" s="38">
        <f t="shared" si="756"/>
        <v>3395</v>
      </c>
      <c r="L546" s="38">
        <f t="shared" si="757"/>
        <v>1697.5</v>
      </c>
      <c r="M546" s="39">
        <f t="shared" si="758"/>
        <v>1358</v>
      </c>
      <c r="N546" s="40">
        <f t="shared" si="759"/>
        <v>0</v>
      </c>
      <c r="O546" s="40">
        <f t="shared" si="760"/>
        <v>0</v>
      </c>
      <c r="P546" s="40">
        <f t="shared" si="761"/>
        <v>0</v>
      </c>
      <c r="Q546" s="40">
        <f t="shared" si="762"/>
        <v>0</v>
      </c>
      <c r="R546" s="40">
        <f t="shared" si="763"/>
        <v>0</v>
      </c>
      <c r="S546" s="40">
        <f t="shared" si="764"/>
        <v>0</v>
      </c>
      <c r="T546" s="40">
        <f t="shared" si="765"/>
        <v>0</v>
      </c>
      <c r="U546" s="40">
        <f t="shared" si="766"/>
        <v>0</v>
      </c>
      <c r="V546" s="40">
        <f t="shared" si="767"/>
        <v>0</v>
      </c>
      <c r="W546" s="40">
        <f t="shared" si="768"/>
        <v>0</v>
      </c>
      <c r="X546" s="40">
        <f t="shared" si="769"/>
        <v>0</v>
      </c>
      <c r="Y546" s="39">
        <f t="shared" si="770"/>
        <v>0</v>
      </c>
      <c r="Z546" s="40">
        <f t="shared" si="771"/>
        <v>0</v>
      </c>
      <c r="AA546" s="40">
        <f t="shared" si="772"/>
        <v>0</v>
      </c>
      <c r="AB546" s="40">
        <f t="shared" si="773"/>
        <v>0</v>
      </c>
      <c r="AC546" s="40">
        <f t="shared" si="774"/>
        <v>0</v>
      </c>
      <c r="AD546" s="40">
        <f t="shared" si="775"/>
        <v>0</v>
      </c>
      <c r="AE546" s="40">
        <f t="shared" si="776"/>
        <v>0</v>
      </c>
      <c r="AF546" s="40">
        <f t="shared" si="777"/>
        <v>0</v>
      </c>
      <c r="AG546" s="40">
        <f t="shared" si="778"/>
        <v>0</v>
      </c>
      <c r="AH546" s="40">
        <f t="shared" si="749"/>
        <v>0</v>
      </c>
      <c r="AI546" s="40">
        <f t="shared" si="750"/>
        <v>0</v>
      </c>
      <c r="AJ546" s="40">
        <f t="shared" si="751"/>
        <v>0</v>
      </c>
      <c r="AK546" s="39">
        <f t="shared" si="752"/>
        <v>0</v>
      </c>
      <c r="AL546" s="38">
        <v>0</v>
      </c>
      <c r="AM546" s="38">
        <v>0</v>
      </c>
      <c r="AN546" s="38">
        <v>0</v>
      </c>
      <c r="AO546" s="38">
        <v>0</v>
      </c>
      <c r="AP546" s="38">
        <v>0</v>
      </c>
      <c r="AQ546" s="39">
        <v>0</v>
      </c>
      <c r="AR546" s="40">
        <v>0</v>
      </c>
      <c r="AS546" s="40">
        <v>0</v>
      </c>
      <c r="AT546" s="40">
        <v>0</v>
      </c>
      <c r="AU546" s="40">
        <v>0</v>
      </c>
      <c r="AV546" s="40">
        <v>0</v>
      </c>
      <c r="AW546" s="40">
        <v>0</v>
      </c>
      <c r="AX546" s="40">
        <v>0</v>
      </c>
      <c r="AY546" s="40">
        <v>0</v>
      </c>
      <c r="AZ546" s="40">
        <v>0</v>
      </c>
      <c r="BA546" s="40">
        <v>0</v>
      </c>
      <c r="BB546" s="40">
        <v>0</v>
      </c>
      <c r="BC546" s="39">
        <v>0</v>
      </c>
      <c r="BD546" s="40">
        <v>0</v>
      </c>
      <c r="BE546" s="40">
        <v>0</v>
      </c>
      <c r="BF546" s="40">
        <v>0</v>
      </c>
      <c r="BG546" s="40">
        <v>0</v>
      </c>
      <c r="BH546" s="40">
        <v>0</v>
      </c>
      <c r="BI546" s="40">
        <v>0</v>
      </c>
      <c r="BJ546" s="40">
        <v>0</v>
      </c>
      <c r="BK546" s="40">
        <v>0</v>
      </c>
      <c r="BL546" s="40">
        <v>0</v>
      </c>
      <c r="BM546" s="40" t="s">
        <v>768</v>
      </c>
      <c r="BN546" s="40"/>
      <c r="BO546" s="39"/>
      <c r="BP546" s="21">
        <v>12</v>
      </c>
      <c r="BQ546" s="21">
        <v>4</v>
      </c>
      <c r="BR546" s="21">
        <v>1</v>
      </c>
      <c r="BS546" s="21">
        <v>10</v>
      </c>
      <c r="BT546" s="21">
        <v>5</v>
      </c>
      <c r="BU546" s="42">
        <v>4</v>
      </c>
      <c r="BV546" s="21">
        <v>0</v>
      </c>
      <c r="BW546" s="21">
        <v>0</v>
      </c>
      <c r="BX546" s="21">
        <v>0</v>
      </c>
      <c r="BY546" s="21">
        <v>0</v>
      </c>
      <c r="BZ546" s="21">
        <v>0</v>
      </c>
      <c r="CA546" s="21">
        <v>0</v>
      </c>
      <c r="CB546" s="21">
        <v>0</v>
      </c>
      <c r="CC546" s="21">
        <v>0</v>
      </c>
      <c r="CD546" s="21">
        <v>0</v>
      </c>
      <c r="CE546" s="21">
        <v>0</v>
      </c>
      <c r="CF546" s="21">
        <v>0</v>
      </c>
      <c r="CG546" s="42">
        <v>0</v>
      </c>
      <c r="CH546" s="21">
        <v>0</v>
      </c>
      <c r="CI546" s="21">
        <v>0</v>
      </c>
      <c r="CJ546" s="21">
        <v>0</v>
      </c>
      <c r="CK546" s="21">
        <v>0</v>
      </c>
      <c r="CL546" s="21">
        <v>0</v>
      </c>
      <c r="CM546" s="21">
        <v>0</v>
      </c>
      <c r="CN546" s="21">
        <v>0</v>
      </c>
      <c r="CO546" s="21">
        <v>0</v>
      </c>
      <c r="CP546" s="21">
        <f t="shared" si="779"/>
        <v>0</v>
      </c>
      <c r="CQ546" s="343">
        <f t="shared" si="780"/>
        <v>0</v>
      </c>
      <c r="CR546" s="40"/>
      <c r="CS546" s="39"/>
      <c r="CT546" s="38">
        <f t="shared" si="781"/>
        <v>12</v>
      </c>
      <c r="CU546" s="38">
        <f t="shared" si="782"/>
        <v>4</v>
      </c>
      <c r="CV546" s="38">
        <f t="shared" si="783"/>
        <v>1</v>
      </c>
      <c r="CW546" s="38">
        <f t="shared" si="784"/>
        <v>10</v>
      </c>
      <c r="CX546" s="38">
        <f t="shared" si="785"/>
        <v>5</v>
      </c>
      <c r="CY546" s="39">
        <f t="shared" si="786"/>
        <v>4</v>
      </c>
      <c r="CZ546" s="40">
        <f t="shared" si="787"/>
        <v>0</v>
      </c>
      <c r="DA546" s="40">
        <f t="shared" si="788"/>
        <v>0</v>
      </c>
      <c r="DB546" s="40">
        <f t="shared" si="789"/>
        <v>0</v>
      </c>
      <c r="DC546" s="40">
        <f t="shared" si="790"/>
        <v>0</v>
      </c>
      <c r="DD546" s="40">
        <f t="shared" si="791"/>
        <v>0</v>
      </c>
      <c r="DE546" s="40">
        <f t="shared" si="792"/>
        <v>0</v>
      </c>
      <c r="DF546" s="40">
        <f t="shared" si="793"/>
        <v>0</v>
      </c>
      <c r="DG546" s="40">
        <f t="shared" si="794"/>
        <v>0</v>
      </c>
      <c r="DH546" s="40">
        <f t="shared" si="795"/>
        <v>0</v>
      </c>
      <c r="DI546" s="40">
        <f t="shared" si="796"/>
        <v>0</v>
      </c>
      <c r="DJ546" s="40">
        <f t="shared" si="797"/>
        <v>0</v>
      </c>
      <c r="DK546" s="39">
        <f t="shared" si="798"/>
        <v>0</v>
      </c>
      <c r="DL546" s="40">
        <f t="shared" si="799"/>
        <v>0</v>
      </c>
      <c r="DM546" s="40">
        <f t="shared" si="800"/>
        <v>0</v>
      </c>
      <c r="DN546" s="40">
        <f t="shared" si="801"/>
        <v>0</v>
      </c>
      <c r="DO546" s="40">
        <f t="shared" si="802"/>
        <v>0</v>
      </c>
      <c r="DP546" s="40">
        <f t="shared" si="803"/>
        <v>0</v>
      </c>
      <c r="DQ546" s="40">
        <f t="shared" si="804"/>
        <v>0</v>
      </c>
      <c r="DR546" s="40">
        <f t="shared" si="747"/>
        <v>0</v>
      </c>
      <c r="DS546" s="40">
        <f t="shared" si="748"/>
        <v>0</v>
      </c>
      <c r="DT546" s="40">
        <f t="shared" si="805"/>
        <v>0</v>
      </c>
      <c r="DU546" s="40">
        <f t="shared" si="806"/>
        <v>0</v>
      </c>
      <c r="DV546" s="40">
        <f t="shared" si="807"/>
        <v>0</v>
      </c>
      <c r="DW546" s="40">
        <f t="shared" si="808"/>
        <v>0</v>
      </c>
    </row>
    <row r="547" spans="1:127">
      <c r="A547" s="22" t="s">
        <v>44</v>
      </c>
      <c r="B547" s="26">
        <v>4987176079381</v>
      </c>
      <c r="C547" s="22" t="s">
        <v>44</v>
      </c>
      <c r="D547" s="22" t="s">
        <v>47</v>
      </c>
      <c r="E547" s="22">
        <v>132672</v>
      </c>
      <c r="F547" s="80" t="s">
        <v>634</v>
      </c>
      <c r="G547" s="25">
        <v>406.28500000000003</v>
      </c>
      <c r="H547" s="38">
        <f t="shared" si="753"/>
        <v>8125.7000000000007</v>
      </c>
      <c r="I547" s="38">
        <f t="shared" si="754"/>
        <v>3656.5650000000001</v>
      </c>
      <c r="J547" s="38">
        <f t="shared" si="755"/>
        <v>6500.56</v>
      </c>
      <c r="K547" s="38">
        <f t="shared" si="756"/>
        <v>6500.56</v>
      </c>
      <c r="L547" s="38">
        <f t="shared" si="757"/>
        <v>10157.125</v>
      </c>
      <c r="M547" s="39">
        <f t="shared" si="758"/>
        <v>1625.14</v>
      </c>
      <c r="N547" s="40">
        <f t="shared" si="759"/>
        <v>0</v>
      </c>
      <c r="O547" s="40">
        <f t="shared" si="760"/>
        <v>0</v>
      </c>
      <c r="P547" s="40">
        <f t="shared" si="761"/>
        <v>0</v>
      </c>
      <c r="Q547" s="40">
        <f t="shared" si="762"/>
        <v>0</v>
      </c>
      <c r="R547" s="40">
        <f t="shared" si="763"/>
        <v>0</v>
      </c>
      <c r="S547" s="40">
        <f t="shared" si="764"/>
        <v>0</v>
      </c>
      <c r="T547" s="40">
        <f t="shared" si="765"/>
        <v>0</v>
      </c>
      <c r="U547" s="40">
        <f t="shared" si="766"/>
        <v>0</v>
      </c>
      <c r="V547" s="40">
        <f t="shared" si="767"/>
        <v>0</v>
      </c>
      <c r="W547" s="40">
        <f t="shared" si="768"/>
        <v>0</v>
      </c>
      <c r="X547" s="40">
        <f t="shared" si="769"/>
        <v>0</v>
      </c>
      <c r="Y547" s="39">
        <f t="shared" si="770"/>
        <v>0</v>
      </c>
      <c r="Z547" s="40">
        <f t="shared" si="771"/>
        <v>0</v>
      </c>
      <c r="AA547" s="40">
        <f t="shared" si="772"/>
        <v>0</v>
      </c>
      <c r="AB547" s="40">
        <f t="shared" si="773"/>
        <v>0</v>
      </c>
      <c r="AC547" s="40">
        <f t="shared" si="774"/>
        <v>0</v>
      </c>
      <c r="AD547" s="40">
        <f t="shared" si="775"/>
        <v>0</v>
      </c>
      <c r="AE547" s="40">
        <f t="shared" si="776"/>
        <v>0</v>
      </c>
      <c r="AF547" s="40">
        <f t="shared" si="777"/>
        <v>0</v>
      </c>
      <c r="AG547" s="40">
        <f t="shared" si="778"/>
        <v>0</v>
      </c>
      <c r="AH547" s="40">
        <f t="shared" si="749"/>
        <v>0</v>
      </c>
      <c r="AI547" s="40">
        <f t="shared" si="750"/>
        <v>0</v>
      </c>
      <c r="AJ547" s="40">
        <f t="shared" si="751"/>
        <v>0</v>
      </c>
      <c r="AK547" s="39">
        <f t="shared" si="752"/>
        <v>0</v>
      </c>
      <c r="AL547" s="38">
        <v>18</v>
      </c>
      <c r="AM547" s="38">
        <v>9</v>
      </c>
      <c r="AN547" s="38">
        <v>7</v>
      </c>
      <c r="AO547" s="38">
        <v>4</v>
      </c>
      <c r="AP547" s="38">
        <v>6</v>
      </c>
      <c r="AQ547" s="39">
        <v>4</v>
      </c>
      <c r="AR547" s="40">
        <v>0</v>
      </c>
      <c r="AS547" s="40">
        <v>0</v>
      </c>
      <c r="AT547" s="40">
        <v>0</v>
      </c>
      <c r="AU547" s="40">
        <v>0</v>
      </c>
      <c r="AV547" s="40">
        <v>0</v>
      </c>
      <c r="AW547" s="40">
        <v>0</v>
      </c>
      <c r="AX547" s="40">
        <v>0</v>
      </c>
      <c r="AY547" s="40">
        <v>0</v>
      </c>
      <c r="AZ547" s="40">
        <v>0</v>
      </c>
      <c r="BA547" s="40">
        <v>0</v>
      </c>
      <c r="BB547" s="40">
        <v>0</v>
      </c>
      <c r="BC547" s="39">
        <v>0</v>
      </c>
      <c r="BD547" s="40">
        <v>0</v>
      </c>
      <c r="BE547" s="40">
        <v>0</v>
      </c>
      <c r="BF547" s="40">
        <v>0</v>
      </c>
      <c r="BG547" s="40">
        <v>0</v>
      </c>
      <c r="BH547" s="40">
        <v>0</v>
      </c>
      <c r="BI547" s="40">
        <v>0</v>
      </c>
      <c r="BJ547" s="40">
        <v>0</v>
      </c>
      <c r="BK547" s="40">
        <v>0</v>
      </c>
      <c r="BL547" s="40">
        <v>0</v>
      </c>
      <c r="BM547" s="40">
        <v>0</v>
      </c>
      <c r="BN547" s="40"/>
      <c r="BO547" s="39"/>
      <c r="BP547" s="21">
        <v>2</v>
      </c>
      <c r="BQ547" s="21">
        <v>0</v>
      </c>
      <c r="BR547" s="21">
        <v>9</v>
      </c>
      <c r="BS547" s="21">
        <v>12</v>
      </c>
      <c r="BT547" s="21">
        <v>19</v>
      </c>
      <c r="BU547" s="42">
        <v>0</v>
      </c>
      <c r="BV547" s="21">
        <v>0</v>
      </c>
      <c r="BW547" s="21">
        <v>0</v>
      </c>
      <c r="BX547" s="21">
        <v>0</v>
      </c>
      <c r="BY547" s="21">
        <v>0</v>
      </c>
      <c r="BZ547" s="21">
        <v>0</v>
      </c>
      <c r="CA547" s="21">
        <v>0</v>
      </c>
      <c r="CB547" s="21">
        <v>0</v>
      </c>
      <c r="CC547" s="21">
        <v>0</v>
      </c>
      <c r="CD547" s="21">
        <v>0</v>
      </c>
      <c r="CE547" s="21">
        <v>0</v>
      </c>
      <c r="CF547" s="21">
        <v>0</v>
      </c>
      <c r="CG547" s="42">
        <v>0</v>
      </c>
      <c r="CH547" s="21">
        <v>0</v>
      </c>
      <c r="CI547" s="21">
        <v>0</v>
      </c>
      <c r="CJ547" s="21">
        <v>0</v>
      </c>
      <c r="CK547" s="21">
        <v>0</v>
      </c>
      <c r="CL547" s="21">
        <v>0</v>
      </c>
      <c r="CM547" s="21">
        <v>0</v>
      </c>
      <c r="CN547" s="21">
        <v>0</v>
      </c>
      <c r="CO547" s="21">
        <v>0</v>
      </c>
      <c r="CP547" s="21">
        <f t="shared" si="779"/>
        <v>0</v>
      </c>
      <c r="CQ547" s="343">
        <f t="shared" si="780"/>
        <v>0</v>
      </c>
      <c r="CR547" s="40"/>
      <c r="CS547" s="39"/>
      <c r="CT547" s="38">
        <f t="shared" si="781"/>
        <v>20</v>
      </c>
      <c r="CU547" s="38">
        <f t="shared" si="782"/>
        <v>9</v>
      </c>
      <c r="CV547" s="38">
        <f t="shared" si="783"/>
        <v>16</v>
      </c>
      <c r="CW547" s="38">
        <f t="shared" si="784"/>
        <v>16</v>
      </c>
      <c r="CX547" s="38">
        <f t="shared" si="785"/>
        <v>25</v>
      </c>
      <c r="CY547" s="39">
        <f t="shared" si="786"/>
        <v>4</v>
      </c>
      <c r="CZ547" s="40">
        <f t="shared" si="787"/>
        <v>0</v>
      </c>
      <c r="DA547" s="40">
        <f t="shared" si="788"/>
        <v>0</v>
      </c>
      <c r="DB547" s="40">
        <f t="shared" si="789"/>
        <v>0</v>
      </c>
      <c r="DC547" s="40">
        <f t="shared" si="790"/>
        <v>0</v>
      </c>
      <c r="DD547" s="40">
        <f t="shared" si="791"/>
        <v>0</v>
      </c>
      <c r="DE547" s="40">
        <f t="shared" si="792"/>
        <v>0</v>
      </c>
      <c r="DF547" s="40">
        <f t="shared" si="793"/>
        <v>0</v>
      </c>
      <c r="DG547" s="40">
        <f t="shared" si="794"/>
        <v>0</v>
      </c>
      <c r="DH547" s="40">
        <f t="shared" si="795"/>
        <v>0</v>
      </c>
      <c r="DI547" s="40">
        <f t="shared" si="796"/>
        <v>0</v>
      </c>
      <c r="DJ547" s="40">
        <f t="shared" si="797"/>
        <v>0</v>
      </c>
      <c r="DK547" s="39">
        <f t="shared" si="798"/>
        <v>0</v>
      </c>
      <c r="DL547" s="40">
        <f t="shared" si="799"/>
        <v>0</v>
      </c>
      <c r="DM547" s="40">
        <f t="shared" si="800"/>
        <v>0</v>
      </c>
      <c r="DN547" s="40">
        <f t="shared" si="801"/>
        <v>0</v>
      </c>
      <c r="DO547" s="40">
        <f t="shared" si="802"/>
        <v>0</v>
      </c>
      <c r="DP547" s="40">
        <f t="shared" si="803"/>
        <v>0</v>
      </c>
      <c r="DQ547" s="40">
        <f t="shared" si="804"/>
        <v>0</v>
      </c>
      <c r="DR547" s="40">
        <f t="shared" si="747"/>
        <v>0</v>
      </c>
      <c r="DS547" s="40">
        <f t="shared" si="748"/>
        <v>0</v>
      </c>
      <c r="DT547" s="40">
        <f t="shared" si="805"/>
        <v>0</v>
      </c>
      <c r="DU547" s="40">
        <f t="shared" si="806"/>
        <v>0</v>
      </c>
      <c r="DV547" s="40">
        <f t="shared" si="807"/>
        <v>0</v>
      </c>
      <c r="DW547" s="40">
        <f t="shared" si="808"/>
        <v>0</v>
      </c>
    </row>
    <row r="548" spans="1:127">
      <c r="A548" s="22" t="s">
        <v>44</v>
      </c>
      <c r="B548" s="26">
        <v>4987176077172</v>
      </c>
      <c r="C548" s="22" t="s">
        <v>44</v>
      </c>
      <c r="D548" s="22" t="s">
        <v>47</v>
      </c>
      <c r="E548" s="22">
        <v>132688</v>
      </c>
      <c r="F548" s="80" t="s">
        <v>635</v>
      </c>
      <c r="G548" s="25">
        <v>406.28500000000003</v>
      </c>
      <c r="H548" s="38">
        <f t="shared" si="753"/>
        <v>9344.5550000000003</v>
      </c>
      <c r="I548" s="38">
        <f t="shared" si="754"/>
        <v>6906.8450000000003</v>
      </c>
      <c r="J548" s="38">
        <f t="shared" si="755"/>
        <v>2843.9950000000003</v>
      </c>
      <c r="K548" s="38">
        <f t="shared" si="756"/>
        <v>3250.28</v>
      </c>
      <c r="L548" s="38">
        <f t="shared" si="757"/>
        <v>2031.4250000000002</v>
      </c>
      <c r="M548" s="39">
        <f t="shared" si="758"/>
        <v>1218.855</v>
      </c>
      <c r="N548" s="40">
        <f t="shared" si="759"/>
        <v>0</v>
      </c>
      <c r="O548" s="40">
        <f t="shared" si="760"/>
        <v>0</v>
      </c>
      <c r="P548" s="40">
        <f t="shared" si="761"/>
        <v>0</v>
      </c>
      <c r="Q548" s="40">
        <f t="shared" si="762"/>
        <v>0</v>
      </c>
      <c r="R548" s="40">
        <f t="shared" si="763"/>
        <v>0</v>
      </c>
      <c r="S548" s="40">
        <f t="shared" si="764"/>
        <v>0</v>
      </c>
      <c r="T548" s="40">
        <f t="shared" si="765"/>
        <v>0</v>
      </c>
      <c r="U548" s="40">
        <f t="shared" si="766"/>
        <v>0</v>
      </c>
      <c r="V548" s="40">
        <f t="shared" si="767"/>
        <v>0</v>
      </c>
      <c r="W548" s="40">
        <f t="shared" si="768"/>
        <v>0</v>
      </c>
      <c r="X548" s="40">
        <f t="shared" si="769"/>
        <v>0</v>
      </c>
      <c r="Y548" s="39">
        <f t="shared" si="770"/>
        <v>0</v>
      </c>
      <c r="Z548" s="40">
        <f t="shared" si="771"/>
        <v>0</v>
      </c>
      <c r="AA548" s="40">
        <f t="shared" si="772"/>
        <v>0</v>
      </c>
      <c r="AB548" s="40">
        <f t="shared" si="773"/>
        <v>0</v>
      </c>
      <c r="AC548" s="40">
        <f t="shared" si="774"/>
        <v>0</v>
      </c>
      <c r="AD548" s="40">
        <f t="shared" si="775"/>
        <v>0</v>
      </c>
      <c r="AE548" s="40">
        <f t="shared" si="776"/>
        <v>0</v>
      </c>
      <c r="AF548" s="40">
        <f t="shared" si="777"/>
        <v>0</v>
      </c>
      <c r="AG548" s="40">
        <f t="shared" si="778"/>
        <v>0</v>
      </c>
      <c r="AH548" s="40">
        <f t="shared" si="749"/>
        <v>0</v>
      </c>
      <c r="AI548" s="40">
        <f t="shared" si="750"/>
        <v>0</v>
      </c>
      <c r="AJ548" s="40">
        <f t="shared" si="751"/>
        <v>0</v>
      </c>
      <c r="AK548" s="39">
        <f t="shared" si="752"/>
        <v>0</v>
      </c>
      <c r="AL548" s="38">
        <v>10</v>
      </c>
      <c r="AM548" s="38">
        <v>13</v>
      </c>
      <c r="AN548" s="38">
        <v>7</v>
      </c>
      <c r="AO548" s="38">
        <v>8</v>
      </c>
      <c r="AP548" s="38">
        <v>5</v>
      </c>
      <c r="AQ548" s="39">
        <v>3</v>
      </c>
      <c r="AR548" s="40">
        <v>0</v>
      </c>
      <c r="AS548" s="40">
        <v>0</v>
      </c>
      <c r="AT548" s="40">
        <v>0</v>
      </c>
      <c r="AU548" s="40">
        <v>0</v>
      </c>
      <c r="AV548" s="40">
        <v>0</v>
      </c>
      <c r="AW548" s="40">
        <v>0</v>
      </c>
      <c r="AX548" s="40">
        <v>0</v>
      </c>
      <c r="AY548" s="40">
        <v>0</v>
      </c>
      <c r="AZ548" s="40">
        <v>0</v>
      </c>
      <c r="BA548" s="40">
        <v>0</v>
      </c>
      <c r="BB548" s="40">
        <v>0</v>
      </c>
      <c r="BC548" s="39">
        <v>0</v>
      </c>
      <c r="BD548" s="40">
        <v>0</v>
      </c>
      <c r="BE548" s="40">
        <v>0</v>
      </c>
      <c r="BF548" s="40">
        <v>0</v>
      </c>
      <c r="BG548" s="40">
        <v>0</v>
      </c>
      <c r="BH548" s="40">
        <v>0</v>
      </c>
      <c r="BI548" s="40">
        <v>0</v>
      </c>
      <c r="BJ548" s="40">
        <v>0</v>
      </c>
      <c r="BK548" s="40">
        <v>0</v>
      </c>
      <c r="BL548" s="40">
        <v>0</v>
      </c>
      <c r="BM548" s="40">
        <v>0</v>
      </c>
      <c r="BN548" s="40"/>
      <c r="BO548" s="39"/>
      <c r="BP548" s="21">
        <v>13</v>
      </c>
      <c r="BQ548" s="21">
        <v>4</v>
      </c>
      <c r="BR548" s="21">
        <v>0</v>
      </c>
      <c r="BS548" s="21">
        <v>0</v>
      </c>
      <c r="BT548" s="21">
        <v>0</v>
      </c>
      <c r="BU548" s="42">
        <v>0</v>
      </c>
      <c r="BV548" s="21">
        <v>0</v>
      </c>
      <c r="BW548" s="21">
        <v>0</v>
      </c>
      <c r="BX548" s="21">
        <v>0</v>
      </c>
      <c r="BY548" s="21">
        <v>0</v>
      </c>
      <c r="BZ548" s="21">
        <v>0</v>
      </c>
      <c r="CA548" s="21">
        <v>0</v>
      </c>
      <c r="CB548" s="21">
        <v>0</v>
      </c>
      <c r="CC548" s="21">
        <v>0</v>
      </c>
      <c r="CD548" s="21">
        <v>0</v>
      </c>
      <c r="CE548" s="21">
        <v>0</v>
      </c>
      <c r="CF548" s="21">
        <v>0</v>
      </c>
      <c r="CG548" s="42">
        <v>0</v>
      </c>
      <c r="CH548" s="21">
        <v>0</v>
      </c>
      <c r="CI548" s="21">
        <v>0</v>
      </c>
      <c r="CJ548" s="21">
        <v>0</v>
      </c>
      <c r="CK548" s="21">
        <v>0</v>
      </c>
      <c r="CL548" s="21">
        <v>0</v>
      </c>
      <c r="CM548" s="21">
        <v>0</v>
      </c>
      <c r="CN548" s="21">
        <v>0</v>
      </c>
      <c r="CO548" s="21">
        <v>0</v>
      </c>
      <c r="CP548" s="21">
        <f t="shared" si="779"/>
        <v>0</v>
      </c>
      <c r="CQ548" s="343">
        <f t="shared" si="780"/>
        <v>0</v>
      </c>
      <c r="CR548" s="40"/>
      <c r="CS548" s="39"/>
      <c r="CT548" s="38">
        <f t="shared" si="781"/>
        <v>23</v>
      </c>
      <c r="CU548" s="38">
        <f t="shared" si="782"/>
        <v>17</v>
      </c>
      <c r="CV548" s="38">
        <f t="shared" si="783"/>
        <v>7</v>
      </c>
      <c r="CW548" s="38">
        <f t="shared" si="784"/>
        <v>8</v>
      </c>
      <c r="CX548" s="38">
        <f t="shared" si="785"/>
        <v>5</v>
      </c>
      <c r="CY548" s="39">
        <f t="shared" si="786"/>
        <v>3</v>
      </c>
      <c r="CZ548" s="40">
        <f t="shared" si="787"/>
        <v>0</v>
      </c>
      <c r="DA548" s="40">
        <f t="shared" si="788"/>
        <v>0</v>
      </c>
      <c r="DB548" s="40">
        <f t="shared" si="789"/>
        <v>0</v>
      </c>
      <c r="DC548" s="40">
        <f t="shared" si="790"/>
        <v>0</v>
      </c>
      <c r="DD548" s="40">
        <f t="shared" si="791"/>
        <v>0</v>
      </c>
      <c r="DE548" s="40">
        <f t="shared" si="792"/>
        <v>0</v>
      </c>
      <c r="DF548" s="40">
        <f t="shared" si="793"/>
        <v>0</v>
      </c>
      <c r="DG548" s="40">
        <f t="shared" si="794"/>
        <v>0</v>
      </c>
      <c r="DH548" s="40">
        <f t="shared" si="795"/>
        <v>0</v>
      </c>
      <c r="DI548" s="40">
        <f t="shared" si="796"/>
        <v>0</v>
      </c>
      <c r="DJ548" s="40">
        <f t="shared" si="797"/>
        <v>0</v>
      </c>
      <c r="DK548" s="39">
        <f t="shared" si="798"/>
        <v>0</v>
      </c>
      <c r="DL548" s="40">
        <f t="shared" si="799"/>
        <v>0</v>
      </c>
      <c r="DM548" s="40">
        <f t="shared" si="800"/>
        <v>0</v>
      </c>
      <c r="DN548" s="40">
        <f t="shared" si="801"/>
        <v>0</v>
      </c>
      <c r="DO548" s="40">
        <f t="shared" si="802"/>
        <v>0</v>
      </c>
      <c r="DP548" s="40">
        <f t="shared" si="803"/>
        <v>0</v>
      </c>
      <c r="DQ548" s="40">
        <f t="shared" si="804"/>
        <v>0</v>
      </c>
      <c r="DR548" s="40">
        <f t="shared" si="747"/>
        <v>0</v>
      </c>
      <c r="DS548" s="40">
        <f t="shared" si="748"/>
        <v>0</v>
      </c>
      <c r="DT548" s="40">
        <f t="shared" si="805"/>
        <v>0</v>
      </c>
      <c r="DU548" s="40">
        <f t="shared" si="806"/>
        <v>0</v>
      </c>
      <c r="DV548" s="40">
        <f t="shared" si="807"/>
        <v>0</v>
      </c>
      <c r="DW548" s="40">
        <f t="shared" si="808"/>
        <v>0</v>
      </c>
    </row>
    <row r="549" spans="1:127">
      <c r="A549" s="22" t="s">
        <v>44</v>
      </c>
      <c r="B549" s="26">
        <v>4987176077219</v>
      </c>
      <c r="C549" s="22" t="s">
        <v>44</v>
      </c>
      <c r="D549" s="22" t="s">
        <v>47</v>
      </c>
      <c r="E549" s="22">
        <v>132619</v>
      </c>
      <c r="F549" s="80" t="s">
        <v>636</v>
      </c>
      <c r="G549" s="25">
        <v>426.85750000000002</v>
      </c>
      <c r="H549" s="38">
        <f t="shared" si="753"/>
        <v>9817.7224999999999</v>
      </c>
      <c r="I549" s="38">
        <f t="shared" si="754"/>
        <v>9817.7224999999999</v>
      </c>
      <c r="J549" s="38">
        <f t="shared" si="755"/>
        <v>7256.5775000000003</v>
      </c>
      <c r="K549" s="38">
        <f t="shared" si="756"/>
        <v>5976.0050000000001</v>
      </c>
      <c r="L549" s="38">
        <f t="shared" si="757"/>
        <v>11098.295</v>
      </c>
      <c r="M549" s="39">
        <f t="shared" si="758"/>
        <v>10671.4375</v>
      </c>
      <c r="N549" s="40">
        <f t="shared" si="759"/>
        <v>11525.1525</v>
      </c>
      <c r="O549" s="40">
        <f t="shared" si="760"/>
        <v>18354.872500000001</v>
      </c>
      <c r="P549" s="40">
        <f t="shared" si="761"/>
        <v>3414.86</v>
      </c>
      <c r="Q549" s="40">
        <f t="shared" si="762"/>
        <v>11952.01</v>
      </c>
      <c r="R549" s="40">
        <f t="shared" si="763"/>
        <v>14940.012500000001</v>
      </c>
      <c r="S549" s="40">
        <f t="shared" si="764"/>
        <v>6829.72</v>
      </c>
      <c r="T549" s="40">
        <f t="shared" si="765"/>
        <v>19208.587500000001</v>
      </c>
      <c r="U549" s="40">
        <f t="shared" si="766"/>
        <v>32441.170000000002</v>
      </c>
      <c r="V549" s="40">
        <f t="shared" si="767"/>
        <v>6829.72</v>
      </c>
      <c r="W549" s="40">
        <f t="shared" si="768"/>
        <v>10671.4375</v>
      </c>
      <c r="X549" s="40">
        <f t="shared" si="769"/>
        <v>4695.4324999999999</v>
      </c>
      <c r="Y549" s="39">
        <f t="shared" si="770"/>
        <v>4268.5749999999998</v>
      </c>
      <c r="Z549" s="40">
        <f t="shared" si="771"/>
        <v>8537.15</v>
      </c>
      <c r="AA549" s="40">
        <f t="shared" si="772"/>
        <v>13232.5825</v>
      </c>
      <c r="AB549" s="40">
        <f t="shared" si="773"/>
        <v>26465.165000000001</v>
      </c>
      <c r="AC549" s="40">
        <f t="shared" si="774"/>
        <v>5122.29</v>
      </c>
      <c r="AD549" s="40">
        <f t="shared" si="775"/>
        <v>1707.43</v>
      </c>
      <c r="AE549" s="40">
        <f t="shared" si="776"/>
        <v>2134.2874999999999</v>
      </c>
      <c r="AF549" s="40">
        <f t="shared" si="777"/>
        <v>1280.5725</v>
      </c>
      <c r="AG549" s="40">
        <f t="shared" si="778"/>
        <v>853.71500000000003</v>
      </c>
      <c r="AH549" s="40">
        <f t="shared" si="749"/>
        <v>853.71500000000003</v>
      </c>
      <c r="AI549" s="40">
        <f t="shared" si="750"/>
        <v>4742.8611111111113</v>
      </c>
      <c r="AJ549" s="40">
        <f t="shared" si="751"/>
        <v>0</v>
      </c>
      <c r="AK549" s="39">
        <f t="shared" si="752"/>
        <v>0</v>
      </c>
      <c r="AL549" s="38">
        <v>19</v>
      </c>
      <c r="AM549" s="38">
        <v>16</v>
      </c>
      <c r="AN549" s="38">
        <v>13</v>
      </c>
      <c r="AO549" s="38">
        <v>12</v>
      </c>
      <c r="AP549" s="38">
        <v>19</v>
      </c>
      <c r="AQ549" s="39">
        <v>16</v>
      </c>
      <c r="AR549" s="40">
        <v>26</v>
      </c>
      <c r="AS549" s="40">
        <v>25</v>
      </c>
      <c r="AT549" s="40">
        <v>6</v>
      </c>
      <c r="AU549" s="40">
        <v>15</v>
      </c>
      <c r="AV549" s="40">
        <v>21</v>
      </c>
      <c r="AW549" s="40">
        <v>12</v>
      </c>
      <c r="AX549" s="40">
        <v>12</v>
      </c>
      <c r="AY549" s="40">
        <v>12</v>
      </c>
      <c r="AZ549" s="40">
        <v>10</v>
      </c>
      <c r="BA549" s="40">
        <v>13</v>
      </c>
      <c r="BB549" s="40">
        <v>8</v>
      </c>
      <c r="BC549" s="39">
        <v>7</v>
      </c>
      <c r="BD549" s="40">
        <v>14</v>
      </c>
      <c r="BE549" s="40">
        <v>27</v>
      </c>
      <c r="BF549" s="40">
        <v>0</v>
      </c>
      <c r="BG549" s="40">
        <v>0</v>
      </c>
      <c r="BH549" s="40">
        <v>0</v>
      </c>
      <c r="BI549" s="40">
        <v>0</v>
      </c>
      <c r="BJ549" s="40">
        <v>0</v>
      </c>
      <c r="BK549" s="40">
        <v>0</v>
      </c>
      <c r="BL549" s="40">
        <v>0</v>
      </c>
      <c r="BM549" s="40">
        <v>0</v>
      </c>
      <c r="BN549" s="40"/>
      <c r="BO549" s="39"/>
      <c r="BP549" s="21">
        <v>4</v>
      </c>
      <c r="BQ549" s="21">
        <v>7</v>
      </c>
      <c r="BR549" s="21">
        <v>4</v>
      </c>
      <c r="BS549" s="21">
        <v>2</v>
      </c>
      <c r="BT549" s="21">
        <v>7</v>
      </c>
      <c r="BU549" s="42">
        <v>9</v>
      </c>
      <c r="BV549" s="21">
        <v>1</v>
      </c>
      <c r="BW549" s="21">
        <v>18</v>
      </c>
      <c r="BX549" s="21">
        <v>2</v>
      </c>
      <c r="BY549" s="21">
        <v>13</v>
      </c>
      <c r="BZ549" s="21">
        <v>14</v>
      </c>
      <c r="CA549" s="21">
        <v>4</v>
      </c>
      <c r="CB549" s="21">
        <v>33</v>
      </c>
      <c r="CC549" s="21">
        <v>64</v>
      </c>
      <c r="CD549" s="21">
        <v>6</v>
      </c>
      <c r="CE549" s="21">
        <v>12</v>
      </c>
      <c r="CF549" s="21">
        <v>3</v>
      </c>
      <c r="CG549" s="42">
        <v>3</v>
      </c>
      <c r="CH549" s="21">
        <v>6</v>
      </c>
      <c r="CI549" s="21">
        <v>4</v>
      </c>
      <c r="CJ549" s="21">
        <v>62</v>
      </c>
      <c r="CK549" s="21">
        <v>12</v>
      </c>
      <c r="CL549" s="21">
        <v>4</v>
      </c>
      <c r="CM549" s="21">
        <v>5</v>
      </c>
      <c r="CN549" s="21">
        <v>3</v>
      </c>
      <c r="CO549" s="21">
        <v>2</v>
      </c>
      <c r="CP549" s="21">
        <f t="shared" si="779"/>
        <v>2</v>
      </c>
      <c r="CQ549" s="343">
        <f t="shared" si="780"/>
        <v>11.111111111111111</v>
      </c>
      <c r="CR549" s="40"/>
      <c r="CS549" s="39"/>
      <c r="CT549" s="38">
        <f t="shared" si="781"/>
        <v>23</v>
      </c>
      <c r="CU549" s="38">
        <f t="shared" si="782"/>
        <v>23</v>
      </c>
      <c r="CV549" s="38">
        <f t="shared" si="783"/>
        <v>17</v>
      </c>
      <c r="CW549" s="38">
        <f t="shared" si="784"/>
        <v>14</v>
      </c>
      <c r="CX549" s="38">
        <f t="shared" si="785"/>
        <v>26</v>
      </c>
      <c r="CY549" s="39">
        <f t="shared" si="786"/>
        <v>25</v>
      </c>
      <c r="CZ549" s="40">
        <f t="shared" si="787"/>
        <v>27</v>
      </c>
      <c r="DA549" s="40">
        <f t="shared" si="788"/>
        <v>43</v>
      </c>
      <c r="DB549" s="40">
        <f t="shared" si="789"/>
        <v>8</v>
      </c>
      <c r="DC549" s="40">
        <f t="shared" si="790"/>
        <v>28</v>
      </c>
      <c r="DD549" s="40">
        <f t="shared" si="791"/>
        <v>35</v>
      </c>
      <c r="DE549" s="40">
        <f t="shared" si="792"/>
        <v>16</v>
      </c>
      <c r="DF549" s="40">
        <f t="shared" si="793"/>
        <v>45</v>
      </c>
      <c r="DG549" s="40">
        <f t="shared" si="794"/>
        <v>76</v>
      </c>
      <c r="DH549" s="40">
        <f t="shared" si="795"/>
        <v>16</v>
      </c>
      <c r="DI549" s="40">
        <f t="shared" si="796"/>
        <v>25</v>
      </c>
      <c r="DJ549" s="40">
        <f t="shared" si="797"/>
        <v>11</v>
      </c>
      <c r="DK549" s="39">
        <f t="shared" si="798"/>
        <v>10</v>
      </c>
      <c r="DL549" s="40">
        <f t="shared" si="799"/>
        <v>20</v>
      </c>
      <c r="DM549" s="40">
        <f t="shared" si="800"/>
        <v>31</v>
      </c>
      <c r="DN549" s="40">
        <f t="shared" si="801"/>
        <v>62</v>
      </c>
      <c r="DO549" s="40">
        <f t="shared" si="802"/>
        <v>12</v>
      </c>
      <c r="DP549" s="40">
        <f t="shared" si="803"/>
        <v>4</v>
      </c>
      <c r="DQ549" s="40">
        <f t="shared" si="804"/>
        <v>5</v>
      </c>
      <c r="DR549" s="40">
        <f t="shared" si="747"/>
        <v>3</v>
      </c>
      <c r="DS549" s="40">
        <f t="shared" si="748"/>
        <v>2</v>
      </c>
      <c r="DT549" s="40">
        <f t="shared" si="805"/>
        <v>2</v>
      </c>
      <c r="DU549" s="40">
        <f t="shared" si="806"/>
        <v>11.111111111111111</v>
      </c>
      <c r="DV549" s="40">
        <f t="shared" si="807"/>
        <v>0</v>
      </c>
      <c r="DW549" s="40">
        <f t="shared" si="808"/>
        <v>0</v>
      </c>
    </row>
    <row r="550" spans="1:127">
      <c r="A550" s="22" t="s">
        <v>44</v>
      </c>
      <c r="B550" s="26">
        <v>6903148358009</v>
      </c>
      <c r="C550" s="22" t="s">
        <v>44</v>
      </c>
      <c r="D550" s="22" t="s">
        <v>45</v>
      </c>
      <c r="E550" s="22">
        <v>255284</v>
      </c>
      <c r="F550" s="80" t="s">
        <v>637</v>
      </c>
      <c r="G550" s="25">
        <v>398.87</v>
      </c>
      <c r="H550" s="38">
        <f t="shared" si="753"/>
        <v>0</v>
      </c>
      <c r="I550" s="38">
        <f t="shared" si="754"/>
        <v>0</v>
      </c>
      <c r="J550" s="38">
        <f t="shared" si="755"/>
        <v>0</v>
      </c>
      <c r="K550" s="38">
        <f t="shared" si="756"/>
        <v>0</v>
      </c>
      <c r="L550" s="38">
        <f t="shared" si="757"/>
        <v>0</v>
      </c>
      <c r="M550" s="39">
        <f t="shared" si="758"/>
        <v>0</v>
      </c>
      <c r="N550" s="40">
        <f t="shared" si="759"/>
        <v>0</v>
      </c>
      <c r="O550" s="40">
        <f t="shared" si="760"/>
        <v>0</v>
      </c>
      <c r="P550" s="40">
        <f t="shared" si="761"/>
        <v>0</v>
      </c>
      <c r="Q550" s="40">
        <f t="shared" si="762"/>
        <v>0</v>
      </c>
      <c r="R550" s="40">
        <f t="shared" si="763"/>
        <v>5584.18</v>
      </c>
      <c r="S550" s="40">
        <f t="shared" si="764"/>
        <v>13162.710000000001</v>
      </c>
      <c r="T550" s="40">
        <f t="shared" si="765"/>
        <v>17151.41</v>
      </c>
      <c r="U550" s="40">
        <f t="shared" si="766"/>
        <v>22735.59</v>
      </c>
      <c r="V550" s="40">
        <f t="shared" si="767"/>
        <v>10769.49</v>
      </c>
      <c r="W550" s="40">
        <f t="shared" si="768"/>
        <v>8376.27</v>
      </c>
      <c r="X550" s="40">
        <f t="shared" si="769"/>
        <v>7977.4</v>
      </c>
      <c r="Y550" s="39">
        <f t="shared" si="770"/>
        <v>10769.49</v>
      </c>
      <c r="Z550" s="40">
        <f t="shared" si="771"/>
        <v>5983.05</v>
      </c>
      <c r="AA550" s="40">
        <f t="shared" si="772"/>
        <v>17949.150000000001</v>
      </c>
      <c r="AB550" s="40">
        <f t="shared" si="773"/>
        <v>5584.18</v>
      </c>
      <c r="AC550" s="40">
        <f t="shared" si="774"/>
        <v>9174.01</v>
      </c>
      <c r="AD550" s="40">
        <f t="shared" si="775"/>
        <v>11168.36</v>
      </c>
      <c r="AE550" s="40">
        <f t="shared" si="776"/>
        <v>1994.35</v>
      </c>
      <c r="AF550" s="40">
        <f t="shared" si="777"/>
        <v>797.74</v>
      </c>
      <c r="AG550" s="40">
        <f t="shared" si="778"/>
        <v>0</v>
      </c>
      <c r="AH550" s="40">
        <f t="shared" si="749"/>
        <v>0</v>
      </c>
      <c r="AI550" s="40">
        <f t="shared" si="750"/>
        <v>5406.9044444444444</v>
      </c>
      <c r="AJ550" s="40">
        <f t="shared" si="751"/>
        <v>0</v>
      </c>
      <c r="AK550" s="39">
        <f t="shared" si="752"/>
        <v>0</v>
      </c>
      <c r="AL550" s="38">
        <v>0</v>
      </c>
      <c r="AM550" s="38">
        <v>0</v>
      </c>
      <c r="AN550" s="38">
        <v>0</v>
      </c>
      <c r="AO550" s="38">
        <v>0</v>
      </c>
      <c r="AP550" s="38">
        <v>0</v>
      </c>
      <c r="AQ550" s="39">
        <v>0</v>
      </c>
      <c r="AR550" s="40">
        <v>0</v>
      </c>
      <c r="AS550" s="40">
        <v>0</v>
      </c>
      <c r="AT550" s="40">
        <v>0</v>
      </c>
      <c r="AU550" s="40">
        <v>0</v>
      </c>
      <c r="AV550" s="40">
        <v>0</v>
      </c>
      <c r="AW550" s="40">
        <v>3</v>
      </c>
      <c r="AX550" s="40">
        <v>13</v>
      </c>
      <c r="AY550" s="40">
        <v>5</v>
      </c>
      <c r="AZ550" s="40">
        <v>10</v>
      </c>
      <c r="BA550" s="40">
        <v>7</v>
      </c>
      <c r="BB550" s="40">
        <v>4</v>
      </c>
      <c r="BC550" s="39">
        <v>0</v>
      </c>
      <c r="BD550" s="40">
        <v>3</v>
      </c>
      <c r="BE550" s="40">
        <v>15</v>
      </c>
      <c r="BF550" s="40">
        <v>0</v>
      </c>
      <c r="BG550" s="40">
        <v>0</v>
      </c>
      <c r="BH550" s="40">
        <v>0</v>
      </c>
      <c r="BI550" s="40">
        <v>1</v>
      </c>
      <c r="BJ550" s="40">
        <v>0</v>
      </c>
      <c r="BK550" s="40">
        <v>0</v>
      </c>
      <c r="BL550" s="40">
        <v>0</v>
      </c>
      <c r="BM550" s="40">
        <v>1</v>
      </c>
      <c r="BN550" s="40"/>
      <c r="BO550" s="39"/>
      <c r="BP550" s="21">
        <v>0</v>
      </c>
      <c r="BQ550" s="21">
        <v>0</v>
      </c>
      <c r="BR550" s="21">
        <v>0</v>
      </c>
      <c r="BS550" s="21">
        <v>0</v>
      </c>
      <c r="BT550" s="21">
        <v>0</v>
      </c>
      <c r="BU550" s="42">
        <v>0</v>
      </c>
      <c r="BV550" s="21">
        <v>0</v>
      </c>
      <c r="BW550" s="21">
        <v>0</v>
      </c>
      <c r="BX550" s="21">
        <v>0</v>
      </c>
      <c r="BY550" s="21">
        <v>0</v>
      </c>
      <c r="BZ550" s="21">
        <v>14</v>
      </c>
      <c r="CA550" s="21">
        <v>30</v>
      </c>
      <c r="CB550" s="21">
        <v>30</v>
      </c>
      <c r="CC550" s="21">
        <v>52</v>
      </c>
      <c r="CD550" s="21">
        <v>17</v>
      </c>
      <c r="CE550" s="21">
        <v>14</v>
      </c>
      <c r="CF550" s="21">
        <v>16</v>
      </c>
      <c r="CG550" s="42">
        <v>27</v>
      </c>
      <c r="CH550" s="21">
        <v>12</v>
      </c>
      <c r="CI550" s="21">
        <v>30</v>
      </c>
      <c r="CJ550" s="21">
        <v>14</v>
      </c>
      <c r="CK550" s="21">
        <v>23</v>
      </c>
      <c r="CL550" s="21">
        <v>28</v>
      </c>
      <c r="CM550" s="21">
        <v>4</v>
      </c>
      <c r="CN550" s="21">
        <v>2</v>
      </c>
      <c r="CO550" s="21">
        <v>0</v>
      </c>
      <c r="CP550" s="21">
        <f t="shared" si="779"/>
        <v>0</v>
      </c>
      <c r="CQ550" s="343">
        <f t="shared" si="780"/>
        <v>12.555555555555555</v>
      </c>
      <c r="CR550" s="40"/>
      <c r="CS550" s="39"/>
      <c r="CT550" s="38">
        <f t="shared" si="781"/>
        <v>0</v>
      </c>
      <c r="CU550" s="38">
        <f t="shared" si="782"/>
        <v>0</v>
      </c>
      <c r="CV550" s="38">
        <f t="shared" si="783"/>
        <v>0</v>
      </c>
      <c r="CW550" s="38">
        <f t="shared" si="784"/>
        <v>0</v>
      </c>
      <c r="CX550" s="38">
        <f t="shared" si="785"/>
        <v>0</v>
      </c>
      <c r="CY550" s="39">
        <f t="shared" si="786"/>
        <v>0</v>
      </c>
      <c r="CZ550" s="40">
        <f t="shared" si="787"/>
        <v>0</v>
      </c>
      <c r="DA550" s="40">
        <f t="shared" si="788"/>
        <v>0</v>
      </c>
      <c r="DB550" s="40">
        <f t="shared" si="789"/>
        <v>0</v>
      </c>
      <c r="DC550" s="40">
        <f t="shared" si="790"/>
        <v>0</v>
      </c>
      <c r="DD550" s="40">
        <f t="shared" si="791"/>
        <v>14</v>
      </c>
      <c r="DE550" s="40">
        <f t="shared" si="792"/>
        <v>33</v>
      </c>
      <c r="DF550" s="40">
        <f t="shared" si="793"/>
        <v>43</v>
      </c>
      <c r="DG550" s="40">
        <f t="shared" si="794"/>
        <v>57</v>
      </c>
      <c r="DH550" s="40">
        <f t="shared" si="795"/>
        <v>27</v>
      </c>
      <c r="DI550" s="40">
        <f t="shared" si="796"/>
        <v>21</v>
      </c>
      <c r="DJ550" s="40">
        <f t="shared" si="797"/>
        <v>20</v>
      </c>
      <c r="DK550" s="39">
        <f t="shared" si="798"/>
        <v>27</v>
      </c>
      <c r="DL550" s="40">
        <f t="shared" si="799"/>
        <v>15</v>
      </c>
      <c r="DM550" s="40">
        <f t="shared" si="800"/>
        <v>45</v>
      </c>
      <c r="DN550" s="40">
        <f t="shared" si="801"/>
        <v>14</v>
      </c>
      <c r="DO550" s="40">
        <f t="shared" si="802"/>
        <v>23</v>
      </c>
      <c r="DP550" s="40">
        <f t="shared" si="803"/>
        <v>28</v>
      </c>
      <c r="DQ550" s="40">
        <f t="shared" si="804"/>
        <v>5</v>
      </c>
      <c r="DR550" s="40">
        <f t="shared" si="747"/>
        <v>2</v>
      </c>
      <c r="DS550" s="40">
        <f t="shared" si="748"/>
        <v>0</v>
      </c>
      <c r="DT550" s="40">
        <f t="shared" si="805"/>
        <v>0</v>
      </c>
      <c r="DU550" s="40">
        <f t="shared" si="806"/>
        <v>13.555555555555555</v>
      </c>
      <c r="DV550" s="40">
        <f t="shared" si="807"/>
        <v>0</v>
      </c>
      <c r="DW550" s="40">
        <f t="shared" si="808"/>
        <v>0</v>
      </c>
    </row>
    <row r="551" spans="1:127">
      <c r="A551" s="22" t="s">
        <v>44</v>
      </c>
      <c r="B551" s="26">
        <v>6903148358115</v>
      </c>
      <c r="C551" s="22" t="s">
        <v>44</v>
      </c>
      <c r="D551" s="22" t="s">
        <v>45</v>
      </c>
      <c r="E551" s="22">
        <v>255493</v>
      </c>
      <c r="F551" s="80" t="s">
        <v>638</v>
      </c>
      <c r="G551" s="25">
        <v>480.77</v>
      </c>
      <c r="H551" s="38">
        <f t="shared" si="753"/>
        <v>0</v>
      </c>
      <c r="I551" s="38">
        <f t="shared" si="754"/>
        <v>0</v>
      </c>
      <c r="J551" s="38">
        <f t="shared" si="755"/>
        <v>0</v>
      </c>
      <c r="K551" s="38">
        <f t="shared" si="756"/>
        <v>0</v>
      </c>
      <c r="L551" s="38">
        <f t="shared" si="757"/>
        <v>0</v>
      </c>
      <c r="M551" s="39">
        <f t="shared" si="758"/>
        <v>0</v>
      </c>
      <c r="N551" s="40">
        <f t="shared" si="759"/>
        <v>0</v>
      </c>
      <c r="O551" s="40">
        <f t="shared" si="760"/>
        <v>0</v>
      </c>
      <c r="P551" s="40">
        <f t="shared" si="761"/>
        <v>0</v>
      </c>
      <c r="Q551" s="40">
        <f t="shared" si="762"/>
        <v>0</v>
      </c>
      <c r="R551" s="40">
        <f t="shared" si="763"/>
        <v>13942.33</v>
      </c>
      <c r="S551" s="40">
        <f t="shared" si="764"/>
        <v>14903.869999999999</v>
      </c>
      <c r="T551" s="40">
        <f t="shared" si="765"/>
        <v>27884.66</v>
      </c>
      <c r="U551" s="40">
        <f t="shared" si="766"/>
        <v>43269.299999999996</v>
      </c>
      <c r="V551" s="40">
        <f t="shared" si="767"/>
        <v>14903.869999999999</v>
      </c>
      <c r="W551" s="40">
        <f t="shared" si="768"/>
        <v>13461.56</v>
      </c>
      <c r="X551" s="40">
        <f t="shared" si="769"/>
        <v>23076.959999999999</v>
      </c>
      <c r="Y551" s="39">
        <f t="shared" si="770"/>
        <v>29807.739999999998</v>
      </c>
      <c r="Z551" s="40">
        <f t="shared" si="771"/>
        <v>14423.099999999999</v>
      </c>
      <c r="AA551" s="40">
        <f t="shared" si="772"/>
        <v>25480.809999999998</v>
      </c>
      <c r="AB551" s="40">
        <f t="shared" si="773"/>
        <v>11057.71</v>
      </c>
      <c r="AC551" s="40">
        <f t="shared" si="774"/>
        <v>5769.24</v>
      </c>
      <c r="AD551" s="40">
        <f t="shared" si="775"/>
        <v>6250.01</v>
      </c>
      <c r="AE551" s="40">
        <f t="shared" si="776"/>
        <v>1442.31</v>
      </c>
      <c r="AF551" s="40">
        <f t="shared" si="777"/>
        <v>480.77</v>
      </c>
      <c r="AG551" s="40">
        <f t="shared" si="778"/>
        <v>480.77</v>
      </c>
      <c r="AH551" s="40">
        <f t="shared" si="749"/>
        <v>480.77</v>
      </c>
      <c r="AI551" s="40">
        <f t="shared" si="750"/>
        <v>6463.6855555555558</v>
      </c>
      <c r="AJ551" s="40">
        <f t="shared" si="751"/>
        <v>0</v>
      </c>
      <c r="AK551" s="39">
        <f t="shared" si="752"/>
        <v>0</v>
      </c>
      <c r="AL551" s="38">
        <v>0</v>
      </c>
      <c r="AM551" s="38">
        <v>0</v>
      </c>
      <c r="AN551" s="38">
        <v>0</v>
      </c>
      <c r="AO551" s="38">
        <v>0</v>
      </c>
      <c r="AP551" s="38">
        <v>0</v>
      </c>
      <c r="AQ551" s="39">
        <v>0</v>
      </c>
      <c r="AR551" s="40">
        <v>0</v>
      </c>
      <c r="AS551" s="40">
        <v>0</v>
      </c>
      <c r="AT551" s="40">
        <v>0</v>
      </c>
      <c r="AU551" s="40">
        <v>0</v>
      </c>
      <c r="AV551" s="40">
        <v>0</v>
      </c>
      <c r="AW551" s="40">
        <v>4</v>
      </c>
      <c r="AX551" s="40">
        <v>9</v>
      </c>
      <c r="AY551" s="40">
        <v>7</v>
      </c>
      <c r="AZ551" s="40">
        <v>6</v>
      </c>
      <c r="BA551" s="40">
        <v>9</v>
      </c>
      <c r="BB551" s="40">
        <v>14</v>
      </c>
      <c r="BC551" s="39">
        <v>8</v>
      </c>
      <c r="BD551" s="40">
        <v>6</v>
      </c>
      <c r="BE551" s="40">
        <v>10</v>
      </c>
      <c r="BF551" s="40">
        <v>0</v>
      </c>
      <c r="BG551" s="40">
        <v>0</v>
      </c>
      <c r="BH551" s="40">
        <v>0</v>
      </c>
      <c r="BI551" s="40">
        <v>0</v>
      </c>
      <c r="BJ551" s="40">
        <v>0</v>
      </c>
      <c r="BK551" s="40">
        <v>0</v>
      </c>
      <c r="BL551" s="40">
        <v>0</v>
      </c>
      <c r="BM551" s="40">
        <v>0</v>
      </c>
      <c r="BN551" s="40"/>
      <c r="BO551" s="39"/>
      <c r="BP551" s="21">
        <v>0</v>
      </c>
      <c r="BQ551" s="21">
        <v>0</v>
      </c>
      <c r="BR551" s="21">
        <v>0</v>
      </c>
      <c r="BS551" s="21">
        <v>0</v>
      </c>
      <c r="BT551" s="21">
        <v>0</v>
      </c>
      <c r="BU551" s="42">
        <v>0</v>
      </c>
      <c r="BV551" s="21">
        <v>0</v>
      </c>
      <c r="BW551" s="21">
        <v>0</v>
      </c>
      <c r="BX551" s="21">
        <v>0</v>
      </c>
      <c r="BY551" s="21">
        <v>0</v>
      </c>
      <c r="BZ551" s="21">
        <v>29</v>
      </c>
      <c r="CA551" s="21">
        <v>27</v>
      </c>
      <c r="CB551" s="21">
        <v>49</v>
      </c>
      <c r="CC551" s="21">
        <v>83</v>
      </c>
      <c r="CD551" s="21">
        <v>25</v>
      </c>
      <c r="CE551" s="21">
        <v>19</v>
      </c>
      <c r="CF551" s="21">
        <v>34</v>
      </c>
      <c r="CG551" s="42">
        <v>54</v>
      </c>
      <c r="CH551" s="21">
        <v>24</v>
      </c>
      <c r="CI551" s="21">
        <v>43</v>
      </c>
      <c r="CJ551" s="21">
        <v>23</v>
      </c>
      <c r="CK551" s="21">
        <v>12</v>
      </c>
      <c r="CL551" s="21">
        <v>13</v>
      </c>
      <c r="CM551" s="21">
        <v>3</v>
      </c>
      <c r="CN551" s="21">
        <v>1</v>
      </c>
      <c r="CO551" s="21">
        <v>1</v>
      </c>
      <c r="CP551" s="21">
        <f t="shared" si="779"/>
        <v>1</v>
      </c>
      <c r="CQ551" s="343">
        <f t="shared" si="780"/>
        <v>13.444444444444445</v>
      </c>
      <c r="CR551" s="40"/>
      <c r="CS551" s="39"/>
      <c r="CT551" s="38">
        <f t="shared" si="781"/>
        <v>0</v>
      </c>
      <c r="CU551" s="38">
        <f t="shared" si="782"/>
        <v>0</v>
      </c>
      <c r="CV551" s="38">
        <f t="shared" si="783"/>
        <v>0</v>
      </c>
      <c r="CW551" s="38">
        <f t="shared" si="784"/>
        <v>0</v>
      </c>
      <c r="CX551" s="38">
        <f t="shared" si="785"/>
        <v>0</v>
      </c>
      <c r="CY551" s="39">
        <f t="shared" si="786"/>
        <v>0</v>
      </c>
      <c r="CZ551" s="40">
        <f t="shared" si="787"/>
        <v>0</v>
      </c>
      <c r="DA551" s="40">
        <f t="shared" si="788"/>
        <v>0</v>
      </c>
      <c r="DB551" s="40">
        <f t="shared" si="789"/>
        <v>0</v>
      </c>
      <c r="DC551" s="40">
        <f t="shared" si="790"/>
        <v>0</v>
      </c>
      <c r="DD551" s="40">
        <f t="shared" si="791"/>
        <v>29</v>
      </c>
      <c r="DE551" s="40">
        <f t="shared" si="792"/>
        <v>31</v>
      </c>
      <c r="DF551" s="40">
        <f t="shared" si="793"/>
        <v>58</v>
      </c>
      <c r="DG551" s="40">
        <f t="shared" si="794"/>
        <v>90</v>
      </c>
      <c r="DH551" s="40">
        <f t="shared" si="795"/>
        <v>31</v>
      </c>
      <c r="DI551" s="40">
        <f t="shared" si="796"/>
        <v>28</v>
      </c>
      <c r="DJ551" s="40">
        <f t="shared" si="797"/>
        <v>48</v>
      </c>
      <c r="DK551" s="39">
        <f t="shared" si="798"/>
        <v>62</v>
      </c>
      <c r="DL551" s="40">
        <f t="shared" si="799"/>
        <v>30</v>
      </c>
      <c r="DM551" s="40">
        <f t="shared" si="800"/>
        <v>53</v>
      </c>
      <c r="DN551" s="40">
        <f t="shared" si="801"/>
        <v>23</v>
      </c>
      <c r="DO551" s="40">
        <f t="shared" si="802"/>
        <v>12</v>
      </c>
      <c r="DP551" s="40">
        <f t="shared" si="803"/>
        <v>13</v>
      </c>
      <c r="DQ551" s="40">
        <f t="shared" si="804"/>
        <v>3</v>
      </c>
      <c r="DR551" s="40">
        <f t="shared" ref="DR551:DR582" si="809">BJ551+CN551</f>
        <v>1</v>
      </c>
      <c r="DS551" s="40">
        <f t="shared" si="748"/>
        <v>1</v>
      </c>
      <c r="DT551" s="40">
        <f t="shared" si="805"/>
        <v>1</v>
      </c>
      <c r="DU551" s="40">
        <f t="shared" si="806"/>
        <v>13.444444444444445</v>
      </c>
      <c r="DV551" s="40">
        <f t="shared" si="807"/>
        <v>0</v>
      </c>
      <c r="DW551" s="40">
        <f t="shared" si="808"/>
        <v>0</v>
      </c>
    </row>
    <row r="552" spans="1:127">
      <c r="A552" s="22" t="s">
        <v>44</v>
      </c>
      <c r="B552" s="26">
        <v>6903148358054</v>
      </c>
      <c r="C552" s="22" t="s">
        <v>44</v>
      </c>
      <c r="D552" s="22" t="s">
        <v>45</v>
      </c>
      <c r="E552" s="22">
        <v>255705</v>
      </c>
      <c r="F552" s="80" t="s">
        <v>639</v>
      </c>
      <c r="G552" s="25">
        <v>480.77</v>
      </c>
      <c r="H552" s="38">
        <f t="shared" si="753"/>
        <v>0</v>
      </c>
      <c r="I552" s="38">
        <f t="shared" si="754"/>
        <v>0</v>
      </c>
      <c r="J552" s="38">
        <f t="shared" si="755"/>
        <v>0</v>
      </c>
      <c r="K552" s="38">
        <f t="shared" si="756"/>
        <v>0</v>
      </c>
      <c r="L552" s="38">
        <f t="shared" si="757"/>
        <v>0</v>
      </c>
      <c r="M552" s="39">
        <f t="shared" si="758"/>
        <v>0</v>
      </c>
      <c r="N552" s="40">
        <f t="shared" si="759"/>
        <v>0</v>
      </c>
      <c r="O552" s="40">
        <f t="shared" si="760"/>
        <v>0</v>
      </c>
      <c r="P552" s="40">
        <f t="shared" si="761"/>
        <v>0</v>
      </c>
      <c r="Q552" s="40">
        <f t="shared" si="762"/>
        <v>0</v>
      </c>
      <c r="R552" s="40">
        <f t="shared" si="763"/>
        <v>0</v>
      </c>
      <c r="S552" s="40">
        <f t="shared" si="764"/>
        <v>4807.7</v>
      </c>
      <c r="T552" s="40">
        <f t="shared" si="765"/>
        <v>11538.48</v>
      </c>
      <c r="U552" s="40">
        <f t="shared" si="766"/>
        <v>14903.869999999999</v>
      </c>
      <c r="V552" s="40">
        <f t="shared" si="767"/>
        <v>16346.18</v>
      </c>
      <c r="W552" s="40">
        <f t="shared" si="768"/>
        <v>8653.86</v>
      </c>
      <c r="X552" s="40">
        <f t="shared" si="769"/>
        <v>6730.78</v>
      </c>
      <c r="Y552" s="39">
        <f t="shared" si="770"/>
        <v>2884.62</v>
      </c>
      <c r="Z552" s="40">
        <f t="shared" si="771"/>
        <v>4326.93</v>
      </c>
      <c r="AA552" s="40">
        <f t="shared" si="772"/>
        <v>13942.33</v>
      </c>
      <c r="AB552" s="40">
        <f t="shared" si="773"/>
        <v>3846.16</v>
      </c>
      <c r="AC552" s="40">
        <f t="shared" si="774"/>
        <v>5769.24</v>
      </c>
      <c r="AD552" s="40">
        <f t="shared" si="775"/>
        <v>480.77</v>
      </c>
      <c r="AE552" s="40">
        <f t="shared" si="776"/>
        <v>1442.31</v>
      </c>
      <c r="AF552" s="40">
        <f t="shared" si="777"/>
        <v>480.77</v>
      </c>
      <c r="AG552" s="40">
        <f t="shared" si="778"/>
        <v>0</v>
      </c>
      <c r="AH552" s="40">
        <f t="shared" si="749"/>
        <v>0</v>
      </c>
      <c r="AI552" s="40">
        <f t="shared" si="750"/>
        <v>1923.08</v>
      </c>
      <c r="AJ552" s="40">
        <f t="shared" si="751"/>
        <v>0</v>
      </c>
      <c r="AK552" s="39">
        <f t="shared" si="752"/>
        <v>0</v>
      </c>
      <c r="AL552" s="38">
        <v>0</v>
      </c>
      <c r="AM552" s="38">
        <v>0</v>
      </c>
      <c r="AN552" s="38">
        <v>0</v>
      </c>
      <c r="AO552" s="38">
        <v>0</v>
      </c>
      <c r="AP552" s="38">
        <v>0</v>
      </c>
      <c r="AQ552" s="39">
        <v>0</v>
      </c>
      <c r="AR552" s="40">
        <v>0</v>
      </c>
      <c r="AS552" s="40">
        <v>0</v>
      </c>
      <c r="AT552" s="40">
        <v>0</v>
      </c>
      <c r="AU552" s="40">
        <v>0</v>
      </c>
      <c r="AV552" s="40">
        <v>0</v>
      </c>
      <c r="AW552" s="40">
        <v>2</v>
      </c>
      <c r="AX552" s="40">
        <v>7</v>
      </c>
      <c r="AY552" s="40">
        <v>4</v>
      </c>
      <c r="AZ552" s="40">
        <v>11</v>
      </c>
      <c r="BA552" s="40">
        <v>4</v>
      </c>
      <c r="BB552" s="40">
        <v>2</v>
      </c>
      <c r="BC552" s="39">
        <v>1</v>
      </c>
      <c r="BD552" s="40">
        <v>5</v>
      </c>
      <c r="BE552" s="40">
        <v>20</v>
      </c>
      <c r="BF552" s="40">
        <v>1</v>
      </c>
      <c r="BG552" s="40">
        <v>0</v>
      </c>
      <c r="BH552" s="40">
        <v>1</v>
      </c>
      <c r="BI552" s="40">
        <v>0</v>
      </c>
      <c r="BJ552" s="40">
        <v>0</v>
      </c>
      <c r="BK552" s="40">
        <v>0</v>
      </c>
      <c r="BL552" s="40">
        <v>0</v>
      </c>
      <c r="BM552" s="40">
        <v>0</v>
      </c>
      <c r="BN552" s="40"/>
      <c r="BO552" s="39"/>
      <c r="BP552" s="21">
        <v>0</v>
      </c>
      <c r="BQ552" s="21">
        <v>0</v>
      </c>
      <c r="BR552" s="21">
        <v>0</v>
      </c>
      <c r="BS552" s="21">
        <v>0</v>
      </c>
      <c r="BT552" s="21">
        <v>0</v>
      </c>
      <c r="BU552" s="42">
        <v>0</v>
      </c>
      <c r="BV552" s="21">
        <v>0</v>
      </c>
      <c r="BW552" s="21">
        <v>0</v>
      </c>
      <c r="BX552" s="21">
        <v>0</v>
      </c>
      <c r="BY552" s="21">
        <v>0</v>
      </c>
      <c r="BZ552" s="21">
        <v>0</v>
      </c>
      <c r="CA552" s="21">
        <v>8</v>
      </c>
      <c r="CB552" s="21">
        <v>17</v>
      </c>
      <c r="CC552" s="21">
        <v>27</v>
      </c>
      <c r="CD552" s="21">
        <v>23</v>
      </c>
      <c r="CE552" s="21">
        <v>14</v>
      </c>
      <c r="CF552" s="21">
        <v>12</v>
      </c>
      <c r="CG552" s="42">
        <v>5</v>
      </c>
      <c r="CH552" s="21">
        <v>4</v>
      </c>
      <c r="CI552" s="21">
        <v>9</v>
      </c>
      <c r="CJ552" s="21">
        <v>7</v>
      </c>
      <c r="CK552" s="21">
        <v>12</v>
      </c>
      <c r="CL552" s="21">
        <v>0</v>
      </c>
      <c r="CM552" s="21">
        <v>3</v>
      </c>
      <c r="CN552" s="21">
        <v>1</v>
      </c>
      <c r="CO552" s="21">
        <v>0</v>
      </c>
      <c r="CP552" s="21">
        <f t="shared" si="779"/>
        <v>0</v>
      </c>
      <c r="CQ552" s="343">
        <f t="shared" si="780"/>
        <v>4</v>
      </c>
      <c r="CR552" s="40"/>
      <c r="CS552" s="39"/>
      <c r="CT552" s="38">
        <f t="shared" si="781"/>
        <v>0</v>
      </c>
      <c r="CU552" s="38">
        <f t="shared" si="782"/>
        <v>0</v>
      </c>
      <c r="CV552" s="38">
        <f t="shared" si="783"/>
        <v>0</v>
      </c>
      <c r="CW552" s="38">
        <f t="shared" si="784"/>
        <v>0</v>
      </c>
      <c r="CX552" s="38">
        <f t="shared" si="785"/>
        <v>0</v>
      </c>
      <c r="CY552" s="39">
        <f t="shared" si="786"/>
        <v>0</v>
      </c>
      <c r="CZ552" s="40">
        <f t="shared" si="787"/>
        <v>0</v>
      </c>
      <c r="DA552" s="40">
        <f t="shared" si="788"/>
        <v>0</v>
      </c>
      <c r="DB552" s="40">
        <f t="shared" si="789"/>
        <v>0</v>
      </c>
      <c r="DC552" s="40">
        <f t="shared" si="790"/>
        <v>0</v>
      </c>
      <c r="DD552" s="40">
        <f t="shared" si="791"/>
        <v>0</v>
      </c>
      <c r="DE552" s="40">
        <f t="shared" si="792"/>
        <v>10</v>
      </c>
      <c r="DF552" s="40">
        <f t="shared" si="793"/>
        <v>24</v>
      </c>
      <c r="DG552" s="40">
        <f t="shared" si="794"/>
        <v>31</v>
      </c>
      <c r="DH552" s="40">
        <f t="shared" si="795"/>
        <v>34</v>
      </c>
      <c r="DI552" s="40">
        <f t="shared" si="796"/>
        <v>18</v>
      </c>
      <c r="DJ552" s="40">
        <f t="shared" si="797"/>
        <v>14</v>
      </c>
      <c r="DK552" s="39">
        <f t="shared" si="798"/>
        <v>6</v>
      </c>
      <c r="DL552" s="40">
        <f t="shared" si="799"/>
        <v>9</v>
      </c>
      <c r="DM552" s="40">
        <f t="shared" si="800"/>
        <v>29</v>
      </c>
      <c r="DN552" s="40">
        <f t="shared" si="801"/>
        <v>8</v>
      </c>
      <c r="DO552" s="40">
        <f t="shared" si="802"/>
        <v>12</v>
      </c>
      <c r="DP552" s="40">
        <f t="shared" si="803"/>
        <v>1</v>
      </c>
      <c r="DQ552" s="40">
        <f t="shared" si="804"/>
        <v>3</v>
      </c>
      <c r="DR552" s="40">
        <f t="shared" si="809"/>
        <v>1</v>
      </c>
      <c r="DS552" s="40">
        <f t="shared" si="748"/>
        <v>0</v>
      </c>
      <c r="DT552" s="40">
        <f t="shared" si="805"/>
        <v>0</v>
      </c>
      <c r="DU552" s="40">
        <f t="shared" si="806"/>
        <v>4</v>
      </c>
      <c r="DV552" s="40">
        <f t="shared" si="807"/>
        <v>0</v>
      </c>
      <c r="DW552" s="40">
        <f t="shared" si="808"/>
        <v>0</v>
      </c>
    </row>
    <row r="553" spans="1:127">
      <c r="A553" s="22" t="s">
        <v>44</v>
      </c>
      <c r="B553" s="26">
        <v>4987176287014</v>
      </c>
      <c r="C553" s="22" t="s">
        <v>44</v>
      </c>
      <c r="D553" s="22" t="s">
        <v>45</v>
      </c>
      <c r="E553" s="22">
        <v>255755</v>
      </c>
      <c r="F553" s="80" t="s">
        <v>640</v>
      </c>
      <c r="G553" s="25">
        <v>1372.37</v>
      </c>
      <c r="H553" s="38">
        <f t="shared" si="753"/>
        <v>0</v>
      </c>
      <c r="I553" s="38">
        <f t="shared" si="754"/>
        <v>0</v>
      </c>
      <c r="J553" s="38">
        <f t="shared" si="755"/>
        <v>0</v>
      </c>
      <c r="K553" s="38">
        <f t="shared" si="756"/>
        <v>0</v>
      </c>
      <c r="L553" s="38">
        <f t="shared" si="757"/>
        <v>0</v>
      </c>
      <c r="M553" s="39">
        <f t="shared" si="758"/>
        <v>0</v>
      </c>
      <c r="N553" s="40">
        <f t="shared" si="759"/>
        <v>0</v>
      </c>
      <c r="O553" s="40">
        <f t="shared" si="760"/>
        <v>0</v>
      </c>
      <c r="P553" s="40">
        <f t="shared" si="761"/>
        <v>0</v>
      </c>
      <c r="Q553" s="40">
        <f t="shared" si="762"/>
        <v>0</v>
      </c>
      <c r="R553" s="40">
        <f t="shared" si="763"/>
        <v>4117.1099999999997</v>
      </c>
      <c r="S553" s="40">
        <f t="shared" si="764"/>
        <v>24702.659999999996</v>
      </c>
      <c r="T553" s="40">
        <f t="shared" si="765"/>
        <v>19213.18</v>
      </c>
      <c r="U553" s="40">
        <f t="shared" si="766"/>
        <v>43915.839999999997</v>
      </c>
      <c r="V553" s="40">
        <f t="shared" si="767"/>
        <v>35681.619999999995</v>
      </c>
      <c r="W553" s="40">
        <f t="shared" si="768"/>
        <v>31564.51</v>
      </c>
      <c r="X553" s="40">
        <f t="shared" si="769"/>
        <v>32936.879999999997</v>
      </c>
      <c r="Y553" s="39">
        <f t="shared" si="770"/>
        <v>8234.2199999999993</v>
      </c>
      <c r="Z553" s="40">
        <f t="shared" si="771"/>
        <v>21957.919999999998</v>
      </c>
      <c r="AA553" s="40">
        <f t="shared" si="772"/>
        <v>67246.12999999999</v>
      </c>
      <c r="AB553" s="40">
        <f t="shared" si="773"/>
        <v>28819.769999999997</v>
      </c>
      <c r="AC553" s="40">
        <f t="shared" si="774"/>
        <v>50777.689999999995</v>
      </c>
      <c r="AD553" s="40">
        <f t="shared" si="775"/>
        <v>27447.399999999998</v>
      </c>
      <c r="AE553" s="40">
        <f t="shared" si="776"/>
        <v>4117.1099999999997</v>
      </c>
      <c r="AF553" s="40">
        <f t="shared" si="777"/>
        <v>2744.74</v>
      </c>
      <c r="AG553" s="40">
        <f t="shared" si="778"/>
        <v>2744.74</v>
      </c>
      <c r="AH553" s="40">
        <f t="shared" si="749"/>
        <v>2744.74</v>
      </c>
      <c r="AI553" s="40">
        <f t="shared" si="750"/>
        <v>20738.035555555554</v>
      </c>
      <c r="AJ553" s="40">
        <f t="shared" si="751"/>
        <v>0</v>
      </c>
      <c r="AK553" s="39">
        <f t="shared" si="752"/>
        <v>0</v>
      </c>
      <c r="AL553" s="38">
        <v>0</v>
      </c>
      <c r="AM553" s="38">
        <v>0</v>
      </c>
      <c r="AN553" s="38">
        <v>0</v>
      </c>
      <c r="AO553" s="38">
        <v>0</v>
      </c>
      <c r="AP553" s="38">
        <v>0</v>
      </c>
      <c r="AQ553" s="39">
        <v>0</v>
      </c>
      <c r="AR553" s="40">
        <v>0</v>
      </c>
      <c r="AS553" s="40">
        <v>0</v>
      </c>
      <c r="AT553" s="40">
        <v>0</v>
      </c>
      <c r="AU553" s="40">
        <v>0</v>
      </c>
      <c r="AV553" s="40">
        <v>0</v>
      </c>
      <c r="AW553" s="40">
        <v>2</v>
      </c>
      <c r="AX553" s="40">
        <v>4</v>
      </c>
      <c r="AY553" s="40">
        <v>6</v>
      </c>
      <c r="AZ553" s="40">
        <v>2</v>
      </c>
      <c r="BA553" s="40">
        <v>5</v>
      </c>
      <c r="BB553" s="40">
        <v>3</v>
      </c>
      <c r="BC553" s="39">
        <v>0</v>
      </c>
      <c r="BD553" s="40">
        <v>2</v>
      </c>
      <c r="BE553" s="40">
        <v>14</v>
      </c>
      <c r="BF553" s="40">
        <v>0</v>
      </c>
      <c r="BG553" s="40">
        <v>0</v>
      </c>
      <c r="BH553" s="40">
        <v>0</v>
      </c>
      <c r="BI553" s="40">
        <v>0</v>
      </c>
      <c r="BJ553" s="40">
        <v>0</v>
      </c>
      <c r="BK553" s="40">
        <v>0</v>
      </c>
      <c r="BL553" s="40">
        <v>0</v>
      </c>
      <c r="BM553" s="40">
        <v>0</v>
      </c>
      <c r="BN553" s="40"/>
      <c r="BO553" s="39"/>
      <c r="BP553" s="21">
        <v>0</v>
      </c>
      <c r="BQ553" s="21">
        <v>0</v>
      </c>
      <c r="BR553" s="21">
        <v>0</v>
      </c>
      <c r="BS553" s="21">
        <v>0</v>
      </c>
      <c r="BT553" s="21">
        <v>0</v>
      </c>
      <c r="BU553" s="42">
        <v>0</v>
      </c>
      <c r="BV553" s="21">
        <v>0</v>
      </c>
      <c r="BW553" s="21">
        <v>0</v>
      </c>
      <c r="BX553" s="21">
        <v>0</v>
      </c>
      <c r="BY553" s="21">
        <v>0</v>
      </c>
      <c r="BZ553" s="21">
        <v>3</v>
      </c>
      <c r="CA553" s="21">
        <v>16</v>
      </c>
      <c r="CB553" s="21">
        <v>10</v>
      </c>
      <c r="CC553" s="21">
        <v>26</v>
      </c>
      <c r="CD553" s="21">
        <v>24</v>
      </c>
      <c r="CE553" s="21">
        <v>18</v>
      </c>
      <c r="CF553" s="21">
        <v>21</v>
      </c>
      <c r="CG553" s="42">
        <v>6</v>
      </c>
      <c r="CH553" s="21">
        <v>14</v>
      </c>
      <c r="CI553" s="21">
        <v>35</v>
      </c>
      <c r="CJ553" s="21">
        <v>21</v>
      </c>
      <c r="CK553" s="21">
        <v>37</v>
      </c>
      <c r="CL553" s="21">
        <v>20</v>
      </c>
      <c r="CM553" s="21">
        <v>3</v>
      </c>
      <c r="CN553" s="21">
        <v>2</v>
      </c>
      <c r="CO553" s="21">
        <v>2</v>
      </c>
      <c r="CP553" s="21">
        <f t="shared" si="779"/>
        <v>2</v>
      </c>
      <c r="CQ553" s="343">
        <f t="shared" si="780"/>
        <v>15.111111111111111</v>
      </c>
      <c r="CR553" s="40"/>
      <c r="CS553" s="39"/>
      <c r="CT553" s="38">
        <f t="shared" si="781"/>
        <v>0</v>
      </c>
      <c r="CU553" s="38">
        <f t="shared" si="782"/>
        <v>0</v>
      </c>
      <c r="CV553" s="38">
        <f t="shared" si="783"/>
        <v>0</v>
      </c>
      <c r="CW553" s="38">
        <f t="shared" si="784"/>
        <v>0</v>
      </c>
      <c r="CX553" s="38">
        <f t="shared" si="785"/>
        <v>0</v>
      </c>
      <c r="CY553" s="39">
        <f t="shared" si="786"/>
        <v>0</v>
      </c>
      <c r="CZ553" s="40">
        <f t="shared" si="787"/>
        <v>0</v>
      </c>
      <c r="DA553" s="40">
        <f t="shared" si="788"/>
        <v>0</v>
      </c>
      <c r="DB553" s="40">
        <f t="shared" si="789"/>
        <v>0</v>
      </c>
      <c r="DC553" s="40">
        <f t="shared" si="790"/>
        <v>0</v>
      </c>
      <c r="DD553" s="40">
        <f t="shared" si="791"/>
        <v>3</v>
      </c>
      <c r="DE553" s="40">
        <f t="shared" si="792"/>
        <v>18</v>
      </c>
      <c r="DF553" s="40">
        <f t="shared" si="793"/>
        <v>14</v>
      </c>
      <c r="DG553" s="40">
        <f t="shared" si="794"/>
        <v>32</v>
      </c>
      <c r="DH553" s="40">
        <f t="shared" si="795"/>
        <v>26</v>
      </c>
      <c r="DI553" s="40">
        <f t="shared" si="796"/>
        <v>23</v>
      </c>
      <c r="DJ553" s="40">
        <f t="shared" si="797"/>
        <v>24</v>
      </c>
      <c r="DK553" s="39">
        <f t="shared" si="798"/>
        <v>6</v>
      </c>
      <c r="DL553" s="40">
        <f t="shared" si="799"/>
        <v>16</v>
      </c>
      <c r="DM553" s="40">
        <f t="shared" si="800"/>
        <v>49</v>
      </c>
      <c r="DN553" s="40">
        <f t="shared" si="801"/>
        <v>21</v>
      </c>
      <c r="DO553" s="40">
        <f t="shared" si="802"/>
        <v>37</v>
      </c>
      <c r="DP553" s="40">
        <f t="shared" si="803"/>
        <v>20</v>
      </c>
      <c r="DQ553" s="40">
        <f t="shared" si="804"/>
        <v>3</v>
      </c>
      <c r="DR553" s="40">
        <f t="shared" si="809"/>
        <v>2</v>
      </c>
      <c r="DS553" s="40">
        <f t="shared" si="748"/>
        <v>2</v>
      </c>
      <c r="DT553" s="40">
        <f t="shared" si="805"/>
        <v>2</v>
      </c>
      <c r="DU553" s="40">
        <f t="shared" si="806"/>
        <v>15.111111111111111</v>
      </c>
      <c r="DV553" s="40">
        <f t="shared" si="807"/>
        <v>0</v>
      </c>
      <c r="DW553" s="40">
        <f t="shared" si="808"/>
        <v>0</v>
      </c>
    </row>
    <row r="554" spans="1:127">
      <c r="A554" s="22" t="s">
        <v>44</v>
      </c>
      <c r="B554" s="26">
        <v>6903148358283</v>
      </c>
      <c r="C554" s="22" t="s">
        <v>44</v>
      </c>
      <c r="D554" s="22" t="s">
        <v>45</v>
      </c>
      <c r="E554" s="22">
        <v>255807</v>
      </c>
      <c r="F554" s="80" t="s">
        <v>641</v>
      </c>
      <c r="G554" s="25">
        <v>461.21</v>
      </c>
      <c r="H554" s="38">
        <f t="shared" si="753"/>
        <v>0</v>
      </c>
      <c r="I554" s="38">
        <f t="shared" si="754"/>
        <v>0</v>
      </c>
      <c r="J554" s="38">
        <f t="shared" si="755"/>
        <v>0</v>
      </c>
      <c r="K554" s="38">
        <f t="shared" si="756"/>
        <v>0</v>
      </c>
      <c r="L554" s="38">
        <f t="shared" si="757"/>
        <v>0</v>
      </c>
      <c r="M554" s="39">
        <f t="shared" si="758"/>
        <v>0</v>
      </c>
      <c r="N554" s="40">
        <f t="shared" si="759"/>
        <v>0</v>
      </c>
      <c r="O554" s="40">
        <f t="shared" si="760"/>
        <v>0</v>
      </c>
      <c r="P554" s="40">
        <f t="shared" si="761"/>
        <v>0</v>
      </c>
      <c r="Q554" s="40">
        <f t="shared" si="762"/>
        <v>0</v>
      </c>
      <c r="R554" s="40">
        <f t="shared" si="763"/>
        <v>1844.84</v>
      </c>
      <c r="S554" s="40">
        <f t="shared" si="764"/>
        <v>9685.41</v>
      </c>
      <c r="T554" s="40">
        <f t="shared" si="765"/>
        <v>15681.14</v>
      </c>
      <c r="U554" s="40">
        <f t="shared" si="766"/>
        <v>19370.82</v>
      </c>
      <c r="V554" s="40">
        <f t="shared" si="767"/>
        <v>15219.929999999998</v>
      </c>
      <c r="W554" s="40">
        <f t="shared" si="768"/>
        <v>13375.09</v>
      </c>
      <c r="X554" s="40">
        <f t="shared" si="769"/>
        <v>10607.83</v>
      </c>
      <c r="Y554" s="39">
        <f t="shared" si="770"/>
        <v>5995.73</v>
      </c>
      <c r="Z554" s="40">
        <f t="shared" si="771"/>
        <v>12452.67</v>
      </c>
      <c r="AA554" s="40">
        <f t="shared" si="772"/>
        <v>12913.88</v>
      </c>
      <c r="AB554" s="40">
        <f t="shared" si="773"/>
        <v>3689.68</v>
      </c>
      <c r="AC554" s="40">
        <f t="shared" si="774"/>
        <v>1844.84</v>
      </c>
      <c r="AD554" s="40">
        <f t="shared" si="775"/>
        <v>2306.0499999999997</v>
      </c>
      <c r="AE554" s="40">
        <f t="shared" si="776"/>
        <v>922.42</v>
      </c>
      <c r="AF554" s="40">
        <f t="shared" si="777"/>
        <v>461.21</v>
      </c>
      <c r="AG554" s="40">
        <f t="shared" si="778"/>
        <v>0</v>
      </c>
      <c r="AH554" s="40">
        <f t="shared" si="749"/>
        <v>0</v>
      </c>
      <c r="AI554" s="40">
        <f t="shared" si="750"/>
        <v>2818.5055555555555</v>
      </c>
      <c r="AJ554" s="40">
        <f t="shared" si="751"/>
        <v>0</v>
      </c>
      <c r="AK554" s="39">
        <f t="shared" si="752"/>
        <v>0</v>
      </c>
      <c r="AL554" s="38">
        <v>0</v>
      </c>
      <c r="AM554" s="38">
        <v>0</v>
      </c>
      <c r="AN554" s="38">
        <v>0</v>
      </c>
      <c r="AO554" s="38">
        <v>0</v>
      </c>
      <c r="AP554" s="38">
        <v>0</v>
      </c>
      <c r="AQ554" s="39">
        <v>0</v>
      </c>
      <c r="AR554" s="40">
        <v>0</v>
      </c>
      <c r="AS554" s="40">
        <v>0</v>
      </c>
      <c r="AT554" s="40">
        <v>0</v>
      </c>
      <c r="AU554" s="40">
        <v>0</v>
      </c>
      <c r="AV554" s="40">
        <v>0</v>
      </c>
      <c r="AW554" s="40">
        <v>1</v>
      </c>
      <c r="AX554" s="40">
        <v>10</v>
      </c>
      <c r="AY554" s="40">
        <v>10</v>
      </c>
      <c r="AZ554" s="40">
        <v>2</v>
      </c>
      <c r="BA554" s="40">
        <v>9</v>
      </c>
      <c r="BB554" s="40">
        <v>0</v>
      </c>
      <c r="BC554" s="39">
        <v>5</v>
      </c>
      <c r="BD554" s="40">
        <v>7</v>
      </c>
      <c r="BE554" s="40">
        <v>11</v>
      </c>
      <c r="BF554" s="40">
        <v>1</v>
      </c>
      <c r="BG554" s="40">
        <v>0</v>
      </c>
      <c r="BH554" s="40">
        <v>0</v>
      </c>
      <c r="BI554" s="40">
        <v>0</v>
      </c>
      <c r="BJ554" s="40">
        <v>1</v>
      </c>
      <c r="BK554" s="40">
        <v>0</v>
      </c>
      <c r="BL554" s="40">
        <v>0</v>
      </c>
      <c r="BM554" s="40">
        <v>0</v>
      </c>
      <c r="BN554" s="40"/>
      <c r="BO554" s="39"/>
      <c r="BP554" s="21">
        <v>0</v>
      </c>
      <c r="BQ554" s="21">
        <v>0</v>
      </c>
      <c r="BR554" s="21">
        <v>0</v>
      </c>
      <c r="BS554" s="21">
        <v>0</v>
      </c>
      <c r="BT554" s="21">
        <v>0</v>
      </c>
      <c r="BU554" s="42">
        <v>0</v>
      </c>
      <c r="BV554" s="21">
        <v>0</v>
      </c>
      <c r="BW554" s="21">
        <v>0</v>
      </c>
      <c r="BX554" s="21">
        <v>0</v>
      </c>
      <c r="BY554" s="21">
        <v>0</v>
      </c>
      <c r="BZ554" s="21">
        <v>4</v>
      </c>
      <c r="CA554" s="21">
        <v>20</v>
      </c>
      <c r="CB554" s="21">
        <v>24</v>
      </c>
      <c r="CC554" s="21">
        <v>32</v>
      </c>
      <c r="CD554" s="21">
        <v>31</v>
      </c>
      <c r="CE554" s="21">
        <v>20</v>
      </c>
      <c r="CF554" s="21">
        <v>23</v>
      </c>
      <c r="CG554" s="42">
        <v>8</v>
      </c>
      <c r="CH554" s="21">
        <v>20</v>
      </c>
      <c r="CI554" s="21">
        <v>17</v>
      </c>
      <c r="CJ554" s="21">
        <v>7</v>
      </c>
      <c r="CK554" s="21">
        <v>4</v>
      </c>
      <c r="CL554" s="21">
        <v>5</v>
      </c>
      <c r="CM554" s="21">
        <v>2</v>
      </c>
      <c r="CN554" s="21">
        <v>0</v>
      </c>
      <c r="CO554" s="21">
        <v>0</v>
      </c>
      <c r="CP554" s="21">
        <f t="shared" si="779"/>
        <v>0</v>
      </c>
      <c r="CQ554" s="343">
        <f t="shared" si="780"/>
        <v>6.1111111111111107</v>
      </c>
      <c r="CR554" s="40"/>
      <c r="CS554" s="39"/>
      <c r="CT554" s="38">
        <f t="shared" si="781"/>
        <v>0</v>
      </c>
      <c r="CU554" s="38">
        <f t="shared" si="782"/>
        <v>0</v>
      </c>
      <c r="CV554" s="38">
        <f t="shared" si="783"/>
        <v>0</v>
      </c>
      <c r="CW554" s="38">
        <f t="shared" si="784"/>
        <v>0</v>
      </c>
      <c r="CX554" s="38">
        <f t="shared" si="785"/>
        <v>0</v>
      </c>
      <c r="CY554" s="39">
        <f t="shared" si="786"/>
        <v>0</v>
      </c>
      <c r="CZ554" s="40">
        <f t="shared" si="787"/>
        <v>0</v>
      </c>
      <c r="DA554" s="40">
        <f t="shared" si="788"/>
        <v>0</v>
      </c>
      <c r="DB554" s="40">
        <f t="shared" si="789"/>
        <v>0</v>
      </c>
      <c r="DC554" s="40">
        <f t="shared" si="790"/>
        <v>0</v>
      </c>
      <c r="DD554" s="40">
        <f t="shared" si="791"/>
        <v>4</v>
      </c>
      <c r="DE554" s="40">
        <f t="shared" si="792"/>
        <v>21</v>
      </c>
      <c r="DF554" s="40">
        <f t="shared" si="793"/>
        <v>34</v>
      </c>
      <c r="DG554" s="40">
        <f t="shared" si="794"/>
        <v>42</v>
      </c>
      <c r="DH554" s="40">
        <f t="shared" si="795"/>
        <v>33</v>
      </c>
      <c r="DI554" s="40">
        <f t="shared" si="796"/>
        <v>29</v>
      </c>
      <c r="DJ554" s="40">
        <f t="shared" si="797"/>
        <v>23</v>
      </c>
      <c r="DK554" s="39">
        <f t="shared" si="798"/>
        <v>13</v>
      </c>
      <c r="DL554" s="40">
        <f t="shared" si="799"/>
        <v>27</v>
      </c>
      <c r="DM554" s="40">
        <f t="shared" si="800"/>
        <v>28</v>
      </c>
      <c r="DN554" s="40">
        <f t="shared" si="801"/>
        <v>8</v>
      </c>
      <c r="DO554" s="40">
        <f t="shared" si="802"/>
        <v>4</v>
      </c>
      <c r="DP554" s="40">
        <f t="shared" si="803"/>
        <v>5</v>
      </c>
      <c r="DQ554" s="40">
        <f t="shared" si="804"/>
        <v>2</v>
      </c>
      <c r="DR554" s="40">
        <f t="shared" si="809"/>
        <v>1</v>
      </c>
      <c r="DS554" s="40">
        <f t="shared" si="748"/>
        <v>0</v>
      </c>
      <c r="DT554" s="40">
        <f t="shared" si="805"/>
        <v>0</v>
      </c>
      <c r="DU554" s="40">
        <f t="shared" si="806"/>
        <v>6.1111111111111107</v>
      </c>
      <c r="DV554" s="40">
        <f t="shared" si="807"/>
        <v>0</v>
      </c>
      <c r="DW554" s="40">
        <f t="shared" si="808"/>
        <v>0</v>
      </c>
    </row>
    <row r="555" spans="1:127">
      <c r="A555" s="22" t="s">
        <v>44</v>
      </c>
      <c r="B555" s="26">
        <v>6903148358214</v>
      </c>
      <c r="C555" s="22" t="s">
        <v>44</v>
      </c>
      <c r="D555" s="22" t="s">
        <v>45</v>
      </c>
      <c r="E555" s="22">
        <v>255821</v>
      </c>
      <c r="F555" s="80" t="s">
        <v>642</v>
      </c>
      <c r="G555" s="25">
        <v>393.68</v>
      </c>
      <c r="H555" s="38">
        <f t="shared" si="753"/>
        <v>0</v>
      </c>
      <c r="I555" s="38">
        <f t="shared" si="754"/>
        <v>0</v>
      </c>
      <c r="J555" s="38">
        <f t="shared" si="755"/>
        <v>0</v>
      </c>
      <c r="K555" s="38">
        <f t="shared" si="756"/>
        <v>0</v>
      </c>
      <c r="L555" s="38">
        <f t="shared" si="757"/>
        <v>0</v>
      </c>
      <c r="M555" s="39">
        <f t="shared" si="758"/>
        <v>0</v>
      </c>
      <c r="N555" s="40">
        <f t="shared" si="759"/>
        <v>0</v>
      </c>
      <c r="O555" s="40">
        <f t="shared" si="760"/>
        <v>0</v>
      </c>
      <c r="P555" s="40">
        <f t="shared" si="761"/>
        <v>0</v>
      </c>
      <c r="Q555" s="40">
        <f t="shared" si="762"/>
        <v>0</v>
      </c>
      <c r="R555" s="40">
        <f t="shared" si="763"/>
        <v>7479.92</v>
      </c>
      <c r="S555" s="40">
        <f t="shared" si="764"/>
        <v>14959.84</v>
      </c>
      <c r="T555" s="40">
        <f t="shared" si="765"/>
        <v>25589.200000000001</v>
      </c>
      <c r="U555" s="40">
        <f t="shared" si="766"/>
        <v>11810.4</v>
      </c>
      <c r="V555" s="40">
        <f t="shared" si="767"/>
        <v>10235.68</v>
      </c>
      <c r="W555" s="40">
        <f t="shared" si="768"/>
        <v>7873.6</v>
      </c>
      <c r="X555" s="40">
        <f t="shared" si="769"/>
        <v>4724.16</v>
      </c>
      <c r="Y555" s="39">
        <f t="shared" si="770"/>
        <v>14566.16</v>
      </c>
      <c r="Z555" s="40">
        <f t="shared" si="771"/>
        <v>14172.48</v>
      </c>
      <c r="AA555" s="40">
        <f t="shared" si="772"/>
        <v>12204.08</v>
      </c>
      <c r="AB555" s="40">
        <f t="shared" si="773"/>
        <v>3149.44</v>
      </c>
      <c r="AC555" s="40">
        <f t="shared" si="774"/>
        <v>1968.4</v>
      </c>
      <c r="AD555" s="40">
        <f t="shared" si="775"/>
        <v>4724.16</v>
      </c>
      <c r="AE555" s="40">
        <f t="shared" si="776"/>
        <v>0</v>
      </c>
      <c r="AF555" s="40">
        <f t="shared" si="777"/>
        <v>0</v>
      </c>
      <c r="AG555" s="40">
        <f t="shared" si="778"/>
        <v>0</v>
      </c>
      <c r="AH555" s="40">
        <f t="shared" si="749"/>
        <v>0</v>
      </c>
      <c r="AI555" s="40">
        <f t="shared" si="750"/>
        <v>3105.6977777777779</v>
      </c>
      <c r="AJ555" s="40">
        <f t="shared" si="751"/>
        <v>0</v>
      </c>
      <c r="AK555" s="39">
        <f t="shared" si="752"/>
        <v>0</v>
      </c>
      <c r="AL555" s="38">
        <v>0</v>
      </c>
      <c r="AM555" s="38">
        <v>0</v>
      </c>
      <c r="AN555" s="38">
        <v>0</v>
      </c>
      <c r="AO555" s="38">
        <v>0</v>
      </c>
      <c r="AP555" s="38">
        <v>0</v>
      </c>
      <c r="AQ555" s="39">
        <v>0</v>
      </c>
      <c r="AR555" s="40">
        <v>0</v>
      </c>
      <c r="AS555" s="40">
        <v>0</v>
      </c>
      <c r="AT555" s="40">
        <v>0</v>
      </c>
      <c r="AU555" s="40">
        <v>0</v>
      </c>
      <c r="AV555" s="40">
        <v>0</v>
      </c>
      <c r="AW555" s="40">
        <v>3</v>
      </c>
      <c r="AX555" s="40">
        <v>11</v>
      </c>
      <c r="AY555" s="40">
        <v>5</v>
      </c>
      <c r="AZ555" s="40">
        <v>7</v>
      </c>
      <c r="BA555" s="40">
        <v>8</v>
      </c>
      <c r="BB555" s="40">
        <v>3</v>
      </c>
      <c r="BC555" s="39">
        <v>12</v>
      </c>
      <c r="BD555" s="40">
        <v>9</v>
      </c>
      <c r="BE555" s="40">
        <v>12</v>
      </c>
      <c r="BF555" s="40">
        <v>0</v>
      </c>
      <c r="BG555" s="40">
        <v>0</v>
      </c>
      <c r="BH555" s="40">
        <v>0</v>
      </c>
      <c r="BI555" s="40">
        <v>0</v>
      </c>
      <c r="BJ555" s="40">
        <v>0</v>
      </c>
      <c r="BK555" s="40">
        <v>0</v>
      </c>
      <c r="BL555" s="40">
        <v>0</v>
      </c>
      <c r="BM555" s="40">
        <v>0</v>
      </c>
      <c r="BN555" s="40"/>
      <c r="BO555" s="39"/>
      <c r="BP555" s="21">
        <v>0</v>
      </c>
      <c r="BQ555" s="21">
        <v>0</v>
      </c>
      <c r="BR555" s="21">
        <v>0</v>
      </c>
      <c r="BS555" s="21">
        <v>0</v>
      </c>
      <c r="BT555" s="21">
        <v>0</v>
      </c>
      <c r="BU555" s="42">
        <v>0</v>
      </c>
      <c r="BV555" s="21">
        <v>0</v>
      </c>
      <c r="BW555" s="21">
        <v>0</v>
      </c>
      <c r="BX555" s="21">
        <v>0</v>
      </c>
      <c r="BY555" s="21">
        <v>0</v>
      </c>
      <c r="BZ555" s="21">
        <v>19</v>
      </c>
      <c r="CA555" s="21">
        <v>35</v>
      </c>
      <c r="CB555" s="21">
        <v>54</v>
      </c>
      <c r="CC555" s="21">
        <v>25</v>
      </c>
      <c r="CD555" s="21">
        <v>19</v>
      </c>
      <c r="CE555" s="21">
        <v>12</v>
      </c>
      <c r="CF555" s="21">
        <v>9</v>
      </c>
      <c r="CG555" s="42">
        <v>25</v>
      </c>
      <c r="CH555" s="21">
        <v>27</v>
      </c>
      <c r="CI555" s="21">
        <v>19</v>
      </c>
      <c r="CJ555" s="21">
        <v>8</v>
      </c>
      <c r="CK555" s="21">
        <v>5</v>
      </c>
      <c r="CL555" s="21">
        <v>12</v>
      </c>
      <c r="CM555" s="21">
        <v>0</v>
      </c>
      <c r="CN555" s="21">
        <v>0</v>
      </c>
      <c r="CO555" s="21">
        <v>0</v>
      </c>
      <c r="CP555" s="21">
        <f t="shared" si="779"/>
        <v>0</v>
      </c>
      <c r="CQ555" s="343">
        <f t="shared" si="780"/>
        <v>7.8888888888888893</v>
      </c>
      <c r="CR555" s="40"/>
      <c r="CS555" s="39"/>
      <c r="CT555" s="38">
        <f t="shared" si="781"/>
        <v>0</v>
      </c>
      <c r="CU555" s="38">
        <f t="shared" si="782"/>
        <v>0</v>
      </c>
      <c r="CV555" s="38">
        <f t="shared" si="783"/>
        <v>0</v>
      </c>
      <c r="CW555" s="38">
        <f t="shared" si="784"/>
        <v>0</v>
      </c>
      <c r="CX555" s="38">
        <f t="shared" si="785"/>
        <v>0</v>
      </c>
      <c r="CY555" s="39">
        <f t="shared" si="786"/>
        <v>0</v>
      </c>
      <c r="CZ555" s="40">
        <f t="shared" si="787"/>
        <v>0</v>
      </c>
      <c r="DA555" s="40">
        <f t="shared" si="788"/>
        <v>0</v>
      </c>
      <c r="DB555" s="40">
        <f t="shared" si="789"/>
        <v>0</v>
      </c>
      <c r="DC555" s="40">
        <f t="shared" si="790"/>
        <v>0</v>
      </c>
      <c r="DD555" s="40">
        <f t="shared" si="791"/>
        <v>19</v>
      </c>
      <c r="DE555" s="40">
        <f t="shared" si="792"/>
        <v>38</v>
      </c>
      <c r="DF555" s="40">
        <f t="shared" si="793"/>
        <v>65</v>
      </c>
      <c r="DG555" s="40">
        <f t="shared" si="794"/>
        <v>30</v>
      </c>
      <c r="DH555" s="40">
        <f t="shared" si="795"/>
        <v>26</v>
      </c>
      <c r="DI555" s="40">
        <f t="shared" si="796"/>
        <v>20</v>
      </c>
      <c r="DJ555" s="40">
        <f t="shared" si="797"/>
        <v>12</v>
      </c>
      <c r="DK555" s="39">
        <f t="shared" si="798"/>
        <v>37</v>
      </c>
      <c r="DL555" s="40">
        <f t="shared" si="799"/>
        <v>36</v>
      </c>
      <c r="DM555" s="40">
        <f t="shared" si="800"/>
        <v>31</v>
      </c>
      <c r="DN555" s="40">
        <f t="shared" si="801"/>
        <v>8</v>
      </c>
      <c r="DO555" s="40">
        <f t="shared" si="802"/>
        <v>5</v>
      </c>
      <c r="DP555" s="40">
        <f t="shared" si="803"/>
        <v>12</v>
      </c>
      <c r="DQ555" s="40">
        <f t="shared" si="804"/>
        <v>0</v>
      </c>
      <c r="DR555" s="40">
        <f t="shared" si="809"/>
        <v>0</v>
      </c>
      <c r="DS555" s="40">
        <f t="shared" ref="DS555:DS582" si="810">BK555+CO555</f>
        <v>0</v>
      </c>
      <c r="DT555" s="40">
        <f t="shared" si="805"/>
        <v>0</v>
      </c>
      <c r="DU555" s="40">
        <f t="shared" si="806"/>
        <v>7.8888888888888893</v>
      </c>
      <c r="DV555" s="40">
        <f t="shared" si="807"/>
        <v>0</v>
      </c>
      <c r="DW555" s="40">
        <f t="shared" si="808"/>
        <v>0</v>
      </c>
    </row>
    <row r="556" spans="1:127">
      <c r="A556" s="22" t="s">
        <v>44</v>
      </c>
      <c r="B556" s="26">
        <v>6903148358047</v>
      </c>
      <c r="C556" s="22" t="s">
        <v>44</v>
      </c>
      <c r="D556" s="22" t="s">
        <v>45</v>
      </c>
      <c r="E556" s="22">
        <v>255822</v>
      </c>
      <c r="F556" s="80" t="s">
        <v>643</v>
      </c>
      <c r="G556" s="25">
        <v>480.77</v>
      </c>
      <c r="H556" s="38">
        <f t="shared" si="753"/>
        <v>0</v>
      </c>
      <c r="I556" s="38">
        <f t="shared" si="754"/>
        <v>0</v>
      </c>
      <c r="J556" s="38">
        <f t="shared" si="755"/>
        <v>0</v>
      </c>
      <c r="K556" s="38">
        <f t="shared" si="756"/>
        <v>0</v>
      </c>
      <c r="L556" s="38">
        <f t="shared" si="757"/>
        <v>0</v>
      </c>
      <c r="M556" s="39">
        <f t="shared" si="758"/>
        <v>0</v>
      </c>
      <c r="N556" s="40">
        <f t="shared" si="759"/>
        <v>0</v>
      </c>
      <c r="O556" s="40">
        <f t="shared" si="760"/>
        <v>0</v>
      </c>
      <c r="P556" s="40">
        <f t="shared" si="761"/>
        <v>0</v>
      </c>
      <c r="Q556" s="40">
        <f t="shared" si="762"/>
        <v>0</v>
      </c>
      <c r="R556" s="40">
        <f t="shared" si="763"/>
        <v>6730.78</v>
      </c>
      <c r="S556" s="40">
        <f t="shared" si="764"/>
        <v>10096.17</v>
      </c>
      <c r="T556" s="40">
        <f t="shared" si="765"/>
        <v>20673.11</v>
      </c>
      <c r="U556" s="40">
        <f t="shared" si="766"/>
        <v>36057.75</v>
      </c>
      <c r="V556" s="40">
        <f t="shared" si="767"/>
        <v>8173.09</v>
      </c>
      <c r="W556" s="40">
        <f t="shared" si="768"/>
        <v>6730.78</v>
      </c>
      <c r="X556" s="40">
        <f t="shared" si="769"/>
        <v>10576.939999999999</v>
      </c>
      <c r="Y556" s="39">
        <f t="shared" si="770"/>
        <v>6730.78</v>
      </c>
      <c r="Z556" s="40">
        <f t="shared" si="771"/>
        <v>3365.39</v>
      </c>
      <c r="AA556" s="40">
        <f t="shared" si="772"/>
        <v>14423.099999999999</v>
      </c>
      <c r="AB556" s="40">
        <f t="shared" si="773"/>
        <v>4326.93</v>
      </c>
      <c r="AC556" s="40">
        <f t="shared" si="774"/>
        <v>12980.789999999999</v>
      </c>
      <c r="AD556" s="40">
        <f t="shared" si="775"/>
        <v>3846.16</v>
      </c>
      <c r="AE556" s="40">
        <f t="shared" si="776"/>
        <v>480.77</v>
      </c>
      <c r="AF556" s="40">
        <f t="shared" si="777"/>
        <v>4807.7</v>
      </c>
      <c r="AG556" s="40">
        <f t="shared" si="778"/>
        <v>961.54</v>
      </c>
      <c r="AH556" s="40">
        <f t="shared" si="749"/>
        <v>961.54</v>
      </c>
      <c r="AI556" s="40">
        <f t="shared" si="750"/>
        <v>4059.8355555555554</v>
      </c>
      <c r="AJ556" s="40">
        <f t="shared" si="751"/>
        <v>0</v>
      </c>
      <c r="AK556" s="39">
        <f t="shared" si="752"/>
        <v>0</v>
      </c>
      <c r="AL556" s="38">
        <v>0</v>
      </c>
      <c r="AM556" s="38">
        <v>0</v>
      </c>
      <c r="AN556" s="38">
        <v>0</v>
      </c>
      <c r="AO556" s="38">
        <v>0</v>
      </c>
      <c r="AP556" s="38">
        <v>0</v>
      </c>
      <c r="AQ556" s="39">
        <v>0</v>
      </c>
      <c r="AR556" s="40">
        <v>0</v>
      </c>
      <c r="AS556" s="40">
        <v>0</v>
      </c>
      <c r="AT556" s="40">
        <v>0</v>
      </c>
      <c r="AU556" s="40">
        <v>0</v>
      </c>
      <c r="AV556" s="40">
        <v>0</v>
      </c>
      <c r="AW556" s="40">
        <v>2</v>
      </c>
      <c r="AX556" s="40">
        <v>9</v>
      </c>
      <c r="AY556" s="40">
        <v>11</v>
      </c>
      <c r="AZ556" s="40">
        <v>5</v>
      </c>
      <c r="BA556" s="40">
        <v>6</v>
      </c>
      <c r="BB556" s="40">
        <v>10</v>
      </c>
      <c r="BC556" s="39">
        <v>5</v>
      </c>
      <c r="BD556" s="40">
        <v>5</v>
      </c>
      <c r="BE556" s="40">
        <v>15</v>
      </c>
      <c r="BF556" s="40">
        <v>0</v>
      </c>
      <c r="BG556" s="40">
        <v>0</v>
      </c>
      <c r="BH556" s="40">
        <v>0</v>
      </c>
      <c r="BI556" s="40">
        <v>0</v>
      </c>
      <c r="BJ556" s="40">
        <v>0</v>
      </c>
      <c r="BK556" s="40">
        <v>0</v>
      </c>
      <c r="BL556" s="40">
        <v>0</v>
      </c>
      <c r="BM556" s="40">
        <v>0</v>
      </c>
      <c r="BN556" s="40"/>
      <c r="BO556" s="39"/>
      <c r="BP556" s="21">
        <v>0</v>
      </c>
      <c r="BQ556" s="21">
        <v>0</v>
      </c>
      <c r="BR556" s="21">
        <v>0</v>
      </c>
      <c r="BS556" s="21">
        <v>0</v>
      </c>
      <c r="BT556" s="21">
        <v>0</v>
      </c>
      <c r="BU556" s="42">
        <v>0</v>
      </c>
      <c r="BV556" s="21">
        <v>0</v>
      </c>
      <c r="BW556" s="21">
        <v>0</v>
      </c>
      <c r="BX556" s="21">
        <v>0</v>
      </c>
      <c r="BY556" s="21">
        <v>0</v>
      </c>
      <c r="BZ556" s="21">
        <v>14</v>
      </c>
      <c r="CA556" s="21">
        <v>19</v>
      </c>
      <c r="CB556" s="21">
        <v>34</v>
      </c>
      <c r="CC556" s="21">
        <v>64</v>
      </c>
      <c r="CD556" s="21">
        <v>12</v>
      </c>
      <c r="CE556" s="21">
        <v>8</v>
      </c>
      <c r="CF556" s="21">
        <v>12</v>
      </c>
      <c r="CG556" s="42">
        <v>9</v>
      </c>
      <c r="CH556" s="21">
        <v>2</v>
      </c>
      <c r="CI556" s="21">
        <v>15</v>
      </c>
      <c r="CJ556" s="21">
        <v>9</v>
      </c>
      <c r="CK556" s="21">
        <v>27</v>
      </c>
      <c r="CL556" s="21">
        <v>8</v>
      </c>
      <c r="CM556" s="21">
        <v>1</v>
      </c>
      <c r="CN556" s="21">
        <v>10</v>
      </c>
      <c r="CO556" s="21">
        <v>2</v>
      </c>
      <c r="CP556" s="21">
        <f t="shared" si="779"/>
        <v>2</v>
      </c>
      <c r="CQ556" s="343">
        <f t="shared" si="780"/>
        <v>8.4444444444444446</v>
      </c>
      <c r="CR556" s="40"/>
      <c r="CS556" s="39"/>
      <c r="CT556" s="38">
        <f t="shared" si="781"/>
        <v>0</v>
      </c>
      <c r="CU556" s="38">
        <f t="shared" si="782"/>
        <v>0</v>
      </c>
      <c r="CV556" s="38">
        <f t="shared" si="783"/>
        <v>0</v>
      </c>
      <c r="CW556" s="38">
        <f t="shared" si="784"/>
        <v>0</v>
      </c>
      <c r="CX556" s="38">
        <f t="shared" si="785"/>
        <v>0</v>
      </c>
      <c r="CY556" s="39">
        <f t="shared" si="786"/>
        <v>0</v>
      </c>
      <c r="CZ556" s="40">
        <f t="shared" si="787"/>
        <v>0</v>
      </c>
      <c r="DA556" s="40">
        <f t="shared" si="788"/>
        <v>0</v>
      </c>
      <c r="DB556" s="40">
        <f t="shared" si="789"/>
        <v>0</v>
      </c>
      <c r="DC556" s="40">
        <f t="shared" si="790"/>
        <v>0</v>
      </c>
      <c r="DD556" s="40">
        <f t="shared" si="791"/>
        <v>14</v>
      </c>
      <c r="DE556" s="40">
        <f t="shared" si="792"/>
        <v>21</v>
      </c>
      <c r="DF556" s="40">
        <f t="shared" si="793"/>
        <v>43</v>
      </c>
      <c r="DG556" s="40">
        <f t="shared" si="794"/>
        <v>75</v>
      </c>
      <c r="DH556" s="40">
        <f t="shared" si="795"/>
        <v>17</v>
      </c>
      <c r="DI556" s="40">
        <f t="shared" si="796"/>
        <v>14</v>
      </c>
      <c r="DJ556" s="40">
        <f t="shared" si="797"/>
        <v>22</v>
      </c>
      <c r="DK556" s="39">
        <f t="shared" si="798"/>
        <v>14</v>
      </c>
      <c r="DL556" s="40">
        <f t="shared" si="799"/>
        <v>7</v>
      </c>
      <c r="DM556" s="40">
        <f t="shared" si="800"/>
        <v>30</v>
      </c>
      <c r="DN556" s="40">
        <f t="shared" si="801"/>
        <v>9</v>
      </c>
      <c r="DO556" s="40">
        <f t="shared" si="802"/>
        <v>27</v>
      </c>
      <c r="DP556" s="40">
        <f t="shared" si="803"/>
        <v>8</v>
      </c>
      <c r="DQ556" s="40">
        <f t="shared" si="804"/>
        <v>1</v>
      </c>
      <c r="DR556" s="40">
        <f t="shared" si="809"/>
        <v>10</v>
      </c>
      <c r="DS556" s="40">
        <f t="shared" si="810"/>
        <v>2</v>
      </c>
      <c r="DT556" s="40">
        <f t="shared" si="805"/>
        <v>2</v>
      </c>
      <c r="DU556" s="40">
        <f t="shared" si="806"/>
        <v>8.4444444444444446</v>
      </c>
      <c r="DV556" s="40">
        <f t="shared" si="807"/>
        <v>0</v>
      </c>
      <c r="DW556" s="40">
        <f t="shared" si="808"/>
        <v>0</v>
      </c>
    </row>
    <row r="557" spans="1:127">
      <c r="A557" s="22" t="s">
        <v>44</v>
      </c>
      <c r="B557" s="26">
        <v>6903148358320</v>
      </c>
      <c r="C557" s="22" t="s">
        <v>44</v>
      </c>
      <c r="D557" s="22" t="s">
        <v>45</v>
      </c>
      <c r="E557" s="22">
        <v>255894</v>
      </c>
      <c r="F557" s="80" t="s">
        <v>644</v>
      </c>
      <c r="G557" s="25">
        <v>393.68</v>
      </c>
      <c r="H557" s="38">
        <f t="shared" si="753"/>
        <v>0</v>
      </c>
      <c r="I557" s="38">
        <f t="shared" si="754"/>
        <v>0</v>
      </c>
      <c r="J557" s="38">
        <f t="shared" si="755"/>
        <v>0</v>
      </c>
      <c r="K557" s="38">
        <f t="shared" si="756"/>
        <v>0</v>
      </c>
      <c r="L557" s="38">
        <f t="shared" si="757"/>
        <v>0</v>
      </c>
      <c r="M557" s="39">
        <f t="shared" si="758"/>
        <v>0</v>
      </c>
      <c r="N557" s="40">
        <f t="shared" si="759"/>
        <v>0</v>
      </c>
      <c r="O557" s="40">
        <f t="shared" si="760"/>
        <v>0</v>
      </c>
      <c r="P557" s="40">
        <f t="shared" si="761"/>
        <v>0</v>
      </c>
      <c r="Q557" s="40">
        <f t="shared" si="762"/>
        <v>0</v>
      </c>
      <c r="R557" s="40">
        <f t="shared" si="763"/>
        <v>1968.4</v>
      </c>
      <c r="S557" s="40">
        <f t="shared" si="764"/>
        <v>10629.36</v>
      </c>
      <c r="T557" s="40">
        <f t="shared" si="765"/>
        <v>13778.800000000001</v>
      </c>
      <c r="U557" s="40">
        <f t="shared" si="766"/>
        <v>21652.400000000001</v>
      </c>
      <c r="V557" s="40">
        <f t="shared" si="767"/>
        <v>14172.48</v>
      </c>
      <c r="W557" s="40">
        <f t="shared" si="768"/>
        <v>2362.08</v>
      </c>
      <c r="X557" s="40">
        <f t="shared" si="769"/>
        <v>11416.72</v>
      </c>
      <c r="Y557" s="39">
        <f t="shared" si="770"/>
        <v>9448.32</v>
      </c>
      <c r="Z557" s="40">
        <f t="shared" si="771"/>
        <v>4724.16</v>
      </c>
      <c r="AA557" s="40">
        <f t="shared" si="772"/>
        <v>14172.48</v>
      </c>
      <c r="AB557" s="40">
        <f t="shared" si="773"/>
        <v>3149.44</v>
      </c>
      <c r="AC557" s="40">
        <f t="shared" si="774"/>
        <v>5117.84</v>
      </c>
      <c r="AD557" s="40">
        <f t="shared" si="775"/>
        <v>7873.6</v>
      </c>
      <c r="AE557" s="40">
        <f t="shared" si="776"/>
        <v>393.68</v>
      </c>
      <c r="AF557" s="40">
        <f t="shared" si="777"/>
        <v>2755.76</v>
      </c>
      <c r="AG557" s="40">
        <f t="shared" si="778"/>
        <v>0</v>
      </c>
      <c r="AH557" s="40">
        <f t="shared" si="749"/>
        <v>0</v>
      </c>
      <c r="AI557" s="40">
        <f t="shared" si="750"/>
        <v>3280.666666666667</v>
      </c>
      <c r="AJ557" s="40">
        <f t="shared" si="751"/>
        <v>0</v>
      </c>
      <c r="AK557" s="39">
        <f t="shared" si="752"/>
        <v>0</v>
      </c>
      <c r="AL557" s="38">
        <v>0</v>
      </c>
      <c r="AM557" s="38">
        <v>0</v>
      </c>
      <c r="AN557" s="38">
        <v>0</v>
      </c>
      <c r="AO557" s="38">
        <v>0</v>
      </c>
      <c r="AP557" s="38">
        <v>0</v>
      </c>
      <c r="AQ557" s="39">
        <v>0</v>
      </c>
      <c r="AR557" s="40">
        <v>0</v>
      </c>
      <c r="AS557" s="40">
        <v>0</v>
      </c>
      <c r="AT557" s="40">
        <v>0</v>
      </c>
      <c r="AU557" s="40">
        <v>0</v>
      </c>
      <c r="AV557" s="40">
        <v>0</v>
      </c>
      <c r="AW557" s="40">
        <v>3</v>
      </c>
      <c r="AX557" s="40">
        <v>13</v>
      </c>
      <c r="AY557" s="40">
        <v>13</v>
      </c>
      <c r="AZ557" s="40">
        <v>2</v>
      </c>
      <c r="BA557" s="40">
        <v>6</v>
      </c>
      <c r="BB557" s="40">
        <v>8</v>
      </c>
      <c r="BC557" s="39">
        <v>6</v>
      </c>
      <c r="BD557" s="40">
        <v>6</v>
      </c>
      <c r="BE557" s="40">
        <v>16</v>
      </c>
      <c r="BF557" s="40">
        <v>0</v>
      </c>
      <c r="BG557" s="40">
        <v>0</v>
      </c>
      <c r="BH557" s="40">
        <v>0</v>
      </c>
      <c r="BI557" s="40">
        <v>0</v>
      </c>
      <c r="BJ557" s="40">
        <v>0</v>
      </c>
      <c r="BK557" s="40">
        <v>0</v>
      </c>
      <c r="BL557" s="40">
        <v>0</v>
      </c>
      <c r="BM557" s="40">
        <v>0</v>
      </c>
      <c r="BN557" s="40"/>
      <c r="BO557" s="39"/>
      <c r="BP557" s="21">
        <v>0</v>
      </c>
      <c r="BQ557" s="21">
        <v>0</v>
      </c>
      <c r="BR557" s="21">
        <v>0</v>
      </c>
      <c r="BS557" s="21">
        <v>0</v>
      </c>
      <c r="BT557" s="21">
        <v>0</v>
      </c>
      <c r="BU557" s="42">
        <v>0</v>
      </c>
      <c r="BV557" s="21">
        <v>0</v>
      </c>
      <c r="BW557" s="21">
        <v>0</v>
      </c>
      <c r="BX557" s="21">
        <v>0</v>
      </c>
      <c r="BY557" s="21">
        <v>0</v>
      </c>
      <c r="BZ557" s="21">
        <v>5</v>
      </c>
      <c r="CA557" s="21">
        <v>24</v>
      </c>
      <c r="CB557" s="21">
        <v>22</v>
      </c>
      <c r="CC557" s="21">
        <v>42</v>
      </c>
      <c r="CD557" s="21">
        <v>34</v>
      </c>
      <c r="CE557" s="21">
        <v>0</v>
      </c>
      <c r="CF557" s="21">
        <v>21</v>
      </c>
      <c r="CG557" s="42">
        <v>18</v>
      </c>
      <c r="CH557" s="21">
        <v>6</v>
      </c>
      <c r="CI557" s="21">
        <v>20</v>
      </c>
      <c r="CJ557" s="21">
        <v>8</v>
      </c>
      <c r="CK557" s="21">
        <v>13</v>
      </c>
      <c r="CL557" s="21">
        <v>20</v>
      </c>
      <c r="CM557" s="21">
        <v>1</v>
      </c>
      <c r="CN557" s="21">
        <v>7</v>
      </c>
      <c r="CO557" s="21">
        <v>0</v>
      </c>
      <c r="CP557" s="21">
        <f t="shared" si="779"/>
        <v>0</v>
      </c>
      <c r="CQ557" s="343">
        <f t="shared" si="780"/>
        <v>8.3333333333333339</v>
      </c>
      <c r="CR557" s="40"/>
      <c r="CS557" s="39"/>
      <c r="CT557" s="38">
        <f t="shared" si="781"/>
        <v>0</v>
      </c>
      <c r="CU557" s="38">
        <f t="shared" si="782"/>
        <v>0</v>
      </c>
      <c r="CV557" s="38">
        <f t="shared" si="783"/>
        <v>0</v>
      </c>
      <c r="CW557" s="38">
        <f t="shared" si="784"/>
        <v>0</v>
      </c>
      <c r="CX557" s="38">
        <f t="shared" si="785"/>
        <v>0</v>
      </c>
      <c r="CY557" s="39">
        <f t="shared" si="786"/>
        <v>0</v>
      </c>
      <c r="CZ557" s="40">
        <f t="shared" si="787"/>
        <v>0</v>
      </c>
      <c r="DA557" s="40">
        <f t="shared" si="788"/>
        <v>0</v>
      </c>
      <c r="DB557" s="40">
        <f t="shared" si="789"/>
        <v>0</v>
      </c>
      <c r="DC557" s="40">
        <f t="shared" si="790"/>
        <v>0</v>
      </c>
      <c r="DD557" s="40">
        <f t="shared" si="791"/>
        <v>5</v>
      </c>
      <c r="DE557" s="40">
        <f t="shared" si="792"/>
        <v>27</v>
      </c>
      <c r="DF557" s="40">
        <f t="shared" si="793"/>
        <v>35</v>
      </c>
      <c r="DG557" s="40">
        <f t="shared" si="794"/>
        <v>55</v>
      </c>
      <c r="DH557" s="40">
        <f t="shared" si="795"/>
        <v>36</v>
      </c>
      <c r="DI557" s="40">
        <f t="shared" si="796"/>
        <v>6</v>
      </c>
      <c r="DJ557" s="40">
        <f t="shared" si="797"/>
        <v>29</v>
      </c>
      <c r="DK557" s="39">
        <f t="shared" si="798"/>
        <v>24</v>
      </c>
      <c r="DL557" s="40">
        <f t="shared" si="799"/>
        <v>12</v>
      </c>
      <c r="DM557" s="40">
        <f t="shared" si="800"/>
        <v>36</v>
      </c>
      <c r="DN557" s="40">
        <f t="shared" si="801"/>
        <v>8</v>
      </c>
      <c r="DO557" s="40">
        <f t="shared" si="802"/>
        <v>13</v>
      </c>
      <c r="DP557" s="40">
        <f t="shared" si="803"/>
        <v>20</v>
      </c>
      <c r="DQ557" s="40">
        <f t="shared" si="804"/>
        <v>1</v>
      </c>
      <c r="DR557" s="40">
        <f t="shared" si="809"/>
        <v>7</v>
      </c>
      <c r="DS557" s="40">
        <f t="shared" si="810"/>
        <v>0</v>
      </c>
      <c r="DT557" s="40">
        <f t="shared" si="805"/>
        <v>0</v>
      </c>
      <c r="DU557" s="40">
        <f t="shared" si="806"/>
        <v>8.3333333333333339</v>
      </c>
      <c r="DV557" s="40">
        <f t="shared" si="807"/>
        <v>0</v>
      </c>
      <c r="DW557" s="40">
        <f t="shared" si="808"/>
        <v>0</v>
      </c>
    </row>
    <row r="558" spans="1:127">
      <c r="A558" s="22" t="s">
        <v>44</v>
      </c>
      <c r="B558" s="26">
        <v>6903148358252</v>
      </c>
      <c r="C558" s="22" t="s">
        <v>44</v>
      </c>
      <c r="D558" s="22" t="s">
        <v>45</v>
      </c>
      <c r="E558" s="22">
        <v>255960</v>
      </c>
      <c r="F558" s="80" t="s">
        <v>645</v>
      </c>
      <c r="G558" s="25">
        <v>461.21</v>
      </c>
      <c r="H558" s="38">
        <f t="shared" si="753"/>
        <v>0</v>
      </c>
      <c r="I558" s="38">
        <f t="shared" si="754"/>
        <v>0</v>
      </c>
      <c r="J558" s="38">
        <f t="shared" si="755"/>
        <v>0</v>
      </c>
      <c r="K558" s="38">
        <f t="shared" si="756"/>
        <v>0</v>
      </c>
      <c r="L558" s="38">
        <f t="shared" si="757"/>
        <v>0</v>
      </c>
      <c r="M558" s="39">
        <f t="shared" si="758"/>
        <v>0</v>
      </c>
      <c r="N558" s="40">
        <f t="shared" si="759"/>
        <v>0</v>
      </c>
      <c r="O558" s="40">
        <f t="shared" si="760"/>
        <v>0</v>
      </c>
      <c r="P558" s="40">
        <f t="shared" si="761"/>
        <v>0</v>
      </c>
      <c r="Q558" s="40">
        <f t="shared" si="762"/>
        <v>0</v>
      </c>
      <c r="R558" s="40">
        <f t="shared" si="763"/>
        <v>10146.619999999999</v>
      </c>
      <c r="S558" s="40">
        <f t="shared" si="764"/>
        <v>23521.71</v>
      </c>
      <c r="T558" s="40">
        <f t="shared" si="765"/>
        <v>27672.6</v>
      </c>
      <c r="U558" s="40">
        <f t="shared" si="766"/>
        <v>33207.119999999995</v>
      </c>
      <c r="V558" s="40">
        <f t="shared" si="767"/>
        <v>37358.009999999995</v>
      </c>
      <c r="W558" s="40">
        <f t="shared" si="768"/>
        <v>18448.399999999998</v>
      </c>
      <c r="X558" s="40">
        <f t="shared" si="769"/>
        <v>26750.18</v>
      </c>
      <c r="Y558" s="39">
        <f t="shared" si="770"/>
        <v>14758.72</v>
      </c>
      <c r="Z558" s="40">
        <f t="shared" si="771"/>
        <v>10607.83</v>
      </c>
      <c r="AA558" s="40">
        <f t="shared" si="772"/>
        <v>35051.96</v>
      </c>
      <c r="AB558" s="40">
        <f t="shared" si="773"/>
        <v>5073.3099999999995</v>
      </c>
      <c r="AC558" s="40">
        <f t="shared" si="774"/>
        <v>3689.68</v>
      </c>
      <c r="AD558" s="40">
        <f t="shared" si="775"/>
        <v>2767.2599999999998</v>
      </c>
      <c r="AE558" s="40">
        <f t="shared" si="776"/>
        <v>5073.3099999999995</v>
      </c>
      <c r="AF558" s="40">
        <f t="shared" si="777"/>
        <v>7379.36</v>
      </c>
      <c r="AG558" s="40">
        <f t="shared" si="778"/>
        <v>922.42</v>
      </c>
      <c r="AH558" s="40">
        <f t="shared" si="749"/>
        <v>922.42</v>
      </c>
      <c r="AI558" s="40">
        <f t="shared" si="750"/>
        <v>6559.4311111111101</v>
      </c>
      <c r="AJ558" s="40">
        <f t="shared" si="751"/>
        <v>0</v>
      </c>
      <c r="AK558" s="39">
        <f t="shared" si="752"/>
        <v>0</v>
      </c>
      <c r="AL558" s="38">
        <v>0</v>
      </c>
      <c r="AM558" s="38">
        <v>0</v>
      </c>
      <c r="AN558" s="38">
        <v>0</v>
      </c>
      <c r="AO558" s="38">
        <v>0</v>
      </c>
      <c r="AP558" s="38">
        <v>0</v>
      </c>
      <c r="AQ558" s="39">
        <v>0</v>
      </c>
      <c r="AR558" s="40">
        <v>0</v>
      </c>
      <c r="AS558" s="40">
        <v>0</v>
      </c>
      <c r="AT558" s="40">
        <v>0</v>
      </c>
      <c r="AU558" s="40">
        <v>0</v>
      </c>
      <c r="AV558" s="40">
        <v>0</v>
      </c>
      <c r="AW558" s="40">
        <v>6</v>
      </c>
      <c r="AX558" s="40">
        <v>17</v>
      </c>
      <c r="AY558" s="40">
        <v>14</v>
      </c>
      <c r="AZ558" s="40">
        <v>16</v>
      </c>
      <c r="BA558" s="40">
        <v>5</v>
      </c>
      <c r="BB558" s="40">
        <v>6</v>
      </c>
      <c r="BC558" s="39">
        <v>14</v>
      </c>
      <c r="BD558" s="40">
        <v>15</v>
      </c>
      <c r="BE558" s="40">
        <v>12</v>
      </c>
      <c r="BF558" s="40">
        <v>0</v>
      </c>
      <c r="BG558" s="40">
        <v>0</v>
      </c>
      <c r="BH558" s="40">
        <v>0</v>
      </c>
      <c r="BI558" s="40">
        <v>0</v>
      </c>
      <c r="BJ558" s="40">
        <v>0</v>
      </c>
      <c r="BK558" s="40">
        <v>0</v>
      </c>
      <c r="BL558" s="40">
        <v>0</v>
      </c>
      <c r="BM558" s="40">
        <v>0</v>
      </c>
      <c r="BN558" s="40"/>
      <c r="BO558" s="39"/>
      <c r="BP558" s="21">
        <v>0</v>
      </c>
      <c r="BQ558" s="21">
        <v>0</v>
      </c>
      <c r="BR558" s="21">
        <v>0</v>
      </c>
      <c r="BS558" s="21">
        <v>0</v>
      </c>
      <c r="BT558" s="21">
        <v>0</v>
      </c>
      <c r="BU558" s="42">
        <v>0</v>
      </c>
      <c r="BV558" s="21">
        <v>0</v>
      </c>
      <c r="BW558" s="21">
        <v>0</v>
      </c>
      <c r="BX558" s="21">
        <v>0</v>
      </c>
      <c r="BY558" s="21">
        <v>0</v>
      </c>
      <c r="BZ558" s="21">
        <v>22</v>
      </c>
      <c r="CA558" s="21">
        <v>45</v>
      </c>
      <c r="CB558" s="21">
        <v>43</v>
      </c>
      <c r="CC558" s="21">
        <v>58</v>
      </c>
      <c r="CD558" s="21">
        <v>65</v>
      </c>
      <c r="CE558" s="21">
        <v>35</v>
      </c>
      <c r="CF558" s="21">
        <v>52</v>
      </c>
      <c r="CG558" s="42">
        <v>18</v>
      </c>
      <c r="CH558" s="21">
        <v>8</v>
      </c>
      <c r="CI558" s="21">
        <v>64</v>
      </c>
      <c r="CJ558" s="21">
        <v>11</v>
      </c>
      <c r="CK558" s="21">
        <v>8</v>
      </c>
      <c r="CL558" s="21">
        <v>6</v>
      </c>
      <c r="CM558" s="21">
        <v>11</v>
      </c>
      <c r="CN558" s="21">
        <v>16</v>
      </c>
      <c r="CO558" s="21">
        <v>2</v>
      </c>
      <c r="CP558" s="21">
        <f t="shared" si="779"/>
        <v>2</v>
      </c>
      <c r="CQ558" s="343">
        <f t="shared" si="780"/>
        <v>14.222222222222221</v>
      </c>
      <c r="CR558" s="40"/>
      <c r="CS558" s="39"/>
      <c r="CT558" s="38">
        <f t="shared" si="781"/>
        <v>0</v>
      </c>
      <c r="CU558" s="38">
        <f t="shared" si="782"/>
        <v>0</v>
      </c>
      <c r="CV558" s="38">
        <f t="shared" si="783"/>
        <v>0</v>
      </c>
      <c r="CW558" s="38">
        <f t="shared" si="784"/>
        <v>0</v>
      </c>
      <c r="CX558" s="38">
        <f t="shared" si="785"/>
        <v>0</v>
      </c>
      <c r="CY558" s="39">
        <f t="shared" si="786"/>
        <v>0</v>
      </c>
      <c r="CZ558" s="40">
        <f t="shared" si="787"/>
        <v>0</v>
      </c>
      <c r="DA558" s="40">
        <f t="shared" si="788"/>
        <v>0</v>
      </c>
      <c r="DB558" s="40">
        <f t="shared" si="789"/>
        <v>0</v>
      </c>
      <c r="DC558" s="40">
        <f t="shared" si="790"/>
        <v>0</v>
      </c>
      <c r="DD558" s="40">
        <f t="shared" si="791"/>
        <v>22</v>
      </c>
      <c r="DE558" s="40">
        <f t="shared" si="792"/>
        <v>51</v>
      </c>
      <c r="DF558" s="40">
        <f t="shared" si="793"/>
        <v>60</v>
      </c>
      <c r="DG558" s="40">
        <f t="shared" si="794"/>
        <v>72</v>
      </c>
      <c r="DH558" s="40">
        <f t="shared" si="795"/>
        <v>81</v>
      </c>
      <c r="DI558" s="40">
        <f t="shared" si="796"/>
        <v>40</v>
      </c>
      <c r="DJ558" s="40">
        <f t="shared" si="797"/>
        <v>58</v>
      </c>
      <c r="DK558" s="39">
        <f t="shared" si="798"/>
        <v>32</v>
      </c>
      <c r="DL558" s="40">
        <f t="shared" si="799"/>
        <v>23</v>
      </c>
      <c r="DM558" s="40">
        <f t="shared" si="800"/>
        <v>76</v>
      </c>
      <c r="DN558" s="40">
        <f t="shared" si="801"/>
        <v>11</v>
      </c>
      <c r="DO558" s="40">
        <f t="shared" si="802"/>
        <v>8</v>
      </c>
      <c r="DP558" s="40">
        <f t="shared" si="803"/>
        <v>6</v>
      </c>
      <c r="DQ558" s="40">
        <f t="shared" si="804"/>
        <v>11</v>
      </c>
      <c r="DR558" s="40">
        <f t="shared" si="809"/>
        <v>16</v>
      </c>
      <c r="DS558" s="40">
        <f t="shared" si="810"/>
        <v>2</v>
      </c>
      <c r="DT558" s="40">
        <f t="shared" si="805"/>
        <v>2</v>
      </c>
      <c r="DU558" s="40">
        <f t="shared" si="806"/>
        <v>14.222222222222221</v>
      </c>
      <c r="DV558" s="40">
        <f t="shared" si="807"/>
        <v>0</v>
      </c>
      <c r="DW558" s="40">
        <f t="shared" si="808"/>
        <v>0</v>
      </c>
    </row>
    <row r="559" spans="1:127">
      <c r="A559" s="22" t="s">
        <v>44</v>
      </c>
      <c r="B559" s="26">
        <v>6903148358238</v>
      </c>
      <c r="C559" s="22" t="s">
        <v>44</v>
      </c>
      <c r="D559" s="22" t="s">
        <v>45</v>
      </c>
      <c r="E559" s="22">
        <v>255967</v>
      </c>
      <c r="F559" s="80" t="s">
        <v>646</v>
      </c>
      <c r="G559" s="25">
        <v>393.68</v>
      </c>
      <c r="H559" s="38">
        <f t="shared" si="753"/>
        <v>0</v>
      </c>
      <c r="I559" s="38">
        <f t="shared" si="754"/>
        <v>0</v>
      </c>
      <c r="J559" s="38">
        <f t="shared" si="755"/>
        <v>0</v>
      </c>
      <c r="K559" s="38">
        <f t="shared" si="756"/>
        <v>0</v>
      </c>
      <c r="L559" s="38">
        <f t="shared" si="757"/>
        <v>0</v>
      </c>
      <c r="M559" s="39">
        <f t="shared" si="758"/>
        <v>0</v>
      </c>
      <c r="N559" s="40">
        <f t="shared" si="759"/>
        <v>0</v>
      </c>
      <c r="O559" s="40">
        <f t="shared" si="760"/>
        <v>0</v>
      </c>
      <c r="P559" s="40">
        <f t="shared" si="761"/>
        <v>0</v>
      </c>
      <c r="Q559" s="40">
        <f t="shared" si="762"/>
        <v>0</v>
      </c>
      <c r="R559" s="40">
        <f t="shared" si="763"/>
        <v>393.68</v>
      </c>
      <c r="S559" s="40">
        <f t="shared" si="764"/>
        <v>9842</v>
      </c>
      <c r="T559" s="40">
        <f t="shared" si="765"/>
        <v>10629.36</v>
      </c>
      <c r="U559" s="40">
        <f t="shared" si="766"/>
        <v>11416.72</v>
      </c>
      <c r="V559" s="40">
        <f t="shared" si="767"/>
        <v>7873.6</v>
      </c>
      <c r="W559" s="40">
        <f t="shared" si="768"/>
        <v>5117.84</v>
      </c>
      <c r="X559" s="40">
        <f t="shared" si="769"/>
        <v>4724.16</v>
      </c>
      <c r="Y559" s="39">
        <f t="shared" si="770"/>
        <v>5511.52</v>
      </c>
      <c r="Z559" s="40">
        <f t="shared" si="771"/>
        <v>10235.68</v>
      </c>
      <c r="AA559" s="40">
        <f t="shared" si="772"/>
        <v>15353.52</v>
      </c>
      <c r="AB559" s="40">
        <f t="shared" si="773"/>
        <v>1574.72</v>
      </c>
      <c r="AC559" s="40">
        <f t="shared" si="774"/>
        <v>1968.4</v>
      </c>
      <c r="AD559" s="40">
        <f t="shared" si="775"/>
        <v>6298.88</v>
      </c>
      <c r="AE559" s="40">
        <f t="shared" si="776"/>
        <v>1181.04</v>
      </c>
      <c r="AF559" s="40">
        <f t="shared" si="777"/>
        <v>1181.04</v>
      </c>
      <c r="AG559" s="40">
        <f t="shared" si="778"/>
        <v>2362.08</v>
      </c>
      <c r="AH559" s="40">
        <f t="shared" si="749"/>
        <v>2362.08</v>
      </c>
      <c r="AI559" s="40">
        <f t="shared" si="750"/>
        <v>3849.3155555555559</v>
      </c>
      <c r="AJ559" s="40">
        <f t="shared" si="751"/>
        <v>0</v>
      </c>
      <c r="AK559" s="39">
        <f t="shared" si="752"/>
        <v>0</v>
      </c>
      <c r="AL559" s="38">
        <v>0</v>
      </c>
      <c r="AM559" s="38">
        <v>0</v>
      </c>
      <c r="AN559" s="38">
        <v>0</v>
      </c>
      <c r="AO559" s="38">
        <v>0</v>
      </c>
      <c r="AP559" s="38">
        <v>0</v>
      </c>
      <c r="AQ559" s="39">
        <v>0</v>
      </c>
      <c r="AR559" s="40">
        <v>0</v>
      </c>
      <c r="AS559" s="40">
        <v>0</v>
      </c>
      <c r="AT559" s="40">
        <v>0</v>
      </c>
      <c r="AU559" s="40">
        <v>0</v>
      </c>
      <c r="AV559" s="40">
        <v>0</v>
      </c>
      <c r="AW559" s="40">
        <v>1</v>
      </c>
      <c r="AX559" s="40">
        <v>4</v>
      </c>
      <c r="AY559" s="40">
        <v>8</v>
      </c>
      <c r="AZ559" s="40">
        <v>5</v>
      </c>
      <c r="BA559" s="40">
        <v>5</v>
      </c>
      <c r="BB559" s="40">
        <v>5</v>
      </c>
      <c r="BC559" s="39">
        <v>1</v>
      </c>
      <c r="BD559" s="40">
        <v>5</v>
      </c>
      <c r="BE559" s="40">
        <v>15</v>
      </c>
      <c r="BF559" s="40">
        <v>0</v>
      </c>
      <c r="BG559" s="40">
        <v>0</v>
      </c>
      <c r="BH559" s="40">
        <v>0</v>
      </c>
      <c r="BI559" s="40">
        <v>0</v>
      </c>
      <c r="BJ559" s="40">
        <v>0</v>
      </c>
      <c r="BK559" s="40">
        <v>0</v>
      </c>
      <c r="BL559" s="40">
        <v>0</v>
      </c>
      <c r="BM559" s="40">
        <v>0</v>
      </c>
      <c r="BN559" s="40"/>
      <c r="BO559" s="39"/>
      <c r="BP559" s="21">
        <v>0</v>
      </c>
      <c r="BQ559" s="21">
        <v>0</v>
      </c>
      <c r="BR559" s="21">
        <v>0</v>
      </c>
      <c r="BS559" s="21">
        <v>0</v>
      </c>
      <c r="BT559" s="21">
        <v>0</v>
      </c>
      <c r="BU559" s="42">
        <v>0</v>
      </c>
      <c r="BV559" s="21">
        <v>0</v>
      </c>
      <c r="BW559" s="21">
        <v>0</v>
      </c>
      <c r="BX559" s="21">
        <v>0</v>
      </c>
      <c r="BY559" s="21">
        <v>0</v>
      </c>
      <c r="BZ559" s="21">
        <v>1</v>
      </c>
      <c r="CA559" s="21">
        <v>24</v>
      </c>
      <c r="CB559" s="21">
        <v>23</v>
      </c>
      <c r="CC559" s="21">
        <v>21</v>
      </c>
      <c r="CD559" s="21">
        <v>15</v>
      </c>
      <c r="CE559" s="21">
        <v>8</v>
      </c>
      <c r="CF559" s="21">
        <v>7</v>
      </c>
      <c r="CG559" s="42">
        <v>13</v>
      </c>
      <c r="CH559" s="21">
        <v>21</v>
      </c>
      <c r="CI559" s="21">
        <v>24</v>
      </c>
      <c r="CJ559" s="21">
        <v>4</v>
      </c>
      <c r="CK559" s="21">
        <v>5</v>
      </c>
      <c r="CL559" s="21">
        <v>16</v>
      </c>
      <c r="CM559" s="21">
        <v>3</v>
      </c>
      <c r="CN559" s="21">
        <v>3</v>
      </c>
      <c r="CO559" s="21">
        <v>6</v>
      </c>
      <c r="CP559" s="21">
        <f t="shared" si="779"/>
        <v>6</v>
      </c>
      <c r="CQ559" s="343">
        <f t="shared" si="780"/>
        <v>9.7777777777777786</v>
      </c>
      <c r="CR559" s="40"/>
      <c r="CS559" s="39"/>
      <c r="CT559" s="38">
        <f t="shared" si="781"/>
        <v>0</v>
      </c>
      <c r="CU559" s="38">
        <f t="shared" si="782"/>
        <v>0</v>
      </c>
      <c r="CV559" s="38">
        <f t="shared" si="783"/>
        <v>0</v>
      </c>
      <c r="CW559" s="38">
        <f t="shared" si="784"/>
        <v>0</v>
      </c>
      <c r="CX559" s="38">
        <f t="shared" si="785"/>
        <v>0</v>
      </c>
      <c r="CY559" s="39">
        <f t="shared" si="786"/>
        <v>0</v>
      </c>
      <c r="CZ559" s="40">
        <f t="shared" si="787"/>
        <v>0</v>
      </c>
      <c r="DA559" s="40">
        <f t="shared" si="788"/>
        <v>0</v>
      </c>
      <c r="DB559" s="40">
        <f t="shared" si="789"/>
        <v>0</v>
      </c>
      <c r="DC559" s="40">
        <f t="shared" si="790"/>
        <v>0</v>
      </c>
      <c r="DD559" s="40">
        <f t="shared" si="791"/>
        <v>1</v>
      </c>
      <c r="DE559" s="40">
        <f t="shared" si="792"/>
        <v>25</v>
      </c>
      <c r="DF559" s="40">
        <f t="shared" si="793"/>
        <v>27</v>
      </c>
      <c r="DG559" s="40">
        <f t="shared" si="794"/>
        <v>29</v>
      </c>
      <c r="DH559" s="40">
        <f t="shared" si="795"/>
        <v>20</v>
      </c>
      <c r="DI559" s="40">
        <f t="shared" si="796"/>
        <v>13</v>
      </c>
      <c r="DJ559" s="40">
        <f t="shared" si="797"/>
        <v>12</v>
      </c>
      <c r="DK559" s="39">
        <f t="shared" si="798"/>
        <v>14</v>
      </c>
      <c r="DL559" s="40">
        <f t="shared" si="799"/>
        <v>26</v>
      </c>
      <c r="DM559" s="40">
        <f t="shared" si="800"/>
        <v>39</v>
      </c>
      <c r="DN559" s="40">
        <f t="shared" si="801"/>
        <v>4</v>
      </c>
      <c r="DO559" s="40">
        <f t="shared" si="802"/>
        <v>5</v>
      </c>
      <c r="DP559" s="40">
        <f t="shared" si="803"/>
        <v>16</v>
      </c>
      <c r="DQ559" s="40">
        <f t="shared" si="804"/>
        <v>3</v>
      </c>
      <c r="DR559" s="40">
        <f t="shared" si="809"/>
        <v>3</v>
      </c>
      <c r="DS559" s="40">
        <f t="shared" si="810"/>
        <v>6</v>
      </c>
      <c r="DT559" s="40">
        <f t="shared" si="805"/>
        <v>6</v>
      </c>
      <c r="DU559" s="40">
        <f t="shared" si="806"/>
        <v>9.7777777777777786</v>
      </c>
      <c r="DV559" s="40">
        <f t="shared" si="807"/>
        <v>0</v>
      </c>
      <c r="DW559" s="40">
        <f t="shared" si="808"/>
        <v>0</v>
      </c>
    </row>
    <row r="560" spans="1:127">
      <c r="A560" s="22" t="s">
        <v>44</v>
      </c>
      <c r="B560" s="26">
        <v>4987176287007</v>
      </c>
      <c r="C560" s="22" t="s">
        <v>44</v>
      </c>
      <c r="D560" s="22" t="s">
        <v>45</v>
      </c>
      <c r="E560" s="22">
        <v>255976</v>
      </c>
      <c r="F560" s="80" t="s">
        <v>647</v>
      </c>
      <c r="G560" s="25">
        <v>1005.12</v>
      </c>
      <c r="H560" s="38">
        <f t="shared" si="753"/>
        <v>0</v>
      </c>
      <c r="I560" s="38">
        <f t="shared" si="754"/>
        <v>0</v>
      </c>
      <c r="J560" s="38">
        <f t="shared" si="755"/>
        <v>0</v>
      </c>
      <c r="K560" s="38">
        <f t="shared" si="756"/>
        <v>0</v>
      </c>
      <c r="L560" s="38">
        <f t="shared" si="757"/>
        <v>0</v>
      </c>
      <c r="M560" s="39">
        <f t="shared" si="758"/>
        <v>0</v>
      </c>
      <c r="N560" s="40">
        <f t="shared" si="759"/>
        <v>0</v>
      </c>
      <c r="O560" s="40">
        <f t="shared" si="760"/>
        <v>0</v>
      </c>
      <c r="P560" s="40">
        <f t="shared" si="761"/>
        <v>0</v>
      </c>
      <c r="Q560" s="40">
        <f t="shared" si="762"/>
        <v>0</v>
      </c>
      <c r="R560" s="40">
        <f t="shared" si="763"/>
        <v>0</v>
      </c>
      <c r="S560" s="40">
        <f t="shared" si="764"/>
        <v>1005.12</v>
      </c>
      <c r="T560" s="40">
        <f t="shared" si="765"/>
        <v>24122.880000000001</v>
      </c>
      <c r="U560" s="40">
        <f t="shared" si="766"/>
        <v>94481.279999999999</v>
      </c>
      <c r="V560" s="40">
        <f t="shared" si="767"/>
        <v>146747.51999999999</v>
      </c>
      <c r="W560" s="40">
        <f t="shared" si="768"/>
        <v>61312.32</v>
      </c>
      <c r="X560" s="40">
        <f t="shared" si="769"/>
        <v>38194.559999999998</v>
      </c>
      <c r="Y560" s="39">
        <f t="shared" si="770"/>
        <v>29148.48</v>
      </c>
      <c r="Z560" s="40">
        <f t="shared" si="771"/>
        <v>24122.880000000001</v>
      </c>
      <c r="AA560" s="40">
        <f t="shared" si="772"/>
        <v>55281.599999999999</v>
      </c>
      <c r="AB560" s="40">
        <f t="shared" si="773"/>
        <v>34174.080000000002</v>
      </c>
      <c r="AC560" s="40">
        <f t="shared" si="774"/>
        <v>23117.759999999998</v>
      </c>
      <c r="AD560" s="40">
        <f t="shared" si="775"/>
        <v>23117.759999999998</v>
      </c>
      <c r="AE560" s="40">
        <f t="shared" si="776"/>
        <v>6030.72</v>
      </c>
      <c r="AF560" s="40">
        <f t="shared" si="777"/>
        <v>30153.599999999999</v>
      </c>
      <c r="AG560" s="40">
        <f t="shared" si="778"/>
        <v>4020.48</v>
      </c>
      <c r="AH560" s="40">
        <f t="shared" si="749"/>
        <v>4020.48</v>
      </c>
      <c r="AI560" s="40">
        <f t="shared" si="750"/>
        <v>20772.48</v>
      </c>
      <c r="AJ560" s="40">
        <f t="shared" si="751"/>
        <v>0</v>
      </c>
      <c r="AK560" s="39">
        <f t="shared" si="752"/>
        <v>0</v>
      </c>
      <c r="AL560" s="38">
        <v>0</v>
      </c>
      <c r="AM560" s="38">
        <v>0</v>
      </c>
      <c r="AN560" s="38">
        <v>0</v>
      </c>
      <c r="AO560" s="38">
        <v>0</v>
      </c>
      <c r="AP560" s="38">
        <v>0</v>
      </c>
      <c r="AQ560" s="39">
        <v>0</v>
      </c>
      <c r="AR560" s="40">
        <v>0</v>
      </c>
      <c r="AS560" s="40">
        <v>0</v>
      </c>
      <c r="AT560" s="40">
        <v>0</v>
      </c>
      <c r="AU560" s="40">
        <v>0</v>
      </c>
      <c r="AV560" s="40">
        <v>0</v>
      </c>
      <c r="AW560" s="40">
        <v>1</v>
      </c>
      <c r="AX560" s="40">
        <v>4</v>
      </c>
      <c r="AY560" s="40">
        <v>5</v>
      </c>
      <c r="AZ560" s="40">
        <v>5</v>
      </c>
      <c r="BA560" s="40">
        <v>8</v>
      </c>
      <c r="BB560" s="40">
        <v>1</v>
      </c>
      <c r="BC560" s="39">
        <v>3</v>
      </c>
      <c r="BD560" s="40">
        <v>2</v>
      </c>
      <c r="BE560" s="40">
        <v>15</v>
      </c>
      <c r="BF560" s="40">
        <v>0</v>
      </c>
      <c r="BG560" s="40">
        <v>0</v>
      </c>
      <c r="BH560" s="40">
        <v>0</v>
      </c>
      <c r="BI560" s="40">
        <v>0</v>
      </c>
      <c r="BJ560" s="40">
        <v>0</v>
      </c>
      <c r="BK560" s="40">
        <v>0</v>
      </c>
      <c r="BL560" s="40">
        <v>0</v>
      </c>
      <c r="BM560" s="40">
        <v>0</v>
      </c>
      <c r="BN560" s="40"/>
      <c r="BO560" s="39"/>
      <c r="BP560" s="21">
        <v>0</v>
      </c>
      <c r="BQ560" s="21">
        <v>0</v>
      </c>
      <c r="BR560" s="21">
        <v>0</v>
      </c>
      <c r="BS560" s="21">
        <v>0</v>
      </c>
      <c r="BT560" s="21">
        <v>0</v>
      </c>
      <c r="BU560" s="42">
        <v>0</v>
      </c>
      <c r="BV560" s="21">
        <v>0</v>
      </c>
      <c r="BW560" s="21">
        <v>0</v>
      </c>
      <c r="BX560" s="21">
        <v>0</v>
      </c>
      <c r="BY560" s="21">
        <v>0</v>
      </c>
      <c r="BZ560" s="21">
        <v>0</v>
      </c>
      <c r="CA560" s="21">
        <v>0</v>
      </c>
      <c r="CB560" s="21">
        <v>20</v>
      </c>
      <c r="CC560" s="21">
        <v>89</v>
      </c>
      <c r="CD560" s="21">
        <v>141</v>
      </c>
      <c r="CE560" s="21">
        <v>53</v>
      </c>
      <c r="CF560" s="21">
        <v>37</v>
      </c>
      <c r="CG560" s="42">
        <v>26</v>
      </c>
      <c r="CH560" s="21">
        <v>22</v>
      </c>
      <c r="CI560" s="21">
        <v>40</v>
      </c>
      <c r="CJ560" s="21">
        <v>34</v>
      </c>
      <c r="CK560" s="21">
        <v>23</v>
      </c>
      <c r="CL560" s="21">
        <v>23</v>
      </c>
      <c r="CM560" s="21">
        <v>6</v>
      </c>
      <c r="CN560" s="21">
        <v>30</v>
      </c>
      <c r="CO560" s="21">
        <v>4</v>
      </c>
      <c r="CP560" s="21">
        <f t="shared" si="779"/>
        <v>4</v>
      </c>
      <c r="CQ560" s="343">
        <f t="shared" si="780"/>
        <v>20.666666666666668</v>
      </c>
      <c r="CR560" s="40"/>
      <c r="CS560" s="39"/>
      <c r="CT560" s="38">
        <f t="shared" si="781"/>
        <v>0</v>
      </c>
      <c r="CU560" s="38">
        <f t="shared" si="782"/>
        <v>0</v>
      </c>
      <c r="CV560" s="38">
        <f t="shared" si="783"/>
        <v>0</v>
      </c>
      <c r="CW560" s="38">
        <f t="shared" si="784"/>
        <v>0</v>
      </c>
      <c r="CX560" s="38">
        <f t="shared" si="785"/>
        <v>0</v>
      </c>
      <c r="CY560" s="39">
        <f t="shared" si="786"/>
        <v>0</v>
      </c>
      <c r="CZ560" s="40">
        <f t="shared" si="787"/>
        <v>0</v>
      </c>
      <c r="DA560" s="40">
        <f t="shared" si="788"/>
        <v>0</v>
      </c>
      <c r="DB560" s="40">
        <f t="shared" si="789"/>
        <v>0</v>
      </c>
      <c r="DC560" s="40">
        <f t="shared" si="790"/>
        <v>0</v>
      </c>
      <c r="DD560" s="40">
        <f t="shared" si="791"/>
        <v>0</v>
      </c>
      <c r="DE560" s="40">
        <f t="shared" si="792"/>
        <v>1</v>
      </c>
      <c r="DF560" s="40">
        <f t="shared" si="793"/>
        <v>24</v>
      </c>
      <c r="DG560" s="40">
        <f t="shared" si="794"/>
        <v>94</v>
      </c>
      <c r="DH560" s="40">
        <f t="shared" si="795"/>
        <v>146</v>
      </c>
      <c r="DI560" s="40">
        <f t="shared" si="796"/>
        <v>61</v>
      </c>
      <c r="DJ560" s="40">
        <f t="shared" si="797"/>
        <v>38</v>
      </c>
      <c r="DK560" s="39">
        <f t="shared" si="798"/>
        <v>29</v>
      </c>
      <c r="DL560" s="40">
        <f t="shared" si="799"/>
        <v>24</v>
      </c>
      <c r="DM560" s="40">
        <f t="shared" si="800"/>
        <v>55</v>
      </c>
      <c r="DN560" s="40">
        <f t="shared" si="801"/>
        <v>34</v>
      </c>
      <c r="DO560" s="40">
        <f t="shared" si="802"/>
        <v>23</v>
      </c>
      <c r="DP560" s="40">
        <f t="shared" si="803"/>
        <v>23</v>
      </c>
      <c r="DQ560" s="40">
        <f t="shared" si="804"/>
        <v>6</v>
      </c>
      <c r="DR560" s="40">
        <f t="shared" si="809"/>
        <v>30</v>
      </c>
      <c r="DS560" s="40">
        <f t="shared" si="810"/>
        <v>4</v>
      </c>
      <c r="DT560" s="40">
        <f t="shared" si="805"/>
        <v>4</v>
      </c>
      <c r="DU560" s="40">
        <f t="shared" si="806"/>
        <v>20.666666666666668</v>
      </c>
      <c r="DV560" s="40">
        <f t="shared" si="807"/>
        <v>0</v>
      </c>
      <c r="DW560" s="40">
        <f t="shared" si="808"/>
        <v>0</v>
      </c>
    </row>
    <row r="561" spans="1:127">
      <c r="A561" s="22" t="s">
        <v>44</v>
      </c>
      <c r="B561" s="26">
        <v>6903148358108</v>
      </c>
      <c r="C561" s="22" t="s">
        <v>44</v>
      </c>
      <c r="D561" s="22" t="s">
        <v>45</v>
      </c>
      <c r="E561" s="22">
        <v>255571</v>
      </c>
      <c r="F561" s="80" t="s">
        <v>648</v>
      </c>
      <c r="G561" s="25">
        <v>398.87</v>
      </c>
      <c r="H561" s="38">
        <f t="shared" si="753"/>
        <v>0</v>
      </c>
      <c r="I561" s="38">
        <f t="shared" si="754"/>
        <v>0</v>
      </c>
      <c r="J561" s="38">
        <f t="shared" si="755"/>
        <v>0</v>
      </c>
      <c r="K561" s="38">
        <f t="shared" si="756"/>
        <v>0</v>
      </c>
      <c r="L561" s="38">
        <f t="shared" si="757"/>
        <v>0</v>
      </c>
      <c r="M561" s="39">
        <f t="shared" si="758"/>
        <v>0</v>
      </c>
      <c r="N561" s="40">
        <f t="shared" si="759"/>
        <v>0</v>
      </c>
      <c r="O561" s="40">
        <f t="shared" si="760"/>
        <v>0</v>
      </c>
      <c r="P561" s="40">
        <f t="shared" si="761"/>
        <v>0</v>
      </c>
      <c r="Q561" s="40">
        <f t="shared" si="762"/>
        <v>0</v>
      </c>
      <c r="R561" s="40">
        <f t="shared" si="763"/>
        <v>22336.720000000001</v>
      </c>
      <c r="S561" s="40">
        <f t="shared" si="764"/>
        <v>45072.31</v>
      </c>
      <c r="T561" s="40">
        <f t="shared" si="765"/>
        <v>46268.92</v>
      </c>
      <c r="U561" s="40">
        <f t="shared" si="766"/>
        <v>203024.83000000002</v>
      </c>
      <c r="V561" s="40">
        <f t="shared" si="767"/>
        <v>64218.07</v>
      </c>
      <c r="W561" s="40">
        <f t="shared" si="768"/>
        <v>54645.19</v>
      </c>
      <c r="X561" s="40">
        <f t="shared" si="769"/>
        <v>52251.97</v>
      </c>
      <c r="Y561" s="39">
        <f t="shared" si="770"/>
        <v>29915.25</v>
      </c>
      <c r="Z561" s="40">
        <f t="shared" si="771"/>
        <v>54246.32</v>
      </c>
      <c r="AA561" s="40">
        <f t="shared" si="772"/>
        <v>51055.360000000001</v>
      </c>
      <c r="AB561" s="40">
        <f t="shared" si="773"/>
        <v>55044.06</v>
      </c>
      <c r="AC561" s="40">
        <f t="shared" si="774"/>
        <v>140801.11000000002</v>
      </c>
      <c r="AD561" s="40">
        <f t="shared" si="775"/>
        <v>189463.25</v>
      </c>
      <c r="AE561" s="40">
        <f t="shared" si="776"/>
        <v>3190.96</v>
      </c>
      <c r="AF561" s="40">
        <f t="shared" si="777"/>
        <v>5185.3100000000004</v>
      </c>
      <c r="AG561" s="40">
        <f t="shared" si="778"/>
        <v>11966.1</v>
      </c>
      <c r="AH561" s="40">
        <f t="shared" si="749"/>
        <v>11966.1</v>
      </c>
      <c r="AI561" s="40">
        <f t="shared" si="750"/>
        <v>57260.004444444443</v>
      </c>
      <c r="AJ561" s="40">
        <f t="shared" si="751"/>
        <v>0</v>
      </c>
      <c r="AK561" s="39">
        <f t="shared" si="752"/>
        <v>0</v>
      </c>
      <c r="AL561" s="38">
        <v>0</v>
      </c>
      <c r="AM561" s="38">
        <v>0</v>
      </c>
      <c r="AN561" s="38">
        <v>0</v>
      </c>
      <c r="AO561" s="38">
        <v>0</v>
      </c>
      <c r="AP561" s="38">
        <v>0</v>
      </c>
      <c r="AQ561" s="39">
        <v>0</v>
      </c>
      <c r="AR561" s="40">
        <v>0</v>
      </c>
      <c r="AS561" s="40">
        <v>0</v>
      </c>
      <c r="AT561" s="40">
        <v>0</v>
      </c>
      <c r="AU561" s="40">
        <v>0</v>
      </c>
      <c r="AV561" s="40">
        <v>0</v>
      </c>
      <c r="AW561" s="40">
        <v>0</v>
      </c>
      <c r="AX561" s="40">
        <v>8</v>
      </c>
      <c r="AY561" s="40">
        <v>9</v>
      </c>
      <c r="AZ561" s="40">
        <v>5</v>
      </c>
      <c r="BA561" s="40">
        <v>9</v>
      </c>
      <c r="BB561" s="40">
        <v>13</v>
      </c>
      <c r="BC561" s="39">
        <v>2</v>
      </c>
      <c r="BD561" s="40">
        <v>5</v>
      </c>
      <c r="BE561" s="40">
        <v>14</v>
      </c>
      <c r="BF561" s="40">
        <v>0</v>
      </c>
      <c r="BG561" s="40">
        <v>0</v>
      </c>
      <c r="BH561" s="40">
        <v>0</v>
      </c>
      <c r="BI561" s="40">
        <v>0</v>
      </c>
      <c r="BJ561" s="40">
        <v>0</v>
      </c>
      <c r="BK561" s="40">
        <v>0</v>
      </c>
      <c r="BL561" s="40">
        <v>0</v>
      </c>
      <c r="BM561" s="40">
        <v>0</v>
      </c>
      <c r="BN561" s="40"/>
      <c r="BO561" s="39"/>
      <c r="BP561" s="21">
        <v>0</v>
      </c>
      <c r="BQ561" s="21">
        <v>0</v>
      </c>
      <c r="BR561" s="21">
        <v>0</v>
      </c>
      <c r="BS561" s="21">
        <v>0</v>
      </c>
      <c r="BT561" s="21">
        <v>0</v>
      </c>
      <c r="BU561" s="42">
        <v>0</v>
      </c>
      <c r="BV561" s="21">
        <v>0</v>
      </c>
      <c r="BW561" s="21">
        <v>0</v>
      </c>
      <c r="BX561" s="21">
        <v>0</v>
      </c>
      <c r="BY561" s="21">
        <v>0</v>
      </c>
      <c r="BZ561" s="21">
        <v>56</v>
      </c>
      <c r="CA561" s="21">
        <v>113</v>
      </c>
      <c r="CB561" s="21">
        <v>108</v>
      </c>
      <c r="CC561" s="21">
        <v>500</v>
      </c>
      <c r="CD561" s="21">
        <v>156</v>
      </c>
      <c r="CE561" s="21">
        <v>128</v>
      </c>
      <c r="CF561" s="21">
        <v>118</v>
      </c>
      <c r="CG561" s="42">
        <v>73</v>
      </c>
      <c r="CH561" s="21">
        <v>131</v>
      </c>
      <c r="CI561" s="21">
        <v>114</v>
      </c>
      <c r="CJ561" s="21">
        <v>138</v>
      </c>
      <c r="CK561" s="21">
        <v>353</v>
      </c>
      <c r="CL561" s="21">
        <v>475</v>
      </c>
      <c r="CM561" s="21">
        <v>8</v>
      </c>
      <c r="CN561" s="21">
        <v>13</v>
      </c>
      <c r="CO561" s="21">
        <v>30</v>
      </c>
      <c r="CP561" s="21">
        <f t="shared" si="779"/>
        <v>30</v>
      </c>
      <c r="CQ561" s="343">
        <f t="shared" si="780"/>
        <v>143.55555555555554</v>
      </c>
      <c r="CR561" s="40"/>
      <c r="CS561" s="39"/>
      <c r="CT561" s="38">
        <f t="shared" si="781"/>
        <v>0</v>
      </c>
      <c r="CU561" s="38">
        <f t="shared" si="782"/>
        <v>0</v>
      </c>
      <c r="CV561" s="38">
        <f t="shared" si="783"/>
        <v>0</v>
      </c>
      <c r="CW561" s="38">
        <f t="shared" si="784"/>
        <v>0</v>
      </c>
      <c r="CX561" s="38">
        <f t="shared" si="785"/>
        <v>0</v>
      </c>
      <c r="CY561" s="39">
        <f t="shared" si="786"/>
        <v>0</v>
      </c>
      <c r="CZ561" s="40">
        <f t="shared" si="787"/>
        <v>0</v>
      </c>
      <c r="DA561" s="40">
        <f t="shared" si="788"/>
        <v>0</v>
      </c>
      <c r="DB561" s="40">
        <f t="shared" si="789"/>
        <v>0</v>
      </c>
      <c r="DC561" s="40">
        <f t="shared" si="790"/>
        <v>0</v>
      </c>
      <c r="DD561" s="40">
        <f t="shared" si="791"/>
        <v>56</v>
      </c>
      <c r="DE561" s="40">
        <f t="shared" si="792"/>
        <v>113</v>
      </c>
      <c r="DF561" s="40">
        <f t="shared" si="793"/>
        <v>116</v>
      </c>
      <c r="DG561" s="40">
        <f t="shared" si="794"/>
        <v>509</v>
      </c>
      <c r="DH561" s="40">
        <f t="shared" si="795"/>
        <v>161</v>
      </c>
      <c r="DI561" s="40">
        <f t="shared" si="796"/>
        <v>137</v>
      </c>
      <c r="DJ561" s="40">
        <f t="shared" si="797"/>
        <v>131</v>
      </c>
      <c r="DK561" s="39">
        <f t="shared" si="798"/>
        <v>75</v>
      </c>
      <c r="DL561" s="40">
        <f t="shared" si="799"/>
        <v>136</v>
      </c>
      <c r="DM561" s="40">
        <f t="shared" si="800"/>
        <v>128</v>
      </c>
      <c r="DN561" s="40">
        <f t="shared" si="801"/>
        <v>138</v>
      </c>
      <c r="DO561" s="40">
        <f t="shared" si="802"/>
        <v>353</v>
      </c>
      <c r="DP561" s="40">
        <f t="shared" si="803"/>
        <v>475</v>
      </c>
      <c r="DQ561" s="40">
        <f t="shared" si="804"/>
        <v>8</v>
      </c>
      <c r="DR561" s="40">
        <f t="shared" si="809"/>
        <v>13</v>
      </c>
      <c r="DS561" s="40">
        <f t="shared" si="810"/>
        <v>30</v>
      </c>
      <c r="DT561" s="40">
        <f t="shared" si="805"/>
        <v>30</v>
      </c>
      <c r="DU561" s="40">
        <f t="shared" si="806"/>
        <v>143.55555555555554</v>
      </c>
      <c r="DV561" s="40">
        <f t="shared" si="807"/>
        <v>0</v>
      </c>
      <c r="DW561" s="40">
        <f t="shared" si="808"/>
        <v>0</v>
      </c>
    </row>
    <row r="562" spans="1:127">
      <c r="A562" s="22" t="s">
        <v>22</v>
      </c>
      <c r="B562" s="26">
        <v>3014260279400</v>
      </c>
      <c r="C562" s="22" t="s">
        <v>116</v>
      </c>
      <c r="D562" s="22" t="s">
        <v>122</v>
      </c>
      <c r="E562" s="41">
        <v>571641</v>
      </c>
      <c r="F562" s="80" t="s">
        <v>345</v>
      </c>
      <c r="G562" s="25">
        <v>35.645833333333336</v>
      </c>
      <c r="H562" s="38">
        <f t="shared" si="753"/>
        <v>1283.25</v>
      </c>
      <c r="I562" s="38">
        <f t="shared" si="754"/>
        <v>1675.3541666666667</v>
      </c>
      <c r="J562" s="38">
        <f t="shared" si="755"/>
        <v>463.39583333333337</v>
      </c>
      <c r="K562" s="38">
        <f t="shared" si="756"/>
        <v>0</v>
      </c>
      <c r="L562" s="38">
        <f t="shared" si="757"/>
        <v>0</v>
      </c>
      <c r="M562" s="39">
        <f t="shared" si="758"/>
        <v>0</v>
      </c>
      <c r="N562" s="40">
        <f t="shared" si="759"/>
        <v>0</v>
      </c>
      <c r="O562" s="40">
        <f t="shared" si="760"/>
        <v>0</v>
      </c>
      <c r="P562" s="40">
        <f t="shared" si="761"/>
        <v>0</v>
      </c>
      <c r="Q562" s="40">
        <f t="shared" si="762"/>
        <v>0</v>
      </c>
      <c r="R562" s="40">
        <f t="shared" si="763"/>
        <v>0</v>
      </c>
      <c r="S562" s="40">
        <f t="shared" si="764"/>
        <v>0</v>
      </c>
      <c r="T562" s="40">
        <f t="shared" si="765"/>
        <v>0</v>
      </c>
      <c r="U562" s="40">
        <f t="shared" si="766"/>
        <v>0</v>
      </c>
      <c r="V562" s="40">
        <f t="shared" si="767"/>
        <v>0</v>
      </c>
      <c r="W562" s="40">
        <f t="shared" si="768"/>
        <v>0</v>
      </c>
      <c r="X562" s="40">
        <f t="shared" si="769"/>
        <v>0</v>
      </c>
      <c r="Y562" s="39">
        <f t="shared" si="770"/>
        <v>0</v>
      </c>
      <c r="Z562" s="40">
        <f t="shared" si="771"/>
        <v>0</v>
      </c>
      <c r="AA562" s="40">
        <f t="shared" si="772"/>
        <v>0</v>
      </c>
      <c r="AB562" s="40">
        <f t="shared" si="773"/>
        <v>0</v>
      </c>
      <c r="AC562" s="40">
        <f t="shared" si="774"/>
        <v>0</v>
      </c>
      <c r="AD562" s="40">
        <f t="shared" si="775"/>
        <v>0</v>
      </c>
      <c r="AE562" s="40">
        <f t="shared" si="776"/>
        <v>0</v>
      </c>
      <c r="AF562" s="40">
        <f t="shared" si="777"/>
        <v>0</v>
      </c>
      <c r="AG562" s="40">
        <f t="shared" si="778"/>
        <v>0</v>
      </c>
      <c r="AH562" s="40">
        <f t="shared" si="749"/>
        <v>0</v>
      </c>
      <c r="AI562" s="40">
        <f t="shared" si="750"/>
        <v>0</v>
      </c>
      <c r="AJ562" s="40">
        <f t="shared" si="751"/>
        <v>0</v>
      </c>
      <c r="AK562" s="39">
        <f t="shared" si="752"/>
        <v>0</v>
      </c>
      <c r="AL562" s="38">
        <v>36</v>
      </c>
      <c r="AM562" s="38">
        <v>47</v>
      </c>
      <c r="AN562" s="38">
        <v>13</v>
      </c>
      <c r="AO562" s="38">
        <v>0</v>
      </c>
      <c r="AP562" s="38">
        <v>0</v>
      </c>
      <c r="AQ562" s="39">
        <v>0</v>
      </c>
      <c r="AR562" s="40">
        <v>0</v>
      </c>
      <c r="AS562" s="40">
        <v>0</v>
      </c>
      <c r="AT562" s="40">
        <v>0</v>
      </c>
      <c r="AU562" s="40">
        <v>0</v>
      </c>
      <c r="AV562" s="40">
        <v>0</v>
      </c>
      <c r="AW562" s="40">
        <v>0</v>
      </c>
      <c r="AX562" s="40">
        <v>0</v>
      </c>
      <c r="AY562" s="40">
        <v>0</v>
      </c>
      <c r="AZ562" s="40">
        <v>0</v>
      </c>
      <c r="BA562" s="40">
        <v>0</v>
      </c>
      <c r="BB562" s="40">
        <v>0</v>
      </c>
      <c r="BC562" s="39">
        <v>0</v>
      </c>
      <c r="BD562" s="40">
        <v>0</v>
      </c>
      <c r="BE562" s="40">
        <v>0</v>
      </c>
      <c r="BF562" s="40">
        <v>0</v>
      </c>
      <c r="BG562" s="40">
        <v>0</v>
      </c>
      <c r="BH562" s="40">
        <v>0</v>
      </c>
      <c r="BI562" s="40">
        <v>0</v>
      </c>
      <c r="BJ562" s="40">
        <v>0</v>
      </c>
      <c r="BK562" s="40">
        <v>0</v>
      </c>
      <c r="BL562" s="40">
        <v>0</v>
      </c>
      <c r="BM562" s="40">
        <v>0</v>
      </c>
      <c r="BN562" s="40"/>
      <c r="BO562" s="39"/>
      <c r="BP562" s="21">
        <v>0</v>
      </c>
      <c r="BQ562" s="21">
        <v>0</v>
      </c>
      <c r="BR562" s="21">
        <v>0</v>
      </c>
      <c r="BS562" s="21">
        <v>0</v>
      </c>
      <c r="BT562" s="21">
        <v>0</v>
      </c>
      <c r="BU562" s="42">
        <v>0</v>
      </c>
      <c r="BV562" s="21">
        <v>0</v>
      </c>
      <c r="BW562" s="21">
        <v>0</v>
      </c>
      <c r="BX562" s="21">
        <v>0</v>
      </c>
      <c r="BY562" s="21">
        <v>0</v>
      </c>
      <c r="BZ562" s="21">
        <v>0</v>
      </c>
      <c r="CA562" s="21">
        <v>0</v>
      </c>
      <c r="CB562" s="21">
        <v>0</v>
      </c>
      <c r="CC562" s="21">
        <v>0</v>
      </c>
      <c r="CD562" s="21">
        <v>0</v>
      </c>
      <c r="CE562" s="21">
        <v>0</v>
      </c>
      <c r="CF562" s="21">
        <v>0</v>
      </c>
      <c r="CG562" s="42">
        <v>0</v>
      </c>
      <c r="CH562" s="21">
        <v>0</v>
      </c>
      <c r="CI562" s="21">
        <v>0</v>
      </c>
      <c r="CJ562" s="21">
        <v>0</v>
      </c>
      <c r="CK562" s="21">
        <v>0</v>
      </c>
      <c r="CL562" s="21">
        <v>0</v>
      </c>
      <c r="CM562" s="21">
        <v>0</v>
      </c>
      <c r="CN562" s="21">
        <v>0</v>
      </c>
      <c r="CO562" s="21">
        <v>0</v>
      </c>
      <c r="CP562" s="21">
        <f t="shared" si="779"/>
        <v>0</v>
      </c>
      <c r="CQ562" s="343">
        <f t="shared" si="780"/>
        <v>0</v>
      </c>
      <c r="CR562" s="40"/>
      <c r="CS562" s="39"/>
      <c r="CT562" s="38">
        <f t="shared" si="781"/>
        <v>36</v>
      </c>
      <c r="CU562" s="38">
        <f t="shared" si="782"/>
        <v>47</v>
      </c>
      <c r="CV562" s="38">
        <f t="shared" si="783"/>
        <v>13</v>
      </c>
      <c r="CW562" s="38">
        <f t="shared" si="784"/>
        <v>0</v>
      </c>
      <c r="CX562" s="38">
        <f t="shared" si="785"/>
        <v>0</v>
      </c>
      <c r="CY562" s="39">
        <f t="shared" si="786"/>
        <v>0</v>
      </c>
      <c r="CZ562" s="40">
        <f t="shared" si="787"/>
        <v>0</v>
      </c>
      <c r="DA562" s="40">
        <f t="shared" si="788"/>
        <v>0</v>
      </c>
      <c r="DB562" s="40">
        <f t="shared" si="789"/>
        <v>0</v>
      </c>
      <c r="DC562" s="40">
        <f t="shared" si="790"/>
        <v>0</v>
      </c>
      <c r="DD562" s="40">
        <f t="shared" si="791"/>
        <v>0</v>
      </c>
      <c r="DE562" s="40">
        <f t="shared" si="792"/>
        <v>0</v>
      </c>
      <c r="DF562" s="40">
        <f t="shared" si="793"/>
        <v>0</v>
      </c>
      <c r="DG562" s="40">
        <f t="shared" si="794"/>
        <v>0</v>
      </c>
      <c r="DH562" s="40">
        <f t="shared" si="795"/>
        <v>0</v>
      </c>
      <c r="DI562" s="40">
        <f t="shared" si="796"/>
        <v>0</v>
      </c>
      <c r="DJ562" s="40">
        <f t="shared" si="797"/>
        <v>0</v>
      </c>
      <c r="DK562" s="39">
        <f t="shared" si="798"/>
        <v>0</v>
      </c>
      <c r="DL562" s="40">
        <f t="shared" si="799"/>
        <v>0</v>
      </c>
      <c r="DM562" s="40">
        <f t="shared" si="800"/>
        <v>0</v>
      </c>
      <c r="DN562" s="40">
        <f t="shared" si="801"/>
        <v>0</v>
      </c>
      <c r="DO562" s="40">
        <f t="shared" si="802"/>
        <v>0</v>
      </c>
      <c r="DP562" s="40">
        <f t="shared" si="803"/>
        <v>0</v>
      </c>
      <c r="DQ562" s="40">
        <f t="shared" si="804"/>
        <v>0</v>
      </c>
      <c r="DR562" s="40">
        <f t="shared" si="809"/>
        <v>0</v>
      </c>
      <c r="DS562" s="40">
        <f t="shared" si="810"/>
        <v>0</v>
      </c>
      <c r="DT562" s="40">
        <f t="shared" si="805"/>
        <v>0</v>
      </c>
      <c r="DU562" s="40">
        <f t="shared" si="806"/>
        <v>0</v>
      </c>
      <c r="DV562" s="40">
        <f t="shared" si="807"/>
        <v>0</v>
      </c>
      <c r="DW562" s="40">
        <f t="shared" si="808"/>
        <v>0</v>
      </c>
    </row>
    <row r="563" spans="1:127">
      <c r="A563" s="22" t="s">
        <v>22</v>
      </c>
      <c r="B563" s="26">
        <v>4987176220363</v>
      </c>
      <c r="C563" s="22" t="s">
        <v>116</v>
      </c>
      <c r="D563" s="22" t="s">
        <v>122</v>
      </c>
      <c r="E563" s="22">
        <v>265900</v>
      </c>
      <c r="F563" s="80" t="s">
        <v>100</v>
      </c>
      <c r="G563" s="25">
        <v>88.100000000000009</v>
      </c>
      <c r="H563" s="38">
        <f t="shared" si="753"/>
        <v>0</v>
      </c>
      <c r="I563" s="38">
        <f t="shared" si="754"/>
        <v>0</v>
      </c>
      <c r="J563" s="38">
        <f t="shared" si="755"/>
        <v>0</v>
      </c>
      <c r="K563" s="38">
        <f t="shared" si="756"/>
        <v>0</v>
      </c>
      <c r="L563" s="38">
        <f t="shared" si="757"/>
        <v>0</v>
      </c>
      <c r="M563" s="39">
        <f t="shared" si="758"/>
        <v>0</v>
      </c>
      <c r="N563" s="40">
        <f t="shared" si="759"/>
        <v>0</v>
      </c>
      <c r="O563" s="40">
        <f t="shared" si="760"/>
        <v>0</v>
      </c>
      <c r="P563" s="40">
        <f t="shared" si="761"/>
        <v>0</v>
      </c>
      <c r="Q563" s="40">
        <f t="shared" si="762"/>
        <v>0</v>
      </c>
      <c r="R563" s="40">
        <f t="shared" si="763"/>
        <v>0</v>
      </c>
      <c r="S563" s="40">
        <f t="shared" si="764"/>
        <v>0</v>
      </c>
      <c r="T563" s="40">
        <f t="shared" si="765"/>
        <v>0</v>
      </c>
      <c r="U563" s="40">
        <f t="shared" si="766"/>
        <v>0</v>
      </c>
      <c r="V563" s="40">
        <f t="shared" si="767"/>
        <v>0</v>
      </c>
      <c r="W563" s="40">
        <f t="shared" si="768"/>
        <v>88.100000000000009</v>
      </c>
      <c r="X563" s="40">
        <f t="shared" si="769"/>
        <v>2202.5</v>
      </c>
      <c r="Y563" s="39">
        <f t="shared" si="770"/>
        <v>4669.3</v>
      </c>
      <c r="Z563" s="40">
        <f t="shared" si="771"/>
        <v>2643.0000000000005</v>
      </c>
      <c r="AA563" s="40">
        <f t="shared" si="772"/>
        <v>4845.5000000000009</v>
      </c>
      <c r="AB563" s="40">
        <f t="shared" si="773"/>
        <v>1585.8000000000002</v>
      </c>
      <c r="AC563" s="40">
        <f t="shared" si="774"/>
        <v>3347.8</v>
      </c>
      <c r="AD563" s="40">
        <f t="shared" si="775"/>
        <v>2202.5</v>
      </c>
      <c r="AE563" s="40">
        <f t="shared" si="776"/>
        <v>2202.5</v>
      </c>
      <c r="AF563" s="40">
        <f t="shared" si="777"/>
        <v>3612.1000000000004</v>
      </c>
      <c r="AG563" s="40">
        <f t="shared" si="778"/>
        <v>1850.1000000000001</v>
      </c>
      <c r="AH563" s="40">
        <f t="shared" si="749"/>
        <v>1850.1000000000001</v>
      </c>
      <c r="AI563" s="40">
        <f t="shared" si="750"/>
        <v>2682.1555555555556</v>
      </c>
      <c r="AJ563" s="40">
        <f t="shared" si="751"/>
        <v>0</v>
      </c>
      <c r="AK563" s="39">
        <f t="shared" si="752"/>
        <v>0</v>
      </c>
      <c r="AL563" s="38">
        <v>0</v>
      </c>
      <c r="AM563" s="38">
        <v>0</v>
      </c>
      <c r="AN563" s="38">
        <v>0</v>
      </c>
      <c r="AO563" s="38">
        <v>0</v>
      </c>
      <c r="AP563" s="38">
        <v>0</v>
      </c>
      <c r="AQ563" s="39">
        <v>0</v>
      </c>
      <c r="AR563" s="40">
        <v>0</v>
      </c>
      <c r="AS563" s="40">
        <v>0</v>
      </c>
      <c r="AT563" s="40">
        <v>0</v>
      </c>
      <c r="AU563" s="40">
        <v>0</v>
      </c>
      <c r="AV563" s="40">
        <v>0</v>
      </c>
      <c r="AW563" s="40">
        <v>0</v>
      </c>
      <c r="AX563" s="40">
        <v>0</v>
      </c>
      <c r="AY563" s="40">
        <v>0</v>
      </c>
      <c r="AZ563" s="40">
        <v>0</v>
      </c>
      <c r="BA563" s="40">
        <v>0</v>
      </c>
      <c r="BB563" s="40">
        <v>0</v>
      </c>
      <c r="BC563" s="39">
        <v>0</v>
      </c>
      <c r="BD563" s="40">
        <v>0</v>
      </c>
      <c r="BE563" s="40">
        <v>0</v>
      </c>
      <c r="BF563" s="40">
        <v>0</v>
      </c>
      <c r="BG563" s="40">
        <v>0</v>
      </c>
      <c r="BH563" s="40">
        <v>0</v>
      </c>
      <c r="BI563" s="40">
        <v>0</v>
      </c>
      <c r="BJ563" s="40">
        <v>0</v>
      </c>
      <c r="BK563" s="40">
        <v>0</v>
      </c>
      <c r="BL563" s="40">
        <v>0</v>
      </c>
      <c r="BM563" s="40" t="s">
        <v>768</v>
      </c>
      <c r="BN563" s="40"/>
      <c r="BO563" s="39"/>
      <c r="BP563" s="21">
        <v>0</v>
      </c>
      <c r="BQ563" s="21">
        <v>0</v>
      </c>
      <c r="BR563" s="21">
        <v>0</v>
      </c>
      <c r="BS563" s="21">
        <v>0</v>
      </c>
      <c r="BT563" s="21">
        <v>0</v>
      </c>
      <c r="BU563" s="42">
        <v>0</v>
      </c>
      <c r="BV563" s="21">
        <v>0</v>
      </c>
      <c r="BW563" s="21">
        <v>0</v>
      </c>
      <c r="BX563" s="21">
        <v>0</v>
      </c>
      <c r="BY563" s="21">
        <v>0</v>
      </c>
      <c r="BZ563" s="21">
        <v>0</v>
      </c>
      <c r="CA563" s="21">
        <v>0</v>
      </c>
      <c r="CB563" s="21">
        <v>0</v>
      </c>
      <c r="CC563" s="21">
        <v>0</v>
      </c>
      <c r="CD563" s="21">
        <v>0</v>
      </c>
      <c r="CE563" s="21">
        <v>1</v>
      </c>
      <c r="CF563" s="21">
        <v>25</v>
      </c>
      <c r="CG563" s="42">
        <v>53</v>
      </c>
      <c r="CH563" s="21">
        <v>30</v>
      </c>
      <c r="CI563" s="21">
        <v>55</v>
      </c>
      <c r="CJ563" s="21">
        <v>18</v>
      </c>
      <c r="CK563" s="21">
        <v>38</v>
      </c>
      <c r="CL563" s="21">
        <v>25</v>
      </c>
      <c r="CM563" s="21">
        <v>25</v>
      </c>
      <c r="CN563" s="21">
        <v>41</v>
      </c>
      <c r="CO563" s="21">
        <v>21</v>
      </c>
      <c r="CP563" s="21">
        <f t="shared" si="779"/>
        <v>21</v>
      </c>
      <c r="CQ563" s="343">
        <f t="shared" si="780"/>
        <v>30.444444444444443</v>
      </c>
      <c r="CR563" s="40"/>
      <c r="CS563" s="39"/>
      <c r="CT563" s="38">
        <f t="shared" si="781"/>
        <v>0</v>
      </c>
      <c r="CU563" s="38">
        <f t="shared" si="782"/>
        <v>0</v>
      </c>
      <c r="CV563" s="38">
        <f t="shared" si="783"/>
        <v>0</v>
      </c>
      <c r="CW563" s="38">
        <f t="shared" si="784"/>
        <v>0</v>
      </c>
      <c r="CX563" s="38">
        <f t="shared" si="785"/>
        <v>0</v>
      </c>
      <c r="CY563" s="39">
        <f t="shared" si="786"/>
        <v>0</v>
      </c>
      <c r="CZ563" s="40">
        <f t="shared" si="787"/>
        <v>0</v>
      </c>
      <c r="DA563" s="40">
        <f t="shared" si="788"/>
        <v>0</v>
      </c>
      <c r="DB563" s="40">
        <f t="shared" si="789"/>
        <v>0</v>
      </c>
      <c r="DC563" s="40">
        <f t="shared" si="790"/>
        <v>0</v>
      </c>
      <c r="DD563" s="40">
        <f t="shared" si="791"/>
        <v>0</v>
      </c>
      <c r="DE563" s="40">
        <f t="shared" si="792"/>
        <v>0</v>
      </c>
      <c r="DF563" s="40">
        <f t="shared" si="793"/>
        <v>0</v>
      </c>
      <c r="DG563" s="40">
        <f t="shared" si="794"/>
        <v>0</v>
      </c>
      <c r="DH563" s="40">
        <f t="shared" si="795"/>
        <v>0</v>
      </c>
      <c r="DI563" s="40">
        <f t="shared" si="796"/>
        <v>1</v>
      </c>
      <c r="DJ563" s="40">
        <f t="shared" si="797"/>
        <v>25</v>
      </c>
      <c r="DK563" s="39">
        <f t="shared" si="798"/>
        <v>53</v>
      </c>
      <c r="DL563" s="40">
        <f t="shared" si="799"/>
        <v>30</v>
      </c>
      <c r="DM563" s="40">
        <f t="shared" si="800"/>
        <v>55</v>
      </c>
      <c r="DN563" s="40">
        <f t="shared" si="801"/>
        <v>18</v>
      </c>
      <c r="DO563" s="40">
        <f t="shared" si="802"/>
        <v>38</v>
      </c>
      <c r="DP563" s="40">
        <f t="shared" si="803"/>
        <v>25</v>
      </c>
      <c r="DQ563" s="40">
        <f t="shared" si="804"/>
        <v>25</v>
      </c>
      <c r="DR563" s="40">
        <f t="shared" si="809"/>
        <v>41</v>
      </c>
      <c r="DS563" s="40">
        <f t="shared" si="810"/>
        <v>21</v>
      </c>
      <c r="DT563" s="40">
        <f t="shared" si="805"/>
        <v>21</v>
      </c>
      <c r="DU563" s="40">
        <f t="shared" si="806"/>
        <v>30.444444444444443</v>
      </c>
      <c r="DV563" s="40">
        <f t="shared" si="807"/>
        <v>0</v>
      </c>
      <c r="DW563" s="40">
        <f t="shared" si="808"/>
        <v>0</v>
      </c>
    </row>
    <row r="564" spans="1:127">
      <c r="A564" s="22" t="s">
        <v>44</v>
      </c>
      <c r="B564" s="26"/>
      <c r="C564" s="22" t="s">
        <v>44</v>
      </c>
      <c r="E564" s="22">
        <v>229900</v>
      </c>
      <c r="F564" s="80" t="s">
        <v>649</v>
      </c>
      <c r="G564" s="25">
        <v>1782.9</v>
      </c>
      <c r="H564" s="38">
        <f t="shared" si="753"/>
        <v>0</v>
      </c>
      <c r="I564" s="38">
        <f t="shared" si="754"/>
        <v>0</v>
      </c>
      <c r="J564" s="38">
        <f t="shared" si="755"/>
        <v>0</v>
      </c>
      <c r="K564" s="38">
        <f t="shared" si="756"/>
        <v>0</v>
      </c>
      <c r="L564" s="38">
        <f t="shared" si="757"/>
        <v>0</v>
      </c>
      <c r="M564" s="39">
        <f t="shared" si="758"/>
        <v>0</v>
      </c>
      <c r="N564" s="40">
        <f t="shared" si="759"/>
        <v>0</v>
      </c>
      <c r="O564" s="40">
        <f t="shared" si="760"/>
        <v>0</v>
      </c>
      <c r="P564" s="40">
        <f t="shared" si="761"/>
        <v>0</v>
      </c>
      <c r="Q564" s="40">
        <f t="shared" si="762"/>
        <v>0</v>
      </c>
      <c r="R564" s="40">
        <f t="shared" si="763"/>
        <v>1782.9</v>
      </c>
      <c r="S564" s="40">
        <f t="shared" si="764"/>
        <v>3565.8</v>
      </c>
      <c r="T564" s="40">
        <f t="shared" si="765"/>
        <v>0</v>
      </c>
      <c r="U564" s="40">
        <f t="shared" si="766"/>
        <v>0</v>
      </c>
      <c r="V564" s="40">
        <f t="shared" si="767"/>
        <v>0</v>
      </c>
      <c r="W564" s="40">
        <f t="shared" si="768"/>
        <v>0</v>
      </c>
      <c r="X564" s="40">
        <f t="shared" si="769"/>
        <v>0</v>
      </c>
      <c r="Y564" s="39">
        <f t="shared" si="770"/>
        <v>0</v>
      </c>
      <c r="Z564" s="40">
        <f t="shared" si="771"/>
        <v>0</v>
      </c>
      <c r="AA564" s="40">
        <f t="shared" si="772"/>
        <v>0</v>
      </c>
      <c r="AB564" s="40">
        <f t="shared" si="773"/>
        <v>0</v>
      </c>
      <c r="AC564" s="40">
        <f t="shared" si="774"/>
        <v>0</v>
      </c>
      <c r="AD564" s="40">
        <f t="shared" si="775"/>
        <v>0</v>
      </c>
      <c r="AE564" s="40">
        <f t="shared" si="776"/>
        <v>0</v>
      </c>
      <c r="AF564" s="40">
        <f t="shared" si="777"/>
        <v>0</v>
      </c>
      <c r="AG564" s="40">
        <f t="shared" si="778"/>
        <v>0</v>
      </c>
      <c r="AH564" s="40">
        <f t="shared" si="749"/>
        <v>0</v>
      </c>
      <c r="AI564" s="40">
        <f t="shared" si="750"/>
        <v>0</v>
      </c>
      <c r="AJ564" s="40">
        <f t="shared" si="751"/>
        <v>0</v>
      </c>
      <c r="AK564" s="39">
        <f t="shared" si="752"/>
        <v>0</v>
      </c>
      <c r="AL564" s="38">
        <v>0</v>
      </c>
      <c r="AM564" s="38">
        <v>0</v>
      </c>
      <c r="AN564" s="38">
        <v>0</v>
      </c>
      <c r="AO564" s="38">
        <v>0</v>
      </c>
      <c r="AP564" s="38">
        <v>0</v>
      </c>
      <c r="AQ564" s="39">
        <v>0</v>
      </c>
      <c r="AR564" s="40">
        <v>0</v>
      </c>
      <c r="AS564" s="40">
        <v>0</v>
      </c>
      <c r="AT564" s="40">
        <v>0</v>
      </c>
      <c r="AU564" s="40">
        <v>0</v>
      </c>
      <c r="AV564" s="40">
        <v>0</v>
      </c>
      <c r="AW564" s="40">
        <v>0</v>
      </c>
      <c r="AX564" s="40">
        <v>0</v>
      </c>
      <c r="AY564" s="40">
        <v>0</v>
      </c>
      <c r="AZ564" s="40">
        <v>0</v>
      </c>
      <c r="BA564" s="40">
        <v>0</v>
      </c>
      <c r="BB564" s="40">
        <v>0</v>
      </c>
      <c r="BC564" s="39">
        <v>0</v>
      </c>
      <c r="BD564" s="40">
        <v>0</v>
      </c>
      <c r="BE564" s="40">
        <v>0</v>
      </c>
      <c r="BF564" s="40">
        <v>0</v>
      </c>
      <c r="BG564" s="40">
        <v>0</v>
      </c>
      <c r="BH564" s="40">
        <v>0</v>
      </c>
      <c r="BI564" s="40">
        <v>0</v>
      </c>
      <c r="BJ564" s="40">
        <v>0</v>
      </c>
      <c r="BK564" s="40">
        <v>0</v>
      </c>
      <c r="BL564" s="40">
        <v>0</v>
      </c>
      <c r="BM564" s="40" t="s">
        <v>768</v>
      </c>
      <c r="BN564" s="40"/>
      <c r="BO564" s="39"/>
      <c r="BP564" s="21">
        <v>0</v>
      </c>
      <c r="BQ564" s="21">
        <v>0</v>
      </c>
      <c r="BR564" s="21">
        <v>0</v>
      </c>
      <c r="BS564" s="21">
        <v>0</v>
      </c>
      <c r="BT564" s="21">
        <v>0</v>
      </c>
      <c r="BU564" s="42">
        <v>0</v>
      </c>
      <c r="BV564" s="21">
        <v>0</v>
      </c>
      <c r="BW564" s="21">
        <v>0</v>
      </c>
      <c r="BX564" s="21">
        <v>0</v>
      </c>
      <c r="BY564" s="21">
        <v>0</v>
      </c>
      <c r="BZ564" s="21">
        <v>1</v>
      </c>
      <c r="CA564" s="21">
        <v>2</v>
      </c>
      <c r="CB564" s="21">
        <v>0</v>
      </c>
      <c r="CC564" s="21">
        <v>0</v>
      </c>
      <c r="CD564" s="21">
        <v>0</v>
      </c>
      <c r="CE564" s="21">
        <v>0</v>
      </c>
      <c r="CF564" s="21">
        <v>0</v>
      </c>
      <c r="CG564" s="42">
        <v>0</v>
      </c>
      <c r="CH564" s="21">
        <v>0</v>
      </c>
      <c r="CI564" s="21">
        <v>0</v>
      </c>
      <c r="CJ564" s="21">
        <v>0</v>
      </c>
      <c r="CK564" s="21">
        <v>0</v>
      </c>
      <c r="CL564" s="21">
        <v>0</v>
      </c>
      <c r="CM564" s="21">
        <v>0</v>
      </c>
      <c r="CN564" s="21">
        <v>0</v>
      </c>
      <c r="CO564" s="21">
        <v>0</v>
      </c>
      <c r="CP564" s="21">
        <f t="shared" si="779"/>
        <v>0</v>
      </c>
      <c r="CQ564" s="343">
        <f t="shared" si="780"/>
        <v>0</v>
      </c>
      <c r="CR564" s="40"/>
      <c r="CS564" s="39"/>
      <c r="CT564" s="38">
        <f t="shared" si="781"/>
        <v>0</v>
      </c>
      <c r="CU564" s="38">
        <f t="shared" si="782"/>
        <v>0</v>
      </c>
      <c r="CV564" s="38">
        <f t="shared" si="783"/>
        <v>0</v>
      </c>
      <c r="CW564" s="38">
        <f t="shared" si="784"/>
        <v>0</v>
      </c>
      <c r="CX564" s="38">
        <f t="shared" si="785"/>
        <v>0</v>
      </c>
      <c r="CY564" s="39">
        <f t="shared" si="786"/>
        <v>0</v>
      </c>
      <c r="CZ564" s="40">
        <f t="shared" si="787"/>
        <v>0</v>
      </c>
      <c r="DA564" s="40">
        <f t="shared" si="788"/>
        <v>0</v>
      </c>
      <c r="DB564" s="40">
        <f t="shared" si="789"/>
        <v>0</v>
      </c>
      <c r="DC564" s="40">
        <f t="shared" si="790"/>
        <v>0</v>
      </c>
      <c r="DD564" s="40">
        <f t="shared" si="791"/>
        <v>1</v>
      </c>
      <c r="DE564" s="40">
        <f t="shared" si="792"/>
        <v>2</v>
      </c>
      <c r="DF564" s="40">
        <f t="shared" si="793"/>
        <v>0</v>
      </c>
      <c r="DG564" s="40">
        <f t="shared" si="794"/>
        <v>0</v>
      </c>
      <c r="DH564" s="40">
        <f t="shared" si="795"/>
        <v>0</v>
      </c>
      <c r="DI564" s="40">
        <f t="shared" si="796"/>
        <v>0</v>
      </c>
      <c r="DJ564" s="40">
        <f t="shared" si="797"/>
        <v>0</v>
      </c>
      <c r="DK564" s="39">
        <f t="shared" si="798"/>
        <v>0</v>
      </c>
      <c r="DL564" s="40">
        <f t="shared" si="799"/>
        <v>0</v>
      </c>
      <c r="DM564" s="40">
        <f t="shared" si="800"/>
        <v>0</v>
      </c>
      <c r="DN564" s="40">
        <f t="shared" si="801"/>
        <v>0</v>
      </c>
      <c r="DO564" s="40">
        <f t="shared" si="802"/>
        <v>0</v>
      </c>
      <c r="DP564" s="40">
        <f t="shared" si="803"/>
        <v>0</v>
      </c>
      <c r="DQ564" s="40">
        <f t="shared" si="804"/>
        <v>0</v>
      </c>
      <c r="DR564" s="40">
        <f t="shared" si="809"/>
        <v>0</v>
      </c>
      <c r="DS564" s="40">
        <f t="shared" si="810"/>
        <v>0</v>
      </c>
      <c r="DT564" s="40">
        <f t="shared" si="805"/>
        <v>0</v>
      </c>
      <c r="DU564" s="40">
        <f t="shared" si="806"/>
        <v>0</v>
      </c>
      <c r="DV564" s="40">
        <f t="shared" si="807"/>
        <v>0</v>
      </c>
      <c r="DW564" s="40">
        <f t="shared" si="808"/>
        <v>0</v>
      </c>
    </row>
    <row r="565" spans="1:127">
      <c r="A565" s="22" t="s">
        <v>44</v>
      </c>
      <c r="B565" s="26"/>
      <c r="C565" s="22" t="s">
        <v>44</v>
      </c>
      <c r="E565" s="22">
        <v>241138</v>
      </c>
      <c r="F565" s="80" t="s">
        <v>650</v>
      </c>
      <c r="G565" s="25">
        <v>1078.5600000000002</v>
      </c>
      <c r="H565" s="38">
        <f t="shared" si="753"/>
        <v>0</v>
      </c>
      <c r="I565" s="38">
        <f t="shared" si="754"/>
        <v>0</v>
      </c>
      <c r="J565" s="38">
        <f t="shared" si="755"/>
        <v>0</v>
      </c>
      <c r="K565" s="38">
        <f t="shared" si="756"/>
        <v>0</v>
      </c>
      <c r="L565" s="38">
        <f t="shared" si="757"/>
        <v>0</v>
      </c>
      <c r="M565" s="39">
        <f t="shared" si="758"/>
        <v>0</v>
      </c>
      <c r="N565" s="40">
        <f t="shared" si="759"/>
        <v>0</v>
      </c>
      <c r="O565" s="40">
        <f t="shared" si="760"/>
        <v>0</v>
      </c>
      <c r="P565" s="40">
        <f t="shared" si="761"/>
        <v>0</v>
      </c>
      <c r="Q565" s="40">
        <f t="shared" si="762"/>
        <v>0</v>
      </c>
      <c r="R565" s="40">
        <f t="shared" si="763"/>
        <v>5392.8000000000011</v>
      </c>
      <c r="S565" s="40">
        <f t="shared" si="764"/>
        <v>0</v>
      </c>
      <c r="T565" s="40">
        <f t="shared" si="765"/>
        <v>0</v>
      </c>
      <c r="U565" s="40">
        <f t="shared" si="766"/>
        <v>0</v>
      </c>
      <c r="V565" s="40">
        <f t="shared" si="767"/>
        <v>0</v>
      </c>
      <c r="W565" s="40">
        <f t="shared" si="768"/>
        <v>0</v>
      </c>
      <c r="X565" s="40">
        <f t="shared" si="769"/>
        <v>0</v>
      </c>
      <c r="Y565" s="39">
        <f t="shared" si="770"/>
        <v>0</v>
      </c>
      <c r="Z565" s="40">
        <f t="shared" si="771"/>
        <v>0</v>
      </c>
      <c r="AA565" s="40">
        <f t="shared" si="772"/>
        <v>0</v>
      </c>
      <c r="AB565" s="40">
        <f t="shared" si="773"/>
        <v>0</v>
      </c>
      <c r="AC565" s="40">
        <f t="shared" si="774"/>
        <v>0</v>
      </c>
      <c r="AD565" s="40">
        <f t="shared" si="775"/>
        <v>0</v>
      </c>
      <c r="AE565" s="40">
        <f t="shared" si="776"/>
        <v>0</v>
      </c>
      <c r="AF565" s="40">
        <f t="shared" si="777"/>
        <v>0</v>
      </c>
      <c r="AG565" s="40">
        <f t="shared" si="778"/>
        <v>0</v>
      </c>
      <c r="AH565" s="40">
        <f t="shared" si="749"/>
        <v>0</v>
      </c>
      <c r="AI565" s="40">
        <f t="shared" si="750"/>
        <v>0</v>
      </c>
      <c r="AJ565" s="40">
        <f t="shared" si="751"/>
        <v>0</v>
      </c>
      <c r="AK565" s="39">
        <f t="shared" si="752"/>
        <v>0</v>
      </c>
      <c r="AL565" s="38">
        <v>0</v>
      </c>
      <c r="AM565" s="38">
        <v>0</v>
      </c>
      <c r="AN565" s="38">
        <v>0</v>
      </c>
      <c r="AO565" s="38">
        <v>0</v>
      </c>
      <c r="AP565" s="38">
        <v>0</v>
      </c>
      <c r="AQ565" s="39">
        <v>0</v>
      </c>
      <c r="AR565" s="40">
        <v>0</v>
      </c>
      <c r="AS565" s="40">
        <v>0</v>
      </c>
      <c r="AT565" s="40">
        <v>0</v>
      </c>
      <c r="AU565" s="40">
        <v>0</v>
      </c>
      <c r="AV565" s="40">
        <v>0</v>
      </c>
      <c r="AW565" s="40">
        <v>0</v>
      </c>
      <c r="AX565" s="40">
        <v>0</v>
      </c>
      <c r="AY565" s="40">
        <v>0</v>
      </c>
      <c r="AZ565" s="40">
        <v>0</v>
      </c>
      <c r="BA565" s="40">
        <v>0</v>
      </c>
      <c r="BB565" s="40">
        <v>0</v>
      </c>
      <c r="BC565" s="39">
        <v>0</v>
      </c>
      <c r="BD565" s="40">
        <v>0</v>
      </c>
      <c r="BE565" s="40">
        <v>0</v>
      </c>
      <c r="BF565" s="40">
        <v>0</v>
      </c>
      <c r="BG565" s="40">
        <v>0</v>
      </c>
      <c r="BH565" s="40">
        <v>0</v>
      </c>
      <c r="BI565" s="40">
        <v>0</v>
      </c>
      <c r="BJ565" s="40">
        <v>0</v>
      </c>
      <c r="BK565" s="40">
        <v>0</v>
      </c>
      <c r="BL565" s="40">
        <v>0</v>
      </c>
      <c r="BM565" s="40" t="s">
        <v>768</v>
      </c>
      <c r="BN565" s="40"/>
      <c r="BO565" s="39"/>
      <c r="BP565" s="21">
        <v>0</v>
      </c>
      <c r="BQ565" s="21">
        <v>0</v>
      </c>
      <c r="BR565" s="21">
        <v>0</v>
      </c>
      <c r="BS565" s="21">
        <v>0</v>
      </c>
      <c r="BT565" s="21">
        <v>0</v>
      </c>
      <c r="BU565" s="42">
        <v>0</v>
      </c>
      <c r="BV565" s="21">
        <v>0</v>
      </c>
      <c r="BW565" s="21">
        <v>0</v>
      </c>
      <c r="BX565" s="21">
        <v>0</v>
      </c>
      <c r="BY565" s="21">
        <v>0</v>
      </c>
      <c r="BZ565" s="21">
        <v>5</v>
      </c>
      <c r="CA565" s="21">
        <v>0</v>
      </c>
      <c r="CB565" s="21">
        <v>0</v>
      </c>
      <c r="CC565" s="21">
        <v>0</v>
      </c>
      <c r="CD565" s="21">
        <v>0</v>
      </c>
      <c r="CE565" s="21">
        <v>0</v>
      </c>
      <c r="CF565" s="21">
        <v>0</v>
      </c>
      <c r="CG565" s="42">
        <v>0</v>
      </c>
      <c r="CH565" s="21">
        <v>0</v>
      </c>
      <c r="CI565" s="21">
        <v>0</v>
      </c>
      <c r="CJ565" s="21">
        <v>0</v>
      </c>
      <c r="CK565" s="21">
        <v>0</v>
      </c>
      <c r="CL565" s="21">
        <v>0</v>
      </c>
      <c r="CM565" s="21">
        <v>0</v>
      </c>
      <c r="CN565" s="21">
        <v>0</v>
      </c>
      <c r="CO565" s="21">
        <v>0</v>
      </c>
      <c r="CP565" s="21">
        <f t="shared" si="779"/>
        <v>0</v>
      </c>
      <c r="CQ565" s="343">
        <f t="shared" si="780"/>
        <v>0</v>
      </c>
      <c r="CR565" s="40"/>
      <c r="CS565" s="39"/>
      <c r="CT565" s="38">
        <f t="shared" si="781"/>
        <v>0</v>
      </c>
      <c r="CU565" s="38">
        <f t="shared" si="782"/>
        <v>0</v>
      </c>
      <c r="CV565" s="38">
        <f t="shared" si="783"/>
        <v>0</v>
      </c>
      <c r="CW565" s="38">
        <f t="shared" si="784"/>
        <v>0</v>
      </c>
      <c r="CX565" s="38">
        <f t="shared" si="785"/>
        <v>0</v>
      </c>
      <c r="CY565" s="39">
        <f t="shared" si="786"/>
        <v>0</v>
      </c>
      <c r="CZ565" s="40">
        <f t="shared" si="787"/>
        <v>0</v>
      </c>
      <c r="DA565" s="40">
        <f t="shared" si="788"/>
        <v>0</v>
      </c>
      <c r="DB565" s="40">
        <f t="shared" si="789"/>
        <v>0</v>
      </c>
      <c r="DC565" s="40">
        <f t="shared" si="790"/>
        <v>0</v>
      </c>
      <c r="DD565" s="40">
        <f t="shared" si="791"/>
        <v>5</v>
      </c>
      <c r="DE565" s="40">
        <f t="shared" si="792"/>
        <v>0</v>
      </c>
      <c r="DF565" s="40">
        <f t="shared" si="793"/>
        <v>0</v>
      </c>
      <c r="DG565" s="40">
        <f t="shared" si="794"/>
        <v>0</v>
      </c>
      <c r="DH565" s="40">
        <f t="shared" si="795"/>
        <v>0</v>
      </c>
      <c r="DI565" s="40">
        <f t="shared" si="796"/>
        <v>0</v>
      </c>
      <c r="DJ565" s="40">
        <f t="shared" si="797"/>
        <v>0</v>
      </c>
      <c r="DK565" s="39">
        <f t="shared" si="798"/>
        <v>0</v>
      </c>
      <c r="DL565" s="40">
        <f t="shared" si="799"/>
        <v>0</v>
      </c>
      <c r="DM565" s="40">
        <f t="shared" si="800"/>
        <v>0</v>
      </c>
      <c r="DN565" s="40">
        <f t="shared" si="801"/>
        <v>0</v>
      </c>
      <c r="DO565" s="40">
        <f t="shared" si="802"/>
        <v>0</v>
      </c>
      <c r="DP565" s="40">
        <f t="shared" si="803"/>
        <v>0</v>
      </c>
      <c r="DQ565" s="40">
        <f t="shared" si="804"/>
        <v>0</v>
      </c>
      <c r="DR565" s="40">
        <f t="shared" si="809"/>
        <v>0</v>
      </c>
      <c r="DS565" s="40">
        <f t="shared" si="810"/>
        <v>0</v>
      </c>
      <c r="DT565" s="40">
        <f t="shared" si="805"/>
        <v>0</v>
      </c>
      <c r="DU565" s="40">
        <f t="shared" si="806"/>
        <v>0</v>
      </c>
      <c r="DV565" s="40">
        <f t="shared" si="807"/>
        <v>0</v>
      </c>
      <c r="DW565" s="40">
        <f t="shared" si="808"/>
        <v>0</v>
      </c>
    </row>
    <row r="566" spans="1:127">
      <c r="A566" s="22" t="s">
        <v>44</v>
      </c>
      <c r="B566" s="26"/>
      <c r="C566" s="22" t="s">
        <v>44</v>
      </c>
      <c r="E566" s="22">
        <v>241309</v>
      </c>
      <c r="F566" s="80" t="s">
        <v>651</v>
      </c>
      <c r="G566" s="25">
        <v>1072.75</v>
      </c>
      <c r="H566" s="38">
        <f t="shared" si="753"/>
        <v>0</v>
      </c>
      <c r="I566" s="38">
        <f t="shared" si="754"/>
        <v>0</v>
      </c>
      <c r="J566" s="38">
        <f t="shared" si="755"/>
        <v>0</v>
      </c>
      <c r="K566" s="38">
        <f t="shared" si="756"/>
        <v>0</v>
      </c>
      <c r="L566" s="38">
        <f t="shared" si="757"/>
        <v>0</v>
      </c>
      <c r="M566" s="39">
        <f t="shared" si="758"/>
        <v>0</v>
      </c>
      <c r="N566" s="40">
        <f t="shared" si="759"/>
        <v>0</v>
      </c>
      <c r="O566" s="40">
        <f t="shared" si="760"/>
        <v>0</v>
      </c>
      <c r="P566" s="40">
        <f t="shared" si="761"/>
        <v>0</v>
      </c>
      <c r="Q566" s="40">
        <f t="shared" si="762"/>
        <v>0</v>
      </c>
      <c r="R566" s="40">
        <f t="shared" si="763"/>
        <v>3218.25</v>
      </c>
      <c r="S566" s="40">
        <f t="shared" si="764"/>
        <v>0</v>
      </c>
      <c r="T566" s="40">
        <f t="shared" si="765"/>
        <v>0</v>
      </c>
      <c r="U566" s="40">
        <f t="shared" si="766"/>
        <v>0</v>
      </c>
      <c r="V566" s="40">
        <f t="shared" si="767"/>
        <v>0</v>
      </c>
      <c r="W566" s="40">
        <f t="shared" si="768"/>
        <v>0</v>
      </c>
      <c r="X566" s="40">
        <f t="shared" si="769"/>
        <v>0</v>
      </c>
      <c r="Y566" s="39">
        <f t="shared" si="770"/>
        <v>0</v>
      </c>
      <c r="Z566" s="40">
        <f t="shared" si="771"/>
        <v>0</v>
      </c>
      <c r="AA566" s="40">
        <f t="shared" si="772"/>
        <v>0</v>
      </c>
      <c r="AB566" s="40">
        <f t="shared" si="773"/>
        <v>0</v>
      </c>
      <c r="AC566" s="40">
        <f t="shared" si="774"/>
        <v>0</v>
      </c>
      <c r="AD566" s="40">
        <f t="shared" si="775"/>
        <v>0</v>
      </c>
      <c r="AE566" s="40">
        <f t="shared" si="776"/>
        <v>0</v>
      </c>
      <c r="AF566" s="40">
        <f t="shared" si="777"/>
        <v>0</v>
      </c>
      <c r="AG566" s="40">
        <f t="shared" si="778"/>
        <v>0</v>
      </c>
      <c r="AH566" s="40">
        <f t="shared" si="749"/>
        <v>0</v>
      </c>
      <c r="AI566" s="40">
        <f t="shared" si="750"/>
        <v>0</v>
      </c>
      <c r="AJ566" s="40">
        <f t="shared" si="751"/>
        <v>0</v>
      </c>
      <c r="AK566" s="39">
        <f t="shared" si="752"/>
        <v>0</v>
      </c>
      <c r="AL566" s="38">
        <v>0</v>
      </c>
      <c r="AM566" s="38">
        <v>0</v>
      </c>
      <c r="AN566" s="38">
        <v>0</v>
      </c>
      <c r="AO566" s="38">
        <v>0</v>
      </c>
      <c r="AP566" s="38">
        <v>0</v>
      </c>
      <c r="AQ566" s="39">
        <v>0</v>
      </c>
      <c r="AR566" s="40">
        <v>0</v>
      </c>
      <c r="AS566" s="40">
        <v>0</v>
      </c>
      <c r="AT566" s="40">
        <v>0</v>
      </c>
      <c r="AU566" s="40">
        <v>0</v>
      </c>
      <c r="AV566" s="40">
        <v>0</v>
      </c>
      <c r="AW566" s="40">
        <v>0</v>
      </c>
      <c r="AX566" s="40">
        <v>0</v>
      </c>
      <c r="AY566" s="40">
        <v>0</v>
      </c>
      <c r="AZ566" s="40">
        <v>0</v>
      </c>
      <c r="BA566" s="40">
        <v>0</v>
      </c>
      <c r="BB566" s="40">
        <v>0</v>
      </c>
      <c r="BC566" s="39">
        <v>0</v>
      </c>
      <c r="BD566" s="40">
        <v>0</v>
      </c>
      <c r="BE566" s="40">
        <v>0</v>
      </c>
      <c r="BF566" s="40">
        <v>0</v>
      </c>
      <c r="BG566" s="40">
        <v>0</v>
      </c>
      <c r="BH566" s="40">
        <v>0</v>
      </c>
      <c r="BI566" s="40">
        <v>0</v>
      </c>
      <c r="BJ566" s="40">
        <v>0</v>
      </c>
      <c r="BK566" s="40">
        <v>0</v>
      </c>
      <c r="BL566" s="40">
        <v>0</v>
      </c>
      <c r="BM566" s="40" t="s">
        <v>768</v>
      </c>
      <c r="BN566" s="40"/>
      <c r="BO566" s="39"/>
      <c r="BP566" s="21">
        <v>0</v>
      </c>
      <c r="BQ566" s="21">
        <v>0</v>
      </c>
      <c r="BR566" s="21">
        <v>0</v>
      </c>
      <c r="BS566" s="21">
        <v>0</v>
      </c>
      <c r="BT566" s="21">
        <v>0</v>
      </c>
      <c r="BU566" s="42">
        <v>0</v>
      </c>
      <c r="BV566" s="21">
        <v>0</v>
      </c>
      <c r="BW566" s="21">
        <v>0</v>
      </c>
      <c r="BX566" s="21">
        <v>0</v>
      </c>
      <c r="BY566" s="21">
        <v>0</v>
      </c>
      <c r="BZ566" s="21">
        <v>3</v>
      </c>
      <c r="CA566" s="21">
        <v>0</v>
      </c>
      <c r="CB566" s="21">
        <v>0</v>
      </c>
      <c r="CC566" s="21">
        <v>0</v>
      </c>
      <c r="CD566" s="21">
        <v>0</v>
      </c>
      <c r="CE566" s="21">
        <v>0</v>
      </c>
      <c r="CF566" s="21">
        <v>0</v>
      </c>
      <c r="CG566" s="42">
        <v>0</v>
      </c>
      <c r="CH566" s="21">
        <v>0</v>
      </c>
      <c r="CI566" s="21">
        <v>0</v>
      </c>
      <c r="CJ566" s="21">
        <v>0</v>
      </c>
      <c r="CK566" s="21">
        <v>0</v>
      </c>
      <c r="CL566" s="21">
        <v>0</v>
      </c>
      <c r="CM566" s="21">
        <v>0</v>
      </c>
      <c r="CN566" s="21">
        <v>0</v>
      </c>
      <c r="CO566" s="21">
        <v>0</v>
      </c>
      <c r="CP566" s="21">
        <f t="shared" si="779"/>
        <v>0</v>
      </c>
      <c r="CQ566" s="343">
        <f t="shared" si="780"/>
        <v>0</v>
      </c>
      <c r="CR566" s="40"/>
      <c r="CS566" s="39"/>
      <c r="CT566" s="38">
        <f t="shared" si="781"/>
        <v>0</v>
      </c>
      <c r="CU566" s="38">
        <f t="shared" si="782"/>
        <v>0</v>
      </c>
      <c r="CV566" s="38">
        <f t="shared" si="783"/>
        <v>0</v>
      </c>
      <c r="CW566" s="38">
        <f t="shared" si="784"/>
        <v>0</v>
      </c>
      <c r="CX566" s="38">
        <f t="shared" si="785"/>
        <v>0</v>
      </c>
      <c r="CY566" s="39">
        <f t="shared" si="786"/>
        <v>0</v>
      </c>
      <c r="CZ566" s="40">
        <f t="shared" si="787"/>
        <v>0</v>
      </c>
      <c r="DA566" s="40">
        <f t="shared" si="788"/>
        <v>0</v>
      </c>
      <c r="DB566" s="40">
        <f t="shared" si="789"/>
        <v>0</v>
      </c>
      <c r="DC566" s="40">
        <f t="shared" si="790"/>
        <v>0</v>
      </c>
      <c r="DD566" s="40">
        <f t="shared" si="791"/>
        <v>3</v>
      </c>
      <c r="DE566" s="40">
        <f t="shared" si="792"/>
        <v>0</v>
      </c>
      <c r="DF566" s="40">
        <f t="shared" si="793"/>
        <v>0</v>
      </c>
      <c r="DG566" s="40">
        <f t="shared" si="794"/>
        <v>0</v>
      </c>
      <c r="DH566" s="40">
        <f t="shared" si="795"/>
        <v>0</v>
      </c>
      <c r="DI566" s="40">
        <f t="shared" si="796"/>
        <v>0</v>
      </c>
      <c r="DJ566" s="40">
        <f t="shared" si="797"/>
        <v>0</v>
      </c>
      <c r="DK566" s="39">
        <f t="shared" si="798"/>
        <v>0</v>
      </c>
      <c r="DL566" s="40">
        <f t="shared" si="799"/>
        <v>0</v>
      </c>
      <c r="DM566" s="40">
        <f t="shared" si="800"/>
        <v>0</v>
      </c>
      <c r="DN566" s="40">
        <f t="shared" si="801"/>
        <v>0</v>
      </c>
      <c r="DO566" s="40">
        <f t="shared" si="802"/>
        <v>0</v>
      </c>
      <c r="DP566" s="40">
        <f t="shared" si="803"/>
        <v>0</v>
      </c>
      <c r="DQ566" s="40">
        <f t="shared" si="804"/>
        <v>0</v>
      </c>
      <c r="DR566" s="40">
        <f t="shared" si="809"/>
        <v>0</v>
      </c>
      <c r="DS566" s="40">
        <f t="shared" si="810"/>
        <v>0</v>
      </c>
      <c r="DT566" s="40">
        <f t="shared" si="805"/>
        <v>0</v>
      </c>
      <c r="DU566" s="40">
        <f t="shared" si="806"/>
        <v>0</v>
      </c>
      <c r="DV566" s="40">
        <f t="shared" si="807"/>
        <v>0</v>
      </c>
      <c r="DW566" s="40">
        <f t="shared" si="808"/>
        <v>0</v>
      </c>
    </row>
    <row r="567" spans="1:127">
      <c r="A567" s="22" t="s">
        <v>44</v>
      </c>
      <c r="B567" s="26"/>
      <c r="C567" s="22" t="s">
        <v>44</v>
      </c>
      <c r="E567" s="22">
        <v>241456</v>
      </c>
      <c r="F567" s="80" t="s">
        <v>652</v>
      </c>
      <c r="G567" s="25">
        <v>1495.83</v>
      </c>
      <c r="H567" s="38">
        <f t="shared" si="753"/>
        <v>0</v>
      </c>
      <c r="I567" s="38">
        <f t="shared" si="754"/>
        <v>0</v>
      </c>
      <c r="J567" s="38">
        <f t="shared" si="755"/>
        <v>0</v>
      </c>
      <c r="K567" s="38">
        <f t="shared" si="756"/>
        <v>0</v>
      </c>
      <c r="L567" s="38">
        <f t="shared" si="757"/>
        <v>0</v>
      </c>
      <c r="M567" s="39">
        <f t="shared" si="758"/>
        <v>0</v>
      </c>
      <c r="N567" s="40">
        <f t="shared" si="759"/>
        <v>0</v>
      </c>
      <c r="O567" s="40">
        <f t="shared" si="760"/>
        <v>0</v>
      </c>
      <c r="P567" s="40">
        <f t="shared" si="761"/>
        <v>0</v>
      </c>
      <c r="Q567" s="40">
        <f t="shared" si="762"/>
        <v>0</v>
      </c>
      <c r="R567" s="40">
        <f t="shared" si="763"/>
        <v>7479.15</v>
      </c>
      <c r="S567" s="40">
        <f t="shared" si="764"/>
        <v>0</v>
      </c>
      <c r="T567" s="40">
        <f t="shared" si="765"/>
        <v>0</v>
      </c>
      <c r="U567" s="40">
        <f t="shared" si="766"/>
        <v>0</v>
      </c>
      <c r="V567" s="40">
        <f t="shared" si="767"/>
        <v>0</v>
      </c>
      <c r="W567" s="40">
        <f t="shared" si="768"/>
        <v>0</v>
      </c>
      <c r="X567" s="40">
        <f t="shared" si="769"/>
        <v>0</v>
      </c>
      <c r="Y567" s="39">
        <f t="shared" si="770"/>
        <v>0</v>
      </c>
      <c r="Z567" s="40">
        <f t="shared" si="771"/>
        <v>0</v>
      </c>
      <c r="AA567" s="40">
        <f t="shared" si="772"/>
        <v>0</v>
      </c>
      <c r="AB567" s="40">
        <f t="shared" si="773"/>
        <v>0</v>
      </c>
      <c r="AC567" s="40">
        <f t="shared" si="774"/>
        <v>0</v>
      </c>
      <c r="AD567" s="40">
        <f t="shared" si="775"/>
        <v>0</v>
      </c>
      <c r="AE567" s="40">
        <f t="shared" si="776"/>
        <v>0</v>
      </c>
      <c r="AF567" s="40">
        <f t="shared" si="777"/>
        <v>0</v>
      </c>
      <c r="AG567" s="40">
        <f t="shared" si="778"/>
        <v>0</v>
      </c>
      <c r="AH567" s="40">
        <f t="shared" si="749"/>
        <v>0</v>
      </c>
      <c r="AI567" s="40">
        <f t="shared" si="750"/>
        <v>0</v>
      </c>
      <c r="AJ567" s="40">
        <f t="shared" si="751"/>
        <v>0</v>
      </c>
      <c r="AK567" s="39">
        <f t="shared" si="752"/>
        <v>0</v>
      </c>
      <c r="AL567" s="38">
        <v>0</v>
      </c>
      <c r="AM567" s="38">
        <v>0</v>
      </c>
      <c r="AN567" s="38">
        <v>0</v>
      </c>
      <c r="AO567" s="38">
        <v>0</v>
      </c>
      <c r="AP567" s="38">
        <v>0</v>
      </c>
      <c r="AQ567" s="39">
        <v>0</v>
      </c>
      <c r="AR567" s="40">
        <v>0</v>
      </c>
      <c r="AS567" s="40">
        <v>0</v>
      </c>
      <c r="AT567" s="40">
        <v>0</v>
      </c>
      <c r="AU567" s="40">
        <v>0</v>
      </c>
      <c r="AV567" s="40">
        <v>0</v>
      </c>
      <c r="AW567" s="40">
        <v>0</v>
      </c>
      <c r="AX567" s="40">
        <v>0</v>
      </c>
      <c r="AY567" s="40">
        <v>0</v>
      </c>
      <c r="AZ567" s="40">
        <v>0</v>
      </c>
      <c r="BA567" s="40">
        <v>0</v>
      </c>
      <c r="BB567" s="40">
        <v>0</v>
      </c>
      <c r="BC567" s="39">
        <v>0</v>
      </c>
      <c r="BD567" s="40">
        <v>0</v>
      </c>
      <c r="BE567" s="40">
        <v>0</v>
      </c>
      <c r="BF567" s="40">
        <v>0</v>
      </c>
      <c r="BG567" s="40">
        <v>0</v>
      </c>
      <c r="BH567" s="40">
        <v>0</v>
      </c>
      <c r="BI567" s="40">
        <v>0</v>
      </c>
      <c r="BJ567" s="40">
        <v>0</v>
      </c>
      <c r="BK567" s="40">
        <v>0</v>
      </c>
      <c r="BL567" s="40">
        <v>0</v>
      </c>
      <c r="BM567" s="40" t="s">
        <v>768</v>
      </c>
      <c r="BN567" s="40"/>
      <c r="BO567" s="39"/>
      <c r="BP567" s="21">
        <v>0</v>
      </c>
      <c r="BQ567" s="21">
        <v>0</v>
      </c>
      <c r="BR567" s="21">
        <v>0</v>
      </c>
      <c r="BS567" s="21">
        <v>0</v>
      </c>
      <c r="BT567" s="21">
        <v>0</v>
      </c>
      <c r="BU567" s="42">
        <v>0</v>
      </c>
      <c r="BV567" s="21">
        <v>0</v>
      </c>
      <c r="BW567" s="21">
        <v>0</v>
      </c>
      <c r="BX567" s="21">
        <v>0</v>
      </c>
      <c r="BY567" s="21">
        <v>0</v>
      </c>
      <c r="BZ567" s="21">
        <v>5</v>
      </c>
      <c r="CA567" s="21">
        <v>0</v>
      </c>
      <c r="CB567" s="21">
        <v>0</v>
      </c>
      <c r="CC567" s="21">
        <v>0</v>
      </c>
      <c r="CD567" s="21">
        <v>0</v>
      </c>
      <c r="CE567" s="21">
        <v>0</v>
      </c>
      <c r="CF567" s="21">
        <v>0</v>
      </c>
      <c r="CG567" s="42">
        <v>0</v>
      </c>
      <c r="CH567" s="21">
        <v>0</v>
      </c>
      <c r="CI567" s="21">
        <v>0</v>
      </c>
      <c r="CJ567" s="21">
        <v>0</v>
      </c>
      <c r="CK567" s="21">
        <v>0</v>
      </c>
      <c r="CL567" s="21">
        <v>0</v>
      </c>
      <c r="CM567" s="21">
        <v>0</v>
      </c>
      <c r="CN567" s="21">
        <v>0</v>
      </c>
      <c r="CO567" s="21">
        <v>0</v>
      </c>
      <c r="CP567" s="21">
        <f t="shared" si="779"/>
        <v>0</v>
      </c>
      <c r="CQ567" s="343">
        <f t="shared" si="780"/>
        <v>0</v>
      </c>
      <c r="CR567" s="40"/>
      <c r="CS567" s="39"/>
      <c r="CT567" s="38">
        <f t="shared" si="781"/>
        <v>0</v>
      </c>
      <c r="CU567" s="38">
        <f t="shared" si="782"/>
        <v>0</v>
      </c>
      <c r="CV567" s="38">
        <f t="shared" si="783"/>
        <v>0</v>
      </c>
      <c r="CW567" s="38">
        <f t="shared" si="784"/>
        <v>0</v>
      </c>
      <c r="CX567" s="38">
        <f t="shared" si="785"/>
        <v>0</v>
      </c>
      <c r="CY567" s="39">
        <f t="shared" si="786"/>
        <v>0</v>
      </c>
      <c r="CZ567" s="40">
        <f t="shared" si="787"/>
        <v>0</v>
      </c>
      <c r="DA567" s="40">
        <f t="shared" si="788"/>
        <v>0</v>
      </c>
      <c r="DB567" s="40">
        <f t="shared" si="789"/>
        <v>0</v>
      </c>
      <c r="DC567" s="40">
        <f t="shared" si="790"/>
        <v>0</v>
      </c>
      <c r="DD567" s="40">
        <f t="shared" si="791"/>
        <v>5</v>
      </c>
      <c r="DE567" s="40">
        <f t="shared" si="792"/>
        <v>0</v>
      </c>
      <c r="DF567" s="40">
        <f t="shared" si="793"/>
        <v>0</v>
      </c>
      <c r="DG567" s="40">
        <f t="shared" si="794"/>
        <v>0</v>
      </c>
      <c r="DH567" s="40">
        <f t="shared" si="795"/>
        <v>0</v>
      </c>
      <c r="DI567" s="40">
        <f t="shared" si="796"/>
        <v>0</v>
      </c>
      <c r="DJ567" s="40">
        <f t="shared" si="797"/>
        <v>0</v>
      </c>
      <c r="DK567" s="39">
        <f t="shared" si="798"/>
        <v>0</v>
      </c>
      <c r="DL567" s="40">
        <f t="shared" si="799"/>
        <v>0</v>
      </c>
      <c r="DM567" s="40">
        <f t="shared" si="800"/>
        <v>0</v>
      </c>
      <c r="DN567" s="40">
        <f t="shared" si="801"/>
        <v>0</v>
      </c>
      <c r="DO567" s="40">
        <f t="shared" si="802"/>
        <v>0</v>
      </c>
      <c r="DP567" s="40">
        <f t="shared" si="803"/>
        <v>0</v>
      </c>
      <c r="DQ567" s="40">
        <f t="shared" si="804"/>
        <v>0</v>
      </c>
      <c r="DR567" s="40">
        <f t="shared" si="809"/>
        <v>0</v>
      </c>
      <c r="DS567" s="40">
        <f t="shared" si="810"/>
        <v>0</v>
      </c>
      <c r="DT567" s="40">
        <f t="shared" si="805"/>
        <v>0</v>
      </c>
      <c r="DU567" s="40">
        <f t="shared" si="806"/>
        <v>0</v>
      </c>
      <c r="DV567" s="40">
        <f t="shared" si="807"/>
        <v>0</v>
      </c>
      <c r="DW567" s="40">
        <f t="shared" si="808"/>
        <v>0</v>
      </c>
    </row>
    <row r="568" spans="1:127">
      <c r="A568" s="22" t="s">
        <v>44</v>
      </c>
      <c r="B568" s="26"/>
      <c r="C568" s="22" t="s">
        <v>44</v>
      </c>
      <c r="E568" s="22">
        <v>241468</v>
      </c>
      <c r="F568" s="80" t="s">
        <v>653</v>
      </c>
      <c r="G568" s="25">
        <v>1418.0833333333335</v>
      </c>
      <c r="H568" s="38">
        <f t="shared" si="753"/>
        <v>0</v>
      </c>
      <c r="I568" s="38">
        <f t="shared" si="754"/>
        <v>0</v>
      </c>
      <c r="J568" s="38">
        <f t="shared" si="755"/>
        <v>0</v>
      </c>
      <c r="K568" s="38">
        <f t="shared" si="756"/>
        <v>0</v>
      </c>
      <c r="L568" s="38">
        <f t="shared" si="757"/>
        <v>0</v>
      </c>
      <c r="M568" s="39">
        <f t="shared" si="758"/>
        <v>0</v>
      </c>
      <c r="N568" s="40">
        <f t="shared" si="759"/>
        <v>0</v>
      </c>
      <c r="O568" s="40">
        <f t="shared" si="760"/>
        <v>0</v>
      </c>
      <c r="P568" s="40">
        <f t="shared" si="761"/>
        <v>0</v>
      </c>
      <c r="Q568" s="40">
        <f t="shared" si="762"/>
        <v>0</v>
      </c>
      <c r="R568" s="40">
        <f t="shared" si="763"/>
        <v>12762.750000000002</v>
      </c>
      <c r="S568" s="40">
        <f t="shared" si="764"/>
        <v>1418.0833333333335</v>
      </c>
      <c r="T568" s="40">
        <f t="shared" si="765"/>
        <v>4254.25</v>
      </c>
      <c r="U568" s="40">
        <f t="shared" si="766"/>
        <v>8508.5</v>
      </c>
      <c r="V568" s="40">
        <f t="shared" si="767"/>
        <v>5672.3333333333339</v>
      </c>
      <c r="W568" s="40">
        <f t="shared" si="768"/>
        <v>1418.0833333333335</v>
      </c>
      <c r="X568" s="40">
        <f t="shared" si="769"/>
        <v>2836.166666666667</v>
      </c>
      <c r="Y568" s="39">
        <f t="shared" si="770"/>
        <v>2836.166666666667</v>
      </c>
      <c r="Z568" s="40">
        <f t="shared" si="771"/>
        <v>0</v>
      </c>
      <c r="AA568" s="40">
        <f t="shared" si="772"/>
        <v>0</v>
      </c>
      <c r="AB568" s="40">
        <f t="shared" si="773"/>
        <v>1418.0833333333335</v>
      </c>
      <c r="AC568" s="40">
        <f t="shared" si="774"/>
        <v>0</v>
      </c>
      <c r="AD568" s="40">
        <f t="shared" si="775"/>
        <v>0</v>
      </c>
      <c r="AE568" s="40">
        <f t="shared" si="776"/>
        <v>0</v>
      </c>
      <c r="AF568" s="40">
        <f t="shared" si="777"/>
        <v>1418.0833333333335</v>
      </c>
      <c r="AG568" s="40">
        <f t="shared" si="778"/>
        <v>0</v>
      </c>
      <c r="AH568" s="40">
        <f t="shared" si="749"/>
        <v>0</v>
      </c>
      <c r="AI568" s="40">
        <f t="shared" si="750"/>
        <v>315.12962962962962</v>
      </c>
      <c r="AJ568" s="40">
        <f t="shared" si="751"/>
        <v>0</v>
      </c>
      <c r="AK568" s="39">
        <f t="shared" si="752"/>
        <v>0</v>
      </c>
      <c r="AL568" s="38">
        <v>0</v>
      </c>
      <c r="AM568" s="38">
        <v>0</v>
      </c>
      <c r="AN568" s="38">
        <v>0</v>
      </c>
      <c r="AO568" s="38">
        <v>0</v>
      </c>
      <c r="AP568" s="38">
        <v>0</v>
      </c>
      <c r="AQ568" s="39">
        <v>0</v>
      </c>
      <c r="AR568" s="40">
        <v>0</v>
      </c>
      <c r="AS568" s="40">
        <v>0</v>
      </c>
      <c r="AT568" s="40">
        <v>0</v>
      </c>
      <c r="AU568" s="40">
        <v>0</v>
      </c>
      <c r="AV568" s="40">
        <v>0</v>
      </c>
      <c r="AW568" s="40">
        <v>0</v>
      </c>
      <c r="AX568" s="40">
        <v>0</v>
      </c>
      <c r="AY568" s="40">
        <v>0</v>
      </c>
      <c r="AZ568" s="40">
        <v>0</v>
      </c>
      <c r="BA568" s="40">
        <v>0</v>
      </c>
      <c r="BB568" s="40">
        <v>0</v>
      </c>
      <c r="BC568" s="39">
        <v>0</v>
      </c>
      <c r="BD568" s="40">
        <v>0</v>
      </c>
      <c r="BE568" s="40">
        <v>0</v>
      </c>
      <c r="BF568" s="40">
        <v>0</v>
      </c>
      <c r="BG568" s="40">
        <v>0</v>
      </c>
      <c r="BH568" s="40">
        <v>0</v>
      </c>
      <c r="BI568" s="40">
        <v>0</v>
      </c>
      <c r="BJ568" s="40">
        <v>0</v>
      </c>
      <c r="BK568" s="40">
        <v>0</v>
      </c>
      <c r="BL568" s="40">
        <v>0</v>
      </c>
      <c r="BM568" s="40" t="s">
        <v>768</v>
      </c>
      <c r="BN568" s="40"/>
      <c r="BO568" s="39"/>
      <c r="BP568" s="21">
        <v>0</v>
      </c>
      <c r="BQ568" s="21">
        <v>0</v>
      </c>
      <c r="BR568" s="21">
        <v>0</v>
      </c>
      <c r="BS568" s="21">
        <v>0</v>
      </c>
      <c r="BT568" s="21">
        <v>0</v>
      </c>
      <c r="BU568" s="42">
        <v>0</v>
      </c>
      <c r="BV568" s="21">
        <v>0</v>
      </c>
      <c r="BW568" s="21">
        <v>0</v>
      </c>
      <c r="BX568" s="21">
        <v>0</v>
      </c>
      <c r="BY568" s="21">
        <v>0</v>
      </c>
      <c r="BZ568" s="21">
        <v>9</v>
      </c>
      <c r="CA568" s="21">
        <v>1</v>
      </c>
      <c r="CB568" s="21">
        <v>3</v>
      </c>
      <c r="CC568" s="21">
        <v>6</v>
      </c>
      <c r="CD568" s="21">
        <v>4</v>
      </c>
      <c r="CE568" s="21">
        <v>1</v>
      </c>
      <c r="CF568" s="21">
        <v>2</v>
      </c>
      <c r="CG568" s="42">
        <v>2</v>
      </c>
      <c r="CH568" s="21">
        <v>0</v>
      </c>
      <c r="CI568" s="21">
        <v>0</v>
      </c>
      <c r="CJ568" s="21">
        <v>1</v>
      </c>
      <c r="CK568" s="21">
        <v>0</v>
      </c>
      <c r="CL568" s="21">
        <v>0</v>
      </c>
      <c r="CM568" s="21">
        <v>0</v>
      </c>
      <c r="CN568" s="21">
        <v>1</v>
      </c>
      <c r="CO568" s="21">
        <v>0</v>
      </c>
      <c r="CP568" s="21">
        <f t="shared" si="779"/>
        <v>0</v>
      </c>
      <c r="CQ568" s="343">
        <f t="shared" si="780"/>
        <v>0.22222222222222221</v>
      </c>
      <c r="CR568" s="40"/>
      <c r="CS568" s="39"/>
      <c r="CT568" s="38">
        <f t="shared" si="781"/>
        <v>0</v>
      </c>
      <c r="CU568" s="38">
        <f t="shared" si="782"/>
        <v>0</v>
      </c>
      <c r="CV568" s="38">
        <f t="shared" si="783"/>
        <v>0</v>
      </c>
      <c r="CW568" s="38">
        <f t="shared" si="784"/>
        <v>0</v>
      </c>
      <c r="CX568" s="38">
        <f t="shared" si="785"/>
        <v>0</v>
      </c>
      <c r="CY568" s="39">
        <f t="shared" si="786"/>
        <v>0</v>
      </c>
      <c r="CZ568" s="40">
        <f t="shared" si="787"/>
        <v>0</v>
      </c>
      <c r="DA568" s="40">
        <f t="shared" si="788"/>
        <v>0</v>
      </c>
      <c r="DB568" s="40">
        <f t="shared" si="789"/>
        <v>0</v>
      </c>
      <c r="DC568" s="40">
        <f t="shared" si="790"/>
        <v>0</v>
      </c>
      <c r="DD568" s="40">
        <f t="shared" si="791"/>
        <v>9</v>
      </c>
      <c r="DE568" s="40">
        <f t="shared" si="792"/>
        <v>1</v>
      </c>
      <c r="DF568" s="40">
        <f t="shared" si="793"/>
        <v>3</v>
      </c>
      <c r="DG568" s="40">
        <f t="shared" si="794"/>
        <v>6</v>
      </c>
      <c r="DH568" s="40">
        <f t="shared" si="795"/>
        <v>4</v>
      </c>
      <c r="DI568" s="40">
        <f t="shared" si="796"/>
        <v>1</v>
      </c>
      <c r="DJ568" s="40">
        <f t="shared" si="797"/>
        <v>2</v>
      </c>
      <c r="DK568" s="39">
        <f t="shared" si="798"/>
        <v>2</v>
      </c>
      <c r="DL568" s="40">
        <f t="shared" si="799"/>
        <v>0</v>
      </c>
      <c r="DM568" s="40">
        <f t="shared" si="800"/>
        <v>0</v>
      </c>
      <c r="DN568" s="40">
        <f t="shared" si="801"/>
        <v>1</v>
      </c>
      <c r="DO568" s="40">
        <f t="shared" si="802"/>
        <v>0</v>
      </c>
      <c r="DP568" s="40">
        <f t="shared" si="803"/>
        <v>0</v>
      </c>
      <c r="DQ568" s="40">
        <f t="shared" si="804"/>
        <v>0</v>
      </c>
      <c r="DR568" s="40">
        <f t="shared" si="809"/>
        <v>1</v>
      </c>
      <c r="DS568" s="40">
        <f t="shared" si="810"/>
        <v>0</v>
      </c>
      <c r="DT568" s="40">
        <f t="shared" si="805"/>
        <v>0</v>
      </c>
      <c r="DU568" s="40">
        <f t="shared" si="806"/>
        <v>0.22222222222222221</v>
      </c>
      <c r="DV568" s="40">
        <f t="shared" si="807"/>
        <v>0</v>
      </c>
      <c r="DW568" s="40">
        <f t="shared" si="808"/>
        <v>0</v>
      </c>
    </row>
    <row r="569" spans="1:127">
      <c r="A569" s="22" t="s">
        <v>44</v>
      </c>
      <c r="B569" s="26"/>
      <c r="C569" s="22" t="s">
        <v>44</v>
      </c>
      <c r="E569" s="22">
        <v>241491</v>
      </c>
      <c r="F569" s="80" t="s">
        <v>654</v>
      </c>
      <c r="G569" s="25">
        <v>1092.7500000000002</v>
      </c>
      <c r="H569" s="38">
        <f t="shared" si="753"/>
        <v>0</v>
      </c>
      <c r="I569" s="38">
        <f t="shared" si="754"/>
        <v>0</v>
      </c>
      <c r="J569" s="38">
        <f t="shared" si="755"/>
        <v>0</v>
      </c>
      <c r="K569" s="38">
        <f t="shared" si="756"/>
        <v>0</v>
      </c>
      <c r="L569" s="38">
        <f t="shared" si="757"/>
        <v>0</v>
      </c>
      <c r="M569" s="39">
        <f t="shared" si="758"/>
        <v>0</v>
      </c>
      <c r="N569" s="40">
        <f t="shared" si="759"/>
        <v>0</v>
      </c>
      <c r="O569" s="40">
        <f t="shared" si="760"/>
        <v>0</v>
      </c>
      <c r="P569" s="40">
        <f t="shared" si="761"/>
        <v>0</v>
      </c>
      <c r="Q569" s="40">
        <f t="shared" si="762"/>
        <v>0</v>
      </c>
      <c r="R569" s="40">
        <f t="shared" si="763"/>
        <v>7649.2500000000018</v>
      </c>
      <c r="S569" s="40">
        <f t="shared" si="764"/>
        <v>0</v>
      </c>
      <c r="T569" s="40">
        <f t="shared" si="765"/>
        <v>0</v>
      </c>
      <c r="U569" s="40">
        <f t="shared" si="766"/>
        <v>0</v>
      </c>
      <c r="V569" s="40">
        <f t="shared" si="767"/>
        <v>0</v>
      </c>
      <c r="W569" s="40">
        <f t="shared" si="768"/>
        <v>0</v>
      </c>
      <c r="X569" s="40">
        <f t="shared" si="769"/>
        <v>0</v>
      </c>
      <c r="Y569" s="39">
        <f t="shared" si="770"/>
        <v>0</v>
      </c>
      <c r="Z569" s="40">
        <f t="shared" si="771"/>
        <v>0</v>
      </c>
      <c r="AA569" s="40">
        <f t="shared" si="772"/>
        <v>0</v>
      </c>
      <c r="AB569" s="40">
        <f t="shared" si="773"/>
        <v>0</v>
      </c>
      <c r="AC569" s="40">
        <f t="shared" si="774"/>
        <v>0</v>
      </c>
      <c r="AD569" s="40">
        <f t="shared" si="775"/>
        <v>0</v>
      </c>
      <c r="AE569" s="40">
        <f t="shared" si="776"/>
        <v>0</v>
      </c>
      <c r="AF569" s="40">
        <f t="shared" si="777"/>
        <v>0</v>
      </c>
      <c r="AG569" s="40">
        <f t="shared" si="778"/>
        <v>0</v>
      </c>
      <c r="AH569" s="40">
        <f t="shared" si="749"/>
        <v>0</v>
      </c>
      <c r="AI569" s="40">
        <f t="shared" si="750"/>
        <v>0</v>
      </c>
      <c r="AJ569" s="40">
        <f t="shared" si="751"/>
        <v>0</v>
      </c>
      <c r="AK569" s="39">
        <f t="shared" si="752"/>
        <v>0</v>
      </c>
      <c r="AL569" s="38">
        <v>0</v>
      </c>
      <c r="AM569" s="38">
        <v>0</v>
      </c>
      <c r="AN569" s="38">
        <v>0</v>
      </c>
      <c r="AO569" s="38">
        <v>0</v>
      </c>
      <c r="AP569" s="38">
        <v>0</v>
      </c>
      <c r="AQ569" s="39">
        <v>0</v>
      </c>
      <c r="AR569" s="40">
        <v>0</v>
      </c>
      <c r="AS569" s="40">
        <v>0</v>
      </c>
      <c r="AT569" s="40">
        <v>0</v>
      </c>
      <c r="AU569" s="40">
        <v>0</v>
      </c>
      <c r="AV569" s="40">
        <v>0</v>
      </c>
      <c r="AW569" s="40">
        <v>0</v>
      </c>
      <c r="AX569" s="40">
        <v>0</v>
      </c>
      <c r="AY569" s="40">
        <v>0</v>
      </c>
      <c r="AZ569" s="40">
        <v>0</v>
      </c>
      <c r="BA569" s="40">
        <v>0</v>
      </c>
      <c r="BB569" s="40">
        <v>0</v>
      </c>
      <c r="BC569" s="39">
        <v>0</v>
      </c>
      <c r="BD569" s="40">
        <v>0</v>
      </c>
      <c r="BE569" s="40">
        <v>0</v>
      </c>
      <c r="BF569" s="40">
        <v>0</v>
      </c>
      <c r="BG569" s="40">
        <v>0</v>
      </c>
      <c r="BH569" s="40">
        <v>0</v>
      </c>
      <c r="BI569" s="40">
        <v>0</v>
      </c>
      <c r="BJ569" s="40">
        <v>0</v>
      </c>
      <c r="BK569" s="40">
        <v>0</v>
      </c>
      <c r="BL569" s="40">
        <v>0</v>
      </c>
      <c r="BM569" s="40" t="s">
        <v>768</v>
      </c>
      <c r="BN569" s="40"/>
      <c r="BO569" s="39"/>
      <c r="BP569" s="21">
        <v>0</v>
      </c>
      <c r="BQ569" s="21">
        <v>0</v>
      </c>
      <c r="BR569" s="21">
        <v>0</v>
      </c>
      <c r="BS569" s="21">
        <v>0</v>
      </c>
      <c r="BT569" s="21">
        <v>0</v>
      </c>
      <c r="BU569" s="42">
        <v>0</v>
      </c>
      <c r="BV569" s="21">
        <v>0</v>
      </c>
      <c r="BW569" s="21">
        <v>0</v>
      </c>
      <c r="BX569" s="21">
        <v>0</v>
      </c>
      <c r="BY569" s="21">
        <v>0</v>
      </c>
      <c r="BZ569" s="21">
        <v>7</v>
      </c>
      <c r="CA569" s="21">
        <v>0</v>
      </c>
      <c r="CB569" s="21">
        <v>0</v>
      </c>
      <c r="CC569" s="21">
        <v>0</v>
      </c>
      <c r="CD569" s="21">
        <v>0</v>
      </c>
      <c r="CE569" s="21">
        <v>0</v>
      </c>
      <c r="CF569" s="21">
        <v>0</v>
      </c>
      <c r="CG569" s="42">
        <v>0</v>
      </c>
      <c r="CH569" s="21">
        <v>0</v>
      </c>
      <c r="CI569" s="21">
        <v>0</v>
      </c>
      <c r="CJ569" s="21">
        <v>0</v>
      </c>
      <c r="CK569" s="21">
        <v>0</v>
      </c>
      <c r="CL569" s="21">
        <v>0</v>
      </c>
      <c r="CM569" s="21">
        <v>0</v>
      </c>
      <c r="CN569" s="21">
        <v>0</v>
      </c>
      <c r="CO569" s="21">
        <v>0</v>
      </c>
      <c r="CP569" s="21">
        <f t="shared" si="779"/>
        <v>0</v>
      </c>
      <c r="CQ569" s="343">
        <f t="shared" si="780"/>
        <v>0</v>
      </c>
      <c r="CR569" s="40"/>
      <c r="CS569" s="39"/>
      <c r="CT569" s="38">
        <f t="shared" si="781"/>
        <v>0</v>
      </c>
      <c r="CU569" s="38">
        <f t="shared" si="782"/>
        <v>0</v>
      </c>
      <c r="CV569" s="38">
        <f t="shared" si="783"/>
        <v>0</v>
      </c>
      <c r="CW569" s="38">
        <f t="shared" si="784"/>
        <v>0</v>
      </c>
      <c r="CX569" s="38">
        <f t="shared" si="785"/>
        <v>0</v>
      </c>
      <c r="CY569" s="39">
        <f t="shared" si="786"/>
        <v>0</v>
      </c>
      <c r="CZ569" s="40">
        <f t="shared" si="787"/>
        <v>0</v>
      </c>
      <c r="DA569" s="40">
        <f t="shared" si="788"/>
        <v>0</v>
      </c>
      <c r="DB569" s="40">
        <f t="shared" si="789"/>
        <v>0</v>
      </c>
      <c r="DC569" s="40">
        <f t="shared" si="790"/>
        <v>0</v>
      </c>
      <c r="DD569" s="40">
        <f t="shared" si="791"/>
        <v>7</v>
      </c>
      <c r="DE569" s="40">
        <f t="shared" si="792"/>
        <v>0</v>
      </c>
      <c r="DF569" s="40">
        <f t="shared" si="793"/>
        <v>0</v>
      </c>
      <c r="DG569" s="40">
        <f t="shared" si="794"/>
        <v>0</v>
      </c>
      <c r="DH569" s="40">
        <f t="shared" si="795"/>
        <v>0</v>
      </c>
      <c r="DI569" s="40">
        <f t="shared" si="796"/>
        <v>0</v>
      </c>
      <c r="DJ569" s="40">
        <f t="shared" si="797"/>
        <v>0</v>
      </c>
      <c r="DK569" s="39">
        <f t="shared" si="798"/>
        <v>0</v>
      </c>
      <c r="DL569" s="40">
        <f t="shared" si="799"/>
        <v>0</v>
      </c>
      <c r="DM569" s="40">
        <f t="shared" si="800"/>
        <v>0</v>
      </c>
      <c r="DN569" s="40">
        <f t="shared" si="801"/>
        <v>0</v>
      </c>
      <c r="DO569" s="40">
        <f t="shared" si="802"/>
        <v>0</v>
      </c>
      <c r="DP569" s="40">
        <f t="shared" si="803"/>
        <v>0</v>
      </c>
      <c r="DQ569" s="40">
        <f t="shared" si="804"/>
        <v>0</v>
      </c>
      <c r="DR569" s="40">
        <f t="shared" si="809"/>
        <v>0</v>
      </c>
      <c r="DS569" s="40">
        <f t="shared" si="810"/>
        <v>0</v>
      </c>
      <c r="DT569" s="40">
        <f t="shared" si="805"/>
        <v>0</v>
      </c>
      <c r="DU569" s="40">
        <f t="shared" si="806"/>
        <v>0</v>
      </c>
      <c r="DV569" s="40">
        <f t="shared" si="807"/>
        <v>0</v>
      </c>
      <c r="DW569" s="40">
        <f t="shared" si="808"/>
        <v>0</v>
      </c>
    </row>
    <row r="570" spans="1:127">
      <c r="A570" s="22" t="s">
        <v>44</v>
      </c>
      <c r="B570" s="26"/>
      <c r="C570" s="22" t="s">
        <v>44</v>
      </c>
      <c r="E570" s="22">
        <v>241503</v>
      </c>
      <c r="F570" s="80" t="s">
        <v>655</v>
      </c>
      <c r="G570" s="25">
        <v>1454.7166666666667</v>
      </c>
      <c r="H570" s="38">
        <f t="shared" si="753"/>
        <v>0</v>
      </c>
      <c r="I570" s="38">
        <f t="shared" si="754"/>
        <v>0</v>
      </c>
      <c r="J570" s="38">
        <f t="shared" si="755"/>
        <v>0</v>
      </c>
      <c r="K570" s="38">
        <f t="shared" si="756"/>
        <v>0</v>
      </c>
      <c r="L570" s="38">
        <f t="shared" si="757"/>
        <v>0</v>
      </c>
      <c r="M570" s="39">
        <f t="shared" si="758"/>
        <v>0</v>
      </c>
      <c r="N570" s="40">
        <f t="shared" si="759"/>
        <v>0</v>
      </c>
      <c r="O570" s="40">
        <f t="shared" si="760"/>
        <v>0</v>
      </c>
      <c r="P570" s="40">
        <f t="shared" si="761"/>
        <v>0</v>
      </c>
      <c r="Q570" s="40">
        <f t="shared" si="762"/>
        <v>0</v>
      </c>
      <c r="R570" s="40">
        <f t="shared" si="763"/>
        <v>13092.45</v>
      </c>
      <c r="S570" s="40">
        <f t="shared" si="764"/>
        <v>-1454.7166666666667</v>
      </c>
      <c r="T570" s="40">
        <f t="shared" si="765"/>
        <v>2909.4333333333334</v>
      </c>
      <c r="U570" s="40">
        <f t="shared" si="766"/>
        <v>4364.1499999999996</v>
      </c>
      <c r="V570" s="40">
        <f t="shared" si="767"/>
        <v>1454.7166666666667</v>
      </c>
      <c r="W570" s="40">
        <f t="shared" si="768"/>
        <v>1454.7166666666667</v>
      </c>
      <c r="X570" s="40">
        <f t="shared" si="769"/>
        <v>0</v>
      </c>
      <c r="Y570" s="39">
        <f t="shared" si="770"/>
        <v>0</v>
      </c>
      <c r="Z570" s="40">
        <f t="shared" si="771"/>
        <v>0</v>
      </c>
      <c r="AA570" s="40">
        <f t="shared" si="772"/>
        <v>0</v>
      </c>
      <c r="AB570" s="40">
        <f t="shared" si="773"/>
        <v>4364.1499999999996</v>
      </c>
      <c r="AC570" s="40">
        <f t="shared" si="774"/>
        <v>1454.7166666666667</v>
      </c>
      <c r="AD570" s="40">
        <f t="shared" si="775"/>
        <v>0</v>
      </c>
      <c r="AE570" s="40">
        <f t="shared" si="776"/>
        <v>0</v>
      </c>
      <c r="AF570" s="40">
        <f t="shared" si="777"/>
        <v>0</v>
      </c>
      <c r="AG570" s="40">
        <f t="shared" si="778"/>
        <v>0</v>
      </c>
      <c r="AH570" s="40">
        <f t="shared" si="749"/>
        <v>0</v>
      </c>
      <c r="AI570" s="40">
        <f t="shared" si="750"/>
        <v>646.54074074074072</v>
      </c>
      <c r="AJ570" s="40">
        <f t="shared" si="751"/>
        <v>0</v>
      </c>
      <c r="AK570" s="39">
        <f t="shared" si="752"/>
        <v>0</v>
      </c>
      <c r="AL570" s="38">
        <v>0</v>
      </c>
      <c r="AM570" s="38">
        <v>0</v>
      </c>
      <c r="AN570" s="38">
        <v>0</v>
      </c>
      <c r="AO570" s="38">
        <v>0</v>
      </c>
      <c r="AP570" s="38">
        <v>0</v>
      </c>
      <c r="AQ570" s="39">
        <v>0</v>
      </c>
      <c r="AR570" s="40">
        <v>0</v>
      </c>
      <c r="AS570" s="40">
        <v>0</v>
      </c>
      <c r="AT570" s="40">
        <v>0</v>
      </c>
      <c r="AU570" s="40">
        <v>0</v>
      </c>
      <c r="AV570" s="40">
        <v>0</v>
      </c>
      <c r="AW570" s="40">
        <v>0</v>
      </c>
      <c r="AX570" s="40">
        <v>0</v>
      </c>
      <c r="AY570" s="40">
        <v>0</v>
      </c>
      <c r="AZ570" s="40">
        <v>0</v>
      </c>
      <c r="BA570" s="40">
        <v>0</v>
      </c>
      <c r="BB570" s="40">
        <v>0</v>
      </c>
      <c r="BC570" s="39">
        <v>0</v>
      </c>
      <c r="BD570" s="40">
        <v>0</v>
      </c>
      <c r="BE570" s="40">
        <v>0</v>
      </c>
      <c r="BF570" s="40">
        <v>0</v>
      </c>
      <c r="BG570" s="40">
        <v>0</v>
      </c>
      <c r="BH570" s="40">
        <v>0</v>
      </c>
      <c r="BI570" s="40">
        <v>0</v>
      </c>
      <c r="BJ570" s="40">
        <v>0</v>
      </c>
      <c r="BK570" s="40">
        <v>0</v>
      </c>
      <c r="BL570" s="40">
        <v>0</v>
      </c>
      <c r="BM570" s="40" t="s">
        <v>768</v>
      </c>
      <c r="BN570" s="40"/>
      <c r="BO570" s="39"/>
      <c r="BP570" s="21">
        <v>0</v>
      </c>
      <c r="BQ570" s="21">
        <v>0</v>
      </c>
      <c r="BR570" s="21">
        <v>0</v>
      </c>
      <c r="BS570" s="21">
        <v>0</v>
      </c>
      <c r="BT570" s="21">
        <v>0</v>
      </c>
      <c r="BU570" s="42">
        <v>0</v>
      </c>
      <c r="BV570" s="21">
        <v>0</v>
      </c>
      <c r="BW570" s="21">
        <v>0</v>
      </c>
      <c r="BX570" s="21">
        <v>0</v>
      </c>
      <c r="BY570" s="21">
        <v>0</v>
      </c>
      <c r="BZ570" s="21">
        <v>9</v>
      </c>
      <c r="CA570" s="21">
        <v>-1</v>
      </c>
      <c r="CB570" s="21">
        <v>2</v>
      </c>
      <c r="CC570" s="21">
        <v>3</v>
      </c>
      <c r="CD570" s="21">
        <v>1</v>
      </c>
      <c r="CE570" s="21">
        <v>1</v>
      </c>
      <c r="CF570" s="21">
        <v>0</v>
      </c>
      <c r="CG570" s="42">
        <v>0</v>
      </c>
      <c r="CH570" s="21">
        <v>0</v>
      </c>
      <c r="CI570" s="21">
        <v>0</v>
      </c>
      <c r="CJ570" s="21">
        <v>3</v>
      </c>
      <c r="CK570" s="21">
        <v>1</v>
      </c>
      <c r="CL570" s="21">
        <v>0</v>
      </c>
      <c r="CM570" s="21">
        <v>0</v>
      </c>
      <c r="CN570" s="21">
        <v>0</v>
      </c>
      <c r="CO570" s="21">
        <v>0</v>
      </c>
      <c r="CP570" s="21">
        <f t="shared" si="779"/>
        <v>0</v>
      </c>
      <c r="CQ570" s="343">
        <f t="shared" si="780"/>
        <v>0.44444444444444442</v>
      </c>
      <c r="CR570" s="40"/>
      <c r="CS570" s="39"/>
      <c r="CT570" s="38">
        <f t="shared" si="781"/>
        <v>0</v>
      </c>
      <c r="CU570" s="38">
        <f t="shared" si="782"/>
        <v>0</v>
      </c>
      <c r="CV570" s="38">
        <f t="shared" si="783"/>
        <v>0</v>
      </c>
      <c r="CW570" s="38">
        <f t="shared" si="784"/>
        <v>0</v>
      </c>
      <c r="CX570" s="38">
        <f t="shared" si="785"/>
        <v>0</v>
      </c>
      <c r="CY570" s="39">
        <f t="shared" si="786"/>
        <v>0</v>
      </c>
      <c r="CZ570" s="40">
        <f t="shared" si="787"/>
        <v>0</v>
      </c>
      <c r="DA570" s="40">
        <f t="shared" si="788"/>
        <v>0</v>
      </c>
      <c r="DB570" s="40">
        <f t="shared" si="789"/>
        <v>0</v>
      </c>
      <c r="DC570" s="40">
        <f t="shared" si="790"/>
        <v>0</v>
      </c>
      <c r="DD570" s="40">
        <f t="shared" si="791"/>
        <v>9</v>
      </c>
      <c r="DE570" s="40">
        <f t="shared" si="792"/>
        <v>-1</v>
      </c>
      <c r="DF570" s="40">
        <f t="shared" si="793"/>
        <v>2</v>
      </c>
      <c r="DG570" s="40">
        <f t="shared" si="794"/>
        <v>3</v>
      </c>
      <c r="DH570" s="40">
        <f t="shared" si="795"/>
        <v>1</v>
      </c>
      <c r="DI570" s="40">
        <f t="shared" si="796"/>
        <v>1</v>
      </c>
      <c r="DJ570" s="40">
        <f t="shared" si="797"/>
        <v>0</v>
      </c>
      <c r="DK570" s="39">
        <f t="shared" si="798"/>
        <v>0</v>
      </c>
      <c r="DL570" s="40">
        <f t="shared" si="799"/>
        <v>0</v>
      </c>
      <c r="DM570" s="40">
        <f t="shared" si="800"/>
        <v>0</v>
      </c>
      <c r="DN570" s="40">
        <f t="shared" si="801"/>
        <v>3</v>
      </c>
      <c r="DO570" s="40">
        <f t="shared" si="802"/>
        <v>1</v>
      </c>
      <c r="DP570" s="40">
        <f t="shared" si="803"/>
        <v>0</v>
      </c>
      <c r="DQ570" s="40">
        <f t="shared" si="804"/>
        <v>0</v>
      </c>
      <c r="DR570" s="40">
        <f t="shared" si="809"/>
        <v>0</v>
      </c>
      <c r="DS570" s="40">
        <f t="shared" si="810"/>
        <v>0</v>
      </c>
      <c r="DT570" s="40">
        <f t="shared" si="805"/>
        <v>0</v>
      </c>
      <c r="DU570" s="40">
        <f t="shared" si="806"/>
        <v>0.44444444444444442</v>
      </c>
      <c r="DV570" s="40">
        <f t="shared" si="807"/>
        <v>0</v>
      </c>
      <c r="DW570" s="40">
        <f t="shared" si="808"/>
        <v>0</v>
      </c>
    </row>
    <row r="571" spans="1:127">
      <c r="A571" s="22" t="s">
        <v>44</v>
      </c>
      <c r="B571" s="26"/>
      <c r="C571" s="22" t="s">
        <v>44</v>
      </c>
      <c r="E571" s="22">
        <v>241521</v>
      </c>
      <c r="F571" s="80" t="s">
        <v>656</v>
      </c>
      <c r="G571" s="25">
        <v>1444.9615384615386</v>
      </c>
      <c r="H571" s="38">
        <f t="shared" si="753"/>
        <v>0</v>
      </c>
      <c r="I571" s="38">
        <f t="shared" si="754"/>
        <v>0</v>
      </c>
      <c r="J571" s="38">
        <f t="shared" si="755"/>
        <v>0</v>
      </c>
      <c r="K571" s="38">
        <f t="shared" si="756"/>
        <v>0</v>
      </c>
      <c r="L571" s="38">
        <f t="shared" si="757"/>
        <v>0</v>
      </c>
      <c r="M571" s="39">
        <f t="shared" si="758"/>
        <v>0</v>
      </c>
      <c r="N571" s="40">
        <f t="shared" si="759"/>
        <v>0</v>
      </c>
      <c r="O571" s="40">
        <f t="shared" si="760"/>
        <v>0</v>
      </c>
      <c r="P571" s="40">
        <f t="shared" si="761"/>
        <v>0</v>
      </c>
      <c r="Q571" s="40">
        <f t="shared" si="762"/>
        <v>0</v>
      </c>
      <c r="R571" s="40">
        <f t="shared" si="763"/>
        <v>18784.5</v>
      </c>
      <c r="S571" s="40">
        <f t="shared" si="764"/>
        <v>1444.9615384615386</v>
      </c>
      <c r="T571" s="40">
        <f t="shared" si="765"/>
        <v>4334.8846153846152</v>
      </c>
      <c r="U571" s="40">
        <f t="shared" si="766"/>
        <v>20229.461538461539</v>
      </c>
      <c r="V571" s="40">
        <f t="shared" si="767"/>
        <v>7224.8076923076933</v>
      </c>
      <c r="W571" s="40">
        <f t="shared" si="768"/>
        <v>8669.7692307692305</v>
      </c>
      <c r="X571" s="40">
        <f t="shared" si="769"/>
        <v>7224.8076923076933</v>
      </c>
      <c r="Y571" s="39">
        <f t="shared" si="770"/>
        <v>2889.9230769230771</v>
      </c>
      <c r="Z571" s="40">
        <f t="shared" si="771"/>
        <v>1444.9615384615386</v>
      </c>
      <c r="AA571" s="40">
        <f t="shared" si="772"/>
        <v>0</v>
      </c>
      <c r="AB571" s="40">
        <f t="shared" si="773"/>
        <v>4334.8846153846152</v>
      </c>
      <c r="AC571" s="40">
        <f t="shared" si="774"/>
        <v>10114.73076923077</v>
      </c>
      <c r="AD571" s="40">
        <f t="shared" si="775"/>
        <v>1444.9615384615386</v>
      </c>
      <c r="AE571" s="40">
        <f t="shared" si="776"/>
        <v>1444.9615384615386</v>
      </c>
      <c r="AF571" s="40">
        <f t="shared" si="777"/>
        <v>4334.8846153846152</v>
      </c>
      <c r="AG571" s="40">
        <f t="shared" si="778"/>
        <v>0</v>
      </c>
      <c r="AH571" s="40">
        <f t="shared" si="749"/>
        <v>0</v>
      </c>
      <c r="AI571" s="40">
        <f t="shared" si="750"/>
        <v>2568.8205128205127</v>
      </c>
      <c r="AJ571" s="40">
        <f t="shared" si="751"/>
        <v>0</v>
      </c>
      <c r="AK571" s="39">
        <f t="shared" si="752"/>
        <v>0</v>
      </c>
      <c r="AL571" s="38">
        <v>0</v>
      </c>
      <c r="AM571" s="38">
        <v>0</v>
      </c>
      <c r="AN571" s="38">
        <v>0</v>
      </c>
      <c r="AO571" s="38">
        <v>0</v>
      </c>
      <c r="AP571" s="38">
        <v>0</v>
      </c>
      <c r="AQ571" s="39">
        <v>0</v>
      </c>
      <c r="AR571" s="40">
        <v>0</v>
      </c>
      <c r="AS571" s="40">
        <v>0</v>
      </c>
      <c r="AT571" s="40">
        <v>0</v>
      </c>
      <c r="AU571" s="40">
        <v>0</v>
      </c>
      <c r="AV571" s="40">
        <v>0</v>
      </c>
      <c r="AW571" s="40">
        <v>0</v>
      </c>
      <c r="AX571" s="40">
        <v>0</v>
      </c>
      <c r="AY571" s="40">
        <v>0</v>
      </c>
      <c r="AZ571" s="40">
        <v>0</v>
      </c>
      <c r="BA571" s="40">
        <v>0</v>
      </c>
      <c r="BB571" s="40">
        <v>0</v>
      </c>
      <c r="BC571" s="39">
        <v>0</v>
      </c>
      <c r="BD571" s="40">
        <v>0</v>
      </c>
      <c r="BE571" s="40">
        <v>0</v>
      </c>
      <c r="BF571" s="40">
        <v>0</v>
      </c>
      <c r="BG571" s="40">
        <v>0</v>
      </c>
      <c r="BH571" s="40">
        <v>0</v>
      </c>
      <c r="BI571" s="40">
        <v>0</v>
      </c>
      <c r="BJ571" s="40">
        <v>0</v>
      </c>
      <c r="BK571" s="40">
        <v>0</v>
      </c>
      <c r="BL571" s="40">
        <v>0</v>
      </c>
      <c r="BM571" s="40" t="s">
        <v>768</v>
      </c>
      <c r="BN571" s="40"/>
      <c r="BO571" s="39"/>
      <c r="BP571" s="21">
        <v>0</v>
      </c>
      <c r="BQ571" s="21">
        <v>0</v>
      </c>
      <c r="BR571" s="21">
        <v>0</v>
      </c>
      <c r="BS571" s="21">
        <v>0</v>
      </c>
      <c r="BT571" s="21">
        <v>0</v>
      </c>
      <c r="BU571" s="42">
        <v>0</v>
      </c>
      <c r="BV571" s="21">
        <v>0</v>
      </c>
      <c r="BW571" s="21">
        <v>0</v>
      </c>
      <c r="BX571" s="21">
        <v>0</v>
      </c>
      <c r="BY571" s="21">
        <v>0</v>
      </c>
      <c r="BZ571" s="21">
        <v>13</v>
      </c>
      <c r="CA571" s="21">
        <v>1</v>
      </c>
      <c r="CB571" s="21">
        <v>3</v>
      </c>
      <c r="CC571" s="21">
        <v>14</v>
      </c>
      <c r="CD571" s="21">
        <v>5</v>
      </c>
      <c r="CE571" s="21">
        <v>6</v>
      </c>
      <c r="CF571" s="21">
        <v>5</v>
      </c>
      <c r="CG571" s="42">
        <v>2</v>
      </c>
      <c r="CH571" s="21">
        <v>1</v>
      </c>
      <c r="CI571" s="21">
        <v>0</v>
      </c>
      <c r="CJ571" s="21">
        <v>3</v>
      </c>
      <c r="CK571" s="21">
        <v>7</v>
      </c>
      <c r="CL571" s="21">
        <v>1</v>
      </c>
      <c r="CM571" s="21">
        <v>1</v>
      </c>
      <c r="CN571" s="21">
        <v>3</v>
      </c>
      <c r="CO571" s="21">
        <v>0</v>
      </c>
      <c r="CP571" s="21">
        <f t="shared" si="779"/>
        <v>0</v>
      </c>
      <c r="CQ571" s="343">
        <f t="shared" si="780"/>
        <v>1.7777777777777777</v>
      </c>
      <c r="CR571" s="40"/>
      <c r="CS571" s="39"/>
      <c r="CT571" s="38">
        <f t="shared" si="781"/>
        <v>0</v>
      </c>
      <c r="CU571" s="38">
        <f t="shared" si="782"/>
        <v>0</v>
      </c>
      <c r="CV571" s="38">
        <f t="shared" si="783"/>
        <v>0</v>
      </c>
      <c r="CW571" s="38">
        <f t="shared" si="784"/>
        <v>0</v>
      </c>
      <c r="CX571" s="38">
        <f t="shared" si="785"/>
        <v>0</v>
      </c>
      <c r="CY571" s="39">
        <f t="shared" si="786"/>
        <v>0</v>
      </c>
      <c r="CZ571" s="40">
        <f t="shared" si="787"/>
        <v>0</v>
      </c>
      <c r="DA571" s="40">
        <f t="shared" si="788"/>
        <v>0</v>
      </c>
      <c r="DB571" s="40">
        <f t="shared" si="789"/>
        <v>0</v>
      </c>
      <c r="DC571" s="40">
        <f t="shared" si="790"/>
        <v>0</v>
      </c>
      <c r="DD571" s="40">
        <f t="shared" si="791"/>
        <v>13</v>
      </c>
      <c r="DE571" s="40">
        <f t="shared" si="792"/>
        <v>1</v>
      </c>
      <c r="DF571" s="40">
        <f t="shared" si="793"/>
        <v>3</v>
      </c>
      <c r="DG571" s="40">
        <f t="shared" si="794"/>
        <v>14</v>
      </c>
      <c r="DH571" s="40">
        <f t="shared" si="795"/>
        <v>5</v>
      </c>
      <c r="DI571" s="40">
        <f t="shared" si="796"/>
        <v>6</v>
      </c>
      <c r="DJ571" s="40">
        <f t="shared" si="797"/>
        <v>5</v>
      </c>
      <c r="DK571" s="39">
        <f t="shared" si="798"/>
        <v>2</v>
      </c>
      <c r="DL571" s="40">
        <f t="shared" si="799"/>
        <v>1</v>
      </c>
      <c r="DM571" s="40">
        <f t="shared" si="800"/>
        <v>0</v>
      </c>
      <c r="DN571" s="40">
        <f t="shared" si="801"/>
        <v>3</v>
      </c>
      <c r="DO571" s="40">
        <f t="shared" si="802"/>
        <v>7</v>
      </c>
      <c r="DP571" s="40">
        <f t="shared" si="803"/>
        <v>1</v>
      </c>
      <c r="DQ571" s="40">
        <f t="shared" si="804"/>
        <v>1</v>
      </c>
      <c r="DR571" s="40">
        <f t="shared" si="809"/>
        <v>3</v>
      </c>
      <c r="DS571" s="40">
        <f t="shared" si="810"/>
        <v>0</v>
      </c>
      <c r="DT571" s="40">
        <f t="shared" si="805"/>
        <v>0</v>
      </c>
      <c r="DU571" s="40">
        <f t="shared" si="806"/>
        <v>1.7777777777777777</v>
      </c>
      <c r="DV571" s="40">
        <f t="shared" si="807"/>
        <v>0</v>
      </c>
      <c r="DW571" s="40">
        <f t="shared" si="808"/>
        <v>0</v>
      </c>
    </row>
    <row r="572" spans="1:127">
      <c r="A572" s="22" t="s">
        <v>44</v>
      </c>
      <c r="B572" s="26"/>
      <c r="C572" s="22" t="s">
        <v>44</v>
      </c>
      <c r="E572" s="22">
        <v>248854</v>
      </c>
      <c r="F572" s="80" t="s">
        <v>657</v>
      </c>
      <c r="G572" s="25">
        <v>1171.8</v>
      </c>
      <c r="H572" s="38">
        <f t="shared" si="753"/>
        <v>0</v>
      </c>
      <c r="I572" s="38">
        <f t="shared" si="754"/>
        <v>0</v>
      </c>
      <c r="J572" s="38">
        <f t="shared" si="755"/>
        <v>0</v>
      </c>
      <c r="K572" s="38">
        <f t="shared" si="756"/>
        <v>0</v>
      </c>
      <c r="L572" s="38">
        <f t="shared" si="757"/>
        <v>0</v>
      </c>
      <c r="M572" s="39">
        <f t="shared" si="758"/>
        <v>0</v>
      </c>
      <c r="N572" s="40">
        <f t="shared" si="759"/>
        <v>0</v>
      </c>
      <c r="O572" s="40">
        <f t="shared" si="760"/>
        <v>0</v>
      </c>
      <c r="P572" s="40">
        <f t="shared" si="761"/>
        <v>0</v>
      </c>
      <c r="Q572" s="40">
        <f t="shared" si="762"/>
        <v>0</v>
      </c>
      <c r="R572" s="40">
        <f t="shared" si="763"/>
        <v>2343.6</v>
      </c>
      <c r="S572" s="40">
        <f t="shared" si="764"/>
        <v>1171.8</v>
      </c>
      <c r="T572" s="40">
        <f t="shared" si="765"/>
        <v>0</v>
      </c>
      <c r="U572" s="40">
        <f t="shared" si="766"/>
        <v>12889.8</v>
      </c>
      <c r="V572" s="40">
        <f t="shared" si="767"/>
        <v>7030.7999999999993</v>
      </c>
      <c r="W572" s="40">
        <f t="shared" si="768"/>
        <v>2343.6</v>
      </c>
      <c r="X572" s="40">
        <f t="shared" si="769"/>
        <v>3515.3999999999996</v>
      </c>
      <c r="Y572" s="39">
        <f t="shared" si="770"/>
        <v>0</v>
      </c>
      <c r="Z572" s="40">
        <f t="shared" si="771"/>
        <v>0</v>
      </c>
      <c r="AA572" s="40">
        <f t="shared" si="772"/>
        <v>0</v>
      </c>
      <c r="AB572" s="40">
        <f t="shared" si="773"/>
        <v>0</v>
      </c>
      <c r="AC572" s="40">
        <f t="shared" si="774"/>
        <v>9374.4</v>
      </c>
      <c r="AD572" s="40">
        <f t="shared" si="775"/>
        <v>0</v>
      </c>
      <c r="AE572" s="40">
        <f t="shared" si="776"/>
        <v>3515.3999999999996</v>
      </c>
      <c r="AF572" s="40">
        <f t="shared" si="777"/>
        <v>1171.8</v>
      </c>
      <c r="AG572" s="40">
        <f t="shared" si="778"/>
        <v>0</v>
      </c>
      <c r="AH572" s="40">
        <f t="shared" si="749"/>
        <v>0</v>
      </c>
      <c r="AI572" s="40">
        <f t="shared" si="750"/>
        <v>1562.3999999999999</v>
      </c>
      <c r="AJ572" s="40">
        <f t="shared" si="751"/>
        <v>0</v>
      </c>
      <c r="AK572" s="39">
        <f t="shared" si="752"/>
        <v>0</v>
      </c>
      <c r="AL572" s="38">
        <v>0</v>
      </c>
      <c r="AM572" s="38">
        <v>0</v>
      </c>
      <c r="AN572" s="38">
        <v>0</v>
      </c>
      <c r="AO572" s="38">
        <v>0</v>
      </c>
      <c r="AP572" s="38">
        <v>0</v>
      </c>
      <c r="AQ572" s="39">
        <v>0</v>
      </c>
      <c r="AR572" s="40">
        <v>0</v>
      </c>
      <c r="AS572" s="40">
        <v>0</v>
      </c>
      <c r="AT572" s="40">
        <v>0</v>
      </c>
      <c r="AU572" s="40">
        <v>0</v>
      </c>
      <c r="AV572" s="40">
        <v>0</v>
      </c>
      <c r="AW572" s="40">
        <v>0</v>
      </c>
      <c r="AX572" s="40">
        <v>0</v>
      </c>
      <c r="AY572" s="40">
        <v>0</v>
      </c>
      <c r="AZ572" s="40">
        <v>0</v>
      </c>
      <c r="BA572" s="40">
        <v>0</v>
      </c>
      <c r="BB572" s="40">
        <v>0</v>
      </c>
      <c r="BC572" s="39">
        <v>0</v>
      </c>
      <c r="BD572" s="40">
        <v>0</v>
      </c>
      <c r="BE572" s="40">
        <v>0</v>
      </c>
      <c r="BF572" s="40">
        <v>0</v>
      </c>
      <c r="BG572" s="40">
        <v>0</v>
      </c>
      <c r="BH572" s="40">
        <v>0</v>
      </c>
      <c r="BI572" s="40">
        <v>0</v>
      </c>
      <c r="BJ572" s="40">
        <v>0</v>
      </c>
      <c r="BK572" s="40">
        <v>0</v>
      </c>
      <c r="BL572" s="40">
        <v>0</v>
      </c>
      <c r="BM572" s="40" t="s">
        <v>768</v>
      </c>
      <c r="BN572" s="40"/>
      <c r="BO572" s="39"/>
      <c r="BP572" s="21">
        <v>0</v>
      </c>
      <c r="BQ572" s="21">
        <v>0</v>
      </c>
      <c r="BR572" s="21">
        <v>0</v>
      </c>
      <c r="BS572" s="21">
        <v>0</v>
      </c>
      <c r="BT572" s="21">
        <v>0</v>
      </c>
      <c r="BU572" s="42">
        <v>0</v>
      </c>
      <c r="BV572" s="21">
        <v>0</v>
      </c>
      <c r="BW572" s="21">
        <v>0</v>
      </c>
      <c r="BX572" s="21">
        <v>0</v>
      </c>
      <c r="BY572" s="21">
        <v>0</v>
      </c>
      <c r="BZ572" s="21">
        <v>2</v>
      </c>
      <c r="CA572" s="21">
        <v>1</v>
      </c>
      <c r="CB572" s="21">
        <v>0</v>
      </c>
      <c r="CC572" s="21">
        <v>11</v>
      </c>
      <c r="CD572" s="21">
        <v>6</v>
      </c>
      <c r="CE572" s="21">
        <v>2</v>
      </c>
      <c r="CF572" s="21">
        <v>3</v>
      </c>
      <c r="CG572" s="42">
        <v>0</v>
      </c>
      <c r="CH572" s="21">
        <v>0</v>
      </c>
      <c r="CI572" s="21">
        <v>0</v>
      </c>
      <c r="CJ572" s="21">
        <v>0</v>
      </c>
      <c r="CK572" s="21">
        <v>8</v>
      </c>
      <c r="CL572" s="21">
        <v>0</v>
      </c>
      <c r="CM572" s="21">
        <v>3</v>
      </c>
      <c r="CN572" s="21">
        <v>1</v>
      </c>
      <c r="CO572" s="21">
        <v>0</v>
      </c>
      <c r="CP572" s="21">
        <f t="shared" si="779"/>
        <v>0</v>
      </c>
      <c r="CQ572" s="343">
        <f t="shared" si="780"/>
        <v>1.3333333333333333</v>
      </c>
      <c r="CR572" s="40"/>
      <c r="CS572" s="39"/>
      <c r="CT572" s="38">
        <f t="shared" si="781"/>
        <v>0</v>
      </c>
      <c r="CU572" s="38">
        <f t="shared" si="782"/>
        <v>0</v>
      </c>
      <c r="CV572" s="38">
        <f t="shared" si="783"/>
        <v>0</v>
      </c>
      <c r="CW572" s="38">
        <f t="shared" si="784"/>
        <v>0</v>
      </c>
      <c r="CX572" s="38">
        <f t="shared" si="785"/>
        <v>0</v>
      </c>
      <c r="CY572" s="39">
        <f t="shared" si="786"/>
        <v>0</v>
      </c>
      <c r="CZ572" s="40">
        <f t="shared" si="787"/>
        <v>0</v>
      </c>
      <c r="DA572" s="40">
        <f t="shared" si="788"/>
        <v>0</v>
      </c>
      <c r="DB572" s="40">
        <f t="shared" si="789"/>
        <v>0</v>
      </c>
      <c r="DC572" s="40">
        <f t="shared" si="790"/>
        <v>0</v>
      </c>
      <c r="DD572" s="40">
        <f t="shared" si="791"/>
        <v>2</v>
      </c>
      <c r="DE572" s="40">
        <f t="shared" si="792"/>
        <v>1</v>
      </c>
      <c r="DF572" s="40">
        <f t="shared" si="793"/>
        <v>0</v>
      </c>
      <c r="DG572" s="40">
        <f t="shared" si="794"/>
        <v>11</v>
      </c>
      <c r="DH572" s="40">
        <f t="shared" si="795"/>
        <v>6</v>
      </c>
      <c r="DI572" s="40">
        <f t="shared" si="796"/>
        <v>2</v>
      </c>
      <c r="DJ572" s="40">
        <f t="shared" si="797"/>
        <v>3</v>
      </c>
      <c r="DK572" s="39">
        <f t="shared" si="798"/>
        <v>0</v>
      </c>
      <c r="DL572" s="40">
        <f t="shared" si="799"/>
        <v>0</v>
      </c>
      <c r="DM572" s="40">
        <f t="shared" si="800"/>
        <v>0</v>
      </c>
      <c r="DN572" s="40">
        <f t="shared" si="801"/>
        <v>0</v>
      </c>
      <c r="DO572" s="40">
        <f t="shared" si="802"/>
        <v>8</v>
      </c>
      <c r="DP572" s="40">
        <f t="shared" si="803"/>
        <v>0</v>
      </c>
      <c r="DQ572" s="40">
        <f t="shared" si="804"/>
        <v>3</v>
      </c>
      <c r="DR572" s="40">
        <f t="shared" si="809"/>
        <v>1</v>
      </c>
      <c r="DS572" s="40">
        <f t="shared" si="810"/>
        <v>0</v>
      </c>
      <c r="DT572" s="40">
        <f t="shared" si="805"/>
        <v>0</v>
      </c>
      <c r="DU572" s="40">
        <f t="shared" si="806"/>
        <v>1.3333333333333333</v>
      </c>
      <c r="DV572" s="40">
        <f t="shared" si="807"/>
        <v>0</v>
      </c>
      <c r="DW572" s="40">
        <f t="shared" si="808"/>
        <v>0</v>
      </c>
    </row>
    <row r="573" spans="1:127">
      <c r="A573" s="22" t="s">
        <v>44</v>
      </c>
      <c r="B573" s="26"/>
      <c r="C573" s="22" t="s">
        <v>44</v>
      </c>
      <c r="E573" s="22">
        <v>248889</v>
      </c>
      <c r="F573" s="80" t="s">
        <v>658</v>
      </c>
      <c r="G573" s="25">
        <v>1101.9750000000001</v>
      </c>
      <c r="H573" s="38">
        <f t="shared" si="753"/>
        <v>0</v>
      </c>
      <c r="I573" s="38">
        <f t="shared" si="754"/>
        <v>0</v>
      </c>
      <c r="J573" s="38">
        <f t="shared" si="755"/>
        <v>0</v>
      </c>
      <c r="K573" s="38">
        <f t="shared" si="756"/>
        <v>0</v>
      </c>
      <c r="L573" s="38">
        <f t="shared" si="757"/>
        <v>0</v>
      </c>
      <c r="M573" s="39">
        <f t="shared" si="758"/>
        <v>0</v>
      </c>
      <c r="N573" s="40">
        <f t="shared" si="759"/>
        <v>0</v>
      </c>
      <c r="O573" s="40">
        <f t="shared" si="760"/>
        <v>0</v>
      </c>
      <c r="P573" s="40">
        <f t="shared" si="761"/>
        <v>0</v>
      </c>
      <c r="Q573" s="40">
        <f t="shared" si="762"/>
        <v>0</v>
      </c>
      <c r="R573" s="40">
        <f t="shared" si="763"/>
        <v>4407.9000000000005</v>
      </c>
      <c r="S573" s="40">
        <f t="shared" si="764"/>
        <v>0</v>
      </c>
      <c r="T573" s="40">
        <f t="shared" si="765"/>
        <v>1101.9750000000001</v>
      </c>
      <c r="U573" s="40">
        <f t="shared" si="766"/>
        <v>12121.725000000002</v>
      </c>
      <c r="V573" s="40">
        <f t="shared" si="767"/>
        <v>6611.85</v>
      </c>
      <c r="W573" s="40">
        <f t="shared" si="768"/>
        <v>8815.8000000000011</v>
      </c>
      <c r="X573" s="40">
        <f t="shared" si="769"/>
        <v>2203.9500000000003</v>
      </c>
      <c r="Y573" s="39">
        <f t="shared" si="770"/>
        <v>0</v>
      </c>
      <c r="Z573" s="40">
        <f t="shared" si="771"/>
        <v>8815.8000000000011</v>
      </c>
      <c r="AA573" s="40">
        <f t="shared" si="772"/>
        <v>1101.9750000000001</v>
      </c>
      <c r="AB573" s="40">
        <f t="shared" si="773"/>
        <v>0</v>
      </c>
      <c r="AC573" s="40">
        <f t="shared" si="774"/>
        <v>6611.85</v>
      </c>
      <c r="AD573" s="40">
        <f t="shared" si="775"/>
        <v>0</v>
      </c>
      <c r="AE573" s="40">
        <f t="shared" si="776"/>
        <v>4407.9000000000005</v>
      </c>
      <c r="AF573" s="40">
        <f t="shared" si="777"/>
        <v>0</v>
      </c>
      <c r="AG573" s="40">
        <f t="shared" si="778"/>
        <v>0</v>
      </c>
      <c r="AH573" s="40">
        <f t="shared" si="749"/>
        <v>0</v>
      </c>
      <c r="AI573" s="40">
        <f t="shared" si="750"/>
        <v>2326.3916666666669</v>
      </c>
      <c r="AJ573" s="40">
        <f t="shared" si="751"/>
        <v>0</v>
      </c>
      <c r="AK573" s="39">
        <f t="shared" si="752"/>
        <v>0</v>
      </c>
      <c r="AL573" s="38">
        <v>0</v>
      </c>
      <c r="AM573" s="38">
        <v>0</v>
      </c>
      <c r="AN573" s="38">
        <v>0</v>
      </c>
      <c r="AO573" s="38">
        <v>0</v>
      </c>
      <c r="AP573" s="38">
        <v>0</v>
      </c>
      <c r="AQ573" s="39">
        <v>0</v>
      </c>
      <c r="AR573" s="40">
        <v>0</v>
      </c>
      <c r="AS573" s="40">
        <v>0</v>
      </c>
      <c r="AT573" s="40">
        <v>0</v>
      </c>
      <c r="AU573" s="40">
        <v>0</v>
      </c>
      <c r="AV573" s="40">
        <v>0</v>
      </c>
      <c r="AW573" s="40">
        <v>0</v>
      </c>
      <c r="AX573" s="40">
        <v>0</v>
      </c>
      <c r="AY573" s="40">
        <v>0</v>
      </c>
      <c r="AZ573" s="40">
        <v>0</v>
      </c>
      <c r="BA573" s="40">
        <v>0</v>
      </c>
      <c r="BB573" s="40">
        <v>0</v>
      </c>
      <c r="BC573" s="39">
        <v>0</v>
      </c>
      <c r="BD573" s="40">
        <v>0</v>
      </c>
      <c r="BE573" s="40">
        <v>0</v>
      </c>
      <c r="BF573" s="40">
        <v>0</v>
      </c>
      <c r="BG573" s="40">
        <v>0</v>
      </c>
      <c r="BH573" s="40">
        <v>0</v>
      </c>
      <c r="BI573" s="40">
        <v>0</v>
      </c>
      <c r="BJ573" s="40">
        <v>0</v>
      </c>
      <c r="BK573" s="40">
        <v>0</v>
      </c>
      <c r="BL573" s="40">
        <v>0</v>
      </c>
      <c r="BM573" s="40" t="s">
        <v>768</v>
      </c>
      <c r="BN573" s="40"/>
      <c r="BO573" s="39"/>
      <c r="BP573" s="21">
        <v>0</v>
      </c>
      <c r="BQ573" s="21">
        <v>0</v>
      </c>
      <c r="BR573" s="21">
        <v>0</v>
      </c>
      <c r="BS573" s="21">
        <v>0</v>
      </c>
      <c r="BT573" s="21">
        <v>0</v>
      </c>
      <c r="BU573" s="42">
        <v>0</v>
      </c>
      <c r="BV573" s="21">
        <v>0</v>
      </c>
      <c r="BW573" s="21">
        <v>0</v>
      </c>
      <c r="BX573" s="21">
        <v>0</v>
      </c>
      <c r="BY573" s="21">
        <v>0</v>
      </c>
      <c r="BZ573" s="21">
        <v>4</v>
      </c>
      <c r="CA573" s="21">
        <v>0</v>
      </c>
      <c r="CB573" s="21">
        <v>1</v>
      </c>
      <c r="CC573" s="21">
        <v>11</v>
      </c>
      <c r="CD573" s="21">
        <v>6</v>
      </c>
      <c r="CE573" s="21">
        <v>8</v>
      </c>
      <c r="CF573" s="21">
        <v>2</v>
      </c>
      <c r="CG573" s="42">
        <v>0</v>
      </c>
      <c r="CH573" s="21">
        <v>8</v>
      </c>
      <c r="CI573" s="21">
        <v>1</v>
      </c>
      <c r="CJ573" s="21">
        <v>0</v>
      </c>
      <c r="CK573" s="21">
        <v>6</v>
      </c>
      <c r="CL573" s="21">
        <v>0</v>
      </c>
      <c r="CM573" s="21">
        <v>4</v>
      </c>
      <c r="CN573" s="21">
        <v>0</v>
      </c>
      <c r="CO573" s="21">
        <v>0</v>
      </c>
      <c r="CP573" s="21">
        <f t="shared" si="779"/>
        <v>0</v>
      </c>
      <c r="CQ573" s="343">
        <f t="shared" si="780"/>
        <v>2.1111111111111112</v>
      </c>
      <c r="CR573" s="40"/>
      <c r="CS573" s="39"/>
      <c r="CT573" s="38">
        <f t="shared" si="781"/>
        <v>0</v>
      </c>
      <c r="CU573" s="38">
        <f t="shared" si="782"/>
        <v>0</v>
      </c>
      <c r="CV573" s="38">
        <f t="shared" si="783"/>
        <v>0</v>
      </c>
      <c r="CW573" s="38">
        <f t="shared" si="784"/>
        <v>0</v>
      </c>
      <c r="CX573" s="38">
        <f t="shared" si="785"/>
        <v>0</v>
      </c>
      <c r="CY573" s="39">
        <f t="shared" si="786"/>
        <v>0</v>
      </c>
      <c r="CZ573" s="40">
        <f t="shared" si="787"/>
        <v>0</v>
      </c>
      <c r="DA573" s="40">
        <f t="shared" si="788"/>
        <v>0</v>
      </c>
      <c r="DB573" s="40">
        <f t="shared" si="789"/>
        <v>0</v>
      </c>
      <c r="DC573" s="40">
        <f t="shared" si="790"/>
        <v>0</v>
      </c>
      <c r="DD573" s="40">
        <f t="shared" si="791"/>
        <v>4</v>
      </c>
      <c r="DE573" s="40">
        <f t="shared" si="792"/>
        <v>0</v>
      </c>
      <c r="DF573" s="40">
        <f t="shared" si="793"/>
        <v>1</v>
      </c>
      <c r="DG573" s="40">
        <f t="shared" si="794"/>
        <v>11</v>
      </c>
      <c r="DH573" s="40">
        <f t="shared" si="795"/>
        <v>6</v>
      </c>
      <c r="DI573" s="40">
        <f t="shared" si="796"/>
        <v>8</v>
      </c>
      <c r="DJ573" s="40">
        <f t="shared" si="797"/>
        <v>2</v>
      </c>
      <c r="DK573" s="39">
        <f t="shared" si="798"/>
        <v>0</v>
      </c>
      <c r="DL573" s="40">
        <f t="shared" si="799"/>
        <v>8</v>
      </c>
      <c r="DM573" s="40">
        <f t="shared" si="800"/>
        <v>1</v>
      </c>
      <c r="DN573" s="40">
        <f t="shared" si="801"/>
        <v>0</v>
      </c>
      <c r="DO573" s="40">
        <f t="shared" si="802"/>
        <v>6</v>
      </c>
      <c r="DP573" s="40">
        <f t="shared" si="803"/>
        <v>0</v>
      </c>
      <c r="DQ573" s="40">
        <f t="shared" si="804"/>
        <v>4</v>
      </c>
      <c r="DR573" s="40">
        <f t="shared" si="809"/>
        <v>0</v>
      </c>
      <c r="DS573" s="40">
        <f t="shared" si="810"/>
        <v>0</v>
      </c>
      <c r="DT573" s="40">
        <f t="shared" si="805"/>
        <v>0</v>
      </c>
      <c r="DU573" s="40">
        <f t="shared" si="806"/>
        <v>2.1111111111111112</v>
      </c>
      <c r="DV573" s="40">
        <f t="shared" si="807"/>
        <v>0</v>
      </c>
      <c r="DW573" s="40">
        <f t="shared" si="808"/>
        <v>0</v>
      </c>
    </row>
    <row r="574" spans="1:127">
      <c r="A574" s="22" t="s">
        <v>44</v>
      </c>
      <c r="B574" s="26"/>
      <c r="C574" s="22" t="s">
        <v>44</v>
      </c>
      <c r="E574" s="22">
        <v>249296</v>
      </c>
      <c r="F574" s="80" t="s">
        <v>659</v>
      </c>
      <c r="G574" s="25">
        <v>1132.1625000000001</v>
      </c>
      <c r="H574" s="38">
        <f t="shared" si="753"/>
        <v>0</v>
      </c>
      <c r="I574" s="38">
        <f t="shared" si="754"/>
        <v>0</v>
      </c>
      <c r="J574" s="38">
        <f t="shared" si="755"/>
        <v>0</v>
      </c>
      <c r="K574" s="38">
        <f t="shared" si="756"/>
        <v>0</v>
      </c>
      <c r="L574" s="38">
        <f t="shared" si="757"/>
        <v>0</v>
      </c>
      <c r="M574" s="39">
        <f t="shared" si="758"/>
        <v>0</v>
      </c>
      <c r="N574" s="40">
        <f t="shared" si="759"/>
        <v>0</v>
      </c>
      <c r="O574" s="40">
        <f t="shared" si="760"/>
        <v>0</v>
      </c>
      <c r="P574" s="40">
        <f t="shared" si="761"/>
        <v>0</v>
      </c>
      <c r="Q574" s="40">
        <f t="shared" si="762"/>
        <v>0</v>
      </c>
      <c r="R574" s="40">
        <f t="shared" si="763"/>
        <v>13585.95</v>
      </c>
      <c r="S574" s="40">
        <f t="shared" si="764"/>
        <v>4528.6500000000005</v>
      </c>
      <c r="T574" s="40">
        <f t="shared" si="765"/>
        <v>6792.9750000000004</v>
      </c>
      <c r="U574" s="40">
        <f t="shared" si="766"/>
        <v>33964.875000000007</v>
      </c>
      <c r="V574" s="40">
        <f t="shared" si="767"/>
        <v>26039.737500000003</v>
      </c>
      <c r="W574" s="40">
        <f t="shared" si="768"/>
        <v>6792.9750000000004</v>
      </c>
      <c r="X574" s="40">
        <f t="shared" si="769"/>
        <v>0</v>
      </c>
      <c r="Y574" s="39">
        <f t="shared" si="770"/>
        <v>1132.1625000000001</v>
      </c>
      <c r="Z574" s="40">
        <f t="shared" si="771"/>
        <v>7925.1375000000007</v>
      </c>
      <c r="AA574" s="40">
        <f t="shared" si="772"/>
        <v>1132.1625000000001</v>
      </c>
      <c r="AB574" s="40">
        <f t="shared" si="773"/>
        <v>2264.3250000000003</v>
      </c>
      <c r="AC574" s="40">
        <f t="shared" si="774"/>
        <v>20378.925000000003</v>
      </c>
      <c r="AD574" s="40">
        <f t="shared" si="775"/>
        <v>1132.1625000000001</v>
      </c>
      <c r="AE574" s="40">
        <f t="shared" si="776"/>
        <v>22643.250000000004</v>
      </c>
      <c r="AF574" s="40">
        <f t="shared" si="777"/>
        <v>16982.437500000004</v>
      </c>
      <c r="AG574" s="40">
        <f t="shared" si="778"/>
        <v>1132.1625000000001</v>
      </c>
      <c r="AH574" s="40">
        <f t="shared" si="749"/>
        <v>1132.1625000000001</v>
      </c>
      <c r="AI574" s="40">
        <f t="shared" si="750"/>
        <v>8302.5250000000015</v>
      </c>
      <c r="AJ574" s="40">
        <f t="shared" si="751"/>
        <v>0</v>
      </c>
      <c r="AK574" s="39">
        <f t="shared" si="752"/>
        <v>0</v>
      </c>
      <c r="AL574" s="38">
        <v>0</v>
      </c>
      <c r="AM574" s="38">
        <v>0</v>
      </c>
      <c r="AN574" s="38">
        <v>0</v>
      </c>
      <c r="AO574" s="38">
        <v>0</v>
      </c>
      <c r="AP574" s="38">
        <v>0</v>
      </c>
      <c r="AQ574" s="39">
        <v>0</v>
      </c>
      <c r="AR574" s="40">
        <v>0</v>
      </c>
      <c r="AS574" s="40">
        <v>0</v>
      </c>
      <c r="AT574" s="40">
        <v>0</v>
      </c>
      <c r="AU574" s="40">
        <v>0</v>
      </c>
      <c r="AV574" s="40">
        <v>0</v>
      </c>
      <c r="AW574" s="40">
        <v>0</v>
      </c>
      <c r="AX574" s="40">
        <v>0</v>
      </c>
      <c r="AY574" s="40">
        <v>0</v>
      </c>
      <c r="AZ574" s="40">
        <v>0</v>
      </c>
      <c r="BA574" s="40">
        <v>0</v>
      </c>
      <c r="BB574" s="40">
        <v>0</v>
      </c>
      <c r="BC574" s="39">
        <v>0</v>
      </c>
      <c r="BD574" s="40">
        <v>0</v>
      </c>
      <c r="BE574" s="40">
        <v>0</v>
      </c>
      <c r="BF574" s="40">
        <v>0</v>
      </c>
      <c r="BG574" s="40">
        <v>0</v>
      </c>
      <c r="BH574" s="40">
        <v>0</v>
      </c>
      <c r="BI574" s="40">
        <v>0</v>
      </c>
      <c r="BJ574" s="40">
        <v>0</v>
      </c>
      <c r="BK574" s="40">
        <v>0</v>
      </c>
      <c r="BL574" s="40">
        <v>0</v>
      </c>
      <c r="BM574" s="40" t="s">
        <v>768</v>
      </c>
      <c r="BN574" s="40"/>
      <c r="BO574" s="39"/>
      <c r="BP574" s="21">
        <v>0</v>
      </c>
      <c r="BQ574" s="21">
        <v>0</v>
      </c>
      <c r="BR574" s="21">
        <v>0</v>
      </c>
      <c r="BS574" s="21">
        <v>0</v>
      </c>
      <c r="BT574" s="21">
        <v>0</v>
      </c>
      <c r="BU574" s="42">
        <v>0</v>
      </c>
      <c r="BV574" s="21">
        <v>0</v>
      </c>
      <c r="BW574" s="21">
        <v>0</v>
      </c>
      <c r="BX574" s="21">
        <v>0</v>
      </c>
      <c r="BY574" s="21">
        <v>0</v>
      </c>
      <c r="BZ574" s="21">
        <v>12</v>
      </c>
      <c r="CA574" s="21">
        <v>4</v>
      </c>
      <c r="CB574" s="21">
        <v>6</v>
      </c>
      <c r="CC574" s="21">
        <v>30</v>
      </c>
      <c r="CD574" s="21">
        <v>23</v>
      </c>
      <c r="CE574" s="21">
        <v>6</v>
      </c>
      <c r="CF574" s="21">
        <v>0</v>
      </c>
      <c r="CG574" s="42">
        <v>1</v>
      </c>
      <c r="CH574" s="21">
        <v>7</v>
      </c>
      <c r="CI574" s="21">
        <v>1</v>
      </c>
      <c r="CJ574" s="21">
        <v>2</v>
      </c>
      <c r="CK574" s="21">
        <v>18</v>
      </c>
      <c r="CL574" s="21">
        <v>1</v>
      </c>
      <c r="CM574" s="21">
        <v>20</v>
      </c>
      <c r="CN574" s="21">
        <v>15</v>
      </c>
      <c r="CO574" s="21">
        <v>1</v>
      </c>
      <c r="CP574" s="21">
        <f t="shared" si="779"/>
        <v>1</v>
      </c>
      <c r="CQ574" s="343">
        <f t="shared" si="780"/>
        <v>7.333333333333333</v>
      </c>
      <c r="CR574" s="40"/>
      <c r="CS574" s="39"/>
      <c r="CT574" s="38">
        <f t="shared" si="781"/>
        <v>0</v>
      </c>
      <c r="CU574" s="38">
        <f t="shared" si="782"/>
        <v>0</v>
      </c>
      <c r="CV574" s="38">
        <f t="shared" si="783"/>
        <v>0</v>
      </c>
      <c r="CW574" s="38">
        <f t="shared" si="784"/>
        <v>0</v>
      </c>
      <c r="CX574" s="38">
        <f t="shared" si="785"/>
        <v>0</v>
      </c>
      <c r="CY574" s="39">
        <f t="shared" si="786"/>
        <v>0</v>
      </c>
      <c r="CZ574" s="40">
        <f t="shared" si="787"/>
        <v>0</v>
      </c>
      <c r="DA574" s="40">
        <f t="shared" si="788"/>
        <v>0</v>
      </c>
      <c r="DB574" s="40">
        <f t="shared" si="789"/>
        <v>0</v>
      </c>
      <c r="DC574" s="40">
        <f t="shared" si="790"/>
        <v>0</v>
      </c>
      <c r="DD574" s="40">
        <f t="shared" si="791"/>
        <v>12</v>
      </c>
      <c r="DE574" s="40">
        <f t="shared" si="792"/>
        <v>4</v>
      </c>
      <c r="DF574" s="40">
        <f t="shared" si="793"/>
        <v>6</v>
      </c>
      <c r="DG574" s="40">
        <f t="shared" si="794"/>
        <v>30</v>
      </c>
      <c r="DH574" s="40">
        <f t="shared" si="795"/>
        <v>23</v>
      </c>
      <c r="DI574" s="40">
        <f t="shared" si="796"/>
        <v>6</v>
      </c>
      <c r="DJ574" s="40">
        <f t="shared" si="797"/>
        <v>0</v>
      </c>
      <c r="DK574" s="39">
        <f t="shared" si="798"/>
        <v>1</v>
      </c>
      <c r="DL574" s="40">
        <f t="shared" si="799"/>
        <v>7</v>
      </c>
      <c r="DM574" s="40">
        <f t="shared" si="800"/>
        <v>1</v>
      </c>
      <c r="DN574" s="40">
        <f t="shared" si="801"/>
        <v>2</v>
      </c>
      <c r="DO574" s="40">
        <f t="shared" si="802"/>
        <v>18</v>
      </c>
      <c r="DP574" s="40">
        <f t="shared" si="803"/>
        <v>1</v>
      </c>
      <c r="DQ574" s="40">
        <f t="shared" si="804"/>
        <v>20</v>
      </c>
      <c r="DR574" s="40">
        <f t="shared" si="809"/>
        <v>15</v>
      </c>
      <c r="DS574" s="40">
        <f t="shared" si="810"/>
        <v>1</v>
      </c>
      <c r="DT574" s="40">
        <f t="shared" si="805"/>
        <v>1</v>
      </c>
      <c r="DU574" s="40">
        <f t="shared" si="806"/>
        <v>7.333333333333333</v>
      </c>
      <c r="DV574" s="40">
        <f t="shared" si="807"/>
        <v>0</v>
      </c>
      <c r="DW574" s="40">
        <f t="shared" si="808"/>
        <v>0</v>
      </c>
    </row>
    <row r="575" spans="1:127">
      <c r="A575" s="22" t="s">
        <v>44</v>
      </c>
      <c r="B575" s="26"/>
      <c r="C575" s="22" t="s">
        <v>44</v>
      </c>
      <c r="E575" s="22">
        <v>249469</v>
      </c>
      <c r="F575" s="80" t="s">
        <v>660</v>
      </c>
      <c r="G575" s="25">
        <v>1077.51</v>
      </c>
      <c r="H575" s="38">
        <f t="shared" si="753"/>
        <v>0</v>
      </c>
      <c r="I575" s="38">
        <f t="shared" si="754"/>
        <v>0</v>
      </c>
      <c r="J575" s="38">
        <f t="shared" si="755"/>
        <v>0</v>
      </c>
      <c r="K575" s="38">
        <f t="shared" si="756"/>
        <v>0</v>
      </c>
      <c r="L575" s="38">
        <f t="shared" si="757"/>
        <v>0</v>
      </c>
      <c r="M575" s="39">
        <f t="shared" si="758"/>
        <v>0</v>
      </c>
      <c r="N575" s="40">
        <f t="shared" si="759"/>
        <v>0</v>
      </c>
      <c r="O575" s="40">
        <f t="shared" si="760"/>
        <v>0</v>
      </c>
      <c r="P575" s="40">
        <f t="shared" si="761"/>
        <v>0</v>
      </c>
      <c r="Q575" s="40">
        <f t="shared" si="762"/>
        <v>0</v>
      </c>
      <c r="R575" s="40">
        <f t="shared" si="763"/>
        <v>16162.65</v>
      </c>
      <c r="S575" s="40">
        <f t="shared" si="764"/>
        <v>0</v>
      </c>
      <c r="T575" s="40">
        <f t="shared" si="765"/>
        <v>1077.51</v>
      </c>
      <c r="U575" s="40">
        <f t="shared" si="766"/>
        <v>31247.79</v>
      </c>
      <c r="V575" s="40">
        <f t="shared" si="767"/>
        <v>4310.04</v>
      </c>
      <c r="W575" s="40">
        <f t="shared" si="768"/>
        <v>5387.55</v>
      </c>
      <c r="X575" s="40">
        <f t="shared" si="769"/>
        <v>0</v>
      </c>
      <c r="Y575" s="39">
        <f t="shared" si="770"/>
        <v>0</v>
      </c>
      <c r="Z575" s="40">
        <f t="shared" si="771"/>
        <v>0</v>
      </c>
      <c r="AA575" s="40">
        <f t="shared" si="772"/>
        <v>0</v>
      </c>
      <c r="AB575" s="40">
        <f t="shared" si="773"/>
        <v>0</v>
      </c>
      <c r="AC575" s="40">
        <f t="shared" si="774"/>
        <v>11852.61</v>
      </c>
      <c r="AD575" s="40">
        <f t="shared" si="775"/>
        <v>2155.02</v>
      </c>
      <c r="AE575" s="40">
        <f t="shared" si="776"/>
        <v>4310.04</v>
      </c>
      <c r="AF575" s="40">
        <f t="shared" si="777"/>
        <v>6465.0599999999995</v>
      </c>
      <c r="AG575" s="40">
        <f t="shared" si="778"/>
        <v>0</v>
      </c>
      <c r="AH575" s="40">
        <f t="shared" si="749"/>
        <v>0</v>
      </c>
      <c r="AI575" s="40">
        <f t="shared" si="750"/>
        <v>2753.6366666666663</v>
      </c>
      <c r="AJ575" s="40">
        <f t="shared" si="751"/>
        <v>0</v>
      </c>
      <c r="AK575" s="39">
        <f t="shared" si="752"/>
        <v>0</v>
      </c>
      <c r="AL575" s="38">
        <v>0</v>
      </c>
      <c r="AM575" s="38">
        <v>0</v>
      </c>
      <c r="AN575" s="38">
        <v>0</v>
      </c>
      <c r="AO575" s="38">
        <v>0</v>
      </c>
      <c r="AP575" s="38">
        <v>0</v>
      </c>
      <c r="AQ575" s="39">
        <v>0</v>
      </c>
      <c r="AR575" s="40">
        <v>0</v>
      </c>
      <c r="AS575" s="40">
        <v>0</v>
      </c>
      <c r="AT575" s="40">
        <v>0</v>
      </c>
      <c r="AU575" s="40">
        <v>0</v>
      </c>
      <c r="AV575" s="40">
        <v>0</v>
      </c>
      <c r="AW575" s="40">
        <v>0</v>
      </c>
      <c r="AX575" s="40">
        <v>0</v>
      </c>
      <c r="AY575" s="40">
        <v>0</v>
      </c>
      <c r="AZ575" s="40">
        <v>0</v>
      </c>
      <c r="BA575" s="40">
        <v>0</v>
      </c>
      <c r="BB575" s="40">
        <v>0</v>
      </c>
      <c r="BC575" s="39">
        <v>0</v>
      </c>
      <c r="BD575" s="40">
        <v>0</v>
      </c>
      <c r="BE575" s="40">
        <v>0</v>
      </c>
      <c r="BF575" s="40">
        <v>0</v>
      </c>
      <c r="BG575" s="40">
        <v>0</v>
      </c>
      <c r="BH575" s="40">
        <v>0</v>
      </c>
      <c r="BI575" s="40">
        <v>0</v>
      </c>
      <c r="BJ575" s="40">
        <v>0</v>
      </c>
      <c r="BK575" s="40">
        <v>0</v>
      </c>
      <c r="BL575" s="40">
        <v>0</v>
      </c>
      <c r="BM575" s="40" t="s">
        <v>768</v>
      </c>
      <c r="BN575" s="40"/>
      <c r="BO575" s="39"/>
      <c r="BP575" s="21">
        <v>0</v>
      </c>
      <c r="BQ575" s="21">
        <v>0</v>
      </c>
      <c r="BR575" s="21">
        <v>0</v>
      </c>
      <c r="BS575" s="21">
        <v>0</v>
      </c>
      <c r="BT575" s="21">
        <v>0</v>
      </c>
      <c r="BU575" s="42">
        <v>0</v>
      </c>
      <c r="BV575" s="21">
        <v>0</v>
      </c>
      <c r="BW575" s="21">
        <v>0</v>
      </c>
      <c r="BX575" s="21">
        <v>0</v>
      </c>
      <c r="BY575" s="21">
        <v>0</v>
      </c>
      <c r="BZ575" s="21">
        <v>15</v>
      </c>
      <c r="CA575" s="21">
        <v>0</v>
      </c>
      <c r="CB575" s="21">
        <v>1</v>
      </c>
      <c r="CC575" s="21">
        <v>29</v>
      </c>
      <c r="CD575" s="21">
        <v>4</v>
      </c>
      <c r="CE575" s="21">
        <v>5</v>
      </c>
      <c r="CF575" s="21">
        <v>0</v>
      </c>
      <c r="CG575" s="42">
        <v>0</v>
      </c>
      <c r="CH575" s="21">
        <v>0</v>
      </c>
      <c r="CI575" s="21">
        <v>0</v>
      </c>
      <c r="CJ575" s="21">
        <v>0</v>
      </c>
      <c r="CK575" s="21">
        <v>11</v>
      </c>
      <c r="CL575" s="21">
        <v>2</v>
      </c>
      <c r="CM575" s="21">
        <v>4</v>
      </c>
      <c r="CN575" s="21">
        <v>6</v>
      </c>
      <c r="CO575" s="21">
        <v>0</v>
      </c>
      <c r="CP575" s="21">
        <f t="shared" si="779"/>
        <v>0</v>
      </c>
      <c r="CQ575" s="343">
        <f t="shared" si="780"/>
        <v>2.5555555555555554</v>
      </c>
      <c r="CR575" s="40"/>
      <c r="CS575" s="39"/>
      <c r="CT575" s="38">
        <f t="shared" si="781"/>
        <v>0</v>
      </c>
      <c r="CU575" s="38">
        <f t="shared" si="782"/>
        <v>0</v>
      </c>
      <c r="CV575" s="38">
        <f t="shared" si="783"/>
        <v>0</v>
      </c>
      <c r="CW575" s="38">
        <f t="shared" si="784"/>
        <v>0</v>
      </c>
      <c r="CX575" s="38">
        <f t="shared" si="785"/>
        <v>0</v>
      </c>
      <c r="CY575" s="39">
        <f t="shared" si="786"/>
        <v>0</v>
      </c>
      <c r="CZ575" s="40">
        <f t="shared" si="787"/>
        <v>0</v>
      </c>
      <c r="DA575" s="40">
        <f t="shared" si="788"/>
        <v>0</v>
      </c>
      <c r="DB575" s="40">
        <f t="shared" si="789"/>
        <v>0</v>
      </c>
      <c r="DC575" s="40">
        <f t="shared" si="790"/>
        <v>0</v>
      </c>
      <c r="DD575" s="40">
        <f t="shared" si="791"/>
        <v>15</v>
      </c>
      <c r="DE575" s="40">
        <f t="shared" si="792"/>
        <v>0</v>
      </c>
      <c r="DF575" s="40">
        <f t="shared" si="793"/>
        <v>1</v>
      </c>
      <c r="DG575" s="40">
        <f t="shared" si="794"/>
        <v>29</v>
      </c>
      <c r="DH575" s="40">
        <f t="shared" si="795"/>
        <v>4</v>
      </c>
      <c r="DI575" s="40">
        <f t="shared" si="796"/>
        <v>5</v>
      </c>
      <c r="DJ575" s="40">
        <f t="shared" si="797"/>
        <v>0</v>
      </c>
      <c r="DK575" s="39">
        <f t="shared" si="798"/>
        <v>0</v>
      </c>
      <c r="DL575" s="40">
        <f t="shared" si="799"/>
        <v>0</v>
      </c>
      <c r="DM575" s="40">
        <f t="shared" si="800"/>
        <v>0</v>
      </c>
      <c r="DN575" s="40">
        <f t="shared" si="801"/>
        <v>0</v>
      </c>
      <c r="DO575" s="40">
        <f t="shared" si="802"/>
        <v>11</v>
      </c>
      <c r="DP575" s="40">
        <f t="shared" si="803"/>
        <v>2</v>
      </c>
      <c r="DQ575" s="40">
        <f t="shared" si="804"/>
        <v>4</v>
      </c>
      <c r="DR575" s="40">
        <f t="shared" si="809"/>
        <v>6</v>
      </c>
      <c r="DS575" s="40">
        <f t="shared" si="810"/>
        <v>0</v>
      </c>
      <c r="DT575" s="40">
        <f t="shared" si="805"/>
        <v>0</v>
      </c>
      <c r="DU575" s="40">
        <f t="shared" si="806"/>
        <v>2.5555555555555554</v>
      </c>
      <c r="DV575" s="40">
        <f t="shared" si="807"/>
        <v>0</v>
      </c>
      <c r="DW575" s="40">
        <f t="shared" si="808"/>
        <v>0</v>
      </c>
    </row>
    <row r="576" spans="1:127">
      <c r="A576" s="22" t="s">
        <v>44</v>
      </c>
      <c r="B576" s="26"/>
      <c r="C576" s="22" t="s">
        <v>44</v>
      </c>
      <c r="E576" s="22">
        <v>249487</v>
      </c>
      <c r="F576" s="80" t="s">
        <v>661</v>
      </c>
      <c r="G576" s="25">
        <v>1029.7875000000001</v>
      </c>
      <c r="H576" s="38">
        <f t="shared" si="753"/>
        <v>0</v>
      </c>
      <c r="I576" s="38">
        <f t="shared" si="754"/>
        <v>0</v>
      </c>
      <c r="J576" s="38">
        <f t="shared" si="755"/>
        <v>0</v>
      </c>
      <c r="K576" s="38">
        <f t="shared" si="756"/>
        <v>0</v>
      </c>
      <c r="L576" s="38">
        <f t="shared" si="757"/>
        <v>0</v>
      </c>
      <c r="M576" s="39">
        <f t="shared" si="758"/>
        <v>0</v>
      </c>
      <c r="N576" s="40">
        <f t="shared" si="759"/>
        <v>0</v>
      </c>
      <c r="O576" s="40">
        <f t="shared" si="760"/>
        <v>0</v>
      </c>
      <c r="P576" s="40">
        <f t="shared" si="761"/>
        <v>0</v>
      </c>
      <c r="Q576" s="40">
        <f t="shared" si="762"/>
        <v>0</v>
      </c>
      <c r="R576" s="40">
        <f t="shared" si="763"/>
        <v>4119.1500000000005</v>
      </c>
      <c r="S576" s="40">
        <f t="shared" si="764"/>
        <v>2059.5750000000003</v>
      </c>
      <c r="T576" s="40">
        <f t="shared" si="765"/>
        <v>6178.7250000000004</v>
      </c>
      <c r="U576" s="40">
        <f t="shared" si="766"/>
        <v>30893.625000000004</v>
      </c>
      <c r="V576" s="40">
        <f t="shared" si="767"/>
        <v>27804.262500000004</v>
      </c>
      <c r="W576" s="40">
        <f t="shared" si="768"/>
        <v>21625.537500000002</v>
      </c>
      <c r="X576" s="40">
        <f t="shared" si="769"/>
        <v>11327.662500000002</v>
      </c>
      <c r="Y576" s="39">
        <f t="shared" si="770"/>
        <v>1029.7875000000001</v>
      </c>
      <c r="Z576" s="40">
        <f t="shared" si="771"/>
        <v>14417.025000000001</v>
      </c>
      <c r="AA576" s="40">
        <f t="shared" si="772"/>
        <v>2059.5750000000003</v>
      </c>
      <c r="AB576" s="40">
        <f t="shared" si="773"/>
        <v>2059.5750000000003</v>
      </c>
      <c r="AC576" s="40">
        <f t="shared" si="774"/>
        <v>16476.600000000002</v>
      </c>
      <c r="AD576" s="40">
        <f t="shared" si="775"/>
        <v>1029.7875000000001</v>
      </c>
      <c r="AE576" s="40">
        <f t="shared" si="776"/>
        <v>6178.7250000000004</v>
      </c>
      <c r="AF576" s="40">
        <f t="shared" si="777"/>
        <v>7208.5125000000007</v>
      </c>
      <c r="AG576" s="40">
        <f t="shared" si="778"/>
        <v>0</v>
      </c>
      <c r="AH576" s="40">
        <f t="shared" ref="AH576:AH582" si="811">DT576*$G576</f>
        <v>0</v>
      </c>
      <c r="AI576" s="40">
        <f t="shared" ref="AI576:AI582" si="812">DU576*$G576</f>
        <v>5492.2000000000007</v>
      </c>
      <c r="AJ576" s="40">
        <f t="shared" ref="AJ576:AJ582" si="813">DV576*$G576</f>
        <v>0</v>
      </c>
      <c r="AK576" s="39">
        <f t="shared" ref="AK576:AK582" si="814">DW576*$G576</f>
        <v>0</v>
      </c>
      <c r="AL576" s="38">
        <v>0</v>
      </c>
      <c r="AM576" s="38">
        <v>0</v>
      </c>
      <c r="AN576" s="38">
        <v>0</v>
      </c>
      <c r="AO576" s="38">
        <v>0</v>
      </c>
      <c r="AP576" s="38">
        <v>0</v>
      </c>
      <c r="AQ576" s="39">
        <v>0</v>
      </c>
      <c r="AR576" s="40">
        <v>0</v>
      </c>
      <c r="AS576" s="40">
        <v>0</v>
      </c>
      <c r="AT576" s="40">
        <v>0</v>
      </c>
      <c r="AU576" s="40">
        <v>0</v>
      </c>
      <c r="AV576" s="40">
        <v>0</v>
      </c>
      <c r="AW576" s="40">
        <v>0</v>
      </c>
      <c r="AX576" s="40">
        <v>0</v>
      </c>
      <c r="AY576" s="40">
        <v>0</v>
      </c>
      <c r="AZ576" s="40">
        <v>0</v>
      </c>
      <c r="BA576" s="40">
        <v>0</v>
      </c>
      <c r="BB576" s="40">
        <v>0</v>
      </c>
      <c r="BC576" s="39">
        <v>0</v>
      </c>
      <c r="BD576" s="40">
        <v>0</v>
      </c>
      <c r="BE576" s="40">
        <v>0</v>
      </c>
      <c r="BF576" s="40">
        <v>0</v>
      </c>
      <c r="BG576" s="40">
        <v>0</v>
      </c>
      <c r="BH576" s="40">
        <v>0</v>
      </c>
      <c r="BI576" s="40">
        <v>0</v>
      </c>
      <c r="BJ576" s="40">
        <v>0</v>
      </c>
      <c r="BK576" s="40">
        <v>0</v>
      </c>
      <c r="BL576" s="40">
        <v>0</v>
      </c>
      <c r="BM576" s="40" t="s">
        <v>768</v>
      </c>
      <c r="BN576" s="40"/>
      <c r="BO576" s="39"/>
      <c r="BP576" s="21">
        <v>0</v>
      </c>
      <c r="BQ576" s="21">
        <v>0</v>
      </c>
      <c r="BR576" s="21">
        <v>0</v>
      </c>
      <c r="BS576" s="21">
        <v>0</v>
      </c>
      <c r="BT576" s="21">
        <v>0</v>
      </c>
      <c r="BU576" s="42">
        <v>0</v>
      </c>
      <c r="BV576" s="21">
        <v>0</v>
      </c>
      <c r="BW576" s="21">
        <v>0</v>
      </c>
      <c r="BX576" s="21">
        <v>0</v>
      </c>
      <c r="BY576" s="21">
        <v>0</v>
      </c>
      <c r="BZ576" s="21">
        <v>4</v>
      </c>
      <c r="CA576" s="21">
        <v>2</v>
      </c>
      <c r="CB576" s="21">
        <v>6</v>
      </c>
      <c r="CC576" s="21">
        <v>30</v>
      </c>
      <c r="CD576" s="21">
        <v>27</v>
      </c>
      <c r="CE576" s="21">
        <v>21</v>
      </c>
      <c r="CF576" s="21">
        <v>11</v>
      </c>
      <c r="CG576" s="42">
        <v>1</v>
      </c>
      <c r="CH576" s="21">
        <v>14</v>
      </c>
      <c r="CI576" s="21">
        <v>2</v>
      </c>
      <c r="CJ576" s="21">
        <v>2</v>
      </c>
      <c r="CK576" s="21">
        <v>16</v>
      </c>
      <c r="CL576" s="21">
        <v>1</v>
      </c>
      <c r="CM576" s="21">
        <v>6</v>
      </c>
      <c r="CN576" s="21">
        <v>7</v>
      </c>
      <c r="CO576" s="21">
        <v>0</v>
      </c>
      <c r="CP576" s="21">
        <f t="shared" si="779"/>
        <v>0</v>
      </c>
      <c r="CQ576" s="343">
        <f t="shared" si="780"/>
        <v>5.333333333333333</v>
      </c>
      <c r="CR576" s="40"/>
      <c r="CS576" s="39"/>
      <c r="CT576" s="38">
        <f t="shared" si="781"/>
        <v>0</v>
      </c>
      <c r="CU576" s="38">
        <f t="shared" si="782"/>
        <v>0</v>
      </c>
      <c r="CV576" s="38">
        <f t="shared" si="783"/>
        <v>0</v>
      </c>
      <c r="CW576" s="38">
        <f t="shared" si="784"/>
        <v>0</v>
      </c>
      <c r="CX576" s="38">
        <f t="shared" si="785"/>
        <v>0</v>
      </c>
      <c r="CY576" s="39">
        <f t="shared" si="786"/>
        <v>0</v>
      </c>
      <c r="CZ576" s="40">
        <f t="shared" si="787"/>
        <v>0</v>
      </c>
      <c r="DA576" s="40">
        <f t="shared" si="788"/>
        <v>0</v>
      </c>
      <c r="DB576" s="40">
        <f t="shared" si="789"/>
        <v>0</v>
      </c>
      <c r="DC576" s="40">
        <f t="shared" si="790"/>
        <v>0</v>
      </c>
      <c r="DD576" s="40">
        <f t="shared" si="791"/>
        <v>4</v>
      </c>
      <c r="DE576" s="40">
        <f t="shared" si="792"/>
        <v>2</v>
      </c>
      <c r="DF576" s="40">
        <f t="shared" si="793"/>
        <v>6</v>
      </c>
      <c r="DG576" s="40">
        <f t="shared" si="794"/>
        <v>30</v>
      </c>
      <c r="DH576" s="40">
        <f t="shared" si="795"/>
        <v>27</v>
      </c>
      <c r="DI576" s="40">
        <f t="shared" si="796"/>
        <v>21</v>
      </c>
      <c r="DJ576" s="40">
        <f t="shared" si="797"/>
        <v>11</v>
      </c>
      <c r="DK576" s="39">
        <f t="shared" si="798"/>
        <v>1</v>
      </c>
      <c r="DL576" s="40">
        <f t="shared" si="799"/>
        <v>14</v>
      </c>
      <c r="DM576" s="40">
        <f t="shared" si="800"/>
        <v>2</v>
      </c>
      <c r="DN576" s="40">
        <f t="shared" si="801"/>
        <v>2</v>
      </c>
      <c r="DO576" s="40">
        <f t="shared" si="802"/>
        <v>16</v>
      </c>
      <c r="DP576" s="40">
        <f t="shared" si="803"/>
        <v>1</v>
      </c>
      <c r="DQ576" s="40">
        <f t="shared" si="804"/>
        <v>6</v>
      </c>
      <c r="DR576" s="40">
        <f t="shared" si="809"/>
        <v>7</v>
      </c>
      <c r="DS576" s="40">
        <f t="shared" si="810"/>
        <v>0</v>
      </c>
      <c r="DT576" s="40">
        <f t="shared" si="805"/>
        <v>0</v>
      </c>
      <c r="DU576" s="40">
        <f t="shared" si="806"/>
        <v>5.333333333333333</v>
      </c>
      <c r="DV576" s="40">
        <f t="shared" si="807"/>
        <v>0</v>
      </c>
      <c r="DW576" s="40">
        <f t="shared" si="808"/>
        <v>0</v>
      </c>
    </row>
    <row r="577" spans="1:127">
      <c r="A577" s="22" t="s">
        <v>44</v>
      </c>
      <c r="B577" s="26"/>
      <c r="C577" s="22" t="s">
        <v>44</v>
      </c>
      <c r="E577" s="22">
        <v>249514</v>
      </c>
      <c r="F577" s="80" t="s">
        <v>662</v>
      </c>
      <c r="G577" s="25">
        <v>1127.2153846153847</v>
      </c>
      <c r="H577" s="38">
        <f t="shared" si="753"/>
        <v>0</v>
      </c>
      <c r="I577" s="38">
        <f t="shared" si="754"/>
        <v>0</v>
      </c>
      <c r="J577" s="38">
        <f t="shared" si="755"/>
        <v>0</v>
      </c>
      <c r="K577" s="38">
        <f t="shared" si="756"/>
        <v>0</v>
      </c>
      <c r="L577" s="38">
        <f t="shared" si="757"/>
        <v>0</v>
      </c>
      <c r="M577" s="39">
        <f t="shared" si="758"/>
        <v>0</v>
      </c>
      <c r="N577" s="40">
        <f t="shared" si="759"/>
        <v>0</v>
      </c>
      <c r="O577" s="40">
        <f t="shared" si="760"/>
        <v>0</v>
      </c>
      <c r="P577" s="40">
        <f t="shared" si="761"/>
        <v>0</v>
      </c>
      <c r="Q577" s="40">
        <f t="shared" si="762"/>
        <v>0</v>
      </c>
      <c r="R577" s="40">
        <f t="shared" si="763"/>
        <v>14653.800000000001</v>
      </c>
      <c r="S577" s="40">
        <f t="shared" si="764"/>
        <v>3381.646153846154</v>
      </c>
      <c r="T577" s="40">
        <f t="shared" si="765"/>
        <v>5636.0769230769238</v>
      </c>
      <c r="U577" s="40">
        <f t="shared" si="766"/>
        <v>37198.107692307691</v>
      </c>
      <c r="V577" s="40">
        <f t="shared" si="767"/>
        <v>22544.307692307695</v>
      </c>
      <c r="W577" s="40">
        <f t="shared" si="768"/>
        <v>14653.800000000001</v>
      </c>
      <c r="X577" s="40">
        <f t="shared" si="769"/>
        <v>9017.7230769230773</v>
      </c>
      <c r="Y577" s="39">
        <f t="shared" si="770"/>
        <v>0</v>
      </c>
      <c r="Z577" s="40">
        <f t="shared" si="771"/>
        <v>6763.292307692308</v>
      </c>
      <c r="AA577" s="40">
        <f t="shared" si="772"/>
        <v>1127.2153846153847</v>
      </c>
      <c r="AB577" s="40">
        <f t="shared" si="773"/>
        <v>0</v>
      </c>
      <c r="AC577" s="40">
        <f t="shared" si="774"/>
        <v>20289.876923076925</v>
      </c>
      <c r="AD577" s="40">
        <f t="shared" si="775"/>
        <v>0</v>
      </c>
      <c r="AE577" s="40">
        <f t="shared" si="776"/>
        <v>18035.446153846155</v>
      </c>
      <c r="AF577" s="40">
        <f t="shared" si="777"/>
        <v>14653.800000000001</v>
      </c>
      <c r="AG577" s="40">
        <f t="shared" si="778"/>
        <v>0</v>
      </c>
      <c r="AH577" s="40">
        <f t="shared" si="811"/>
        <v>0</v>
      </c>
      <c r="AI577" s="40">
        <f t="shared" si="812"/>
        <v>6763.292307692308</v>
      </c>
      <c r="AJ577" s="40">
        <f t="shared" si="813"/>
        <v>0</v>
      </c>
      <c r="AK577" s="39">
        <f t="shared" si="814"/>
        <v>0</v>
      </c>
      <c r="AL577" s="38">
        <v>0</v>
      </c>
      <c r="AM577" s="38">
        <v>0</v>
      </c>
      <c r="AN577" s="38">
        <v>0</v>
      </c>
      <c r="AO577" s="38">
        <v>0</v>
      </c>
      <c r="AP577" s="38">
        <v>0</v>
      </c>
      <c r="AQ577" s="39">
        <v>0</v>
      </c>
      <c r="AR577" s="40">
        <v>0</v>
      </c>
      <c r="AS577" s="40">
        <v>0</v>
      </c>
      <c r="AT577" s="40">
        <v>0</v>
      </c>
      <c r="AU577" s="40">
        <v>0</v>
      </c>
      <c r="AV577" s="40">
        <v>0</v>
      </c>
      <c r="AW577" s="40">
        <v>0</v>
      </c>
      <c r="AX577" s="40">
        <v>0</v>
      </c>
      <c r="AY577" s="40">
        <v>0</v>
      </c>
      <c r="AZ577" s="40">
        <v>0</v>
      </c>
      <c r="BA577" s="40">
        <v>0</v>
      </c>
      <c r="BB577" s="40">
        <v>0</v>
      </c>
      <c r="BC577" s="39">
        <v>0</v>
      </c>
      <c r="BD577" s="40">
        <v>0</v>
      </c>
      <c r="BE577" s="40">
        <v>0</v>
      </c>
      <c r="BF577" s="40">
        <v>0</v>
      </c>
      <c r="BG577" s="40">
        <v>0</v>
      </c>
      <c r="BH577" s="40">
        <v>0</v>
      </c>
      <c r="BI577" s="40">
        <v>0</v>
      </c>
      <c r="BJ577" s="40">
        <v>0</v>
      </c>
      <c r="BK577" s="40">
        <v>0</v>
      </c>
      <c r="BL577" s="40">
        <v>0</v>
      </c>
      <c r="BM577" s="40" t="s">
        <v>768</v>
      </c>
      <c r="BN577" s="40"/>
      <c r="BO577" s="39"/>
      <c r="BP577" s="21">
        <v>0</v>
      </c>
      <c r="BQ577" s="21">
        <v>0</v>
      </c>
      <c r="BR577" s="21">
        <v>0</v>
      </c>
      <c r="BS577" s="21">
        <v>0</v>
      </c>
      <c r="BT577" s="21">
        <v>0</v>
      </c>
      <c r="BU577" s="42">
        <v>0</v>
      </c>
      <c r="BV577" s="21">
        <v>0</v>
      </c>
      <c r="BW577" s="21">
        <v>0</v>
      </c>
      <c r="BX577" s="21">
        <v>0</v>
      </c>
      <c r="BY577" s="21">
        <v>0</v>
      </c>
      <c r="BZ577" s="21">
        <v>13</v>
      </c>
      <c r="CA577" s="21">
        <v>3</v>
      </c>
      <c r="CB577" s="21">
        <v>5</v>
      </c>
      <c r="CC577" s="21">
        <v>33</v>
      </c>
      <c r="CD577" s="21">
        <v>20</v>
      </c>
      <c r="CE577" s="21">
        <v>13</v>
      </c>
      <c r="CF577" s="21">
        <v>8</v>
      </c>
      <c r="CG577" s="42">
        <v>0</v>
      </c>
      <c r="CH577" s="21">
        <v>6</v>
      </c>
      <c r="CI577" s="21">
        <v>1</v>
      </c>
      <c r="CJ577" s="21">
        <v>0</v>
      </c>
      <c r="CK577" s="21">
        <v>18</v>
      </c>
      <c r="CL577" s="21">
        <v>0</v>
      </c>
      <c r="CM577" s="21">
        <v>16</v>
      </c>
      <c r="CN577" s="21">
        <v>13</v>
      </c>
      <c r="CO577" s="21">
        <v>0</v>
      </c>
      <c r="CP577" s="21">
        <f t="shared" si="779"/>
        <v>0</v>
      </c>
      <c r="CQ577" s="343">
        <f t="shared" si="780"/>
        <v>6</v>
      </c>
      <c r="CR577" s="40"/>
      <c r="CS577" s="39"/>
      <c r="CT577" s="38">
        <f t="shared" si="781"/>
        <v>0</v>
      </c>
      <c r="CU577" s="38">
        <f t="shared" si="782"/>
        <v>0</v>
      </c>
      <c r="CV577" s="38">
        <f t="shared" si="783"/>
        <v>0</v>
      </c>
      <c r="CW577" s="38">
        <f t="shared" si="784"/>
        <v>0</v>
      </c>
      <c r="CX577" s="38">
        <f t="shared" si="785"/>
        <v>0</v>
      </c>
      <c r="CY577" s="39">
        <f t="shared" si="786"/>
        <v>0</v>
      </c>
      <c r="CZ577" s="40">
        <f t="shared" si="787"/>
        <v>0</v>
      </c>
      <c r="DA577" s="40">
        <f t="shared" si="788"/>
        <v>0</v>
      </c>
      <c r="DB577" s="40">
        <f t="shared" si="789"/>
        <v>0</v>
      </c>
      <c r="DC577" s="40">
        <f t="shared" si="790"/>
        <v>0</v>
      </c>
      <c r="DD577" s="40">
        <f t="shared" si="791"/>
        <v>13</v>
      </c>
      <c r="DE577" s="40">
        <f t="shared" si="792"/>
        <v>3</v>
      </c>
      <c r="DF577" s="40">
        <f t="shared" si="793"/>
        <v>5</v>
      </c>
      <c r="DG577" s="40">
        <f t="shared" si="794"/>
        <v>33</v>
      </c>
      <c r="DH577" s="40">
        <f t="shared" si="795"/>
        <v>20</v>
      </c>
      <c r="DI577" s="40">
        <f t="shared" si="796"/>
        <v>13</v>
      </c>
      <c r="DJ577" s="40">
        <f t="shared" si="797"/>
        <v>8</v>
      </c>
      <c r="DK577" s="39">
        <f t="shared" si="798"/>
        <v>0</v>
      </c>
      <c r="DL577" s="40">
        <f t="shared" si="799"/>
        <v>6</v>
      </c>
      <c r="DM577" s="40">
        <f t="shared" si="800"/>
        <v>1</v>
      </c>
      <c r="DN577" s="40">
        <f t="shared" si="801"/>
        <v>0</v>
      </c>
      <c r="DO577" s="40">
        <f t="shared" si="802"/>
        <v>18</v>
      </c>
      <c r="DP577" s="40">
        <f t="shared" si="803"/>
        <v>0</v>
      </c>
      <c r="DQ577" s="40">
        <f t="shared" si="804"/>
        <v>16</v>
      </c>
      <c r="DR577" s="40">
        <f t="shared" si="809"/>
        <v>13</v>
      </c>
      <c r="DS577" s="40">
        <f t="shared" si="810"/>
        <v>0</v>
      </c>
      <c r="DT577" s="40">
        <f t="shared" si="805"/>
        <v>0</v>
      </c>
      <c r="DU577" s="40">
        <f t="shared" si="806"/>
        <v>6</v>
      </c>
      <c r="DV577" s="40">
        <f t="shared" si="807"/>
        <v>0</v>
      </c>
      <c r="DW577" s="40">
        <f t="shared" si="808"/>
        <v>0</v>
      </c>
    </row>
    <row r="578" spans="1:127">
      <c r="A578" s="22" t="s">
        <v>44</v>
      </c>
      <c r="B578" s="26"/>
      <c r="C578" s="22" t="s">
        <v>44</v>
      </c>
      <c r="E578" s="22">
        <v>194369</v>
      </c>
      <c r="F578" s="80" t="s">
        <v>663</v>
      </c>
      <c r="G578" s="25">
        <v>341.05882352941177</v>
      </c>
      <c r="H578" s="38">
        <f t="shared" si="753"/>
        <v>0</v>
      </c>
      <c r="I578" s="38">
        <f t="shared" si="754"/>
        <v>0</v>
      </c>
      <c r="J578" s="38">
        <f t="shared" si="755"/>
        <v>0</v>
      </c>
      <c r="K578" s="38">
        <f t="shared" si="756"/>
        <v>0</v>
      </c>
      <c r="L578" s="38">
        <f t="shared" si="757"/>
        <v>0</v>
      </c>
      <c r="M578" s="39">
        <f t="shared" si="758"/>
        <v>0</v>
      </c>
      <c r="N578" s="40">
        <f t="shared" si="759"/>
        <v>0</v>
      </c>
      <c r="O578" s="40">
        <f t="shared" si="760"/>
        <v>0</v>
      </c>
      <c r="P578" s="40">
        <f t="shared" si="761"/>
        <v>0</v>
      </c>
      <c r="Q578" s="40">
        <f t="shared" si="762"/>
        <v>0</v>
      </c>
      <c r="R578" s="40">
        <f t="shared" si="763"/>
        <v>0</v>
      </c>
      <c r="S578" s="40">
        <f t="shared" si="764"/>
        <v>5115.8823529411766</v>
      </c>
      <c r="T578" s="40">
        <f t="shared" si="765"/>
        <v>6821.1764705882351</v>
      </c>
      <c r="U578" s="40">
        <f t="shared" si="766"/>
        <v>16029.764705882353</v>
      </c>
      <c r="V578" s="40">
        <f t="shared" si="767"/>
        <v>0</v>
      </c>
      <c r="W578" s="40">
        <f t="shared" si="768"/>
        <v>2046.3529411764707</v>
      </c>
      <c r="X578" s="40">
        <f t="shared" si="769"/>
        <v>682.11764705882354</v>
      </c>
      <c r="Y578" s="39">
        <f t="shared" si="770"/>
        <v>0</v>
      </c>
      <c r="Z578" s="40">
        <f t="shared" si="771"/>
        <v>3069.5294117647059</v>
      </c>
      <c r="AA578" s="40">
        <f t="shared" si="772"/>
        <v>1023.1764705882354</v>
      </c>
      <c r="AB578" s="40">
        <f t="shared" si="773"/>
        <v>5456.9411764705883</v>
      </c>
      <c r="AC578" s="40">
        <f t="shared" si="774"/>
        <v>5115.8823529411766</v>
      </c>
      <c r="AD578" s="40">
        <f t="shared" si="775"/>
        <v>2046.3529411764707</v>
      </c>
      <c r="AE578" s="40">
        <f t="shared" si="776"/>
        <v>1023.1764705882354</v>
      </c>
      <c r="AF578" s="40">
        <f t="shared" si="777"/>
        <v>341.05882352941177</v>
      </c>
      <c r="AG578" s="40">
        <f t="shared" si="778"/>
        <v>0</v>
      </c>
      <c r="AH578" s="40">
        <f t="shared" si="811"/>
        <v>0</v>
      </c>
      <c r="AI578" s="40">
        <f t="shared" si="812"/>
        <v>2008.4575163398695</v>
      </c>
      <c r="AJ578" s="40">
        <f t="shared" si="813"/>
        <v>0</v>
      </c>
      <c r="AK578" s="39">
        <f t="shared" si="814"/>
        <v>0</v>
      </c>
      <c r="AL578" s="38">
        <v>0</v>
      </c>
      <c r="AM578" s="38">
        <v>0</v>
      </c>
      <c r="AN578" s="38">
        <v>0</v>
      </c>
      <c r="AO578" s="38">
        <v>0</v>
      </c>
      <c r="AP578" s="38">
        <v>0</v>
      </c>
      <c r="AQ578" s="39">
        <v>0</v>
      </c>
      <c r="AR578" s="40">
        <v>0</v>
      </c>
      <c r="AS578" s="40">
        <v>0</v>
      </c>
      <c r="AT578" s="40">
        <v>0</v>
      </c>
      <c r="AU578" s="40">
        <v>0</v>
      </c>
      <c r="AV578" s="40">
        <v>0</v>
      </c>
      <c r="AW578" s="40">
        <v>0</v>
      </c>
      <c r="AX578" s="40">
        <v>0</v>
      </c>
      <c r="AY578" s="40">
        <v>0</v>
      </c>
      <c r="AZ578" s="40">
        <v>0</v>
      </c>
      <c r="BA578" s="40">
        <v>0</v>
      </c>
      <c r="BB578" s="40">
        <v>0</v>
      </c>
      <c r="BC578" s="39">
        <v>0</v>
      </c>
      <c r="BD578" s="40">
        <v>0</v>
      </c>
      <c r="BE578" s="40">
        <v>0</v>
      </c>
      <c r="BF578" s="40">
        <v>0</v>
      </c>
      <c r="BG578" s="40">
        <v>0</v>
      </c>
      <c r="BH578" s="40">
        <v>0</v>
      </c>
      <c r="BI578" s="40">
        <v>0</v>
      </c>
      <c r="BJ578" s="40">
        <v>0</v>
      </c>
      <c r="BK578" s="40">
        <v>0</v>
      </c>
      <c r="BL578" s="40">
        <v>0</v>
      </c>
      <c r="BM578" s="40" t="s">
        <v>768</v>
      </c>
      <c r="BN578" s="40"/>
      <c r="BO578" s="39"/>
      <c r="BP578" s="21">
        <v>0</v>
      </c>
      <c r="BQ578" s="21">
        <v>0</v>
      </c>
      <c r="BR578" s="21">
        <v>0</v>
      </c>
      <c r="BS578" s="21">
        <v>0</v>
      </c>
      <c r="BT578" s="21">
        <v>0</v>
      </c>
      <c r="BU578" s="42">
        <v>0</v>
      </c>
      <c r="BV578" s="21">
        <v>0</v>
      </c>
      <c r="BW578" s="21">
        <v>0</v>
      </c>
      <c r="BX578" s="21">
        <v>0</v>
      </c>
      <c r="BY578" s="21">
        <v>0</v>
      </c>
      <c r="BZ578" s="21">
        <v>0</v>
      </c>
      <c r="CA578" s="21">
        <v>15</v>
      </c>
      <c r="CB578" s="21">
        <v>20</v>
      </c>
      <c r="CC578" s="21">
        <v>47</v>
      </c>
      <c r="CD578" s="21">
        <v>0</v>
      </c>
      <c r="CE578" s="21">
        <v>6</v>
      </c>
      <c r="CF578" s="21">
        <v>2</v>
      </c>
      <c r="CG578" s="42">
        <v>0</v>
      </c>
      <c r="CH578" s="21">
        <v>9</v>
      </c>
      <c r="CI578" s="21">
        <v>3</v>
      </c>
      <c r="CJ578" s="21">
        <v>16</v>
      </c>
      <c r="CK578" s="21">
        <v>15</v>
      </c>
      <c r="CL578" s="21">
        <v>6</v>
      </c>
      <c r="CM578" s="21">
        <v>3</v>
      </c>
      <c r="CN578" s="21">
        <v>1</v>
      </c>
      <c r="CO578" s="21">
        <v>0</v>
      </c>
      <c r="CP578" s="21">
        <f t="shared" si="779"/>
        <v>0</v>
      </c>
      <c r="CQ578" s="343">
        <f t="shared" si="780"/>
        <v>5.8888888888888893</v>
      </c>
      <c r="CR578" s="40"/>
      <c r="CS578" s="39"/>
      <c r="CT578" s="38">
        <f t="shared" si="781"/>
        <v>0</v>
      </c>
      <c r="CU578" s="38">
        <f t="shared" si="782"/>
        <v>0</v>
      </c>
      <c r="CV578" s="38">
        <f t="shared" si="783"/>
        <v>0</v>
      </c>
      <c r="CW578" s="38">
        <f t="shared" si="784"/>
        <v>0</v>
      </c>
      <c r="CX578" s="38">
        <f t="shared" si="785"/>
        <v>0</v>
      </c>
      <c r="CY578" s="39">
        <f t="shared" si="786"/>
        <v>0</v>
      </c>
      <c r="CZ578" s="40">
        <f t="shared" si="787"/>
        <v>0</v>
      </c>
      <c r="DA578" s="40">
        <f t="shared" si="788"/>
        <v>0</v>
      </c>
      <c r="DB578" s="40">
        <f t="shared" si="789"/>
        <v>0</v>
      </c>
      <c r="DC578" s="40">
        <f t="shared" si="790"/>
        <v>0</v>
      </c>
      <c r="DD578" s="40">
        <f t="shared" si="791"/>
        <v>0</v>
      </c>
      <c r="DE578" s="40">
        <f t="shared" si="792"/>
        <v>15</v>
      </c>
      <c r="DF578" s="40">
        <f t="shared" si="793"/>
        <v>20</v>
      </c>
      <c r="DG578" s="40">
        <f t="shared" si="794"/>
        <v>47</v>
      </c>
      <c r="DH578" s="40">
        <f t="shared" si="795"/>
        <v>0</v>
      </c>
      <c r="DI578" s="40">
        <f t="shared" si="796"/>
        <v>6</v>
      </c>
      <c r="DJ578" s="40">
        <f t="shared" si="797"/>
        <v>2</v>
      </c>
      <c r="DK578" s="39">
        <f t="shared" si="798"/>
        <v>0</v>
      </c>
      <c r="DL578" s="40">
        <f t="shared" si="799"/>
        <v>9</v>
      </c>
      <c r="DM578" s="40">
        <f t="shared" si="800"/>
        <v>3</v>
      </c>
      <c r="DN578" s="40">
        <f t="shared" si="801"/>
        <v>16</v>
      </c>
      <c r="DO578" s="40">
        <f t="shared" si="802"/>
        <v>15</v>
      </c>
      <c r="DP578" s="40">
        <f t="shared" si="803"/>
        <v>6</v>
      </c>
      <c r="DQ578" s="40">
        <f t="shared" si="804"/>
        <v>3</v>
      </c>
      <c r="DR578" s="40">
        <f t="shared" si="809"/>
        <v>1</v>
      </c>
      <c r="DS578" s="40">
        <f t="shared" si="810"/>
        <v>0</v>
      </c>
      <c r="DT578" s="40">
        <f t="shared" si="805"/>
        <v>0</v>
      </c>
      <c r="DU578" s="40">
        <f t="shared" si="806"/>
        <v>5.8888888888888893</v>
      </c>
      <c r="DV578" s="40">
        <f t="shared" si="807"/>
        <v>0</v>
      </c>
      <c r="DW578" s="40">
        <f t="shared" si="808"/>
        <v>0</v>
      </c>
    </row>
    <row r="579" spans="1:127">
      <c r="A579" s="22" t="s">
        <v>44</v>
      </c>
      <c r="B579" s="26"/>
      <c r="C579" s="22" t="s">
        <v>44</v>
      </c>
      <c r="E579" s="22">
        <v>229738</v>
      </c>
      <c r="F579" s="80" t="s">
        <v>664</v>
      </c>
      <c r="G579" s="25">
        <v>307.95652173913044</v>
      </c>
      <c r="H579" s="38">
        <f t="shared" si="753"/>
        <v>0</v>
      </c>
      <c r="I579" s="38">
        <f t="shared" si="754"/>
        <v>0</v>
      </c>
      <c r="J579" s="38">
        <f t="shared" si="755"/>
        <v>0</v>
      </c>
      <c r="K579" s="38">
        <f t="shared" si="756"/>
        <v>0</v>
      </c>
      <c r="L579" s="38">
        <f t="shared" si="757"/>
        <v>0</v>
      </c>
      <c r="M579" s="39">
        <f t="shared" si="758"/>
        <v>0</v>
      </c>
      <c r="N579" s="40">
        <f t="shared" si="759"/>
        <v>0</v>
      </c>
      <c r="O579" s="40">
        <f t="shared" si="760"/>
        <v>0</v>
      </c>
      <c r="P579" s="40">
        <f t="shared" si="761"/>
        <v>0</v>
      </c>
      <c r="Q579" s="40">
        <f t="shared" si="762"/>
        <v>0</v>
      </c>
      <c r="R579" s="40">
        <f t="shared" si="763"/>
        <v>0</v>
      </c>
      <c r="S579" s="40">
        <f t="shared" si="764"/>
        <v>3387.521739130435</v>
      </c>
      <c r="T579" s="40">
        <f t="shared" si="765"/>
        <v>5851.173913043478</v>
      </c>
      <c r="U579" s="40">
        <f t="shared" si="766"/>
        <v>21556.956521739132</v>
      </c>
      <c r="V579" s="40">
        <f t="shared" si="767"/>
        <v>2771.608695652174</v>
      </c>
      <c r="W579" s="40">
        <f t="shared" si="768"/>
        <v>307.95652173913044</v>
      </c>
      <c r="X579" s="40">
        <f t="shared" si="769"/>
        <v>1231.8260869565217</v>
      </c>
      <c r="Y579" s="39">
        <f t="shared" si="770"/>
        <v>0</v>
      </c>
      <c r="Z579" s="40">
        <f t="shared" si="771"/>
        <v>2155.695652173913</v>
      </c>
      <c r="AA579" s="40">
        <f t="shared" si="772"/>
        <v>2463.6521739130435</v>
      </c>
      <c r="AB579" s="40">
        <f t="shared" si="773"/>
        <v>4927.304347826087</v>
      </c>
      <c r="AC579" s="40">
        <f t="shared" si="774"/>
        <v>7390.95652173913</v>
      </c>
      <c r="AD579" s="40">
        <f t="shared" si="775"/>
        <v>615.91304347826087</v>
      </c>
      <c r="AE579" s="40">
        <f t="shared" si="776"/>
        <v>615.91304347826087</v>
      </c>
      <c r="AF579" s="40">
        <f t="shared" si="777"/>
        <v>1231.8260869565217</v>
      </c>
      <c r="AG579" s="40">
        <f t="shared" si="778"/>
        <v>0</v>
      </c>
      <c r="AH579" s="40">
        <f t="shared" si="811"/>
        <v>0</v>
      </c>
      <c r="AI579" s="40">
        <f t="shared" si="812"/>
        <v>2155.695652173913</v>
      </c>
      <c r="AJ579" s="40">
        <f t="shared" si="813"/>
        <v>0</v>
      </c>
      <c r="AK579" s="39">
        <f t="shared" si="814"/>
        <v>0</v>
      </c>
      <c r="AL579" s="38">
        <v>0</v>
      </c>
      <c r="AM579" s="38">
        <v>0</v>
      </c>
      <c r="AN579" s="38">
        <v>0</v>
      </c>
      <c r="AO579" s="38">
        <v>0</v>
      </c>
      <c r="AP579" s="38">
        <v>0</v>
      </c>
      <c r="AQ579" s="39">
        <v>0</v>
      </c>
      <c r="AR579" s="40">
        <v>0</v>
      </c>
      <c r="AS579" s="40">
        <v>0</v>
      </c>
      <c r="AT579" s="40">
        <v>0</v>
      </c>
      <c r="AU579" s="40">
        <v>0</v>
      </c>
      <c r="AV579" s="40">
        <v>0</v>
      </c>
      <c r="AW579" s="40">
        <v>0</v>
      </c>
      <c r="AX579" s="40">
        <v>0</v>
      </c>
      <c r="AY579" s="40">
        <v>0</v>
      </c>
      <c r="AZ579" s="40">
        <v>0</v>
      </c>
      <c r="BA579" s="40">
        <v>0</v>
      </c>
      <c r="BB579" s="40">
        <v>0</v>
      </c>
      <c r="BC579" s="39">
        <v>0</v>
      </c>
      <c r="BD579" s="40">
        <v>0</v>
      </c>
      <c r="BE579" s="40">
        <v>0</v>
      </c>
      <c r="BF579" s="40">
        <v>0</v>
      </c>
      <c r="BG579" s="40">
        <v>0</v>
      </c>
      <c r="BH579" s="40">
        <v>0</v>
      </c>
      <c r="BI579" s="40">
        <v>0</v>
      </c>
      <c r="BJ579" s="40">
        <v>0</v>
      </c>
      <c r="BK579" s="40">
        <v>0</v>
      </c>
      <c r="BL579" s="40">
        <v>0</v>
      </c>
      <c r="BM579" s="40" t="s">
        <v>768</v>
      </c>
      <c r="BN579" s="40"/>
      <c r="BO579" s="39"/>
      <c r="BP579" s="21">
        <v>0</v>
      </c>
      <c r="BQ579" s="21">
        <v>0</v>
      </c>
      <c r="BR579" s="21">
        <v>0</v>
      </c>
      <c r="BS579" s="21">
        <v>0</v>
      </c>
      <c r="BT579" s="21">
        <v>0</v>
      </c>
      <c r="BU579" s="42">
        <v>0</v>
      </c>
      <c r="BV579" s="21">
        <v>0</v>
      </c>
      <c r="BW579" s="21">
        <v>0</v>
      </c>
      <c r="BX579" s="21">
        <v>0</v>
      </c>
      <c r="BY579" s="21">
        <v>0</v>
      </c>
      <c r="BZ579" s="21">
        <v>0</v>
      </c>
      <c r="CA579" s="21">
        <v>11</v>
      </c>
      <c r="CB579" s="21">
        <v>19</v>
      </c>
      <c r="CC579" s="21">
        <v>70</v>
      </c>
      <c r="CD579" s="21">
        <v>9</v>
      </c>
      <c r="CE579" s="21">
        <v>1</v>
      </c>
      <c r="CF579" s="21">
        <v>4</v>
      </c>
      <c r="CG579" s="42">
        <v>0</v>
      </c>
      <c r="CH579" s="21">
        <v>7</v>
      </c>
      <c r="CI579" s="21">
        <v>8</v>
      </c>
      <c r="CJ579" s="21">
        <v>16</v>
      </c>
      <c r="CK579" s="21">
        <v>24</v>
      </c>
      <c r="CL579" s="21">
        <v>2</v>
      </c>
      <c r="CM579" s="21">
        <v>2</v>
      </c>
      <c r="CN579" s="21">
        <v>4</v>
      </c>
      <c r="CO579" s="21">
        <v>0</v>
      </c>
      <c r="CP579" s="21">
        <f t="shared" si="779"/>
        <v>0</v>
      </c>
      <c r="CQ579" s="343">
        <f t="shared" si="780"/>
        <v>7</v>
      </c>
      <c r="CR579" s="40"/>
      <c r="CS579" s="39"/>
      <c r="CT579" s="38">
        <f t="shared" si="781"/>
        <v>0</v>
      </c>
      <c r="CU579" s="38">
        <f t="shared" si="782"/>
        <v>0</v>
      </c>
      <c r="CV579" s="38">
        <f t="shared" si="783"/>
        <v>0</v>
      </c>
      <c r="CW579" s="38">
        <f t="shared" si="784"/>
        <v>0</v>
      </c>
      <c r="CX579" s="38">
        <f t="shared" si="785"/>
        <v>0</v>
      </c>
      <c r="CY579" s="39">
        <f t="shared" si="786"/>
        <v>0</v>
      </c>
      <c r="CZ579" s="40">
        <f t="shared" si="787"/>
        <v>0</v>
      </c>
      <c r="DA579" s="40">
        <f t="shared" si="788"/>
        <v>0</v>
      </c>
      <c r="DB579" s="40">
        <f t="shared" si="789"/>
        <v>0</v>
      </c>
      <c r="DC579" s="40">
        <f t="shared" si="790"/>
        <v>0</v>
      </c>
      <c r="DD579" s="40">
        <f t="shared" si="791"/>
        <v>0</v>
      </c>
      <c r="DE579" s="40">
        <f t="shared" si="792"/>
        <v>11</v>
      </c>
      <c r="DF579" s="40">
        <f t="shared" si="793"/>
        <v>19</v>
      </c>
      <c r="DG579" s="40">
        <f t="shared" si="794"/>
        <v>70</v>
      </c>
      <c r="DH579" s="40">
        <f t="shared" si="795"/>
        <v>9</v>
      </c>
      <c r="DI579" s="40">
        <f t="shared" si="796"/>
        <v>1</v>
      </c>
      <c r="DJ579" s="40">
        <f t="shared" si="797"/>
        <v>4</v>
      </c>
      <c r="DK579" s="39">
        <f t="shared" si="798"/>
        <v>0</v>
      </c>
      <c r="DL579" s="40">
        <f t="shared" si="799"/>
        <v>7</v>
      </c>
      <c r="DM579" s="40">
        <f t="shared" si="800"/>
        <v>8</v>
      </c>
      <c r="DN579" s="40">
        <f t="shared" si="801"/>
        <v>16</v>
      </c>
      <c r="DO579" s="40">
        <f t="shared" si="802"/>
        <v>24</v>
      </c>
      <c r="DP579" s="40">
        <f t="shared" si="803"/>
        <v>2</v>
      </c>
      <c r="DQ579" s="40">
        <f t="shared" si="804"/>
        <v>2</v>
      </c>
      <c r="DR579" s="40">
        <f t="shared" si="809"/>
        <v>4</v>
      </c>
      <c r="DS579" s="40">
        <f t="shared" si="810"/>
        <v>0</v>
      </c>
      <c r="DT579" s="40">
        <f t="shared" si="805"/>
        <v>0</v>
      </c>
      <c r="DU579" s="40">
        <f t="shared" si="806"/>
        <v>7</v>
      </c>
      <c r="DV579" s="40">
        <f t="shared" si="807"/>
        <v>0</v>
      </c>
      <c r="DW579" s="40">
        <f t="shared" si="808"/>
        <v>0</v>
      </c>
    </row>
    <row r="580" spans="1:127">
      <c r="A580" s="22" t="s">
        <v>44</v>
      </c>
      <c r="B580" s="26"/>
      <c r="C580" s="22" t="s">
        <v>44</v>
      </c>
      <c r="E580" s="22">
        <v>241472</v>
      </c>
      <c r="F580" s="80" t="s">
        <v>665</v>
      </c>
      <c r="G580" s="25">
        <v>1394</v>
      </c>
      <c r="H580" s="38">
        <f t="shared" si="753"/>
        <v>0</v>
      </c>
      <c r="I580" s="38">
        <f t="shared" si="754"/>
        <v>0</v>
      </c>
      <c r="J580" s="38">
        <f t="shared" si="755"/>
        <v>0</v>
      </c>
      <c r="K580" s="38">
        <f t="shared" si="756"/>
        <v>0</v>
      </c>
      <c r="L580" s="38">
        <f t="shared" si="757"/>
        <v>0</v>
      </c>
      <c r="M580" s="39">
        <f t="shared" si="758"/>
        <v>0</v>
      </c>
      <c r="N580" s="40">
        <f t="shared" si="759"/>
        <v>0</v>
      </c>
      <c r="O580" s="40">
        <f t="shared" si="760"/>
        <v>0</v>
      </c>
      <c r="P580" s="40">
        <f t="shared" si="761"/>
        <v>0</v>
      </c>
      <c r="Q580" s="40">
        <f t="shared" si="762"/>
        <v>0</v>
      </c>
      <c r="R580" s="40">
        <f t="shared" si="763"/>
        <v>0</v>
      </c>
      <c r="S580" s="40">
        <f t="shared" si="764"/>
        <v>0</v>
      </c>
      <c r="T580" s="40">
        <f t="shared" si="765"/>
        <v>0</v>
      </c>
      <c r="U580" s="40">
        <f t="shared" si="766"/>
        <v>1394</v>
      </c>
      <c r="V580" s="40">
        <f t="shared" si="767"/>
        <v>2788</v>
      </c>
      <c r="W580" s="40">
        <f t="shared" si="768"/>
        <v>4182</v>
      </c>
      <c r="X580" s="40">
        <f t="shared" si="769"/>
        <v>0</v>
      </c>
      <c r="Y580" s="39">
        <f t="shared" si="770"/>
        <v>0</v>
      </c>
      <c r="Z580" s="40">
        <f t="shared" si="771"/>
        <v>0</v>
      </c>
      <c r="AA580" s="40">
        <f t="shared" si="772"/>
        <v>0</v>
      </c>
      <c r="AB580" s="40">
        <f t="shared" si="773"/>
        <v>2788</v>
      </c>
      <c r="AC580" s="40">
        <f t="shared" si="774"/>
        <v>1394</v>
      </c>
      <c r="AD580" s="40">
        <f t="shared" si="775"/>
        <v>0</v>
      </c>
      <c r="AE580" s="40">
        <f t="shared" si="776"/>
        <v>0</v>
      </c>
      <c r="AF580" s="40">
        <f t="shared" si="777"/>
        <v>0</v>
      </c>
      <c r="AG580" s="40">
        <f t="shared" si="778"/>
        <v>0</v>
      </c>
      <c r="AH580" s="40">
        <f t="shared" si="811"/>
        <v>0</v>
      </c>
      <c r="AI580" s="40">
        <f t="shared" si="812"/>
        <v>464.66666666666663</v>
      </c>
      <c r="AJ580" s="40">
        <f t="shared" si="813"/>
        <v>0</v>
      </c>
      <c r="AK580" s="39">
        <f t="shared" si="814"/>
        <v>0</v>
      </c>
      <c r="AL580" s="38">
        <v>0</v>
      </c>
      <c r="AM580" s="38">
        <v>0</v>
      </c>
      <c r="AN580" s="38">
        <v>0</v>
      </c>
      <c r="AO580" s="38">
        <v>0</v>
      </c>
      <c r="AP580" s="38">
        <v>0</v>
      </c>
      <c r="AQ580" s="39">
        <v>0</v>
      </c>
      <c r="AR580" s="40">
        <v>0</v>
      </c>
      <c r="AS580" s="40">
        <v>0</v>
      </c>
      <c r="AT580" s="40">
        <v>0</v>
      </c>
      <c r="AU580" s="40">
        <v>0</v>
      </c>
      <c r="AV580" s="40">
        <v>0</v>
      </c>
      <c r="AW580" s="40">
        <v>0</v>
      </c>
      <c r="AX580" s="40">
        <v>0</v>
      </c>
      <c r="AY580" s="40">
        <v>0</v>
      </c>
      <c r="AZ580" s="40">
        <v>0</v>
      </c>
      <c r="BA580" s="40">
        <v>0</v>
      </c>
      <c r="BB580" s="40">
        <v>0</v>
      </c>
      <c r="BC580" s="39">
        <v>0</v>
      </c>
      <c r="BD580" s="40">
        <v>0</v>
      </c>
      <c r="BE580" s="40">
        <v>0</v>
      </c>
      <c r="BF580" s="40">
        <v>0</v>
      </c>
      <c r="BG580" s="40">
        <v>0</v>
      </c>
      <c r="BH580" s="40">
        <v>0</v>
      </c>
      <c r="BI580" s="40">
        <v>0</v>
      </c>
      <c r="BJ580" s="40">
        <v>0</v>
      </c>
      <c r="BK580" s="40">
        <v>0</v>
      </c>
      <c r="BL580" s="40">
        <v>0</v>
      </c>
      <c r="BM580" s="40" t="s">
        <v>768</v>
      </c>
      <c r="BN580" s="40"/>
      <c r="BO580" s="39"/>
      <c r="BP580" s="21">
        <v>0</v>
      </c>
      <c r="BQ580" s="21">
        <v>0</v>
      </c>
      <c r="BR580" s="21">
        <v>0</v>
      </c>
      <c r="BS580" s="21">
        <v>0</v>
      </c>
      <c r="BT580" s="21">
        <v>0</v>
      </c>
      <c r="BU580" s="42">
        <v>0</v>
      </c>
      <c r="BV580" s="21">
        <v>0</v>
      </c>
      <c r="BW580" s="21">
        <v>0</v>
      </c>
      <c r="BX580" s="21">
        <v>0</v>
      </c>
      <c r="BY580" s="21">
        <v>0</v>
      </c>
      <c r="BZ580" s="21">
        <v>0</v>
      </c>
      <c r="CA580" s="21">
        <v>0</v>
      </c>
      <c r="CB580" s="21">
        <v>0</v>
      </c>
      <c r="CC580" s="21">
        <v>1</v>
      </c>
      <c r="CD580" s="21">
        <v>2</v>
      </c>
      <c r="CE580" s="21">
        <v>3</v>
      </c>
      <c r="CF580" s="21">
        <v>0</v>
      </c>
      <c r="CG580" s="42">
        <v>0</v>
      </c>
      <c r="CH580" s="21">
        <v>0</v>
      </c>
      <c r="CI580" s="21">
        <v>0</v>
      </c>
      <c r="CJ580" s="21">
        <v>2</v>
      </c>
      <c r="CK580" s="21">
        <v>1</v>
      </c>
      <c r="CL580" s="21">
        <v>0</v>
      </c>
      <c r="CM580" s="21">
        <v>0</v>
      </c>
      <c r="CN580" s="21">
        <v>0</v>
      </c>
      <c r="CO580" s="21">
        <v>0</v>
      </c>
      <c r="CP580" s="21">
        <f t="shared" si="779"/>
        <v>0</v>
      </c>
      <c r="CQ580" s="343">
        <f t="shared" si="780"/>
        <v>0.33333333333333331</v>
      </c>
      <c r="CR580" s="40"/>
      <c r="CS580" s="39"/>
      <c r="CT580" s="38">
        <f t="shared" si="781"/>
        <v>0</v>
      </c>
      <c r="CU580" s="38">
        <f t="shared" si="782"/>
        <v>0</v>
      </c>
      <c r="CV580" s="38">
        <f t="shared" si="783"/>
        <v>0</v>
      </c>
      <c r="CW580" s="38">
        <f t="shared" si="784"/>
        <v>0</v>
      </c>
      <c r="CX580" s="38">
        <f t="shared" si="785"/>
        <v>0</v>
      </c>
      <c r="CY580" s="39">
        <f t="shared" si="786"/>
        <v>0</v>
      </c>
      <c r="CZ580" s="40">
        <f t="shared" si="787"/>
        <v>0</v>
      </c>
      <c r="DA580" s="40">
        <f t="shared" si="788"/>
        <v>0</v>
      </c>
      <c r="DB580" s="40">
        <f t="shared" si="789"/>
        <v>0</v>
      </c>
      <c r="DC580" s="40">
        <f t="shared" si="790"/>
        <v>0</v>
      </c>
      <c r="DD580" s="40">
        <f t="shared" si="791"/>
        <v>0</v>
      </c>
      <c r="DE580" s="40">
        <f t="shared" si="792"/>
        <v>0</v>
      </c>
      <c r="DF580" s="40">
        <f t="shared" si="793"/>
        <v>0</v>
      </c>
      <c r="DG580" s="40">
        <f t="shared" si="794"/>
        <v>1</v>
      </c>
      <c r="DH580" s="40">
        <f t="shared" si="795"/>
        <v>2</v>
      </c>
      <c r="DI580" s="40">
        <f t="shared" si="796"/>
        <v>3</v>
      </c>
      <c r="DJ580" s="40">
        <f t="shared" si="797"/>
        <v>0</v>
      </c>
      <c r="DK580" s="39">
        <f t="shared" si="798"/>
        <v>0</v>
      </c>
      <c r="DL580" s="40">
        <f t="shared" si="799"/>
        <v>0</v>
      </c>
      <c r="DM580" s="40">
        <f t="shared" si="800"/>
        <v>0</v>
      </c>
      <c r="DN580" s="40">
        <f t="shared" si="801"/>
        <v>2</v>
      </c>
      <c r="DO580" s="40">
        <f t="shared" si="802"/>
        <v>1</v>
      </c>
      <c r="DP580" s="40">
        <f t="shared" si="803"/>
        <v>0</v>
      </c>
      <c r="DQ580" s="40">
        <f t="shared" si="804"/>
        <v>0</v>
      </c>
      <c r="DR580" s="40">
        <f t="shared" si="809"/>
        <v>0</v>
      </c>
      <c r="DS580" s="40">
        <f t="shared" si="810"/>
        <v>0</v>
      </c>
      <c r="DT580" s="40">
        <f t="shared" si="805"/>
        <v>0</v>
      </c>
      <c r="DU580" s="40">
        <f t="shared" si="806"/>
        <v>0.33333333333333331</v>
      </c>
      <c r="DV580" s="40">
        <f t="shared" si="807"/>
        <v>0</v>
      </c>
      <c r="DW580" s="40">
        <f t="shared" si="808"/>
        <v>0</v>
      </c>
    </row>
    <row r="581" spans="1:127">
      <c r="A581" s="22" t="s">
        <v>44</v>
      </c>
      <c r="B581" s="26"/>
      <c r="C581" s="22" t="s">
        <v>44</v>
      </c>
      <c r="E581" s="22">
        <v>274728</v>
      </c>
      <c r="F581" s="80" t="s">
        <v>666</v>
      </c>
      <c r="G581" s="25">
        <v>1168</v>
      </c>
      <c r="H581" s="38">
        <f t="shared" si="753"/>
        <v>0</v>
      </c>
      <c r="I581" s="38">
        <f t="shared" si="754"/>
        <v>0</v>
      </c>
      <c r="J581" s="38">
        <f t="shared" si="755"/>
        <v>0</v>
      </c>
      <c r="K581" s="38">
        <f t="shared" si="756"/>
        <v>0</v>
      </c>
      <c r="L581" s="38">
        <f t="shared" si="757"/>
        <v>0</v>
      </c>
      <c r="M581" s="39">
        <f t="shared" si="758"/>
        <v>0</v>
      </c>
      <c r="N581" s="40">
        <f t="shared" si="759"/>
        <v>0</v>
      </c>
      <c r="O581" s="40">
        <f t="shared" si="760"/>
        <v>0</v>
      </c>
      <c r="P581" s="40">
        <f t="shared" si="761"/>
        <v>0</v>
      </c>
      <c r="Q581" s="40">
        <f t="shared" si="762"/>
        <v>0</v>
      </c>
      <c r="R581" s="40">
        <f t="shared" si="763"/>
        <v>0</v>
      </c>
      <c r="S581" s="40">
        <f t="shared" si="764"/>
        <v>0</v>
      </c>
      <c r="T581" s="40">
        <f t="shared" si="765"/>
        <v>0</v>
      </c>
      <c r="U581" s="40">
        <f t="shared" si="766"/>
        <v>0</v>
      </c>
      <c r="V581" s="40">
        <f t="shared" si="767"/>
        <v>0</v>
      </c>
      <c r="W581" s="40">
        <f t="shared" si="768"/>
        <v>0</v>
      </c>
      <c r="X581" s="40">
        <f t="shared" si="769"/>
        <v>0</v>
      </c>
      <c r="Y581" s="39">
        <f t="shared" si="770"/>
        <v>0</v>
      </c>
      <c r="Z581" s="40">
        <f t="shared" si="771"/>
        <v>0</v>
      </c>
      <c r="AA581" s="40">
        <f t="shared" si="772"/>
        <v>0</v>
      </c>
      <c r="AB581" s="40">
        <f t="shared" si="773"/>
        <v>1168</v>
      </c>
      <c r="AC581" s="40">
        <f t="shared" si="774"/>
        <v>4672</v>
      </c>
      <c r="AD581" s="40">
        <f t="shared" si="775"/>
        <v>2336</v>
      </c>
      <c r="AE581" s="40">
        <f t="shared" si="776"/>
        <v>1168</v>
      </c>
      <c r="AF581" s="40">
        <f t="shared" si="777"/>
        <v>3504</v>
      </c>
      <c r="AG581" s="40">
        <f t="shared" si="778"/>
        <v>4672</v>
      </c>
      <c r="AH581" s="40">
        <f t="shared" si="811"/>
        <v>4672</v>
      </c>
      <c r="AI581" s="40">
        <f t="shared" si="812"/>
        <v>2465.7777777777778</v>
      </c>
      <c r="AJ581" s="40">
        <f t="shared" si="813"/>
        <v>0</v>
      </c>
      <c r="AK581" s="39">
        <f t="shared" si="814"/>
        <v>0</v>
      </c>
      <c r="AL581" s="38">
        <v>0</v>
      </c>
      <c r="AM581" s="38">
        <v>0</v>
      </c>
      <c r="AN581" s="38">
        <v>0</v>
      </c>
      <c r="AO581" s="38">
        <v>0</v>
      </c>
      <c r="AP581" s="38">
        <v>0</v>
      </c>
      <c r="AQ581" s="39">
        <v>0</v>
      </c>
      <c r="AR581" s="40">
        <v>0</v>
      </c>
      <c r="AS581" s="40">
        <v>0</v>
      </c>
      <c r="AT581" s="40">
        <v>0</v>
      </c>
      <c r="AU581" s="40">
        <v>0</v>
      </c>
      <c r="AV581" s="40">
        <v>0</v>
      </c>
      <c r="AW581" s="40">
        <v>0</v>
      </c>
      <c r="AX581" s="40">
        <v>0</v>
      </c>
      <c r="AY581" s="40">
        <v>0</v>
      </c>
      <c r="AZ581" s="40">
        <v>0</v>
      </c>
      <c r="BA581" s="40">
        <v>0</v>
      </c>
      <c r="BB581" s="40">
        <v>0</v>
      </c>
      <c r="BC581" s="39">
        <v>0</v>
      </c>
      <c r="BD581" s="40">
        <v>0</v>
      </c>
      <c r="BE581" s="40">
        <v>0</v>
      </c>
      <c r="BF581" s="40">
        <v>0</v>
      </c>
      <c r="BG581" s="40">
        <v>0</v>
      </c>
      <c r="BH581" s="40">
        <v>0</v>
      </c>
      <c r="BI581" s="40">
        <v>0</v>
      </c>
      <c r="BJ581" s="40">
        <v>0</v>
      </c>
      <c r="BK581" s="40">
        <v>0</v>
      </c>
      <c r="BL581" s="40">
        <v>0</v>
      </c>
      <c r="BM581" s="40" t="s">
        <v>768</v>
      </c>
      <c r="BN581" s="40"/>
      <c r="BO581" s="39"/>
      <c r="BP581" s="21">
        <v>0</v>
      </c>
      <c r="BQ581" s="21">
        <v>0</v>
      </c>
      <c r="BR581" s="21">
        <v>0</v>
      </c>
      <c r="BS581" s="21">
        <v>0</v>
      </c>
      <c r="BT581" s="21">
        <v>0</v>
      </c>
      <c r="BU581" s="42">
        <v>0</v>
      </c>
      <c r="BV581" s="21">
        <v>0</v>
      </c>
      <c r="BW581" s="21">
        <v>0</v>
      </c>
      <c r="BX581" s="21">
        <v>0</v>
      </c>
      <c r="BY581" s="21">
        <v>0</v>
      </c>
      <c r="BZ581" s="21">
        <v>0</v>
      </c>
      <c r="CA581" s="21">
        <v>0</v>
      </c>
      <c r="CB581" s="21">
        <v>0</v>
      </c>
      <c r="CC581" s="21">
        <v>0</v>
      </c>
      <c r="CD581" s="21">
        <v>0</v>
      </c>
      <c r="CE581" s="21">
        <v>0</v>
      </c>
      <c r="CF581" s="21">
        <v>0</v>
      </c>
      <c r="CG581" s="42">
        <v>0</v>
      </c>
      <c r="CH581" s="21">
        <v>0</v>
      </c>
      <c r="CI581" s="21">
        <v>0</v>
      </c>
      <c r="CJ581" s="21">
        <v>1</v>
      </c>
      <c r="CK581" s="21">
        <v>4</v>
      </c>
      <c r="CL581" s="21">
        <v>2</v>
      </c>
      <c r="CM581" s="21">
        <v>1</v>
      </c>
      <c r="CN581" s="21">
        <v>3</v>
      </c>
      <c r="CO581" s="21">
        <v>4</v>
      </c>
      <c r="CP581" s="21">
        <f t="shared" ref="CP581:CP582" si="815">CO581</f>
        <v>4</v>
      </c>
      <c r="CQ581" s="343">
        <f t="shared" ref="CQ581:CQ582" si="816">AVERAGE(CH581:CP581)</f>
        <v>2.1111111111111112</v>
      </c>
      <c r="CR581" s="40"/>
      <c r="CS581" s="39"/>
      <c r="CT581" s="38">
        <f t="shared" si="781"/>
        <v>0</v>
      </c>
      <c r="CU581" s="38">
        <f t="shared" si="782"/>
        <v>0</v>
      </c>
      <c r="CV581" s="38">
        <f t="shared" si="783"/>
        <v>0</v>
      </c>
      <c r="CW581" s="38">
        <f t="shared" si="784"/>
        <v>0</v>
      </c>
      <c r="CX581" s="38">
        <f t="shared" si="785"/>
        <v>0</v>
      </c>
      <c r="CY581" s="39">
        <f t="shared" si="786"/>
        <v>0</v>
      </c>
      <c r="CZ581" s="40">
        <f t="shared" si="787"/>
        <v>0</v>
      </c>
      <c r="DA581" s="40">
        <f t="shared" si="788"/>
        <v>0</v>
      </c>
      <c r="DB581" s="40">
        <f t="shared" si="789"/>
        <v>0</v>
      </c>
      <c r="DC581" s="40">
        <f t="shared" si="790"/>
        <v>0</v>
      </c>
      <c r="DD581" s="40">
        <f t="shared" si="791"/>
        <v>0</v>
      </c>
      <c r="DE581" s="40">
        <f t="shared" si="792"/>
        <v>0</v>
      </c>
      <c r="DF581" s="40">
        <f t="shared" si="793"/>
        <v>0</v>
      </c>
      <c r="DG581" s="40">
        <f t="shared" si="794"/>
        <v>0</v>
      </c>
      <c r="DH581" s="40">
        <f t="shared" si="795"/>
        <v>0</v>
      </c>
      <c r="DI581" s="40">
        <f t="shared" si="796"/>
        <v>0</v>
      </c>
      <c r="DJ581" s="40">
        <f t="shared" si="797"/>
        <v>0</v>
      </c>
      <c r="DK581" s="39">
        <f t="shared" si="798"/>
        <v>0</v>
      </c>
      <c r="DL581" s="40">
        <f t="shared" si="799"/>
        <v>0</v>
      </c>
      <c r="DM581" s="40">
        <f t="shared" si="800"/>
        <v>0</v>
      </c>
      <c r="DN581" s="40">
        <f t="shared" si="801"/>
        <v>1</v>
      </c>
      <c r="DO581" s="40">
        <f t="shared" si="802"/>
        <v>4</v>
      </c>
      <c r="DP581" s="40">
        <f t="shared" si="803"/>
        <v>2</v>
      </c>
      <c r="DQ581" s="40">
        <f t="shared" si="804"/>
        <v>1</v>
      </c>
      <c r="DR581" s="40">
        <f t="shared" si="809"/>
        <v>3</v>
      </c>
      <c r="DS581" s="40">
        <f t="shared" si="810"/>
        <v>4</v>
      </c>
      <c r="DT581" s="40">
        <f t="shared" si="805"/>
        <v>4</v>
      </c>
      <c r="DU581" s="40">
        <f t="shared" si="806"/>
        <v>2.1111111111111112</v>
      </c>
      <c r="DV581" s="40">
        <f t="shared" si="807"/>
        <v>0</v>
      </c>
      <c r="DW581" s="40">
        <f t="shared" si="808"/>
        <v>0</v>
      </c>
    </row>
    <row r="582" spans="1:127">
      <c r="A582" s="22" t="s">
        <v>44</v>
      </c>
      <c r="B582" s="26"/>
      <c r="C582" s="22" t="s">
        <v>44</v>
      </c>
      <c r="E582" s="22">
        <v>274734</v>
      </c>
      <c r="F582" s="80" t="s">
        <v>101</v>
      </c>
      <c r="G582" s="25">
        <v>1168</v>
      </c>
      <c r="H582" s="38">
        <f t="shared" si="753"/>
        <v>0</v>
      </c>
      <c r="I582" s="38">
        <f t="shared" si="754"/>
        <v>0</v>
      </c>
      <c r="J582" s="38">
        <f t="shared" si="755"/>
        <v>0</v>
      </c>
      <c r="K582" s="38">
        <f t="shared" si="756"/>
        <v>0</v>
      </c>
      <c r="L582" s="38">
        <f t="shared" si="757"/>
        <v>0</v>
      </c>
      <c r="M582" s="39">
        <f t="shared" si="758"/>
        <v>0</v>
      </c>
      <c r="N582" s="40">
        <f t="shared" si="759"/>
        <v>0</v>
      </c>
      <c r="O582" s="40">
        <f t="shared" si="760"/>
        <v>0</v>
      </c>
      <c r="P582" s="40">
        <f t="shared" si="761"/>
        <v>0</v>
      </c>
      <c r="Q582" s="40">
        <f t="shared" si="762"/>
        <v>0</v>
      </c>
      <c r="R582" s="40">
        <f t="shared" si="763"/>
        <v>0</v>
      </c>
      <c r="S582" s="40">
        <f t="shared" si="764"/>
        <v>0</v>
      </c>
      <c r="T582" s="40">
        <f t="shared" si="765"/>
        <v>0</v>
      </c>
      <c r="U582" s="40">
        <f t="shared" si="766"/>
        <v>0</v>
      </c>
      <c r="V582" s="40">
        <f t="shared" si="767"/>
        <v>0</v>
      </c>
      <c r="W582" s="40">
        <f t="shared" si="768"/>
        <v>0</v>
      </c>
      <c r="X582" s="40">
        <f t="shared" si="769"/>
        <v>0</v>
      </c>
      <c r="Y582" s="39">
        <f t="shared" si="770"/>
        <v>0</v>
      </c>
      <c r="Z582" s="40">
        <f t="shared" si="771"/>
        <v>0</v>
      </c>
      <c r="AA582" s="40">
        <f t="shared" si="772"/>
        <v>0</v>
      </c>
      <c r="AB582" s="40">
        <f t="shared" si="773"/>
        <v>0</v>
      </c>
      <c r="AC582" s="40">
        <f t="shared" si="774"/>
        <v>11680</v>
      </c>
      <c r="AD582" s="40">
        <f t="shared" si="775"/>
        <v>5840</v>
      </c>
      <c r="AE582" s="40">
        <f t="shared" si="776"/>
        <v>4672</v>
      </c>
      <c r="AF582" s="40">
        <f t="shared" si="777"/>
        <v>3504</v>
      </c>
      <c r="AG582" s="40">
        <f t="shared" si="778"/>
        <v>2336</v>
      </c>
      <c r="AH582" s="40">
        <f t="shared" si="811"/>
        <v>2336</v>
      </c>
      <c r="AI582" s="40">
        <f t="shared" si="812"/>
        <v>3374.2222222222222</v>
      </c>
      <c r="AJ582" s="40">
        <f t="shared" si="813"/>
        <v>0</v>
      </c>
      <c r="AK582" s="39">
        <f t="shared" si="814"/>
        <v>0</v>
      </c>
      <c r="AL582" s="38">
        <v>0</v>
      </c>
      <c r="AM582" s="38">
        <v>0</v>
      </c>
      <c r="AN582" s="38">
        <v>0</v>
      </c>
      <c r="AO582" s="38">
        <v>0</v>
      </c>
      <c r="AP582" s="38">
        <v>0</v>
      </c>
      <c r="AQ582" s="39">
        <v>0</v>
      </c>
      <c r="AR582" s="40">
        <v>0</v>
      </c>
      <c r="AS582" s="40">
        <v>0</v>
      </c>
      <c r="AT582" s="40">
        <v>0</v>
      </c>
      <c r="AU582" s="40">
        <v>0</v>
      </c>
      <c r="AV582" s="40">
        <v>0</v>
      </c>
      <c r="AW582" s="40">
        <v>0</v>
      </c>
      <c r="AX582" s="40">
        <v>0</v>
      </c>
      <c r="AY582" s="40">
        <v>0</v>
      </c>
      <c r="AZ582" s="40">
        <v>0</v>
      </c>
      <c r="BA582" s="40">
        <v>0</v>
      </c>
      <c r="BB582" s="40">
        <v>0</v>
      </c>
      <c r="BC582" s="39">
        <v>0</v>
      </c>
      <c r="BD582" s="40">
        <v>0</v>
      </c>
      <c r="BE582" s="40">
        <v>0</v>
      </c>
      <c r="BF582" s="40">
        <v>0</v>
      </c>
      <c r="BG582" s="40">
        <v>0</v>
      </c>
      <c r="BH582" s="40">
        <v>0</v>
      </c>
      <c r="BI582" s="40">
        <v>0</v>
      </c>
      <c r="BJ582" s="40">
        <v>0</v>
      </c>
      <c r="BK582" s="40">
        <v>0</v>
      </c>
      <c r="BL582" s="40">
        <v>0</v>
      </c>
      <c r="BM582" s="40" t="s">
        <v>768</v>
      </c>
      <c r="BN582" s="40"/>
      <c r="BO582" s="39"/>
      <c r="BP582" s="21">
        <v>0</v>
      </c>
      <c r="BQ582" s="21">
        <v>0</v>
      </c>
      <c r="BR582" s="21">
        <v>0</v>
      </c>
      <c r="BS582" s="21">
        <v>0</v>
      </c>
      <c r="BT582" s="21">
        <v>0</v>
      </c>
      <c r="BU582" s="42">
        <v>0</v>
      </c>
      <c r="BV582" s="21">
        <v>0</v>
      </c>
      <c r="BW582" s="21">
        <v>0</v>
      </c>
      <c r="BX582" s="21">
        <v>0</v>
      </c>
      <c r="BY582" s="21">
        <v>0</v>
      </c>
      <c r="BZ582" s="21">
        <v>0</v>
      </c>
      <c r="CA582" s="21">
        <v>0</v>
      </c>
      <c r="CB582" s="21">
        <v>0</v>
      </c>
      <c r="CC582" s="21">
        <v>0</v>
      </c>
      <c r="CD582" s="21">
        <v>0</v>
      </c>
      <c r="CE582" s="21">
        <v>0</v>
      </c>
      <c r="CF582" s="21">
        <v>0</v>
      </c>
      <c r="CG582" s="42">
        <v>0</v>
      </c>
      <c r="CH582" s="21">
        <v>0</v>
      </c>
      <c r="CI582" s="21">
        <v>0</v>
      </c>
      <c r="CJ582" s="21">
        <v>0</v>
      </c>
      <c r="CK582" s="21">
        <v>10</v>
      </c>
      <c r="CL582" s="21">
        <v>5</v>
      </c>
      <c r="CM582" s="21">
        <v>4</v>
      </c>
      <c r="CN582" s="21">
        <v>3</v>
      </c>
      <c r="CO582" s="21">
        <v>2</v>
      </c>
      <c r="CP582" s="21">
        <f t="shared" si="815"/>
        <v>2</v>
      </c>
      <c r="CQ582" s="343">
        <f t="shared" si="816"/>
        <v>2.8888888888888888</v>
      </c>
      <c r="CR582" s="40"/>
      <c r="CS582" s="39"/>
      <c r="CT582" s="38">
        <f t="shared" si="781"/>
        <v>0</v>
      </c>
      <c r="CU582" s="38">
        <f t="shared" si="782"/>
        <v>0</v>
      </c>
      <c r="CV582" s="38">
        <f t="shared" si="783"/>
        <v>0</v>
      </c>
      <c r="CW582" s="38">
        <f t="shared" si="784"/>
        <v>0</v>
      </c>
      <c r="CX582" s="38">
        <f t="shared" si="785"/>
        <v>0</v>
      </c>
      <c r="CY582" s="39">
        <f t="shared" si="786"/>
        <v>0</v>
      </c>
      <c r="CZ582" s="40">
        <f t="shared" si="787"/>
        <v>0</v>
      </c>
      <c r="DA582" s="40">
        <f t="shared" si="788"/>
        <v>0</v>
      </c>
      <c r="DB582" s="40">
        <f t="shared" si="789"/>
        <v>0</v>
      </c>
      <c r="DC582" s="40">
        <f t="shared" si="790"/>
        <v>0</v>
      </c>
      <c r="DD582" s="40">
        <f t="shared" si="791"/>
        <v>0</v>
      </c>
      <c r="DE582" s="40">
        <f t="shared" si="792"/>
        <v>0</v>
      </c>
      <c r="DF582" s="40">
        <f t="shared" si="793"/>
        <v>0</v>
      </c>
      <c r="DG582" s="40">
        <f t="shared" si="794"/>
        <v>0</v>
      </c>
      <c r="DH582" s="40">
        <f t="shared" si="795"/>
        <v>0</v>
      </c>
      <c r="DI582" s="40">
        <f t="shared" si="796"/>
        <v>0</v>
      </c>
      <c r="DJ582" s="40">
        <f t="shared" si="797"/>
        <v>0</v>
      </c>
      <c r="DK582" s="39">
        <f t="shared" si="798"/>
        <v>0</v>
      </c>
      <c r="DL582" s="40">
        <f t="shared" si="799"/>
        <v>0</v>
      </c>
      <c r="DM582" s="40">
        <f t="shared" si="800"/>
        <v>0</v>
      </c>
      <c r="DN582" s="40">
        <f t="shared" si="801"/>
        <v>0</v>
      </c>
      <c r="DO582" s="40">
        <f t="shared" si="802"/>
        <v>10</v>
      </c>
      <c r="DP582" s="40">
        <f t="shared" si="803"/>
        <v>5</v>
      </c>
      <c r="DQ582" s="40">
        <f t="shared" si="804"/>
        <v>4</v>
      </c>
      <c r="DR582" s="40">
        <f t="shared" si="809"/>
        <v>3</v>
      </c>
      <c r="DS582" s="40">
        <f t="shared" si="810"/>
        <v>2</v>
      </c>
      <c r="DT582" s="40">
        <f t="shared" si="805"/>
        <v>2</v>
      </c>
      <c r="DU582" s="40">
        <f t="shared" si="806"/>
        <v>2.8888888888888888</v>
      </c>
      <c r="DV582" s="40">
        <f t="shared" si="807"/>
        <v>0</v>
      </c>
      <c r="DW582" s="40">
        <f t="shared" si="808"/>
        <v>0</v>
      </c>
    </row>
  </sheetData>
  <autoFilter ref="A3:DW582" xr:uid="{F34AD08A-3526-4E1A-94FF-2663D3992987}"/>
  <phoneticPr fontId="5" type="noConversion"/>
  <pageMargins left="0.7" right="0.7" top="0.75" bottom="0.75" header="0.3" footer="0.3"/>
  <ignoredErrors>
    <ignoredError sqref="CZ3:DW3 A3:G3 BV3:CS3 BJ3:BO3 AR3:BI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B781543BF60246915D73353DB0C6A4" ma:contentTypeVersion="22" ma:contentTypeDescription="Create a new document." ma:contentTypeScope="" ma:versionID="8e878e8f808f4875d90dafdd8cc63a9b">
  <xsd:schema xmlns:xsd="http://www.w3.org/2001/XMLSchema" xmlns:xs="http://www.w3.org/2001/XMLSchema" xmlns:p="http://schemas.microsoft.com/office/2006/metadata/properties" xmlns:ns2="1c966d57-9025-4e69-a53e-6674dda0157c" xmlns:ns3="0e1490cb-d813-4e15-bb0d-106f3893d0ef" targetNamespace="http://schemas.microsoft.com/office/2006/metadata/properties" ma:root="true" ma:fieldsID="4bcb2dc350476f600d7821b92374452c" ns2:_="" ns3:_="">
    <xsd:import namespace="1c966d57-9025-4e69-a53e-6674dda0157c"/>
    <xsd:import namespace="0e1490cb-d813-4e15-bb0d-106f3893d0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3:i0f84bba906045b4af568ee102a52dcb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966d57-9025-4e69-a53e-6674dda015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81b625c-6132-4315-8b99-2d7d4df075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ArchiverLinkFileType" ma:index="27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1490cb-d813-4e15-bb0d-106f3893d0e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a78da65-49f8-44b5-a1d1-4ab98952d645}" ma:internalName="TaxCatchAll" ma:showField="CatchAllData" ma:web="0e1490cb-d813-4e15-bb0d-106f3893d0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26" nillable="true" ma:taxonomy="true" ma:internalName="i0f84bba906045b4af568ee102a52dcb" ma:taxonomyFieldName="RevIMBCS" ma:displayName="Retention Policy" ma:indexed="true" ma:default="14;#Daily Work Documents [Standard]|c1df7c93-bf29-4bb4-a9f3-5b7aacc5e62b" ma:fieldId="{20f84bba-9060-45b4-af56-8ee102a52dcb}" ma:sspId="c81b625c-6132-4315-8b99-2d7d4df07560" ma:termSetId="1d8deb5c-7ccc-4e04-a1de-f52ad833313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e1490cb-d813-4e15-bb0d-106f3893d0ef">
      <Value>14</Value>
    </TaxCatchAll>
    <lcf76f155ced4ddcb4097134ff3c332f xmlns="1c966d57-9025-4e69-a53e-6674dda0157c">
      <Terms xmlns="http://schemas.microsoft.com/office/infopath/2007/PartnerControls"/>
    </lcf76f155ced4ddcb4097134ff3c332f>
    <i0f84bba906045b4af568ee102a52dcb xmlns="0e1490cb-d813-4e15-bb0d-106f3893d0ef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Daily Work Documents [Standard]</TermName>
          <TermId xmlns="http://schemas.microsoft.com/office/infopath/2007/PartnerControls">c1df7c93-bf29-4bb4-a9f3-5b7aacc5e62b</TermId>
        </TermInfo>
      </Terms>
    </i0f84bba906045b4af568ee102a52dcb>
    <ArchiverLinkFileType xmlns="1c966d57-9025-4e69-a53e-6674dda0157c" xsi:nil="true"/>
  </documentManagement>
</p:properties>
</file>

<file path=customXml/itemProps1.xml><?xml version="1.0" encoding="utf-8"?>
<ds:datastoreItem xmlns:ds="http://schemas.openxmlformats.org/officeDocument/2006/customXml" ds:itemID="{4B659140-1CBB-4D3A-914D-BF0E83D4E9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C1D88A-2324-4022-A2F1-FCF5678017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966d57-9025-4e69-a53e-6674dda0157c"/>
    <ds:schemaRef ds:uri="0e1490cb-d813-4e15-bb0d-106f3893d0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D04E079-3862-4D1A-A7EB-0B348E3A1580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64f4f96f-475f-4d66-9195-4d8c397dd856"/>
    <ds:schemaRef ds:uri="32b33190-a0f2-445b-9edb-a3d919956cc4"/>
    <ds:schemaRef ds:uri="http://purl.org/dc/terms/"/>
    <ds:schemaRef ds:uri="http://www.w3.org/XML/1998/namespace"/>
    <ds:schemaRef ds:uri="http://purl.org/dc/dcmitype/"/>
    <ds:schemaRef ds:uri="0e1490cb-d813-4e15-bb0d-106f3893d0ef"/>
    <ds:schemaRef ds:uri="1c966d57-9025-4e69-a53e-6674dda0157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Summary</vt:lpstr>
      <vt:lpstr>Hair</vt:lpstr>
      <vt:lpstr>Fabric</vt:lpstr>
      <vt:lpstr>Oral</vt:lpstr>
      <vt:lpstr>Fem</vt:lpstr>
      <vt:lpstr>Home</vt:lpstr>
      <vt:lpstr>Shave</vt:lpstr>
      <vt:lpstr>Skin</vt:lpstr>
      <vt:lpstr>Offtake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Chang, Jimmy</dc:creator>
  <cp:lastModifiedBy>Chang, Jimmy</cp:lastModifiedBy>
  <dcterms:created xsi:type="dcterms:W3CDTF">2015-06-05T18:17:20Z</dcterms:created>
  <dcterms:modified xsi:type="dcterms:W3CDTF">2026-05-07T07:02:48Z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b8f4d7-14bc-4a30-8a91-299e587fa409_Enabled">
    <vt:lpwstr>true</vt:lpwstr>
  </property>
  <property fmtid="{D5CDD505-2E9C-101B-9397-08002B2CF9AE}" pid="3" name="MSIP_Label_d5b8f4d7-14bc-4a30-8a91-299e587fa409_SetDate">
    <vt:lpwstr>2025-12-23T08:31:49Z</vt:lpwstr>
  </property>
  <property fmtid="{D5CDD505-2E9C-101B-9397-08002B2CF9AE}" pid="4" name="MSIP_Label_d5b8f4d7-14bc-4a30-8a91-299e587fa409_Method">
    <vt:lpwstr>Privileged</vt:lpwstr>
  </property>
  <property fmtid="{D5CDD505-2E9C-101B-9397-08002B2CF9AE}" pid="5" name="MSIP_Label_d5b8f4d7-14bc-4a30-8a91-299e587fa409_Name">
    <vt:lpwstr>PG - Restricted</vt:lpwstr>
  </property>
  <property fmtid="{D5CDD505-2E9C-101B-9397-08002B2CF9AE}" pid="6" name="MSIP_Label_d5b8f4d7-14bc-4a30-8a91-299e587fa409_SiteId">
    <vt:lpwstr>3596192b-fdf5-4e2c-a6fa-acb706c963d8</vt:lpwstr>
  </property>
  <property fmtid="{D5CDD505-2E9C-101B-9397-08002B2CF9AE}" pid="7" name="MSIP_Label_d5b8f4d7-14bc-4a30-8a91-299e587fa409_ActionId">
    <vt:lpwstr>25234349-cc13-4330-bc82-3235e4f36106</vt:lpwstr>
  </property>
  <property fmtid="{D5CDD505-2E9C-101B-9397-08002B2CF9AE}" pid="8" name="MSIP_Label_d5b8f4d7-14bc-4a30-8a91-299e587fa409_ContentBits">
    <vt:lpwstr>1</vt:lpwstr>
  </property>
  <property fmtid="{D5CDD505-2E9C-101B-9397-08002B2CF9AE}" pid="9" name="MSIP_Label_d5b8f4d7-14bc-4a30-8a91-299e587fa409_Tag">
    <vt:lpwstr>10, 0, 1, 1</vt:lpwstr>
  </property>
  <property fmtid="{D5CDD505-2E9C-101B-9397-08002B2CF9AE}" pid="10" name="ContentTypeId">
    <vt:lpwstr>0x0101009BB781543BF60246915D73353DB0C6A4</vt:lpwstr>
  </property>
  <property fmtid="{D5CDD505-2E9C-101B-9397-08002B2CF9AE}" pid="11" name="MediaServiceImageTags">
    <vt:lpwstr/>
  </property>
  <property fmtid="{D5CDD505-2E9C-101B-9397-08002B2CF9AE}" pid="12" name="RevIMBCS">
    <vt:lpwstr>14;#Daily Work Documents [Standard]|c1df7c93-bf29-4bb4-a9f3-5b7aacc5e62b</vt:lpwstr>
  </property>
</Properties>
</file>